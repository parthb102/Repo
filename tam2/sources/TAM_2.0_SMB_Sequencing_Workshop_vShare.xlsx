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mckinsey.sharepoint.com/sites/spe-ext-ykc0e0iv3f2m/Shared Documents/05. Overall tracking/02. Sequencing/"/>
    </mc:Choice>
  </mc:AlternateContent>
  <xr:revisionPtr revIDLastSave="1415" documentId="8_{6E46AC63-58B8-4BB3-A86E-B01223720A49}" xr6:coauthVersionLast="47" xr6:coauthVersionMax="47" xr10:uidLastSave="{10DF7A8D-83B5-4BDF-A29C-0073DD89A40B}"/>
  <bookViews>
    <workbookView xWindow="28680" yWindow="-120" windowWidth="29040" windowHeight="15720" tabRatio="1000" firstSheet="5" activeTab="5" xr2:uid="{00000000-000D-0000-FFFF-FFFF00000000}"/>
  </bookViews>
  <sheets>
    <sheet name="Index" sheetId="1" r:id="rId1"/>
    <sheet name="UK&amp;I&gt;&gt;" sheetId="3" r:id="rId2"/>
    <sheet name="UK&amp;I Sequencing" sheetId="14" r:id="rId3"/>
    <sheet name="UK&amp;I Back-book - Approach " sheetId="4" r:id="rId4"/>
    <sheet name="NA&gt;&gt;" sheetId="7" r:id="rId5"/>
    <sheet name="NA Direct" sheetId="8" r:id="rId6"/>
    <sheet name="NA Wholesale" sheetId="9" r:id="rId7"/>
    <sheet name="NA Indirect" sheetId="10" r:id="rId8"/>
    <sheet name="NA ISO" sheetId="11" r:id="rId9"/>
    <sheet name="RoW&gt;&gt;" sheetId="12" r:id="rId10"/>
    <sheet name="RoW (excl. UK&amp;I)"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4" l="1" a="1"/>
  <c r="B2" i="14" s="1"/>
  <c r="B2" i="11" a="1"/>
  <c r="B2" i="11" s="1"/>
  <c r="B2" i="10" a="1"/>
  <c r="B2" i="10" s="1"/>
  <c r="B2" i="9" a="1"/>
  <c r="B2" i="9" s="1"/>
  <c r="B2" i="8" a="1"/>
  <c r="B2" i="8" s="1"/>
  <c r="B2" i="4" a="1"/>
  <c r="B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tc={698D6CEC-6910-4EEB-B49C-6A96F5278744}</author>
  </authors>
  <commentList>
    <comment ref="C16" authorId="0" shapeId="0" xr:uid="{698D6CEC-6910-4EEB-B49C-6A96F5278744}">
      <text>
        <t>[Threaded comment]
Your version of Excel allows you to read this threaded comment; however, any edits to it will get removed if the file is opened in a newer version of Excel. Learn more: https://go.microsoft.com/fwlink/?linkid=870924
Comment:
    See Developer Portal above.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tc={1BBF1269-8066-4D5B-9424-F6E72C601405}</author>
    <author>tc={0392FCB3-EAB8-47C2-ABA6-E7814F26A9C4}</author>
    <author>tc={3E3FF250-8C72-45A3-A583-3F1604922B7E}</author>
  </authors>
  <commentList>
    <comment ref="C9" authorId="0" shapeId="0" xr:uid="{1BBF1269-8066-4D5B-9424-F6E72C601405}">
      <text>
        <t>[Threaded comment]
Your version of Excel allows you to read this threaded comment; however, any edits to it will get removed if the file is opened in a newer version of Excel. Learn more: https://go.microsoft.com/fwlink/?linkid=870924
Comment:
    Confirm if required.</t>
      </text>
    </comment>
    <comment ref="C10" authorId="1" shapeId="0" xr:uid="{0392FCB3-EAB8-47C2-ABA6-E7814F26A9C4}">
      <text>
        <t>[Threaded comment]
Your version of Excel allows you to read this threaded comment; however, any edits to it will get removed if the file is opened in a newer version of Excel. Learn more: https://go.microsoft.com/fwlink/?linkid=870924
Comment:
    Confirm if required.</t>
      </text>
    </comment>
    <comment ref="C11" authorId="2" shapeId="0" xr:uid="{3E3FF250-8C72-45A3-A583-3F1604922B7E}">
      <text>
        <t>[Threaded comment]
Your version of Excel allows you to read this threaded comment; however, any edits to it will get removed if the file is opened in a newer version of Excel. Learn more: https://go.microsoft.com/fwlink/?linkid=870924
Comment:
    Confirm if required.</t>
      </text>
    </comment>
  </commentList>
</comments>
</file>

<file path=xl/sharedStrings.xml><?xml version="1.0" encoding="utf-8"?>
<sst xmlns="http://schemas.openxmlformats.org/spreadsheetml/2006/main" count="1502" uniqueCount="614">
  <si>
    <t>TAM 2.0 | SMB Sequencing</t>
  </si>
  <si>
    <t>Section</t>
  </si>
  <si>
    <t>Sheet</t>
  </si>
  <si>
    <t>UK&amp;I</t>
  </si>
  <si>
    <t>Back-book - Approach</t>
  </si>
  <si>
    <t>UK&amp;I Sequencing</t>
  </si>
  <si>
    <t>UK&amp;I Front-book Sequencing</t>
  </si>
  <si>
    <t>North America</t>
  </si>
  <si>
    <t>NA Direct</t>
  </si>
  <si>
    <t>NA Wholesale</t>
  </si>
  <si>
    <t>NA Indirect</t>
  </si>
  <si>
    <t>NA ISO</t>
  </si>
  <si>
    <t>Rest of World</t>
  </si>
  <si>
    <t>RoW (excl. UK&amp;I)</t>
  </si>
  <si>
    <t>Back-book Considerations</t>
  </si>
  <si>
    <t>Migration considerations</t>
  </si>
  <si>
    <t>Operating principles</t>
  </si>
  <si>
    <t>Funding windows</t>
  </si>
  <si>
    <t>Confirm that settlement timing and funding windows do not shift in a way that disrupts merchants who rely on early funding</t>
  </si>
  <si>
    <t>Payment flows are the critical path</t>
  </si>
  <si>
    <t>Focus on CP &amp; e-commerce transaction flows need real design work; We move merchants to the target rails by migrating how they are funded (their BIN and ICA). Once funding moves, boarding, servicing and CRM follow</t>
  </si>
  <si>
    <t>Pricing</t>
  </si>
  <si>
    <t>SMB merchants are mostly on fixed pricing; Where interchange-plus applies, the cost per transaction must not rise after the back-end changes</t>
  </si>
  <si>
    <t>No net-new on non-target platforms</t>
  </si>
  <si>
    <t>We will not add features to Evo/e-service, GMAS Europe or Greenhouse; New capability is built only on the target rails</t>
  </si>
  <si>
    <t>Feature-parity assessment</t>
  </si>
  <si>
    <t>Segment the book by MCC and by volume (CP vs. CNP), and use usage data to confirm which capabilities merchants actually rely on</t>
  </si>
  <si>
    <t>Work on exiting platforms needs an exception</t>
  </si>
  <si>
    <t>Any engineering effort spent on a non-target platform must go through an exception process, so we do not extend its life</t>
  </si>
  <si>
    <t>Statements</t>
  </si>
  <si>
    <t>Be transparent with merchants about what changes on their statements after migration</t>
  </si>
  <si>
    <t>Parity is not the goal</t>
  </si>
  <si>
    <t>We accept that a small tail of capabilities will not be rebuilt before sunset</t>
  </si>
  <si>
    <t>Re-papering and Re-CDD</t>
  </si>
  <si>
    <t>Re-papering is generally not required; Avoid repeated CDDs</t>
  </si>
  <si>
    <t>Consolidation is not decommissioning</t>
  </si>
  <si>
    <t>We commit to switching platforms off, not just moving volume, so the estate actually shrinks</t>
  </si>
  <si>
    <t>Merchant Retraining</t>
  </si>
  <si>
    <t>Plan for merchant retraining, which matters more for stable businesses than for high-turnover ones such as restaurants</t>
  </si>
  <si>
    <t>Resiliency scales with consolidation</t>
  </si>
  <si>
    <t>As volume concentrates on fewer platforms, the impact of any outage grows; Invest in resiliency, observability and faster fail-over for target platforms</t>
  </si>
  <si>
    <t>Data-programme alignment</t>
  </si>
  <si>
    <t>Use this migration to accelerate the homogenised data and statements work (the BFS data programme)</t>
  </si>
  <si>
    <t>Settlement Options</t>
  </si>
  <si>
    <t>Beneficial for savings but may require re-papering</t>
  </si>
  <si>
    <t>Banking relationships / other contractual relationships</t>
  </si>
  <si>
    <t>Account for existing banking and contractual relationships, e.g., HSBC and BOI</t>
  </si>
  <si>
    <t>Third-party gateways</t>
  </si>
  <si>
    <t>Decide the disposition for third-party gateway merchants, whether to sell off the book, migrate, or pursue other options</t>
  </si>
  <si>
    <t>Ecommerce software</t>
  </si>
  <si>
    <t>Assess the ecommerce software merchants use, since the ability to migrate depends on it</t>
  </si>
  <si>
    <t xml:space="preserve">Trailing activity </t>
  </si>
  <si>
    <t>Plan for trailing activity such as chargebacks and refunds that arrives after a merchant has migrated, ensuring it is processed correctly across the target platforms</t>
  </si>
  <si>
    <t>Focus for discussion</t>
  </si>
  <si>
    <t>Not focus for today</t>
  </si>
  <si>
    <t>Boulder</t>
  </si>
  <si>
    <t>Rock</t>
  </si>
  <si>
    <t>Proposition</t>
  </si>
  <si>
    <t>Current Platforms</t>
  </si>
  <si>
    <t>Build / Migrate / Decomm (Now)</t>
  </si>
  <si>
    <t>Interim Platforms (~H2 '27)</t>
  </si>
  <si>
    <t>Build / Migrate / Decomm (Next)</t>
  </si>
  <si>
    <t>Target Platforms (~2029)</t>
  </si>
  <si>
    <t>Notes / Dependencies / Follow-ups</t>
  </si>
  <si>
    <t>Business priorities</t>
  </si>
  <si>
    <t>Corporate priorities</t>
  </si>
  <si>
    <t>1 · Single in</t>
  </si>
  <si>
    <t>Global API</t>
  </si>
  <si>
    <t>WP eCom (Access); 
GP API (BOIPA)</t>
  </si>
  <si>
    <t>Build — Build OAuth Authentication for Global API
Build — publish global API standards; adhere gateways
Build — version APIs to v2.0 + publish (continue v1)
Build — connect SDKs to new API std → update plugins</t>
  </si>
  <si>
    <t>GPAPI / Access current versions (v1) back book and Global API for front book (v2)</t>
  </si>
  <si>
    <t>Migrate — merchants onto v2
Decomm — v1 (later)</t>
  </si>
  <si>
    <t>PayApps/MDM/TMS</t>
  </si>
  <si>
    <r>
      <rPr>
        <sz val="11"/>
        <color rgb="FF000000"/>
        <rFont val="Calibri"/>
      </rPr>
      <t xml:space="preserve">e-service PayApp for PAX &amp; Ingenico
Ingenico App - Ingenico managed
UPA for Verifone
PAX positive App for PAX
Ingenico Nerpay - hWp
TriPOS for Ingenico  - hWp
Yazara as part of Genius M
</t>
    </r>
    <r>
      <rPr>
        <b/>
        <sz val="11"/>
        <color rgb="FF000000"/>
        <rFont val="Calibri"/>
      </rPr>
      <t>Depriciated</t>
    </r>
    <r>
      <rPr>
        <sz val="11"/>
        <color rgb="FF000000"/>
        <rFont val="Calibri"/>
      </rPr>
      <t xml:space="preserve"> - Apriva mobile Pay (except iPhone)</t>
    </r>
  </si>
  <si>
    <r>
      <rPr>
        <b/>
        <sz val="11"/>
        <color rgb="FF000000"/>
        <rFont val="Calibri"/>
      </rPr>
      <t>Build</t>
    </r>
    <r>
      <rPr>
        <sz val="11"/>
        <color rgb="FF000000"/>
        <rFont val="Calibri"/>
      </rPr>
      <t xml:space="preserve"> - Genius S integration with TriPOS
</t>
    </r>
    <r>
      <rPr>
        <b/>
        <sz val="11"/>
        <color rgb="FF000000"/>
        <rFont val="Calibri"/>
      </rPr>
      <t>Build</t>
    </r>
    <r>
      <rPr>
        <sz val="11"/>
        <color rgb="FF000000"/>
        <rFont val="Calibri"/>
      </rPr>
      <t xml:space="preserve"> - Nucleus/PayApp 2.0 for hWP processing stack to replace NERPAY and be ready for Genius S, for standalone and semi-integrated
</t>
    </r>
    <r>
      <rPr>
        <b/>
        <sz val="11"/>
        <color rgb="FF000000"/>
        <rFont val="Calibri"/>
      </rPr>
      <t>Build</t>
    </r>
    <r>
      <rPr>
        <sz val="11"/>
        <color rgb="FF000000"/>
        <rFont val="Calibri"/>
      </rPr>
      <t xml:space="preserve"> - finish Nucleus/PayApp 2.0 development to cover all remaining gaps to replace UPA, Ingenico managed, e-service, PAX positive for hGP (e-service+Green house trhough PowerZAC)
</t>
    </r>
  </si>
  <si>
    <r>
      <rPr>
        <b/>
        <sz val="11"/>
        <color rgb="FF000000"/>
        <rFont val="Calibri"/>
      </rPr>
      <t xml:space="preserve">Decom/Migration - </t>
    </r>
    <r>
      <rPr>
        <sz val="11"/>
        <color rgb="FF000000"/>
        <rFont val="Calibri"/>
      </rPr>
      <t>UPA, Ingenico managed, e-service, PAX positive for hGP (e-service+Green house trhough PowerZAC)</t>
    </r>
  </si>
  <si>
    <t>Developer Portal</t>
  </si>
  <si>
    <t>Omnichannel</t>
  </si>
  <si>
    <t>hGP Developer Portal
hWP Developer Portal</t>
  </si>
  <si>
    <t>Build - Net new experience (nGP) for front book
Migrate - Content from hWP to nGP to support New and Interim
Migreate - Customer SSO from hWP (FIS) to GP Azure B2C</t>
  </si>
  <si>
    <t>hGP Developer Portal (with some migrated hWP content)</t>
  </si>
  <si>
    <t>Migrate - Customers from hWP &amp; hGP to nGP
Decomm - hWP Developer Portal, hGP Developer Portal</t>
  </si>
  <si>
    <t>Dependency on what solutions needs to be supported in market; Global API, GP-API, Access, WPG, TriPOS etc.</t>
  </si>
  <si>
    <t>SDKs</t>
  </si>
  <si>
    <t>SDKs 
- connected to Access
- connected to GP-API</t>
  </si>
  <si>
    <t>Build - Connect Server-Side SDKs to Global API
See also CP / Genius S &amp; N below</t>
  </si>
  <si>
    <t>Migrate - Customers on non-Global API stacks to Global API via SDKs
Decomm - Non-Global API SDKs</t>
  </si>
  <si>
    <t>3rd Party Software Extensions</t>
  </si>
  <si>
    <t>eComm</t>
  </si>
  <si>
    <t>Extensions
- connected to Access
- connected to WPG
- connected to GP-API</t>
  </si>
  <si>
    <t>Build - Connect Target State Extensions to Global API</t>
  </si>
  <si>
    <t>Build - Merge Extensions to single instance
Migrate - Customers on non-Global API stacks to Global API via Extensions
Decomm - Non-Global API Extensions</t>
  </si>
  <si>
    <t>Unified Prop</t>
  </si>
  <si>
    <t xml:space="preserve">Hosted Solutions </t>
  </si>
  <si>
    <t>hWP HPP</t>
  </si>
  <si>
    <r>
      <rPr>
        <sz val="11"/>
        <color rgb="FF000000"/>
        <rFont val="Calibri"/>
      </rPr>
      <t xml:space="preserve">Build — conform HPP to global API standard
Build — Components SDK for Cards, APMs, Wallets
</t>
    </r>
    <r>
      <rPr>
        <sz val="11"/>
        <color rgb="FFFF0000"/>
        <rFont val="Calibri"/>
      </rPr>
      <t xml:space="preserve">Align — Virtual Terminal approach (go foward for VT is via Payments Center Paymemts Links+ as interim)
</t>
    </r>
    <r>
      <rPr>
        <sz val="11"/>
        <color rgb="FF000000"/>
        <rFont val="Calibri"/>
      </rPr>
      <t>Decomm — Business Gateway</t>
    </r>
  </si>
  <si>
    <t>HPP (conformed)
Payments Link+ (Stored)</t>
  </si>
  <si>
    <t>(VT target approach TBD)</t>
  </si>
  <si>
    <t>TBD</t>
  </si>
  <si>
    <t>4. Bank channels — BOI, Virgin Money/Nationwide, HSBC (Tuza, eComm, Genius Mobile, Dashboard hooks)</t>
  </si>
  <si>
    <t>• Fragmented hGP/hWP sales tooling &amp; portals — operational inefficiency and disjointed merchant journey</t>
  </si>
  <si>
    <t>CP / Genius S</t>
  </si>
  <si>
    <t>Genius</t>
  </si>
  <si>
    <t>TriPOS / EMBOSS</t>
  </si>
  <si>
    <r>
      <rPr>
        <sz val="11"/>
        <color rgb="FF000000"/>
        <rFont val="Calibri"/>
      </rPr>
      <t xml:space="preserve">Build — Genius S payment: integrate with TriPOS SDK
Build — Merge TriPOS SDK + GP SDK
Build — Bridge to Nucleus (integrate GP SDK to Yazara)
</t>
    </r>
    <r>
      <rPr>
        <sz val="11"/>
        <color rgb="FFFF0000"/>
        <rFont val="Calibri"/>
      </rPr>
      <t>Align — Terminal fullfilment TBD</t>
    </r>
  </si>
  <si>
    <t>TriPOS with bridge to Nucleus</t>
  </si>
  <si>
    <t>(no further change)</t>
  </si>
  <si>
    <t>TriPOS / Nucleus Combined solution</t>
  </si>
  <si>
    <t>•  Genius resold under Worldpay UK Ltd
•  hGP back-book (Evo, Take Payments, GPUK) to be repapered to WP entities</t>
  </si>
  <si>
    <t>1. Genius S UK — decision confirmed; development on NAP target-state rails, Q1 '27 pilot</t>
  </si>
  <si>
    <t>• BG migration — audit deadline extended to Jul '27; automated migration scripting blocked on infrastructure database capacity</t>
  </si>
  <si>
    <t>CP / Genius N</t>
  </si>
  <si>
    <t>Build — GP SDK support for new device (GP1)
Build — GP SDK + Yazara MPOC for GP1
Build — Merge TriPOS SDK + GP SDK
Build — Bridge to Nucleus (integrate GP SDK to Yazara)</t>
  </si>
  <si>
    <t>•  Combined SDK requires PCI MPOC / INBOX certification (key injection, attestation), sequenced by region
•  Rationalise the 6 POS test and cert labs (incl. IDC) to cut certification time</t>
  </si>
  <si>
    <t>2. eCommerce expansion — WP eComm Essentials (targeting the POS back-book), Shopify Onsite plugin, payment links &amp; invoicing</t>
  </si>
  <si>
    <t>• NerPay Ingenico app sunset path (new localised ROI app unlocks next waves)</t>
  </si>
  <si>
    <t>CNP</t>
  </si>
  <si>
    <t>v2 (front-book); v1/2 (back-book)</t>
  </si>
  <si>
    <t>Unified Global API</t>
  </si>
  <si>
    <t>3. VAS growth — Everyday Settlement (H2 '26, NAP-acquired merchants), DCC back-book opt-out enablement, MCA in-house (rev c.$35m '27–28), terminal leasing for hGP terminals</t>
  </si>
  <si>
    <t xml:space="preserve">
• ACI / Postilion BO exit by 2029 (corporate)</t>
  </si>
  <si>
    <t>Hosted</t>
  </si>
  <si>
    <t>2 · Boarding</t>
  </si>
  <si>
    <t>Orchestration</t>
  </si>
  <si>
    <t>All</t>
  </si>
  <si>
    <t>OMS</t>
  </si>
  <si>
    <t>Build — support party model
Build — transition towards Boarding Gateway + Workstream Manager</t>
  </si>
  <si>
    <t>Transition in flight</t>
  </si>
  <si>
    <t>• Migrate - UK SMB BAck Book
• Decom - OMS</t>
  </si>
  <si>
    <r>
      <rPr>
        <b/>
        <sz val="11"/>
        <color rgb="FF262626"/>
        <rFont val="Calibri"/>
      </rPr>
      <t>HUB</t>
    </r>
    <r>
      <rPr>
        <sz val="11"/>
        <color rgb="FF262626"/>
        <rFont val="Calibri"/>
      </rPr>
      <t xml:space="preserve"> (Boarding Gateway
Workstream Manager
Product/Party Model
Actor/PIL
Kafka 
MuleSoft)
</t>
    </r>
  </si>
  <si>
    <t>5. WP360 — GA into the Irish market Q3 '26; omnichannel hospitality powered by WP eCommerce</t>
  </si>
  <si>
    <t>CPQ</t>
  </si>
  <si>
    <t>Oracle CPQ</t>
  </si>
  <si>
    <t>(continue supporting Oracle CPQ)
Build - RCA in ISI (Jan '27 requirement)</t>
  </si>
  <si>
    <t>Oracle CPQ
RCA</t>
  </si>
  <si>
    <t xml:space="preserve">Build - RCA in iNASA for UK/I
</t>
  </si>
  <si>
    <t>RCA</t>
  </si>
  <si>
    <t>Experience</t>
  </si>
  <si>
    <t>Launchpad + Agent Hub + Tuza</t>
  </si>
  <si>
    <t>Build — harmonize Launchpad + Agent Hub + Tuza</t>
  </si>
  <si>
    <t>Ignition (harmonizing)</t>
  </si>
  <si>
    <t xml:space="preserve">Build — integrate Tuza capabilities into Ignition
Build - Update intgration for boarding TAM for iNASA
Build - Ignition to consume RCA </t>
  </si>
  <si>
    <t>Ignition</t>
  </si>
  <si>
    <t>Boarding decision (Helix/UBA/Convergence) is a dependency</t>
  </si>
  <si>
    <t>Underwriting</t>
  </si>
  <si>
    <t>FICO</t>
  </si>
  <si>
    <t>Build — begin UCM
Migrate — rewrite FICO rules in UCM</t>
  </si>
  <si>
    <t>UCM in build / FICO live</t>
  </si>
  <si>
    <t>Migrate — onto UCM
Decomm — FICO</t>
  </si>
  <si>
    <t>UCM</t>
  </si>
  <si>
    <t>Awaiting budget approval</t>
  </si>
  <si>
    <t>3 · Payment processing</t>
  </si>
  <si>
    <t>Gateways</t>
  </si>
  <si>
    <t>Emboss (Genius) 
WPT (*EOS)
WPG / Access (eCom)
GP eComm</t>
  </si>
  <si>
    <t>Build — develop Global Gateway (GG) for UK&amp;I
(target rails for Genius S + eCommerce)
Build — Querying from global gateway payment query service built out - likely enhancements for CP flow</t>
  </si>
  <si>
    <t>Emboss (CP) + Access / WPG (eCom)</t>
  </si>
  <si>
    <t>Migrate — onto GG
Decomm — Emboss / legacy gateways</t>
  </si>
  <si>
    <t>Global Gateway
Maintain due to local requirements:
 - C2.0
 - APF (as auth platform for Latam)
 - EDPS (as auth platform for Greek networks)</t>
  </si>
  <si>
    <t>APMs</t>
  </si>
  <si>
    <t>—</t>
  </si>
  <si>
    <r>
      <rPr>
        <sz val="11"/>
        <color rgb="FF000000"/>
        <rFont val="Calibri"/>
      </rPr>
      <t>N/A now (</t>
    </r>
    <r>
      <rPr>
        <sz val="11"/>
        <color rgb="FFFF0000"/>
        <rFont val="Calibri"/>
      </rPr>
      <t>but live Klarna work ongoing?</t>
    </r>
    <r>
      <rPr>
        <sz val="11"/>
        <color rgb="FF000000"/>
        <rFont val="Calibri"/>
      </rPr>
      <t>) - + Klarna Autoboarding</t>
    </r>
  </si>
  <si>
    <t>N/A</t>
  </si>
  <si>
    <t>Next — build support for Klarna + other APMs</t>
  </si>
  <si>
    <t>GPPaaS</t>
  </si>
  <si>
    <t>Switch</t>
  </si>
  <si>
    <t>Supercheckout
Postilion real-time
GSAP EU</t>
  </si>
  <si>
    <t>N/A now</t>
  </si>
  <si>
    <t>Supercheckout</t>
  </si>
  <si>
    <t>(no change)</t>
  </si>
  <si>
    <t>Acquiring / Funding</t>
  </si>
  <si>
    <t>NAP / SAS
Postilion back office
GMAS</t>
  </si>
  <si>
    <t>Build — Genius S on NAP target-state rails (Q1 '27 pilot)</t>
  </si>
  <si>
    <t>NAP / SAS</t>
  </si>
  <si>
    <t>Migrate — off SAS
Decomm — SAS</t>
  </si>
  <si>
    <t>NAP / PowerZac</t>
  </si>
  <si>
    <t>Transaction monitoring</t>
  </si>
  <si>
    <t>IBM Safer Payments / Brighterion / sanction screening / Activize</t>
  </si>
  <si>
    <t>TBC</t>
  </si>
  <si>
    <t>4 · Sales and servicing</t>
  </si>
  <si>
    <t>CRM</t>
  </si>
  <si>
    <t>iNASA (into Boarding Gateway)</t>
  </si>
  <si>
    <t>Build — integrate Genius into iNASA
Migrate - Migrate users from ISI to iNASA (possible small build need)</t>
  </si>
  <si>
    <t xml:space="preserve">iNASA
</t>
  </si>
  <si>
    <t>Build - Update intgration for boarding TAM for iNASA</t>
  </si>
  <si>
    <t>iNASA</t>
  </si>
  <si>
    <t>Servicing</t>
  </si>
  <si>
    <t>iNASA; Siebel (NAP)</t>
  </si>
  <si>
    <t>Build — commissions on hGP Salesforce
Migrate — stop boarding hGP SF into hGP CRM → board into iNASA
Migrate — complete in-flight capability migration</t>
  </si>
  <si>
    <t xml:space="preserve">iNASA </t>
  </si>
  <si>
    <t>(continue)</t>
  </si>
  <si>
    <t>5 · VAS</t>
  </si>
  <si>
    <t>Routing</t>
  </si>
  <si>
    <t>(to confirm)</t>
  </si>
  <si>
    <t>Converge under combined Payment Optimization</t>
  </si>
  <si>
    <t>Dynamic Routing 2.0</t>
  </si>
  <si>
    <t>Gifts</t>
  </si>
  <si>
    <t>hWP Premier, hWP Valutec, hGP Engage</t>
  </si>
  <si>
    <t xml:space="preserve">Build / Enable Engage UI for Valutec 
Build RAFT / CORE Integration for Engage leveraging existing Valutec integration
 </t>
  </si>
  <si>
    <t>Premier, Valutec, Engage</t>
  </si>
  <si>
    <t>n/a</t>
  </si>
  <si>
    <t>Engage, Valutec [no impact to UK&amp;I]</t>
  </si>
  <si>
    <t xml:space="preserve">RAFT / CORE intergration on Engage 
RAFT/CORE engineering capacity to support Engage integration </t>
  </si>
  <si>
    <t>Loyalty</t>
  </si>
  <si>
    <t>(none in WP stack)</t>
  </si>
  <si>
    <t>Build — integrate COMO into hWP stack</t>
  </si>
  <si>
    <t>COMO (integrating)</t>
  </si>
  <si>
    <t>COMO</t>
  </si>
  <si>
    <t>Payment tokens</t>
  </si>
  <si>
    <t>Access tokens (security)</t>
  </si>
  <si>
    <t>Build — route via credential API</t>
  </si>
  <si>
    <t>Credential API</t>
  </si>
  <si>
    <t>Build — unified credential vault</t>
  </si>
  <si>
    <t>Unified credential vault</t>
  </si>
  <si>
    <t>Managed Optimization (incl. nw payment tokens)</t>
  </si>
  <si>
    <t>Revenue Boost (eCom)</t>
  </si>
  <si>
    <r>
      <t xml:space="preserve">Build — invest in &amp; build Revenue Boost 2.0
</t>
    </r>
    <r>
      <rPr>
        <sz val="11"/>
        <color rgb="FFFF0000"/>
        <rFont val="Calibri"/>
        <family val="2"/>
      </rPr>
      <t>Validate — data reqs / elements to Ravelin</t>
    </r>
  </si>
  <si>
    <t>Revenue Boost 2.0 (build)</t>
  </si>
  <si>
    <t>(extend to back-book)</t>
  </si>
  <si>
    <t>Revenue Boost 2.0</t>
  </si>
  <si>
    <t>DCC (Genius)</t>
  </si>
  <si>
    <t>Emboss DCC hWP (Genius)</t>
  </si>
  <si>
    <t>Build — FX service + BIN lookup</t>
  </si>
  <si>
    <t>Emboss DCC</t>
  </si>
  <si>
    <t>Migrate — to target-state DCC</t>
  </si>
  <si>
    <t>Target-state DCC (FX + BIN lookup)</t>
  </si>
  <si>
    <t>•  Required to sell Genius in UK and Ireland
•  Not available for pilot; targeted for GA in Q2</t>
  </si>
  <si>
    <t>3DS</t>
  </si>
  <si>
    <t>3DS / WPG Flex (eCom)</t>
  </si>
  <si>
    <t>Build — put hGP 3DS behind 3DS Flex</t>
  </si>
  <si>
    <t>WPG Flex</t>
  </si>
  <si>
    <t>(unify onto 3DS Flex)</t>
  </si>
  <si>
    <t>hWP 3DS flex ser-vice (w/ Ravelin)</t>
  </si>
  <si>
    <t>Fraud</t>
  </si>
  <si>
    <t>FraudSight (eCom)</t>
  </si>
  <si>
    <t>FraudSight</t>
  </si>
  <si>
    <t>Build — converge under Payment Optimization</t>
  </si>
  <si>
    <t>FX</t>
  </si>
  <si>
    <t>Standardize comparable capability</t>
  </si>
  <si>
    <t>hWP FX</t>
  </si>
  <si>
    <t>Risk / compliance</t>
  </si>
  <si>
    <t>Viking Cloud (PCI compliance), Safer Payments (sold to SMBs)</t>
  </si>
  <si>
    <t>Continue work already underway
Align — tool to target capability &amp; cost</t>
  </si>
  <si>
    <t>Incumbent (do not stop)</t>
  </si>
  <si>
    <t>(target TBD — not decided; do not time-bound)</t>
  </si>
  <si>
    <t>Cred management</t>
  </si>
  <si>
    <t>Route to unified credential vault</t>
  </si>
  <si>
    <t>6 · Single-out</t>
  </si>
  <si>
    <t>Portals</t>
  </si>
  <si>
    <t>WP Dashboard</t>
  </si>
  <si>
    <t>Build — WP Dashboard as MFE
Build — surface MFE through MyAccount
Build — converged portal on MyAccount; Genius back office</t>
  </si>
  <si>
    <t>WP Dashboard (MFE) via MyAccount</t>
  </si>
  <si>
    <t>(continue; terminal fulfilment TBD)</t>
  </si>
  <si>
    <t>MyAccount 2.0</t>
  </si>
  <si>
    <t>Reporting</t>
  </si>
  <si>
    <t>Define — how to normalize, expose &amp; integrate internal + external reporting (large dependency)</t>
  </si>
  <si>
    <t>Definitions in progress</t>
  </si>
  <si>
    <t>(converge)</t>
  </si>
  <si>
    <t>hGP SMB / Partner reporting platform
SFG (for file delivery)</t>
  </si>
  <si>
    <t>Billing</t>
  </si>
  <si>
    <t>NAP B&amp;F 
ZSFK</t>
  </si>
  <si>
    <t>Build — add support for Genius products (integrated with auto boarding)
Build — Applying Tax across the new Products 
Build — surface statements / pricing to partners
Build — include new products into invoices/statements 
Build — GL accounting for back-office activities
Build — partner-branded statements (where applicable)
Build — Support third party gateway billing
Build — Work required for Instalments (yet to be assessed)</t>
  </si>
  <si>
    <t>NAP B&amp;F(config)</t>
  </si>
  <si>
    <t>NAP Billing</t>
  </si>
  <si>
    <t>Disputes</t>
  </si>
  <si>
    <t xml:space="preserve">WDP → iQ, WP Dashboard, WP SSO </t>
  </si>
  <si>
    <t>Build — integrate to new portal approach</t>
  </si>
  <si>
    <t>WDP (current integration)</t>
  </si>
  <si>
    <t>WDP (to be renamed)</t>
  </si>
  <si>
    <t>•  Consolidate access points (iQ, Dashboard, myWorldpay SSO) to a single merchant credential</t>
  </si>
  <si>
    <t>Payouts</t>
  </si>
  <si>
    <t>WPAP (none on hGP)</t>
  </si>
  <si>
    <t>hWP WPAP</t>
  </si>
  <si>
    <t>hWP WPAP
(target state is a P2X platform that utilises existing WPAP assets)</t>
  </si>
  <si>
    <t>• SMB requires a simplified Payout product model for autom boarding</t>
  </si>
  <si>
    <t>Funding</t>
  </si>
  <si>
    <t>explore - Funding requiremetns for JVs and strategic partners</t>
  </si>
  <si>
    <t>NAP Funding</t>
  </si>
  <si>
    <t>Funding requirements for JVs and strategic partners</t>
  </si>
  <si>
    <t>Residuals</t>
  </si>
  <si>
    <t>hWP EPPE solution</t>
  </si>
  <si>
    <t>Build - Additional contracts for partners and integration to billing for the new products to calculate rev share 
(if partner model is applicable)</t>
  </si>
  <si>
    <t>hWP EPI solution</t>
  </si>
  <si>
    <t>7 · Data</t>
  </si>
  <si>
    <t>MDM (Master Data)</t>
  </si>
  <si>
    <t>Migrate — transition + align ownership into Data org
Build — product catalog, pricing &amp; party model</t>
  </si>
  <si>
    <t>Reltio (MDM)</t>
  </si>
  <si>
    <t>•  Party model not yet built for SMB hierarchies (it exists for enterprise)
•  UK pKYC follows separate MDM flows; align with Rajesh and Himanshu</t>
  </si>
  <si>
    <t>Real-time data</t>
  </si>
  <si>
    <r>
      <t xml:space="preserve">Build — foundation from ingestion with resilience
</t>
    </r>
    <r>
      <rPr>
        <sz val="11"/>
        <color rgb="FFFF0000"/>
        <rFont val="Calibri"/>
        <family val="2"/>
      </rPr>
      <t>Follow-up — eventing in auth platform
Validate — data reqs for Revenue Boost 2.0</t>
    </r>
  </si>
  <si>
    <t>Resilient real-time ingestion</t>
  </si>
  <si>
    <t>•  Define the data-availability SLA (sub-second debated) for query and reporting
•  Source from gateway query events rather than auth-platform eventing
•  Follow up on eventing in the auth platform</t>
  </si>
  <si>
    <t>Build — semantic layers for data platform</t>
  </si>
  <si>
    <t>Semantic layer</t>
  </si>
  <si>
    <t>Others</t>
  </si>
  <si>
    <t>Payment request service to target state data repository; eventing already in place for payment requests service</t>
  </si>
  <si>
    <t>UK&amp;I Back-book Priority portfolios to exit</t>
  </si>
  <si>
    <t>UK&amp;I Back-book Trade-offs / key decisions</t>
  </si>
  <si>
    <t>Evo / e-service</t>
  </si>
  <si>
    <t>hGP SMB book that runs on the e-service platform (ACI-based, ~60% volume is CP); Key exit priority as moving to the target rails lets us exit ACI and supports the Project Carbon data-centre closure</t>
  </si>
  <si>
    <t>E-commerce integration</t>
  </si>
  <si>
    <t>These merchants are already integrated to GP API. The choice is to:
(i) bridge GP API to the target Access gateway so they keep their integration, or 
(ii) require them to reintegrate onto Access directly (recommended)
Either path depends first on publishing the new Global API standard.
Worldpay eCommerce backbook already processing on Access so move  to Global Gateway processing should be seamless</t>
  </si>
  <si>
    <t>GMAS Europe</t>
  </si>
  <si>
    <t>Migrating  merchants to the target rails reduces dependency on FIS and enables closing the TSA</t>
  </si>
  <si>
    <t>CP integration point</t>
  </si>
  <si>
    <t>When swapping terminals, the choice is to:
(i) route it through the target stack (terminal → Nucleus → host) or to 
(ii) keep a legacy direct-to-host connection
Terminal heartbeats allows for the change to be pushed remotely, without a site visit</t>
  </si>
  <si>
    <t>Greenhouse</t>
  </si>
  <si>
    <t>Migration will allow Allows all UK&amp;I SMB to converge to one stack</t>
  </si>
  <si>
    <t>Migration sequencing and BIN / ICA structure</t>
  </si>
  <si>
    <t>The choice is to 
(i) migrate small and mid-size merchants first onto a new BIN / ICA and leave large enterprises (which hold their own BINs) to a later wave, or 
(ii) to move the whole book at once</t>
  </si>
  <si>
    <t>Take Payments</t>
  </si>
  <si>
    <t>Still runs on its own CRM and dialer, which are not connected to other systems; Payment application (Take Payments Plus) is planned to switch to Genius</t>
  </si>
  <si>
    <t>Consolidated Dependencies</t>
  </si>
  <si>
    <t>CNP / Global API
Finalize API 2.0 standards across GPE API, Access, and TAPI so SMB follows the common API model rather than a separate SMB-specific design.
Resolve Global Gateway timing and whether SMB NA uses a staged WPG-backed route before the cleaner target path is ready.
Align with Boarding / CRM on iNASA sales compensation, pricing, and hierarchy prep before Direct merchants can fully board onto Heritage Worldpay rails.
Account for channel rail differences: ISO still has meaningful GSAP / GMAS volume, while Indirect is primarily Express / MMS.
CP / Payment apps
Align Payment Apps / Payment Processing on the Genius → TriPOS → Express path so omni-channel front-book merchants use consistent backend rails.
Confirm TriPOS / Express readiness before shifting Genius front-book volume.
Align Nucleus timing with payment-app modernization so legacy app investment is not extended unnecessarily.
Segment merchant populations by CP, CNP, omni, and Genius usage before sequencing partner or portfolio migrations.</t>
  </si>
  <si>
    <t>Complete iNASA sales compensation, pricing, and hierarchy prep before Direct SMB merchants can board cleanly onto Heritage Worldpay rails.
Align UCM scope, budget, and LOE across Launchpad + iNASA before retiring FICO-dependent workflows.
Confirm UBA readiness for Wholesale / partner boarding into Sierra / TMAS.
Align with Data / MDM on product catalog, pricing catalog, merchant hierarchy, and configuration inputs.
Sequence Boarding with Single-in / Payment Apps so merchants boarded through iNASA, Launchpad, or UBA land on the correct API 2.0 / Express / TriPOS target paths.</t>
  </si>
  <si>
    <t>Confirm Global Gateway timing and which shared services can be carved out of Portico / TransIT first.
Align Express interim moves with acquiring-platform readiness across MMS, Sierra, TMAS, GSAP, and GMAS.
Segment SMB NA populations by channel — Direct, Wholesale, Indirect, ISO — and current rails before sequencing gateway migrations.
Align Boarding with downstream acquiring rails so Launchpad / UBA boards merchants into the right Sierra / TMAS / Express / MMS path.
Coordinate with Single-in so API / gateway entry decisions do not create duplicate routes into Express, Portico, TransIT, or Global Gateway.</t>
  </si>
  <si>
    <t>Complete the iNASA OMS, USI, and sales-comp gap closure before Direct net-new merchant enablement can scale.
Define the iNASA servicing capability gaps by end of month: what iNASA already supports for banks / ISOs vs. what Base, Central Station, OnTrack, and MAP were expected to cover.
Decide whether servicing must connect to Sierra / TMAS during the transition, or whether merchants should migrate to Heritage Worldpay rails first.
Align with Boarding on Launchpad / UBA → Sierra / TMAS because servicing must follow the same partner / merchant transition path.
Include sales and servicing scope in the FICO → UCM budget / LOE rework, since Launchpad and iNASA modifications create downstream servicing implications.</t>
  </si>
  <si>
    <t>Tie disputes sequencing to Payment Processing migrations: merchants get the target disputes experience once their payments process on the underlying target platform.
Confirm whether DIMS → Worldpay Disputes Platform needs direct migration work, or whether it can follow naturally as processing moves to Core / Raft / new host.
Align dynamic payouts with the payouts workstream; do not treat it as solved inside SMB VAS unless ownership and timing are confirmed.
Align ACH / e-check, FX, multi-currency, and DCC with Core / acquiring work before removing those capabilities from VAP-related patterns.
Account for channel differences: Indirect largely follows Express / MMS, while ISO still has meaningful GSAP / GMAS plus Sierra / TMAS exposure, so VAS sequencing should not assume one migration pattern.</t>
  </si>
  <si>
    <t>Complete EPI / EPPE parity for Base, Central Station, and MEA residuals before decommissioning those outputs.
Resolve reverse rev-share requirements for Indirect, including funding, billing, invoicing, and data feeds into EPI.
Align with Boarding on Launchpad / UBA and Wholesale partner migration, since partner boarding and partner payments need to move together.
Align with Sales &amp; Servicing on partner portal and servicing needs across Direct, Wholesale, Indirect, and ISO.
Confirm whether CBOS / eConnections / TransLink stay as interim portal experiences, plug into a target layer, or require replacement.</t>
  </si>
  <si>
    <t>Not focus for discussion</t>
  </si>
  <si>
    <t>Proposition / Portfolio</t>
  </si>
  <si>
    <t>GPAPI (for frontbook), backbook still on Portico/TransIT</t>
  </si>
  <si>
    <t>GPAPI current versions (v1) back book and Global API for front book (v2)</t>
  </si>
  <si>
    <t>PayApps</t>
  </si>
  <si>
    <t>HGP/hWP OEM/3rd party, UPA</t>
  </si>
  <si>
    <t>Build — Close feature gaps for Nucleus to NA
Migrate — migrate UPA to Nucleus
Migrate — OEM/3rd party to Nucleus</t>
  </si>
  <si>
    <t>UPA, OEM/3rd party apps</t>
  </si>
  <si>
    <t>• FOR DISCUSSION - How to accelerate path on UPA (Timline for freeze on UPA feature build)</t>
  </si>
  <si>
    <t>MDM/TMS</t>
  </si>
  <si>
    <t>OEM, in-house</t>
  </si>
  <si>
    <t>Build — TAM deplpyment-as-a-service (DaaS) platform (Scalefusion)
Migrate — OEM/3rd party to DaaS</t>
  </si>
  <si>
    <t>OEM, in-house TMS platforms</t>
  </si>
  <si>
    <t>SDKs 
- connected to Express
- connected to GP-API</t>
  </si>
  <si>
    <t>Extensions
- connected to Express
- connected to GP-API</t>
  </si>
  <si>
    <t>Terminal management (Gecco)
Portico Admin Svc.
Datacap (for payment terminal connectivity)
hWP - Jigsaw (terminal mgmt.)</t>
  </si>
  <si>
    <t>Build — Underway for building for Genius S (leverage same work for direct )
ASSESS - Jigsaw vs. Gecco</t>
  </si>
  <si>
    <t>•  Sales commission is a key dependency
•  Current split is 66% Heartland, 33% TSYS, 1% NWS</t>
  </si>
  <si>
    <t>• Genius S (core goals) - Accelerate Core North America Growth, Improve Merchant Experience (onboarding key), Expand Selectively in Strategic Markets (UK&amp;I, Erste JV support, BOP (Mobile Only))</t>
  </si>
  <si>
    <t>• Separation project (TMAS / GMAS) to CORE, first priority GMAS then TMAS</t>
  </si>
  <si>
    <t>CP / Genius R/N</t>
  </si>
  <si>
    <t>Build - GPSDK + TriPOS support  for GP1
Per path support needs to be prioritized
UPA stability plan to be executed while reducing tail of UPA in market (plan to migrate off UPA)
BUILD - Converged path for Nucleus + TriPOS</t>
  </si>
  <si>
    <t>•  GPSDK + TriPOS path should be enabled for non-Genius customers as well to get them onto the right rails (discuss on 21st Wshop - define pattern)</t>
  </si>
  <si>
    <t xml:space="preserve">• Genius S (Execution Priorities): Launch Genius S into Worldpay FI Channel (Q3), MyAccount Genius Portal SSO, Merchant Onboarding &amp; E2E Experience, resolve bugs with GP SDK </t>
  </si>
  <si>
    <t xml:space="preserve">• GNAP to GSAP NA (ACI Consolidation project) </t>
  </si>
  <si>
    <t>GPAPI (for frontbook), backbook still on Portico, Access</t>
  </si>
  <si>
    <t>BUILD - Protocols for GG
BUILD - API 2.0 to Express
Build — Build API 2.0  (continue supporting the Access API for a defined period)
Build - Global Gateway US instance of Access (24+ months)</t>
  </si>
  <si>
    <t>API 2.0 to Express</t>
  </si>
  <si>
    <t>Thin/decom - Converge to global gateway</t>
  </si>
  <si>
    <r>
      <t xml:space="preserve">•  TAPI to converge to the new API standard; this is the driver, as TAPI to Express is needed for integrated
</t>
    </r>
    <r>
      <rPr>
        <b/>
        <sz val="11"/>
        <color rgb="FFFF0000"/>
        <rFont val="Calibri"/>
        <family val="2"/>
      </rPr>
      <t>•  Define target solution path for personas (e.g. existing ecomm cx, omnichannel customers, Genius only customers) - for workshop on 21st</t>
    </r>
  </si>
  <si>
    <t>• Genius N Value Drop 1.1 (Jan '27) - US (hGP rails: Merchantware, GSAP/Sierra, GMAS) - enables existing Genius N first-party payment front-book via Merchantware, existing Stadia &amp; Enterprise QSR (7Brew, CKE, etc)</t>
  </si>
  <si>
    <t>Prioritize TMAS migration</t>
  </si>
  <si>
    <t>DevEx</t>
  </si>
  <si>
    <t>GP Developer portal,
hWP - Docs.Worldpay</t>
  </si>
  <si>
    <t>BUILD - Consistent exp. Across heritage stacks (tied to design w/ Max B.)</t>
  </si>
  <si>
    <t>•  Follow up with Sean M. to replicate the design playbook</t>
  </si>
  <si>
    <t>Portico VT, Payplan
CNP - Major shopping card plugins, Drop in UI (front book)</t>
  </si>
  <si>
    <t>Build — conform HPP to global API standard
Build — enable hWP HPP on GPAPI
Design — Components SDK on GAPI
Align — PBL engine</t>
  </si>
  <si>
    <t xml:space="preserve">dependencies: GP API + GPSDK boarding, TAPI, SDK integration? </t>
  </si>
  <si>
    <t>Instant Boarding
WebTops
Onboard
Merchant Enrollment Advantage (MEA)
MMS
Discover Enrollment System (DES)
Genesis
Client Manager
SEAT
Flex (EVO boarding)
UBA integration</t>
  </si>
  <si>
    <t>Augment iNASA to comply with tgt state boarding
ASSESS - First movers (EVO, TSYS) and for Hearland as second wave what has to be in place</t>
  </si>
  <si>
    <r>
      <t xml:space="preserve">•  hWP sponsor bank is Citizens
</t>
    </r>
    <r>
      <rPr>
        <b/>
        <sz val="11"/>
        <color rgb="FFFF0000"/>
        <rFont val="Calibri"/>
        <family val="2"/>
      </rPr>
      <t>•  Focused session - what does add location mean for existing customers (e.g., are there 2 locations for reconciliation and single out?) + Define transitionary period of time for which that experience needs to exist</t>
    </r>
    <r>
      <rPr>
        <sz val="11"/>
        <color theme="1"/>
        <rFont val="Calibri"/>
        <family val="2"/>
        <charset val="1"/>
      </rPr>
      <t xml:space="preserve">
•  We need new commission structure (first step)
</t>
    </r>
  </si>
  <si>
    <t>• Genius R+S (h-GP US), Value Drop 1.0 (Oct '26) - (hGP rails: TransIT/Portico, Sierra/Exchange, TMAS/Passport)</t>
  </si>
  <si>
    <t>Salesforce CPQ and ATLAS
Oracle CPQ (hWP)</t>
  </si>
  <si>
    <t>Build - RCA for hPOS + Atlas in iNASA
Build - RCA for CAN in ISI (Jan '27 requirement)</t>
  </si>
  <si>
    <t>Oracle CPQ (hWP)
RCA</t>
  </si>
  <si>
    <t>Build - RCA for CAN in iNASA
Build - RCA for l-WP NA in iNASA</t>
  </si>
  <si>
    <t>• Genius N+R (h-WP US), Value Drop 2 (Timing: TBD), Device: Moby 5500 - hWP rails (Express, RAFT, Core) - requires GPSDK + TriPOS, unlocks WP backbook &amp; Frontbook sales, CRM alignment required, onboarding decision</t>
  </si>
  <si>
    <t>Horizon (self-serve)
Argo (dealer UI)
Kirby
Heartland Partner Portal
Launchpad (hWP)</t>
  </si>
  <si>
    <t>Build — Begin convergence of Kirby/Horizon to Ignition</t>
  </si>
  <si>
    <t>Horizon / Kirby
Launchpad (hWP)</t>
  </si>
  <si>
    <t>Migrate - Heartland Partner Portal to Ignition (dependency on completion of iNASA migration for hPOS)</t>
  </si>
  <si>
    <t>• Genius N+R (h-WP US), Value Drop 3 (Timing: TBD), Device: GP1 - hWP rails (Express, RAFT, Core) - requires GPSDK + TriPOS, unlocks WP backbook &amp; Frontbook sales, CRM alignment required, onboarding decision, certification</t>
  </si>
  <si>
    <t>Migrate off FICO (Atlas and hPOS are the predominant CRMs for which we need to solve to allow dealers to come in through hWP rails)</t>
  </si>
  <si>
    <t>• Genius N+R+S (hGP &amp; h-WP Canada), Value Drop 5 (Timing: TBD), Single-In target state, Device GP-1, enables GP1 Handled, GC26, &amp; Kiosk for Genius N, R, S in Canada, dependencies processing rails unknown, Pin on Glass with SCR, Offline PIN</t>
  </si>
  <si>
    <t>Portico, Sterling, SNAP, TransIT, TXP (being decommed)
CNP - Portico (predominant), GP eComm (minority)</t>
  </si>
  <si>
    <t>Supporting payments API for h2h integrations through supercheckout
ASSESS - feature assessments for net new dealers (e.g. P2P)
BUILD Global Gateway-&gt;Raft/Core
BUILD Hooks into boarding
Complete Omnitoken support/GP Vault</t>
  </si>
  <si>
    <t>Portico / Express?</t>
  </si>
  <si>
    <t xml:space="preserve">Interim frontbook to Express; target decom migration and thinning to Global Gateway </t>
  </si>
  <si>
    <t>Global Gateway</t>
  </si>
  <si>
    <t>•  Follow up with Matt L. to confirm the definition of direct
•  Confirm how many merchants are on SNAP Sterling
•  To be deployed in public cloud in the US
•  Accelerate work to create more seamless migration pathways
•  Work toward the standards as they are published, and continue in parallel
•  Portico, transit next state activities TBD</t>
  </si>
  <si>
    <t>• CRM Go-Forward needed for sales acceleration, pipeline</t>
  </si>
  <si>
    <t xml:space="preserve">• Seamelss onboarding </t>
  </si>
  <si>
    <t xml:space="preserve">Remapping legacy protocols ensuring they don’t hang directly to host and come through GG
</t>
  </si>
  <si>
    <t>• Portal to elevate customer experiences</t>
  </si>
  <si>
    <t xml:space="preserve">Exchange, Exchange light, NWS </t>
  </si>
  <si>
    <t>Build — complete CORE capability gaps required for TMAS migration 
Build - Transaction-level scheme fee calculations (supporting Surcharge model)</t>
  </si>
  <si>
    <t>CORE / RAFT</t>
  </si>
  <si>
    <t>•  Confirm the residual merchants on GSAP and GMAS for SMB in the US and on NGTrans</t>
  </si>
  <si>
    <t>Settlement</t>
  </si>
  <si>
    <t>Passport, TMAS</t>
  </si>
  <si>
    <t>Ability to support payouts for sales commission
ASSESS - feature parity on hWP platform</t>
  </si>
  <si>
    <t>•  Confirm how many merchants are on TMAS
•  Different BIN sponsors across hWP (Citizens, Fifth Third) and hGP (Wells Fargo, Deutsche, PNC, and others); account for new sales coming through for existing customers
•  Passport has a same-day batch close that must be preserved</t>
  </si>
  <si>
    <t>Deliver VAS solutions</t>
  </si>
  <si>
    <t xml:space="preserve">Atlas (hGP), OMS, SF USI, SF hPOS
</t>
  </si>
  <si>
    <t>BUILD - hPOS CRM (for back-book)  to enable frontbook direct US in iNASA
BUILD - Begin iNASA gap closure / convergence to support OMS, USI use cases
BUILD - Integration from iNASA to new UBA or new boarding TAM for hPOS</t>
  </si>
  <si>
    <t>iNASA
ISI</t>
  </si>
  <si>
    <t xml:space="preserve">BUILD - l-GP CAN for iNASA 
BUILD - l-WP boarding integration to new boarding TAM </t>
  </si>
  <si>
    <t>•  Follow up on how vertical markets are boarded, for example school solutions</t>
  </si>
  <si>
    <t>• VAS Terminal (Fee-Assist) - Swipe Simple</t>
  </si>
  <si>
    <t>Servicing site, SF USI,
hWP Pulse</t>
  </si>
  <si>
    <t>ASSESS - iNASA to identify gaps  - retention, servicing tools, telephony
Move to Genesys</t>
  </si>
  <si>
    <t>• VAS Lending - E2E MCA Digital Experience (Pilot, followed by GA)</t>
  </si>
  <si>
    <t>RTR (hGP), PRIME/Dynamic Routing (hWP)</t>
  </si>
  <si>
    <t xml:space="preserve">EXPLORE - RTR Microservice interoperability with PRIME/Dynamic Routing ML Models for routing
BUILD - Acquiring-agnostic Routing Microservice with ML model for routing decisioning </t>
  </si>
  <si>
    <t xml:space="preserve">• VAS Como Integrated experience </t>
  </si>
  <si>
    <t xml:space="preserve">Build / Enable Engage UI for Valutec 
Build RAFT / CORE Integration for Engage leveraging existing Valutec integration
</t>
  </si>
  <si>
    <t>Migrate - Premier to Engage</t>
  </si>
  <si>
    <t>Engage, Valutec</t>
  </si>
  <si>
    <t>• Deliver FraudSight via Portico, TransIT</t>
  </si>
  <si>
    <t>(none in hWP stack)</t>
  </si>
  <si>
    <t>Build — integrate COMO</t>
  </si>
  <si>
    <t>• GP Developer Portal Tools: RevenueBoost, FraudSight, BigCommerce</t>
  </si>
  <si>
    <r>
      <t xml:space="preserve">•  Support token migration as part of migration planning
</t>
    </r>
    <r>
      <rPr>
        <b/>
        <sz val="11"/>
        <color rgb="FFFF0000"/>
        <rFont val="Calibri"/>
        <family val="2"/>
      </rPr>
      <t>First mover decision</t>
    </r>
  </si>
  <si>
    <t xml:space="preserve">• VAS Lending &amp; Genius S Integration </t>
  </si>
  <si>
    <t>Revenue Boost</t>
  </si>
  <si>
    <t>Build — Revenue Boost 2.0; standardize to single-in standards</t>
  </si>
  <si>
    <t xml:space="preserve">• GP Enable Receipt reprint capability in Semi-Integrated &amp; Hooks for Gift &amp; Loyalty </t>
  </si>
  <si>
    <t>DCC</t>
  </si>
  <si>
    <t>ASSESS - DCC integration to Genius</t>
  </si>
  <si>
    <t xml:space="preserve">3DS Flex Service (Cardinal &amp; Ravelin MPI) </t>
  </si>
  <si>
    <t>BUILD (Integrate) hGP MPI to hWP 3DS Flex Microservice</t>
  </si>
  <si>
    <t>FraudSight (via Portico, TransIT)</t>
  </si>
  <si>
    <t>Build — deliver FraudSight via Portico, TransIT
BUILD (Integrate) - hGP Gateways to hWP FraudSwitch Microservice (Portico, Edge, TransIT, MWare)</t>
  </si>
  <si>
    <t xml:space="preserve">FraudSwitch Microservice </t>
  </si>
  <si>
    <t>VAP using Scheme settlement rates</t>
  </si>
  <si>
    <t>TBD requirements for multi-currency pricing/settlement on Core to support VAP thinning</t>
  </si>
  <si>
    <t>Credential API (Revenue Boost, Jaywan, EFTPOS, aaS [Meta])</t>
  </si>
  <si>
    <t xml:space="preserve">BUILD (Integrate) - hGP Token Provisioning services to Credential API (NTRS, TaaS) 
EXPLORE - hGP &amp; hWP Token Vault consolidation (Unified Credential Vault) </t>
  </si>
  <si>
    <t xml:space="preserve">Credential API </t>
  </si>
  <si>
    <t>Access tokens</t>
  </si>
  <si>
    <t>MyAccount</t>
  </si>
  <si>
    <t>Build — MyAccount Genius Portal SSO
Build — unified identity (GSI + Azure B2C)
BUILD - Genius BO iQ integration</t>
  </si>
  <si>
    <t>•  Follow up on communications</t>
  </si>
  <si>
    <t>Infocentral</t>
  </si>
  <si>
    <t>ASSESS - New merchant servicing support impeding reconsiliation (making txn fee available via iQ - currently only avlb for interchange)
Converge  infocentral and iQ as reporting focused capability
ASSESS - internal and external reporting need convergence</t>
  </si>
  <si>
    <t>SMB2.0</t>
  </si>
  <si>
    <t>Core</t>
  </si>
  <si>
    <t xml:space="preserve">Build (On Core billing)
- Support hGP products in pricing and billing
- Transaction level fee calcs for all daily fees  
- Daily Net Settlement (support surcharging)
- Statement /Invoice changes
Design and Build - NAP B&amp;F: Kick off PoC for NA Billing 
</t>
  </si>
  <si>
    <t xml:space="preserve">CORE+, NAP B&amp;F </t>
  </si>
  <si>
    <t>DiMS, WDP</t>
  </si>
  <si>
    <t>Build — enhance WDP capabilities; complete in-flight DiMS initiatives</t>
  </si>
  <si>
    <t>•  Bulk upload of disputes data, similar to the approach used for the hWP disputes to WDP move</t>
  </si>
  <si>
    <t>BUILD - support payouts/wallets for sales comms</t>
  </si>
  <si>
    <t>ASSESS - New merchant servicing support impeding reconsiliation</t>
  </si>
  <si>
    <t>SDKs 
- connected to TransIT
- connected to GP-API</t>
  </si>
  <si>
    <t>Extensions
- connected to TransIT
- connected to GP-API</t>
  </si>
  <si>
    <t xml:space="preserve">Build — Underway for building for Genius S </t>
  </si>
  <si>
    <t>TransIT</t>
  </si>
  <si>
    <t>BUILD - Protocols for GG
BUILD - API 2.0 to Express</t>
  </si>
  <si>
    <t>Decomm - Converge to global gateway</t>
  </si>
  <si>
    <t>OnTrak
Express/MMS
MEA
MAP
Launchpad Orchestration (hWP)</t>
  </si>
  <si>
    <t>Boarding gateway
Workstream Manager
Kafka 
MuleSoft</t>
  </si>
  <si>
    <t>MAP orchestrates for Central Station
OnTrak orchestrates for ELAPP/ Base</t>
  </si>
  <si>
    <t>ELAPP
Base
Central Station 
MEA
Oracle CPQ (hWP)</t>
  </si>
  <si>
    <t>(Continue Oracle CPQ for Launchpad hWP)</t>
  </si>
  <si>
    <t>Oracle CPQ (hWP)</t>
  </si>
  <si>
    <t>Build - RCA for l-WP partners 
Build - RCA for l-GP partners</t>
  </si>
  <si>
    <t>Pricing tool built into ELAPP, Base, Central Station, MEA</t>
  </si>
  <si>
    <t>ELAPP
Base
MAP (flat file only)
Central Station
MEA
MerchantFlo
Launchpad (hWP)</t>
  </si>
  <si>
    <t>Migrate - Migration underway from ELAPP to Base
Build - Genius for ISO Launchpad (hWP)
Build - Feature parity into Launchpad for Base, MAP, Central Station, MEA,  MerchantFlo</t>
  </si>
  <si>
    <t>Base
MAP (flat file only)
Central Station
MEA
MerchantFlo
Launchpad (hWP)</t>
  </si>
  <si>
    <t xml:space="preserve">Build - Launchpad + Horizon harmonization (Ignition)
Build - Ignition to consume RCA 
Build - Igniton consume Boarding Gateway/TAM boarding orchestration 
Migrate - Base, MAP, Central Station, MEA,  MerchantFlo
</t>
  </si>
  <si>
    <t>Does not replace OnTrak (servicing)
Assumes Boarding Gateway connects to Sierra/TMAS - or - Sierra/TMAS demised
-  How long does it take for a new integration on Launchpad (e.g., to Sierra/TMAS) and how does that compare to effort needed to close feature gap to target</t>
  </si>
  <si>
    <t>UCM
MAP
Central Station
FICO (hWP)</t>
  </si>
  <si>
    <t xml:space="preserve">BUILD - FICO to UCM integration for Genius </t>
  </si>
  <si>
    <t>UCM (all net new)</t>
  </si>
  <si>
    <t>Build - Launchpad to integrate to UCM</t>
  </si>
  <si>
    <t>Put MAP and Central Station on Launchpad first, then connect to UCM there (not earlier)</t>
  </si>
  <si>
    <t>TBD - how to move transit overtime (similar q to direct)</t>
  </si>
  <si>
    <t>Sierra/TMAS</t>
  </si>
  <si>
    <t>Build — complete CORE / RAFT capability gaps for L-TSYS migration</t>
  </si>
  <si>
    <t>OnTrak
MAP
Central Station
iNASA (hWP)</t>
  </si>
  <si>
    <t>Build — CRM go-forward  for partner managment for partners
Build — integrate Genius into iNASA</t>
  </si>
  <si>
    <t>iNASA 
+ some of those to the left, need to determin plan</t>
  </si>
  <si>
    <t>Cont. Build — CRM go-forward for Merchant source of truth + Partnership managment</t>
  </si>
  <si>
    <t>Is the plan to move all of these over to Salesforce?</t>
  </si>
  <si>
    <t>ASSESS - Central station, OnTrack, MAP svc to converge with tgt state svc</t>
  </si>
  <si>
    <r>
      <t xml:space="preserve">Is the plan to move all of these over to Salesforce?
 - Base can cover svc by Mid '27 (but this work is currently paused)
</t>
    </r>
    <r>
      <rPr>
        <b/>
        <sz val="11"/>
        <color rgb="FFFF0000"/>
        <rFont val="Calibri"/>
        <family val="2"/>
      </rPr>
      <t>- Should we continue getting svc to BASE vs. building directly to tgt state svc. - Need persp. By July end
(exam question - what are the things you need to move over to iNASA)</t>
    </r>
  </si>
  <si>
    <t xml:space="preserve">See Credential Management </t>
  </si>
  <si>
    <t>Revenue Boost Microservice (WPG, RAFT, VAP, NAP, Access)</t>
  </si>
  <si>
    <t>EXPLORE - Design and arch. for RB 2.0
Build — Revenue Boost 2.0; standardize to single-in standards</t>
  </si>
  <si>
    <t>Revenue Boost Microservice</t>
  </si>
  <si>
    <t>FraudSwitch Microservice (WPG, RAFT, VAP, Express, Access)</t>
  </si>
  <si>
    <t>BUILD (Integrate) - hGP Gateways to hWP FraudSwitch Microservice (Portico, Edge, TransIT, MWare)</t>
  </si>
  <si>
    <t>Translink
Central Station Web Portal
myAccount (for MAP)
iQ (hWP)</t>
  </si>
  <si>
    <t>Build — MyAccount Genius Portal SSO
Build — unified identity (GSI + Azure B2C)</t>
  </si>
  <si>
    <t>TMAS</t>
  </si>
  <si>
    <t>CORE+</t>
  </si>
  <si>
    <t>DiMS, WDP, Merlin</t>
  </si>
  <si>
    <r>
      <t xml:space="preserve">Build — enhance WDP capabilities; complete in-flight DiMS initiatives (including Merlin migration to DiMs)
</t>
    </r>
    <r>
      <rPr>
        <b/>
        <sz val="11"/>
        <color rgb="FFFF0000"/>
        <rFont val="Calibri"/>
        <family val="2"/>
      </rPr>
      <t>ASSESS  - Can dev be stopped on non starget platform based on move to new rails (reduce throwaway work)</t>
    </r>
    <r>
      <rPr>
        <sz val="11"/>
        <color theme="1"/>
        <rFont val="Calibri"/>
        <family val="2"/>
      </rPr>
      <t xml:space="preserve">
</t>
    </r>
    <r>
      <rPr>
        <b/>
        <sz val="11"/>
        <color rgb="FFFF0000"/>
        <rFont val="Calibri"/>
        <family val="2"/>
      </rPr>
      <t>ASSESS - plan for CB Help</t>
    </r>
  </si>
  <si>
    <t>Global Disputes Platform (based on WDP)</t>
  </si>
  <si>
    <t>- CB Help vs GDS feature gaps - GDS can never process non-acquired traffic
- Ravelin and CB Help have overlapping features (open question)</t>
  </si>
  <si>
    <t>BUILD - support payouts/wallets</t>
  </si>
  <si>
    <t xml:space="preserve">BUILD - support payouts/wallets </t>
  </si>
  <si>
    <t>Base
Central Station residuals
MEA residuals (?)
EPPE (hWP)</t>
  </si>
  <si>
    <t>BUILD - Close gaps on EPPE vs. BASE, MEA, Central Station (review and align rev share reqs)</t>
  </si>
  <si>
    <t>Has analysis of Base Residuals vs hWP residuals solution been done?   - Raji has workshops scheduled
Exam question - whats the path to get from express to base to EPPE / iNASA / Launchpad</t>
  </si>
  <si>
    <t>First Movers (cross portfolio)</t>
  </si>
  <si>
    <t>What are we doing, whats the sequence, detailed (now migrations + new builds)</t>
  </si>
  <si>
    <t>Express (uses MMS)</t>
  </si>
  <si>
    <t>What is the long term plan for Express?  We should also look at consolidating MMS into Express.</t>
  </si>
  <si>
    <t>Portfolio Pricing Manager
 (PPM)
Jarvis</t>
  </si>
  <si>
    <t xml:space="preserve">Build - RCA for Indirect partners </t>
  </si>
  <si>
    <t>Express
MMS
Jarvis
Launchpad (hWP)</t>
  </si>
  <si>
    <t>Build - Genius for ISO Launchpad (hWP)
Build - Feature parity into Launchpad for Express, MMS</t>
  </si>
  <si>
    <t>Build - Launchpad + Horizon = Ignition harmonization
Build - Igniton consume Boarding Gateway/TAM boarding orchestration 
Migrate - Express, MMS</t>
  </si>
  <si>
    <t>Express and MMS are listed separately due to 2 Uis</t>
  </si>
  <si>
    <t>UCM can be licensed to partner
Jarvis</t>
  </si>
  <si>
    <t>NA (partners own their own UW)</t>
  </si>
  <si>
    <t>Whats the plan for 2+ year horizons</t>
  </si>
  <si>
    <t>L-TSYS</t>
  </si>
  <si>
    <r>
      <t xml:space="preserve">Decide on merchant migration
</t>
    </r>
    <r>
      <rPr>
        <b/>
        <sz val="11"/>
        <color theme="1"/>
        <rFont val="Calibri"/>
        <family val="2"/>
      </rPr>
      <t>First mover activity - removing d2h integrations</t>
    </r>
  </si>
  <si>
    <t>CBOS (Comprehensive Back Office Solution)
Jarvis</t>
  </si>
  <si>
    <t>Tenative if this will be year 1 for l-GP Partners, based on other sequencing</t>
  </si>
  <si>
    <t>CBOS Risk 3.0 can be licensed to partner
Jarvis</t>
  </si>
  <si>
    <t>CBOS (Comprehensive Back Office Solution)
eConnections
TransLink
Jarvis</t>
  </si>
  <si>
    <t>CBOS, eConnections</t>
  </si>
  <si>
    <t>PPM/Relationship Profitability can be licensed to partner</t>
  </si>
  <si>
    <t>Data from boarding systems already in hGP datalake</t>
  </si>
  <si>
    <t>Merchantware, GSAP / Sierra, GMAS (hGP)</t>
  </si>
  <si>
    <t>Build — Genius N first-party front-book via Merchantware (Value Drop 1.1, Jan '27)</t>
  </si>
  <si>
    <t>UCM/FICO</t>
  </si>
  <si>
    <t>Migrate - FICO data to UCM
Decom - FICO</t>
  </si>
  <si>
    <t>FICO/UCM</t>
  </si>
  <si>
    <t>Dependent on budget approval to move forward.  We have submitted a budget of $2.6M for 2.5 years work to complete gap build out, data migration &amp; decom of FICO</t>
  </si>
  <si>
    <t>Merchantware, TransIT</t>
  </si>
  <si>
    <t>Build — develop Global Gateway for North America</t>
  </si>
  <si>
    <t>Express</t>
  </si>
  <si>
    <t>Decomm to Global Gateway</t>
  </si>
  <si>
    <t>GMAS, GSAP / Sierra, Merchantware</t>
  </si>
  <si>
    <t>Build — complete CORE capability gaps for GMAS migration
Build — GNAP → GSAP NA enablement (ACI consolidation)</t>
  </si>
  <si>
    <t>iNASA, ISI</t>
  </si>
  <si>
    <t>MAP, Central Station (hGP)</t>
  </si>
  <si>
    <t>MyAccount + hWP</t>
  </si>
  <si>
    <t>Fee Assist</t>
  </si>
  <si>
    <t>CNP / Global API
Finalize API 2.0 standards for GPAPI and align them with the GPECom → Global Gateway convergence path.
Confirm GPECom feature parity by market before moving off MPGS / CyberSource, especially for local APMs, installments, recurring payments, and localized checkout needs.
Secure NAP acquiring licenses / market coverage for AP priority markets, starting with Hong Kong, then Philippines, Macau, and Malaysia.
Align with onboarding so AP can move from manual onboarding to automated flows before scaling CNP migration.
Confirm where GPECom uses underlying third-party services today and which services need to become reusable microservices behind the API.
CP / Payment apps
Complete Genius S localization for AP markets, including BOIPA / Philippines and Hong Kong / Macau.
Confirm Nucleus + TMS readiness before moving merchants off local payment-app and device-management stacks.
Integrate MBS with TMS for payment-app and remote terminal management.
Align CP migration with iNASA / boarding amendments, pricing configuration, and merchant hierarchy setup.
Preserve country-specific requirements — e.g., JV rules in the Philippines, fiscalization in Greece / CEE, and local routing rules in Europe — before scaling the Nucleus path.</t>
  </si>
  <si>
    <t>Complete Salesforce International → MBS / OmniTracker integration for AP self-serve, with Salesforce as the experience layer and MBS as the activation / orchestration layer.
Resolve AP product, product-pricing, and merchant-hierarchy design before scaling onboarding or NAP migration.
Extend Salesforce beyond lead management for Greece / Poland, including full sales pipeline, product, and pricing data needed for end-to-end onboarding.</t>
  </si>
  <si>
    <t>Secure NAP acquiring licenses / market coverage before moving AP markets at scale, starting with Hong Kong, then Philippines, Macau, and Malaysia.
Resolve IPP on NAP, especially for Hong Kong where IPP represents roughly 30%+ of revenue and cannot be assumed in the Heritage Worldpay stack.
Align with CyberSource / Visa globally, including the Rob Ward / UK CyberSource-to-target-rails pattern, so AP does not solve CyberSource exit in isolation.
Decide DCC target path: AP currently uses Planet; moving DCC into the EU solution may require backward compatibility to Planet if support needs to continue longer.
Account for Europe routing / bilat rules and on-us JV routing, especially in Poland / Europe, so target processing preserves cost-effective routing advantages.</t>
  </si>
  <si>
    <t>Confirm the RoW Salesforce operating model across Poland, Greece, AP, and other markets before migrating market CRMs.
Align CRM changes with Boarding, since Salesforce International → MBS / OmniTracker is the key path for AP self-serve and sales-assisted onboarding.
Ensure product and pricing data are available in Salesforce for Greece / Poland before end-to-end sales and onboarding can work.
Define the servicing target before moving off CBD / ECBD / Hermes / Arc Mercury, including telephony and notifications.
Align with portal / Single-out on where merchants go for reporting, disputes, reconciliation, and merchant portal / MyAccount during and after migration.</t>
  </si>
  <si>
    <t>Confirm Genius S / Nucleus / GPECom readiness before expanding AP VAS; VAS sequencing depends on the payment app and gateway foundations.
Resolve Planet global agreement and backward-compatibility scope before moving DCC onto the go-forward stack.
Align AP installment / IPP design with NAP, especially for Hong Kong, where IPP is a major revenue dependency.
Confirm ownership and timing for APM / Blik-style services behind GPECom / GPADS, since APM capabilities may be one of the quickest reusable VAS wins.
Coordinate Poland VAS work with the broader commerce solution strategy — fiscal app, POS app, terminal app, and service pipe — so VAS does not become a standalone add-on.</t>
  </si>
  <si>
    <t>Backend migration to NAP gates full reporting convergence; portal closure should follow backend movement, not precede it.
Worldpay Dashboard → My Account Plus / unified shell in UK&amp;I should mature before scaling the same pattern across the rest of Europe.
AP Genius S commercialization must define where merchants go for reconciliation, reporting, and disputes after launch.
Greece / CEE portal migration depends on mapping eService portal, GPECom / RealControl, Marketplace, and My Account access by merchant type.
Billing and reporting design must align with backend platform moves so RoW does not create a temporary reporting layer that gets replaced again.</t>
  </si>
  <si>
    <t>Pending to discuss Commerce GP Germany (Ami Mehta), CSOP JV in Czech Republic, Hungary (Vaclav Kerka) and Spain - Comercia (Luis Palomero)</t>
  </si>
  <si>
    <r>
      <rPr>
        <b/>
        <sz val="11"/>
        <color theme="1"/>
        <rFont val="Calibri"/>
        <family val="2"/>
      </rPr>
      <t>GPAPI</t>
    </r>
    <r>
      <rPr>
        <sz val="11"/>
        <color theme="1"/>
        <rFont val="Calibri"/>
        <family val="2"/>
        <charset val="1"/>
      </rPr>
      <t>, CYbs, MPGS, GPWebPay, EDPS</t>
    </r>
  </si>
  <si>
    <t>Build — publish global API standards; adhere gateways
Build — Build OAuth Authentication for Global API
Build — version APIs to v2.0 + publish (continue v1)
Build — connect SDKs to new API std → update plugins</t>
  </si>
  <si>
    <t>Global API (GPAPI Codebase) - GPeCom</t>
  </si>
  <si>
    <t>Migrate — merchants onto v2
Decomm "GPAPI" — v1 (later)</t>
  </si>
  <si>
    <t>Project Frank  - Bring Croatia to GP stack</t>
  </si>
  <si>
    <t>Nucleus
Ingenico GPE
Printec SK for Verifone
P2C ERSTE JV
e-service PayApp (Poland)
app pos Novelpay PL
EDPS - Greece
Mellon - Greece
Comercia PayApp
PAX AP
Verifone AP
Spectra AP
Castless AP
Quest Oceania
PayTen &amp; Printec Croatia
7Pay (SoftPOS) Croatia
Rubean for CEMA &amp; Malta
CCV Germany
Genius S mobile (softPOS) in Phillipines - 10/31 (not live yet) -&gt; Fast follow with other countries
GP PAY (3rd party in ERSTE)</t>
  </si>
  <si>
    <r>
      <rPr>
        <b/>
        <sz val="11"/>
        <color rgb="FF000000"/>
        <rFont val="Calibri"/>
        <family val="2"/>
      </rPr>
      <t>Build</t>
    </r>
    <r>
      <rPr>
        <sz val="11"/>
        <color rgb="FF000000"/>
        <rFont val="Calibri"/>
        <family val="2"/>
      </rPr>
      <t xml:space="preserve"> - finish Nucleus/PayApp 2.0 development to cover remaining gaps to replace P2C for PAX and Printec Verifone for ERSTE JV and Ingenico for transport
</t>
    </r>
    <r>
      <rPr>
        <b/>
        <sz val="11"/>
        <color rgb="FF000000"/>
        <rFont val="Calibri"/>
        <family val="2"/>
      </rPr>
      <t xml:space="preserve"> -&gt;</t>
    </r>
    <r>
      <rPr>
        <sz val="11"/>
        <color rgb="FF000000"/>
        <rFont val="Calibri"/>
        <family val="2"/>
      </rPr>
      <t xml:space="preserve"> Build - Payment app (Nucleus + TMS) for Genius S underway in AP
</t>
    </r>
    <r>
      <rPr>
        <b/>
        <sz val="11"/>
        <color rgb="FF000000"/>
        <rFont val="Calibri"/>
        <family val="2"/>
      </rPr>
      <t xml:space="preserve">Build </t>
    </r>
    <r>
      <rPr>
        <sz val="11"/>
        <color rgb="FF000000"/>
        <rFont val="Calibri"/>
        <family val="2"/>
      </rPr>
      <t xml:space="preserve">- Nucleus/PayApp 2.0 development to replace e-service PayApp for Genius S launch in PL and for e-service replacement for standalone and semi-integrated
</t>
    </r>
    <r>
      <rPr>
        <b/>
        <sz val="11"/>
        <color rgb="FF000000"/>
        <rFont val="Calibri"/>
        <family val="2"/>
      </rPr>
      <t>Build</t>
    </r>
    <r>
      <rPr>
        <sz val="11"/>
        <color rgb="FF000000"/>
        <rFont val="Calibri"/>
        <family val="2"/>
      </rPr>
      <t xml:space="preserve"> - Nucleus/PayApp 2.0 for Hong-Kong and Macau to be launched in Q1/27
</t>
    </r>
    <r>
      <rPr>
        <b/>
        <sz val="11"/>
        <color rgb="FF000000"/>
        <rFont val="Calibri"/>
        <family val="2"/>
      </rPr>
      <t>Build</t>
    </r>
    <r>
      <rPr>
        <sz val="11"/>
        <color rgb="FF000000"/>
        <rFont val="Calibri"/>
        <family val="2"/>
      </rPr>
      <t xml:space="preserve"> - Nucleus/PayApp 2.0 for replacement of EDPS PayApp
</t>
    </r>
    <r>
      <rPr>
        <b/>
        <sz val="11"/>
        <color rgb="FF000000"/>
        <rFont val="Calibri"/>
        <family val="2"/>
      </rPr>
      <t>Build</t>
    </r>
    <r>
      <rPr>
        <sz val="11"/>
        <color rgb="FF000000"/>
        <rFont val="Calibri"/>
        <family val="2"/>
      </rPr>
      <t xml:space="preserve"> - Nucleus/PayApp 2.0 for Croatia to replace PayTen &amp; Printec solution
</t>
    </r>
    <r>
      <rPr>
        <b/>
        <sz val="11"/>
        <color rgb="FF000000"/>
        <rFont val="Calibri"/>
        <family val="2"/>
      </rPr>
      <t>Build</t>
    </r>
    <r>
      <rPr>
        <sz val="11"/>
        <color rgb="FF000000"/>
        <rFont val="Calibri"/>
        <family val="2"/>
      </rPr>
      <t xml:space="preserve"> - GP mobile/Yazara to replace 7Pay in Croatia
</t>
    </r>
    <r>
      <rPr>
        <b/>
        <sz val="11"/>
        <color rgb="FF000000"/>
        <rFont val="Calibri"/>
        <family val="2"/>
      </rPr>
      <t>Migrate</t>
    </r>
    <r>
      <rPr>
        <sz val="11"/>
        <color rgb="FF000000"/>
        <rFont val="Calibri"/>
        <family val="2"/>
      </rPr>
      <t xml:space="preserve"> - Nucleus shim for triPOS (AP)
</t>
    </r>
    <r>
      <rPr>
        <b/>
        <sz val="11"/>
        <color rgb="FF000000"/>
        <rFont val="Calibri"/>
        <family val="2"/>
      </rPr>
      <t>Migrate</t>
    </r>
    <r>
      <rPr>
        <sz val="11"/>
        <color rgb="FF000000"/>
        <rFont val="Calibri"/>
        <family val="2"/>
      </rPr>
      <t xml:space="preserve"> - Look at convergence between eService and Nucleus, including TMS consolidation (Poland)
Migrate - Convergence between GP PAY and Nucleus (ERSTE). 3 markets with gaps (SK, AT, RO)
</t>
    </r>
  </si>
  <si>
    <r>
      <rPr>
        <b/>
        <sz val="11"/>
        <color rgb="FF000000"/>
        <rFont val="Calibri"/>
      </rPr>
      <t>Build/Migrate</t>
    </r>
    <r>
      <rPr>
        <sz val="11"/>
        <color rgb="FF000000"/>
        <rFont val="Calibri"/>
      </rPr>
      <t xml:space="preserve"> - Nucleus/PayApp 2.0 development to replace e-service PayApp for Genius S launch in PL and for e-service replacement for standalone and semi-integrated
</t>
    </r>
    <r>
      <rPr>
        <b/>
        <sz val="11"/>
        <color rgb="FF000000"/>
        <rFont val="Calibri"/>
      </rPr>
      <t>Build</t>
    </r>
    <r>
      <rPr>
        <sz val="11"/>
        <color rgb="FF000000"/>
        <rFont val="Calibri"/>
      </rPr>
      <t xml:space="preserve"> - Nucleus/PayApp 2.0 for all countries
</t>
    </r>
    <r>
      <rPr>
        <b/>
        <sz val="11"/>
        <color rgb="FF000000"/>
        <rFont val="Calibri"/>
      </rPr>
      <t>Build/Migrate</t>
    </r>
    <r>
      <rPr>
        <sz val="11"/>
        <color rgb="FF000000"/>
        <rFont val="Calibri"/>
      </rPr>
      <t xml:space="preserve"> - Nucleus/PayApp 2.0 for replacement of EDPS PayApp
</t>
    </r>
    <r>
      <rPr>
        <b/>
        <sz val="11"/>
        <color rgb="FF000000"/>
        <rFont val="Calibri"/>
      </rPr>
      <t>Migrate/Decomm</t>
    </r>
    <r>
      <rPr>
        <sz val="11"/>
        <color rgb="FF000000"/>
        <rFont val="Calibri"/>
      </rPr>
      <t xml:space="preserve"> - Nucleus/PayApp 2.0 for Croatia to replace PayTen &amp; Printec solution
</t>
    </r>
    <r>
      <rPr>
        <b/>
        <sz val="11"/>
        <color rgb="FF000000"/>
        <rFont val="Calibri"/>
      </rPr>
      <t>MIgrate/Decomm</t>
    </r>
    <r>
      <rPr>
        <sz val="11"/>
        <color rgb="FF000000"/>
        <rFont val="Calibri"/>
      </rPr>
      <t xml:space="preserve"> - GP mobile/Yazara to replace 7Pay in Croatia</t>
    </r>
  </si>
  <si>
    <t>Use Nucleus as one and only payment APP - ERSTE JV</t>
  </si>
  <si>
    <t>Build - Net new experience (nGP) for front book
Migrate - Content from hWP to nGP to support New and Interim
Migrate - Customer SSO from hWP (FIS) to GP Azure B2C</t>
  </si>
  <si>
    <t xml:space="preserve">[Build]  conform HPP to global API standard
[Build]  feature parity on HPP Premium Express to Decomm Legacy HPP and migrate back book
[Build]  Components SDK session support on Express
[Build / Migrate /Decomm] Merge TUI / OEHP functionality and migrate TUI merchants
[Align] PBL engine </t>
  </si>
  <si>
    <r>
      <rPr>
        <sz val="11"/>
        <color rgb="FFFF0000"/>
        <rFont val="Calibri"/>
        <family val="2"/>
      </rPr>
      <t xml:space="preserve">Follow up - </t>
    </r>
    <r>
      <rPr>
        <sz val="11"/>
        <color theme="1"/>
        <rFont val="Calibri"/>
        <family val="2"/>
        <charset val="1"/>
      </rPr>
      <t>Assess with Rob on Cybersource relation interdependency with hosted experience</t>
    </r>
  </si>
  <si>
    <t>Migrate - Assess if updating vs. swaping terminals</t>
  </si>
  <si>
    <t>Swap existint terminals over time for back-book. Understand pathway of direct integrations (e.g., 3rd party gateways, GSAP). Ensure all integrate with global gateaway  switch</t>
  </si>
  <si>
    <t>Genius is the pre-requisite to build VAS on the use case bases</t>
  </si>
  <si>
    <t>• Genius S (core goals) - Accelerate Core North America Growth, Improve Merchant Experience (onboarding key), Expand Selectively in Strategic Markets (UK&amp;I, Erste JV support, BOP (Mobile Only))
- Genius Mobile (Greece) - September/October will migrate to Genius Mobile. Pending to decide how we will fiscalize in Greece.</t>
  </si>
  <si>
    <t>• Genius S (Execution Priorities): Launch Genius S into Worldpay FI Channel (Q3), MyAccount Genius Portal SSO, Merchant Onboarding &amp; E2E Experience, resolve bugs with GP SDK  -&gt; Serve HKG and Phillipines</t>
  </si>
  <si>
    <t>GPAPI, CYbs, MPGS, GPWebPay (ERSTE), EDPS</t>
  </si>
  <si>
    <t>Continue launch in Asia, Croatia, Germany
Build boarding support for Access/WPG/Redsys Spain while awaiting GG support
TBC on GPAPI launch in Spain for smaller SMBs as well
Build - GPWebPAY features to pair GPeCom. Cost challenge for invoicing/billing out features (GPWebPay is cheaper)</t>
  </si>
  <si>
    <r>
      <t xml:space="preserve">GPAPI as is will be supported for some time, so launching with it in next 6-9 months is ok
Most of volume is CP, 80% volume is in person in ERSTE
</t>
    </r>
    <r>
      <rPr>
        <b/>
        <sz val="11"/>
        <color rgb="FFFF0000"/>
        <rFont val="Calibri"/>
        <family val="2"/>
      </rPr>
      <t>Follow-up: Richard J, Mark H, Rob W on ACI consolidation plan</t>
    </r>
    <r>
      <rPr>
        <sz val="11"/>
        <color theme="1"/>
        <rFont val="Calibri"/>
        <family val="2"/>
        <charset val="1"/>
      </rPr>
      <t>. How do we solve APM piece and Ecom proposition together?</t>
    </r>
  </si>
  <si>
    <t>• Genius N Value Drop 1.1 (Jan '27) - US (hGP rails: Merchantware, GSAP/Sierra, GMAS) - enables existing Genius N first-party payment front-book via Merchantware, existing Stadia &amp; Enterprise QSR (7Brew, CKE, etc)
- ECOM is a priority for ERSTE / GAPS today are: Large merchants/Enterprises (move to Adyen),   
- GPeCom - MPGS (Mastercard) and GPeCom -&gt; There are gaps with mandatory APMs (Greece)</t>
  </si>
  <si>
    <t>MBS - Activation and orchestration; MOSS AP
ECBD (Greece)</t>
  </si>
  <si>
    <t>Migrate - Assess path out of MOSS AP (Review and determine the go-forward product, pricing and merchant hierarchy structure)
[Migrate] Determine boarding amendments within iNASA (pricing/merchant hierarchy configurations) to prep for migrations- AP
Build - ECBD (eService boarding process) connected to MBS and MBS connect to GPeCom to enable boarding automation (Greece). Sugar CRM into ROW Salesforce enables this</t>
  </si>
  <si>
    <t>Time to activation
Gap between ECBG and MPS (manual add them if we want to board)</t>
  </si>
  <si>
    <t xml:space="preserve">Veloce </t>
  </si>
  <si>
    <t>Build -RCA for ROW Salesforce</t>
  </si>
  <si>
    <t>[APAC - HKG; PH] Automated expereince (12-14 days -&gt; reduce to 2-3 days)
requirement: direct channel; 1 software transaction within 20 minutes (from softPOS perspective). Get micro clients onto softPOS 
requirement - for: sales channel - straight through processing that's automated (get from 14 days to 2-3 days)</t>
  </si>
  <si>
    <t>Migrate - FICO to UCM</t>
  </si>
  <si>
    <t>GPeCom, CYbs, MPGS (Greece), GPWebPay, EDPS (Greece), SuperCheckout</t>
  </si>
  <si>
    <t>GPeCom build to support GPAPI launch in AP
GPWebPay build to support Croatia
Build - MPGS feature parity with GPeCom to enable ecommerce (Greece)</t>
  </si>
  <si>
    <t>GPeCom</t>
  </si>
  <si>
    <t>Converge to Global Gateway
Migrate - Thin out EDPS and how to migrate to Nucleus. Lot of custom features, challenging for fiscalization (Greece)</t>
  </si>
  <si>
    <r>
      <t xml:space="preserve">One of biggest constraints is 3rd party gateways in APAC
Concentration risk 
</t>
    </r>
    <r>
      <rPr>
        <b/>
        <sz val="11"/>
        <color rgb="FFFF0000"/>
        <rFont val="Calibri"/>
        <family val="2"/>
      </rPr>
      <t xml:space="preserve">Follow-up </t>
    </r>
    <r>
      <rPr>
        <sz val="11"/>
        <color theme="1"/>
        <rFont val="Calibri"/>
        <family val="2"/>
        <charset val="1"/>
      </rPr>
      <t>- Lucy to discuss with JR. Pending to decide how to serve direct SMB sales (uncouple from integrated)</t>
    </r>
    <r>
      <rPr>
        <sz val="11"/>
        <color theme="1"/>
        <rFont val="Calibri"/>
        <family val="2"/>
        <charset val="1"/>
      </rPr>
      <t>. How are we going to support back-book SMB direct sales</t>
    </r>
  </si>
  <si>
    <t>GPaaS</t>
  </si>
  <si>
    <t>Continue single out support on NAP for APMs
Build - BLIK APM capabilities</t>
  </si>
  <si>
    <r>
      <t xml:space="preserve">[Poland] </t>
    </r>
    <r>
      <rPr>
        <sz val="11"/>
        <color rgb="FFFF0000"/>
        <rFont val="Calibri"/>
        <family val="2"/>
      </rPr>
      <t xml:space="preserve">Follow-up with James Fry </t>
    </r>
    <r>
      <rPr>
        <sz val="11"/>
        <color theme="1"/>
        <rFont val="Calibri"/>
        <family val="2"/>
        <charset val="1"/>
      </rPr>
      <t>- APM is a quick win - we have already contract with BLIK provider and integration with gateway</t>
    </r>
  </si>
  <si>
    <t>• Seamelss onboarding 
- Brik products (migrate in Greece)</t>
  </si>
  <si>
    <t>GSAP/GMAS</t>
  </si>
  <si>
    <t>Supercheckout support for PIN, P2PE, MDM and protocol support for SPDH, P2H and GPISO</t>
  </si>
  <si>
    <t>Powerzac  (to support e.g. protocol conversion, VAS, etc)
GG connected to Powerzac</t>
  </si>
  <si>
    <t xml:space="preserve">Powerzac </t>
  </si>
  <si>
    <t>GSAP/GMAS
GSAP AP/GMAS AP
eService Postillion/ZSFK
GPE B24/MMS (ERSTE)
TMAS
Comercia</t>
  </si>
  <si>
    <t>Build - Need to build IPP capabilities on hWP core acquiring stack (APAC)
NAP support for AP markets LCPs, BINs, Banks, BPI etc
Start NAP in Cloud (GPE) and PZaC integration
PZac support for GPE scope and start on SAS
Migrate - Assess migration of merchants into NAP platform for top 5 priority markets
Build - Stand up capabilities of PowerZac as auth host and NAP to enable transition from non-target platforms in ERSTE JVs</t>
  </si>
  <si>
    <t>GMAS and GPE B24 focus first
TNAS unlikely to be a priority given GG focus on N America and need for full stack data residency</t>
  </si>
  <si>
    <t>NAP
Comercia</t>
  </si>
  <si>
    <t>Make sure top 5 (HKG, Phi, Makao, alasya) are built into NAP. Phillipines is a JV market, serving Enterprise requirements.</t>
  </si>
  <si>
    <t>ROW Salesforce, including AP
eziDebit
eWay
Sugar (Poland)</t>
  </si>
  <si>
    <t>Continue as is 
Migrate - Move Sugar CRM into ROW Salesforce (including Greece)</t>
  </si>
  <si>
    <t>ROW Salesforce
eziDebit
eWay</t>
  </si>
  <si>
    <t>Build - ROW Salesforce to support AUS book of business</t>
  </si>
  <si>
    <t>ROW Salesforce</t>
  </si>
  <si>
    <t>Any extension needs to be included, e.g., bring Genius into Market + other requirements (e.g., language)</t>
  </si>
  <si>
    <t>ECBD, Hermes, Arch Mercury</t>
  </si>
  <si>
    <t xml:space="preserve">Build - Assess overall servicing experience and build the plan (Poland) </t>
  </si>
  <si>
    <t>N/A - None today</t>
  </si>
  <si>
    <t xml:space="preserve">Debit Routing right now is exclusive to NA. Future state is to enable this to interoperate across int’l b-schemes like EFTPOS, JCB, etc (further reason in the need to decouple as a micro service. </t>
  </si>
  <si>
    <t>Engage, Valutec [no impact to RoW]</t>
  </si>
  <si>
    <t>COMO - not yet integrated in ERSTE. Connected only to P2C terminals</t>
  </si>
  <si>
    <t>BUILD - COMO integration to target (NUCLEUS)</t>
  </si>
  <si>
    <t>• GP Developer Portal Tools: RevenueBoost, FraudSight, BigCommerce
- Greece wants to start implementation with COMO</t>
  </si>
  <si>
    <t>•  BAU; accelerate the unified credential vault architecture</t>
  </si>
  <si>
    <t>EXPLORE - Design and arch. for RB 2.0</t>
  </si>
  <si>
    <t>Planet (APAC)
DCC Poland/Greece (Leveraging GPE DCC for PL via Supercheckout today)</t>
  </si>
  <si>
    <t>BUILD - isolate DCC svc. From WPG
Build - 
EXPLORE - DCC svc. From WPT to Genius</t>
  </si>
  <si>
    <t>Target-state DCC (FX + BIN lookup) - Localized DCC</t>
  </si>
  <si>
    <t>Need to ensure localized DCC meets Planet requirements</t>
  </si>
  <si>
    <t>EXPLORE - Fx pricing prop for hGP customers (GMAS EU, GMAS AP) - per note across 2 traches</t>
  </si>
  <si>
    <t xml:space="preserve">Unified credential vault </t>
  </si>
  <si>
    <t>GPE (ERSTE)
eService Portals (Greece)</t>
  </si>
  <si>
    <t>Migrate - Consider localization of portal
Migrate - Help centers (row)
Build - MyAccoutn shell and WP dashboard</t>
  </si>
  <si>
    <t>ROW - outside of UK&amp;I. Dependency on back-end target-state. Sequence until WP dashboard converges into MyAccount ++ framework</t>
  </si>
  <si>
    <t>Followe up - Gap analysis to ensure readiness in ERSTE</t>
  </si>
  <si>
    <r>
      <rPr>
        <sz val="11"/>
        <color rgb="FF000000"/>
        <rFont val="Calibri"/>
        <family val="2"/>
      </rPr>
      <t xml:space="preserve">Build — add support for existing hGP products pricing (integrated with auto boarding)
Build — Applying Tax across the hGP Products 
Build — surface statements / pricing to partners
Build — Support billing for in scope JVs
Build — include new products into invoices/statements 
Build — GL accounting for back-office activities
Build — partner-branded statements (where applicable)
</t>
    </r>
    <r>
      <rPr>
        <b/>
        <sz val="11"/>
        <color rgb="FF000000"/>
        <rFont val="Calibri"/>
        <family val="2"/>
      </rPr>
      <t>Build — Work required for Instalments (yet to be assessed)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</si>
</sst>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_(* \(#,##0.00\);_(* \-??_);_(@_)"/>
  </numFmts>
  <fonts count="47">
    <font>
      <sz val="11"/>
      <color theme="1"/>
      <name val="Calibri"/>
      <family val="2"/>
      <charset val="1"/>
    </font>
    <font>
      <sz val="11"/>
      <color theme="1"/>
      <name val="Calibri"/>
      <family val="2"/>
      <scheme val="minor"/>
    </font>
    <font>
      <b/>
      <sz val="22"/>
      <name val="Cambria"/>
      <family val="2"/>
      <charset val="1"/>
    </font>
    <font>
      <b/>
      <i/>
      <sz val="11"/>
      <color theme="1"/>
      <name val="Calibri"/>
      <family val="2"/>
      <charset val="1"/>
    </font>
    <font>
      <b/>
      <i/>
      <sz val="11"/>
      <color theme="1" tint="0.14999847407452621"/>
      <name val="Calibri"/>
      <family val="2"/>
      <charset val="1"/>
    </font>
    <font>
      <b/>
      <sz val="11"/>
      <color theme="0"/>
      <name val="Calibri"/>
      <family val="2"/>
      <charset val="1"/>
    </font>
    <font>
      <b/>
      <sz val="11"/>
      <color theme="1"/>
      <name val="Calibri"/>
      <family val="2"/>
      <charset val="1"/>
    </font>
    <font>
      <sz val="11"/>
      <color theme="1" tint="0.14999847407452621"/>
      <name val="Calibri"/>
      <family val="2"/>
      <charset val="1"/>
    </font>
    <font>
      <sz val="11"/>
      <color rgb="FFFF0000"/>
      <name val="Calibri"/>
      <family val="2"/>
      <charset val="1"/>
    </font>
    <font>
      <i/>
      <sz val="11"/>
      <color theme="1" tint="0.14999847407452621"/>
      <name val="Calibri"/>
      <family val="2"/>
      <charset val="1"/>
    </font>
    <font>
      <sz val="11"/>
      <color theme="1"/>
      <name val="Calibri"/>
      <family val="2"/>
      <charset val="1"/>
    </font>
    <font>
      <sz val="11"/>
      <color rgb="FFFF0000"/>
      <name val="Calibri"/>
      <family val="2"/>
    </font>
    <font>
      <sz val="12"/>
      <color theme="1"/>
      <name val="Calibri"/>
      <family val="2"/>
      <charset val="1"/>
    </font>
    <font>
      <b/>
      <sz val="14"/>
      <color theme="0"/>
      <name val="Calibri"/>
      <family val="2"/>
    </font>
    <font>
      <sz val="14"/>
      <color theme="1"/>
      <name val="Calibri"/>
      <family val="2"/>
    </font>
    <font>
      <b/>
      <sz val="14"/>
      <color theme="1"/>
      <name val="Calibri"/>
      <family val="2"/>
    </font>
    <font>
      <b/>
      <u/>
      <sz val="14"/>
      <color theme="1"/>
      <name val="Calibri"/>
      <family val="2"/>
    </font>
    <font>
      <b/>
      <sz val="22"/>
      <name val="Cambria"/>
      <family val="2"/>
      <scheme val="major"/>
    </font>
    <font>
      <b/>
      <sz val="18"/>
      <name val="Calibri"/>
      <family val="2"/>
    </font>
    <font>
      <sz val="12"/>
      <color theme="1"/>
      <name val="Calibri"/>
      <family val="2"/>
    </font>
    <font>
      <b/>
      <sz val="12"/>
      <color theme="1"/>
      <name val="Calibri"/>
      <family val="2"/>
    </font>
    <font>
      <b/>
      <sz val="12"/>
      <color rgb="FF1F4E79"/>
      <name val="Calibri"/>
      <family val="2"/>
    </font>
    <font>
      <u/>
      <sz val="12"/>
      <color rgb="FF0563C1"/>
      <name val="Calibri"/>
      <family val="2"/>
    </font>
    <font>
      <b/>
      <sz val="14"/>
      <color rgb="FFFFFFFF"/>
      <name val="Calibri"/>
      <family val="2"/>
    </font>
    <font>
      <sz val="16"/>
      <color theme="1"/>
      <name val="Calibri"/>
      <family val="2"/>
    </font>
    <font>
      <b/>
      <sz val="16"/>
      <color theme="0"/>
      <name val="Calibri"/>
      <family val="2"/>
    </font>
    <font>
      <b/>
      <sz val="24"/>
      <name val="Cambria"/>
      <family val="2"/>
      <charset val="1"/>
    </font>
    <font>
      <b/>
      <sz val="24"/>
      <name val="Cambria"/>
      <family val="1"/>
    </font>
    <font>
      <sz val="24"/>
      <color theme="1"/>
      <name val="Calibri"/>
      <family val="2"/>
      <charset val="1"/>
    </font>
    <font>
      <sz val="11"/>
      <color rgb="FF00B0F0"/>
      <name val="Calibri"/>
      <family val="2"/>
      <charset val="1"/>
    </font>
    <font>
      <sz val="11"/>
      <color rgb="FF000000"/>
      <name val="Calibri"/>
    </font>
    <font>
      <sz val="11"/>
      <color rgb="FFFF0000"/>
      <name val="Calibri"/>
    </font>
    <font>
      <sz val="11"/>
      <color rgb="FF000000"/>
      <name val="Calibri"/>
      <family val="2"/>
      <charset val="1"/>
    </font>
    <font>
      <b/>
      <sz val="11"/>
      <color rgb="FF000000"/>
      <name val="Calibri"/>
    </font>
    <font>
      <b/>
      <sz val="11"/>
      <color theme="1" tint="0.14999847407452621"/>
      <name val="Calibri"/>
      <family val="2"/>
      <charset val="1"/>
    </font>
    <font>
      <b/>
      <sz val="11"/>
      <color rgb="FF262626"/>
      <name val="Calibri"/>
    </font>
    <font>
      <sz val="11"/>
      <color rgb="FF262626"/>
      <name val="Calibri"/>
    </font>
    <font>
      <sz val="11"/>
      <color rgb="FF262626"/>
      <name val="Calibri"/>
      <family val="2"/>
      <charset val="1"/>
    </font>
    <font>
      <b/>
      <sz val="11"/>
      <color rgb="FF000000"/>
      <name val="Calibri"/>
      <family val="2"/>
      <charset val="1"/>
    </font>
    <font>
      <i/>
      <sz val="11"/>
      <color theme="1"/>
      <name val="Calibri"/>
      <family val="2"/>
      <charset val="1"/>
    </font>
    <font>
      <sz val="11"/>
      <color theme="1"/>
      <name val="Calibri"/>
    </font>
    <font>
      <b/>
      <sz val="11"/>
      <color theme="1"/>
      <name val="Calibri"/>
      <family val="2"/>
    </font>
    <font>
      <sz val="11"/>
      <color theme="1"/>
      <name val="Calibri"/>
      <family val="2"/>
    </font>
    <font>
      <b/>
      <sz val="11"/>
      <color rgb="FF000000"/>
      <name val="Calibri"/>
      <family val="2"/>
    </font>
    <font>
      <sz val="11"/>
      <color rgb="FF000000"/>
      <name val="Calibri"/>
      <family val="2"/>
    </font>
    <font>
      <b/>
      <sz val="11"/>
      <color rgb="FFFF0000"/>
      <name val="Calibri"/>
      <family val="2"/>
    </font>
    <font>
      <b/>
      <sz val="11"/>
      <color rgb="FFFF0000"/>
      <name val="Calibri"/>
      <family val="2"/>
      <charset val="1"/>
    </font>
  </fonts>
  <fills count="17">
    <fill>
      <patternFill patternType="none"/>
    </fill>
    <fill>
      <patternFill patternType="gray125"/>
    </fill>
    <fill>
      <patternFill patternType="solid">
        <fgColor theme="6" tint="0.79989013336588644"/>
        <bgColor rgb="FFF2F2F2"/>
      </patternFill>
    </fill>
    <fill>
      <patternFill patternType="solid">
        <fgColor theme="0" tint="-4.9989318521683403E-2"/>
        <bgColor rgb="FFEBF1DE"/>
      </patternFill>
    </fill>
    <fill>
      <patternFill patternType="solid">
        <fgColor theme="1"/>
        <bgColor rgb="FF262626"/>
      </patternFill>
    </fill>
    <fill>
      <patternFill patternType="solid">
        <fgColor theme="0"/>
        <bgColor indexed="64"/>
      </patternFill>
    </fill>
    <fill>
      <patternFill patternType="solid">
        <fgColor theme="0" tint="-4.9989318521683403E-2"/>
        <bgColor indexed="64"/>
      </patternFill>
    </fill>
    <fill>
      <patternFill patternType="solid">
        <fgColor theme="1"/>
        <bgColor indexed="64"/>
      </patternFill>
    </fill>
    <fill>
      <patternFill patternType="solid">
        <fgColor theme="6" tint="0.79998168889431442"/>
        <bgColor indexed="64"/>
      </patternFill>
    </fill>
    <fill>
      <patternFill patternType="solid">
        <fgColor theme="0"/>
        <bgColor rgb="FFD9D9D9"/>
      </patternFill>
    </fill>
    <fill>
      <patternFill patternType="solid">
        <fgColor theme="6" tint="0.79998168889431442"/>
        <bgColor rgb="FFD9D9D9"/>
      </patternFill>
    </fill>
    <fill>
      <patternFill patternType="solid">
        <fgColor theme="0" tint="-4.9989318521683403E-2"/>
        <bgColor rgb="FFD9D9D9"/>
      </patternFill>
    </fill>
    <fill>
      <patternFill patternType="solid">
        <fgColor theme="0" tint="-4.9989318521683403E-2"/>
        <bgColor rgb="FFFFFFFF"/>
      </patternFill>
    </fill>
    <fill>
      <patternFill patternType="solid">
        <fgColor theme="6" tint="0.79998168889431442"/>
        <bgColor rgb="FFEBF1DE"/>
      </patternFill>
    </fill>
    <fill>
      <patternFill patternType="solid">
        <fgColor rgb="FFFFFF00"/>
        <bgColor indexed="64"/>
      </patternFill>
    </fill>
    <fill>
      <patternFill patternType="solid">
        <fgColor rgb="FFFFFF00"/>
        <bgColor rgb="FFEBF1DE"/>
      </patternFill>
    </fill>
    <fill>
      <patternFill patternType="solid">
        <fgColor rgb="FFFFFF00"/>
        <bgColor rgb="FFD9D9D9"/>
      </patternFill>
    </fill>
  </fills>
  <borders count="12">
    <border>
      <left/>
      <right/>
      <top/>
      <bottom/>
      <diagonal/>
    </border>
    <border>
      <left/>
      <right/>
      <top/>
      <bottom style="medium">
        <color auto="1"/>
      </bottom>
      <diagonal/>
    </border>
    <border>
      <left style="hair">
        <color theme="0" tint="-0.14999847407452621"/>
      </left>
      <right style="hair">
        <color theme="0" tint="-0.14999847407452621"/>
      </right>
      <top style="dotted">
        <color auto="1"/>
      </top>
      <bottom style="dotted">
        <color auto="1"/>
      </bottom>
      <diagonal/>
    </border>
    <border>
      <left/>
      <right style="hair">
        <color theme="0" tint="-0.14999847407452621"/>
      </right>
      <top style="dotted">
        <color auto="1"/>
      </top>
      <bottom/>
      <diagonal/>
    </border>
    <border>
      <left style="hair">
        <color theme="0" tint="-0.14999847407452621"/>
      </left>
      <right/>
      <top style="dotted">
        <color auto="1"/>
      </top>
      <bottom style="dotted">
        <color auto="1"/>
      </bottom>
      <diagonal/>
    </border>
    <border>
      <left/>
      <right style="hair">
        <color theme="0" tint="-0.14999847407452621"/>
      </right>
      <top/>
      <bottom/>
      <diagonal/>
    </border>
    <border>
      <left/>
      <right style="hair">
        <color theme="0" tint="-0.14999847407452621"/>
      </right>
      <top/>
      <bottom style="dotted">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7">
    <xf numFmtId="0" fontId="0" fillId="0" borderId="0"/>
    <xf numFmtId="164" fontId="10" fillId="0" borderId="0"/>
    <xf numFmtId="0" fontId="10" fillId="0" borderId="0"/>
    <xf numFmtId="0" fontId="2" fillId="0" borderId="0"/>
    <xf numFmtId="0" fontId="17" fillId="0" borderId="0"/>
    <xf numFmtId="0" fontId="1" fillId="0" borderId="0"/>
    <xf numFmtId="43" fontId="1" fillId="0" borderId="0"/>
  </cellStyleXfs>
  <cellXfs count="181">
    <xf numFmtId="0" fontId="0" fillId="0" borderId="0" xfId="0"/>
    <xf numFmtId="0" fontId="10" fillId="0" borderId="0" xfId="2"/>
    <xf numFmtId="0" fontId="10" fillId="0" borderId="0" xfId="2" applyAlignment="1">
      <alignment wrapText="1"/>
    </xf>
    <xf numFmtId="0" fontId="10" fillId="0" borderId="1" xfId="2" applyBorder="1"/>
    <xf numFmtId="0" fontId="2" fillId="0" borderId="1" xfId="3" applyBorder="1"/>
    <xf numFmtId="0" fontId="10" fillId="0" borderId="1" xfId="2" applyBorder="1" applyAlignment="1">
      <alignment wrapText="1"/>
    </xf>
    <xf numFmtId="0" fontId="10" fillId="2" borderId="0" xfId="2" applyFill="1" applyAlignment="1">
      <alignment horizontal="center" wrapText="1"/>
    </xf>
    <xf numFmtId="0" fontId="5" fillId="4" borderId="0" xfId="2" applyFont="1" applyFill="1"/>
    <xf numFmtId="0" fontId="5" fillId="4" borderId="0" xfId="2" applyFont="1" applyFill="1" applyAlignment="1">
      <alignment wrapText="1"/>
    </xf>
    <xf numFmtId="0" fontId="6" fillId="0" borderId="3" xfId="2" applyFont="1" applyBorder="1"/>
    <xf numFmtId="0" fontId="6" fillId="0" borderId="2" xfId="2" applyFont="1" applyBorder="1" applyAlignment="1">
      <alignment wrapText="1"/>
    </xf>
    <xf numFmtId="0" fontId="10" fillId="0" borderId="2" xfId="2" applyBorder="1"/>
    <xf numFmtId="0" fontId="10" fillId="0" borderId="2" xfId="2" applyBorder="1" applyAlignment="1">
      <alignment wrapText="1"/>
    </xf>
    <xf numFmtId="0" fontId="7" fillId="3" borderId="2" xfId="2" applyFont="1" applyFill="1" applyBorder="1" applyAlignment="1">
      <alignment wrapText="1"/>
    </xf>
    <xf numFmtId="0" fontId="10" fillId="0" borderId="4" xfId="2" applyBorder="1" applyAlignment="1">
      <alignment vertical="top" wrapText="1"/>
    </xf>
    <xf numFmtId="0" fontId="6" fillId="0" borderId="5" xfId="2" applyFont="1" applyBorder="1"/>
    <xf numFmtId="164" fontId="10" fillId="0" borderId="2" xfId="1" applyBorder="1"/>
    <xf numFmtId="0" fontId="10" fillId="0" borderId="4" xfId="2" applyBorder="1"/>
    <xf numFmtId="0" fontId="6" fillId="0" borderId="6" xfId="2" applyFont="1" applyBorder="1"/>
    <xf numFmtId="0" fontId="8" fillId="0" borderId="2" xfId="2" applyFont="1" applyBorder="1" applyAlignment="1">
      <alignment wrapText="1"/>
    </xf>
    <xf numFmtId="0" fontId="6" fillId="0" borderId="0" xfId="2" applyFont="1" applyAlignment="1">
      <alignment wrapText="1"/>
    </xf>
    <xf numFmtId="0" fontId="12" fillId="0" borderId="0" xfId="0" applyFont="1"/>
    <xf numFmtId="0" fontId="13" fillId="4" borderId="7" xfId="0" applyFont="1" applyFill="1" applyBorder="1" applyAlignment="1">
      <alignment horizontal="left" vertical="center" wrapText="1"/>
    </xf>
    <xf numFmtId="0" fontId="14" fillId="0" borderId="0" xfId="2" applyFont="1"/>
    <xf numFmtId="0" fontId="15" fillId="0" borderId="7" xfId="0" applyFont="1" applyBorder="1" applyAlignment="1">
      <alignment vertical="top" wrapText="1"/>
    </xf>
    <xf numFmtId="0" fontId="14" fillId="0" borderId="7" xfId="0" applyFont="1" applyBorder="1" applyAlignment="1">
      <alignment vertical="top" wrapText="1"/>
    </xf>
    <xf numFmtId="164" fontId="14" fillId="0" borderId="0" xfId="1" applyFont="1"/>
    <xf numFmtId="0" fontId="0" fillId="0" borderId="2" xfId="0" applyBorder="1" applyAlignment="1">
      <alignment vertical="top" wrapText="1"/>
    </xf>
    <xf numFmtId="0" fontId="8" fillId="0" borderId="2" xfId="0" applyFont="1" applyBorder="1" applyAlignment="1">
      <alignment wrapText="1"/>
    </xf>
    <xf numFmtId="0" fontId="0" fillId="0" borderId="2" xfId="0" applyBorder="1" applyAlignment="1">
      <alignment wrapText="1"/>
    </xf>
    <xf numFmtId="0" fontId="9" fillId="3" borderId="2" xfId="2" applyFont="1" applyFill="1" applyBorder="1" applyAlignment="1">
      <alignment horizontal="centerContinuous" wrapText="1"/>
    </xf>
    <xf numFmtId="0" fontId="10" fillId="6" borderId="0" xfId="2" applyFill="1" applyAlignment="1">
      <alignment horizontal="centerContinuous"/>
    </xf>
    <xf numFmtId="0" fontId="15" fillId="0" borderId="0" xfId="2" applyFont="1"/>
    <xf numFmtId="0" fontId="16" fillId="0" borderId="0" xfId="2" applyFont="1"/>
    <xf numFmtId="0" fontId="10" fillId="0" borderId="4" xfId="2" applyBorder="1" applyAlignment="1">
      <alignment wrapText="1"/>
    </xf>
    <xf numFmtId="164" fontId="10" fillId="0" borderId="2" xfId="1" applyBorder="1" applyAlignment="1">
      <alignment wrapText="1"/>
    </xf>
    <xf numFmtId="0" fontId="10" fillId="8" borderId="2" xfId="2" applyFill="1" applyBorder="1" applyAlignment="1">
      <alignment wrapText="1"/>
    </xf>
    <xf numFmtId="0" fontId="0" fillId="8" borderId="2" xfId="2" applyFont="1" applyFill="1" applyBorder="1" applyAlignment="1">
      <alignment wrapText="1"/>
    </xf>
    <xf numFmtId="0" fontId="10" fillId="8" borderId="2" xfId="2" applyFill="1" applyBorder="1"/>
    <xf numFmtId="0" fontId="8" fillId="8" borderId="2" xfId="2" applyFont="1" applyFill="1" applyBorder="1" applyAlignment="1">
      <alignment wrapText="1"/>
    </xf>
    <xf numFmtId="0" fontId="18" fillId="0" borderId="0" xfId="0" applyFont="1"/>
    <xf numFmtId="0" fontId="19" fillId="0" borderId="0" xfId="0" applyFont="1"/>
    <xf numFmtId="0" fontId="20" fillId="0" borderId="7" xfId="0" applyFont="1" applyBorder="1" applyAlignment="1">
      <alignment vertical="top" wrapText="1"/>
    </xf>
    <xf numFmtId="0" fontId="19" fillId="0" borderId="7" xfId="0" applyFont="1" applyBorder="1" applyAlignment="1">
      <alignment vertical="top" wrapText="1"/>
    </xf>
    <xf numFmtId="0" fontId="14" fillId="0" borderId="0" xfId="0" applyFont="1"/>
    <xf numFmtId="0" fontId="22" fillId="0" borderId="9" xfId="0" applyFont="1" applyBorder="1" applyAlignment="1">
      <alignment vertical="top" wrapText="1"/>
    </xf>
    <xf numFmtId="0" fontId="19" fillId="0" borderId="0" xfId="2" applyFont="1"/>
    <xf numFmtId="0" fontId="24" fillId="0" borderId="0" xfId="2" applyFont="1"/>
    <xf numFmtId="0" fontId="26" fillId="0" borderId="1" xfId="3" applyFont="1" applyBorder="1"/>
    <xf numFmtId="0" fontId="0" fillId="8" borderId="2" xfId="0" applyFill="1" applyBorder="1" applyAlignment="1">
      <alignment vertical="top" wrapText="1"/>
    </xf>
    <xf numFmtId="0" fontId="0" fillId="8" borderId="2" xfId="0" applyFill="1" applyBorder="1" applyAlignment="1">
      <alignment wrapText="1"/>
    </xf>
    <xf numFmtId="0" fontId="8" fillId="8" borderId="2" xfId="0" applyFont="1" applyFill="1" applyBorder="1" applyAlignment="1">
      <alignment wrapText="1"/>
    </xf>
    <xf numFmtId="0" fontId="10" fillId="5" borderId="4" xfId="2" applyFill="1" applyBorder="1" applyAlignment="1">
      <alignment vertical="top" wrapText="1"/>
    </xf>
    <xf numFmtId="0" fontId="23" fillId="7" borderId="9" xfId="0" applyFont="1" applyFill="1" applyBorder="1" applyAlignment="1">
      <alignment vertical="center"/>
    </xf>
    <xf numFmtId="0" fontId="21" fillId="5" borderId="9" xfId="0" applyFont="1" applyFill="1" applyBorder="1" applyAlignment="1">
      <alignment vertical="center" wrapText="1"/>
    </xf>
    <xf numFmtId="0" fontId="27" fillId="0" borderId="1" xfId="0" applyFont="1" applyBorder="1"/>
    <xf numFmtId="0" fontId="28" fillId="0" borderId="1" xfId="0" applyFont="1" applyBorder="1"/>
    <xf numFmtId="0" fontId="0" fillId="0" borderId="2" xfId="2" applyFont="1" applyBorder="1" applyAlignment="1">
      <alignment wrapText="1"/>
    </xf>
    <xf numFmtId="0" fontId="0" fillId="0" borderId="2" xfId="2" applyFont="1" applyBorder="1"/>
    <xf numFmtId="0" fontId="0" fillId="0" borderId="4" xfId="2" applyFont="1" applyBorder="1" applyAlignment="1">
      <alignment vertical="top" wrapText="1"/>
    </xf>
    <xf numFmtId="0" fontId="0" fillId="0" borderId="0" xfId="2" applyFont="1" applyAlignment="1">
      <alignment wrapText="1"/>
    </xf>
    <xf numFmtId="0" fontId="0" fillId="8" borderId="2" xfId="2" applyFont="1" applyFill="1" applyBorder="1"/>
    <xf numFmtId="0" fontId="6" fillId="9" borderId="2" xfId="0" applyFont="1" applyFill="1" applyBorder="1" applyAlignment="1">
      <alignment wrapText="1"/>
    </xf>
    <xf numFmtId="0" fontId="0" fillId="5" borderId="2" xfId="2" applyFont="1" applyFill="1" applyBorder="1" applyAlignment="1">
      <alignment wrapText="1"/>
    </xf>
    <xf numFmtId="0" fontId="0" fillId="5" borderId="4" xfId="2" applyFont="1" applyFill="1" applyBorder="1" applyAlignment="1">
      <alignment vertical="top" wrapText="1"/>
    </xf>
    <xf numFmtId="0" fontId="29" fillId="0" borderId="2" xfId="0" applyFont="1" applyBorder="1" applyAlignment="1">
      <alignment vertical="top" wrapText="1"/>
    </xf>
    <xf numFmtId="0" fontId="0" fillId="8" borderId="2" xfId="2" applyFont="1" applyFill="1" applyBorder="1" applyAlignment="1">
      <alignment vertical="top" wrapText="1"/>
    </xf>
    <xf numFmtId="0" fontId="0" fillId="5" borderId="2" xfId="2" applyFont="1" applyFill="1" applyBorder="1" applyAlignment="1">
      <alignment vertical="top" wrapText="1"/>
    </xf>
    <xf numFmtId="0" fontId="0" fillId="5" borderId="2" xfId="2" applyFont="1" applyFill="1" applyBorder="1"/>
    <xf numFmtId="0" fontId="0" fillId="0" borderId="0" xfId="0" applyAlignment="1">
      <alignment wrapText="1"/>
    </xf>
    <xf numFmtId="0" fontId="0" fillId="0" borderId="2" xfId="2" applyFont="1" applyBorder="1" applyAlignment="1">
      <alignment vertical="top" wrapText="1"/>
    </xf>
    <xf numFmtId="0" fontId="32" fillId="8" borderId="2" xfId="0" applyFont="1" applyFill="1" applyBorder="1" applyAlignment="1">
      <alignment wrapText="1"/>
    </xf>
    <xf numFmtId="0" fontId="32" fillId="8" borderId="2" xfId="2" applyFont="1" applyFill="1" applyBorder="1" applyAlignment="1">
      <alignment vertical="top" wrapText="1"/>
    </xf>
    <xf numFmtId="0" fontId="37" fillId="3" borderId="2" xfId="2" applyFont="1" applyFill="1" applyBorder="1" applyAlignment="1">
      <alignment wrapText="1"/>
    </xf>
    <xf numFmtId="0" fontId="32" fillId="8" borderId="2" xfId="2" applyFont="1" applyFill="1" applyBorder="1" applyAlignment="1">
      <alignment wrapText="1"/>
    </xf>
    <xf numFmtId="0" fontId="38" fillId="8" borderId="2" xfId="2" applyFont="1" applyFill="1" applyBorder="1" applyAlignment="1">
      <alignment wrapText="1"/>
    </xf>
    <xf numFmtId="164" fontId="0" fillId="0" borderId="2" xfId="1" applyFont="1" applyBorder="1"/>
    <xf numFmtId="0" fontId="0" fillId="0" borderId="0" xfId="2" applyFont="1"/>
    <xf numFmtId="0" fontId="0" fillId="0" borderId="4" xfId="2" applyFont="1" applyBorder="1" applyAlignment="1">
      <alignment wrapText="1"/>
    </xf>
    <xf numFmtId="0" fontId="7" fillId="12" borderId="2" xfId="0" applyFont="1" applyFill="1" applyBorder="1" applyAlignment="1">
      <alignment wrapText="1"/>
    </xf>
    <xf numFmtId="0" fontId="0" fillId="8" borderId="2" xfId="0" applyFill="1" applyBorder="1"/>
    <xf numFmtId="0" fontId="39" fillId="8" borderId="2" xfId="0" applyFont="1" applyFill="1" applyBorder="1" applyAlignment="1">
      <alignment vertical="top" wrapText="1"/>
    </xf>
    <xf numFmtId="0" fontId="0" fillId="8" borderId="0" xfId="0" applyFill="1"/>
    <xf numFmtId="0" fontId="7" fillId="13" borderId="2" xfId="2" applyFont="1" applyFill="1" applyBorder="1" applyAlignment="1">
      <alignment wrapText="1"/>
    </xf>
    <xf numFmtId="0" fontId="0" fillId="5" borderId="4" xfId="0" applyFill="1" applyBorder="1"/>
    <xf numFmtId="0" fontId="0" fillId="0" borderId="4" xfId="2" applyFont="1" applyBorder="1"/>
    <xf numFmtId="0" fontId="39" fillId="0" borderId="2" xfId="0" applyFont="1" applyBorder="1" applyAlignment="1">
      <alignment vertical="top" wrapText="1"/>
    </xf>
    <xf numFmtId="0" fontId="0" fillId="0" borderId="2" xfId="0" applyBorder="1"/>
    <xf numFmtId="0" fontId="0" fillId="8" borderId="2" xfId="0" applyFill="1" applyBorder="1" applyAlignment="1">
      <alignment vertical="top"/>
    </xf>
    <xf numFmtId="0" fontId="7" fillId="12" borderId="2" xfId="0" applyFont="1" applyFill="1" applyBorder="1" applyAlignment="1">
      <alignment vertical="top" wrapText="1"/>
    </xf>
    <xf numFmtId="0" fontId="0" fillId="5" borderId="4" xfId="0" applyFill="1" applyBorder="1" applyAlignment="1">
      <alignment vertical="top"/>
    </xf>
    <xf numFmtId="0" fontId="9" fillId="12" borderId="2" xfId="0" applyFont="1" applyFill="1" applyBorder="1" applyAlignment="1">
      <alignment vertical="top" wrapText="1"/>
    </xf>
    <xf numFmtId="0" fontId="0" fillId="5" borderId="4" xfId="0" applyFill="1" applyBorder="1" applyAlignment="1">
      <alignment vertical="top" wrapText="1"/>
    </xf>
    <xf numFmtId="0" fontId="40" fillId="8" borderId="2" xfId="2" applyFont="1" applyFill="1" applyBorder="1" applyAlignment="1">
      <alignment wrapText="1"/>
    </xf>
    <xf numFmtId="0" fontId="3" fillId="2" borderId="0" xfId="2" applyFont="1" applyFill="1" applyAlignment="1">
      <alignment horizontal="center" wrapText="1"/>
    </xf>
    <xf numFmtId="0" fontId="0" fillId="5" borderId="0" xfId="2" applyFont="1" applyFill="1" applyAlignment="1">
      <alignment vertical="top"/>
    </xf>
    <xf numFmtId="0" fontId="6" fillId="9" borderId="2" xfId="0" applyFont="1" applyFill="1" applyBorder="1" applyAlignment="1">
      <alignment vertical="top" wrapText="1"/>
    </xf>
    <xf numFmtId="0" fontId="0" fillId="10" borderId="2" xfId="0" applyFill="1" applyBorder="1" applyAlignment="1">
      <alignment vertical="top" wrapText="1"/>
    </xf>
    <xf numFmtId="0" fontId="0" fillId="8" borderId="2" xfId="2" applyFont="1" applyFill="1" applyBorder="1" applyAlignment="1">
      <alignment vertical="top"/>
    </xf>
    <xf numFmtId="0" fontId="7" fillId="3" borderId="2" xfId="2" applyFont="1" applyFill="1" applyBorder="1" applyAlignment="1">
      <alignment vertical="top" wrapText="1"/>
    </xf>
    <xf numFmtId="0" fontId="7" fillId="11" borderId="2" xfId="0" applyFont="1" applyFill="1" applyBorder="1" applyAlignment="1">
      <alignment vertical="top" wrapText="1"/>
    </xf>
    <xf numFmtId="0" fontId="0" fillId="5" borderId="0" xfId="2" applyFont="1" applyFill="1" applyAlignment="1">
      <alignment vertical="top" wrapText="1"/>
    </xf>
    <xf numFmtId="0" fontId="10" fillId="0" borderId="0" xfId="2" applyAlignment="1">
      <alignment vertical="top"/>
    </xf>
    <xf numFmtId="0" fontId="32" fillId="8" borderId="2" xfId="0" applyFont="1" applyFill="1" applyBorder="1" applyAlignment="1">
      <alignment vertical="top" wrapText="1"/>
    </xf>
    <xf numFmtId="0" fontId="34" fillId="3" borderId="2" xfId="2" applyFont="1" applyFill="1" applyBorder="1" applyAlignment="1">
      <alignment vertical="top" wrapText="1"/>
    </xf>
    <xf numFmtId="0" fontId="0" fillId="0" borderId="2" xfId="2" applyFont="1" applyBorder="1" applyAlignment="1">
      <alignment vertical="top"/>
    </xf>
    <xf numFmtId="0" fontId="10" fillId="5" borderId="0" xfId="2" applyFill="1" applyAlignment="1">
      <alignment vertical="top"/>
    </xf>
    <xf numFmtId="0" fontId="6" fillId="5" borderId="2" xfId="2" applyFont="1" applyFill="1" applyBorder="1" applyAlignment="1">
      <alignment vertical="top" wrapText="1"/>
    </xf>
    <xf numFmtId="0" fontId="10" fillId="5" borderId="2" xfId="2" applyFill="1" applyBorder="1" applyAlignment="1">
      <alignment vertical="top" wrapText="1"/>
    </xf>
    <xf numFmtId="0" fontId="10" fillId="8" borderId="2" xfId="2" applyFill="1" applyBorder="1" applyAlignment="1">
      <alignment vertical="top"/>
    </xf>
    <xf numFmtId="0" fontId="10" fillId="5" borderId="0" xfId="2" applyFill="1" applyAlignment="1">
      <alignment vertical="top" wrapText="1"/>
    </xf>
    <xf numFmtId="164" fontId="10" fillId="5" borderId="2" xfId="1" applyFill="1" applyBorder="1" applyAlignment="1">
      <alignment vertical="top" wrapText="1"/>
    </xf>
    <xf numFmtId="0" fontId="10" fillId="5" borderId="4" xfId="2" applyFill="1" applyBorder="1" applyAlignment="1">
      <alignment vertical="top"/>
    </xf>
    <xf numFmtId="0" fontId="10" fillId="5" borderId="1" xfId="2" applyFill="1" applyBorder="1" applyAlignment="1">
      <alignment vertical="top"/>
    </xf>
    <xf numFmtId="0" fontId="2" fillId="5" borderId="1" xfId="3" applyFill="1" applyBorder="1" applyAlignment="1">
      <alignment vertical="top"/>
    </xf>
    <xf numFmtId="0" fontId="10" fillId="5" borderId="1" xfId="2" applyFill="1" applyBorder="1" applyAlignment="1">
      <alignment vertical="top" wrapText="1"/>
    </xf>
    <xf numFmtId="0" fontId="10" fillId="0" borderId="0" xfId="2" applyAlignment="1">
      <alignment vertical="top" wrapText="1"/>
    </xf>
    <xf numFmtId="0" fontId="10" fillId="2" borderId="0" xfId="2" applyFill="1" applyAlignment="1">
      <alignment horizontal="center" vertical="top" wrapText="1"/>
    </xf>
    <xf numFmtId="0" fontId="9" fillId="3" borderId="2" xfId="2" applyFont="1" applyFill="1" applyBorder="1" applyAlignment="1">
      <alignment horizontal="centerContinuous" vertical="top" wrapText="1"/>
    </xf>
    <xf numFmtId="0" fontId="10" fillId="6" borderId="0" xfId="2" applyFill="1" applyAlignment="1">
      <alignment horizontal="centerContinuous" vertical="top"/>
    </xf>
    <xf numFmtId="0" fontId="5" fillId="4" borderId="0" xfId="2" applyFont="1" applyFill="1" applyAlignment="1">
      <alignment vertical="top"/>
    </xf>
    <xf numFmtId="0" fontId="5" fillId="4" borderId="0" xfId="2" applyFont="1" applyFill="1" applyAlignment="1">
      <alignment vertical="top" wrapText="1"/>
    </xf>
    <xf numFmtId="0" fontId="6" fillId="5" borderId="3" xfId="2" applyFont="1" applyFill="1" applyBorder="1" applyAlignment="1">
      <alignment vertical="top"/>
    </xf>
    <xf numFmtId="0" fontId="6" fillId="5" borderId="5" xfId="2" applyFont="1" applyFill="1" applyBorder="1" applyAlignment="1">
      <alignment vertical="top"/>
    </xf>
    <xf numFmtId="0" fontId="6" fillId="5" borderId="6" xfId="2" applyFont="1" applyFill="1" applyBorder="1" applyAlignment="1">
      <alignment vertical="top"/>
    </xf>
    <xf numFmtId="0" fontId="8" fillId="8" borderId="2" xfId="0" applyFont="1" applyFill="1" applyBorder="1" applyAlignment="1">
      <alignment vertical="top" wrapText="1"/>
    </xf>
    <xf numFmtId="0" fontId="8" fillId="8" borderId="2" xfId="2" applyFont="1" applyFill="1" applyBorder="1" applyAlignment="1">
      <alignment vertical="top" wrapText="1"/>
    </xf>
    <xf numFmtId="0" fontId="6" fillId="5" borderId="0" xfId="2" applyFont="1" applyFill="1" applyAlignment="1">
      <alignment vertical="top" wrapText="1"/>
    </xf>
    <xf numFmtId="0" fontId="0" fillId="0" borderId="0" xfId="0" applyAlignment="1">
      <alignment vertical="top"/>
    </xf>
    <xf numFmtId="0" fontId="10" fillId="8" borderId="2" xfId="2" applyFill="1" applyBorder="1" applyAlignment="1">
      <alignment vertical="top" wrapText="1"/>
    </xf>
    <xf numFmtId="0" fontId="42" fillId="8" borderId="2" xfId="0" applyFont="1" applyFill="1" applyBorder="1" applyAlignment="1">
      <alignment vertical="top" wrapText="1"/>
    </xf>
    <xf numFmtId="0" fontId="42" fillId="5" borderId="4" xfId="2" applyFont="1" applyFill="1" applyBorder="1" applyAlignment="1">
      <alignment vertical="top" wrapText="1"/>
    </xf>
    <xf numFmtId="0" fontId="8" fillId="14" borderId="0" xfId="2" applyFont="1" applyFill="1" applyAlignment="1">
      <alignment vertical="top"/>
    </xf>
    <xf numFmtId="0" fontId="46" fillId="0" borderId="4" xfId="2" applyFont="1" applyBorder="1" applyAlignment="1">
      <alignment vertical="top" wrapText="1"/>
    </xf>
    <xf numFmtId="0" fontId="6" fillId="14" borderId="3" xfId="2" applyFont="1" applyFill="1" applyBorder="1"/>
    <xf numFmtId="0" fontId="6" fillId="14" borderId="2" xfId="2" applyFont="1" applyFill="1" applyBorder="1" applyAlignment="1">
      <alignment wrapText="1"/>
    </xf>
    <xf numFmtId="0" fontId="10" fillId="14" borderId="2" xfId="2" applyFill="1" applyBorder="1"/>
    <xf numFmtId="0" fontId="0" fillId="14" borderId="2" xfId="0" applyFill="1" applyBorder="1" applyAlignment="1">
      <alignment vertical="top" wrapText="1"/>
    </xf>
    <xf numFmtId="0" fontId="7" fillId="15" borderId="2" xfId="2" applyFont="1" applyFill="1" applyBorder="1" applyAlignment="1">
      <alignment wrapText="1"/>
    </xf>
    <xf numFmtId="0" fontId="37" fillId="16" borderId="2" xfId="0" applyFont="1" applyFill="1" applyBorder="1" applyAlignment="1">
      <alignment vertical="top" wrapText="1"/>
    </xf>
    <xf numFmtId="0" fontId="10" fillId="14" borderId="4" xfId="2" applyFill="1" applyBorder="1" applyAlignment="1">
      <alignment vertical="top" wrapText="1"/>
    </xf>
    <xf numFmtId="0" fontId="0" fillId="14" borderId="0" xfId="2" applyFont="1" applyFill="1" applyAlignment="1">
      <alignment wrapText="1"/>
    </xf>
    <xf numFmtId="0" fontId="10" fillId="14" borderId="0" xfId="2" applyFill="1" applyAlignment="1">
      <alignment wrapText="1"/>
    </xf>
    <xf numFmtId="0" fontId="10" fillId="14" borderId="0" xfId="2" applyFill="1"/>
    <xf numFmtId="0" fontId="6" fillId="14" borderId="5" xfId="2" applyFont="1" applyFill="1" applyBorder="1"/>
    <xf numFmtId="0" fontId="0" fillId="14" borderId="2" xfId="0" applyFill="1" applyBorder="1" applyAlignment="1">
      <alignment wrapText="1"/>
    </xf>
    <xf numFmtId="0" fontId="10" fillId="14" borderId="2" xfId="2" applyFill="1" applyBorder="1" applyAlignment="1">
      <alignment wrapText="1"/>
    </xf>
    <xf numFmtId="0" fontId="10" fillId="14" borderId="4" xfId="2" applyFill="1" applyBorder="1" applyAlignment="1">
      <alignment wrapText="1"/>
    </xf>
    <xf numFmtId="0" fontId="6" fillId="14" borderId="6" xfId="2" applyFont="1" applyFill="1" applyBorder="1"/>
    <xf numFmtId="0" fontId="8" fillId="14" borderId="2" xfId="2" applyFont="1" applyFill="1" applyBorder="1"/>
    <xf numFmtId="0" fontId="6" fillId="16" borderId="2" xfId="0" applyFont="1" applyFill="1" applyBorder="1" applyAlignment="1">
      <alignment wrapText="1"/>
    </xf>
    <xf numFmtId="0" fontId="0" fillId="14" borderId="2" xfId="2" applyFont="1" applyFill="1" applyBorder="1"/>
    <xf numFmtId="0" fontId="0" fillId="14" borderId="2" xfId="2" applyFont="1" applyFill="1" applyBorder="1" applyAlignment="1">
      <alignment wrapText="1"/>
    </xf>
    <xf numFmtId="0" fontId="0" fillId="14" borderId="4" xfId="2" applyFont="1" applyFill="1" applyBorder="1" applyAlignment="1">
      <alignment vertical="top" wrapText="1"/>
    </xf>
    <xf numFmtId="0" fontId="8" fillId="0" borderId="4" xfId="2" quotePrefix="1" applyFont="1" applyBorder="1" applyAlignment="1">
      <alignment vertical="top" wrapText="1"/>
    </xf>
    <xf numFmtId="0" fontId="6" fillId="14" borderId="0" xfId="2" applyFont="1" applyFill="1"/>
    <xf numFmtId="0" fontId="9" fillId="3" borderId="0" xfId="2" applyFont="1" applyFill="1" applyAlignment="1">
      <alignment horizontal="centerContinuous" wrapText="1"/>
    </xf>
    <xf numFmtId="0" fontId="10" fillId="14" borderId="4" xfId="2" applyFill="1" applyBorder="1"/>
    <xf numFmtId="0" fontId="0" fillId="14" borderId="2" xfId="2" applyFont="1" applyFill="1" applyBorder="1" applyAlignment="1">
      <alignment vertical="top" wrapText="1"/>
    </xf>
    <xf numFmtId="0" fontId="0" fillId="14" borderId="0" xfId="2" applyFont="1" applyFill="1"/>
    <xf numFmtId="0" fontId="6" fillId="9" borderId="3" xfId="0" applyFont="1" applyFill="1" applyBorder="1"/>
    <xf numFmtId="0" fontId="0" fillId="5" borderId="0" xfId="0" applyFill="1" applyAlignment="1">
      <alignment wrapText="1"/>
    </xf>
    <xf numFmtId="0" fontId="6" fillId="5" borderId="3" xfId="0" applyFont="1" applyFill="1" applyBorder="1"/>
    <xf numFmtId="0" fontId="3" fillId="2" borderId="0" xfId="2" applyFont="1" applyFill="1" applyAlignment="1">
      <alignment horizontal="center" wrapText="1"/>
    </xf>
    <xf numFmtId="0" fontId="6" fillId="0" borderId="3" xfId="2" applyFont="1" applyBorder="1" applyAlignment="1">
      <alignment horizontal="left" vertical="center"/>
    </xf>
    <xf numFmtId="0" fontId="6" fillId="0" borderId="5" xfId="2" applyFont="1" applyBorder="1" applyAlignment="1">
      <alignment horizontal="left" vertical="center"/>
    </xf>
    <xf numFmtId="0" fontId="6" fillId="0" borderId="6" xfId="2" applyFont="1" applyBorder="1" applyAlignment="1">
      <alignment horizontal="left" vertical="center"/>
    </xf>
    <xf numFmtId="0" fontId="21" fillId="5" borderId="9" xfId="0" applyFont="1" applyFill="1" applyBorder="1" applyAlignment="1">
      <alignment vertical="center" wrapText="1"/>
    </xf>
    <xf numFmtId="0" fontId="13" fillId="4" borderId="7" xfId="0" applyFont="1" applyFill="1" applyBorder="1" applyAlignment="1">
      <alignment horizontal="left" vertical="center" wrapText="1"/>
    </xf>
    <xf numFmtId="0" fontId="4" fillId="3" borderId="2" xfId="2" applyFont="1" applyFill="1" applyBorder="1" applyAlignment="1">
      <alignment horizontal="center" wrapText="1"/>
    </xf>
    <xf numFmtId="0" fontId="25" fillId="4" borderId="7" xfId="0" applyFont="1" applyFill="1" applyBorder="1" applyAlignment="1">
      <alignment horizontal="left" vertical="center" wrapText="1"/>
    </xf>
    <xf numFmtId="0" fontId="3" fillId="2" borderId="0" xfId="2" applyFont="1" applyFill="1" applyAlignment="1">
      <alignment horizontal="center" vertical="top" wrapText="1"/>
    </xf>
    <xf numFmtId="0" fontId="10" fillId="0" borderId="0" xfId="2" applyAlignment="1">
      <alignment vertical="top"/>
    </xf>
    <xf numFmtId="0" fontId="6" fillId="5" borderId="3" xfId="2" applyFont="1" applyFill="1" applyBorder="1" applyAlignment="1">
      <alignment horizontal="left" vertical="top"/>
    </xf>
    <xf numFmtId="0" fontId="6" fillId="5" borderId="5" xfId="2" applyFont="1" applyFill="1" applyBorder="1" applyAlignment="1">
      <alignment horizontal="left" vertical="top"/>
    </xf>
    <xf numFmtId="0" fontId="6" fillId="5" borderId="6" xfId="2" applyFont="1" applyFill="1" applyBorder="1" applyAlignment="1">
      <alignment horizontal="left" vertical="top"/>
    </xf>
    <xf numFmtId="0" fontId="19" fillId="5" borderId="10" xfId="0" applyFont="1" applyFill="1" applyBorder="1" applyAlignment="1"/>
    <xf numFmtId="0" fontId="19" fillId="5" borderId="11" xfId="0" applyFont="1" applyFill="1" applyBorder="1" applyAlignment="1"/>
    <xf numFmtId="0" fontId="14" fillId="0" borderId="8" xfId="0" applyFont="1" applyBorder="1" applyAlignment="1"/>
    <xf numFmtId="0" fontId="24" fillId="0" borderId="8" xfId="0" applyFont="1" applyBorder="1" applyAlignment="1"/>
    <xf numFmtId="0" fontId="10" fillId="0" borderId="0" xfId="2" applyAlignment="1"/>
  </cellXfs>
  <cellStyles count="7">
    <cellStyle name="Comma 2" xfId="1" xr:uid="{00000000-0005-0000-0000-000001000000}"/>
    <cellStyle name="Comma 3" xfId="6" xr:uid="{00000000-0005-0000-0000-000006000000}"/>
    <cellStyle name="Normal" xfId="0" builtinId="0"/>
    <cellStyle name="Normal 2" xfId="2" xr:uid="{00000000-0005-0000-0000-000002000000}"/>
    <cellStyle name="Normal 3" xfId="5" xr:uid="{00000000-0005-0000-0000-000005000000}"/>
    <cellStyle name="Title 2" xfId="3" xr:uid="{00000000-0005-0000-0000-000003000000}"/>
    <cellStyle name="Title 3" xfId="4" xr:uid="{00000000-0005-0000-0000-000004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ean MacDomhnall" id="{A1077DA0-60DA-462D-B17B-EA59C50E3996}" userId="S::SM20164@globalpayments.com::0a6c5237-1383-4749-b547-b734fb4be012"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6" dT="2026-06-30T14:15:03.14" personId="{A1077DA0-60DA-462D-B17B-EA59C50E3996}" id="{698D6CEC-6910-4EEB-B49C-6A96F5278744}">
    <text>See Developer Portal above.</text>
  </threadedComment>
</ThreadedComments>
</file>

<file path=xl/threadedComments/threadedComment2.xml><?xml version="1.0" encoding="utf-8"?>
<ThreadedComments xmlns="http://schemas.microsoft.com/office/spreadsheetml/2018/threadedcomments" xmlns:x="http://schemas.openxmlformats.org/spreadsheetml/2006/main">
  <threadedComment ref="C9" dT="2026-06-30T15:50:01.38" personId="{A1077DA0-60DA-462D-B17B-EA59C50E3996}" id="{1BBF1269-8066-4D5B-9424-F6E72C601405}">
    <text>Confirm if required.</text>
  </threadedComment>
  <threadedComment ref="C10" dT="2026-06-30T15:50:07.70" personId="{A1077DA0-60DA-462D-B17B-EA59C50E3996}" id="{0392FCB3-EAB8-47C2-ABA6-E7814F26A9C4}">
    <text>Confirm if required.</text>
  </threadedComment>
  <threadedComment ref="C11" dT="2026-06-30T15:50:11.54" personId="{A1077DA0-60DA-462D-B17B-EA59C50E3996}" id="{3E3FF250-8C72-45A3-A583-3F1604922B7E}">
    <text>Confirm if required.</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showGridLines="0" zoomScale="64" workbookViewId="0">
      <selection activeCell="E17" sqref="E17"/>
    </sheetView>
  </sheetViews>
  <sheetFormatPr defaultRowHeight="15"/>
  <cols>
    <col min="1" max="1" width="40" customWidth="1"/>
    <col min="2" max="2" width="74" customWidth="1"/>
    <col min="4" max="4" width="36" customWidth="1"/>
    <col min="5" max="5" width="66.5703125" customWidth="1"/>
  </cols>
  <sheetData>
    <row r="1" spans="1:5" s="56" customFormat="1" ht="32.25" thickBot="1">
      <c r="A1" s="55" t="s">
        <v>0</v>
      </c>
    </row>
    <row r="3" spans="1:5" ht="18.75">
      <c r="A3" s="53" t="s">
        <v>1</v>
      </c>
      <c r="B3" s="53" t="s">
        <v>2</v>
      </c>
    </row>
    <row r="4" spans="1:5" ht="15.75">
      <c r="A4" s="167" t="s">
        <v>3</v>
      </c>
      <c r="B4" s="45" t="s">
        <v>4</v>
      </c>
    </row>
    <row r="5" spans="1:5" ht="15.75">
      <c r="A5" s="176"/>
      <c r="B5" s="45" t="s">
        <v>5</v>
      </c>
    </row>
    <row r="6" spans="1:5" ht="15.75">
      <c r="A6" s="177"/>
      <c r="B6" s="45" t="s">
        <v>6</v>
      </c>
    </row>
    <row r="7" spans="1:5" ht="15.75">
      <c r="A7" s="167" t="s">
        <v>7</v>
      </c>
      <c r="B7" s="45" t="s">
        <v>8</v>
      </c>
    </row>
    <row r="8" spans="1:5" ht="15.75">
      <c r="A8" s="176"/>
      <c r="B8" s="45" t="s">
        <v>9</v>
      </c>
    </row>
    <row r="9" spans="1:5" ht="15.75">
      <c r="A9" s="176"/>
      <c r="B9" s="45" t="s">
        <v>10</v>
      </c>
    </row>
    <row r="10" spans="1:5" ht="15.75">
      <c r="A10" s="177"/>
      <c r="B10" s="45" t="s">
        <v>11</v>
      </c>
    </row>
    <row r="11" spans="1:5" ht="15.75">
      <c r="A11" s="54" t="s">
        <v>12</v>
      </c>
      <c r="B11" s="45" t="s">
        <v>13</v>
      </c>
    </row>
    <row r="12" spans="1:5" ht="15.75">
      <c r="A12" s="41"/>
      <c r="B12" s="41"/>
    </row>
    <row r="14" spans="1:5" ht="23.25">
      <c r="A14" s="40" t="s">
        <v>14</v>
      </c>
    </row>
    <row r="15" spans="1:5" s="41" customFormat="1" ht="18.75">
      <c r="A15" s="22" t="s">
        <v>15</v>
      </c>
      <c r="B15" s="22"/>
      <c r="C15" s="44"/>
      <c r="D15" s="168" t="s">
        <v>16</v>
      </c>
      <c r="E15" s="178"/>
    </row>
    <row r="16" spans="1:5" s="41" customFormat="1" ht="63">
      <c r="A16" s="42" t="s">
        <v>17</v>
      </c>
      <c r="B16" s="43" t="s">
        <v>18</v>
      </c>
      <c r="D16" s="42" t="s">
        <v>19</v>
      </c>
      <c r="E16" s="43" t="s">
        <v>20</v>
      </c>
    </row>
    <row r="17" spans="1:5" s="41" customFormat="1" ht="31.5">
      <c r="A17" s="42" t="s">
        <v>21</v>
      </c>
      <c r="B17" s="43" t="s">
        <v>22</v>
      </c>
      <c r="D17" s="42" t="s">
        <v>23</v>
      </c>
      <c r="E17" s="43" t="s">
        <v>24</v>
      </c>
    </row>
    <row r="18" spans="1:5" s="41" customFormat="1" ht="31.5">
      <c r="A18" s="42" t="s">
        <v>25</v>
      </c>
      <c r="B18" s="43" t="s">
        <v>26</v>
      </c>
      <c r="D18" s="42" t="s">
        <v>27</v>
      </c>
      <c r="E18" s="43" t="s">
        <v>28</v>
      </c>
    </row>
    <row r="19" spans="1:5" s="41" customFormat="1" ht="31.5">
      <c r="A19" s="42" t="s">
        <v>29</v>
      </c>
      <c r="B19" s="43" t="s">
        <v>30</v>
      </c>
      <c r="D19" s="42" t="s">
        <v>31</v>
      </c>
      <c r="E19" s="43" t="s">
        <v>32</v>
      </c>
    </row>
    <row r="20" spans="1:5" s="41" customFormat="1" ht="31.5">
      <c r="A20" s="42" t="s">
        <v>33</v>
      </c>
      <c r="B20" s="43" t="s">
        <v>34</v>
      </c>
      <c r="D20" s="42" t="s">
        <v>35</v>
      </c>
      <c r="E20" s="43" t="s">
        <v>36</v>
      </c>
    </row>
    <row r="21" spans="1:5" s="41" customFormat="1" ht="47.25">
      <c r="A21" s="42" t="s">
        <v>37</v>
      </c>
      <c r="B21" s="43" t="s">
        <v>38</v>
      </c>
      <c r="D21" s="42" t="s">
        <v>39</v>
      </c>
      <c r="E21" s="43" t="s">
        <v>40</v>
      </c>
    </row>
    <row r="22" spans="1:5" s="41" customFormat="1" ht="31.5">
      <c r="A22" s="42" t="s">
        <v>41</v>
      </c>
      <c r="B22" s="43" t="s">
        <v>42</v>
      </c>
    </row>
    <row r="23" spans="1:5" s="41" customFormat="1" ht="15.75">
      <c r="A23" s="42" t="s">
        <v>43</v>
      </c>
      <c r="B23" s="43" t="s">
        <v>44</v>
      </c>
    </row>
    <row r="24" spans="1:5" s="41" customFormat="1" ht="31.5">
      <c r="A24" s="42" t="s">
        <v>45</v>
      </c>
      <c r="B24" s="43" t="s">
        <v>46</v>
      </c>
    </row>
    <row r="25" spans="1:5" s="41" customFormat="1" ht="31.5">
      <c r="A25" s="42" t="s">
        <v>47</v>
      </c>
      <c r="B25" s="43" t="s">
        <v>48</v>
      </c>
    </row>
    <row r="26" spans="1:5" s="41" customFormat="1" ht="31.5">
      <c r="A26" s="42" t="s">
        <v>49</v>
      </c>
      <c r="B26" s="43" t="s">
        <v>50</v>
      </c>
    </row>
    <row r="27" spans="1:5" s="41" customFormat="1" ht="47.25">
      <c r="A27" s="42" t="s">
        <v>51</v>
      </c>
      <c r="B27" s="43" t="s">
        <v>52</v>
      </c>
    </row>
    <row r="28" spans="1:5">
      <c r="A28" s="1"/>
      <c r="B28" s="1"/>
    </row>
  </sheetData>
  <mergeCells count="3">
    <mergeCell ref="A4:A6"/>
    <mergeCell ref="A7:A10"/>
    <mergeCell ref="D15:E15"/>
  </mergeCells>
  <hyperlinks>
    <hyperlink ref="B4" location="'Back-book - Approach '!A1" tooltip="Open Back-book - Approach" display="Back-book - Approach" xr:uid="{00000000-0004-0000-0000-000001000000}"/>
    <hyperlink ref="B5" location="'UK&amp;I Sequencing'!A1" tooltip="Open UK&amp;I Sequencing" display="UK&amp;I Sequencing" xr:uid="{00000000-0004-0000-0000-000002000000}"/>
    <hyperlink ref="B6" location="'UK&amp;I Front-book Sequencing'!A1" tooltip="Open UK&amp;I Front-book Sequencing" display="UK&amp;I Front-book Sequencing" xr:uid="{00000000-0004-0000-0000-000003000000}"/>
    <hyperlink ref="B7" location="'US Direct'!A1" tooltip="Open US Direct" display="US Direct" xr:uid="{00000000-0004-0000-0000-000004000000}"/>
    <hyperlink ref="B8" location="'NA Wholesale'!A1" tooltip="Open NA Wholesale" display="NA Wholesale" xr:uid="{00000000-0004-0000-0000-000005000000}"/>
    <hyperlink ref="B9" location="'NA Indirect'!A1" tooltip="Open NA Indirect" display="NA Indirect" xr:uid="{00000000-0004-0000-0000-000006000000}"/>
    <hyperlink ref="B10" location="'NA ISO'!A1" tooltip="Open NA ISO" display="NA ISO" xr:uid="{00000000-0004-0000-0000-000007000000}"/>
    <hyperlink ref="B11" location="'RoW (excl. UK&amp;I)'!A1" tooltip="Open RoW (excl. UK&amp;I)" display="RoW (excl. UK&amp;I)" xr:uid="{00000000-0004-0000-0000-000008000000}"/>
  </hyperlinks>
  <pageMargins left="0.75" right="0.75" top="1" bottom="1" header="0.5" footer="0.5"/>
  <headerFooter>
    <oddFooter>&amp;L_x000D_&amp;1#&amp;"Aptos"&amp;10&amp;K000000 DC2 -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9998168889431442"/>
  </sheetPr>
  <dimension ref="A1"/>
  <sheetViews>
    <sheetView showGridLines="0" zoomScale="75" zoomScaleNormal="75" workbookViewId="0"/>
  </sheetViews>
  <sheetFormatPr defaultRowHeight="15"/>
  <sheetData/>
  <pageMargins left="0.7" right="0.7" top="0.75" bottom="0.75" header="0.3" footer="0.3"/>
  <headerFooter>
    <oddFooter>&amp;L_x000D_&amp;1#&amp;"Aptos"&amp;10&amp;K000000 DC2 -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B664-ABA6-434E-85CF-CC9767C71898}">
  <sheetPr>
    <tabColor theme="3" tint="0.79998168889431442"/>
  </sheetPr>
  <dimension ref="A2:M49"/>
  <sheetViews>
    <sheetView showGridLines="0" zoomScale="85" zoomScaleNormal="85" workbookViewId="0">
      <pane ySplit="4" topLeftCell="A30" activePane="bottomLeft" state="frozen"/>
      <selection pane="bottomLeft" activeCell="F41" sqref="F41"/>
      <selection activeCell="B1" sqref="B1"/>
    </sheetView>
  </sheetViews>
  <sheetFormatPr defaultColWidth="9.42578125" defaultRowHeight="15"/>
  <cols>
    <col min="1" max="1" width="1" style="1" customWidth="1"/>
    <col min="2" max="2" width="22" style="1" customWidth="1"/>
    <col min="3" max="3" width="20.85546875" style="2" customWidth="1"/>
    <col min="4" max="4" width="12.85546875" style="1" customWidth="1"/>
    <col min="5" max="5" width="32.5703125" style="2" customWidth="1"/>
    <col min="6" max="6" width="69.140625" style="2" bestFit="1" customWidth="1"/>
    <col min="7" max="7" width="59.5703125" style="1" customWidth="1"/>
    <col min="8" max="8" width="46.85546875" style="2" customWidth="1"/>
    <col min="9" max="9" width="36.7109375" style="1" customWidth="1"/>
    <col min="10" max="10" width="41.140625" style="1" customWidth="1"/>
    <col min="11" max="11" width="9.42578125" style="1"/>
    <col min="12" max="12" width="82.140625" style="2" customWidth="1"/>
    <col min="13" max="13" width="55.140625" style="1" customWidth="1"/>
    <col min="14" max="16384" width="9.42578125" style="1"/>
  </cols>
  <sheetData>
    <row r="2" spans="1:13" s="3" customFormat="1" ht="27.75" thickBot="1">
      <c r="B2" s="4" t="str">
        <f t="array" aca="1" ref="B2" ca="1">IFERROR( RIGHT(CELL("filename",A1),LEN(CELL("filename",A1))-FIND("]",CELL("filename",A1))), "Tab title (save and calculate to sync)")</f>
        <v>Tab title (save and calculate to sync)</v>
      </c>
      <c r="C2" s="5"/>
      <c r="E2" s="5"/>
      <c r="F2" s="5"/>
      <c r="H2" s="5"/>
      <c r="L2" s="5"/>
    </row>
    <row r="3" spans="1:13">
      <c r="E3" s="6"/>
      <c r="F3" s="163" t="s">
        <v>53</v>
      </c>
      <c r="G3" s="163"/>
      <c r="H3" s="169" t="s">
        <v>54</v>
      </c>
      <c r="I3" s="169"/>
    </row>
    <row r="4" spans="1:13">
      <c r="B4" s="7" t="s">
        <v>55</v>
      </c>
      <c r="C4" s="8" t="s">
        <v>56</v>
      </c>
      <c r="D4" s="7" t="s">
        <v>57</v>
      </c>
      <c r="E4" s="8" t="s">
        <v>58</v>
      </c>
      <c r="F4" s="8" t="s">
        <v>59</v>
      </c>
      <c r="G4" s="7" t="s">
        <v>60</v>
      </c>
      <c r="H4" s="8" t="s">
        <v>61</v>
      </c>
      <c r="I4" s="8" t="s">
        <v>62</v>
      </c>
      <c r="J4" s="7" t="s">
        <v>63</v>
      </c>
      <c r="L4" s="8" t="s">
        <v>64</v>
      </c>
      <c r="M4" s="7" t="s">
        <v>65</v>
      </c>
    </row>
    <row r="5" spans="1:13" ht="60">
      <c r="A5" s="77"/>
      <c r="B5" s="164" t="s">
        <v>66</v>
      </c>
      <c r="C5" s="62" t="s">
        <v>67</v>
      </c>
      <c r="D5" s="58"/>
      <c r="E5" s="37" t="s">
        <v>68</v>
      </c>
      <c r="F5" s="37" t="s">
        <v>69</v>
      </c>
      <c r="G5" s="37" t="s">
        <v>70</v>
      </c>
      <c r="H5" s="13" t="s">
        <v>71</v>
      </c>
      <c r="I5" s="13" t="s">
        <v>67</v>
      </c>
      <c r="J5" s="59"/>
      <c r="L5" s="60"/>
      <c r="M5" s="60"/>
    </row>
    <row r="6" spans="1:13" ht="152.25" customHeight="1">
      <c r="A6" s="77"/>
      <c r="B6" s="165"/>
      <c r="C6" s="62" t="s">
        <v>72</v>
      </c>
      <c r="D6" s="58"/>
      <c r="E6" s="74" t="s">
        <v>73</v>
      </c>
      <c r="F6" s="72" t="s">
        <v>74</v>
      </c>
      <c r="G6" s="75" t="s">
        <v>75</v>
      </c>
      <c r="H6" s="13"/>
      <c r="I6" s="13"/>
      <c r="J6" s="59"/>
      <c r="L6" s="60"/>
      <c r="M6" s="60"/>
    </row>
    <row r="7" spans="1:13" ht="45">
      <c r="A7" s="77"/>
      <c r="B7" s="165"/>
      <c r="C7" s="62" t="s">
        <v>76</v>
      </c>
      <c r="D7" s="58" t="s">
        <v>77</v>
      </c>
      <c r="E7" s="37" t="s">
        <v>78</v>
      </c>
      <c r="F7" s="66" t="s">
        <v>79</v>
      </c>
      <c r="G7" s="61" t="s">
        <v>80</v>
      </c>
      <c r="H7" s="13" t="s">
        <v>81</v>
      </c>
      <c r="I7" s="13"/>
      <c r="J7" s="59" t="s">
        <v>82</v>
      </c>
      <c r="L7" s="60"/>
      <c r="M7" s="60"/>
    </row>
    <row r="8" spans="1:13" ht="45">
      <c r="A8" s="77"/>
      <c r="B8" s="165"/>
      <c r="C8" s="62" t="s">
        <v>83</v>
      </c>
      <c r="D8" s="58" t="s">
        <v>77</v>
      </c>
      <c r="E8" s="37" t="s">
        <v>84</v>
      </c>
      <c r="F8" s="66" t="s">
        <v>85</v>
      </c>
      <c r="G8" s="37" t="s">
        <v>84</v>
      </c>
      <c r="H8" s="13" t="s">
        <v>86</v>
      </c>
      <c r="I8" s="13"/>
      <c r="J8" s="59" t="s">
        <v>82</v>
      </c>
      <c r="L8" s="60"/>
      <c r="M8" s="60"/>
    </row>
    <row r="9" spans="1:13" ht="60">
      <c r="A9" s="77"/>
      <c r="B9" s="165"/>
      <c r="C9" s="62" t="s">
        <v>87</v>
      </c>
      <c r="D9" s="58" t="s">
        <v>88</v>
      </c>
      <c r="E9" s="37" t="s">
        <v>89</v>
      </c>
      <c r="F9" s="66" t="s">
        <v>90</v>
      </c>
      <c r="G9" s="37" t="s">
        <v>89</v>
      </c>
      <c r="H9" s="13" t="s">
        <v>91</v>
      </c>
      <c r="I9" s="13"/>
      <c r="J9" s="59" t="s">
        <v>82</v>
      </c>
      <c r="L9" s="60"/>
      <c r="M9" s="60"/>
    </row>
    <row r="10" spans="1:13">
      <c r="A10" s="77"/>
      <c r="B10" s="165"/>
      <c r="C10" s="62"/>
      <c r="D10" s="58"/>
      <c r="E10" s="37"/>
      <c r="F10" s="37"/>
      <c r="G10" s="61"/>
      <c r="H10" s="13"/>
      <c r="I10" s="13"/>
      <c r="J10" s="59"/>
      <c r="L10" s="60"/>
      <c r="M10" s="60"/>
    </row>
    <row r="11" spans="1:13">
      <c r="A11" s="77"/>
      <c r="B11" s="165"/>
      <c r="C11" s="62" t="s">
        <v>92</v>
      </c>
      <c r="D11" s="58"/>
      <c r="E11" s="37"/>
      <c r="F11" s="37"/>
      <c r="G11" s="61"/>
      <c r="H11" s="13"/>
      <c r="I11" s="13"/>
      <c r="J11" s="59"/>
      <c r="L11" s="60"/>
      <c r="M11" s="60"/>
    </row>
    <row r="12" spans="1:13" ht="75">
      <c r="A12" s="77"/>
      <c r="B12" s="165"/>
      <c r="C12" s="62" t="s">
        <v>93</v>
      </c>
      <c r="D12" s="58" t="s">
        <v>88</v>
      </c>
      <c r="E12" s="37" t="s">
        <v>94</v>
      </c>
      <c r="F12" s="37" t="s">
        <v>95</v>
      </c>
      <c r="G12" s="37" t="s">
        <v>96</v>
      </c>
      <c r="H12" s="13" t="s">
        <v>97</v>
      </c>
      <c r="I12" s="13" t="s">
        <v>98</v>
      </c>
      <c r="J12" s="59"/>
      <c r="L12" s="60" t="s">
        <v>99</v>
      </c>
      <c r="M12" s="60" t="s">
        <v>100</v>
      </c>
    </row>
    <row r="13" spans="1:13" ht="57.95" customHeight="1">
      <c r="A13" s="77"/>
      <c r="B13" s="165"/>
      <c r="C13" s="10" t="s">
        <v>101</v>
      </c>
      <c r="D13" s="58" t="s">
        <v>102</v>
      </c>
      <c r="E13" s="37" t="s">
        <v>103</v>
      </c>
      <c r="F13" s="37" t="s">
        <v>104</v>
      </c>
      <c r="G13" s="61" t="s">
        <v>105</v>
      </c>
      <c r="H13" s="13" t="s">
        <v>106</v>
      </c>
      <c r="I13" s="13" t="s">
        <v>107</v>
      </c>
      <c r="J13" s="14" t="s">
        <v>108</v>
      </c>
      <c r="L13" s="2" t="s">
        <v>109</v>
      </c>
      <c r="M13" s="2" t="s">
        <v>110</v>
      </c>
    </row>
    <row r="14" spans="1:13" ht="72.599999999999994" customHeight="1">
      <c r="A14" s="77"/>
      <c r="B14" s="165"/>
      <c r="C14" s="10" t="s">
        <v>111</v>
      </c>
      <c r="D14" s="58" t="s">
        <v>102</v>
      </c>
      <c r="E14" s="37" t="s">
        <v>103</v>
      </c>
      <c r="F14" s="37" t="s">
        <v>112</v>
      </c>
      <c r="G14" s="61" t="s">
        <v>105</v>
      </c>
      <c r="H14" s="13" t="s">
        <v>106</v>
      </c>
      <c r="I14" s="13" t="s">
        <v>107</v>
      </c>
      <c r="J14" s="14" t="s">
        <v>113</v>
      </c>
      <c r="L14" s="2" t="s">
        <v>114</v>
      </c>
      <c r="M14" s="2" t="s">
        <v>115</v>
      </c>
    </row>
    <row r="15" spans="1:13" ht="62.25" customHeight="1">
      <c r="A15" s="77"/>
      <c r="B15" s="165"/>
      <c r="C15" s="10" t="s">
        <v>116</v>
      </c>
      <c r="D15" s="76" t="s">
        <v>88</v>
      </c>
      <c r="E15" s="37" t="s">
        <v>68</v>
      </c>
      <c r="F15" s="37" t="s">
        <v>69</v>
      </c>
      <c r="G15" s="61" t="s">
        <v>117</v>
      </c>
      <c r="H15" s="13" t="s">
        <v>71</v>
      </c>
      <c r="I15" s="13" t="s">
        <v>118</v>
      </c>
      <c r="J15" s="17"/>
      <c r="L15" s="2" t="s">
        <v>119</v>
      </c>
      <c r="M15" s="2" t="s">
        <v>120</v>
      </c>
    </row>
    <row r="16" spans="1:13" ht="30">
      <c r="B16" s="18"/>
      <c r="C16" s="10" t="s">
        <v>121</v>
      </c>
      <c r="D16" s="11"/>
      <c r="E16" s="36"/>
      <c r="F16" s="37"/>
      <c r="G16" s="36"/>
      <c r="H16" s="13"/>
      <c r="I16" s="13"/>
      <c r="J16" s="17"/>
      <c r="L16" s="2" t="s">
        <v>99</v>
      </c>
      <c r="M16" s="2" t="s">
        <v>100</v>
      </c>
    </row>
    <row r="17" spans="2:12" ht="105">
      <c r="B17" s="9" t="s">
        <v>122</v>
      </c>
      <c r="C17" s="10" t="s">
        <v>123</v>
      </c>
      <c r="D17" s="11" t="s">
        <v>124</v>
      </c>
      <c r="E17" s="36" t="s">
        <v>125</v>
      </c>
      <c r="F17" s="36" t="s">
        <v>126</v>
      </c>
      <c r="G17" s="38" t="s">
        <v>127</v>
      </c>
      <c r="H17" s="13" t="s">
        <v>128</v>
      </c>
      <c r="I17" s="73" t="s">
        <v>129</v>
      </c>
      <c r="J17" s="17"/>
      <c r="L17" s="2" t="s">
        <v>130</v>
      </c>
    </row>
    <row r="18" spans="2:12" ht="30">
      <c r="B18" s="15"/>
      <c r="C18" s="10" t="s">
        <v>131</v>
      </c>
      <c r="D18" s="11" t="s">
        <v>124</v>
      </c>
      <c r="E18" s="36" t="s">
        <v>132</v>
      </c>
      <c r="F18" s="36" t="s">
        <v>133</v>
      </c>
      <c r="G18" s="36" t="s">
        <v>134</v>
      </c>
      <c r="H18" s="13" t="s">
        <v>135</v>
      </c>
      <c r="I18" s="13" t="s">
        <v>136</v>
      </c>
      <c r="J18" s="17"/>
    </row>
    <row r="19" spans="2:12" ht="60">
      <c r="B19" s="15"/>
      <c r="C19" s="10" t="s">
        <v>137</v>
      </c>
      <c r="D19" s="11" t="s">
        <v>124</v>
      </c>
      <c r="E19" s="36" t="s">
        <v>138</v>
      </c>
      <c r="F19" s="36" t="s">
        <v>139</v>
      </c>
      <c r="G19" s="38" t="s">
        <v>140</v>
      </c>
      <c r="H19" s="13" t="s">
        <v>141</v>
      </c>
      <c r="I19" s="13" t="s">
        <v>142</v>
      </c>
      <c r="J19" s="17" t="s">
        <v>143</v>
      </c>
    </row>
    <row r="20" spans="2:12" ht="30">
      <c r="B20" s="18"/>
      <c r="C20" s="10" t="s">
        <v>144</v>
      </c>
      <c r="D20" s="11" t="s">
        <v>124</v>
      </c>
      <c r="E20" s="36" t="s">
        <v>145</v>
      </c>
      <c r="F20" s="36" t="s">
        <v>146</v>
      </c>
      <c r="G20" s="38" t="s">
        <v>147</v>
      </c>
      <c r="H20" s="13" t="s">
        <v>148</v>
      </c>
      <c r="I20" s="13" t="s">
        <v>149</v>
      </c>
      <c r="J20" s="17" t="s">
        <v>150</v>
      </c>
    </row>
    <row r="21" spans="2:12" ht="90">
      <c r="B21" s="9" t="s">
        <v>151</v>
      </c>
      <c r="C21" s="10" t="s">
        <v>152</v>
      </c>
      <c r="D21" s="11" t="s">
        <v>124</v>
      </c>
      <c r="E21" s="36" t="s">
        <v>153</v>
      </c>
      <c r="F21" s="36" t="s">
        <v>154</v>
      </c>
      <c r="G21" s="38" t="s">
        <v>155</v>
      </c>
      <c r="H21" s="13" t="s">
        <v>156</v>
      </c>
      <c r="I21" s="13" t="s">
        <v>157</v>
      </c>
      <c r="J21" s="17"/>
    </row>
    <row r="22" spans="2:12">
      <c r="B22" s="15"/>
      <c r="C22" s="10" t="s">
        <v>158</v>
      </c>
      <c r="D22" s="11" t="s">
        <v>88</v>
      </c>
      <c r="E22" s="36" t="s">
        <v>159</v>
      </c>
      <c r="F22" s="93" t="s">
        <v>160</v>
      </c>
      <c r="G22" s="38" t="s">
        <v>161</v>
      </c>
      <c r="H22" s="13" t="s">
        <v>162</v>
      </c>
      <c r="I22" s="13" t="s">
        <v>163</v>
      </c>
      <c r="J22" s="17"/>
    </row>
    <row r="23" spans="2:12" ht="45">
      <c r="B23" s="15"/>
      <c r="C23" s="10" t="s">
        <v>164</v>
      </c>
      <c r="D23" s="11" t="s">
        <v>124</v>
      </c>
      <c r="E23" s="36" t="s">
        <v>165</v>
      </c>
      <c r="F23" s="36" t="s">
        <v>166</v>
      </c>
      <c r="G23" s="38" t="s">
        <v>167</v>
      </c>
      <c r="H23" s="13" t="s">
        <v>168</v>
      </c>
      <c r="I23" s="13" t="s">
        <v>167</v>
      </c>
      <c r="J23" s="17"/>
    </row>
    <row r="24" spans="2:12" ht="45">
      <c r="B24" s="18"/>
      <c r="C24" s="10" t="s">
        <v>169</v>
      </c>
      <c r="D24" s="11" t="s">
        <v>124</v>
      </c>
      <c r="E24" s="36" t="s">
        <v>170</v>
      </c>
      <c r="F24" s="36" t="s">
        <v>171</v>
      </c>
      <c r="G24" s="38" t="s">
        <v>172</v>
      </c>
      <c r="H24" s="13" t="s">
        <v>173</v>
      </c>
      <c r="I24" s="13" t="s">
        <v>174</v>
      </c>
      <c r="J24" s="17"/>
    </row>
    <row r="25" spans="2:12" ht="30">
      <c r="B25" s="18"/>
      <c r="C25" s="10" t="s">
        <v>175</v>
      </c>
      <c r="D25" s="11" t="s">
        <v>124</v>
      </c>
      <c r="E25" s="36" t="s">
        <v>176</v>
      </c>
      <c r="F25" s="39" t="s">
        <v>177</v>
      </c>
      <c r="G25" s="39" t="s">
        <v>177</v>
      </c>
      <c r="H25" s="13"/>
      <c r="I25" s="13"/>
      <c r="J25" s="17"/>
      <c r="L25" s="20"/>
    </row>
    <row r="26" spans="2:12" ht="30">
      <c r="B26" s="9" t="s">
        <v>178</v>
      </c>
      <c r="C26" s="10" t="s">
        <v>179</v>
      </c>
      <c r="D26" s="11" t="s">
        <v>124</v>
      </c>
      <c r="E26" s="36" t="s">
        <v>180</v>
      </c>
      <c r="F26" s="36" t="s">
        <v>181</v>
      </c>
      <c r="G26" s="36" t="s">
        <v>182</v>
      </c>
      <c r="H26" s="13" t="s">
        <v>183</v>
      </c>
      <c r="I26" s="13" t="s">
        <v>184</v>
      </c>
      <c r="J26" s="17"/>
    </row>
    <row r="27" spans="2:12" ht="45">
      <c r="B27" s="15"/>
      <c r="C27" s="10" t="s">
        <v>185</v>
      </c>
      <c r="D27" s="11" t="s">
        <v>124</v>
      </c>
      <c r="E27" s="36" t="s">
        <v>186</v>
      </c>
      <c r="F27" s="36" t="s">
        <v>187</v>
      </c>
      <c r="G27" s="38" t="s">
        <v>188</v>
      </c>
      <c r="H27" s="13" t="s">
        <v>189</v>
      </c>
      <c r="I27" s="13" t="s">
        <v>184</v>
      </c>
      <c r="J27" s="17"/>
    </row>
    <row r="28" spans="2:12">
      <c r="B28" s="9" t="s">
        <v>190</v>
      </c>
      <c r="C28" s="10" t="s">
        <v>191</v>
      </c>
      <c r="D28" s="11" t="s">
        <v>124</v>
      </c>
      <c r="E28" s="36" t="s">
        <v>192</v>
      </c>
      <c r="F28" s="36" t="s">
        <v>193</v>
      </c>
      <c r="G28" s="38" t="s">
        <v>159</v>
      </c>
      <c r="H28" s="13" t="s">
        <v>159</v>
      </c>
      <c r="I28" s="13" t="s">
        <v>194</v>
      </c>
      <c r="J28" s="17"/>
    </row>
    <row r="29" spans="2:12" ht="60">
      <c r="B29" s="15"/>
      <c r="C29" s="10" t="s">
        <v>195</v>
      </c>
      <c r="D29" s="11" t="s">
        <v>124</v>
      </c>
      <c r="E29" s="29" t="s">
        <v>196</v>
      </c>
      <c r="F29" s="29" t="s">
        <v>197</v>
      </c>
      <c r="G29" t="s">
        <v>198</v>
      </c>
      <c r="H29" s="13" t="s">
        <v>199</v>
      </c>
      <c r="I29" s="13" t="s">
        <v>200</v>
      </c>
      <c r="J29" s="78" t="s">
        <v>201</v>
      </c>
    </row>
    <row r="30" spans="2:12">
      <c r="B30" s="15"/>
      <c r="C30" s="10" t="s">
        <v>202</v>
      </c>
      <c r="D30" s="11" t="s">
        <v>124</v>
      </c>
      <c r="E30" s="36" t="s">
        <v>203</v>
      </c>
      <c r="F30" s="36" t="s">
        <v>204</v>
      </c>
      <c r="G30" s="38" t="s">
        <v>205</v>
      </c>
      <c r="H30" s="13" t="s">
        <v>159</v>
      </c>
      <c r="I30" s="13" t="s">
        <v>206</v>
      </c>
      <c r="J30" s="17"/>
    </row>
    <row r="31" spans="2:12">
      <c r="B31" s="15"/>
      <c r="C31" s="10" t="s">
        <v>207</v>
      </c>
      <c r="D31" s="11" t="s">
        <v>124</v>
      </c>
      <c r="E31" s="36" t="s">
        <v>208</v>
      </c>
      <c r="F31" s="36" t="s">
        <v>209</v>
      </c>
      <c r="G31" s="38" t="s">
        <v>210</v>
      </c>
      <c r="H31" s="13" t="s">
        <v>211</v>
      </c>
      <c r="I31" s="13" t="s">
        <v>212</v>
      </c>
      <c r="J31" s="17"/>
    </row>
    <row r="32" spans="2:12" ht="45">
      <c r="B32" s="15"/>
      <c r="C32" s="10" t="s">
        <v>213</v>
      </c>
      <c r="D32" s="11" t="s">
        <v>124</v>
      </c>
      <c r="E32" s="36" t="s">
        <v>214</v>
      </c>
      <c r="F32" s="37" t="s">
        <v>215</v>
      </c>
      <c r="G32" s="38" t="s">
        <v>216</v>
      </c>
      <c r="H32" s="13" t="s">
        <v>217</v>
      </c>
      <c r="I32" s="13" t="s">
        <v>218</v>
      </c>
      <c r="J32" s="17"/>
    </row>
    <row r="33" spans="2:10" ht="45">
      <c r="B33" s="15"/>
      <c r="C33" s="10" t="s">
        <v>219</v>
      </c>
      <c r="D33" s="11" t="s">
        <v>124</v>
      </c>
      <c r="E33" s="36" t="s">
        <v>220</v>
      </c>
      <c r="F33" s="36" t="s">
        <v>221</v>
      </c>
      <c r="G33" s="38" t="s">
        <v>222</v>
      </c>
      <c r="H33" s="13" t="s">
        <v>223</v>
      </c>
      <c r="I33" s="13" t="s">
        <v>224</v>
      </c>
      <c r="J33" s="14" t="s">
        <v>225</v>
      </c>
    </row>
    <row r="34" spans="2:10">
      <c r="B34" s="15"/>
      <c r="C34" s="10" t="s">
        <v>226</v>
      </c>
      <c r="D34" s="11" t="s">
        <v>88</v>
      </c>
      <c r="E34" s="36" t="s">
        <v>227</v>
      </c>
      <c r="F34" s="36" t="s">
        <v>228</v>
      </c>
      <c r="G34" s="38" t="s">
        <v>229</v>
      </c>
      <c r="H34" s="13" t="s">
        <v>230</v>
      </c>
      <c r="I34" s="13" t="s">
        <v>231</v>
      </c>
      <c r="J34" s="17"/>
    </row>
    <row r="35" spans="2:10">
      <c r="B35" s="15"/>
      <c r="C35" s="10" t="s">
        <v>232</v>
      </c>
      <c r="D35" s="11" t="s">
        <v>124</v>
      </c>
      <c r="E35" s="36" t="s">
        <v>233</v>
      </c>
      <c r="F35" s="36" t="s">
        <v>189</v>
      </c>
      <c r="G35" s="38" t="s">
        <v>234</v>
      </c>
      <c r="H35" s="13" t="s">
        <v>235</v>
      </c>
      <c r="I35" s="13" t="s">
        <v>234</v>
      </c>
      <c r="J35" s="17"/>
    </row>
    <row r="36" spans="2:10">
      <c r="B36" s="15"/>
      <c r="C36" s="10" t="s">
        <v>236</v>
      </c>
      <c r="D36" s="11" t="s">
        <v>124</v>
      </c>
      <c r="E36" s="36" t="s">
        <v>192</v>
      </c>
      <c r="F36" s="36" t="s">
        <v>237</v>
      </c>
      <c r="G36" s="38" t="s">
        <v>159</v>
      </c>
      <c r="H36" s="13" t="s">
        <v>159</v>
      </c>
      <c r="I36" s="13" t="s">
        <v>238</v>
      </c>
      <c r="J36" s="17"/>
    </row>
    <row r="37" spans="2:10" ht="30">
      <c r="B37" s="15"/>
      <c r="C37" s="10" t="s">
        <v>239</v>
      </c>
      <c r="D37" s="11" t="s">
        <v>124</v>
      </c>
      <c r="E37" s="36" t="s">
        <v>240</v>
      </c>
      <c r="F37" s="36" t="s">
        <v>241</v>
      </c>
      <c r="G37" s="38" t="s">
        <v>242</v>
      </c>
      <c r="H37" s="13" t="s">
        <v>243</v>
      </c>
      <c r="I37" s="13" t="s">
        <v>98</v>
      </c>
      <c r="J37" s="17"/>
    </row>
    <row r="38" spans="2:10">
      <c r="B38" s="18"/>
      <c r="C38" s="10" t="s">
        <v>244</v>
      </c>
      <c r="D38" s="11" t="s">
        <v>124</v>
      </c>
      <c r="E38" s="36" t="s">
        <v>192</v>
      </c>
      <c r="F38" s="36" t="s">
        <v>245</v>
      </c>
      <c r="G38" s="38" t="s">
        <v>159</v>
      </c>
      <c r="H38" s="13" t="s">
        <v>211</v>
      </c>
      <c r="I38" s="13" t="s">
        <v>212</v>
      </c>
      <c r="J38" s="17"/>
    </row>
    <row r="39" spans="2:10" ht="45">
      <c r="B39" s="9" t="s">
        <v>246</v>
      </c>
      <c r="C39" s="10" t="s">
        <v>247</v>
      </c>
      <c r="D39" s="11" t="s">
        <v>124</v>
      </c>
      <c r="E39" s="36" t="s">
        <v>248</v>
      </c>
      <c r="F39" s="36" t="s">
        <v>249</v>
      </c>
      <c r="G39" s="38" t="s">
        <v>250</v>
      </c>
      <c r="H39" s="13" t="s">
        <v>251</v>
      </c>
      <c r="I39" s="13" t="s">
        <v>252</v>
      </c>
      <c r="J39" s="17"/>
    </row>
    <row r="40" spans="2:10" ht="30">
      <c r="B40" s="15"/>
      <c r="C40" s="10" t="s">
        <v>253</v>
      </c>
      <c r="D40" s="11" t="s">
        <v>124</v>
      </c>
      <c r="E40" s="36" t="s">
        <v>248</v>
      </c>
      <c r="F40" s="36" t="s">
        <v>254</v>
      </c>
      <c r="G40" s="38" t="s">
        <v>255</v>
      </c>
      <c r="H40" s="13" t="s">
        <v>256</v>
      </c>
      <c r="I40" s="13" t="s">
        <v>257</v>
      </c>
      <c r="J40" s="17"/>
    </row>
    <row r="41" spans="2:10" ht="120">
      <c r="B41" s="15"/>
      <c r="C41" s="10" t="s">
        <v>258</v>
      </c>
      <c r="D41" s="11" t="s">
        <v>124</v>
      </c>
      <c r="E41" s="36" t="s">
        <v>259</v>
      </c>
      <c r="F41" s="36" t="s">
        <v>260</v>
      </c>
      <c r="G41" s="38" t="s">
        <v>261</v>
      </c>
      <c r="H41" s="13" t="s">
        <v>189</v>
      </c>
      <c r="I41" s="13" t="s">
        <v>262</v>
      </c>
      <c r="J41" s="17"/>
    </row>
    <row r="42" spans="2:10" ht="45">
      <c r="B42" s="15"/>
      <c r="C42" s="10" t="s">
        <v>263</v>
      </c>
      <c r="D42" s="11" t="s">
        <v>124</v>
      </c>
      <c r="E42" s="36" t="s">
        <v>264</v>
      </c>
      <c r="F42" s="36" t="s">
        <v>265</v>
      </c>
      <c r="G42" s="38" t="s">
        <v>266</v>
      </c>
      <c r="H42" s="13" t="s">
        <v>189</v>
      </c>
      <c r="I42" s="13" t="s">
        <v>267</v>
      </c>
      <c r="J42" s="14" t="s">
        <v>268</v>
      </c>
    </row>
    <row r="43" spans="2:10" ht="45">
      <c r="B43" s="15"/>
      <c r="C43" s="10" t="s">
        <v>269</v>
      </c>
      <c r="D43" s="11" t="s">
        <v>124</v>
      </c>
      <c r="E43" s="36" t="s">
        <v>270</v>
      </c>
      <c r="F43" s="36" t="s">
        <v>166</v>
      </c>
      <c r="G43" s="38" t="s">
        <v>271</v>
      </c>
      <c r="H43" s="13"/>
      <c r="I43" s="13" t="s">
        <v>272</v>
      </c>
      <c r="J43" s="17" t="s">
        <v>273</v>
      </c>
    </row>
    <row r="44" spans="2:10">
      <c r="B44" s="15"/>
      <c r="C44" s="10" t="s">
        <v>274</v>
      </c>
      <c r="D44" s="11"/>
      <c r="E44" s="36"/>
      <c r="F44" s="36" t="s">
        <v>275</v>
      </c>
      <c r="G44" s="38"/>
      <c r="H44" s="13"/>
      <c r="I44" s="13" t="s">
        <v>276</v>
      </c>
      <c r="J44" s="17" t="s">
        <v>277</v>
      </c>
    </row>
    <row r="45" spans="2:10" ht="45">
      <c r="B45" s="18"/>
      <c r="C45" s="10" t="s">
        <v>278</v>
      </c>
      <c r="D45" s="11" t="s">
        <v>124</v>
      </c>
      <c r="E45" s="36" t="s">
        <v>279</v>
      </c>
      <c r="F45" s="36" t="s">
        <v>280</v>
      </c>
      <c r="G45" s="36" t="s">
        <v>281</v>
      </c>
      <c r="H45" s="13"/>
      <c r="I45" s="13" t="s">
        <v>281</v>
      </c>
      <c r="J45" s="17"/>
    </row>
    <row r="46" spans="2:10" ht="60">
      <c r="B46" s="9" t="s">
        <v>282</v>
      </c>
      <c r="C46" s="10" t="s">
        <v>283</v>
      </c>
      <c r="D46" s="11" t="s">
        <v>124</v>
      </c>
      <c r="E46" s="36" t="s">
        <v>199</v>
      </c>
      <c r="F46" s="36" t="s">
        <v>284</v>
      </c>
      <c r="G46" s="38"/>
      <c r="H46" s="13" t="s">
        <v>189</v>
      </c>
      <c r="I46" s="13" t="s">
        <v>285</v>
      </c>
      <c r="J46" s="14" t="s">
        <v>286</v>
      </c>
    </row>
    <row r="47" spans="2:10" ht="90">
      <c r="B47" s="15"/>
      <c r="C47" s="10" t="s">
        <v>287</v>
      </c>
      <c r="D47" s="11" t="s">
        <v>124</v>
      </c>
      <c r="E47" s="36" t="s">
        <v>192</v>
      </c>
      <c r="F47" s="37" t="s">
        <v>288</v>
      </c>
      <c r="G47" s="38"/>
      <c r="H47" s="13" t="s">
        <v>189</v>
      </c>
      <c r="I47" s="13" t="s">
        <v>289</v>
      </c>
      <c r="J47" s="14" t="s">
        <v>290</v>
      </c>
    </row>
    <row r="48" spans="2:10">
      <c r="B48" s="15"/>
      <c r="C48" s="10" t="s">
        <v>253</v>
      </c>
      <c r="D48" s="11" t="s">
        <v>124</v>
      </c>
      <c r="E48" s="36" t="s">
        <v>192</v>
      </c>
      <c r="F48" s="36" t="s">
        <v>291</v>
      </c>
      <c r="G48" s="38"/>
      <c r="H48" s="13" t="s">
        <v>189</v>
      </c>
      <c r="I48" s="13" t="s">
        <v>292</v>
      </c>
      <c r="J48" s="17"/>
    </row>
    <row r="49" spans="2:10" ht="30">
      <c r="B49" s="15"/>
      <c r="C49" s="10" t="s">
        <v>293</v>
      </c>
      <c r="D49" s="11" t="s">
        <v>102</v>
      </c>
      <c r="E49" s="36" t="s">
        <v>192</v>
      </c>
      <c r="F49" s="36" t="s">
        <v>294</v>
      </c>
      <c r="G49" s="36"/>
      <c r="H49" s="13"/>
      <c r="I49" s="13"/>
      <c r="J49" s="17"/>
    </row>
  </sheetData>
  <mergeCells count="3">
    <mergeCell ref="F3:G3"/>
    <mergeCell ref="H3:I3"/>
    <mergeCell ref="B5:B15"/>
  </mergeCells>
  <pageMargins left="0.7" right="0.7" top="0.75" bottom="0.75" header="0.511811023622047" footer="0.511811023622047"/>
  <pageSetup orientation="portrait" horizontalDpi="300" verticalDpi="300"/>
  <headerFooter>
    <oddFooter>&amp;L_x000D_&amp;1#&amp;"Aptos"&amp;10&amp;K000000 DC2 -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79998168889431442"/>
  </sheetPr>
  <dimension ref="B2:F29"/>
  <sheetViews>
    <sheetView showGridLines="0" topLeftCell="B1" zoomScale="57" zoomScaleNormal="85" workbookViewId="0">
      <selection activeCell="F6" sqref="F6"/>
    </sheetView>
  </sheetViews>
  <sheetFormatPr defaultColWidth="9.42578125" defaultRowHeight="15"/>
  <cols>
    <col min="1" max="1" width="3.42578125" style="1" customWidth="1"/>
    <col min="2" max="2" width="39.28515625" style="1" customWidth="1"/>
    <col min="3" max="3" width="103.140625" style="1" customWidth="1"/>
    <col min="4" max="4" width="9.42578125" style="1" customWidth="1"/>
    <col min="5" max="5" width="26.7109375" style="1" bestFit="1" customWidth="1"/>
    <col min="6" max="6" width="81.85546875" style="1" customWidth="1"/>
    <col min="7" max="16384" width="9.42578125" style="1"/>
  </cols>
  <sheetData>
    <row r="2" spans="2:6" s="3" customFormat="1" ht="27.6" customHeight="1">
      <c r="B2" s="48" t="str">
        <f t="array" aca="1" ref="B2" ca="1">IFERROR( RIGHT(CELL("filename",A1),LEN(CELL("filename",A1))-FIND("]",CELL("filename",A1))), "Tab title (save and calculate to sync)")</f>
        <v>Tab title (save and calculate to sync)</v>
      </c>
    </row>
    <row r="3" spans="2:6" ht="21">
      <c r="B3" s="47"/>
      <c r="C3" s="47"/>
      <c r="D3" s="47"/>
      <c r="E3" s="47"/>
      <c r="F3" s="47"/>
    </row>
    <row r="4" spans="2:6" ht="21">
      <c r="B4" s="170" t="s">
        <v>295</v>
      </c>
      <c r="C4" s="179"/>
      <c r="D4" s="47"/>
      <c r="E4" s="170" t="s">
        <v>296</v>
      </c>
      <c r="F4" s="179"/>
    </row>
    <row r="5" spans="2:6" ht="131.25">
      <c r="B5" s="24" t="s">
        <v>297</v>
      </c>
      <c r="C5" s="25" t="s">
        <v>298</v>
      </c>
      <c r="D5" s="23"/>
      <c r="E5" s="24" t="s">
        <v>299</v>
      </c>
      <c r="F5" s="25" t="s">
        <v>300</v>
      </c>
    </row>
    <row r="6" spans="2:6" ht="93.75">
      <c r="B6" s="24" t="s">
        <v>301</v>
      </c>
      <c r="C6" s="25" t="s">
        <v>302</v>
      </c>
      <c r="D6" s="23"/>
      <c r="E6" s="24" t="s">
        <v>303</v>
      </c>
      <c r="F6" s="25" t="s">
        <v>304</v>
      </c>
    </row>
    <row r="7" spans="2:6" ht="93.75">
      <c r="B7" s="24" t="s">
        <v>305</v>
      </c>
      <c r="C7" s="25" t="s">
        <v>306</v>
      </c>
      <c r="D7" s="26"/>
      <c r="E7" s="24" t="s">
        <v>307</v>
      </c>
      <c r="F7" s="25" t="s">
        <v>308</v>
      </c>
    </row>
    <row r="8" spans="2:6" ht="36.950000000000003" customHeight="1">
      <c r="B8" s="24" t="s">
        <v>309</v>
      </c>
      <c r="C8" s="25" t="s">
        <v>310</v>
      </c>
      <c r="D8" s="23"/>
      <c r="E8" s="23"/>
      <c r="F8" s="23"/>
    </row>
    <row r="9" spans="2:6" ht="18.600000000000001" customHeight="1">
      <c r="B9" s="46"/>
      <c r="C9" s="46"/>
      <c r="D9" s="46"/>
      <c r="E9" s="46"/>
      <c r="F9" s="46"/>
    </row>
    <row r="10" spans="2:6" ht="36.950000000000003" customHeight="1">
      <c r="D10" s="23"/>
    </row>
    <row r="11" spans="2:6" ht="36.950000000000003" customHeight="1">
      <c r="D11" s="23"/>
    </row>
    <row r="12" spans="2:6" ht="18.600000000000001" customHeight="1">
      <c r="D12" s="23"/>
    </row>
    <row r="13" spans="2:6" ht="36.950000000000003" customHeight="1">
      <c r="D13" s="23"/>
    </row>
    <row r="14" spans="2:6" ht="36.950000000000003" customHeight="1">
      <c r="D14" s="23"/>
    </row>
    <row r="15" spans="2:6" ht="36.950000000000003" customHeight="1">
      <c r="D15" s="23"/>
    </row>
    <row r="16" spans="2:6" ht="36.950000000000003" customHeight="1">
      <c r="D16" s="23"/>
    </row>
    <row r="17" spans="2:4" ht="18.600000000000001" customHeight="1">
      <c r="D17" s="23"/>
    </row>
    <row r="18" spans="2:4" ht="18.600000000000001" customHeight="1">
      <c r="D18" s="23"/>
    </row>
    <row r="19" spans="2:4" ht="74.099999999999994" customHeight="1">
      <c r="D19" s="23"/>
    </row>
    <row r="20" spans="2:4" ht="74.099999999999994" customHeight="1">
      <c r="D20" s="23"/>
    </row>
    <row r="21" spans="2:4" ht="74.099999999999994" customHeight="1">
      <c r="D21" s="23"/>
    </row>
    <row r="22" spans="2:4" ht="18.600000000000001" customHeight="1">
      <c r="B22" s="21"/>
      <c r="C22" s="21"/>
    </row>
    <row r="23" spans="2:4" ht="36.950000000000003" customHeight="1"/>
    <row r="24" spans="2:4" ht="36.950000000000003" customHeight="1"/>
    <row r="26" spans="2:4" ht="18.600000000000001" customHeight="1">
      <c r="B26" s="33"/>
    </row>
    <row r="27" spans="2:4" ht="18.600000000000001" customHeight="1">
      <c r="B27" s="32"/>
    </row>
    <row r="28" spans="2:4" ht="18.600000000000001" customHeight="1">
      <c r="B28" s="32"/>
    </row>
    <row r="29" spans="2:4" ht="18.600000000000001" customHeight="1">
      <c r="B29" s="32"/>
    </row>
  </sheetData>
  <mergeCells count="2">
    <mergeCell ref="E4:F4"/>
    <mergeCell ref="B4:C4"/>
  </mergeCells>
  <pageMargins left="0.7" right="0.7" top="0.75" bottom="0.75" header="0.511811023622047" footer="0.511811023622047"/>
  <pageSetup orientation="portrait" horizontalDpi="300" verticalDpi="300"/>
  <headerFooter>
    <oddFooter>&amp;L_x000D_&amp;1#&amp;"Aptos"&amp;10&amp;K000000 DC2 -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sheetPr>
  <dimension ref="B2:C8"/>
  <sheetViews>
    <sheetView showGridLines="0" zoomScale="75" zoomScaleNormal="75" workbookViewId="0">
      <selection activeCell="C8" sqref="B2:C8"/>
    </sheetView>
  </sheetViews>
  <sheetFormatPr defaultRowHeight="15"/>
  <cols>
    <col min="2" max="2" width="35.5703125" customWidth="1"/>
    <col min="3" max="3" width="159.140625" customWidth="1"/>
  </cols>
  <sheetData>
    <row r="2" spans="2:3">
      <c r="B2" s="7" t="s">
        <v>65</v>
      </c>
      <c r="C2" s="7" t="s">
        <v>311</v>
      </c>
    </row>
    <row r="3" spans="2:3" ht="150">
      <c r="B3" s="160" t="s">
        <v>66</v>
      </c>
      <c r="C3" s="161" t="s">
        <v>312</v>
      </c>
    </row>
    <row r="4" spans="2:3" ht="75">
      <c r="B4" s="160" t="s">
        <v>122</v>
      </c>
      <c r="C4" s="161" t="s">
        <v>313</v>
      </c>
    </row>
    <row r="5" spans="2:3" ht="75">
      <c r="B5" s="162" t="s">
        <v>151</v>
      </c>
      <c r="C5" s="161" t="s">
        <v>314</v>
      </c>
    </row>
    <row r="6" spans="2:3" ht="90">
      <c r="B6" s="160" t="s">
        <v>178</v>
      </c>
      <c r="C6" s="161" t="s">
        <v>315</v>
      </c>
    </row>
    <row r="7" spans="2:3" ht="90">
      <c r="B7" s="162" t="s">
        <v>190</v>
      </c>
      <c r="C7" s="161" t="s">
        <v>316</v>
      </c>
    </row>
    <row r="8" spans="2:3" ht="75">
      <c r="B8" s="160" t="s">
        <v>246</v>
      </c>
      <c r="C8" s="161" t="s">
        <v>317</v>
      </c>
    </row>
  </sheetData>
  <pageMargins left="0.7" right="0.7" top="0.75" bottom="0.75" header="0.3" footer="0.3"/>
  <headerFooter>
    <oddFooter>&amp;L_x000D_&amp;1#&amp;"Aptos"&amp;10&amp;K000000 DC2 - Restricted</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sheetPr>
  <dimension ref="B2:M51"/>
  <sheetViews>
    <sheetView showGridLines="0" tabSelected="1" zoomScale="85" zoomScaleNormal="85" workbookViewId="0">
      <pane xSplit="4" ySplit="4" topLeftCell="E18" activePane="bottomRight" state="frozen"/>
      <selection pane="bottomRight" activeCell="F19" sqref="F19"/>
      <selection pane="bottomLeft" activeCell="G23" sqref="G23"/>
      <selection pane="topRight" activeCell="G23" sqref="G23"/>
    </sheetView>
  </sheetViews>
  <sheetFormatPr defaultColWidth="55.140625" defaultRowHeight="15"/>
  <cols>
    <col min="1" max="1" width="1.85546875" style="1" customWidth="1"/>
    <col min="2" max="2" width="13.5703125" style="1" customWidth="1"/>
    <col min="3" max="3" width="14.5703125" style="2" customWidth="1"/>
    <col min="4" max="4" width="12.85546875" style="1" customWidth="1"/>
    <col min="5" max="5" width="27.42578125" style="1" customWidth="1"/>
    <col min="6" max="6" width="65.28515625" style="2" customWidth="1"/>
    <col min="7" max="7" width="52.85546875" style="1" bestFit="1" customWidth="1"/>
    <col min="8" max="9" width="29.7109375" style="1" customWidth="1"/>
    <col min="10" max="10" width="31" style="2" customWidth="1"/>
    <col min="11" max="11" width="9.42578125" style="2" customWidth="1"/>
    <col min="12" max="12" width="82.140625" style="1" customWidth="1"/>
    <col min="13" max="13" width="55.140625" style="1" customWidth="1"/>
    <col min="14" max="16384" width="55.140625" style="1"/>
  </cols>
  <sheetData>
    <row r="2" spans="2:13" s="3" customFormat="1" ht="27.6" customHeight="1">
      <c r="B2" s="4" t="str">
        <f t="array" aca="1" ref="B2" ca="1">IFERROR( RIGHT(CELL("filename",A1),LEN(CELL("filename",A1))-FIND("]",CELL("filename",A1))), "Tab title (save and calculate to sync)")</f>
        <v>Tab title (save and calculate to sync)</v>
      </c>
      <c r="C2" s="5"/>
      <c r="F2" s="5"/>
      <c r="J2" s="5"/>
      <c r="L2" s="5"/>
    </row>
    <row r="3" spans="2:13">
      <c r="E3" s="6"/>
      <c r="F3" s="163" t="s">
        <v>53</v>
      </c>
      <c r="G3" s="180"/>
      <c r="H3" s="30" t="s">
        <v>318</v>
      </c>
      <c r="I3" s="31"/>
    </row>
    <row r="4" spans="2:13" ht="29.1" customHeight="1">
      <c r="B4" s="7" t="s">
        <v>55</v>
      </c>
      <c r="C4" s="8" t="s">
        <v>56</v>
      </c>
      <c r="D4" s="8" t="s">
        <v>319</v>
      </c>
      <c r="E4" s="8" t="s">
        <v>58</v>
      </c>
      <c r="F4" s="8" t="s">
        <v>59</v>
      </c>
      <c r="G4" s="7" t="s">
        <v>60</v>
      </c>
      <c r="H4" s="8" t="s">
        <v>61</v>
      </c>
      <c r="I4" s="8" t="s">
        <v>62</v>
      </c>
      <c r="J4" s="8" t="s">
        <v>63</v>
      </c>
      <c r="L4" s="8" t="s">
        <v>64</v>
      </c>
      <c r="M4" s="7" t="s">
        <v>65</v>
      </c>
    </row>
    <row r="5" spans="2:13" s="143" customFormat="1" ht="60" customHeight="1">
      <c r="B5" s="164" t="s">
        <v>66</v>
      </c>
      <c r="C5" s="150" t="s">
        <v>67</v>
      </c>
      <c r="D5" s="151" t="s">
        <v>77</v>
      </c>
      <c r="E5" s="152" t="s">
        <v>320</v>
      </c>
      <c r="F5" s="152" t="s">
        <v>69</v>
      </c>
      <c r="G5" s="152" t="s">
        <v>321</v>
      </c>
      <c r="H5" s="138" t="s">
        <v>71</v>
      </c>
      <c r="I5" s="138" t="s">
        <v>67</v>
      </c>
      <c r="J5" s="153"/>
      <c r="K5" s="142"/>
      <c r="L5" s="141"/>
      <c r="M5" s="141"/>
    </row>
    <row r="6" spans="2:13" ht="45">
      <c r="B6" s="165"/>
      <c r="C6" s="62" t="s">
        <v>322</v>
      </c>
      <c r="D6" s="58"/>
      <c r="E6" s="37" t="s">
        <v>323</v>
      </c>
      <c r="F6" s="37" t="s">
        <v>324</v>
      </c>
      <c r="G6" s="37" t="s">
        <v>325</v>
      </c>
      <c r="H6" s="13"/>
      <c r="I6" s="13"/>
      <c r="J6" s="59" t="s">
        <v>326</v>
      </c>
      <c r="L6" s="60"/>
      <c r="M6" s="60"/>
    </row>
    <row r="7" spans="2:13" ht="30">
      <c r="B7" s="165"/>
      <c r="C7" s="62" t="s">
        <v>327</v>
      </c>
      <c r="D7" s="58"/>
      <c r="E7" s="37" t="s">
        <v>328</v>
      </c>
      <c r="F7" s="37" t="s">
        <v>329</v>
      </c>
      <c r="G7" s="37" t="s">
        <v>330</v>
      </c>
      <c r="H7" s="13"/>
      <c r="I7" s="13"/>
      <c r="J7" s="59"/>
      <c r="L7" s="60"/>
      <c r="M7" s="60"/>
    </row>
    <row r="8" spans="2:13" ht="75" customHeight="1">
      <c r="B8" s="165"/>
      <c r="C8" s="62" t="s">
        <v>76</v>
      </c>
      <c r="D8" s="58" t="s">
        <v>77</v>
      </c>
      <c r="E8" s="37" t="s">
        <v>78</v>
      </c>
      <c r="F8" s="66" t="s">
        <v>79</v>
      </c>
      <c r="G8" s="61" t="s">
        <v>80</v>
      </c>
      <c r="H8" s="13" t="s">
        <v>81</v>
      </c>
      <c r="I8" s="13"/>
      <c r="J8" s="59" t="s">
        <v>82</v>
      </c>
      <c r="L8" s="60"/>
      <c r="M8" s="60"/>
    </row>
    <row r="9" spans="2:13" ht="75" customHeight="1">
      <c r="B9" s="165"/>
      <c r="C9" s="62" t="s">
        <v>83</v>
      </c>
      <c r="D9" s="58" t="s">
        <v>77</v>
      </c>
      <c r="E9" s="37" t="s">
        <v>331</v>
      </c>
      <c r="F9" s="66" t="s">
        <v>85</v>
      </c>
      <c r="G9" s="37" t="s">
        <v>331</v>
      </c>
      <c r="H9" s="13" t="s">
        <v>86</v>
      </c>
      <c r="I9" s="13"/>
      <c r="J9" s="59" t="s">
        <v>82</v>
      </c>
      <c r="L9" s="60"/>
      <c r="M9" s="60"/>
    </row>
    <row r="10" spans="2:13" ht="75" customHeight="1">
      <c r="B10" s="165"/>
      <c r="C10" s="62" t="s">
        <v>87</v>
      </c>
      <c r="D10" s="58" t="s">
        <v>88</v>
      </c>
      <c r="E10" s="37" t="s">
        <v>332</v>
      </c>
      <c r="F10" s="66" t="s">
        <v>90</v>
      </c>
      <c r="G10" s="37" t="s">
        <v>332</v>
      </c>
      <c r="H10" s="13" t="s">
        <v>91</v>
      </c>
      <c r="I10" s="13"/>
      <c r="J10" s="59" t="s">
        <v>82</v>
      </c>
      <c r="L10" s="60"/>
      <c r="M10" s="60"/>
    </row>
    <row r="11" spans="2:13" ht="29.1" customHeight="1">
      <c r="B11" s="165"/>
      <c r="C11" s="62" t="s">
        <v>92</v>
      </c>
      <c r="D11" s="58"/>
      <c r="E11" s="27"/>
      <c r="F11" s="27"/>
      <c r="G11" s="58"/>
      <c r="H11" s="13"/>
      <c r="I11" s="13"/>
      <c r="J11" s="59"/>
      <c r="L11" s="60"/>
      <c r="M11" s="60"/>
    </row>
    <row r="12" spans="2:13" ht="29.1" customHeight="1">
      <c r="B12" s="165"/>
      <c r="C12" s="62" t="s">
        <v>93</v>
      </c>
      <c r="D12" s="58"/>
      <c r="E12" s="27"/>
      <c r="F12" s="27"/>
      <c r="G12" s="58"/>
      <c r="H12" s="13"/>
      <c r="I12" s="13"/>
      <c r="J12" s="59"/>
      <c r="L12" s="60"/>
      <c r="M12" s="60"/>
    </row>
    <row r="13" spans="2:13" ht="72.599999999999994" customHeight="1">
      <c r="B13" s="165"/>
      <c r="C13" s="10" t="s">
        <v>101</v>
      </c>
      <c r="D13" s="11"/>
      <c r="E13" s="27" t="s">
        <v>333</v>
      </c>
      <c r="F13" s="27" t="s">
        <v>334</v>
      </c>
      <c r="G13" s="11"/>
      <c r="H13" s="13"/>
      <c r="I13" s="13" t="s">
        <v>107</v>
      </c>
      <c r="J13" s="14" t="s">
        <v>335</v>
      </c>
      <c r="L13" s="2" t="s">
        <v>336</v>
      </c>
      <c r="M13" s="2" t="s">
        <v>337</v>
      </c>
    </row>
    <row r="14" spans="2:13" ht="72.599999999999994" customHeight="1">
      <c r="B14" s="165"/>
      <c r="C14" s="10" t="s">
        <v>338</v>
      </c>
      <c r="D14" s="11"/>
      <c r="E14" s="29"/>
      <c r="F14" s="29" t="s">
        <v>339</v>
      </c>
      <c r="G14" s="11"/>
      <c r="H14" s="13"/>
      <c r="I14" s="13" t="s">
        <v>107</v>
      </c>
      <c r="J14" s="133" t="s">
        <v>340</v>
      </c>
      <c r="L14" s="2" t="s">
        <v>341</v>
      </c>
      <c r="M14" s="1" t="s">
        <v>342</v>
      </c>
    </row>
    <row r="15" spans="2:13" ht="135">
      <c r="B15" s="165"/>
      <c r="C15" s="10" t="s">
        <v>116</v>
      </c>
      <c r="D15" s="16"/>
      <c r="E15" s="29" t="s">
        <v>343</v>
      </c>
      <c r="F15" s="29" t="s">
        <v>344</v>
      </c>
      <c r="G15" s="11" t="s">
        <v>345</v>
      </c>
      <c r="H15" s="13" t="s">
        <v>346</v>
      </c>
      <c r="I15" s="13" t="s">
        <v>118</v>
      </c>
      <c r="J15" s="14" t="s">
        <v>347</v>
      </c>
      <c r="L15" s="2" t="s">
        <v>348</v>
      </c>
      <c r="M15" s="1" t="s">
        <v>349</v>
      </c>
    </row>
    <row r="16" spans="2:13" ht="29.1" customHeight="1">
      <c r="B16" s="165"/>
      <c r="C16" s="10" t="s">
        <v>350</v>
      </c>
      <c r="D16" s="16"/>
      <c r="E16" s="29" t="s">
        <v>351</v>
      </c>
      <c r="F16" s="29" t="s">
        <v>352</v>
      </c>
      <c r="G16" s="11"/>
      <c r="H16" s="13"/>
      <c r="I16" s="13"/>
      <c r="J16" s="14" t="s">
        <v>353</v>
      </c>
      <c r="L16" s="2"/>
    </row>
    <row r="17" spans="2:12" ht="58.5" customHeight="1">
      <c r="B17" s="166"/>
      <c r="C17" s="10" t="s">
        <v>121</v>
      </c>
      <c r="D17" s="11"/>
      <c r="E17" s="29" t="s">
        <v>354</v>
      </c>
      <c r="F17" s="29" t="s">
        <v>355</v>
      </c>
      <c r="G17" s="11"/>
      <c r="H17" s="13"/>
      <c r="I17" s="13" t="s">
        <v>98</v>
      </c>
      <c r="J17" s="34"/>
      <c r="L17" s="2" t="s">
        <v>356</v>
      </c>
    </row>
    <row r="18" spans="2:12" s="143" customFormat="1" ht="195">
      <c r="B18" s="134" t="s">
        <v>122</v>
      </c>
      <c r="C18" s="135" t="s">
        <v>123</v>
      </c>
      <c r="D18" s="136"/>
      <c r="E18" s="137" t="s">
        <v>357</v>
      </c>
      <c r="F18" s="137" t="s">
        <v>358</v>
      </c>
      <c r="G18" s="136"/>
      <c r="H18" s="138"/>
      <c r="I18" s="139" t="s">
        <v>129</v>
      </c>
      <c r="J18" s="153" t="s">
        <v>359</v>
      </c>
      <c r="K18" s="141"/>
      <c r="L18" s="142" t="s">
        <v>360</v>
      </c>
    </row>
    <row r="19" spans="2:12" s="143" customFormat="1" ht="43.5" customHeight="1">
      <c r="B19" s="144"/>
      <c r="C19" s="135" t="s">
        <v>131</v>
      </c>
      <c r="D19" s="136"/>
      <c r="E19" s="145" t="s">
        <v>361</v>
      </c>
      <c r="F19" s="145" t="s">
        <v>362</v>
      </c>
      <c r="G19" s="146" t="s">
        <v>363</v>
      </c>
      <c r="H19" s="138" t="s">
        <v>364</v>
      </c>
      <c r="I19" s="138" t="s">
        <v>136</v>
      </c>
      <c r="J19" s="147"/>
      <c r="K19" s="142"/>
      <c r="L19" s="142" t="s">
        <v>365</v>
      </c>
    </row>
    <row r="20" spans="2:12" s="143" customFormat="1" ht="147" customHeight="1">
      <c r="B20" s="144"/>
      <c r="C20" s="135" t="s">
        <v>137</v>
      </c>
      <c r="D20" s="136"/>
      <c r="E20" s="137" t="s">
        <v>366</v>
      </c>
      <c r="F20" s="137" t="s">
        <v>367</v>
      </c>
      <c r="G20" s="146" t="s">
        <v>368</v>
      </c>
      <c r="H20" s="138" t="s">
        <v>369</v>
      </c>
      <c r="I20" s="138" t="s">
        <v>142</v>
      </c>
      <c r="J20" s="147"/>
      <c r="K20" s="142"/>
      <c r="L20" s="142" t="s">
        <v>370</v>
      </c>
    </row>
    <row r="21" spans="2:12" s="143" customFormat="1" ht="43.5" customHeight="1">
      <c r="B21" s="148"/>
      <c r="C21" s="135" t="s">
        <v>144</v>
      </c>
      <c r="D21" s="136"/>
      <c r="E21" s="137" t="s">
        <v>149</v>
      </c>
      <c r="F21" s="137" t="s">
        <v>371</v>
      </c>
      <c r="G21" s="137" t="s">
        <v>149</v>
      </c>
      <c r="H21" s="138"/>
      <c r="I21" s="138" t="s">
        <v>149</v>
      </c>
      <c r="J21" s="147"/>
      <c r="K21" s="142"/>
      <c r="L21" s="142" t="s">
        <v>372</v>
      </c>
    </row>
    <row r="22" spans="2:12" s="143" customFormat="1" ht="188.45" customHeight="1">
      <c r="B22" s="134" t="s">
        <v>151</v>
      </c>
      <c r="C22" s="135" t="s">
        <v>152</v>
      </c>
      <c r="D22" s="136"/>
      <c r="E22" s="137" t="s">
        <v>373</v>
      </c>
      <c r="F22" s="137" t="s">
        <v>374</v>
      </c>
      <c r="G22" s="149" t="s">
        <v>375</v>
      </c>
      <c r="H22" s="138" t="s">
        <v>376</v>
      </c>
      <c r="I22" s="138" t="s">
        <v>377</v>
      </c>
      <c r="J22" s="140" t="s">
        <v>378</v>
      </c>
      <c r="K22" s="142"/>
      <c r="L22" s="142" t="s">
        <v>379</v>
      </c>
    </row>
    <row r="23" spans="2:12">
      <c r="B23" s="15"/>
      <c r="C23" s="10" t="s">
        <v>158</v>
      </c>
      <c r="D23" s="11"/>
      <c r="E23" s="29"/>
      <c r="F23" s="29"/>
      <c r="G23" s="11"/>
      <c r="H23" s="13"/>
      <c r="I23" s="13" t="s">
        <v>98</v>
      </c>
      <c r="J23" s="34"/>
      <c r="L23" s="2" t="s">
        <v>380</v>
      </c>
    </row>
    <row r="24" spans="2:12" ht="43.5" customHeight="1">
      <c r="B24" s="15"/>
      <c r="C24" s="10" t="s">
        <v>164</v>
      </c>
      <c r="D24" s="11"/>
      <c r="E24" s="29"/>
      <c r="F24" s="29" t="s">
        <v>381</v>
      </c>
      <c r="G24" s="11"/>
      <c r="H24" s="13"/>
      <c r="I24" s="13" t="s">
        <v>167</v>
      </c>
      <c r="J24" s="34"/>
      <c r="L24" s="2" t="s">
        <v>382</v>
      </c>
    </row>
    <row r="25" spans="2:12" ht="43.5" customHeight="1">
      <c r="B25" s="18"/>
      <c r="C25" s="10" t="s">
        <v>169</v>
      </c>
      <c r="D25" s="11"/>
      <c r="E25" s="27" t="s">
        <v>383</v>
      </c>
      <c r="F25" s="27" t="s">
        <v>384</v>
      </c>
      <c r="G25" s="11"/>
      <c r="H25" s="13"/>
      <c r="I25" s="13" t="s">
        <v>385</v>
      </c>
      <c r="J25" s="14" t="s">
        <v>386</v>
      </c>
    </row>
    <row r="26" spans="2:12" ht="130.5" customHeight="1">
      <c r="B26" s="18"/>
      <c r="C26" s="10" t="s">
        <v>387</v>
      </c>
      <c r="D26" s="11"/>
      <c r="E26" s="27" t="s">
        <v>388</v>
      </c>
      <c r="F26" s="27" t="s">
        <v>389</v>
      </c>
      <c r="G26" s="11"/>
      <c r="H26" s="13"/>
      <c r="I26" s="13"/>
      <c r="J26" s="14" t="s">
        <v>390</v>
      </c>
    </row>
    <row r="27" spans="2:12" ht="30">
      <c r="B27" s="18"/>
      <c r="C27" s="10" t="s">
        <v>175</v>
      </c>
      <c r="D27" s="11"/>
      <c r="E27" s="29"/>
      <c r="F27" s="28" t="s">
        <v>177</v>
      </c>
      <c r="G27" s="19"/>
      <c r="H27" s="13"/>
      <c r="I27" s="13"/>
      <c r="J27" s="34"/>
      <c r="L27" s="20" t="s">
        <v>391</v>
      </c>
    </row>
    <row r="28" spans="2:12" s="143" customFormat="1" ht="96" customHeight="1">
      <c r="B28" s="134" t="s">
        <v>178</v>
      </c>
      <c r="C28" s="135" t="s">
        <v>179</v>
      </c>
      <c r="D28" s="136"/>
      <c r="E28" s="137" t="s">
        <v>392</v>
      </c>
      <c r="F28" s="137" t="s">
        <v>393</v>
      </c>
      <c r="G28" s="146" t="s">
        <v>394</v>
      </c>
      <c r="H28" s="138" t="s">
        <v>395</v>
      </c>
      <c r="I28" s="138" t="s">
        <v>184</v>
      </c>
      <c r="J28" s="140" t="s">
        <v>396</v>
      </c>
      <c r="K28" s="142"/>
      <c r="L28" s="142" t="s">
        <v>397</v>
      </c>
    </row>
    <row r="29" spans="2:12" s="143" customFormat="1" ht="43.5" customHeight="1">
      <c r="B29" s="144"/>
      <c r="C29" s="135" t="s">
        <v>185</v>
      </c>
      <c r="D29" s="136"/>
      <c r="E29" s="137" t="s">
        <v>398</v>
      </c>
      <c r="F29" s="145" t="s">
        <v>399</v>
      </c>
      <c r="G29" s="136"/>
      <c r="H29" s="138"/>
      <c r="I29" s="138" t="s">
        <v>184</v>
      </c>
      <c r="J29" s="147"/>
      <c r="K29" s="142"/>
      <c r="L29" s="142" t="s">
        <v>400</v>
      </c>
    </row>
    <row r="30" spans="2:12" ht="60">
      <c r="B30" s="9" t="s">
        <v>190</v>
      </c>
      <c r="C30" s="10" t="s">
        <v>191</v>
      </c>
      <c r="D30" s="11"/>
      <c r="E30" s="27" t="s">
        <v>401</v>
      </c>
      <c r="F30" s="27" t="s">
        <v>402</v>
      </c>
      <c r="G30" s="27" t="s">
        <v>401</v>
      </c>
      <c r="H30" s="79"/>
      <c r="I30" s="79" t="s">
        <v>194</v>
      </c>
      <c r="J30" s="34"/>
      <c r="L30" s="2" t="s">
        <v>403</v>
      </c>
    </row>
    <row r="31" spans="2:12" ht="60">
      <c r="B31" s="15"/>
      <c r="C31" s="10" t="s">
        <v>195</v>
      </c>
      <c r="D31" s="11"/>
      <c r="E31" s="29" t="s">
        <v>196</v>
      </c>
      <c r="F31" s="29" t="s">
        <v>404</v>
      </c>
      <c r="G31" t="s">
        <v>198</v>
      </c>
      <c r="H31" s="13" t="s">
        <v>405</v>
      </c>
      <c r="I31" s="13" t="s">
        <v>406</v>
      </c>
      <c r="J31" s="34" t="s">
        <v>201</v>
      </c>
      <c r="L31" s="2" t="s">
        <v>407</v>
      </c>
    </row>
    <row r="32" spans="2:12">
      <c r="B32" s="15"/>
      <c r="C32" s="10" t="s">
        <v>202</v>
      </c>
      <c r="D32" s="11"/>
      <c r="E32" s="27" t="s">
        <v>408</v>
      </c>
      <c r="F32" s="27" t="s">
        <v>409</v>
      </c>
      <c r="G32" s="11"/>
      <c r="H32" s="13"/>
      <c r="I32" s="13" t="s">
        <v>206</v>
      </c>
      <c r="J32" s="34"/>
      <c r="L32" s="2" t="s">
        <v>410</v>
      </c>
    </row>
    <row r="33" spans="2:12" s="159" customFormat="1" ht="45">
      <c r="B33" s="144"/>
      <c r="C33" s="135" t="s">
        <v>207</v>
      </c>
      <c r="D33" s="151"/>
      <c r="E33" s="145"/>
      <c r="F33" s="145"/>
      <c r="G33" s="151"/>
      <c r="H33" s="138"/>
      <c r="I33" s="138" t="s">
        <v>212</v>
      </c>
      <c r="J33" s="153" t="s">
        <v>411</v>
      </c>
      <c r="K33" s="141"/>
      <c r="L33" s="141" t="s">
        <v>412</v>
      </c>
    </row>
    <row r="34" spans="2:12" ht="29.1" customHeight="1">
      <c r="B34" s="15"/>
      <c r="C34" s="10" t="s">
        <v>213</v>
      </c>
      <c r="D34" s="11"/>
      <c r="E34" s="27" t="s">
        <v>413</v>
      </c>
      <c r="F34" s="27" t="s">
        <v>414</v>
      </c>
      <c r="G34" s="11"/>
      <c r="H34" s="13"/>
      <c r="I34" s="13" t="s">
        <v>218</v>
      </c>
      <c r="J34" s="34"/>
      <c r="L34" s="2" t="s">
        <v>415</v>
      </c>
    </row>
    <row r="35" spans="2:12" ht="29.1" customHeight="1">
      <c r="B35" s="15"/>
      <c r="C35" s="10" t="s">
        <v>416</v>
      </c>
      <c r="D35" s="11"/>
      <c r="E35" s="29"/>
      <c r="F35" s="29" t="s">
        <v>417</v>
      </c>
      <c r="G35" s="11"/>
      <c r="H35" s="13"/>
      <c r="I35" s="13" t="s">
        <v>224</v>
      </c>
      <c r="J35" s="14"/>
    </row>
    <row r="36" spans="2:12" ht="30">
      <c r="B36" s="15"/>
      <c r="C36" s="10" t="s">
        <v>226</v>
      </c>
      <c r="D36" s="11"/>
      <c r="E36" s="29" t="s">
        <v>418</v>
      </c>
      <c r="F36" s="29" t="s">
        <v>419</v>
      </c>
      <c r="G36" s="11" t="s">
        <v>418</v>
      </c>
      <c r="H36" s="13"/>
      <c r="I36" s="13" t="s">
        <v>231</v>
      </c>
      <c r="J36" s="34"/>
    </row>
    <row r="37" spans="2:12" ht="29.1" customHeight="1">
      <c r="B37" s="15"/>
      <c r="C37" s="10" t="s">
        <v>232</v>
      </c>
      <c r="D37" s="11"/>
      <c r="E37" s="27" t="s">
        <v>420</v>
      </c>
      <c r="F37" s="27" t="s">
        <v>421</v>
      </c>
      <c r="G37" s="11" t="s">
        <v>422</v>
      </c>
      <c r="H37" s="13"/>
      <c r="I37" s="13" t="s">
        <v>234</v>
      </c>
      <c r="J37" s="34"/>
    </row>
    <row r="38" spans="2:12" ht="30">
      <c r="B38" s="15"/>
      <c r="C38" s="10" t="s">
        <v>236</v>
      </c>
      <c r="D38" s="11"/>
      <c r="E38" s="29" t="s">
        <v>423</v>
      </c>
      <c r="F38" s="29" t="s">
        <v>424</v>
      </c>
      <c r="G38" s="58"/>
      <c r="H38" s="13"/>
      <c r="I38" s="13" t="s">
        <v>238</v>
      </c>
      <c r="J38" s="34"/>
    </row>
    <row r="39" spans="2:12" ht="30">
      <c r="B39" s="15"/>
      <c r="C39" s="10" t="s">
        <v>239</v>
      </c>
      <c r="D39" s="11"/>
      <c r="E39" s="29"/>
      <c r="F39" s="29"/>
      <c r="G39" s="58"/>
      <c r="H39" s="13"/>
      <c r="I39" s="13" t="s">
        <v>98</v>
      </c>
      <c r="J39" s="34"/>
    </row>
    <row r="40" spans="2:12" ht="60">
      <c r="B40" s="18"/>
      <c r="C40" s="10" t="s">
        <v>244</v>
      </c>
      <c r="D40" s="11"/>
      <c r="E40" s="29" t="s">
        <v>425</v>
      </c>
      <c r="F40" s="29" t="s">
        <v>426</v>
      </c>
      <c r="G40" s="58" t="s">
        <v>427</v>
      </c>
      <c r="H40" s="13" t="s">
        <v>428</v>
      </c>
      <c r="I40" s="13" t="s">
        <v>212</v>
      </c>
      <c r="J40" s="34"/>
    </row>
    <row r="41" spans="2:12" ht="43.5" customHeight="1">
      <c r="B41" s="9" t="s">
        <v>246</v>
      </c>
      <c r="C41" s="10" t="s">
        <v>247</v>
      </c>
      <c r="D41" s="11"/>
      <c r="E41" s="27" t="s">
        <v>429</v>
      </c>
      <c r="F41" s="27" t="s">
        <v>430</v>
      </c>
      <c r="G41" s="11"/>
      <c r="H41" s="13"/>
      <c r="I41" s="13" t="s">
        <v>252</v>
      </c>
      <c r="J41" s="14" t="s">
        <v>431</v>
      </c>
    </row>
    <row r="42" spans="2:12" ht="101.45" customHeight="1">
      <c r="B42" s="15"/>
      <c r="C42" s="10" t="s">
        <v>253</v>
      </c>
      <c r="D42" s="11"/>
      <c r="E42" s="29" t="s">
        <v>432</v>
      </c>
      <c r="F42" s="29" t="s">
        <v>433</v>
      </c>
      <c r="G42" s="11" t="s">
        <v>434</v>
      </c>
      <c r="H42" s="13"/>
      <c r="I42" s="13" t="s">
        <v>257</v>
      </c>
      <c r="J42" s="34"/>
    </row>
    <row r="43" spans="2:12" ht="120">
      <c r="B43" s="15"/>
      <c r="C43" s="10" t="s">
        <v>258</v>
      </c>
      <c r="D43" s="11"/>
      <c r="E43" s="29" t="s">
        <v>435</v>
      </c>
      <c r="F43" s="29" t="s">
        <v>436</v>
      </c>
      <c r="G43" s="11"/>
      <c r="H43" s="13"/>
      <c r="I43" s="13" t="s">
        <v>437</v>
      </c>
      <c r="J43" s="34"/>
    </row>
    <row r="44" spans="2:12" ht="57.95" customHeight="1">
      <c r="B44" s="15"/>
      <c r="C44" s="10" t="s">
        <v>263</v>
      </c>
      <c r="D44" s="11"/>
      <c r="E44" s="27" t="s">
        <v>438</v>
      </c>
      <c r="F44" s="27" t="s">
        <v>439</v>
      </c>
      <c r="G44" s="11"/>
      <c r="H44" s="13"/>
      <c r="I44" s="13" t="s">
        <v>267</v>
      </c>
      <c r="J44" s="14" t="s">
        <v>440</v>
      </c>
    </row>
    <row r="45" spans="2:12">
      <c r="B45" s="15"/>
      <c r="C45" s="10" t="s">
        <v>269</v>
      </c>
      <c r="D45" s="11"/>
      <c r="E45" s="29"/>
      <c r="F45" s="29" t="s">
        <v>441</v>
      </c>
      <c r="G45" s="11"/>
      <c r="H45" s="13"/>
      <c r="I45" s="13" t="s">
        <v>271</v>
      </c>
      <c r="J45" s="34"/>
    </row>
    <row r="46" spans="2:12">
      <c r="B46" s="15"/>
      <c r="C46" s="10" t="s">
        <v>274</v>
      </c>
      <c r="D46" s="11"/>
      <c r="E46" s="29"/>
      <c r="F46" s="29" t="s">
        <v>441</v>
      </c>
      <c r="G46" s="11"/>
      <c r="H46" s="13"/>
      <c r="I46" s="13" t="s">
        <v>271</v>
      </c>
      <c r="J46" s="34"/>
    </row>
    <row r="47" spans="2:12">
      <c r="B47" s="18"/>
      <c r="C47" s="10" t="s">
        <v>278</v>
      </c>
      <c r="D47" s="11"/>
      <c r="E47" s="29"/>
      <c r="F47" s="29"/>
      <c r="G47" s="12"/>
      <c r="H47" s="13"/>
      <c r="I47" s="13" t="s">
        <v>281</v>
      </c>
      <c r="J47" s="34"/>
    </row>
    <row r="48" spans="2:12" ht="29.1" customHeight="1">
      <c r="B48" s="9" t="s">
        <v>282</v>
      </c>
      <c r="C48" s="10" t="s">
        <v>283</v>
      </c>
      <c r="D48" s="11"/>
      <c r="E48" s="29"/>
      <c r="F48" s="29" t="s">
        <v>442</v>
      </c>
      <c r="G48" s="11"/>
      <c r="H48" s="13"/>
      <c r="I48" s="13" t="s">
        <v>285</v>
      </c>
      <c r="J48" s="14"/>
    </row>
    <row r="49" spans="2:10">
      <c r="B49" s="15"/>
      <c r="C49" s="10" t="s">
        <v>287</v>
      </c>
      <c r="D49" s="11"/>
      <c r="E49" s="29"/>
      <c r="F49" s="29"/>
      <c r="G49" s="11"/>
      <c r="H49" s="13"/>
      <c r="I49" s="13" t="s">
        <v>289</v>
      </c>
      <c r="J49" s="14"/>
    </row>
    <row r="50" spans="2:10">
      <c r="B50" s="15"/>
      <c r="C50" s="10" t="s">
        <v>253</v>
      </c>
      <c r="D50" s="11"/>
      <c r="E50" s="29"/>
      <c r="F50" s="29"/>
      <c r="G50" s="11"/>
      <c r="H50" s="13"/>
      <c r="I50" s="13" t="s">
        <v>292</v>
      </c>
      <c r="J50" s="34"/>
    </row>
    <row r="51" spans="2:10">
      <c r="B51" s="15"/>
      <c r="C51" s="10" t="s">
        <v>293</v>
      </c>
      <c r="D51" s="11"/>
      <c r="E51" s="29"/>
      <c r="F51" s="29"/>
      <c r="G51" s="12"/>
      <c r="H51" s="13"/>
      <c r="I51" s="13"/>
      <c r="J51" s="34"/>
    </row>
  </sheetData>
  <mergeCells count="2">
    <mergeCell ref="F3:G3"/>
    <mergeCell ref="B5:B17"/>
  </mergeCells>
  <pageMargins left="0.75" right="0.75" top="1" bottom="1" header="0.511811023622047" footer="0.511811023622047"/>
  <pageSetup paperSize="9" orientation="portrait" horizontalDpi="300" verticalDpi="300"/>
  <headerFooter>
    <oddFooter>&amp;L_x000D_&amp;1#&amp;"Aptos"&amp;10&amp;K000000 DC2 - Restricted</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sheetPr>
  <dimension ref="B2:M49"/>
  <sheetViews>
    <sheetView showGridLines="0" zoomScale="85" zoomScaleNormal="85" workbookViewId="0">
      <pane xSplit="3" ySplit="4" topLeftCell="D17" activePane="bottomRight" state="frozen"/>
      <selection pane="bottomRight" activeCell="E19" sqref="E19"/>
      <selection pane="bottomLeft" activeCell="G23" sqref="G23"/>
      <selection pane="topRight" activeCell="G23" sqref="G23"/>
    </sheetView>
  </sheetViews>
  <sheetFormatPr defaultColWidth="55.140625" defaultRowHeight="15"/>
  <cols>
    <col min="1" max="1" width="1.85546875" style="1" customWidth="1"/>
    <col min="2" max="2" width="22" style="1" customWidth="1"/>
    <col min="3" max="3" width="20.85546875" style="2" customWidth="1"/>
    <col min="4" max="4" width="18.140625" style="2" customWidth="1"/>
    <col min="5" max="5" width="27.42578125" style="1" customWidth="1"/>
    <col min="6" max="6" width="69.5703125" style="2" customWidth="1"/>
    <col min="7" max="7" width="59.5703125" style="1" customWidth="1"/>
    <col min="8" max="8" width="46.85546875" style="2" customWidth="1"/>
    <col min="9" max="9" width="36.7109375" style="1" customWidth="1"/>
    <col min="10" max="10" width="27.42578125" style="1" customWidth="1"/>
    <col min="11" max="11" width="9.42578125" style="2" customWidth="1"/>
    <col min="12" max="12" width="82.140625" style="1" customWidth="1"/>
    <col min="13" max="13" width="55.140625" style="1" customWidth="1"/>
    <col min="14" max="16384" width="55.140625" style="1"/>
  </cols>
  <sheetData>
    <row r="2" spans="2:13" s="3" customFormat="1" ht="27.75" customHeight="1">
      <c r="B2" s="4" t="str">
        <f t="array" aca="1" ref="B2" ca="1">IFERROR( RIGHT(CELL("filename",A1),LEN(CELL("filename",A1))-FIND("]",CELL("filename",A1))), "Tab title (save and calculate to sync)")</f>
        <v>Tab title (save and calculate to sync)</v>
      </c>
      <c r="C2" s="5"/>
      <c r="D2" s="5"/>
      <c r="F2" s="5"/>
      <c r="H2" s="5"/>
      <c r="L2" s="5"/>
    </row>
    <row r="3" spans="2:13" ht="14.25" customHeight="1">
      <c r="E3" s="6"/>
      <c r="F3" s="163" t="s">
        <v>53</v>
      </c>
      <c r="G3" s="180"/>
      <c r="H3" s="30" t="s">
        <v>318</v>
      </c>
      <c r="I3" s="31"/>
    </row>
    <row r="4" spans="2:13" ht="29.1" customHeight="1">
      <c r="B4" s="7" t="s">
        <v>55</v>
      </c>
      <c r="C4" s="8" t="s">
        <v>56</v>
      </c>
      <c r="D4" s="8" t="s">
        <v>319</v>
      </c>
      <c r="E4" s="8" t="s">
        <v>58</v>
      </c>
      <c r="F4" s="8" t="s">
        <v>59</v>
      </c>
      <c r="G4" s="7" t="s">
        <v>60</v>
      </c>
      <c r="H4" s="8" t="s">
        <v>61</v>
      </c>
      <c r="I4" s="8" t="s">
        <v>62</v>
      </c>
      <c r="J4" s="7" t="s">
        <v>63</v>
      </c>
      <c r="L4" s="8" t="s">
        <v>64</v>
      </c>
      <c r="M4" s="7" t="s">
        <v>65</v>
      </c>
    </row>
    <row r="5" spans="2:13" ht="64.5" customHeight="1">
      <c r="B5" s="164" t="s">
        <v>66</v>
      </c>
      <c r="C5" s="62" t="s">
        <v>67</v>
      </c>
      <c r="D5" s="58" t="s">
        <v>77</v>
      </c>
      <c r="E5" s="37" t="s">
        <v>320</v>
      </c>
      <c r="F5" s="37" t="s">
        <v>69</v>
      </c>
      <c r="G5" s="37" t="s">
        <v>321</v>
      </c>
      <c r="H5" s="13" t="s">
        <v>71</v>
      </c>
      <c r="I5" s="13" t="s">
        <v>67</v>
      </c>
      <c r="J5" s="59"/>
      <c r="L5" s="60"/>
      <c r="M5" s="60"/>
    </row>
    <row r="6" spans="2:13" ht="45">
      <c r="B6" s="165"/>
      <c r="C6" s="62" t="s">
        <v>322</v>
      </c>
      <c r="D6" s="58"/>
      <c r="E6" s="37" t="s">
        <v>323</v>
      </c>
      <c r="F6" s="37" t="s">
        <v>324</v>
      </c>
      <c r="G6" s="37" t="s">
        <v>325</v>
      </c>
      <c r="H6" s="13"/>
      <c r="I6" s="13"/>
      <c r="J6" s="59"/>
      <c r="L6" s="60"/>
      <c r="M6" s="60"/>
    </row>
    <row r="7" spans="2:13" ht="30">
      <c r="B7" s="165"/>
      <c r="C7" s="62" t="s">
        <v>327</v>
      </c>
      <c r="D7" s="58"/>
      <c r="E7" s="37" t="s">
        <v>328</v>
      </c>
      <c r="F7" s="37" t="s">
        <v>329</v>
      </c>
      <c r="G7" s="37" t="s">
        <v>330</v>
      </c>
      <c r="H7" s="13"/>
      <c r="I7" s="13"/>
      <c r="J7" s="59"/>
      <c r="L7" s="60"/>
      <c r="M7" s="60"/>
    </row>
    <row r="8" spans="2:13" ht="69" customHeight="1">
      <c r="B8" s="165"/>
      <c r="C8" s="62" t="s">
        <v>76</v>
      </c>
      <c r="D8" s="58" t="s">
        <v>77</v>
      </c>
      <c r="E8" s="37" t="s">
        <v>78</v>
      </c>
      <c r="F8" s="66" t="s">
        <v>79</v>
      </c>
      <c r="G8" s="61" t="s">
        <v>80</v>
      </c>
      <c r="H8" s="13" t="s">
        <v>81</v>
      </c>
      <c r="I8" s="13"/>
      <c r="J8" s="59" t="s">
        <v>82</v>
      </c>
      <c r="L8" s="60"/>
      <c r="M8" s="60"/>
    </row>
    <row r="9" spans="2:13" ht="69" customHeight="1">
      <c r="B9" s="165"/>
      <c r="C9" s="62" t="s">
        <v>83</v>
      </c>
      <c r="D9" s="58" t="s">
        <v>77</v>
      </c>
      <c r="E9" s="37" t="s">
        <v>443</v>
      </c>
      <c r="F9" s="66" t="s">
        <v>85</v>
      </c>
      <c r="G9" s="37" t="s">
        <v>443</v>
      </c>
      <c r="H9" s="13" t="s">
        <v>86</v>
      </c>
      <c r="I9" s="13"/>
      <c r="J9" s="59" t="s">
        <v>82</v>
      </c>
      <c r="L9" s="60"/>
      <c r="M9" s="60"/>
    </row>
    <row r="10" spans="2:13" ht="69" customHeight="1">
      <c r="B10" s="165"/>
      <c r="C10" s="62" t="s">
        <v>87</v>
      </c>
      <c r="D10" s="58" t="s">
        <v>88</v>
      </c>
      <c r="E10" s="37" t="s">
        <v>444</v>
      </c>
      <c r="F10" s="66" t="s">
        <v>90</v>
      </c>
      <c r="G10" s="37" t="s">
        <v>444</v>
      </c>
      <c r="H10" s="13" t="s">
        <v>91</v>
      </c>
      <c r="I10" s="13"/>
      <c r="J10" s="59" t="s">
        <v>82</v>
      </c>
      <c r="L10" s="60"/>
      <c r="M10" s="60"/>
    </row>
    <row r="11" spans="2:13" ht="29.1" customHeight="1">
      <c r="B11" s="165"/>
      <c r="C11" s="62" t="s">
        <v>92</v>
      </c>
      <c r="D11" s="57"/>
      <c r="E11" s="50"/>
      <c r="F11" s="50"/>
      <c r="G11" s="61"/>
      <c r="H11" s="13"/>
      <c r="I11" s="13"/>
      <c r="J11" s="59"/>
      <c r="L11" s="60"/>
      <c r="M11" s="60"/>
    </row>
    <row r="12" spans="2:13" ht="63" customHeight="1">
      <c r="B12" s="165"/>
      <c r="C12" s="62" t="s">
        <v>93</v>
      </c>
      <c r="D12" s="57"/>
      <c r="E12" s="50"/>
      <c r="F12" s="50" t="s">
        <v>355</v>
      </c>
      <c r="G12" s="61"/>
      <c r="H12" s="13"/>
      <c r="I12" s="13"/>
      <c r="J12" s="59"/>
      <c r="L12" s="60"/>
      <c r="M12" s="60"/>
    </row>
    <row r="13" spans="2:13" ht="43.5" customHeight="1">
      <c r="B13" s="165"/>
      <c r="C13" s="10" t="s">
        <v>101</v>
      </c>
      <c r="D13" s="12"/>
      <c r="E13" s="50"/>
      <c r="F13" s="50" t="s">
        <v>445</v>
      </c>
      <c r="G13" s="38"/>
      <c r="H13" s="13"/>
      <c r="I13" s="13" t="s">
        <v>107</v>
      </c>
      <c r="J13" s="14"/>
      <c r="L13" s="2" t="s">
        <v>336</v>
      </c>
      <c r="M13" s="2" t="s">
        <v>337</v>
      </c>
    </row>
    <row r="14" spans="2:13" ht="28.5" customHeight="1">
      <c r="B14" s="165"/>
      <c r="C14" s="10" t="s">
        <v>111</v>
      </c>
      <c r="D14" s="12"/>
      <c r="E14" s="50"/>
      <c r="F14" s="50"/>
      <c r="G14" s="38"/>
      <c r="H14" s="13"/>
      <c r="I14" s="13" t="s">
        <v>107</v>
      </c>
      <c r="J14" s="14"/>
      <c r="L14" s="2" t="s">
        <v>341</v>
      </c>
      <c r="M14" s="1" t="s">
        <v>342</v>
      </c>
    </row>
    <row r="15" spans="2:13" ht="43.5" customHeight="1">
      <c r="B15" s="165"/>
      <c r="C15" s="10" t="s">
        <v>116</v>
      </c>
      <c r="D15" s="35"/>
      <c r="E15" s="50" t="s">
        <v>446</v>
      </c>
      <c r="F15" s="50" t="s">
        <v>447</v>
      </c>
      <c r="G15" s="50" t="s">
        <v>345</v>
      </c>
      <c r="H15" s="13" t="s">
        <v>448</v>
      </c>
      <c r="I15" s="13" t="s">
        <v>118</v>
      </c>
      <c r="J15" s="17"/>
      <c r="L15" s="2" t="s">
        <v>348</v>
      </c>
    </row>
    <row r="16" spans="2:13" ht="14.45" customHeight="1">
      <c r="B16" s="166"/>
      <c r="C16" s="10" t="s">
        <v>121</v>
      </c>
      <c r="D16" s="12"/>
      <c r="E16" s="50"/>
      <c r="F16" s="50"/>
      <c r="G16" s="38"/>
      <c r="H16" s="13"/>
      <c r="I16" s="13" t="s">
        <v>98</v>
      </c>
      <c r="J16" s="17"/>
      <c r="L16" s="2" t="s">
        <v>356</v>
      </c>
    </row>
    <row r="17" spans="2:12" ht="91.5" customHeight="1">
      <c r="B17" s="9" t="s">
        <v>122</v>
      </c>
      <c r="C17" s="10" t="s">
        <v>123</v>
      </c>
      <c r="D17" s="12"/>
      <c r="E17" s="49" t="s">
        <v>449</v>
      </c>
      <c r="F17" s="49"/>
      <c r="G17" s="38"/>
      <c r="H17" s="13"/>
      <c r="I17" s="13" t="s">
        <v>450</v>
      </c>
      <c r="J17" s="34" t="s">
        <v>451</v>
      </c>
      <c r="L17" s="2" t="s">
        <v>360</v>
      </c>
    </row>
    <row r="18" spans="2:12" ht="75">
      <c r="B18" s="15"/>
      <c r="C18" s="10" t="s">
        <v>131</v>
      </c>
      <c r="D18" s="12"/>
      <c r="E18" s="50" t="s">
        <v>452</v>
      </c>
      <c r="F18" s="50" t="s">
        <v>453</v>
      </c>
      <c r="G18" s="50" t="s">
        <v>454</v>
      </c>
      <c r="H18" s="13" t="s">
        <v>455</v>
      </c>
      <c r="I18" s="13" t="s">
        <v>136</v>
      </c>
      <c r="J18" s="34" t="s">
        <v>456</v>
      </c>
      <c r="L18" s="2" t="s">
        <v>365</v>
      </c>
    </row>
    <row r="19" spans="2:12" ht="180">
      <c r="B19" s="15"/>
      <c r="C19" s="10" t="s">
        <v>137</v>
      </c>
      <c r="D19" s="12"/>
      <c r="E19" s="50" t="s">
        <v>457</v>
      </c>
      <c r="F19" s="71" t="s">
        <v>458</v>
      </c>
      <c r="G19" s="50" t="s">
        <v>459</v>
      </c>
      <c r="H19" s="13" t="s">
        <v>460</v>
      </c>
      <c r="I19" s="13" t="s">
        <v>142</v>
      </c>
      <c r="J19" s="34" t="s">
        <v>461</v>
      </c>
      <c r="L19" s="2" t="s">
        <v>370</v>
      </c>
    </row>
    <row r="20" spans="2:12" ht="60">
      <c r="B20" s="18"/>
      <c r="C20" s="10" t="s">
        <v>144</v>
      </c>
      <c r="D20" s="12"/>
      <c r="E20" s="50" t="s">
        <v>462</v>
      </c>
      <c r="F20" s="50" t="s">
        <v>463</v>
      </c>
      <c r="G20" s="38" t="s">
        <v>464</v>
      </c>
      <c r="H20" s="13" t="s">
        <v>465</v>
      </c>
      <c r="I20" s="13" t="s">
        <v>149</v>
      </c>
      <c r="J20" s="34" t="s">
        <v>466</v>
      </c>
      <c r="L20" s="2" t="s">
        <v>372</v>
      </c>
    </row>
    <row r="21" spans="2:12" ht="105">
      <c r="B21" s="9" t="s">
        <v>151</v>
      </c>
      <c r="C21" s="10" t="s">
        <v>152</v>
      </c>
      <c r="D21" s="12"/>
      <c r="E21" s="50" t="s">
        <v>446</v>
      </c>
      <c r="F21" s="50" t="s">
        <v>374</v>
      </c>
      <c r="G21" s="38" t="s">
        <v>446</v>
      </c>
      <c r="H21" s="13"/>
      <c r="I21" s="13" t="s">
        <v>377</v>
      </c>
      <c r="J21" s="17" t="s">
        <v>467</v>
      </c>
      <c r="L21" s="2" t="s">
        <v>379</v>
      </c>
    </row>
    <row r="22" spans="2:12">
      <c r="B22" s="15"/>
      <c r="C22" s="10" t="s">
        <v>158</v>
      </c>
      <c r="D22" s="12"/>
      <c r="E22" s="50"/>
      <c r="F22" s="50"/>
      <c r="G22" s="38"/>
      <c r="H22" s="13"/>
      <c r="I22" s="13" t="s">
        <v>98</v>
      </c>
      <c r="J22" s="17"/>
      <c r="L22" s="2" t="s">
        <v>380</v>
      </c>
    </row>
    <row r="23" spans="2:12">
      <c r="B23" s="15"/>
      <c r="C23" s="10" t="s">
        <v>164</v>
      </c>
      <c r="D23" s="12"/>
      <c r="E23" s="50"/>
      <c r="F23" s="50"/>
      <c r="G23" s="38"/>
      <c r="H23" s="13"/>
      <c r="I23" s="13" t="s">
        <v>167</v>
      </c>
      <c r="J23" s="17"/>
      <c r="L23" s="2" t="s">
        <v>382</v>
      </c>
    </row>
    <row r="24" spans="2:12">
      <c r="B24" s="18"/>
      <c r="C24" s="10" t="s">
        <v>169</v>
      </c>
      <c r="D24" s="12"/>
      <c r="E24" s="49" t="s">
        <v>468</v>
      </c>
      <c r="F24" s="49" t="s">
        <v>469</v>
      </c>
      <c r="G24" s="38"/>
      <c r="H24" s="13"/>
      <c r="I24" s="13" t="s">
        <v>385</v>
      </c>
      <c r="J24" s="17"/>
    </row>
    <row r="25" spans="2:12" ht="30">
      <c r="B25" s="18"/>
      <c r="C25" s="10" t="s">
        <v>175</v>
      </c>
      <c r="D25" s="12"/>
      <c r="E25" s="50"/>
      <c r="F25" s="51"/>
      <c r="G25" s="39"/>
      <c r="H25" s="13"/>
      <c r="I25" s="13"/>
      <c r="J25" s="17"/>
      <c r="L25" s="20" t="s">
        <v>391</v>
      </c>
    </row>
    <row r="26" spans="2:12" ht="60">
      <c r="B26" s="9" t="s">
        <v>178</v>
      </c>
      <c r="C26" s="10" t="s">
        <v>179</v>
      </c>
      <c r="D26" s="12"/>
      <c r="E26" s="50" t="s">
        <v>470</v>
      </c>
      <c r="F26" s="49" t="s">
        <v>471</v>
      </c>
      <c r="G26" s="36" t="s">
        <v>472</v>
      </c>
      <c r="H26" s="70" t="s">
        <v>473</v>
      </c>
      <c r="I26" s="13" t="s">
        <v>184</v>
      </c>
      <c r="J26" s="34" t="s">
        <v>474</v>
      </c>
      <c r="L26" s="2" t="s">
        <v>397</v>
      </c>
    </row>
    <row r="27" spans="2:12" ht="180">
      <c r="B27" s="15"/>
      <c r="C27" s="10" t="s">
        <v>185</v>
      </c>
      <c r="D27" s="12"/>
      <c r="E27" s="50" t="s">
        <v>470</v>
      </c>
      <c r="F27" s="50" t="s">
        <v>475</v>
      </c>
      <c r="G27" s="38"/>
      <c r="H27" s="69"/>
      <c r="I27" s="13" t="s">
        <v>184</v>
      </c>
      <c r="J27" s="34" t="s">
        <v>476</v>
      </c>
      <c r="L27" s="2" t="s">
        <v>400</v>
      </c>
    </row>
    <row r="28" spans="2:12" ht="60">
      <c r="B28" s="9" t="s">
        <v>190</v>
      </c>
      <c r="C28" s="10" t="s">
        <v>191</v>
      </c>
      <c r="D28" s="12"/>
      <c r="E28" s="49" t="s">
        <v>401</v>
      </c>
      <c r="F28" s="49" t="s">
        <v>402</v>
      </c>
      <c r="G28" s="49" t="s">
        <v>401</v>
      </c>
      <c r="H28" s="79"/>
      <c r="I28" s="79" t="s">
        <v>194</v>
      </c>
      <c r="J28" s="17"/>
      <c r="L28" s="2" t="s">
        <v>403</v>
      </c>
    </row>
    <row r="29" spans="2:12" ht="105">
      <c r="B29" s="15"/>
      <c r="C29" s="10" t="s">
        <v>195</v>
      </c>
      <c r="D29" s="29" t="s">
        <v>196</v>
      </c>
      <c r="E29" s="50" t="s">
        <v>197</v>
      </c>
      <c r="F29" s="82" t="s">
        <v>198</v>
      </c>
      <c r="G29" s="83" t="s">
        <v>405</v>
      </c>
      <c r="H29" s="13" t="s">
        <v>406</v>
      </c>
      <c r="I29" s="78" t="s">
        <v>201</v>
      </c>
      <c r="J29" s="17"/>
      <c r="L29" s="2" t="s">
        <v>407</v>
      </c>
    </row>
    <row r="30" spans="2:12">
      <c r="B30" s="15"/>
      <c r="C30" s="10" t="s">
        <v>202</v>
      </c>
      <c r="D30" s="12"/>
      <c r="E30" s="49" t="s">
        <v>408</v>
      </c>
      <c r="F30" s="49" t="s">
        <v>409</v>
      </c>
      <c r="G30" s="38"/>
      <c r="H30" s="13"/>
      <c r="I30" s="13" t="s">
        <v>206</v>
      </c>
      <c r="J30" s="17"/>
      <c r="L30" s="2" t="s">
        <v>410</v>
      </c>
    </row>
    <row r="31" spans="2:12">
      <c r="B31" s="15"/>
      <c r="C31" s="10" t="s">
        <v>207</v>
      </c>
      <c r="D31" s="12"/>
      <c r="E31" s="81" t="s">
        <v>477</v>
      </c>
      <c r="F31" s="81" t="s">
        <v>477</v>
      </c>
      <c r="G31" s="81" t="s">
        <v>477</v>
      </c>
      <c r="H31" s="79"/>
      <c r="I31" s="79" t="s">
        <v>212</v>
      </c>
      <c r="J31" s="17"/>
      <c r="L31" s="2" t="s">
        <v>412</v>
      </c>
    </row>
    <row r="32" spans="2:12" ht="28.5" customHeight="1">
      <c r="B32" s="15"/>
      <c r="C32" s="10" t="s">
        <v>213</v>
      </c>
      <c r="D32" s="12"/>
      <c r="E32" s="49" t="s">
        <v>478</v>
      </c>
      <c r="F32" s="49" t="s">
        <v>479</v>
      </c>
      <c r="G32" s="49" t="s">
        <v>480</v>
      </c>
      <c r="H32" s="79"/>
      <c r="I32" s="79" t="s">
        <v>218</v>
      </c>
      <c r="J32" s="17"/>
      <c r="L32" s="2" t="s">
        <v>415</v>
      </c>
    </row>
    <row r="33" spans="2:10">
      <c r="B33" s="15"/>
      <c r="C33" s="10" t="s">
        <v>416</v>
      </c>
      <c r="D33" s="12"/>
      <c r="E33" s="50"/>
      <c r="F33" s="50"/>
      <c r="G33" s="80"/>
      <c r="H33" s="79"/>
      <c r="I33" s="79" t="s">
        <v>224</v>
      </c>
      <c r="J33" s="14"/>
    </row>
    <row r="34" spans="2:10" ht="30">
      <c r="B34" s="15"/>
      <c r="C34" s="10" t="s">
        <v>226</v>
      </c>
      <c r="D34" s="12"/>
      <c r="E34" s="49" t="s">
        <v>418</v>
      </c>
      <c r="F34" s="49" t="s">
        <v>419</v>
      </c>
      <c r="G34" s="49" t="s">
        <v>418</v>
      </c>
      <c r="H34" s="79"/>
      <c r="I34" s="79" t="s">
        <v>231</v>
      </c>
      <c r="J34" s="17"/>
    </row>
    <row r="35" spans="2:10" ht="45">
      <c r="B35" s="15"/>
      <c r="C35" s="10" t="s">
        <v>232</v>
      </c>
      <c r="D35" s="12"/>
      <c r="E35" s="49" t="s">
        <v>481</v>
      </c>
      <c r="F35" s="49" t="s">
        <v>482</v>
      </c>
      <c r="G35" s="49" t="s">
        <v>422</v>
      </c>
      <c r="H35" s="79"/>
      <c r="I35" s="79" t="s">
        <v>234</v>
      </c>
      <c r="J35" s="17"/>
    </row>
    <row r="36" spans="2:10" ht="30">
      <c r="B36" s="15"/>
      <c r="C36" s="10" t="s">
        <v>236</v>
      </c>
      <c r="D36" s="12"/>
      <c r="E36" s="50" t="s">
        <v>423</v>
      </c>
      <c r="F36" s="50" t="s">
        <v>424</v>
      </c>
      <c r="G36" s="80"/>
      <c r="H36" s="79"/>
      <c r="I36" s="79" t="s">
        <v>238</v>
      </c>
      <c r="J36" s="17"/>
    </row>
    <row r="37" spans="2:10">
      <c r="B37" s="15"/>
      <c r="C37" s="10" t="s">
        <v>239</v>
      </c>
      <c r="D37" s="12"/>
      <c r="E37" s="50"/>
      <c r="F37" s="50"/>
      <c r="G37" s="80"/>
      <c r="H37" s="79"/>
      <c r="I37" s="79" t="s">
        <v>98</v>
      </c>
      <c r="J37" s="17"/>
    </row>
    <row r="38" spans="2:10" ht="45">
      <c r="B38" s="18"/>
      <c r="C38" s="10" t="s">
        <v>244</v>
      </c>
      <c r="D38" s="12"/>
      <c r="E38" s="49" t="s">
        <v>425</v>
      </c>
      <c r="F38" s="49" t="s">
        <v>426</v>
      </c>
      <c r="G38" s="49" t="s">
        <v>427</v>
      </c>
      <c r="H38" s="79" t="s">
        <v>428</v>
      </c>
      <c r="I38" s="79" t="s">
        <v>212</v>
      </c>
      <c r="J38" s="17"/>
    </row>
    <row r="39" spans="2:10" ht="60">
      <c r="B39" s="9" t="s">
        <v>246</v>
      </c>
      <c r="C39" s="10" t="s">
        <v>247</v>
      </c>
      <c r="D39" s="12"/>
      <c r="E39" s="49" t="s">
        <v>483</v>
      </c>
      <c r="F39" s="49" t="s">
        <v>484</v>
      </c>
      <c r="G39" s="38"/>
      <c r="H39" s="13"/>
      <c r="I39" s="13" t="s">
        <v>252</v>
      </c>
      <c r="J39" s="17"/>
    </row>
    <row r="40" spans="2:10" ht="60">
      <c r="B40" s="15"/>
      <c r="C40" s="10" t="s">
        <v>253</v>
      </c>
      <c r="D40" s="12"/>
      <c r="E40" s="49" t="s">
        <v>483</v>
      </c>
      <c r="F40" s="50"/>
      <c r="G40" s="38"/>
      <c r="H40" s="13"/>
      <c r="I40" s="13" t="s">
        <v>257</v>
      </c>
      <c r="J40" s="17"/>
    </row>
    <row r="41" spans="2:10">
      <c r="B41" s="15"/>
      <c r="C41" s="10" t="s">
        <v>258</v>
      </c>
      <c r="D41" s="12"/>
      <c r="E41" s="50" t="s">
        <v>485</v>
      </c>
      <c r="F41" s="50"/>
      <c r="G41" s="38"/>
      <c r="H41" s="13"/>
      <c r="I41" s="13" t="s">
        <v>486</v>
      </c>
      <c r="J41" s="17"/>
    </row>
    <row r="42" spans="2:10" ht="90">
      <c r="B42" s="15"/>
      <c r="C42" s="10" t="s">
        <v>263</v>
      </c>
      <c r="D42" s="12"/>
      <c r="E42" s="49" t="s">
        <v>487</v>
      </c>
      <c r="F42" s="49" t="s">
        <v>488</v>
      </c>
      <c r="G42" s="38"/>
      <c r="H42" s="13"/>
      <c r="I42" s="13" t="s">
        <v>489</v>
      </c>
      <c r="J42" s="154" t="s">
        <v>490</v>
      </c>
    </row>
    <row r="43" spans="2:10">
      <c r="B43" s="15"/>
      <c r="C43" s="10" t="s">
        <v>269</v>
      </c>
      <c r="D43" s="12"/>
      <c r="E43" s="50"/>
      <c r="F43" s="50" t="s">
        <v>491</v>
      </c>
      <c r="G43" s="38"/>
      <c r="H43" s="13"/>
      <c r="I43" s="13" t="s">
        <v>271</v>
      </c>
      <c r="J43" s="17"/>
    </row>
    <row r="44" spans="2:10">
      <c r="B44" s="15"/>
      <c r="C44" s="10" t="s">
        <v>274</v>
      </c>
      <c r="D44" s="12"/>
      <c r="E44" s="50" t="s">
        <v>485</v>
      </c>
      <c r="F44" s="50" t="s">
        <v>492</v>
      </c>
      <c r="G44" s="38"/>
      <c r="H44" s="13"/>
      <c r="I44" s="13" t="s">
        <v>271</v>
      </c>
      <c r="J44" s="17"/>
    </row>
    <row r="45" spans="2:10" ht="120">
      <c r="B45" s="18"/>
      <c r="C45" s="10" t="s">
        <v>278</v>
      </c>
      <c r="D45" s="12"/>
      <c r="E45" s="50" t="s">
        <v>493</v>
      </c>
      <c r="F45" s="50" t="s">
        <v>494</v>
      </c>
      <c r="G45" s="36"/>
      <c r="H45" s="13"/>
      <c r="I45" s="13" t="s">
        <v>281</v>
      </c>
      <c r="J45" s="34" t="s">
        <v>495</v>
      </c>
    </row>
    <row r="46" spans="2:10">
      <c r="B46" s="9" t="s">
        <v>282</v>
      </c>
      <c r="C46" s="10" t="s">
        <v>283</v>
      </c>
      <c r="D46" s="12"/>
      <c r="E46" s="50"/>
      <c r="F46" s="50"/>
      <c r="G46" s="38"/>
      <c r="H46" s="13"/>
      <c r="I46" s="13" t="s">
        <v>285</v>
      </c>
      <c r="J46" s="14"/>
    </row>
    <row r="47" spans="2:10">
      <c r="B47" s="15"/>
      <c r="C47" s="10" t="s">
        <v>287</v>
      </c>
      <c r="D47" s="12"/>
      <c r="E47" s="50"/>
      <c r="F47" s="50"/>
      <c r="G47" s="38"/>
      <c r="H47" s="13"/>
      <c r="I47" s="13" t="s">
        <v>289</v>
      </c>
      <c r="J47" s="14"/>
    </row>
    <row r="48" spans="2:10">
      <c r="B48" s="15"/>
      <c r="C48" s="10" t="s">
        <v>253</v>
      </c>
      <c r="D48" s="12"/>
      <c r="E48" s="50"/>
      <c r="F48" s="50"/>
      <c r="G48" s="38"/>
      <c r="H48" s="13"/>
      <c r="I48" s="13" t="s">
        <v>292</v>
      </c>
      <c r="J48" s="17"/>
    </row>
    <row r="49" spans="2:10">
      <c r="B49" s="15"/>
      <c r="C49" s="10" t="s">
        <v>293</v>
      </c>
      <c r="D49" s="12"/>
      <c r="E49" s="50"/>
      <c r="F49" s="50"/>
      <c r="G49" s="36"/>
      <c r="H49" s="13"/>
      <c r="I49" s="13"/>
      <c r="J49" s="17"/>
    </row>
  </sheetData>
  <mergeCells count="2">
    <mergeCell ref="F3:G3"/>
    <mergeCell ref="B5:B16"/>
  </mergeCells>
  <pageMargins left="0.75" right="0.75" top="1" bottom="1" header="0.511811023622047" footer="0.511811023622047"/>
  <pageSetup paperSize="9" orientation="portrait" horizontalDpi="300" verticalDpi="300"/>
  <headerFooter>
    <oddFooter>&amp;L_x000D_&amp;1#&amp;"Aptos"&amp;10&amp;K000000 DC2 - Restricted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sheetPr>
  <dimension ref="B2:M50"/>
  <sheetViews>
    <sheetView showGridLines="0" zoomScaleNormal="100" workbookViewId="0">
      <pane xSplit="3" ySplit="5" topLeftCell="D19" activePane="bottomRight" state="frozen"/>
      <selection pane="bottomRight" activeCell="D23" sqref="D23"/>
      <selection pane="bottomLeft" activeCell="G23" sqref="G23"/>
      <selection pane="topRight" activeCell="G23" sqref="G23"/>
    </sheetView>
  </sheetViews>
  <sheetFormatPr defaultColWidth="55.140625" defaultRowHeight="15"/>
  <cols>
    <col min="1" max="1" width="1.85546875" style="1" customWidth="1"/>
    <col min="2" max="2" width="22" style="1" customWidth="1"/>
    <col min="3" max="3" width="20.85546875" style="2" customWidth="1"/>
    <col min="4" max="4" width="70.5703125" style="1" bestFit="1" customWidth="1"/>
    <col min="5" max="5" width="27.42578125" style="1" customWidth="1"/>
    <col min="6" max="6" width="69.5703125" style="2" customWidth="1"/>
    <col min="7" max="7" width="59.5703125" style="1" customWidth="1"/>
    <col min="8" max="8" width="46.85546875" style="1" customWidth="1"/>
    <col min="9" max="9" width="36.7109375" style="1" customWidth="1"/>
    <col min="10" max="10" width="27.42578125" style="1" customWidth="1"/>
    <col min="11" max="11" width="9.42578125" style="2" customWidth="1"/>
    <col min="12" max="12" width="82.140625" style="1" customWidth="1"/>
    <col min="13" max="13" width="55.140625" style="1" customWidth="1"/>
    <col min="14" max="16384" width="55.140625" style="1"/>
  </cols>
  <sheetData>
    <row r="2" spans="2:13" s="3" customFormat="1" ht="27.75" customHeight="1">
      <c r="B2" s="4" t="str">
        <f t="array" aca="1" ref="B2" ca="1">IFERROR( RIGHT(CELL("filename",A1),LEN(CELL("filename",A1))-FIND("]",CELL("filename",A1))), "Tab title (save and calculate to sync)")</f>
        <v>Tab title (save and calculate to sync)</v>
      </c>
      <c r="C2" s="5"/>
      <c r="F2" s="5"/>
      <c r="L2" s="5"/>
    </row>
    <row r="3" spans="2:13" ht="14.25" customHeight="1">
      <c r="D3" s="155" t="s">
        <v>496</v>
      </c>
      <c r="E3" s="6"/>
      <c r="F3" s="163" t="s">
        <v>53</v>
      </c>
      <c r="G3" s="180"/>
      <c r="H3" s="30" t="s">
        <v>318</v>
      </c>
      <c r="I3" s="31"/>
    </row>
    <row r="4" spans="2:13" ht="14.25" customHeight="1">
      <c r="D4" s="155" t="s">
        <v>497</v>
      </c>
      <c r="E4" s="6"/>
      <c r="F4" s="94"/>
      <c r="H4" s="156"/>
      <c r="I4" s="31"/>
    </row>
    <row r="5" spans="2:13" ht="29.1" customHeight="1">
      <c r="B5" s="7" t="s">
        <v>55</v>
      </c>
      <c r="C5" s="8" t="s">
        <v>56</v>
      </c>
      <c r="D5" s="8" t="s">
        <v>319</v>
      </c>
      <c r="E5" s="8" t="s">
        <v>58</v>
      </c>
      <c r="F5" s="8" t="s">
        <v>59</v>
      </c>
      <c r="G5" s="7" t="s">
        <v>60</v>
      </c>
      <c r="H5" s="8" t="s">
        <v>61</v>
      </c>
      <c r="I5" s="8" t="s">
        <v>62</v>
      </c>
      <c r="J5" s="7" t="s">
        <v>63</v>
      </c>
      <c r="L5" s="8" t="s">
        <v>64</v>
      </c>
      <c r="M5" s="7" t="s">
        <v>65</v>
      </c>
    </row>
    <row r="6" spans="2:13" s="143" customFormat="1" ht="63.75" customHeight="1">
      <c r="B6" s="164" t="s">
        <v>66</v>
      </c>
      <c r="C6" s="150" t="s">
        <v>67</v>
      </c>
      <c r="D6" s="151" t="s">
        <v>77</v>
      </c>
      <c r="E6" s="152" t="s">
        <v>320</v>
      </c>
      <c r="F6" s="152" t="s">
        <v>69</v>
      </c>
      <c r="G6" s="152" t="s">
        <v>321</v>
      </c>
      <c r="H6" s="138" t="s">
        <v>71</v>
      </c>
      <c r="I6" s="138" t="s">
        <v>67</v>
      </c>
      <c r="J6" s="153"/>
      <c r="K6" s="142"/>
      <c r="L6" s="141"/>
      <c r="M6" s="141"/>
    </row>
    <row r="7" spans="2:13" s="143" customFormat="1" ht="45">
      <c r="B7" s="165"/>
      <c r="C7" s="150" t="s">
        <v>322</v>
      </c>
      <c r="D7" s="151"/>
      <c r="E7" s="152" t="s">
        <v>323</v>
      </c>
      <c r="F7" s="152" t="s">
        <v>324</v>
      </c>
      <c r="G7" s="152" t="s">
        <v>325</v>
      </c>
      <c r="H7" s="138"/>
      <c r="I7" s="138"/>
      <c r="J7" s="153"/>
      <c r="K7" s="142"/>
      <c r="L7" s="141"/>
      <c r="M7" s="141"/>
    </row>
    <row r="8" spans="2:13" ht="30">
      <c r="B8" s="165"/>
      <c r="C8" s="62" t="s">
        <v>327</v>
      </c>
      <c r="D8" s="58"/>
      <c r="E8" s="37" t="s">
        <v>328</v>
      </c>
      <c r="F8" s="37" t="s">
        <v>329</v>
      </c>
      <c r="G8" s="37" t="s">
        <v>330</v>
      </c>
      <c r="H8" s="13"/>
      <c r="I8" s="13"/>
      <c r="J8" s="59"/>
      <c r="L8" s="60"/>
      <c r="M8" s="60"/>
    </row>
    <row r="9" spans="2:13" ht="63" customHeight="1">
      <c r="B9" s="165"/>
      <c r="C9" s="62" t="s">
        <v>76</v>
      </c>
      <c r="D9" s="58" t="s">
        <v>77</v>
      </c>
      <c r="E9" s="63"/>
      <c r="F9" s="67"/>
      <c r="G9" s="68"/>
      <c r="H9" s="13"/>
      <c r="I9" s="13"/>
      <c r="J9" s="59" t="s">
        <v>82</v>
      </c>
      <c r="L9" s="60"/>
      <c r="M9" s="60"/>
    </row>
    <row r="10" spans="2:13" ht="63" customHeight="1">
      <c r="B10" s="165"/>
      <c r="C10" s="62" t="s">
        <v>83</v>
      </c>
      <c r="D10" s="58" t="s">
        <v>77</v>
      </c>
      <c r="E10" s="63"/>
      <c r="F10" s="67"/>
      <c r="G10" s="63"/>
      <c r="H10" s="13"/>
      <c r="I10" s="13"/>
      <c r="J10" s="59" t="s">
        <v>82</v>
      </c>
      <c r="L10" s="60"/>
      <c r="M10" s="60"/>
    </row>
    <row r="11" spans="2:13" ht="63" customHeight="1">
      <c r="B11" s="165"/>
      <c r="C11" s="62" t="s">
        <v>87</v>
      </c>
      <c r="D11" s="58" t="s">
        <v>88</v>
      </c>
      <c r="E11" s="63"/>
      <c r="F11" s="67"/>
      <c r="G11" s="63"/>
      <c r="H11" s="13"/>
      <c r="I11" s="13"/>
      <c r="J11" s="59" t="s">
        <v>82</v>
      </c>
      <c r="L11" s="60"/>
      <c r="M11" s="60"/>
    </row>
    <row r="12" spans="2:13" ht="29.1" customHeight="1">
      <c r="B12" s="165"/>
      <c r="C12" s="62" t="s">
        <v>92</v>
      </c>
      <c r="D12" s="58"/>
      <c r="E12" s="29"/>
      <c r="F12" s="29"/>
      <c r="G12" s="58"/>
      <c r="H12" s="13"/>
      <c r="I12" s="13"/>
      <c r="J12" s="59"/>
      <c r="L12" s="60"/>
      <c r="M12" s="60"/>
    </row>
    <row r="13" spans="2:13" ht="63.75" customHeight="1">
      <c r="B13" s="165"/>
      <c r="C13" s="62" t="s">
        <v>93</v>
      </c>
      <c r="D13" s="58"/>
      <c r="E13" s="29"/>
      <c r="F13" s="29" t="s">
        <v>355</v>
      </c>
      <c r="G13" s="58"/>
      <c r="H13" s="13"/>
      <c r="I13" s="13"/>
      <c r="J13" s="59"/>
      <c r="L13" s="60"/>
      <c r="M13" s="60"/>
    </row>
    <row r="14" spans="2:13" ht="43.5" customHeight="1">
      <c r="B14" s="165"/>
      <c r="C14" s="10" t="s">
        <v>101</v>
      </c>
      <c r="D14" s="11"/>
      <c r="E14" s="29"/>
      <c r="F14" s="29"/>
      <c r="G14" s="11"/>
      <c r="H14" s="13"/>
      <c r="I14" s="13" t="s">
        <v>107</v>
      </c>
      <c r="J14" s="14"/>
      <c r="L14" s="2" t="s">
        <v>336</v>
      </c>
      <c r="M14" s="2" t="s">
        <v>337</v>
      </c>
    </row>
    <row r="15" spans="2:13" ht="28.5" customHeight="1">
      <c r="B15" s="165"/>
      <c r="C15" s="10" t="s">
        <v>111</v>
      </c>
      <c r="D15" s="11"/>
      <c r="E15" s="29"/>
      <c r="F15" s="29"/>
      <c r="G15" s="11"/>
      <c r="H15" s="13"/>
      <c r="I15" s="13" t="s">
        <v>107</v>
      </c>
      <c r="J15" s="14"/>
      <c r="L15" s="2" t="s">
        <v>341</v>
      </c>
      <c r="M15" s="1" t="s">
        <v>342</v>
      </c>
    </row>
    <row r="16" spans="2:13" ht="43.5" customHeight="1">
      <c r="B16" s="165"/>
      <c r="C16" s="10" t="s">
        <v>116</v>
      </c>
      <c r="D16" s="16"/>
      <c r="E16" s="29"/>
      <c r="F16" s="29"/>
      <c r="G16" s="11"/>
      <c r="H16" s="13"/>
      <c r="I16" s="13" t="s">
        <v>118</v>
      </c>
      <c r="J16" s="17"/>
      <c r="L16" s="2" t="s">
        <v>348</v>
      </c>
    </row>
    <row r="17" spans="2:12" ht="14.45" customHeight="1">
      <c r="B17" s="166"/>
      <c r="C17" s="10" t="s">
        <v>121</v>
      </c>
      <c r="D17" s="11"/>
      <c r="E17" s="29"/>
      <c r="F17" s="29"/>
      <c r="G17" s="11"/>
      <c r="H17" s="13"/>
      <c r="I17" s="13" t="s">
        <v>98</v>
      </c>
      <c r="J17" s="17"/>
      <c r="L17" s="2" t="s">
        <v>356</v>
      </c>
    </row>
    <row r="18" spans="2:12" s="143" customFormat="1" ht="28.5" customHeight="1">
      <c r="B18" s="134" t="s">
        <v>122</v>
      </c>
      <c r="C18" s="135" t="s">
        <v>123</v>
      </c>
      <c r="D18" s="136"/>
      <c r="E18" s="137" t="s">
        <v>498</v>
      </c>
      <c r="F18" s="137"/>
      <c r="G18" s="137" t="s">
        <v>498</v>
      </c>
      <c r="H18" s="138"/>
      <c r="I18" s="138" t="s">
        <v>450</v>
      </c>
      <c r="J18" s="147" t="s">
        <v>499</v>
      </c>
      <c r="K18" s="142"/>
      <c r="L18" s="142" t="s">
        <v>360</v>
      </c>
    </row>
    <row r="19" spans="2:12" s="143" customFormat="1" ht="43.5" customHeight="1">
      <c r="B19" s="144"/>
      <c r="C19" s="135" t="s">
        <v>131</v>
      </c>
      <c r="D19" s="136"/>
      <c r="E19" s="145" t="s">
        <v>500</v>
      </c>
      <c r="F19" s="145"/>
      <c r="G19" s="145" t="s">
        <v>500</v>
      </c>
      <c r="H19" s="138" t="s">
        <v>501</v>
      </c>
      <c r="I19" s="138" t="s">
        <v>136</v>
      </c>
      <c r="J19" s="157"/>
      <c r="K19" s="142"/>
      <c r="L19" s="142" t="s">
        <v>365</v>
      </c>
    </row>
    <row r="20" spans="2:12" s="143" customFormat="1" ht="63.75" customHeight="1">
      <c r="B20" s="144"/>
      <c r="C20" s="135" t="s">
        <v>137</v>
      </c>
      <c r="D20" s="136"/>
      <c r="E20" s="137" t="s">
        <v>502</v>
      </c>
      <c r="F20" s="137" t="s">
        <v>503</v>
      </c>
      <c r="G20" s="137" t="s">
        <v>502</v>
      </c>
      <c r="H20" s="138" t="s">
        <v>504</v>
      </c>
      <c r="I20" s="138" t="s">
        <v>142</v>
      </c>
      <c r="J20" s="147" t="s">
        <v>505</v>
      </c>
      <c r="K20" s="142"/>
      <c r="L20" s="142" t="s">
        <v>370</v>
      </c>
    </row>
    <row r="21" spans="2:12" s="143" customFormat="1" ht="43.5" customHeight="1">
      <c r="B21" s="148"/>
      <c r="C21" s="135" t="s">
        <v>144</v>
      </c>
      <c r="D21" s="136"/>
      <c r="E21" s="145" t="s">
        <v>506</v>
      </c>
      <c r="F21" s="145"/>
      <c r="G21" s="145"/>
      <c r="H21" s="138"/>
      <c r="I21" s="138" t="s">
        <v>507</v>
      </c>
      <c r="J21" s="157"/>
      <c r="K21" s="142"/>
      <c r="L21" s="142" t="s">
        <v>372</v>
      </c>
    </row>
    <row r="22" spans="2:12" s="143" customFormat="1" ht="105">
      <c r="B22" s="134" t="s">
        <v>151</v>
      </c>
      <c r="C22" s="135" t="s">
        <v>152</v>
      </c>
      <c r="D22" s="136"/>
      <c r="E22" s="145"/>
      <c r="F22" s="145" t="s">
        <v>374</v>
      </c>
      <c r="G22" s="136"/>
      <c r="H22" s="138"/>
      <c r="I22" s="138" t="s">
        <v>377</v>
      </c>
      <c r="J22" s="157" t="s">
        <v>508</v>
      </c>
      <c r="K22" s="142"/>
      <c r="L22" s="142" t="s">
        <v>379</v>
      </c>
    </row>
    <row r="23" spans="2:12" s="143" customFormat="1">
      <c r="B23" s="144"/>
      <c r="C23" s="135" t="s">
        <v>158</v>
      </c>
      <c r="D23" s="136"/>
      <c r="E23" s="145"/>
      <c r="F23" s="145"/>
      <c r="G23" s="136"/>
      <c r="H23" s="138"/>
      <c r="I23" s="138" t="s">
        <v>98</v>
      </c>
      <c r="J23" s="157"/>
      <c r="K23" s="142"/>
      <c r="L23" s="142" t="s">
        <v>380</v>
      </c>
    </row>
    <row r="24" spans="2:12">
      <c r="B24" s="15"/>
      <c r="C24" s="10" t="s">
        <v>164</v>
      </c>
      <c r="D24" s="11"/>
      <c r="E24" s="29"/>
      <c r="F24" s="29"/>
      <c r="G24" s="11"/>
      <c r="H24" s="13"/>
      <c r="I24" s="13" t="s">
        <v>167</v>
      </c>
      <c r="J24" s="17"/>
      <c r="L24" s="2" t="s">
        <v>382</v>
      </c>
    </row>
    <row r="25" spans="2:12" ht="60">
      <c r="B25" s="18"/>
      <c r="C25" s="10" t="s">
        <v>169</v>
      </c>
      <c r="D25" s="11"/>
      <c r="E25" s="27" t="s">
        <v>509</v>
      </c>
      <c r="F25" s="27" t="s">
        <v>469</v>
      </c>
      <c r="G25" s="11"/>
      <c r="H25" s="13"/>
      <c r="I25" s="13" t="s">
        <v>385</v>
      </c>
      <c r="J25" s="34" t="s">
        <v>510</v>
      </c>
    </row>
    <row r="26" spans="2:12" ht="30">
      <c r="B26" s="18"/>
      <c r="C26" s="10" t="s">
        <v>175</v>
      </c>
      <c r="D26" s="11"/>
      <c r="E26" s="29"/>
      <c r="F26" s="28"/>
      <c r="G26" s="19"/>
      <c r="H26" s="13"/>
      <c r="I26" s="13"/>
      <c r="J26" s="17"/>
      <c r="L26" s="20" t="s">
        <v>391</v>
      </c>
    </row>
    <row r="27" spans="2:12" s="143" customFormat="1" ht="45">
      <c r="B27" s="134" t="s">
        <v>178</v>
      </c>
      <c r="C27" s="135" t="s">
        <v>179</v>
      </c>
      <c r="D27" s="136"/>
      <c r="E27" s="137" t="s">
        <v>511</v>
      </c>
      <c r="F27" s="137" t="s">
        <v>471</v>
      </c>
      <c r="G27" s="152" t="s">
        <v>188</v>
      </c>
      <c r="H27" s="158" t="s">
        <v>473</v>
      </c>
      <c r="I27" s="138" t="s">
        <v>184</v>
      </c>
      <c r="J27" s="157" t="s">
        <v>512</v>
      </c>
      <c r="K27" s="142"/>
      <c r="L27" s="142" t="s">
        <v>397</v>
      </c>
    </row>
    <row r="28" spans="2:12" s="143" customFormat="1" ht="45">
      <c r="B28" s="144"/>
      <c r="C28" s="135" t="s">
        <v>185</v>
      </c>
      <c r="D28" s="136"/>
      <c r="E28" s="137" t="s">
        <v>511</v>
      </c>
      <c r="F28" s="137"/>
      <c r="G28" s="145"/>
      <c r="H28" s="158"/>
      <c r="I28" s="138" t="s">
        <v>184</v>
      </c>
      <c r="J28" s="157"/>
      <c r="K28" s="142"/>
      <c r="L28" s="142" t="s">
        <v>400</v>
      </c>
    </row>
    <row r="29" spans="2:12" ht="60">
      <c r="B29" s="9" t="s">
        <v>190</v>
      </c>
      <c r="C29" s="10" t="s">
        <v>191</v>
      </c>
      <c r="D29" s="11"/>
      <c r="E29" s="29" t="s">
        <v>401</v>
      </c>
      <c r="F29" s="29" t="s">
        <v>402</v>
      </c>
      <c r="G29" s="58" t="s">
        <v>401</v>
      </c>
      <c r="H29" s="13"/>
      <c r="I29" s="13" t="s">
        <v>194</v>
      </c>
      <c r="J29" s="17"/>
      <c r="L29" s="2" t="s">
        <v>403</v>
      </c>
    </row>
    <row r="30" spans="2:12" ht="75">
      <c r="B30" s="15"/>
      <c r="C30" s="10" t="s">
        <v>195</v>
      </c>
      <c r="D30" s="11"/>
      <c r="E30" s="29" t="s">
        <v>196</v>
      </c>
      <c r="F30" s="29" t="s">
        <v>197</v>
      </c>
      <c r="G30" t="s">
        <v>198</v>
      </c>
      <c r="H30" s="13" t="s">
        <v>405</v>
      </c>
      <c r="I30" s="13" t="s">
        <v>406</v>
      </c>
      <c r="J30" s="78" t="s">
        <v>201</v>
      </c>
      <c r="L30" s="2" t="s">
        <v>407</v>
      </c>
    </row>
    <row r="31" spans="2:12">
      <c r="B31" s="15"/>
      <c r="C31" s="10" t="s">
        <v>202</v>
      </c>
      <c r="D31" s="11"/>
      <c r="E31" s="27" t="s">
        <v>408</v>
      </c>
      <c r="F31" s="27" t="s">
        <v>409</v>
      </c>
      <c r="G31" s="11"/>
      <c r="H31" s="13"/>
      <c r="I31" s="13" t="s">
        <v>206</v>
      </c>
      <c r="J31" s="17"/>
      <c r="L31" s="2" t="s">
        <v>410</v>
      </c>
    </row>
    <row r="32" spans="2:12">
      <c r="B32" s="15"/>
      <c r="C32" s="10" t="s">
        <v>207</v>
      </c>
      <c r="D32" s="11"/>
      <c r="E32" s="86" t="s">
        <v>477</v>
      </c>
      <c r="F32" s="86" t="s">
        <v>477</v>
      </c>
      <c r="G32" s="86" t="s">
        <v>477</v>
      </c>
      <c r="H32" s="79"/>
      <c r="I32" s="79" t="s">
        <v>212</v>
      </c>
      <c r="J32" s="84"/>
      <c r="L32" s="2" t="s">
        <v>412</v>
      </c>
    </row>
    <row r="33" spans="2:12" ht="28.5" customHeight="1">
      <c r="B33" s="15"/>
      <c r="C33" s="10" t="s">
        <v>213</v>
      </c>
      <c r="D33" s="11"/>
      <c r="E33" s="27" t="s">
        <v>478</v>
      </c>
      <c r="F33" s="27" t="s">
        <v>479</v>
      </c>
      <c r="G33" s="27" t="s">
        <v>480</v>
      </c>
      <c r="H33" s="79"/>
      <c r="I33" s="79" t="s">
        <v>218</v>
      </c>
      <c r="J33" s="84"/>
      <c r="L33" s="2" t="s">
        <v>415</v>
      </c>
    </row>
    <row r="34" spans="2:12">
      <c r="B34" s="15"/>
      <c r="C34" s="10" t="s">
        <v>416</v>
      </c>
      <c r="D34" s="11"/>
      <c r="E34" s="29"/>
      <c r="F34" s="29"/>
      <c r="G34" s="58"/>
      <c r="H34" s="13"/>
      <c r="I34" s="13" t="s">
        <v>224</v>
      </c>
      <c r="J34" s="14"/>
    </row>
    <row r="35" spans="2:12" ht="30">
      <c r="B35" s="15"/>
      <c r="C35" s="10" t="s">
        <v>226</v>
      </c>
      <c r="D35" s="11"/>
      <c r="E35" s="27" t="s">
        <v>418</v>
      </c>
      <c r="F35" s="27" t="s">
        <v>419</v>
      </c>
      <c r="G35" s="27" t="s">
        <v>418</v>
      </c>
      <c r="H35" s="79"/>
      <c r="I35" s="79" t="s">
        <v>231</v>
      </c>
      <c r="J35" s="17"/>
    </row>
    <row r="36" spans="2:12" ht="45">
      <c r="B36" s="15"/>
      <c r="C36" s="10" t="s">
        <v>232</v>
      </c>
      <c r="D36" s="11"/>
      <c r="E36" s="27" t="s">
        <v>481</v>
      </c>
      <c r="F36" s="27" t="s">
        <v>482</v>
      </c>
      <c r="G36" s="27" t="s">
        <v>422</v>
      </c>
      <c r="H36" s="79"/>
      <c r="I36" s="79" t="s">
        <v>234</v>
      </c>
      <c r="J36" s="17"/>
    </row>
    <row r="37" spans="2:12" ht="30">
      <c r="B37" s="15"/>
      <c r="C37" s="10" t="s">
        <v>236</v>
      </c>
      <c r="D37" s="11"/>
      <c r="E37" s="29" t="s">
        <v>423</v>
      </c>
      <c r="F37" s="29" t="s">
        <v>424</v>
      </c>
      <c r="G37" s="87"/>
      <c r="H37" s="79"/>
      <c r="I37" s="79" t="s">
        <v>238</v>
      </c>
      <c r="J37" s="17"/>
    </row>
    <row r="38" spans="2:12" ht="45">
      <c r="B38" s="15"/>
      <c r="C38" s="10" t="s">
        <v>239</v>
      </c>
      <c r="D38" s="11"/>
      <c r="E38" s="29" t="s">
        <v>513</v>
      </c>
      <c r="F38" s="29"/>
      <c r="G38" s="29"/>
      <c r="H38" s="13"/>
      <c r="I38" s="13" t="s">
        <v>98</v>
      </c>
      <c r="J38" s="17"/>
    </row>
    <row r="39" spans="2:12" ht="45">
      <c r="B39" s="18"/>
      <c r="C39" s="10" t="s">
        <v>244</v>
      </c>
      <c r="D39" s="11"/>
      <c r="E39" s="27" t="s">
        <v>425</v>
      </c>
      <c r="F39" s="27" t="s">
        <v>426</v>
      </c>
      <c r="G39" s="27" t="s">
        <v>427</v>
      </c>
      <c r="H39" s="79" t="s">
        <v>428</v>
      </c>
      <c r="I39" s="79" t="s">
        <v>212</v>
      </c>
      <c r="J39" s="17"/>
    </row>
    <row r="40" spans="2:12" ht="75">
      <c r="B40" s="9" t="s">
        <v>246</v>
      </c>
      <c r="C40" s="10" t="s">
        <v>247</v>
      </c>
      <c r="D40" s="11"/>
      <c r="E40" s="27" t="s">
        <v>514</v>
      </c>
      <c r="F40" s="27" t="s">
        <v>484</v>
      </c>
      <c r="G40" s="29" t="s">
        <v>515</v>
      </c>
      <c r="H40" s="13"/>
      <c r="I40" s="13" t="s">
        <v>252</v>
      </c>
      <c r="J40" s="17"/>
    </row>
    <row r="41" spans="2:12" ht="45">
      <c r="B41" s="15"/>
      <c r="C41" s="10" t="s">
        <v>253</v>
      </c>
      <c r="D41" s="11"/>
      <c r="E41" s="27" t="s">
        <v>511</v>
      </c>
      <c r="F41" s="29"/>
      <c r="G41" s="29"/>
      <c r="H41" s="13"/>
      <c r="I41" s="13" t="s">
        <v>257</v>
      </c>
      <c r="J41" s="17"/>
    </row>
    <row r="42" spans="2:12" s="143" customFormat="1">
      <c r="B42" s="144"/>
      <c r="C42" s="135" t="s">
        <v>258</v>
      </c>
      <c r="D42" s="136"/>
      <c r="E42" s="145"/>
      <c r="F42" s="145"/>
      <c r="G42" s="136"/>
      <c r="H42" s="138"/>
      <c r="I42" s="138" t="s">
        <v>486</v>
      </c>
      <c r="J42" s="157"/>
      <c r="K42" s="142"/>
    </row>
    <row r="43" spans="2:12">
      <c r="B43" s="15"/>
      <c r="C43" s="10" t="s">
        <v>263</v>
      </c>
      <c r="D43" s="11"/>
      <c r="E43" s="27" t="s">
        <v>438</v>
      </c>
      <c r="F43" s="27" t="s">
        <v>439</v>
      </c>
      <c r="G43" s="11"/>
      <c r="H43" s="13"/>
      <c r="I43" s="13" t="s">
        <v>267</v>
      </c>
      <c r="J43" s="14"/>
    </row>
    <row r="44" spans="2:12">
      <c r="B44" s="15"/>
      <c r="C44" s="10" t="s">
        <v>269</v>
      </c>
      <c r="D44" s="11"/>
      <c r="E44" s="27"/>
      <c r="F44" s="29" t="s">
        <v>491</v>
      </c>
      <c r="G44" s="11"/>
      <c r="H44" s="13"/>
      <c r="I44" s="13" t="s">
        <v>271</v>
      </c>
      <c r="J44" s="17"/>
    </row>
    <row r="45" spans="2:12">
      <c r="B45" s="15"/>
      <c r="C45" s="10" t="s">
        <v>274</v>
      </c>
      <c r="D45" s="11"/>
      <c r="E45" s="27"/>
      <c r="F45" s="29" t="s">
        <v>492</v>
      </c>
      <c r="G45" s="11"/>
      <c r="H45" s="13"/>
      <c r="I45" s="13" t="s">
        <v>271</v>
      </c>
      <c r="J45" s="17"/>
    </row>
    <row r="46" spans="2:12" s="143" customFormat="1" ht="45">
      <c r="B46" s="148"/>
      <c r="C46" s="135" t="s">
        <v>278</v>
      </c>
      <c r="D46" s="136"/>
      <c r="E46" s="145" t="s">
        <v>516</v>
      </c>
      <c r="F46" s="145"/>
      <c r="G46" s="145"/>
      <c r="H46" s="138"/>
      <c r="I46" s="138" t="s">
        <v>281</v>
      </c>
      <c r="J46" s="157"/>
      <c r="K46" s="142"/>
    </row>
    <row r="47" spans="2:12">
      <c r="B47" s="9" t="s">
        <v>282</v>
      </c>
      <c r="C47" s="10" t="s">
        <v>283</v>
      </c>
      <c r="D47" s="11"/>
      <c r="E47" s="29"/>
      <c r="F47" s="29"/>
      <c r="G47" s="11"/>
      <c r="H47" s="13"/>
      <c r="I47" s="13" t="s">
        <v>285</v>
      </c>
      <c r="J47" s="14"/>
    </row>
    <row r="48" spans="2:12">
      <c r="B48" s="15"/>
      <c r="C48" s="10" t="s">
        <v>287</v>
      </c>
      <c r="D48" s="11"/>
      <c r="E48" s="29"/>
      <c r="F48" s="29"/>
      <c r="G48" s="11"/>
      <c r="H48" s="13"/>
      <c r="I48" s="13" t="s">
        <v>289</v>
      </c>
      <c r="J48" s="14"/>
    </row>
    <row r="49" spans="2:10">
      <c r="B49" s="15"/>
      <c r="C49" s="10" t="s">
        <v>253</v>
      </c>
      <c r="D49" s="11"/>
      <c r="E49" s="29"/>
      <c r="F49" s="29"/>
      <c r="G49" s="11"/>
      <c r="H49" s="13"/>
      <c r="I49" s="13" t="s">
        <v>292</v>
      </c>
      <c r="J49" s="17"/>
    </row>
    <row r="50" spans="2:10">
      <c r="B50" s="15"/>
      <c r="C50" s="10" t="s">
        <v>293</v>
      </c>
      <c r="D50" s="11"/>
      <c r="E50" s="29"/>
      <c r="F50" s="29"/>
      <c r="G50" s="12"/>
      <c r="H50" s="13"/>
      <c r="I50" s="13"/>
      <c r="J50" s="17" t="s">
        <v>517</v>
      </c>
    </row>
  </sheetData>
  <mergeCells count="2">
    <mergeCell ref="F3:G3"/>
    <mergeCell ref="B6:B17"/>
  </mergeCells>
  <pageMargins left="0.75" right="0.75" top="1" bottom="1" header="0.511811023622047" footer="0.511811023622047"/>
  <pageSetup paperSize="9" orientation="portrait" horizontalDpi="300" verticalDpi="300"/>
  <headerFooter>
    <oddFooter>&amp;L_x000D_&amp;1#&amp;"Aptos"&amp;10&amp;K000000 DC2 - Restricted</odd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sheetPr>
  <dimension ref="B2:M49"/>
  <sheetViews>
    <sheetView showGridLines="0" zoomScale="85" zoomScaleNormal="85" workbookViewId="0">
      <pane xSplit="3" ySplit="4" topLeftCell="D14" activePane="bottomRight" state="frozen"/>
      <selection pane="bottomRight" activeCell="F19" sqref="F19"/>
      <selection pane="bottomLeft" activeCell="G23" sqref="G23"/>
      <selection pane="topRight" activeCell="G23" sqref="G23"/>
    </sheetView>
  </sheetViews>
  <sheetFormatPr defaultColWidth="55.140625" defaultRowHeight="15"/>
  <cols>
    <col min="1" max="1" width="1.85546875" style="1" customWidth="1"/>
    <col min="2" max="2" width="22" style="1" customWidth="1"/>
    <col min="3" max="3" width="20.85546875" style="2" customWidth="1"/>
    <col min="4" max="4" width="12.85546875" style="1" customWidth="1"/>
    <col min="5" max="5" width="27.42578125" style="1" customWidth="1"/>
    <col min="6" max="6" width="69.5703125" style="2" customWidth="1"/>
    <col min="7" max="7" width="59.5703125" style="1" customWidth="1"/>
    <col min="8" max="8" width="46.85546875" style="1" customWidth="1"/>
    <col min="9" max="9" width="36.7109375" style="1" customWidth="1"/>
    <col min="10" max="10" width="27.42578125" style="1" customWidth="1"/>
    <col min="11" max="11" width="9.42578125" style="2" customWidth="1"/>
    <col min="12" max="12" width="82.140625" style="1" customWidth="1"/>
    <col min="13" max="13" width="55.140625" style="1" customWidth="1"/>
    <col min="14" max="16384" width="55.140625" style="1"/>
  </cols>
  <sheetData>
    <row r="2" spans="2:13" s="3" customFormat="1" ht="27.75" customHeight="1">
      <c r="B2" s="4" t="str">
        <f t="array" aca="1" ref="B2" ca="1">IFERROR( RIGHT(CELL("filename",A1),LEN(CELL("filename",A1))-FIND("]",CELL("filename",A1))), "Tab title (save and calculate to sync)")</f>
        <v>Tab title (save and calculate to sync)</v>
      </c>
      <c r="C2" s="5"/>
      <c r="F2" s="5"/>
      <c r="L2" s="5"/>
    </row>
    <row r="3" spans="2:13" ht="14.25" customHeight="1">
      <c r="E3" s="6"/>
      <c r="F3" s="163" t="s">
        <v>53</v>
      </c>
      <c r="G3" s="180"/>
      <c r="H3" s="30" t="s">
        <v>318</v>
      </c>
      <c r="I3" s="31"/>
    </row>
    <row r="4" spans="2:13" ht="29.1" customHeight="1">
      <c r="B4" s="7" t="s">
        <v>55</v>
      </c>
      <c r="C4" s="8" t="s">
        <v>56</v>
      </c>
      <c r="D4" s="8" t="s">
        <v>319</v>
      </c>
      <c r="E4" s="8" t="s">
        <v>58</v>
      </c>
      <c r="F4" s="8" t="s">
        <v>59</v>
      </c>
      <c r="G4" s="7" t="s">
        <v>60</v>
      </c>
      <c r="H4" s="8" t="s">
        <v>61</v>
      </c>
      <c r="I4" s="8" t="s">
        <v>62</v>
      </c>
      <c r="J4" s="7" t="s">
        <v>63</v>
      </c>
      <c r="L4" s="8" t="s">
        <v>64</v>
      </c>
      <c r="M4" s="7" t="s">
        <v>65</v>
      </c>
    </row>
    <row r="5" spans="2:13" ht="63" customHeight="1">
      <c r="B5" s="164" t="s">
        <v>66</v>
      </c>
      <c r="C5" s="62" t="s">
        <v>67</v>
      </c>
      <c r="D5" s="58" t="s">
        <v>77</v>
      </c>
      <c r="E5" s="37" t="s">
        <v>320</v>
      </c>
      <c r="F5" s="37" t="s">
        <v>69</v>
      </c>
      <c r="G5" s="37" t="s">
        <v>321</v>
      </c>
      <c r="H5" s="13" t="s">
        <v>71</v>
      </c>
      <c r="I5" s="13" t="s">
        <v>67</v>
      </c>
      <c r="J5" s="59"/>
      <c r="L5" s="60"/>
      <c r="M5" s="60"/>
    </row>
    <row r="6" spans="2:13" ht="45">
      <c r="B6" s="165"/>
      <c r="C6" s="62" t="s">
        <v>322</v>
      </c>
      <c r="D6" s="58"/>
      <c r="E6" s="37" t="s">
        <v>323</v>
      </c>
      <c r="F6" s="37" t="s">
        <v>324</v>
      </c>
      <c r="G6" s="37" t="s">
        <v>325</v>
      </c>
      <c r="H6" s="13"/>
      <c r="I6" s="13"/>
      <c r="J6" s="59"/>
      <c r="L6" s="60"/>
      <c r="M6" s="60"/>
    </row>
    <row r="7" spans="2:13" ht="29.1" customHeight="1">
      <c r="B7" s="165"/>
      <c r="C7" s="62" t="s">
        <v>327</v>
      </c>
      <c r="D7" s="58"/>
      <c r="E7" s="37" t="s">
        <v>328</v>
      </c>
      <c r="F7" s="37" t="s">
        <v>329</v>
      </c>
      <c r="G7" s="37" t="s">
        <v>330</v>
      </c>
      <c r="H7" s="13"/>
      <c r="I7" s="13"/>
      <c r="J7" s="59"/>
      <c r="L7" s="60"/>
      <c r="M7" s="60"/>
    </row>
    <row r="8" spans="2:13" ht="66" customHeight="1">
      <c r="B8" s="165"/>
      <c r="C8" s="62" t="s">
        <v>76</v>
      </c>
      <c r="D8" s="58" t="s">
        <v>77</v>
      </c>
      <c r="E8" s="37" t="s">
        <v>78</v>
      </c>
      <c r="F8" s="66" t="s">
        <v>79</v>
      </c>
      <c r="G8" s="61" t="s">
        <v>80</v>
      </c>
      <c r="H8" s="13" t="s">
        <v>81</v>
      </c>
      <c r="I8" s="13"/>
      <c r="J8" s="59" t="s">
        <v>82</v>
      </c>
      <c r="L8" s="60"/>
      <c r="M8" s="60"/>
    </row>
    <row r="9" spans="2:13" ht="66" customHeight="1">
      <c r="B9" s="165"/>
      <c r="C9" s="62" t="s">
        <v>83</v>
      </c>
      <c r="D9" s="58" t="s">
        <v>77</v>
      </c>
      <c r="E9" s="37" t="s">
        <v>443</v>
      </c>
      <c r="F9" s="66" t="s">
        <v>85</v>
      </c>
      <c r="G9" s="37" t="s">
        <v>443</v>
      </c>
      <c r="H9" s="13" t="s">
        <v>86</v>
      </c>
      <c r="I9" s="13"/>
      <c r="J9" s="59" t="s">
        <v>82</v>
      </c>
      <c r="L9" s="60"/>
      <c r="M9" s="60"/>
    </row>
    <row r="10" spans="2:13" ht="66" customHeight="1">
      <c r="B10" s="165"/>
      <c r="C10" s="62" t="s">
        <v>87</v>
      </c>
      <c r="D10" s="58" t="s">
        <v>88</v>
      </c>
      <c r="E10" s="37" t="s">
        <v>444</v>
      </c>
      <c r="F10" s="66" t="s">
        <v>90</v>
      </c>
      <c r="G10" s="37" t="s">
        <v>444</v>
      </c>
      <c r="H10" s="13" t="s">
        <v>91</v>
      </c>
      <c r="I10" s="13"/>
      <c r="J10" s="59" t="s">
        <v>82</v>
      </c>
      <c r="L10" s="60"/>
      <c r="M10" s="60"/>
    </row>
    <row r="11" spans="2:13" ht="29.1" customHeight="1">
      <c r="B11" s="165"/>
      <c r="C11" s="62" t="s">
        <v>92</v>
      </c>
      <c r="D11" s="58"/>
      <c r="E11" s="29"/>
      <c r="F11" s="29"/>
      <c r="G11" s="58"/>
      <c r="H11" s="13"/>
      <c r="I11" s="13"/>
      <c r="J11" s="59"/>
      <c r="L11" s="60"/>
      <c r="M11" s="60"/>
    </row>
    <row r="12" spans="2:13" ht="76.5" customHeight="1">
      <c r="B12" s="165"/>
      <c r="C12" s="62" t="s">
        <v>93</v>
      </c>
      <c r="D12" s="58"/>
      <c r="E12" s="29"/>
      <c r="F12" s="29" t="s">
        <v>355</v>
      </c>
      <c r="G12" s="58"/>
      <c r="H12" s="13"/>
      <c r="I12" s="13"/>
      <c r="J12" s="59"/>
      <c r="L12" s="60"/>
      <c r="M12" s="60"/>
    </row>
    <row r="13" spans="2:13" ht="43.5" customHeight="1">
      <c r="B13" s="165"/>
      <c r="C13" s="10" t="s">
        <v>101</v>
      </c>
      <c r="D13" s="11"/>
      <c r="E13" s="29"/>
      <c r="F13" s="29"/>
      <c r="G13" s="11"/>
      <c r="H13" s="13"/>
      <c r="I13" s="13" t="s">
        <v>107</v>
      </c>
      <c r="J13" s="14"/>
      <c r="L13" s="2" t="s">
        <v>336</v>
      </c>
      <c r="M13" s="2" t="s">
        <v>337</v>
      </c>
    </row>
    <row r="14" spans="2:13" ht="28.5" customHeight="1">
      <c r="B14" s="165"/>
      <c r="C14" s="10" t="s">
        <v>111</v>
      </c>
      <c r="D14" s="11"/>
      <c r="E14" s="27" t="s">
        <v>518</v>
      </c>
      <c r="F14" s="27" t="s">
        <v>519</v>
      </c>
      <c r="G14" s="11"/>
      <c r="H14" s="13"/>
      <c r="I14" s="13" t="s">
        <v>107</v>
      </c>
      <c r="J14" s="14"/>
      <c r="L14" s="2" t="s">
        <v>341</v>
      </c>
      <c r="M14" s="1" t="s">
        <v>342</v>
      </c>
    </row>
    <row r="15" spans="2:13" ht="43.5" customHeight="1">
      <c r="B15" s="165"/>
      <c r="C15" s="10" t="s">
        <v>116</v>
      </c>
      <c r="D15" s="16"/>
      <c r="E15" s="29"/>
      <c r="F15" s="29"/>
      <c r="G15" s="11"/>
      <c r="H15" s="13"/>
      <c r="I15" s="13" t="s">
        <v>118</v>
      </c>
      <c r="J15" s="17"/>
      <c r="L15" s="2" t="s">
        <v>348</v>
      </c>
    </row>
    <row r="16" spans="2:13" ht="14.45" customHeight="1">
      <c r="B16" s="166"/>
      <c r="C16" s="10" t="s">
        <v>121</v>
      </c>
      <c r="D16" s="11"/>
      <c r="E16" s="29"/>
      <c r="F16" s="29"/>
      <c r="G16" s="11"/>
      <c r="H16" s="13"/>
      <c r="I16" s="13" t="s">
        <v>98</v>
      </c>
      <c r="J16" s="17"/>
      <c r="L16" s="2" t="s">
        <v>356</v>
      </c>
    </row>
    <row r="17" spans="2:12" ht="28.5" customHeight="1">
      <c r="B17" s="9" t="s">
        <v>122</v>
      </c>
      <c r="C17" s="10" t="s">
        <v>123</v>
      </c>
      <c r="D17" s="11"/>
      <c r="E17" s="27"/>
      <c r="F17" s="27"/>
      <c r="G17" s="11"/>
      <c r="H17" s="13"/>
      <c r="I17" s="13"/>
      <c r="J17" s="17"/>
      <c r="L17" s="2" t="s">
        <v>360</v>
      </c>
    </row>
    <row r="18" spans="2:12" ht="43.5" customHeight="1">
      <c r="B18" s="15"/>
      <c r="C18" s="10" t="s">
        <v>131</v>
      </c>
      <c r="D18" s="11"/>
      <c r="E18" s="29"/>
      <c r="F18" s="29"/>
      <c r="G18" s="11"/>
      <c r="H18" s="13"/>
      <c r="I18" s="13"/>
      <c r="J18" s="17"/>
      <c r="L18" s="2" t="s">
        <v>365</v>
      </c>
    </row>
    <row r="19" spans="2:12" ht="89.25" customHeight="1">
      <c r="B19" s="15"/>
      <c r="C19" s="10" t="s">
        <v>137</v>
      </c>
      <c r="D19" s="11"/>
      <c r="E19" s="65"/>
      <c r="F19" s="27"/>
      <c r="G19" s="11"/>
      <c r="H19" s="13"/>
      <c r="I19" s="13"/>
      <c r="J19" s="17"/>
      <c r="L19" s="2" t="s">
        <v>370</v>
      </c>
    </row>
    <row r="20" spans="2:12" ht="43.5" customHeight="1">
      <c r="B20" s="18"/>
      <c r="C20" s="10" t="s">
        <v>144</v>
      </c>
      <c r="D20" s="11"/>
      <c r="E20" s="27" t="s">
        <v>520</v>
      </c>
      <c r="F20" s="27" t="s">
        <v>521</v>
      </c>
      <c r="G20" s="11" t="s">
        <v>522</v>
      </c>
      <c r="H20" s="13"/>
      <c r="I20" s="13"/>
      <c r="J20" s="17" t="s">
        <v>523</v>
      </c>
      <c r="L20" s="2" t="s">
        <v>372</v>
      </c>
    </row>
    <row r="21" spans="2:12">
      <c r="B21" s="9" t="s">
        <v>151</v>
      </c>
      <c r="C21" s="10" t="s">
        <v>152</v>
      </c>
      <c r="D21" s="11"/>
      <c r="E21" s="27" t="s">
        <v>524</v>
      </c>
      <c r="F21" s="27" t="s">
        <v>525</v>
      </c>
      <c r="G21" s="11" t="s">
        <v>526</v>
      </c>
      <c r="H21" s="13" t="s">
        <v>527</v>
      </c>
      <c r="I21" s="13" t="s">
        <v>377</v>
      </c>
      <c r="J21" s="17"/>
      <c r="L21" s="2" t="s">
        <v>379</v>
      </c>
    </row>
    <row r="22" spans="2:12">
      <c r="B22" s="15"/>
      <c r="C22" s="10" t="s">
        <v>158</v>
      </c>
      <c r="D22" s="11"/>
      <c r="E22" s="29"/>
      <c r="F22" s="29"/>
      <c r="G22" s="11"/>
      <c r="H22" s="13"/>
      <c r="I22" s="13" t="s">
        <v>98</v>
      </c>
      <c r="J22" s="17"/>
      <c r="L22" s="2" t="s">
        <v>380</v>
      </c>
    </row>
    <row r="23" spans="2:12">
      <c r="B23" s="15"/>
      <c r="C23" s="10" t="s">
        <v>164</v>
      </c>
      <c r="D23" s="11"/>
      <c r="E23" s="29"/>
      <c r="F23" s="29"/>
      <c r="G23" s="11"/>
      <c r="H23" s="13"/>
      <c r="I23" s="13" t="s">
        <v>167</v>
      </c>
      <c r="J23" s="17"/>
      <c r="L23" s="2" t="s">
        <v>382</v>
      </c>
    </row>
    <row r="24" spans="2:12" ht="29.1" customHeight="1">
      <c r="B24" s="18"/>
      <c r="C24" s="10" t="s">
        <v>169</v>
      </c>
      <c r="D24" s="11"/>
      <c r="E24" s="27" t="s">
        <v>528</v>
      </c>
      <c r="F24" s="27" t="s">
        <v>529</v>
      </c>
      <c r="G24" s="11"/>
      <c r="H24" s="13"/>
      <c r="I24" s="13" t="s">
        <v>385</v>
      </c>
      <c r="J24" s="17"/>
    </row>
    <row r="25" spans="2:12" ht="30">
      <c r="B25" s="18"/>
      <c r="C25" s="10" t="s">
        <v>175</v>
      </c>
      <c r="D25" s="11"/>
      <c r="E25" s="29"/>
      <c r="F25" s="28"/>
      <c r="G25" s="19"/>
      <c r="H25" s="13"/>
      <c r="I25" s="13"/>
      <c r="J25" s="17"/>
      <c r="L25" s="20" t="s">
        <v>391</v>
      </c>
    </row>
    <row r="26" spans="2:12" ht="29.1" customHeight="1">
      <c r="B26" s="9" t="s">
        <v>178</v>
      </c>
      <c r="C26" s="10" t="s">
        <v>179</v>
      </c>
      <c r="D26" s="11"/>
      <c r="E26" s="27"/>
      <c r="F26" s="27"/>
      <c r="G26" s="11"/>
      <c r="H26" s="13"/>
      <c r="I26" s="13" t="s">
        <v>530</v>
      </c>
      <c r="J26" s="17"/>
      <c r="L26" s="2" t="s">
        <v>397</v>
      </c>
    </row>
    <row r="27" spans="2:12">
      <c r="B27" s="15"/>
      <c r="C27" s="10" t="s">
        <v>185</v>
      </c>
      <c r="D27" s="11"/>
      <c r="E27" s="27" t="s">
        <v>531</v>
      </c>
      <c r="F27" s="29"/>
      <c r="G27" s="11"/>
      <c r="H27" s="13"/>
      <c r="I27" s="13" t="s">
        <v>184</v>
      </c>
      <c r="J27" s="17"/>
      <c r="L27" s="2" t="s">
        <v>400</v>
      </c>
    </row>
    <row r="28" spans="2:12" ht="60">
      <c r="B28" s="9" t="s">
        <v>190</v>
      </c>
      <c r="C28" s="10" t="s">
        <v>191</v>
      </c>
      <c r="D28" s="11"/>
      <c r="E28" s="29" t="s">
        <v>401</v>
      </c>
      <c r="F28" s="29" t="s">
        <v>402</v>
      </c>
      <c r="G28" s="58" t="s">
        <v>401</v>
      </c>
      <c r="H28" s="13"/>
      <c r="I28" s="13" t="s">
        <v>194</v>
      </c>
      <c r="J28" s="85"/>
      <c r="L28" s="2" t="s">
        <v>403</v>
      </c>
    </row>
    <row r="29" spans="2:12" ht="75">
      <c r="B29" s="15"/>
      <c r="C29" s="10" t="s">
        <v>195</v>
      </c>
      <c r="E29" s="29" t="s">
        <v>196</v>
      </c>
      <c r="F29" s="29" t="s">
        <v>197</v>
      </c>
      <c r="G29" s="1" t="s">
        <v>198</v>
      </c>
      <c r="H29" s="13" t="s">
        <v>405</v>
      </c>
      <c r="I29" s="13" t="s">
        <v>406</v>
      </c>
      <c r="J29" s="78" t="s">
        <v>201</v>
      </c>
      <c r="L29" s="2" t="s">
        <v>407</v>
      </c>
    </row>
    <row r="30" spans="2:12">
      <c r="B30" s="15"/>
      <c r="C30" s="10" t="s">
        <v>202</v>
      </c>
      <c r="D30" s="11"/>
      <c r="E30" s="27" t="s">
        <v>408</v>
      </c>
      <c r="F30" s="27" t="s">
        <v>409</v>
      </c>
      <c r="G30" s="11"/>
      <c r="H30" s="13"/>
      <c r="I30" s="13" t="s">
        <v>206</v>
      </c>
      <c r="J30" s="17"/>
      <c r="L30" s="2" t="s">
        <v>410</v>
      </c>
    </row>
    <row r="31" spans="2:12">
      <c r="B31" s="15"/>
      <c r="C31" s="10" t="s">
        <v>207</v>
      </c>
      <c r="D31" s="11"/>
      <c r="E31" s="86" t="s">
        <v>477</v>
      </c>
      <c r="F31" s="86" t="s">
        <v>477</v>
      </c>
      <c r="G31" s="86" t="s">
        <v>477</v>
      </c>
      <c r="H31" s="79"/>
      <c r="I31" s="79" t="s">
        <v>212</v>
      </c>
      <c r="J31" s="84"/>
      <c r="L31" s="2" t="s">
        <v>412</v>
      </c>
    </row>
    <row r="32" spans="2:12" ht="28.5" customHeight="1">
      <c r="B32" s="15"/>
      <c r="C32" s="10" t="s">
        <v>213</v>
      </c>
      <c r="D32" s="11"/>
      <c r="E32" s="27" t="s">
        <v>478</v>
      </c>
      <c r="F32" s="27" t="s">
        <v>479</v>
      </c>
      <c r="G32" s="27" t="s">
        <v>480</v>
      </c>
      <c r="H32" s="79"/>
      <c r="I32" s="79" t="s">
        <v>218</v>
      </c>
      <c r="J32" s="84"/>
      <c r="L32" s="2" t="s">
        <v>415</v>
      </c>
    </row>
    <row r="33" spans="2:10">
      <c r="B33" s="15"/>
      <c r="C33" s="10" t="s">
        <v>416</v>
      </c>
      <c r="D33" s="11"/>
      <c r="E33" s="29"/>
      <c r="F33" s="29"/>
      <c r="G33" s="11"/>
      <c r="H33" s="13"/>
      <c r="I33" s="13" t="s">
        <v>224</v>
      </c>
      <c r="J33" s="14"/>
    </row>
    <row r="34" spans="2:10" ht="30">
      <c r="B34" s="15"/>
      <c r="C34" s="10" t="s">
        <v>226</v>
      </c>
      <c r="D34" s="11"/>
      <c r="E34" s="27" t="s">
        <v>418</v>
      </c>
      <c r="F34" s="27" t="s">
        <v>419</v>
      </c>
      <c r="G34" s="27" t="s">
        <v>418</v>
      </c>
      <c r="H34" s="79"/>
      <c r="I34" s="79" t="s">
        <v>231</v>
      </c>
      <c r="J34" s="17"/>
    </row>
    <row r="35" spans="2:10" ht="45">
      <c r="B35" s="15"/>
      <c r="C35" s="10" t="s">
        <v>232</v>
      </c>
      <c r="D35" s="11"/>
      <c r="E35" s="27" t="s">
        <v>481</v>
      </c>
      <c r="F35" s="27" t="s">
        <v>482</v>
      </c>
      <c r="G35" s="27" t="s">
        <v>422</v>
      </c>
      <c r="H35" s="79"/>
      <c r="I35" s="79" t="s">
        <v>234</v>
      </c>
      <c r="J35" s="17"/>
    </row>
    <row r="36" spans="2:10" ht="30">
      <c r="B36" s="15"/>
      <c r="C36" s="10" t="s">
        <v>236</v>
      </c>
      <c r="D36" s="11"/>
      <c r="E36" s="29" t="s">
        <v>423</v>
      </c>
      <c r="F36" s="29" t="s">
        <v>424</v>
      </c>
      <c r="G36" s="87"/>
      <c r="H36" s="79"/>
      <c r="I36" s="79" t="s">
        <v>238</v>
      </c>
      <c r="J36" s="17"/>
    </row>
    <row r="37" spans="2:10">
      <c r="B37" s="15"/>
      <c r="C37" s="10" t="s">
        <v>239</v>
      </c>
      <c r="D37" s="11"/>
      <c r="E37" s="29"/>
      <c r="F37" s="29"/>
      <c r="G37" s="87"/>
      <c r="H37" s="79"/>
      <c r="I37" s="79" t="s">
        <v>98</v>
      </c>
      <c r="J37" s="17"/>
    </row>
    <row r="38" spans="2:10" ht="45">
      <c r="B38" s="18"/>
      <c r="C38" s="10" t="s">
        <v>244</v>
      </c>
      <c r="D38" s="11"/>
      <c r="E38" s="27" t="s">
        <v>425</v>
      </c>
      <c r="F38" s="27" t="s">
        <v>426</v>
      </c>
      <c r="G38" s="27" t="s">
        <v>427</v>
      </c>
      <c r="H38" s="79" t="s">
        <v>428</v>
      </c>
      <c r="I38" s="79" t="s">
        <v>212</v>
      </c>
      <c r="J38" s="17"/>
    </row>
    <row r="39" spans="2:10" ht="29.1" customHeight="1">
      <c r="B39" s="9" t="s">
        <v>246</v>
      </c>
      <c r="C39" s="10" t="s">
        <v>247</v>
      </c>
      <c r="D39" s="11"/>
      <c r="E39" s="27" t="s">
        <v>532</v>
      </c>
      <c r="F39" s="27" t="s">
        <v>484</v>
      </c>
      <c r="G39" s="11"/>
      <c r="H39" s="13"/>
      <c r="I39" s="13" t="s">
        <v>252</v>
      </c>
      <c r="J39" s="17"/>
    </row>
    <row r="40" spans="2:10" ht="29.1" customHeight="1">
      <c r="B40" s="15"/>
      <c r="C40" s="10" t="s">
        <v>253</v>
      </c>
      <c r="D40" s="11"/>
      <c r="E40" s="29"/>
      <c r="F40" s="29"/>
      <c r="G40" s="11"/>
      <c r="H40" s="13"/>
      <c r="I40" s="13" t="s">
        <v>257</v>
      </c>
      <c r="J40" s="17"/>
    </row>
    <row r="41" spans="2:10">
      <c r="B41" s="15"/>
      <c r="C41" s="10" t="s">
        <v>258</v>
      </c>
      <c r="D41" s="11" t="s">
        <v>533</v>
      </c>
      <c r="E41" s="29"/>
      <c r="F41" s="29"/>
      <c r="G41" s="11"/>
      <c r="H41" s="13"/>
      <c r="I41" s="13" t="s">
        <v>486</v>
      </c>
      <c r="J41" s="17"/>
    </row>
    <row r="42" spans="2:10">
      <c r="B42" s="15"/>
      <c r="C42" s="10" t="s">
        <v>263</v>
      </c>
      <c r="D42" s="11"/>
      <c r="E42" s="27" t="s">
        <v>438</v>
      </c>
      <c r="F42" s="27" t="s">
        <v>439</v>
      </c>
      <c r="G42" s="11"/>
      <c r="H42" s="13"/>
      <c r="I42" s="13" t="s">
        <v>267</v>
      </c>
      <c r="J42" s="14"/>
    </row>
    <row r="43" spans="2:10">
      <c r="B43" s="15"/>
      <c r="C43" s="10" t="s">
        <v>269</v>
      </c>
      <c r="D43" s="11"/>
      <c r="E43" s="29"/>
      <c r="F43" s="29" t="s">
        <v>491</v>
      </c>
      <c r="G43" s="11"/>
      <c r="H43" s="13"/>
      <c r="I43" s="13" t="s">
        <v>271</v>
      </c>
      <c r="J43" s="17"/>
    </row>
    <row r="44" spans="2:10">
      <c r="B44" s="15"/>
      <c r="C44" s="10" t="s">
        <v>274</v>
      </c>
      <c r="D44" s="11"/>
      <c r="E44" s="29"/>
      <c r="F44" s="29" t="s">
        <v>492</v>
      </c>
      <c r="G44" s="11"/>
      <c r="H44" s="13"/>
      <c r="I44" s="13" t="s">
        <v>271</v>
      </c>
      <c r="J44" s="17"/>
    </row>
    <row r="45" spans="2:10">
      <c r="B45" s="18"/>
      <c r="C45" s="10" t="s">
        <v>278</v>
      </c>
      <c r="D45" s="11"/>
      <c r="E45" s="29"/>
      <c r="F45" s="29"/>
      <c r="G45" s="12"/>
      <c r="H45" s="13"/>
      <c r="I45" s="13" t="s">
        <v>281</v>
      </c>
      <c r="J45" s="17"/>
    </row>
    <row r="46" spans="2:10">
      <c r="B46" s="9" t="s">
        <v>282</v>
      </c>
      <c r="C46" s="10" t="s">
        <v>283</v>
      </c>
      <c r="D46" s="11"/>
      <c r="E46" s="29"/>
      <c r="F46" s="29"/>
      <c r="G46" s="11"/>
      <c r="H46" s="13"/>
      <c r="I46" s="13" t="s">
        <v>285</v>
      </c>
      <c r="J46" s="14"/>
    </row>
    <row r="47" spans="2:10">
      <c r="B47" s="15"/>
      <c r="C47" s="10" t="s">
        <v>287</v>
      </c>
      <c r="D47" s="11"/>
      <c r="E47" s="29"/>
      <c r="F47" s="29"/>
      <c r="G47" s="11"/>
      <c r="H47" s="13"/>
      <c r="I47" s="13" t="s">
        <v>289</v>
      </c>
      <c r="J47" s="14"/>
    </row>
    <row r="48" spans="2:10">
      <c r="B48" s="15"/>
      <c r="C48" s="10" t="s">
        <v>253</v>
      </c>
      <c r="D48" s="11"/>
      <c r="E48" s="29"/>
      <c r="F48" s="29"/>
      <c r="G48" s="11"/>
      <c r="H48" s="13"/>
      <c r="I48" s="13" t="s">
        <v>292</v>
      </c>
      <c r="J48" s="17"/>
    </row>
    <row r="49" spans="2:10">
      <c r="B49" s="15"/>
      <c r="C49" s="10" t="s">
        <v>293</v>
      </c>
      <c r="D49" s="11"/>
      <c r="E49" s="29"/>
      <c r="F49" s="29"/>
      <c r="G49" s="12"/>
      <c r="H49" s="13"/>
      <c r="I49" s="13"/>
      <c r="J49" s="17"/>
    </row>
  </sheetData>
  <mergeCells count="2">
    <mergeCell ref="F3:G3"/>
    <mergeCell ref="B5:B16"/>
  </mergeCells>
  <pageMargins left="0.75" right="0.75" top="1" bottom="1" header="0.511811023622047" footer="0.511811023622047"/>
  <pageSetup paperSize="9" orientation="portrait" horizontalDpi="300" verticalDpi="300"/>
  <headerFooter>
    <oddFooter>&amp;L_x000D_&amp;1#&amp;"Aptos"&amp;10&amp;K000000 DC2 -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79998168889431442"/>
  </sheetPr>
  <dimension ref="B2:C8"/>
  <sheetViews>
    <sheetView topLeftCell="A4" workbookViewId="0">
      <selection activeCell="B7" sqref="B7"/>
    </sheetView>
  </sheetViews>
  <sheetFormatPr defaultRowHeight="15"/>
  <cols>
    <col min="2" max="2" width="37.85546875" customWidth="1"/>
    <col min="3" max="3" width="96.5703125" customWidth="1"/>
  </cols>
  <sheetData>
    <row r="2" spans="2:3">
      <c r="B2" s="7" t="s">
        <v>65</v>
      </c>
      <c r="C2" s="7" t="s">
        <v>311</v>
      </c>
    </row>
    <row r="3" spans="2:3" ht="300">
      <c r="B3" s="160" t="s">
        <v>66</v>
      </c>
      <c r="C3" s="161" t="s">
        <v>534</v>
      </c>
    </row>
    <row r="4" spans="2:3" ht="90">
      <c r="B4" s="160" t="s">
        <v>122</v>
      </c>
      <c r="C4" s="161" t="s">
        <v>535</v>
      </c>
    </row>
    <row r="5" spans="2:3" ht="150">
      <c r="B5" s="162" t="s">
        <v>151</v>
      </c>
      <c r="C5" s="161" t="s">
        <v>536</v>
      </c>
    </row>
    <row r="6" spans="2:3" ht="150">
      <c r="B6" s="160" t="s">
        <v>178</v>
      </c>
      <c r="C6" s="161" t="s">
        <v>537</v>
      </c>
    </row>
    <row r="7" spans="2:3" ht="150">
      <c r="B7" s="162" t="s">
        <v>190</v>
      </c>
      <c r="C7" s="161" t="s">
        <v>538</v>
      </c>
    </row>
    <row r="8" spans="2:3" ht="150">
      <c r="B8" s="160" t="s">
        <v>246</v>
      </c>
      <c r="C8" s="161" t="s">
        <v>539</v>
      </c>
    </row>
  </sheetData>
  <pageMargins left="0.7" right="0.7" top="0.75" bottom="0.75" header="0.3" footer="0.3"/>
  <headerFooter>
    <oddFooter>&amp;L_x000D_&amp;1#&amp;"Aptos"&amp;10&amp;K000000 DC2 -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79998168889431442"/>
  </sheetPr>
  <dimension ref="A2:M48"/>
  <sheetViews>
    <sheetView zoomScale="85" zoomScaleNormal="85" workbookViewId="0">
      <pane xSplit="4" ySplit="4" topLeftCell="E31" activePane="bottomRight" state="frozen"/>
      <selection pane="bottomRight" activeCell="F38" sqref="F38"/>
      <selection pane="bottomLeft" activeCell="A5" sqref="A5"/>
      <selection pane="topRight" activeCell="E1" sqref="E1"/>
    </sheetView>
  </sheetViews>
  <sheetFormatPr defaultColWidth="55.140625" defaultRowHeight="15"/>
  <cols>
    <col min="1" max="1" width="1.85546875" style="106" customWidth="1"/>
    <col min="2" max="2" width="22" style="106" customWidth="1"/>
    <col min="3" max="3" width="20.85546875" style="110" customWidth="1"/>
    <col min="4" max="4" width="18.140625" style="110" customWidth="1"/>
    <col min="5" max="5" width="36.7109375" style="106" customWidth="1"/>
    <col min="6" max="6" width="69.5703125" style="110" customWidth="1"/>
    <col min="7" max="7" width="59.5703125" style="106" customWidth="1"/>
    <col min="8" max="8" width="46.85546875" style="106" customWidth="1"/>
    <col min="9" max="9" width="36.7109375" style="106" customWidth="1"/>
    <col min="10" max="10" width="39.7109375" style="106" customWidth="1"/>
    <col min="11" max="11" width="9.42578125" style="110" customWidth="1"/>
    <col min="12" max="12" width="82.140625" style="106" customWidth="1"/>
    <col min="13" max="13" width="55.140625" style="106" customWidth="1"/>
    <col min="14" max="16384" width="55.140625" style="106"/>
  </cols>
  <sheetData>
    <row r="2" spans="1:13" s="113" customFormat="1" ht="27.75" customHeight="1">
      <c r="B2" s="114" t="s">
        <v>13</v>
      </c>
      <c r="C2" s="115"/>
      <c r="D2" s="115"/>
      <c r="F2" s="115"/>
      <c r="L2" s="115"/>
    </row>
    <row r="3" spans="1:13" s="102" customFormat="1" ht="14.25" customHeight="1">
      <c r="C3" s="116"/>
      <c r="D3" s="116"/>
      <c r="E3" s="117"/>
      <c r="F3" s="171" t="s">
        <v>53</v>
      </c>
      <c r="G3" s="172"/>
      <c r="H3" s="118" t="s">
        <v>318</v>
      </c>
      <c r="I3" s="119"/>
      <c r="K3" s="116"/>
      <c r="L3" s="132" t="s">
        <v>540</v>
      </c>
    </row>
    <row r="4" spans="1:13" s="102" customFormat="1" ht="29.1" customHeight="1">
      <c r="B4" s="120" t="s">
        <v>55</v>
      </c>
      <c r="C4" s="121" t="s">
        <v>56</v>
      </c>
      <c r="D4" s="121" t="s">
        <v>319</v>
      </c>
      <c r="E4" s="121" t="s">
        <v>58</v>
      </c>
      <c r="F4" s="121" t="s">
        <v>59</v>
      </c>
      <c r="G4" s="120" t="s">
        <v>60</v>
      </c>
      <c r="H4" s="121" t="s">
        <v>61</v>
      </c>
      <c r="I4" s="121" t="s">
        <v>62</v>
      </c>
      <c r="J4" s="120" t="s">
        <v>63</v>
      </c>
      <c r="K4" s="116"/>
      <c r="L4" s="121" t="s">
        <v>64</v>
      </c>
      <c r="M4" s="120" t="s">
        <v>65</v>
      </c>
    </row>
    <row r="5" spans="1:13" s="102" customFormat="1" ht="75.75" customHeight="1">
      <c r="A5" s="95"/>
      <c r="B5" s="173" t="s">
        <v>66</v>
      </c>
      <c r="C5" s="96" t="s">
        <v>67</v>
      </c>
      <c r="D5" s="67"/>
      <c r="E5" s="130" t="s">
        <v>541</v>
      </c>
      <c r="F5" s="97" t="s">
        <v>542</v>
      </c>
      <c r="G5" s="98" t="s">
        <v>543</v>
      </c>
      <c r="H5" s="99" t="s">
        <v>544</v>
      </c>
      <c r="I5" s="100" t="s">
        <v>67</v>
      </c>
      <c r="J5" s="64"/>
      <c r="K5" s="101"/>
      <c r="L5" s="101" t="s">
        <v>545</v>
      </c>
      <c r="M5" s="101"/>
    </row>
    <row r="6" spans="1:13" s="102" customFormat="1" ht="238.5" customHeight="1">
      <c r="A6" s="95"/>
      <c r="B6" s="174"/>
      <c r="C6" s="96" t="s">
        <v>72</v>
      </c>
      <c r="D6" s="67"/>
      <c r="E6" s="49" t="s">
        <v>546</v>
      </c>
      <c r="F6" s="49" t="s">
        <v>547</v>
      </c>
      <c r="G6" s="72" t="s">
        <v>548</v>
      </c>
      <c r="H6" s="104"/>
      <c r="I6" s="99"/>
      <c r="J6" s="64"/>
      <c r="K6" s="101"/>
      <c r="L6" s="101" t="s">
        <v>549</v>
      </c>
      <c r="M6" s="101"/>
    </row>
    <row r="7" spans="1:13" s="102" customFormat="1" ht="62.25" customHeight="1">
      <c r="A7" s="95"/>
      <c r="B7" s="174"/>
      <c r="C7" s="96" t="s">
        <v>76</v>
      </c>
      <c r="D7" s="105" t="s">
        <v>77</v>
      </c>
      <c r="E7" s="66" t="s">
        <v>78</v>
      </c>
      <c r="F7" s="66" t="s">
        <v>550</v>
      </c>
      <c r="G7" s="98" t="s">
        <v>80</v>
      </c>
      <c r="H7" s="99" t="s">
        <v>81</v>
      </c>
      <c r="I7" s="99"/>
      <c r="J7" s="59" t="s">
        <v>82</v>
      </c>
      <c r="K7" s="101"/>
      <c r="L7" s="101"/>
      <c r="M7" s="101"/>
    </row>
    <row r="8" spans="1:13" s="102" customFormat="1" ht="62.25" customHeight="1">
      <c r="A8" s="95"/>
      <c r="B8" s="174"/>
      <c r="C8" s="96" t="s">
        <v>83</v>
      </c>
      <c r="D8" s="105" t="s">
        <v>77</v>
      </c>
      <c r="E8" s="66" t="s">
        <v>443</v>
      </c>
      <c r="F8" s="66" t="s">
        <v>85</v>
      </c>
      <c r="G8" s="66" t="s">
        <v>443</v>
      </c>
      <c r="H8" s="99" t="s">
        <v>86</v>
      </c>
      <c r="I8" s="99"/>
      <c r="J8" s="59" t="s">
        <v>82</v>
      </c>
      <c r="K8" s="101"/>
      <c r="L8" s="101"/>
      <c r="M8" s="101"/>
    </row>
    <row r="9" spans="1:13" s="102" customFormat="1" ht="62.25" customHeight="1">
      <c r="A9" s="95"/>
      <c r="B9" s="174"/>
      <c r="C9" s="96" t="s">
        <v>87</v>
      </c>
      <c r="D9" s="105" t="s">
        <v>88</v>
      </c>
      <c r="E9" s="66" t="s">
        <v>444</v>
      </c>
      <c r="F9" s="66" t="s">
        <v>90</v>
      </c>
      <c r="G9" s="66" t="s">
        <v>444</v>
      </c>
      <c r="H9" s="99" t="s">
        <v>91</v>
      </c>
      <c r="I9" s="99"/>
      <c r="J9" s="59" t="s">
        <v>82</v>
      </c>
      <c r="K9" s="101"/>
      <c r="L9" s="101"/>
      <c r="M9" s="101"/>
    </row>
    <row r="10" spans="1:13" s="102" customFormat="1" ht="29.1" customHeight="1">
      <c r="A10" s="95"/>
      <c r="B10" s="174"/>
      <c r="C10" s="96" t="s">
        <v>92</v>
      </c>
      <c r="D10" s="67"/>
      <c r="E10" s="49"/>
      <c r="F10" s="49"/>
      <c r="G10" s="98"/>
      <c r="H10" s="99"/>
      <c r="I10" s="99"/>
      <c r="J10" s="64"/>
      <c r="K10" s="101"/>
      <c r="L10" s="101"/>
    </row>
    <row r="11" spans="1:13" s="102" customFormat="1" ht="105">
      <c r="A11" s="95"/>
      <c r="B11" s="174"/>
      <c r="C11" s="96" t="s">
        <v>93</v>
      </c>
      <c r="D11" s="67"/>
      <c r="E11" s="49"/>
      <c r="F11" s="49" t="s">
        <v>551</v>
      </c>
      <c r="G11" s="98"/>
      <c r="H11" s="99"/>
      <c r="I11" s="99"/>
      <c r="J11" s="131" t="s">
        <v>552</v>
      </c>
      <c r="K11" s="101"/>
      <c r="L11" s="101"/>
      <c r="M11" s="101"/>
    </row>
    <row r="12" spans="1:13" ht="65.45" customHeight="1">
      <c r="B12" s="174"/>
      <c r="C12" s="107" t="s">
        <v>101</v>
      </c>
      <c r="D12" s="108"/>
      <c r="E12" s="49"/>
      <c r="F12" s="49" t="s">
        <v>553</v>
      </c>
      <c r="G12" s="109"/>
      <c r="H12" s="99" t="s">
        <v>554</v>
      </c>
      <c r="I12" s="99"/>
      <c r="J12" s="52" t="s">
        <v>555</v>
      </c>
      <c r="L12" s="110" t="s">
        <v>556</v>
      </c>
      <c r="M12" s="110" t="s">
        <v>337</v>
      </c>
    </row>
    <row r="13" spans="1:13" ht="28.5" customHeight="1">
      <c r="B13" s="174"/>
      <c r="C13" s="107" t="s">
        <v>111</v>
      </c>
      <c r="D13" s="108"/>
      <c r="E13" s="49"/>
      <c r="F13" s="49"/>
      <c r="G13" s="109"/>
      <c r="H13" s="99"/>
      <c r="I13" s="99"/>
      <c r="J13" s="52"/>
      <c r="L13" s="110" t="s">
        <v>557</v>
      </c>
      <c r="M13" s="106" t="s">
        <v>342</v>
      </c>
    </row>
    <row r="14" spans="1:13" ht="109.5" customHeight="1">
      <c r="B14" s="174"/>
      <c r="C14" s="107" t="s">
        <v>116</v>
      </c>
      <c r="D14" s="111"/>
      <c r="E14" s="49" t="s">
        <v>558</v>
      </c>
      <c r="F14" s="49" t="s">
        <v>559</v>
      </c>
      <c r="G14" s="109"/>
      <c r="H14" s="99"/>
      <c r="I14" s="99" t="s">
        <v>67</v>
      </c>
      <c r="J14" s="64" t="s">
        <v>560</v>
      </c>
      <c r="L14" s="110" t="s">
        <v>561</v>
      </c>
    </row>
    <row r="15" spans="1:13" ht="14.45" customHeight="1">
      <c r="B15" s="175"/>
      <c r="C15" s="107" t="s">
        <v>121</v>
      </c>
      <c r="D15" s="108"/>
      <c r="E15" s="49"/>
      <c r="F15" s="49"/>
      <c r="G15" s="109"/>
      <c r="H15" s="99"/>
      <c r="I15" s="99"/>
      <c r="J15" s="112"/>
      <c r="L15" s="110" t="s">
        <v>356</v>
      </c>
    </row>
    <row r="16" spans="1:13" ht="111.6" customHeight="1">
      <c r="B16" s="122" t="s">
        <v>122</v>
      </c>
      <c r="C16" s="107" t="s">
        <v>123</v>
      </c>
      <c r="D16" s="108"/>
      <c r="E16" s="49" t="s">
        <v>562</v>
      </c>
      <c r="F16" s="49" t="s">
        <v>563</v>
      </c>
      <c r="G16" s="109"/>
      <c r="H16" s="99"/>
      <c r="I16" s="99"/>
      <c r="J16" s="52" t="s">
        <v>564</v>
      </c>
      <c r="L16" s="110" t="s">
        <v>360</v>
      </c>
    </row>
    <row r="17" spans="2:12" ht="43.5" customHeight="1">
      <c r="B17" s="123"/>
      <c r="C17" s="107" t="s">
        <v>131</v>
      </c>
      <c r="D17" s="108"/>
      <c r="E17" s="49" t="s">
        <v>565</v>
      </c>
      <c r="F17" s="49" t="s">
        <v>566</v>
      </c>
      <c r="G17" s="109" t="s">
        <v>136</v>
      </c>
      <c r="H17" s="99"/>
      <c r="I17" s="99" t="s">
        <v>136</v>
      </c>
      <c r="J17" s="112"/>
      <c r="L17" s="110" t="s">
        <v>365</v>
      </c>
    </row>
    <row r="18" spans="2:12" ht="59.1" customHeight="1">
      <c r="B18" s="123"/>
      <c r="C18" s="107" t="s">
        <v>137</v>
      </c>
      <c r="D18" s="108"/>
      <c r="E18" s="49"/>
      <c r="F18" s="98"/>
      <c r="G18" s="109"/>
      <c r="H18" s="99"/>
      <c r="I18" s="99"/>
      <c r="J18" s="52" t="s">
        <v>567</v>
      </c>
      <c r="K18" s="101"/>
      <c r="L18" s="110" t="s">
        <v>370</v>
      </c>
    </row>
    <row r="19" spans="2:12" ht="43.5" customHeight="1">
      <c r="B19" s="124"/>
      <c r="C19" s="107" t="s">
        <v>144</v>
      </c>
      <c r="D19" s="108"/>
      <c r="E19" s="49" t="s">
        <v>149</v>
      </c>
      <c r="F19" s="49" t="s">
        <v>568</v>
      </c>
      <c r="G19" s="109"/>
      <c r="H19" s="99"/>
      <c r="I19" s="99"/>
      <c r="J19" s="112"/>
      <c r="L19" s="110" t="s">
        <v>372</v>
      </c>
    </row>
    <row r="20" spans="2:12" ht="120">
      <c r="B20" s="122" t="s">
        <v>151</v>
      </c>
      <c r="C20" s="107" t="s">
        <v>152</v>
      </c>
      <c r="D20" s="108"/>
      <c r="E20" s="49" t="s">
        <v>569</v>
      </c>
      <c r="F20" s="49" t="s">
        <v>570</v>
      </c>
      <c r="G20" s="109" t="s">
        <v>571</v>
      </c>
      <c r="H20" s="99" t="s">
        <v>572</v>
      </c>
      <c r="I20" s="99" t="s">
        <v>377</v>
      </c>
      <c r="J20" s="64" t="s">
        <v>573</v>
      </c>
      <c r="L20" s="110" t="s">
        <v>379</v>
      </c>
    </row>
    <row r="21" spans="2:12" ht="60">
      <c r="B21" s="123"/>
      <c r="C21" s="107" t="s">
        <v>158</v>
      </c>
      <c r="D21" s="108"/>
      <c r="E21" s="49" t="s">
        <v>574</v>
      </c>
      <c r="F21" s="49" t="s">
        <v>575</v>
      </c>
      <c r="G21" s="109"/>
      <c r="H21" s="99"/>
      <c r="I21" s="99"/>
      <c r="J21" s="64" t="s">
        <v>576</v>
      </c>
      <c r="L21" s="110" t="s">
        <v>577</v>
      </c>
    </row>
    <row r="22" spans="2:12" ht="45">
      <c r="B22" s="123"/>
      <c r="C22" s="107" t="s">
        <v>164</v>
      </c>
      <c r="D22" s="108"/>
      <c r="E22" s="49" t="s">
        <v>578</v>
      </c>
      <c r="F22" s="49" t="s">
        <v>579</v>
      </c>
      <c r="G22" s="109" t="s">
        <v>167</v>
      </c>
      <c r="H22" s="99" t="s">
        <v>580</v>
      </c>
      <c r="I22" s="99" t="s">
        <v>581</v>
      </c>
      <c r="J22" s="112"/>
      <c r="L22" s="110" t="s">
        <v>382</v>
      </c>
    </row>
    <row r="23" spans="2:12" ht="120">
      <c r="B23" s="124"/>
      <c r="C23" s="107" t="s">
        <v>169</v>
      </c>
      <c r="D23" s="108"/>
      <c r="E23" s="49" t="s">
        <v>582</v>
      </c>
      <c r="F23" s="49" t="s">
        <v>583</v>
      </c>
      <c r="G23" s="109"/>
      <c r="H23" s="99" t="s">
        <v>584</v>
      </c>
      <c r="I23" s="99" t="s">
        <v>585</v>
      </c>
      <c r="J23" s="52" t="s">
        <v>586</v>
      </c>
    </row>
    <row r="24" spans="2:12" ht="30">
      <c r="B24" s="124"/>
      <c r="C24" s="107" t="s">
        <v>175</v>
      </c>
      <c r="D24" s="108"/>
      <c r="E24" s="49"/>
      <c r="F24" s="125"/>
      <c r="G24" s="126"/>
      <c r="H24" s="99"/>
      <c r="I24" s="99"/>
      <c r="J24" s="112"/>
      <c r="L24" s="127" t="s">
        <v>391</v>
      </c>
    </row>
    <row r="25" spans="2:12" ht="60">
      <c r="B25" s="122" t="s">
        <v>178</v>
      </c>
      <c r="C25" s="107" t="s">
        <v>179</v>
      </c>
      <c r="D25" s="108"/>
      <c r="E25" s="49" t="s">
        <v>587</v>
      </c>
      <c r="F25" s="49" t="s">
        <v>588</v>
      </c>
      <c r="G25" s="49" t="s">
        <v>589</v>
      </c>
      <c r="H25" s="99" t="s">
        <v>590</v>
      </c>
      <c r="I25" s="99" t="s">
        <v>591</v>
      </c>
      <c r="J25" s="52" t="s">
        <v>592</v>
      </c>
      <c r="L25" s="110" t="s">
        <v>397</v>
      </c>
    </row>
    <row r="26" spans="2:12" ht="31.5" customHeight="1">
      <c r="B26" s="123"/>
      <c r="C26" s="107" t="s">
        <v>185</v>
      </c>
      <c r="D26" s="108"/>
      <c r="E26" s="49" t="s">
        <v>593</v>
      </c>
      <c r="F26" s="49" t="s">
        <v>594</v>
      </c>
      <c r="G26" s="109"/>
      <c r="H26" s="99"/>
      <c r="I26" s="99"/>
      <c r="J26" s="112"/>
      <c r="L26" s="110" t="s">
        <v>400</v>
      </c>
    </row>
    <row r="27" spans="2:12" ht="75">
      <c r="B27" s="122" t="s">
        <v>190</v>
      </c>
      <c r="C27" s="107" t="s">
        <v>191</v>
      </c>
      <c r="D27" s="108"/>
      <c r="E27" s="49" t="s">
        <v>595</v>
      </c>
      <c r="F27" s="49" t="s">
        <v>402</v>
      </c>
      <c r="G27" s="88"/>
      <c r="H27" s="89"/>
      <c r="I27" s="89" t="s">
        <v>194</v>
      </c>
      <c r="J27" s="52" t="s">
        <v>596</v>
      </c>
      <c r="L27" s="110" t="s">
        <v>403</v>
      </c>
    </row>
    <row r="28" spans="2:12" ht="60">
      <c r="B28" s="123"/>
      <c r="C28" s="107" t="s">
        <v>195</v>
      </c>
      <c r="D28" s="108"/>
      <c r="E28" s="27" t="s">
        <v>196</v>
      </c>
      <c r="F28" s="27" t="s">
        <v>197</v>
      </c>
      <c r="G28" s="128" t="s">
        <v>198</v>
      </c>
      <c r="H28" s="99" t="s">
        <v>405</v>
      </c>
      <c r="I28" s="99" t="s">
        <v>597</v>
      </c>
      <c r="J28" s="59" t="s">
        <v>201</v>
      </c>
      <c r="L28" s="110" t="s">
        <v>407</v>
      </c>
    </row>
    <row r="29" spans="2:12" ht="30">
      <c r="B29" s="123"/>
      <c r="C29" s="107" t="s">
        <v>202</v>
      </c>
      <c r="D29" s="108"/>
      <c r="E29" s="49" t="s">
        <v>598</v>
      </c>
      <c r="F29" s="49" t="s">
        <v>599</v>
      </c>
      <c r="G29" s="88"/>
      <c r="H29" s="89"/>
      <c r="I29" s="89" t="s">
        <v>206</v>
      </c>
      <c r="J29" s="90"/>
      <c r="L29" s="110" t="s">
        <v>600</v>
      </c>
    </row>
    <row r="30" spans="2:12" ht="30">
      <c r="B30" s="123"/>
      <c r="C30" s="107" t="s">
        <v>207</v>
      </c>
      <c r="D30" s="108"/>
      <c r="E30" s="81" t="s">
        <v>477</v>
      </c>
      <c r="F30" s="81" t="s">
        <v>477</v>
      </c>
      <c r="G30" s="81" t="s">
        <v>477</v>
      </c>
      <c r="H30" s="91" t="s">
        <v>477</v>
      </c>
      <c r="I30" s="89" t="s">
        <v>212</v>
      </c>
      <c r="J30" s="92" t="s">
        <v>601</v>
      </c>
      <c r="L30" s="110" t="s">
        <v>412</v>
      </c>
    </row>
    <row r="31" spans="2:12" ht="28.5" customHeight="1">
      <c r="B31" s="123"/>
      <c r="C31" s="107" t="s">
        <v>213</v>
      </c>
      <c r="D31" s="108"/>
      <c r="E31" s="49" t="s">
        <v>478</v>
      </c>
      <c r="F31" s="49" t="s">
        <v>602</v>
      </c>
      <c r="G31" s="49" t="s">
        <v>480</v>
      </c>
      <c r="H31" s="89"/>
      <c r="I31" s="89" t="s">
        <v>218</v>
      </c>
      <c r="J31" s="90"/>
      <c r="L31" s="110" t="s">
        <v>415</v>
      </c>
    </row>
    <row r="32" spans="2:12" ht="59.45" customHeight="1">
      <c r="B32" s="123"/>
      <c r="C32" s="107" t="s">
        <v>416</v>
      </c>
      <c r="D32" s="108"/>
      <c r="E32" s="49" t="s">
        <v>603</v>
      </c>
      <c r="F32" s="49" t="s">
        <v>604</v>
      </c>
      <c r="G32" s="88"/>
      <c r="H32" s="89"/>
      <c r="I32" s="89" t="s">
        <v>605</v>
      </c>
      <c r="J32" s="92" t="s">
        <v>606</v>
      </c>
    </row>
    <row r="33" spans="2:10" ht="30">
      <c r="B33" s="123"/>
      <c r="C33" s="107" t="s">
        <v>226</v>
      </c>
      <c r="D33" s="108"/>
      <c r="E33" s="49" t="s">
        <v>418</v>
      </c>
      <c r="F33" s="49" t="s">
        <v>419</v>
      </c>
      <c r="G33" s="49" t="s">
        <v>418</v>
      </c>
      <c r="H33" s="89"/>
      <c r="I33" s="89" t="s">
        <v>231</v>
      </c>
      <c r="J33" s="90"/>
    </row>
    <row r="34" spans="2:10" ht="30">
      <c r="B34" s="123"/>
      <c r="C34" s="107" t="s">
        <v>232</v>
      </c>
      <c r="D34" s="108"/>
      <c r="E34" s="49" t="s">
        <v>481</v>
      </c>
      <c r="F34" s="49" t="s">
        <v>482</v>
      </c>
      <c r="G34" s="49" t="s">
        <v>422</v>
      </c>
      <c r="H34" s="89"/>
      <c r="I34" s="89" t="s">
        <v>234</v>
      </c>
      <c r="J34" s="90"/>
    </row>
    <row r="35" spans="2:10" ht="30">
      <c r="B35" s="123"/>
      <c r="C35" s="107" t="s">
        <v>236</v>
      </c>
      <c r="D35" s="108"/>
      <c r="E35" s="49"/>
      <c r="F35" s="49" t="s">
        <v>607</v>
      </c>
      <c r="G35" s="88"/>
      <c r="H35" s="89"/>
      <c r="I35" s="89" t="s">
        <v>238</v>
      </c>
      <c r="J35" s="90"/>
    </row>
    <row r="36" spans="2:10">
      <c r="B36" s="123"/>
      <c r="C36" s="107" t="s">
        <v>239</v>
      </c>
      <c r="D36" s="108"/>
      <c r="E36" s="49"/>
      <c r="F36" s="49"/>
      <c r="G36" s="88"/>
      <c r="H36" s="89"/>
      <c r="I36" s="89" t="s">
        <v>98</v>
      </c>
      <c r="J36" s="90"/>
    </row>
    <row r="37" spans="2:10" ht="45">
      <c r="B37" s="124"/>
      <c r="C37" s="107" t="s">
        <v>244</v>
      </c>
      <c r="D37" s="108"/>
      <c r="E37" s="49" t="s">
        <v>425</v>
      </c>
      <c r="F37" s="49" t="s">
        <v>426</v>
      </c>
      <c r="G37" s="49" t="s">
        <v>427</v>
      </c>
      <c r="H37" s="89"/>
      <c r="I37" s="89" t="s">
        <v>608</v>
      </c>
      <c r="J37" s="90"/>
    </row>
    <row r="38" spans="2:10" ht="51" customHeight="1">
      <c r="B38" s="122" t="s">
        <v>246</v>
      </c>
      <c r="C38" s="107" t="s">
        <v>247</v>
      </c>
      <c r="D38" s="108"/>
      <c r="E38" s="49" t="s">
        <v>609</v>
      </c>
      <c r="F38" s="49" t="s">
        <v>610</v>
      </c>
      <c r="G38" s="109"/>
      <c r="H38" s="99"/>
      <c r="I38" s="99"/>
      <c r="J38" s="92" t="s">
        <v>611</v>
      </c>
    </row>
    <row r="39" spans="2:10" ht="29.1" customHeight="1">
      <c r="B39" s="123"/>
      <c r="C39" s="107" t="s">
        <v>253</v>
      </c>
      <c r="D39" s="108"/>
      <c r="E39" s="49"/>
      <c r="F39" s="49"/>
      <c r="G39" s="109"/>
      <c r="H39" s="99"/>
      <c r="I39" s="99"/>
      <c r="J39" s="112" t="s">
        <v>612</v>
      </c>
    </row>
    <row r="40" spans="2:10" ht="150">
      <c r="B40" s="123"/>
      <c r="C40" s="107" t="s">
        <v>258</v>
      </c>
      <c r="D40" s="108"/>
      <c r="E40" s="49"/>
      <c r="F40" s="103" t="s">
        <v>613</v>
      </c>
      <c r="G40" s="109"/>
      <c r="H40" s="99"/>
      <c r="I40" s="99"/>
      <c r="J40" s="112"/>
    </row>
    <row r="41" spans="2:10">
      <c r="B41" s="123"/>
      <c r="C41" s="107" t="s">
        <v>263</v>
      </c>
      <c r="D41" s="108"/>
      <c r="E41" s="49"/>
      <c r="F41" s="49"/>
      <c r="G41" s="109"/>
      <c r="H41" s="99"/>
      <c r="I41" s="99"/>
      <c r="J41" s="52"/>
    </row>
    <row r="42" spans="2:10">
      <c r="B42" s="123"/>
      <c r="C42" s="107" t="s">
        <v>269</v>
      </c>
      <c r="D42" s="108"/>
      <c r="E42" s="49"/>
      <c r="F42" s="27" t="s">
        <v>491</v>
      </c>
      <c r="G42" s="109"/>
      <c r="H42" s="99"/>
      <c r="I42" s="99" t="s">
        <v>271</v>
      </c>
      <c r="J42" s="112"/>
    </row>
    <row r="43" spans="2:10">
      <c r="B43" s="123"/>
      <c r="C43" s="107" t="s">
        <v>274</v>
      </c>
      <c r="D43" s="108"/>
      <c r="E43" s="49"/>
      <c r="F43" s="27" t="s">
        <v>492</v>
      </c>
      <c r="G43" s="109"/>
      <c r="H43" s="99"/>
      <c r="I43" s="99" t="s">
        <v>271</v>
      </c>
      <c r="J43" s="112"/>
    </row>
    <row r="44" spans="2:10">
      <c r="B44" s="124"/>
      <c r="C44" s="107" t="s">
        <v>278</v>
      </c>
      <c r="D44" s="108"/>
      <c r="E44" s="49"/>
      <c r="F44" s="49"/>
      <c r="G44" s="129"/>
      <c r="H44" s="99"/>
      <c r="I44" s="99"/>
      <c r="J44" s="112"/>
    </row>
    <row r="45" spans="2:10">
      <c r="B45" s="122" t="s">
        <v>282</v>
      </c>
      <c r="C45" s="107" t="s">
        <v>283</v>
      </c>
      <c r="D45" s="108"/>
      <c r="E45" s="49"/>
      <c r="F45" s="49"/>
      <c r="G45" s="109"/>
      <c r="H45" s="99"/>
      <c r="I45" s="99"/>
      <c r="J45" s="52"/>
    </row>
    <row r="46" spans="2:10">
      <c r="B46" s="123"/>
      <c r="C46" s="107" t="s">
        <v>287</v>
      </c>
      <c r="D46" s="108"/>
      <c r="E46" s="49"/>
      <c r="F46" s="49"/>
      <c r="G46" s="109"/>
      <c r="H46" s="99"/>
      <c r="I46" s="99"/>
      <c r="J46" s="52"/>
    </row>
    <row r="47" spans="2:10">
      <c r="B47" s="123"/>
      <c r="C47" s="107" t="s">
        <v>253</v>
      </c>
      <c r="D47" s="108"/>
      <c r="E47" s="49"/>
      <c r="F47" s="49"/>
      <c r="G47" s="109"/>
      <c r="H47" s="99"/>
      <c r="I47" s="99"/>
      <c r="J47" s="112"/>
    </row>
    <row r="48" spans="2:10">
      <c r="B48" s="123"/>
      <c r="C48" s="107" t="s">
        <v>293</v>
      </c>
      <c r="D48" s="108"/>
      <c r="E48" s="49"/>
      <c r="F48" s="49"/>
      <c r="G48" s="129"/>
      <c r="H48" s="99"/>
      <c r="I48" s="99"/>
      <c r="J48" s="112"/>
    </row>
  </sheetData>
  <mergeCells count="2">
    <mergeCell ref="F3:G3"/>
    <mergeCell ref="B5:B15"/>
  </mergeCells>
  <pageMargins left="0.75" right="0.75" top="1" bottom="1" header="0.511811023622047" footer="0.511811023622047"/>
  <pageSetup paperSize="9" orientation="portrait" horizontalDpi="300" verticalDpi="300"/>
  <headerFooter>
    <oddFooter>&amp;L_x000D_&amp;1#&amp;"Aptos"&amp;10&amp;K000000 DC2 - 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57B1CF60A92DF24A9B499BDEBF952442" ma:contentTypeVersion="13" ma:contentTypeDescription="Create a new document." ma:contentTypeScope="" ma:versionID="7f5566db6d8f50878868e085721b927e">
  <xsd:schema xmlns:xsd="http://www.w3.org/2001/XMLSchema" xmlns:xs="http://www.w3.org/2001/XMLSchema" xmlns:p="http://schemas.microsoft.com/office/2006/metadata/properties" xmlns:ns2="e504a6c9-70b0-4da5-bd38-d92e03e681fb" xmlns:ns3="e1871e1f-9bf9-48a8-a239-33859826aae7" targetNamespace="http://schemas.microsoft.com/office/2006/metadata/properties" ma:root="true" ma:fieldsID="d95ca50eff9300605dc642f58c486f59" ns2:_="" ns3:_="">
    <xsd:import namespace="e504a6c9-70b0-4da5-bd38-d92e03e681fb"/>
    <xsd:import namespace="e1871e1f-9bf9-48a8-a239-33859826aae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BillingMetadata"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04a6c9-70b0-4da5-bd38-d92e03e681f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d24bb398-aaaf-42ad-9cdd-5f1470cd1f5c}" ma:internalName="TaxCatchAll" ma:showField="CatchAllData" ma:web="e504a6c9-70b0-4da5-bd38-d92e03e681f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1871e1f-9bf9-48a8-a239-33859826aae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e504a6c9-70b0-4da5-bd38-d92e03e681fb">5UMTFAS7HXYK-1810582781-659</_dlc_DocId>
    <_dlc_DocIdUrl xmlns="e504a6c9-70b0-4da5-bd38-d92e03e681fb">
      <Url>https://mckinsey.sharepoint.com/sites/spe-ext-ykc0e0iv3f2m/_layouts/15/DocIdRedir.aspx?ID=5UMTFAS7HXYK-1810582781-659</Url>
      <Description>5UMTFAS7HXYK-1810582781-659</Description>
    </_dlc_DocIdUrl>
    <lcf76f155ced4ddcb4097134ff3c332f xmlns="e1871e1f-9bf9-48a8-a239-33859826aae7">
      <Terms xmlns="http://schemas.microsoft.com/office/infopath/2007/PartnerControls"/>
    </lcf76f155ced4ddcb4097134ff3c332f>
    <TaxCatchAll xmlns="e504a6c9-70b0-4da5-bd38-d92e03e681fb" xsi:nil="true"/>
  </documentManagement>
</p:properties>
</file>

<file path=customXml/itemProps1.xml><?xml version="1.0" encoding="utf-8"?>
<ds:datastoreItem xmlns:ds="http://schemas.openxmlformats.org/officeDocument/2006/customXml" ds:itemID="{CED4CBC6-7F9B-4D87-AAD9-CFD90D3739C1}"/>
</file>

<file path=customXml/itemProps2.xml><?xml version="1.0" encoding="utf-8"?>
<ds:datastoreItem xmlns:ds="http://schemas.openxmlformats.org/officeDocument/2006/customXml" ds:itemID="{054E4096-E640-4D85-A9D3-24C20835015E}"/>
</file>

<file path=customXml/itemProps3.xml><?xml version="1.0" encoding="utf-8"?>
<ds:datastoreItem xmlns:ds="http://schemas.openxmlformats.org/officeDocument/2006/customXml" ds:itemID="{B475CFF0-0685-4365-A87F-CD8327AE9A53}"/>
</file>

<file path=customXml/itemProps4.xml><?xml version="1.0" encoding="utf-8"?>
<ds:datastoreItem xmlns:ds="http://schemas.openxmlformats.org/officeDocument/2006/customXml" ds:itemID="{A1A156E3-2D54-4313-956A-A8342EDE07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Taylor, William (WP)</cp:lastModifiedBy>
  <cp:revision>0</cp:revision>
  <dcterms:created xsi:type="dcterms:W3CDTF">2026-06-25T19:44:14Z</dcterms:created>
  <dcterms:modified xsi:type="dcterms:W3CDTF">2026-07-07T18:09:31Z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ActionId">
    <vt:lpwstr>9d596a8e-b8fe-4ff1-b8bc-c0431828d3b5</vt:lpwstr>
  </property>
  <property fmtid="{D5CDD505-2E9C-101B-9397-08002B2CF9AE}" pid="3" name="MSIP_Label_83303d7c-e5a3-4cc8-90eb-69bfd7570ac4_ContentBits">
    <vt:lpwstr>0</vt:lpwstr>
  </property>
  <property fmtid="{D5CDD505-2E9C-101B-9397-08002B2CF9AE}" pid="4" name="MSIP_Label_83303d7c-e5a3-4cc8-90eb-69bfd7570ac4_Enabled">
    <vt:lpwstr>true</vt:lpwstr>
  </property>
  <property fmtid="{D5CDD505-2E9C-101B-9397-08002B2CF9AE}" pid="5" name="MSIP_Label_83303d7c-e5a3-4cc8-90eb-69bfd7570ac4_Method">
    <vt:lpwstr>Standard</vt:lpwstr>
  </property>
  <property fmtid="{D5CDD505-2E9C-101B-9397-08002B2CF9AE}" pid="6" name="MSIP_Label_83303d7c-e5a3-4cc8-90eb-69bfd7570ac4_Name">
    <vt:lpwstr>Client Confidential Information-SLV1</vt:lpwstr>
  </property>
  <property fmtid="{D5CDD505-2E9C-101B-9397-08002B2CF9AE}" pid="7" name="MSIP_Label_83303d7c-e5a3-4cc8-90eb-69bfd7570ac4_SetDate">
    <vt:lpwstr>2026-06-25T23:39:17Z</vt:lpwstr>
  </property>
  <property fmtid="{D5CDD505-2E9C-101B-9397-08002B2CF9AE}" pid="8" name="MSIP_Label_83303d7c-e5a3-4cc8-90eb-69bfd7570ac4_SiteId">
    <vt:lpwstr>cc8936bc-9382-4fff-87cb-6f55999549e7</vt:lpwstr>
  </property>
  <property fmtid="{D5CDD505-2E9C-101B-9397-08002B2CF9AE}" pid="9" name="MSIP_Label_83303d7c-e5a3-4cc8-90eb-69bfd7570ac4_Tag">
    <vt:lpwstr>10, 3, 0, 1</vt:lpwstr>
  </property>
  <property fmtid="{D5CDD505-2E9C-101B-9397-08002B2CF9AE}" pid="10" name="ContentTypeId">
    <vt:lpwstr>0x01010057B1CF60A92DF24A9B499BDEBF952442</vt:lpwstr>
  </property>
  <property fmtid="{D5CDD505-2E9C-101B-9397-08002B2CF9AE}" pid="11" name="_dlc_DocIdItemGuid">
    <vt:lpwstr>f42e2de4-9d38-423a-a3d5-5302e821271d</vt:lpwstr>
  </property>
  <property fmtid="{D5CDD505-2E9C-101B-9397-08002B2CF9AE}" pid="12" name="MediaServiceImageTags">
    <vt:lpwstr/>
  </property>
  <property fmtid="{D5CDD505-2E9C-101B-9397-08002B2CF9AE}" pid="13" name="MSIP_Label_9e1e58c1-766d-4ff4-9619-b604fc37898b_Enabled">
    <vt:lpwstr>true</vt:lpwstr>
  </property>
  <property fmtid="{D5CDD505-2E9C-101B-9397-08002B2CF9AE}" pid="14" name="MSIP_Label_9e1e58c1-766d-4ff4-9619-b604fc37898b_SetDate">
    <vt:lpwstr>2026-06-29T16:53:36Z</vt:lpwstr>
  </property>
  <property fmtid="{D5CDD505-2E9C-101B-9397-08002B2CF9AE}" pid="15" name="MSIP_Label_9e1e58c1-766d-4ff4-9619-b604fc37898b_Method">
    <vt:lpwstr>Standard</vt:lpwstr>
  </property>
  <property fmtid="{D5CDD505-2E9C-101B-9397-08002B2CF9AE}" pid="16" name="MSIP_Label_9e1e58c1-766d-4ff4-9619-b604fc37898b_Name">
    <vt:lpwstr>Internal Use</vt:lpwstr>
  </property>
  <property fmtid="{D5CDD505-2E9C-101B-9397-08002B2CF9AE}" pid="17" name="MSIP_Label_9e1e58c1-766d-4ff4-9619-b604fc37898b_SiteId">
    <vt:lpwstr>e3ff91d8-34c8-4b15-a0b4-18910a6ac575</vt:lpwstr>
  </property>
  <property fmtid="{D5CDD505-2E9C-101B-9397-08002B2CF9AE}" pid="18" name="MSIP_Label_9e1e58c1-766d-4ff4-9619-b604fc37898b_ActionId">
    <vt:lpwstr>4cb7fa70-abdd-4f93-adad-d74d24efaca7</vt:lpwstr>
  </property>
  <property fmtid="{D5CDD505-2E9C-101B-9397-08002B2CF9AE}" pid="19" name="MSIP_Label_9e1e58c1-766d-4ff4-9619-b604fc37898b_ContentBits">
    <vt:lpwstr>0</vt:lpwstr>
  </property>
  <property fmtid="{D5CDD505-2E9C-101B-9397-08002B2CF9AE}" pid="20" name="MSIP_Label_9e1e58c1-766d-4ff4-9619-b604fc37898b_Tag">
    <vt:lpwstr>10, 3, 0, 1</vt:lpwstr>
  </property>
</Properties>
</file>