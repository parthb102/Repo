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600" firstSheet="0" activeTab="0" autoFilterDateGrouping="1"/>
  </bookViews>
  <sheets>
    <sheet name="Instructions" sheetId="1" state="visible" r:id="rId1"/>
    <sheet name="Summary" sheetId="2" state="visible" r:id="rId2"/>
    <sheet name="Boarding" sheetId="3" state="visible" r:id="rId3"/>
    <sheet name="Single-in" sheetId="4" state="visible" r:id="rId4"/>
    <sheet name="Sales &amp; Servicing" sheetId="5" state="visible" r:id="rId5"/>
    <sheet name="Payment Processing" sheetId="6" state="visible" r:id="rId6"/>
    <sheet name="VAS" sheetId="7" state="visible" r:id="rId7"/>
    <sheet name="Unified Data and AI" sheetId="8" state="visible" r:id="rId8"/>
    <sheet name="Global Infrastructure" sheetId="9" state="visible" r:id="rId9"/>
    <sheet name="Single-out" sheetId="10" state="visible" r:id="rId10"/>
    <sheet name="Parking" sheetId="11" state="visible" r:id="rId11"/>
  </sheets>
  <definedNames>
    <definedName name="_Table1_In1" hidden="1">#REF!</definedName>
    <definedName name="_Table1_Out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39085.4608101852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5">
    <font>
      <name val="Calibri"/>
      <family val="2"/>
      <color theme="1"/>
      <sz val="11"/>
      <scheme val="minor"/>
    </font>
    <font>
      <name val="Calibri"/>
      <family val="2"/>
      <b val="1"/>
      <color rgb="FF1F4E79"/>
      <sz val="15"/>
    </font>
    <font>
      <name val="Calibri"/>
      <family val="2"/>
      <color rgb="FF0563C1"/>
      <sz val="10"/>
      <u val="single"/>
    </font>
    <font>
      <name val="Calibri"/>
      <family val="2"/>
      <i val="1"/>
      <color rgb="FF595959"/>
      <sz val="9"/>
    </font>
    <font>
      <name val="Calibri"/>
      <family val="2"/>
      <b val="1"/>
      <color rgb="FF1F4E79"/>
      <sz val="10"/>
    </font>
    <font>
      <name val="Calibri"/>
      <family val="2"/>
      <color rgb="FF595959"/>
      <sz val="10"/>
    </font>
    <font>
      <name val="Calibri"/>
      <family val="2"/>
      <b val="1"/>
      <color rgb="FFFFFFFF"/>
      <sz val="11"/>
    </font>
    <font>
      <name val="Calibri"/>
      <family val="2"/>
      <color rgb="FFFFFFFF"/>
      <sz val="9"/>
      <u val="single"/>
    </font>
    <font>
      <name val="Calibri"/>
      <family val="2"/>
      <b val="1"/>
      <color rgb="FF1F4E79"/>
      <sz val="9"/>
    </font>
    <font>
      <name val="Calibri"/>
      <family val="2"/>
      <color rgb="FF1F4E79"/>
      <sz val="11"/>
    </font>
    <font>
      <name val="Calibri"/>
      <family val="2"/>
      <sz val="10"/>
    </font>
    <font>
      <name val="Calibri"/>
      <family val="2"/>
      <sz val="9"/>
    </font>
    <font>
      <name val="Calibri"/>
      <family val="2"/>
      <i val="1"/>
      <color rgb="FF1F4E79"/>
      <sz val="9"/>
    </font>
    <font>
      <name val="Calibri"/>
      <family val="2"/>
      <b val="1"/>
      <color rgb="FF1F4E79"/>
      <sz val="11"/>
    </font>
    <font>
      <name val="Calibri"/>
      <family val="2"/>
      <b val="1"/>
      <color rgb="FF595959"/>
      <sz val="9"/>
    </font>
    <font>
      <name val="Calibri"/>
      <family val="2"/>
      <b val="1"/>
      <color rgb="FF595959"/>
      <sz val="10"/>
    </font>
    <font>
      <name val="Calibri"/>
      <family val="2"/>
      <color rgb="FF17375E"/>
      <sz val="9"/>
    </font>
    <font>
      <name val="Calibri"/>
      <family val="2"/>
      <color rgb="FF404040"/>
      <sz val="9"/>
    </font>
    <font>
      <name val="Calibri"/>
      <family val="2"/>
      <b val="1"/>
      <color rgb="FF1F4E79"/>
      <sz val="16"/>
    </font>
    <font>
      <name val="Calibri"/>
      <family val="2"/>
      <i val="1"/>
      <color rgb="FF595959"/>
      <sz val="10"/>
    </font>
    <font>
      <name val="Calibri"/>
      <family val="2"/>
      <color rgb="FF595959"/>
      <sz val="9"/>
    </font>
    <font>
      <name val="Calibri"/>
      <family val="2"/>
      <b val="1"/>
      <color rgb="FFFFFFFF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1F4E79"/>
      <sz val="14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sz val="9"/>
    </font>
    <font>
      <name val="Arial"/>
      <family val="2"/>
      <color theme="1"/>
      <sz val="9"/>
    </font>
    <font>
      <name val="Calibri"/>
      <family val="2"/>
      <b val="1"/>
      <sz val="18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DM Sans"/>
      <b val="1"/>
      <color rgb="FF0C0C0C"/>
      <sz val="12"/>
    </font>
    <font>
      <b val="1"/>
      <color rgb="001F4E79"/>
      <sz val="15"/>
    </font>
    <font>
      <color rgb="000563C1"/>
      <sz val="10"/>
      <u val="single"/>
    </font>
    <font>
      <i val="1"/>
      <color rgb="00595959"/>
      <sz val="9"/>
    </font>
    <font>
      <b val="1"/>
      <color rgb="001F4E79"/>
      <sz val="10"/>
    </font>
    <font>
      <color rgb="00595959"/>
      <sz val="10"/>
    </font>
    <font>
      <b val="1"/>
      <color rgb="00FFFFFF"/>
      <sz val="11"/>
    </font>
    <font>
      <color rgb="00FFFFFF"/>
      <sz val="9"/>
      <u val="single"/>
    </font>
    <font>
      <b val="1"/>
      <color rgb="001F4E79"/>
      <sz val="9"/>
    </font>
    <font>
      <color rgb="001F4E79"/>
      <sz val="11"/>
    </font>
    <font>
      <sz val="10"/>
    </font>
    <font>
      <sz val="9"/>
    </font>
    <font>
      <i val="1"/>
      <color rgb="001F4E79"/>
      <sz val="9"/>
    </font>
    <font>
      <b val="1"/>
      <color rgb="001F4E79"/>
      <sz val="11"/>
    </font>
    <font>
      <b val="1"/>
      <color rgb="00595959"/>
      <sz val="9"/>
    </font>
    <font>
      <b val="1"/>
      <color rgb="00595959"/>
      <sz val="10"/>
    </font>
    <font>
      <color rgb="0017375E"/>
      <sz val="9"/>
    </font>
    <font>
      <color rgb="00404040"/>
      <sz val="9"/>
    </font>
    <font>
      <b val="1"/>
      <color rgb="001F4E79"/>
      <sz val="16"/>
    </font>
    <font>
      <i val="1"/>
      <color rgb="00595959"/>
      <sz val="10"/>
    </font>
    <font>
      <b val="1"/>
      <color rgb="00FFFFFF"/>
      <sz val="10"/>
    </font>
    <font>
      <color rgb="00595959"/>
      <sz val="9"/>
    </font>
    <font>
      <i val="1"/>
      <color rgb="000563C1"/>
      <sz val="9"/>
      <u val="single"/>
    </font>
  </fonts>
  <fills count="19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1F4E79"/>
        <bgColor rgb="FF1F4E79"/>
      </patternFill>
    </fill>
    <fill>
      <patternFill patternType="solid">
        <fgColor rgb="FFCDE4F5"/>
        <bgColor rgb="FFCDE4F5"/>
      </patternFill>
    </fill>
    <fill>
      <patternFill patternType="solid">
        <fgColor rgb="FFFFF2CC"/>
        <bgColor rgb="FFFFF2CC"/>
      </patternFill>
    </fill>
    <fill>
      <patternFill patternType="solid">
        <fgColor rgb="FFFBE2D5"/>
        <bgColor rgb="FFFBE2D5"/>
      </patternFill>
    </fill>
    <fill>
      <patternFill patternType="solid">
        <fgColor rgb="FFD9D9D9"/>
        <bgColor rgb="FFD9D9D9"/>
      </patternFill>
    </fill>
    <fill>
      <patternFill patternType="solid">
        <fgColor rgb="FFEDF2F8"/>
        <bgColor rgb="FFEDF2F8"/>
      </patternFill>
    </fill>
    <fill>
      <patternFill patternType="solid">
        <fgColor rgb="FF051C2C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00CDE4F5"/>
        <bgColor rgb="00CDE4F5"/>
      </patternFill>
    </fill>
    <fill>
      <patternFill patternType="solid">
        <fgColor rgb="00FFF2CC"/>
        <bgColor rgb="00FFF2CC"/>
      </patternFill>
    </fill>
    <fill>
      <patternFill patternType="solid">
        <fgColor rgb="00FBE2D5"/>
        <bgColor rgb="00FBE2D5"/>
      </patternFill>
    </fill>
    <fill>
      <patternFill patternType="solid">
        <fgColor rgb="00D9D9D9"/>
        <bgColor rgb="00D9D9D9"/>
      </patternFill>
    </fill>
    <fill>
      <patternFill patternType="solid">
        <fgColor rgb="00EDF2F8"/>
        <bgColor rgb="00EDF2F8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/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medium">
        <color rgb="FF1F4E79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FBFBF"/>
      </left>
      <right/>
      <top/>
      <bottom/>
      <diagonal/>
    </border>
    <border>
      <left style="thin">
        <color rgb="FF4472C4"/>
      </left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4472C4"/>
      </left>
      <right/>
      <top/>
      <bottom/>
      <diagonal/>
    </border>
    <border>
      <left style="thin">
        <color rgb="004472C4"/>
      </left>
      <right style="thin">
        <color rgb="004472C4"/>
      </right>
      <top/>
      <bottom/>
      <diagonal/>
    </border>
    <border>
      <left style="thin">
        <color rgb="004472C4"/>
      </left>
      <right style="thin">
        <color rgb="004472C4"/>
      </right>
      <top/>
      <bottom style="thin">
        <color rgb="004472C4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top style="medium">
        <color rgb="001F4E79"/>
      </top>
    </border>
  </borders>
  <cellStyleXfs count="3">
    <xf numFmtId="0" fontId="24" fillId="0" borderId="0"/>
    <xf numFmtId="0" fontId="22" fillId="0" borderId="0"/>
    <xf numFmtId="0" fontId="27" fillId="0" borderId="0"/>
  </cellStyleXfs>
  <cellXfs count="104"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1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/>
    </xf>
    <xf numFmtId="0" fontId="4" fillId="8" borderId="1" applyAlignment="1" pivotButton="0" quotePrefix="0" xfId="0">
      <alignment horizontal="left" vertical="center" inden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7" pivotButton="0" quotePrefix="0" xfId="0"/>
    <xf numFmtId="0" fontId="4" fillId="0" borderId="7" applyAlignment="1" pivotButton="0" quotePrefix="0" xfId="0">
      <alignment horizontal="right" indent="1"/>
    </xf>
    <xf numFmtId="0" fontId="4" fillId="0" borderId="7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right"/>
    </xf>
    <xf numFmtId="0" fontId="7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inden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 indent="1"/>
    </xf>
    <xf numFmtId="0" fontId="12" fillId="0" borderId="1" applyAlignment="1" pivotButton="0" quotePrefix="0" xfId="0">
      <alignment horizontal="center" vertical="center"/>
    </xf>
    <xf numFmtId="0" fontId="23" fillId="0" borderId="0" pivotButton="0" quotePrefix="0" xfId="0"/>
    <xf numFmtId="0" fontId="22" fillId="0" borderId="0" pivotButton="0" quotePrefix="0" xfId="1"/>
    <xf numFmtId="0" fontId="0" fillId="0" borderId="0" applyAlignment="1" pivotButton="0" quotePrefix="0" xfId="0">
      <alignment horizontal="left"/>
    </xf>
    <xf numFmtId="0" fontId="21" fillId="3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/>
    </xf>
    <xf numFmtId="0" fontId="28" fillId="0" borderId="9" pivotButton="0" quotePrefix="0" xfId="2"/>
    <xf numFmtId="0" fontId="25" fillId="9" borderId="0" applyAlignment="1" pivotButton="0" quotePrefix="0" xfId="2">
      <alignment horizontal="left"/>
    </xf>
    <xf numFmtId="0" fontId="24" fillId="0" borderId="0" pivotButton="0" quotePrefix="0" xfId="2"/>
    <xf numFmtId="0" fontId="29" fillId="0" borderId="0" pivotButton="0" quotePrefix="0" xfId="2"/>
    <xf numFmtId="0" fontId="30" fillId="0" borderId="0" applyAlignment="1" pivotButton="0" quotePrefix="0" xfId="2">
      <alignment horizontal="left"/>
    </xf>
    <xf numFmtId="0" fontId="30" fillId="0" borderId="0" pivotButton="0" quotePrefix="0" xfId="2"/>
    <xf numFmtId="0" fontId="31" fillId="10" borderId="0" pivotButton="0" quotePrefix="0" xfId="2"/>
    <xf numFmtId="0" fontId="29" fillId="0" borderId="0" pivotButton="0" quotePrefix="1" xfId="2"/>
    <xf numFmtId="0" fontId="30" fillId="11" borderId="0" applyAlignment="1" pivotButton="0" quotePrefix="0" xfId="2">
      <alignment horizontal="left"/>
    </xf>
    <xf numFmtId="0" fontId="32" fillId="11" borderId="0" applyAlignment="1" pivotButton="0" quotePrefix="0" xfId="0">
      <alignment horizontal="left" vertical="center" readingOrder="1"/>
    </xf>
    <xf numFmtId="0" fontId="26" fillId="0" borderId="8" applyAlignment="1" pivotButton="0" quotePrefix="0" xfId="0">
      <alignment horizontal="left" vertical="center" wrapText="1"/>
    </xf>
    <xf numFmtId="0" fontId="26" fillId="0" borderId="5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 wrapText="1"/>
    </xf>
    <xf numFmtId="0" fontId="26" fillId="0" borderId="8" applyAlignment="1" pivotButton="0" quotePrefix="0" xfId="0">
      <alignment vertical="center" wrapText="1"/>
    </xf>
    <xf numFmtId="0" fontId="26" fillId="0" borderId="6" applyAlignment="1" pivotButton="0" quotePrefix="0" xfId="0">
      <alignment vertical="center" wrapText="1"/>
    </xf>
    <xf numFmtId="0" fontId="4" fillId="8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15" fillId="0" borderId="0" applyAlignment="1" pivotButton="0" quotePrefix="0" xfId="0">
      <alignment horizontal="center" vertical="center" textRotation="90"/>
    </xf>
    <xf numFmtId="0" fontId="0" fillId="0" borderId="0" pivotButton="0" quotePrefix="0" xfId="0"/>
    <xf numFmtId="0" fontId="16" fillId="6" borderId="2" applyAlignment="1" pivotButton="0" quotePrefix="0" xfId="0">
      <alignment horizontal="left" vertical="top" wrapText="1" indent="1"/>
    </xf>
    <xf numFmtId="0" fontId="0" fillId="0" borderId="3" pivotButton="0" quotePrefix="0" xfId="0"/>
    <xf numFmtId="0" fontId="0" fillId="0" borderId="4" pivotButton="0" quotePrefix="0" xfId="0"/>
    <xf numFmtId="0" fontId="13" fillId="0" borderId="0" applyAlignment="1" pivotButton="0" quotePrefix="0" xfId="0">
      <alignment horizontal="center" vertical="center"/>
    </xf>
    <xf numFmtId="0" fontId="17" fillId="7" borderId="2" applyAlignment="1" pivotButton="0" quotePrefix="0" xfId="0">
      <alignment horizontal="left" vertical="top" wrapText="1" indent="1"/>
    </xf>
    <xf numFmtId="0" fontId="16" fillId="4" borderId="2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center" vertical="center"/>
    </xf>
    <xf numFmtId="0" fontId="16" fillId="5" borderId="2" applyAlignment="1" pivotButton="0" quotePrefix="0" xfId="0">
      <alignment horizontal="left" vertical="top" wrapText="1" indent="1"/>
    </xf>
    <xf numFmtId="0" fontId="6" fillId="3" borderId="0" applyAlignment="1" pivotButton="0" quotePrefix="0" xfId="0">
      <alignment vertical="center" indent="1"/>
    </xf>
    <xf numFmtId="0" fontId="4" fillId="2" borderId="0" applyAlignment="1" pivotButton="0" quotePrefix="0" xfId="0">
      <alignment vertical="center" indent="1"/>
    </xf>
    <xf numFmtId="0" fontId="50" fillId="0" borderId="0" pivotButton="0" quotePrefix="0" xfId="0"/>
    <xf numFmtId="0" fontId="51" fillId="0" borderId="0" pivotButton="0" quotePrefix="0" xfId="0"/>
    <xf numFmtId="0" fontId="52" fillId="13" borderId="12" applyAlignment="1" pivotButton="0" quotePrefix="0" xfId="0">
      <alignment horizontal="center" vertical="center" wrapText="1"/>
    </xf>
    <xf numFmtId="0" fontId="36" fillId="14" borderId="12" applyAlignment="1" pivotButton="0" quotePrefix="0" xfId="0">
      <alignment horizontal="center" vertical="center" wrapText="1"/>
    </xf>
    <xf numFmtId="0" fontId="36" fillId="15" borderId="12" applyAlignment="1" pivotButton="0" quotePrefix="0" xfId="0">
      <alignment horizontal="center" vertical="center" wrapText="1"/>
    </xf>
    <xf numFmtId="0" fontId="36" fillId="16" borderId="12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/>
    </xf>
    <xf numFmtId="0" fontId="36" fillId="18" borderId="12" applyAlignment="1" pivotButton="0" quotePrefix="0" xfId="0">
      <alignment horizontal="left" vertical="center" indent="1"/>
    </xf>
    <xf numFmtId="0" fontId="42" fillId="0" borderId="12" applyAlignment="1" pivotButton="0" quotePrefix="0" xfId="0">
      <alignment vertical="center"/>
    </xf>
    <xf numFmtId="0" fontId="43" fillId="0" borderId="12" applyAlignment="1" pivotButton="0" quotePrefix="0" xfId="0">
      <alignment vertical="center" wrapText="1" indent="1"/>
    </xf>
    <xf numFmtId="0" fontId="42" fillId="0" borderId="12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36" fillId="0" borderId="20" applyAlignment="1" pivotButton="0" quotePrefix="0" xfId="0">
      <alignment horizontal="right" indent="1"/>
    </xf>
    <xf numFmtId="0" fontId="36" fillId="0" borderId="20" applyAlignment="1" pivotButton="0" quotePrefix="0" xfId="0">
      <alignment horizontal="center"/>
    </xf>
    <xf numFmtId="0" fontId="54" fillId="0" borderId="0" pivotButton="0" quotePrefix="0" xfId="0"/>
    <xf numFmtId="0" fontId="35" fillId="0" borderId="0" applyAlignment="1" pivotButton="0" quotePrefix="0" xfId="0">
      <alignment horizontal="right" indent="1"/>
    </xf>
    <xf numFmtId="0" fontId="35" fillId="0" borderId="0" applyAlignment="1" pivotButton="0" quotePrefix="0" xfId="0">
      <alignment horizontal="center"/>
    </xf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2" borderId="0" applyAlignment="1" pivotButton="0" quotePrefix="0" xfId="0">
      <alignment vertical="center" indent="1"/>
    </xf>
    <xf numFmtId="0" fontId="37" fillId="0" borderId="0" applyAlignment="1" pivotButton="0" quotePrefix="0" xfId="0">
      <alignment horizontal="right"/>
    </xf>
    <xf numFmtId="0" fontId="38" fillId="13" borderId="0" applyAlignment="1" pivotButton="0" quotePrefix="0" xfId="0">
      <alignment vertical="center" indent="1"/>
    </xf>
    <xf numFmtId="0" fontId="39" fillId="1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40" fillId="12" borderId="12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/>
    </xf>
    <xf numFmtId="0" fontId="41" fillId="0" borderId="12" applyAlignment="1" pivotButton="0" quotePrefix="0" xfId="0">
      <alignment horizontal="center" vertical="center"/>
    </xf>
    <xf numFmtId="0" fontId="42" fillId="0" borderId="12" applyAlignment="1" pivotButton="0" quotePrefix="0" xfId="0">
      <alignment vertical="center" wrapText="1" indent="1"/>
    </xf>
    <xf numFmtId="0" fontId="44" fillId="0" borderId="12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 textRotation="90"/>
    </xf>
    <xf numFmtId="0" fontId="47" fillId="0" borderId="0" applyAlignment="1" pivotButton="0" quotePrefix="0" xfId="0">
      <alignment horizontal="center" vertical="center"/>
    </xf>
    <xf numFmtId="0" fontId="48" fillId="14" borderId="13" applyAlignment="1" pivotButton="0" quotePrefix="0" xfId="0">
      <alignment horizontal="left" vertical="top" wrapText="1" indent="1"/>
    </xf>
    <xf numFmtId="0" fontId="48" fillId="15" borderId="13" applyAlignment="1" pivotButton="0" quotePrefix="0" xfId="0">
      <alignment horizontal="left" vertical="top" wrapText="1" indent="1"/>
    </xf>
    <xf numFmtId="0" fontId="48" fillId="16" borderId="13" applyAlignment="1" pivotButton="0" quotePrefix="0" xfId="0">
      <alignment horizontal="left" vertical="top" wrapText="1" indent="1"/>
    </xf>
    <xf numFmtId="0" fontId="0" fillId="0" borderId="15" pivotButton="0" quotePrefix="0" xfId="0"/>
    <xf numFmtId="0" fontId="0" fillId="0" borderId="16" pivotButton="0" quotePrefix="0" xfId="0"/>
    <xf numFmtId="0" fontId="49" fillId="17" borderId="13" applyAlignment="1" pivotButton="0" quotePrefix="0" xfId="0">
      <alignment horizontal="left" vertical="top" wrapText="1" indent="1"/>
    </xf>
  </cellXfs>
  <cellStyles count="3">
    <cellStyle name="Normal" xfId="0" builtinId="0"/>
    <cellStyle name="Hyperlink" xfId="1" builtinId="8"/>
    <cellStyle name="Normal 2" xfId="2"/>
  </cellStyles>
  <dxfs count="44"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FFA6A6A6"/>
      </font>
      <fill>
        <patternFill patternType="solid">
          <fgColor rgb="FFF2F2F2"/>
          <bgColor rgb="FFF2F2F2"/>
        </patternFill>
      </fill>
    </dxf>
    <dxf>
      <font>
        <color rgb="00A6A6A6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tabColor theme="1"/>
    <outlinePr summaryBelow="1" summaryRight="1"/>
    <pageSetUpPr/>
  </sheetPr>
  <dimension ref="A1:D42"/>
  <sheetViews>
    <sheetView showGridLines="0" tabSelected="1" zoomScale="86" zoomScaleNormal="86" workbookViewId="0">
      <selection activeCell="A1" sqref="A1"/>
    </sheetView>
  </sheetViews>
  <sheetFormatPr baseColWidth="8" defaultColWidth="0" defaultRowHeight="14.5"/>
  <cols>
    <col width="1.81640625" customWidth="1" style="35" min="1" max="1"/>
    <col width="11.1796875" customWidth="1" style="35" min="2" max="2"/>
    <col width="17.453125" customWidth="1" style="35" min="3" max="3"/>
    <col width="181.54296875" customWidth="1" style="35" min="4" max="4"/>
    <col width="1.81640625" customWidth="1" style="35" min="5" max="5"/>
    <col hidden="1" width="35" customWidth="1" style="35" min="6" max="6"/>
    <col hidden="1" width="1.81640625" customWidth="1" style="35" min="7" max="7"/>
    <col hidden="1" width="35" customWidth="1" style="35" min="8" max="12"/>
    <col hidden="1" width="9.1796875" customWidth="1" style="35" min="13" max="16383"/>
    <col width="73.453125" customWidth="1" style="35" min="16384" max="16384"/>
  </cols>
  <sheetData>
    <row r="1" ht="24" customFormat="1" customHeight="1" s="33" thickBot="1">
      <c r="B1" s="33" t="inlineStr">
        <is>
          <t>Instructions</t>
        </is>
      </c>
    </row>
    <row r="3">
      <c r="B3" s="34" t="inlineStr">
        <is>
          <t>Purpose and functionality of the workbook</t>
        </is>
      </c>
      <c r="C3" s="34" t="n"/>
      <c r="D3" s="34" t="n"/>
    </row>
    <row r="4">
      <c r="B4" s="36" t="inlineStr">
        <is>
          <t>This workbook is designed to classify each TAM 2.0 non-target platform into 3 tranches based on imperative to exit and exit complexity</t>
        </is>
      </c>
      <c r="C4" s="36" t="n"/>
      <c r="D4" s="36" t="n"/>
    </row>
    <row r="5">
      <c r="B5" s="36" t="n"/>
      <c r="C5" s="36" t="n"/>
      <c r="D5" s="36" t="n"/>
    </row>
    <row r="6">
      <c r="B6" s="34" t="inlineStr">
        <is>
          <t>Context</t>
        </is>
      </c>
      <c r="C6" s="34" t="n"/>
      <c r="D6" s="34" t="n"/>
    </row>
    <row r="7" customFormat="1" s="36">
      <c r="B7" s="37" t="n"/>
      <c r="C7" s="37" t="n"/>
      <c r="D7" s="37" t="n"/>
    </row>
    <row r="8" customFormat="1" s="36">
      <c r="B8" s="37" t="n"/>
      <c r="C8" s="37" t="n"/>
      <c r="D8" s="37" t="n"/>
    </row>
    <row r="9" customFormat="1" s="36">
      <c r="B9" s="37" t="n"/>
      <c r="C9" s="37" t="n"/>
      <c r="D9" s="37" t="n"/>
    </row>
    <row r="10" customFormat="1" s="36">
      <c r="B10" s="37" t="n"/>
      <c r="C10" s="37" t="n"/>
      <c r="D10" s="37" t="n"/>
    </row>
    <row r="11" customFormat="1" s="36">
      <c r="B11" s="37" t="n"/>
      <c r="C11" s="37" t="n"/>
      <c r="D11" s="37" t="n"/>
    </row>
    <row r="12" customFormat="1" s="36">
      <c r="B12" s="37" t="n"/>
      <c r="C12" s="37" t="n"/>
      <c r="D12" s="37" t="n"/>
    </row>
    <row r="13" customFormat="1" s="36">
      <c r="B13" s="37" t="n"/>
      <c r="C13" s="37" t="n"/>
      <c r="D13" s="37" t="n"/>
    </row>
    <row r="14" customFormat="1" s="36">
      <c r="B14" s="37" t="n"/>
      <c r="C14" s="37" t="n"/>
      <c r="D14" s="37" t="n"/>
    </row>
    <row r="15" customFormat="1" s="36">
      <c r="B15" s="37" t="n"/>
      <c r="C15" s="37" t="n"/>
      <c r="D15" s="37" t="n"/>
    </row>
    <row r="16" customFormat="1" s="36">
      <c r="B16" s="37" t="n"/>
      <c r="C16" s="37" t="n"/>
      <c r="D16" s="37" t="n"/>
    </row>
    <row r="17" customFormat="1" s="36">
      <c r="B17" s="37" t="n"/>
      <c r="C17" s="37" t="n"/>
      <c r="D17" s="37" t="n"/>
    </row>
    <row r="18" customFormat="1" s="36">
      <c r="B18" s="37" t="n"/>
      <c r="C18" s="37" t="n"/>
      <c r="D18" s="37" t="n"/>
    </row>
    <row r="19" customFormat="1" s="36">
      <c r="B19" s="37" t="n"/>
      <c r="C19" s="37" t="n"/>
      <c r="D19" s="37" t="n"/>
    </row>
    <row r="20" customFormat="1" s="36">
      <c r="B20" s="37" t="n"/>
      <c r="C20" s="37" t="n"/>
      <c r="D20" s="37" t="n"/>
    </row>
    <row r="21" customFormat="1" s="36">
      <c r="B21" s="37" t="n"/>
      <c r="C21" s="37" t="n"/>
      <c r="D21" s="37" t="n"/>
    </row>
    <row r="22" customFormat="1" s="36">
      <c r="B22" s="37" t="n"/>
      <c r="C22" s="37" t="n"/>
      <c r="D22" s="37" t="n"/>
    </row>
    <row r="23" customFormat="1" s="36">
      <c r="B23" s="37" t="n"/>
      <c r="C23" s="37" t="n"/>
      <c r="D23" s="37" t="n"/>
    </row>
    <row r="24" customFormat="1" s="36">
      <c r="B24" s="37" t="n"/>
      <c r="C24" s="37" t="n"/>
      <c r="D24" s="37" t="n"/>
    </row>
    <row r="25" customFormat="1" s="36">
      <c r="B25" s="37" t="n"/>
      <c r="C25" s="37" t="n"/>
      <c r="D25" s="37" t="n"/>
    </row>
    <row r="26" customFormat="1" s="36">
      <c r="B26" s="37" t="n"/>
      <c r="C26" s="37" t="n"/>
      <c r="D26" s="37" t="n"/>
    </row>
    <row r="27" customFormat="1" s="36">
      <c r="B27" s="37" t="n"/>
      <c r="C27" s="37" t="n"/>
      <c r="D27" s="37" t="n"/>
    </row>
    <row r="28" customFormat="1" s="36">
      <c r="B28" s="37" t="n"/>
      <c r="C28" s="37" t="n"/>
      <c r="D28" s="37" t="n"/>
    </row>
    <row r="29">
      <c r="A29" s="36" t="n"/>
      <c r="B29" s="34" t="inlineStr">
        <is>
          <t>Worksheet specific notes</t>
        </is>
      </c>
      <c r="C29" s="34" t="n"/>
      <c r="D29" s="34" t="n"/>
    </row>
    <row r="30">
      <c r="B30" s="36" t="n"/>
      <c r="C30" s="38" t="n"/>
      <c r="D30" s="36" t="n"/>
    </row>
    <row r="31">
      <c r="B31" s="39" t="inlineStr">
        <is>
          <t>Summary sheet</t>
        </is>
      </c>
      <c r="C31" s="39" t="n"/>
      <c r="D31" s="39" t="n"/>
    </row>
    <row r="32">
      <c r="B32" s="36" t="inlineStr">
        <is>
          <t>• One row per capability / sub-capability with the relevant SPOCs, the number of platforms listed, and live counts of platforms in Tranche 1, 2, and 3</t>
        </is>
      </c>
      <c r="C32" s="36" t="n"/>
      <c r="D32" s="40" t="n"/>
    </row>
    <row r="33">
      <c r="B33" s="36" t="inlineStr">
        <is>
          <t>• Counts update automatically as the capability tabs are filled in; use the Open → links to jump straight to your section, and the tracker at the top of each tab to navigate within it</t>
        </is>
      </c>
      <c r="C33" s="36" t="n"/>
      <c r="D33" s="40" t="n"/>
    </row>
    <row r="34">
      <c r="B34" s="39" t="inlineStr">
        <is>
          <t>Capability sheets (one tab per capability, one section per sub-capability)</t>
        </is>
      </c>
      <c r="C34" s="39" t="n"/>
      <c r="D34" s="39" t="n"/>
    </row>
    <row r="35">
      <c r="B35" s="36" t="inlineStr">
        <is>
          <t>• List all current-state platforms in your domain</t>
        </is>
      </c>
      <c r="C35" s="38" t="n"/>
      <c r="D35" s="36" t="n"/>
    </row>
    <row r="36">
      <c r="B36" s="36" t="inlineStr">
        <is>
          <t>• Set the State for each platform: Target state and Exceptions are not classified into tranches</t>
        </is>
      </c>
      <c r="C36" s="38" t="n"/>
      <c r="D36" s="36" t="n"/>
    </row>
    <row r="37">
      <c r="B37" s="36" t="inlineStr">
        <is>
          <t>• For each non-target platform in your domain, classify the imperative to exit / benefits and exit complexity as High / Medium / Low</t>
        </is>
      </c>
      <c r="C37" s="38" t="n"/>
      <c r="D37" s="36" t="n"/>
    </row>
    <row r="38">
      <c r="B38" s="36" t="inlineStr">
        <is>
          <t>• The sheet auto-dispositions each platform into Tranche 1, 2, or 3 — the matrix view next to the table updates as you go, plotting each platform's ID and name</t>
        </is>
      </c>
      <c r="C38" s="38" t="n"/>
      <c r="D38" s="36" t="n"/>
    </row>
    <row r="39">
      <c r="B39" s="36" t="inlineStr">
        <is>
          <t>• Capture your supporting rationale per platform under Supporting facts (volume contribution, feature gap, key constraints, etc.)</t>
        </is>
      </c>
      <c r="C39" s="38" t="n"/>
      <c r="D39" s="36" t="n"/>
    </row>
    <row r="40">
      <c r="B40" s="36" t="n"/>
      <c r="C40" s="38" t="n"/>
      <c r="D40" s="36" t="n"/>
    </row>
    <row r="41" ht="16" customFormat="1" customHeight="1" s="36">
      <c r="B41" s="42" t="inlineStr">
        <is>
          <t>Note: Aim to be directionally correct not precise</t>
        </is>
      </c>
      <c r="C41" s="41" t="n"/>
      <c r="D41" s="41" t="n"/>
    </row>
    <row r="42" customFormat="1" s="36">
      <c r="B42" s="37" t="n"/>
      <c r="C42" s="37" t="n"/>
      <c r="D42" s="37" t="n"/>
    </row>
    <row r="49" customFormat="1" s="35"/>
    <row r="50" customFormat="1" s="35"/>
    <row r="51" customFormat="1" s="35"/>
    <row r="52" customFormat="1" s="35"/>
    <row r="53" customFormat="1" s="35"/>
    <row r="54" customFormat="1" s="35"/>
    <row r="55" customFormat="1" s="35"/>
    <row r="56" customFormat="1" s="35"/>
    <row r="57" customFormat="1" s="35"/>
    <row r="58" customFormat="1" s="35"/>
    <row r="59" customFormat="1" s="35"/>
    <row r="60" customFormat="1" s="35"/>
    <row r="61" customFormat="1" s="35"/>
    <row r="62" customFormat="1" s="35"/>
    <row r="63" customFormat="1" s="35"/>
    <row r="64" customFormat="1" s="35"/>
    <row r="65" customFormat="1" s="35"/>
    <row r="66" customFormat="1" s="35"/>
    <row r="67" customFormat="1" s="35"/>
    <row r="68" customFormat="1" s="35"/>
    <row r="69" customFormat="1" s="35"/>
    <row r="70" customFormat="1" s="35"/>
    <row r="71" customFormat="1" s="35"/>
    <row r="72" customFormat="1" s="35"/>
    <row r="73" customFormat="1" s="35"/>
    <row r="74" customFormat="1" s="35"/>
    <row r="75" customFormat="1" s="35"/>
    <row r="76" customFormat="1" s="35"/>
    <row r="77" customFormat="1" s="35"/>
    <row r="78" customFormat="1" s="35"/>
    <row r="79" customFormat="1" s="35"/>
    <row r="80" customFormat="1" s="35"/>
    <row r="81" customFormat="1" s="35"/>
    <row r="82" customFormat="1" s="35"/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I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52" min="1" max="1"/>
    <col width="22" customWidth="1" style="52" min="2" max="2"/>
    <col width="28" customWidth="1" style="52" min="3" max="3"/>
    <col width="30" customWidth="1" style="52" min="4" max="4"/>
    <col width="14" customWidth="1" style="52" min="5" max="5"/>
    <col width="11" customWidth="1" style="52" min="6" max="6"/>
    <col width="11" customWidth="1" style="52" min="7" max="7"/>
    <col width="11" customWidth="1" style="52" min="8" max="8"/>
    <col width="10" customWidth="1" style="52" min="9" max="9"/>
  </cols>
  <sheetData>
    <row r="1">
      <c r="A1" s="63" t="inlineStr">
        <is>
          <t>Platform Assessment — Summary</t>
        </is>
      </c>
    </row>
    <row r="2">
      <c r="A2" s="64" t="inlineStr">
        <is>
          <t>Tranche roll-up by capability and sub-capability — counts update automatically from each tab.</t>
        </is>
      </c>
    </row>
    <row r="4" ht="24" customHeight="1" s="52">
      <c r="A4" s="65" t="inlineStr">
        <is>
          <t>#</t>
        </is>
      </c>
      <c r="B4" s="65" t="inlineStr">
        <is>
          <t>Capability</t>
        </is>
      </c>
      <c r="C4" s="65" t="inlineStr">
        <is>
          <t>Sub-capability</t>
        </is>
      </c>
      <c r="D4" s="65" t="inlineStr">
        <is>
          <t>SPOCs</t>
        </is>
      </c>
      <c r="E4" s="65" t="inlineStr">
        <is>
          <t>Platforms listed</t>
        </is>
      </c>
      <c r="F4" s="66" t="inlineStr">
        <is>
          <t>Tranche 1</t>
        </is>
      </c>
      <c r="G4" s="67" t="inlineStr">
        <is>
          <t>Tranche 2</t>
        </is>
      </c>
      <c r="H4" s="68" t="inlineStr">
        <is>
          <t>Tranche 3</t>
        </is>
      </c>
      <c r="I4" s="65" t="inlineStr">
        <is>
          <t>Link</t>
        </is>
      </c>
    </row>
    <row r="5" ht="58" customHeight="1" s="52">
      <c r="A5" s="69" t="n">
        <v>1</v>
      </c>
      <c r="B5" s="70" t="inlineStr">
        <is>
          <t>Boarding</t>
        </is>
      </c>
      <c r="C5" s="71" t="inlineStr">
        <is>
          <t>Boarding Experience</t>
        </is>
      </c>
      <c r="D5" s="72" t="inlineStr">
        <is>
          <t>• Alan Johnson
• Lindsay Guthmiller
• Fredrick Mjema
• David Pritchett</t>
        </is>
      </c>
      <c r="E5" s="73">
        <f>COUNTA('Boarding'!$B$14:$B$39)</f>
        <v/>
      </c>
      <c r="F5" s="73">
        <f>COUNTIF('Boarding'!$G$14:$G$39,"Tranche 1")</f>
        <v/>
      </c>
      <c r="G5" s="73">
        <f>COUNTIF('Boarding'!$G$14:$G$39,"Tranche 2")</f>
        <v/>
      </c>
      <c r="H5" s="73">
        <f>COUNTIF('Boarding'!$G$14:$G$39,"Tranche 3")</f>
        <v/>
      </c>
      <c r="I5" s="74">
        <f>HYPERLINK("#'Boarding'!A12","Open →")</f>
        <v/>
      </c>
    </row>
    <row r="6" ht="84" customHeight="1" s="52">
      <c r="A6" s="69" t="n">
        <v>2</v>
      </c>
      <c r="B6" s="75" t="n"/>
      <c r="C6" s="71" t="inlineStr">
        <is>
          <t>Ingress</t>
        </is>
      </c>
      <c r="D6" s="72" t="inlineStr">
        <is>
          <t>• Alan Johnson
• Fredrick Mjema
• Vivek Pujeri
• Patrick Bateman
• Rebecca Fishel
• Bradley Bossenbroek</t>
        </is>
      </c>
      <c r="E6" s="73">
        <f>COUNTA('Boarding'!$B$46:$B$55)</f>
        <v/>
      </c>
      <c r="F6" s="73">
        <f>COUNTIF('Boarding'!$G$46:$G$55,"Tranche 1")</f>
        <v/>
      </c>
      <c r="G6" s="73">
        <f>COUNTIF('Boarding'!$G$46:$G$55,"Tranche 2")</f>
        <v/>
      </c>
      <c r="H6" s="73">
        <f>COUNTIF('Boarding'!$G$46:$G$55,"Tranche 3")</f>
        <v/>
      </c>
      <c r="I6" s="74">
        <f>HYPERLINK("#'Boarding'!A44","Open →")</f>
        <v/>
      </c>
    </row>
    <row r="7" ht="19" customHeight="1" s="52">
      <c r="A7" s="69" t="n">
        <v>3</v>
      </c>
      <c r="B7" s="75" t="n"/>
      <c r="C7" s="71" t="inlineStr">
        <is>
          <t>Boarding Orchestration</t>
        </is>
      </c>
      <c r="D7" s="72" t="inlineStr"/>
      <c r="E7" s="73">
        <f>COUNTA('Boarding'!$B$62:$B$73)</f>
        <v/>
      </c>
      <c r="F7" s="73">
        <f>COUNTIF('Boarding'!$G$62:$G$73,"Tranche 1")</f>
        <v/>
      </c>
      <c r="G7" s="73">
        <f>COUNTIF('Boarding'!$G$62:$G$73,"Tranche 2")</f>
        <v/>
      </c>
      <c r="H7" s="73">
        <f>COUNTIF('Boarding'!$G$62:$G$73,"Tranche 3")</f>
        <v/>
      </c>
      <c r="I7" s="74">
        <f>HYPERLINK("#'Boarding'!A60","Open →")</f>
        <v/>
      </c>
    </row>
    <row r="8" ht="19" customHeight="1" s="52">
      <c r="A8" s="69" t="n">
        <v>4</v>
      </c>
      <c r="B8" s="75" t="n"/>
      <c r="C8" s="71" t="inlineStr">
        <is>
          <t>Integration &amp; Messaging</t>
        </is>
      </c>
      <c r="D8" s="72" t="inlineStr"/>
      <c r="E8" s="73">
        <f>COUNTA('Boarding'!$B$80:$B$89)</f>
        <v/>
      </c>
      <c r="F8" s="73">
        <f>COUNTIF('Boarding'!$G$80:$G$89,"Tranche 1")</f>
        <v/>
      </c>
      <c r="G8" s="73">
        <f>COUNTIF('Boarding'!$G$80:$G$89,"Tranche 2")</f>
        <v/>
      </c>
      <c r="H8" s="73">
        <f>COUNTIF('Boarding'!$G$80:$G$89,"Tranche 3")</f>
        <v/>
      </c>
      <c r="I8" s="74">
        <f>HYPERLINK("#'Boarding'!A78","Open →")</f>
        <v/>
      </c>
    </row>
    <row r="9" ht="19" customHeight="1" s="52">
      <c r="A9" s="69" t="n">
        <v>5</v>
      </c>
      <c r="B9" s="75" t="n"/>
      <c r="C9" s="71" t="inlineStr">
        <is>
          <t>Credit &amp; Underwriting</t>
        </is>
      </c>
      <c r="D9" s="72" t="inlineStr"/>
      <c r="E9" s="73">
        <f>COUNTA('Boarding'!$B$96:$B$105)</f>
        <v/>
      </c>
      <c r="F9" s="73">
        <f>COUNTIF('Boarding'!$G$96:$G$105,"Tranche 1")</f>
        <v/>
      </c>
      <c r="G9" s="73">
        <f>COUNTIF('Boarding'!$G$96:$G$105,"Tranche 2")</f>
        <v/>
      </c>
      <c r="H9" s="73">
        <f>COUNTIF('Boarding'!$G$96:$G$105,"Tranche 3")</f>
        <v/>
      </c>
      <c r="I9" s="74">
        <f>HYPERLINK("#'Boarding'!A94","Open →")</f>
        <v/>
      </c>
    </row>
    <row r="10" ht="32" customHeight="1" s="52">
      <c r="A10" s="69" t="n">
        <v>6</v>
      </c>
      <c r="B10" s="76" t="n"/>
      <c r="C10" s="71" t="inlineStr">
        <is>
          <t>CPQ / Quote-pricing</t>
        </is>
      </c>
      <c r="D10" s="72" t="inlineStr">
        <is>
          <t>• Jake Gwynn
• Vivek Pujeri</t>
        </is>
      </c>
      <c r="E10" s="73">
        <f>COUNTA('Boarding'!$B$112:$B$121)</f>
        <v/>
      </c>
      <c r="F10" s="73">
        <f>COUNTIF('Boarding'!$G$112:$G$121,"Tranche 1")</f>
        <v/>
      </c>
      <c r="G10" s="73">
        <f>COUNTIF('Boarding'!$G$112:$G$121,"Tranche 2")</f>
        <v/>
      </c>
      <c r="H10" s="73">
        <f>COUNTIF('Boarding'!$G$112:$G$121,"Tranche 3")</f>
        <v/>
      </c>
      <c r="I10" s="74">
        <f>HYPERLINK("#'Boarding'!A110","Open →")</f>
        <v/>
      </c>
    </row>
    <row r="11" ht="19" customHeight="1" s="52">
      <c r="A11" s="69" t="n">
        <v>7</v>
      </c>
      <c r="B11" s="70" t="inlineStr">
        <is>
          <t>Single-in</t>
        </is>
      </c>
      <c r="C11" s="71" t="inlineStr">
        <is>
          <t>Global API</t>
        </is>
      </c>
      <c r="D11" s="72" t="inlineStr">
        <is>
          <t>• Alexander Dewison</t>
        </is>
      </c>
      <c r="E11" s="73">
        <f>COUNTA('Single-in'!$B$13:$B$22)</f>
        <v/>
      </c>
      <c r="F11" s="73">
        <f>COUNTIF('Single-in'!$G$13:$G$22,"Tranche 1")</f>
        <v/>
      </c>
      <c r="G11" s="73">
        <f>COUNTIF('Single-in'!$G$13:$G$22,"Tranche 2")</f>
        <v/>
      </c>
      <c r="H11" s="73">
        <f>COUNTIF('Single-in'!$G$13:$G$22,"Tranche 3")</f>
        <v/>
      </c>
      <c r="I11" s="74">
        <f>HYPERLINK("#'Single-in'!A11","Open →")</f>
        <v/>
      </c>
    </row>
    <row r="12" ht="32" customHeight="1" s="52">
      <c r="A12" s="69" t="n">
        <v>8</v>
      </c>
      <c r="B12" s="75" t="n"/>
      <c r="C12" s="71" t="inlineStr">
        <is>
          <t>Payment Apps &amp; SDKs</t>
        </is>
      </c>
      <c r="D12" s="72" t="inlineStr">
        <is>
          <t>• Stuart Taylor
• Scott Moser</t>
        </is>
      </c>
      <c r="E12" s="73">
        <f>COUNTA('Single-in'!$B$29:$B$51)</f>
        <v/>
      </c>
      <c r="F12" s="73">
        <f>COUNTIF('Single-in'!$G$29:$G$51,"Tranche 1")</f>
        <v/>
      </c>
      <c r="G12" s="73">
        <f>COUNTIF('Single-in'!$G$29:$G$51,"Tranche 2")</f>
        <v/>
      </c>
      <c r="H12" s="73">
        <f>COUNTIF('Single-in'!$G$29:$G$51,"Tranche 3")</f>
        <v/>
      </c>
      <c r="I12" s="74">
        <f>HYPERLINK("#'Single-in'!A27","Open →")</f>
        <v/>
      </c>
    </row>
    <row r="13" ht="19" customHeight="1" s="52">
      <c r="A13" s="69" t="n">
        <v>9</v>
      </c>
      <c r="B13" s="75" t="n"/>
      <c r="C13" s="71" t="inlineStr">
        <is>
          <t>Developer Experience</t>
        </is>
      </c>
      <c r="D13" s="72" t="inlineStr">
        <is>
          <t>• Alexander Dewison</t>
        </is>
      </c>
      <c r="E13" s="73">
        <f>COUNTA('Single-in'!$B$58:$B$67)</f>
        <v/>
      </c>
      <c r="F13" s="73">
        <f>COUNTIF('Single-in'!$G$58:$G$67,"Tranche 1")</f>
        <v/>
      </c>
      <c r="G13" s="73">
        <f>COUNTIF('Single-in'!$G$58:$G$67,"Tranche 2")</f>
        <v/>
      </c>
      <c r="H13" s="73">
        <f>COUNTIF('Single-in'!$G$58:$G$67,"Tranche 3")</f>
        <v/>
      </c>
      <c r="I13" s="74">
        <f>HYPERLINK("#'Single-in'!A56","Open →")</f>
        <v/>
      </c>
    </row>
    <row r="14" ht="19" customHeight="1" s="52">
      <c r="A14" s="69" t="n">
        <v>10</v>
      </c>
      <c r="B14" s="75" t="n"/>
      <c r="C14" s="71" t="inlineStr">
        <is>
          <t>Hosted Solutions</t>
        </is>
      </c>
      <c r="D14" s="72" t="inlineStr">
        <is>
          <t>• Alexander Dewison</t>
        </is>
      </c>
      <c r="E14" s="73">
        <f>COUNTA('Single-in'!$B$74:$B$83)</f>
        <v/>
      </c>
      <c r="F14" s="73">
        <f>COUNTIF('Single-in'!$G$74:$G$83,"Tranche 1")</f>
        <v/>
      </c>
      <c r="G14" s="73">
        <f>COUNTIF('Single-in'!$G$74:$G$83,"Tranche 2")</f>
        <v/>
      </c>
      <c r="H14" s="73">
        <f>COUNTIF('Single-in'!$G$74:$G$83,"Tranche 3")</f>
        <v/>
      </c>
      <c r="I14" s="74">
        <f>HYPERLINK("#'Single-in'!A72","Open →")</f>
        <v/>
      </c>
    </row>
    <row r="15" ht="19" customHeight="1" s="52">
      <c r="A15" s="69" t="n">
        <v>11</v>
      </c>
      <c r="B15" s="76" t="n"/>
      <c r="C15" s="71" t="inlineStr">
        <is>
          <t>Unified Proposition</t>
        </is>
      </c>
      <c r="D15" s="72" t="inlineStr">
        <is>
          <t>• Alexander Dewison</t>
        </is>
      </c>
      <c r="E15" s="73">
        <f>COUNTA('Single-in'!$B$90:$B$99)</f>
        <v/>
      </c>
      <c r="F15" s="73">
        <f>COUNTIF('Single-in'!$G$90:$G$99,"Tranche 1")</f>
        <v/>
      </c>
      <c r="G15" s="73">
        <f>COUNTIF('Single-in'!$G$90:$G$99,"Tranche 2")</f>
        <v/>
      </c>
      <c r="H15" s="73">
        <f>COUNTIF('Single-in'!$G$90:$G$99,"Tranche 3")</f>
        <v/>
      </c>
      <c r="I15" s="74">
        <f>HYPERLINK("#'Single-in'!A88","Open →")</f>
        <v/>
      </c>
    </row>
    <row r="16" ht="97" customHeight="1" s="52">
      <c r="A16" s="69" t="n">
        <v>12</v>
      </c>
      <c r="B16" s="70" t="inlineStr">
        <is>
          <t>Sales &amp; Servicing</t>
        </is>
      </c>
      <c r="C16" s="71" t="inlineStr">
        <is>
          <t>CRM</t>
        </is>
      </c>
      <c r="D16" s="72" t="inlineStr">
        <is>
          <t>• Khali White
• Lindsay Guthmiller
• Tuarai Girard
• Vivek Pujeri
• Charlie Wright
• Jason Randall
• David Pritchett</t>
        </is>
      </c>
      <c r="E16" s="73">
        <f>COUNTA('Sales &amp; Servicing'!$B$12:$B$27)</f>
        <v/>
      </c>
      <c r="F16" s="73">
        <f>COUNTIF('Sales &amp; Servicing'!$G$12:$G$27,"Tranche 1")</f>
        <v/>
      </c>
      <c r="G16" s="73">
        <f>COUNTIF('Sales &amp; Servicing'!$G$12:$G$27,"Tranche 2")</f>
        <v/>
      </c>
      <c r="H16" s="73">
        <f>COUNTIF('Sales &amp; Servicing'!$G$12:$G$27,"Tranche 3")</f>
        <v/>
      </c>
      <c r="I16" s="74">
        <f>HYPERLINK("#'Sales &amp; Servicing'!A10","Open →")</f>
        <v/>
      </c>
    </row>
    <row r="17" ht="19" customHeight="1" s="52">
      <c r="A17" s="69" t="n">
        <v>13</v>
      </c>
      <c r="B17" s="75" t="n"/>
      <c r="C17" s="71" t="inlineStr">
        <is>
          <t>Servicing Tools</t>
        </is>
      </c>
      <c r="D17" s="72" t="inlineStr"/>
      <c r="E17" s="73">
        <f>COUNTA('Sales &amp; Servicing'!$B$34:$B$49)</f>
        <v/>
      </c>
      <c r="F17" s="73">
        <f>COUNTIF('Sales &amp; Servicing'!$G$34:$G$49,"Tranche 1")</f>
        <v/>
      </c>
      <c r="G17" s="73">
        <f>COUNTIF('Sales &amp; Servicing'!$G$34:$G$49,"Tranche 2")</f>
        <v/>
      </c>
      <c r="H17" s="73">
        <f>COUNTIF('Sales &amp; Servicing'!$G$34:$G$49,"Tranche 3")</f>
        <v/>
      </c>
      <c r="I17" s="74">
        <f>HYPERLINK("#'Sales &amp; Servicing'!A32","Open →")</f>
        <v/>
      </c>
    </row>
    <row r="18" ht="19" customHeight="1" s="52">
      <c r="A18" s="69" t="n">
        <v>14</v>
      </c>
      <c r="B18" s="75" t="n"/>
      <c r="C18" s="71" t="inlineStr">
        <is>
          <t>Sales Automation</t>
        </is>
      </c>
      <c r="D18" s="72" t="inlineStr"/>
      <c r="E18" s="73">
        <f>COUNTA('Sales &amp; Servicing'!$B$56:$B$65)</f>
        <v/>
      </c>
      <c r="F18" s="73">
        <f>COUNTIF('Sales &amp; Servicing'!$G$56:$G$65,"Tranche 1")</f>
        <v/>
      </c>
      <c r="G18" s="73">
        <f>COUNTIF('Sales &amp; Servicing'!$G$56:$G$65,"Tranche 2")</f>
        <v/>
      </c>
      <c r="H18" s="73">
        <f>COUNTIF('Sales &amp; Servicing'!$G$56:$G$65,"Tranche 3")</f>
        <v/>
      </c>
      <c r="I18" s="74">
        <f>HYPERLINK("#'Sales &amp; Servicing'!A54","Open →")</f>
        <v/>
      </c>
    </row>
    <row r="19" ht="19" customHeight="1" s="52">
      <c r="A19" s="69" t="n">
        <v>15</v>
      </c>
      <c r="B19" s="76" t="n"/>
      <c r="C19" s="71" t="inlineStr">
        <is>
          <t>Risks</t>
        </is>
      </c>
      <c r="D19" s="72" t="inlineStr"/>
      <c r="E19" s="73">
        <f>COUNTA('Sales &amp; Servicing'!$B$72:$B$81)</f>
        <v/>
      </c>
      <c r="F19" s="73">
        <f>COUNTIF('Sales &amp; Servicing'!$G$72:$G$81,"Tranche 1")</f>
        <v/>
      </c>
      <c r="G19" s="73">
        <f>COUNTIF('Sales &amp; Servicing'!$G$72:$G$81,"Tranche 2")</f>
        <v/>
      </c>
      <c r="H19" s="73">
        <f>COUNTIF('Sales &amp; Servicing'!$G$72:$G$81,"Tranche 3")</f>
        <v/>
      </c>
      <c r="I19" s="74">
        <f>HYPERLINK("#'Sales &amp; Servicing'!A70","Open →")</f>
        <v/>
      </c>
    </row>
    <row r="20" ht="19" customHeight="1" s="52">
      <c r="A20" s="69" t="n">
        <v>16</v>
      </c>
      <c r="B20" s="70" t="inlineStr">
        <is>
          <t>Payment Processing</t>
        </is>
      </c>
      <c r="C20" s="71" t="inlineStr">
        <is>
          <t>Gateway</t>
        </is>
      </c>
      <c r="D20" s="72" t="inlineStr">
        <is>
          <t>• TBC</t>
        </is>
      </c>
      <c r="E20" s="73">
        <f>COUNTA('Payment Processing'!$B$14:$B$52)</f>
        <v/>
      </c>
      <c r="F20" s="73">
        <f>COUNTIF('Payment Processing'!$G$14:$G$52,"Tranche 1")</f>
        <v/>
      </c>
      <c r="G20" s="73">
        <f>COUNTIF('Payment Processing'!$G$14:$G$52,"Tranche 2")</f>
        <v/>
      </c>
      <c r="H20" s="73">
        <f>COUNTIF('Payment Processing'!$G$14:$G$52,"Tranche 3")</f>
        <v/>
      </c>
      <c r="I20" s="74">
        <f>HYPERLINK("#'Payment Processing'!A12","Open →")</f>
        <v/>
      </c>
    </row>
    <row r="21" ht="19" customHeight="1" s="52">
      <c r="A21" s="69" t="n">
        <v>17</v>
      </c>
      <c r="B21" s="75" t="n"/>
      <c r="C21" s="71" t="inlineStr">
        <is>
          <t>Switch</t>
        </is>
      </c>
      <c r="D21" s="72" t="inlineStr"/>
      <c r="E21" s="73">
        <f>COUNTA('Payment Processing'!$B$59:$B$68)</f>
        <v/>
      </c>
      <c r="F21" s="73">
        <f>COUNTIF('Payment Processing'!$G$59:$G$68,"Tranche 1")</f>
        <v/>
      </c>
      <c r="G21" s="73">
        <f>COUNTIF('Payment Processing'!$G$59:$G$68,"Tranche 2")</f>
        <v/>
      </c>
      <c r="H21" s="73">
        <f>COUNTIF('Payment Processing'!$G$59:$G$68,"Tranche 3")</f>
        <v/>
      </c>
      <c r="I21" s="74">
        <f>HYPERLINK("#'Payment Processing'!A57","Open →")</f>
        <v/>
      </c>
    </row>
    <row r="22" ht="84" customHeight="1" s="52">
      <c r="A22" s="69" t="n">
        <v>18</v>
      </c>
      <c r="B22" s="75" t="n"/>
      <c r="C22" s="71" t="inlineStr">
        <is>
          <t>Clearing Back-end</t>
        </is>
      </c>
      <c r="D22" s="72" t="inlineStr">
        <is>
          <t>• Mike Clark
• Philip Ringer
• Jon Beere
• Alan Bainbridge
• Richard Jones
• Peter Downey</t>
        </is>
      </c>
      <c r="E22" s="73">
        <f>COUNTA('Payment Processing'!$B$75:$B$89)</f>
        <v/>
      </c>
      <c r="F22" s="73">
        <f>COUNTIF('Payment Processing'!$G$75:$G$89,"Tranche 1")</f>
        <v/>
      </c>
      <c r="G22" s="73">
        <f>COUNTIF('Payment Processing'!$G$75:$G$89,"Tranche 2")</f>
        <v/>
      </c>
      <c r="H22" s="73">
        <f>COUNTIF('Payment Processing'!$G$75:$G$89,"Tranche 3")</f>
        <v/>
      </c>
      <c r="I22" s="74">
        <f>HYPERLINK("#'Payment Processing'!A73","Open →")</f>
        <v/>
      </c>
    </row>
    <row r="23" ht="71" customHeight="1" s="52">
      <c r="A23" s="69" t="n">
        <v>19</v>
      </c>
      <c r="B23" s="75" t="n"/>
      <c r="C23" s="71" t="inlineStr">
        <is>
          <t>Authorization Host</t>
        </is>
      </c>
      <c r="D23" s="72" t="inlineStr">
        <is>
          <t>• Mike Clark
• Philip Ringer
• Jon Beere
• Anushree Kolhe
• James Annunziata</t>
        </is>
      </c>
      <c r="E23" s="73">
        <f>COUNTA('Payment Processing'!$B$96:$B$112)</f>
        <v/>
      </c>
      <c r="F23" s="73">
        <f>COUNTIF('Payment Processing'!$G$96:$G$112,"Tranche 1")</f>
        <v/>
      </c>
      <c r="G23" s="73">
        <f>COUNTIF('Payment Processing'!$G$96:$G$112,"Tranche 2")</f>
        <v/>
      </c>
      <c r="H23" s="73">
        <f>COUNTIF('Payment Processing'!$G$96:$G$112,"Tranche 3")</f>
        <v/>
      </c>
      <c r="I23" s="74">
        <f>HYPERLINK("#'Payment Processing'!A94","Open →")</f>
        <v/>
      </c>
    </row>
    <row r="24" ht="19" customHeight="1" s="52">
      <c r="A24" s="69" t="n">
        <v>20</v>
      </c>
      <c r="B24" s="75" t="n"/>
      <c r="C24" s="71" t="inlineStr">
        <is>
          <t>Transaction monitoring</t>
        </is>
      </c>
      <c r="D24" s="72" t="inlineStr">
        <is>
          <t>• TBC</t>
        </is>
      </c>
      <c r="E24" s="73">
        <f>COUNTA('Payment Processing'!$B$119:$B$128)</f>
        <v/>
      </c>
      <c r="F24" s="73">
        <f>COUNTIF('Payment Processing'!$G$119:$G$128,"Tranche 1")</f>
        <v/>
      </c>
      <c r="G24" s="73">
        <f>COUNTIF('Payment Processing'!$G$119:$G$128,"Tranche 2")</f>
        <v/>
      </c>
      <c r="H24" s="73">
        <f>COUNTIF('Payment Processing'!$G$119:$G$128,"Tranche 3")</f>
        <v/>
      </c>
      <c r="I24" s="74">
        <f>HYPERLINK("#'Payment Processing'!A117","Open →")</f>
        <v/>
      </c>
    </row>
    <row r="25" ht="19" customHeight="1" s="52">
      <c r="A25" s="69" t="n">
        <v>21</v>
      </c>
      <c r="B25" s="76" t="n"/>
      <c r="C25" s="71" t="inlineStr">
        <is>
          <t>APMs/LPMs</t>
        </is>
      </c>
      <c r="D25" s="72" t="inlineStr">
        <is>
          <t>• TBC</t>
        </is>
      </c>
      <c r="E25" s="73">
        <f>COUNTA('Payment Processing'!$B$135:$B$144)</f>
        <v/>
      </c>
      <c r="F25" s="73">
        <f>COUNTIF('Payment Processing'!$G$135:$G$144,"Tranche 1")</f>
        <v/>
      </c>
      <c r="G25" s="73">
        <f>COUNTIF('Payment Processing'!$G$135:$G$144,"Tranche 2")</f>
        <v/>
      </c>
      <c r="H25" s="73">
        <f>COUNTIF('Payment Processing'!$G$135:$G$144,"Tranche 3")</f>
        <v/>
      </c>
      <c r="I25" s="74">
        <f>HYPERLINK("#'Payment Processing'!A133","Open →")</f>
        <v/>
      </c>
    </row>
    <row r="26" ht="58" customHeight="1" s="52">
      <c r="A26" s="69" t="n">
        <v>22</v>
      </c>
      <c r="B26" s="70" t="inlineStr">
        <is>
          <t>VAS</t>
        </is>
      </c>
      <c r="C26" s="71" t="inlineStr">
        <is>
          <t>Routing</t>
        </is>
      </c>
      <c r="D26" s="72" t="inlineStr">
        <is>
          <t>• Jason Harding
• Srini Turlapati
• Andre Dubreuil
• Sunny Thakkar</t>
        </is>
      </c>
      <c r="E26" s="73">
        <f>COUNTA('VAS'!$B$17:$B$26)</f>
        <v/>
      </c>
      <c r="F26" s="73">
        <f>COUNTIF('VAS'!$G$17:$G$26,"Tranche 1")</f>
        <v/>
      </c>
      <c r="G26" s="73">
        <f>COUNTIF('VAS'!$G$17:$G$26,"Tranche 2")</f>
        <v/>
      </c>
      <c r="H26" s="73">
        <f>COUNTIF('VAS'!$G$17:$G$26,"Tranche 3")</f>
        <v/>
      </c>
      <c r="I26" s="74">
        <f>HYPERLINK("#'VAS'!A15","Open →")</f>
        <v/>
      </c>
    </row>
    <row r="27" ht="32" customHeight="1" s="52">
      <c r="A27" s="69" t="n">
        <v>23</v>
      </c>
      <c r="B27" s="75" t="n"/>
      <c r="C27" s="71" t="inlineStr">
        <is>
          <t>Networking Payment Tokens</t>
        </is>
      </c>
      <c r="D27" s="72" t="inlineStr">
        <is>
          <t>• Jason Harding
• Srini Turlapati</t>
        </is>
      </c>
      <c r="E27" s="73">
        <f>COUNTA('VAS'!$B$33:$B$42)</f>
        <v/>
      </c>
      <c r="F27" s="73">
        <f>COUNTIF('VAS'!$G$33:$G$42,"Tranche 1")</f>
        <v/>
      </c>
      <c r="G27" s="73">
        <f>COUNTIF('VAS'!$G$33:$G$42,"Tranche 2")</f>
        <v/>
      </c>
      <c r="H27" s="73">
        <f>COUNTIF('VAS'!$G$33:$G$42,"Tranche 3")</f>
        <v/>
      </c>
      <c r="I27" s="74">
        <f>HYPERLINK("#'VAS'!A31","Open →")</f>
        <v/>
      </c>
    </row>
    <row r="28" ht="45" customHeight="1" s="52">
      <c r="A28" s="69" t="n">
        <v>24</v>
      </c>
      <c r="B28" s="75" t="n"/>
      <c r="C28" s="71" t="inlineStr">
        <is>
          <t>DCC eDCC</t>
        </is>
      </c>
      <c r="D28" s="72" t="inlineStr">
        <is>
          <t>• Marcus Lang
• VikramSuhas Joshi
• Jaroslav Farkas</t>
        </is>
      </c>
      <c r="E28" s="73">
        <f>COUNTA('VAS'!$B$49:$B$58)</f>
        <v/>
      </c>
      <c r="F28" s="73">
        <f>COUNTIF('VAS'!$G$49:$G$58,"Tranche 1")</f>
        <v/>
      </c>
      <c r="G28" s="73">
        <f>COUNTIF('VAS'!$G$49:$G$58,"Tranche 2")</f>
        <v/>
      </c>
      <c r="H28" s="73">
        <f>COUNTIF('VAS'!$G$49:$G$58,"Tranche 3")</f>
        <v/>
      </c>
      <c r="I28" s="74">
        <f>HYPERLINK("#'VAS'!A47","Open →")</f>
        <v/>
      </c>
    </row>
    <row r="29" ht="32" customHeight="1" s="52">
      <c r="A29" s="69" t="n">
        <v>25</v>
      </c>
      <c r="B29" s="75" t="n"/>
      <c r="C29" s="71" t="inlineStr">
        <is>
          <t>Fraud</t>
        </is>
      </c>
      <c r="D29" s="72" t="inlineStr">
        <is>
          <t>• Justin Moore
• Srini Turlapati</t>
        </is>
      </c>
      <c r="E29" s="73">
        <f>COUNTA('VAS'!$B$65:$B$76)</f>
        <v/>
      </c>
      <c r="F29" s="73">
        <f>COUNTIF('VAS'!$G$65:$G$76,"Tranche 1")</f>
        <v/>
      </c>
      <c r="G29" s="73">
        <f>COUNTIF('VAS'!$G$65:$G$76,"Tranche 2")</f>
        <v/>
      </c>
      <c r="H29" s="73">
        <f>COUNTIF('VAS'!$G$65:$G$76,"Tranche 3")</f>
        <v/>
      </c>
      <c r="I29" s="74">
        <f>HYPERLINK("#'VAS'!A63","Open →")</f>
        <v/>
      </c>
    </row>
    <row r="30" ht="45" customHeight="1" s="52">
      <c r="A30" s="69" t="n">
        <v>26</v>
      </c>
      <c r="B30" s="75" t="n"/>
      <c r="C30" s="71" t="inlineStr">
        <is>
          <t>Credential Management</t>
        </is>
      </c>
      <c r="D30" s="72" t="inlineStr">
        <is>
          <t>• Jason Harding
• Srini Turlapati
• Andre Dubreuil</t>
        </is>
      </c>
      <c r="E30" s="73">
        <f>COUNTA('VAS'!$B$83:$B$92)</f>
        <v/>
      </c>
      <c r="F30" s="73">
        <f>COUNTIF('VAS'!$G$83:$G$92,"Tranche 1")</f>
        <v/>
      </c>
      <c r="G30" s="73">
        <f>COUNTIF('VAS'!$G$83:$G$92,"Tranche 2")</f>
        <v/>
      </c>
      <c r="H30" s="73">
        <f>COUNTIF('VAS'!$G$83:$G$92,"Tranche 3")</f>
        <v/>
      </c>
      <c r="I30" s="74">
        <f>HYPERLINK("#'VAS'!A81","Open →")</f>
        <v/>
      </c>
    </row>
    <row r="31" ht="45" customHeight="1" s="52">
      <c r="A31" s="69" t="n">
        <v>27</v>
      </c>
      <c r="B31" s="75" t="n"/>
      <c r="C31" s="71" t="inlineStr">
        <is>
          <t>Gifts</t>
        </is>
      </c>
      <c r="D31" s="72" t="inlineStr">
        <is>
          <t>• Genessa Prictor
• Srini Turlapati
• John Nail</t>
        </is>
      </c>
      <c r="E31" s="73">
        <f>COUNTA('VAS'!$B$99:$B$110)</f>
        <v/>
      </c>
      <c r="F31" s="73">
        <f>COUNTIF('VAS'!$G$99:$G$110,"Tranche 1")</f>
        <v/>
      </c>
      <c r="G31" s="73">
        <f>COUNTIF('VAS'!$G$99:$G$110,"Tranche 2")</f>
        <v/>
      </c>
      <c r="H31" s="73">
        <f>COUNTIF('VAS'!$G$99:$G$110,"Tranche 3")</f>
        <v/>
      </c>
      <c r="I31" s="74">
        <f>HYPERLINK("#'VAS'!A97","Open →")</f>
        <v/>
      </c>
    </row>
    <row r="32" ht="45" customHeight="1" s="52">
      <c r="A32" s="69" t="n">
        <v>28</v>
      </c>
      <c r="B32" s="75" t="n"/>
      <c r="C32" s="71" t="inlineStr">
        <is>
          <t>Managed Optimization</t>
        </is>
      </c>
      <c r="D32" s="72" t="inlineStr">
        <is>
          <t>• Jason Harding
• Srini Turlapati
• Andre Dubreuil</t>
        </is>
      </c>
      <c r="E32" s="73">
        <f>COUNTA('VAS'!$B$117:$B$126)</f>
        <v/>
      </c>
      <c r="F32" s="73">
        <f>COUNTIF('VAS'!$G$117:$G$126,"Tranche 1")</f>
        <v/>
      </c>
      <c r="G32" s="73">
        <f>COUNTIF('VAS'!$G$117:$G$126,"Tranche 2")</f>
        <v/>
      </c>
      <c r="H32" s="73">
        <f>COUNTIF('VAS'!$G$117:$G$126,"Tranche 3")</f>
        <v/>
      </c>
      <c r="I32" s="74">
        <f>HYPERLINK("#'VAS'!A115","Open →")</f>
        <v/>
      </c>
    </row>
    <row r="33" ht="32" customHeight="1" s="52">
      <c r="A33" s="69" t="n">
        <v>29</v>
      </c>
      <c r="B33" s="75" t="n"/>
      <c r="C33" s="71" t="inlineStr">
        <is>
          <t>3DS / exemptions</t>
        </is>
      </c>
      <c r="D33" s="72" t="inlineStr">
        <is>
          <t>• Sunny Thakkar
• Srini Turlapati</t>
        </is>
      </c>
      <c r="E33" s="73">
        <f>COUNTA('VAS'!$B$133:$B$142)</f>
        <v/>
      </c>
      <c r="F33" s="73">
        <f>COUNTIF('VAS'!$G$133:$G$142,"Tranche 1")</f>
        <v/>
      </c>
      <c r="G33" s="73">
        <f>COUNTIF('VAS'!$G$133:$G$142,"Tranche 2")</f>
        <v/>
      </c>
      <c r="H33" s="73">
        <f>COUNTIF('VAS'!$G$133:$G$142,"Tranche 3")</f>
        <v/>
      </c>
      <c r="I33" s="74">
        <f>HYPERLINK("#'VAS'!A131","Open →")</f>
        <v/>
      </c>
    </row>
    <row r="34" ht="32" customHeight="1" s="52">
      <c r="A34" s="69" t="n">
        <v>30</v>
      </c>
      <c r="B34" s="76" t="n"/>
      <c r="C34" s="71" t="inlineStr">
        <is>
          <t>FX</t>
        </is>
      </c>
      <c r="D34" s="72" t="inlineStr">
        <is>
          <t>• Srini Turlapati
• VikramSuhas Joshi</t>
        </is>
      </c>
      <c r="E34" s="73">
        <f>COUNTA('VAS'!$B$149:$B$158)</f>
        <v/>
      </c>
      <c r="F34" s="73">
        <f>COUNTIF('VAS'!$G$149:$G$158,"Tranche 1")</f>
        <v/>
      </c>
      <c r="G34" s="73">
        <f>COUNTIF('VAS'!$G$149:$G$158,"Tranche 2")</f>
        <v/>
      </c>
      <c r="H34" s="73">
        <f>COUNTIF('VAS'!$G$149:$G$158,"Tranche 3")</f>
        <v/>
      </c>
      <c r="I34" s="74">
        <f>HYPERLINK("#'VAS'!A147","Open →")</f>
        <v/>
      </c>
    </row>
    <row r="35" ht="32" customHeight="1" s="52">
      <c r="A35" s="69" t="n">
        <v>31</v>
      </c>
      <c r="B35" s="70" t="inlineStr">
        <is>
          <t>Unified Data and AI</t>
        </is>
      </c>
      <c r="C35" s="71" t="inlineStr">
        <is>
          <t>Overall</t>
        </is>
      </c>
      <c r="D35" s="72" t="inlineStr">
        <is>
          <t>• Ryan Heaton
• Himanshu Shah</t>
        </is>
      </c>
      <c r="E35" s="73">
        <f>COUNTA('Unified Data and AI'!$B$9:$B$21)</f>
        <v/>
      </c>
      <c r="F35" s="73">
        <f>COUNTIF('Unified Data and AI'!$G$9:$G$21,"Tranche 1")</f>
        <v/>
      </c>
      <c r="G35" s="73">
        <f>COUNTIF('Unified Data and AI'!$G$9:$G$21,"Tranche 2")</f>
        <v/>
      </c>
      <c r="H35" s="73">
        <f>COUNTIF('Unified Data and AI'!$G$9:$G$21,"Tranche 3")</f>
        <v/>
      </c>
      <c r="I35" s="74">
        <f>HYPERLINK("#'Unified Data and AI'!A7","Open →")</f>
        <v/>
      </c>
    </row>
    <row r="36" ht="19" customHeight="1" s="52">
      <c r="A36" s="69" t="n">
        <v>32</v>
      </c>
      <c r="B36" s="70" t="inlineStr">
        <is>
          <t>Global Infrastructure</t>
        </is>
      </c>
      <c r="C36" s="71" t="inlineStr">
        <is>
          <t>Data Centers</t>
        </is>
      </c>
      <c r="D36" s="72" t="inlineStr">
        <is>
          <t>• TBC</t>
        </is>
      </c>
      <c r="E36" s="73">
        <f>COUNTA('Global Infrastructure'!$B$14:$B$23)</f>
        <v/>
      </c>
      <c r="F36" s="73">
        <f>COUNTIF('Global Infrastructure'!$G$14:$G$23,"Tranche 1")</f>
        <v/>
      </c>
      <c r="G36" s="73">
        <f>COUNTIF('Global Infrastructure'!$G$14:$G$23,"Tranche 2")</f>
        <v/>
      </c>
      <c r="H36" s="73">
        <f>COUNTIF('Global Infrastructure'!$G$14:$G$23,"Tranche 3")</f>
        <v/>
      </c>
      <c r="I36" s="74">
        <f>HYPERLINK("#'Global Infrastructure'!A12","Open →")</f>
        <v/>
      </c>
    </row>
    <row r="37" ht="19" customHeight="1" s="52">
      <c r="A37" s="69" t="n">
        <v>33</v>
      </c>
      <c r="B37" s="75" t="n"/>
      <c r="C37" s="71" t="inlineStr">
        <is>
          <t>Cloud</t>
        </is>
      </c>
      <c r="D37" s="72" t="inlineStr">
        <is>
          <t>• TBC</t>
        </is>
      </c>
      <c r="E37" s="73">
        <f>COUNTA('Global Infrastructure'!$B$30:$B$39)</f>
        <v/>
      </c>
      <c r="F37" s="73">
        <f>COUNTIF('Global Infrastructure'!$G$30:$G$39,"Tranche 1")</f>
        <v/>
      </c>
      <c r="G37" s="73">
        <f>COUNTIF('Global Infrastructure'!$G$30:$G$39,"Tranche 2")</f>
        <v/>
      </c>
      <c r="H37" s="73">
        <f>COUNTIF('Global Infrastructure'!$G$30:$G$39,"Tranche 3")</f>
        <v/>
      </c>
      <c r="I37" s="74">
        <f>HYPERLINK("#'Global Infrastructure'!A28","Open →")</f>
        <v/>
      </c>
    </row>
    <row r="38" ht="19" customHeight="1" s="52">
      <c r="A38" s="69" t="n">
        <v>34</v>
      </c>
      <c r="B38" s="75" t="n"/>
      <c r="C38" s="71" t="inlineStr">
        <is>
          <t>Observability</t>
        </is>
      </c>
      <c r="D38" s="72" t="inlineStr">
        <is>
          <t>• TBC</t>
        </is>
      </c>
      <c r="E38" s="73">
        <f>COUNTA('Global Infrastructure'!$B$46:$B$55)</f>
        <v/>
      </c>
      <c r="F38" s="73">
        <f>COUNTIF('Global Infrastructure'!$G$46:$G$55,"Tranche 1")</f>
        <v/>
      </c>
      <c r="G38" s="73">
        <f>COUNTIF('Global Infrastructure'!$G$46:$G$55,"Tranche 2")</f>
        <v/>
      </c>
      <c r="H38" s="73">
        <f>COUNTIF('Global Infrastructure'!$G$46:$G$55,"Tranche 3")</f>
        <v/>
      </c>
      <c r="I38" s="74">
        <f>HYPERLINK("#'Global Infrastructure'!A44","Open →")</f>
        <v/>
      </c>
    </row>
    <row r="39" ht="19" customHeight="1" s="52">
      <c r="A39" s="69" t="n">
        <v>35</v>
      </c>
      <c r="B39" s="75" t="n"/>
      <c r="C39" s="71" t="inlineStr">
        <is>
          <t>Security</t>
        </is>
      </c>
      <c r="D39" s="72" t="inlineStr">
        <is>
          <t>• TBC</t>
        </is>
      </c>
      <c r="E39" s="73">
        <f>COUNTA('Global Infrastructure'!$B$62:$B$71)</f>
        <v/>
      </c>
      <c r="F39" s="73">
        <f>COUNTIF('Global Infrastructure'!$G$62:$G$71,"Tranche 1")</f>
        <v/>
      </c>
      <c r="G39" s="73">
        <f>COUNTIF('Global Infrastructure'!$G$62:$G$71,"Tranche 2")</f>
        <v/>
      </c>
      <c r="H39" s="73">
        <f>COUNTIF('Global Infrastructure'!$G$62:$G$71,"Tranche 3")</f>
        <v/>
      </c>
      <c r="I39" s="74">
        <f>HYPERLINK("#'Global Infrastructure'!A60","Open →")</f>
        <v/>
      </c>
    </row>
    <row r="40" ht="19" customHeight="1" s="52">
      <c r="A40" s="69" t="n">
        <v>36</v>
      </c>
      <c r="B40" s="75" t="n"/>
      <c r="C40" s="71" t="inlineStr">
        <is>
          <t>AI Tools</t>
        </is>
      </c>
      <c r="D40" s="72" t="inlineStr">
        <is>
          <t>• TBC</t>
        </is>
      </c>
      <c r="E40" s="73">
        <f>COUNTA('Global Infrastructure'!$B$78:$B$87)</f>
        <v/>
      </c>
      <c r="F40" s="73">
        <f>COUNTIF('Global Infrastructure'!$G$78:$G$87,"Tranche 1")</f>
        <v/>
      </c>
      <c r="G40" s="73">
        <f>COUNTIF('Global Infrastructure'!$G$78:$G$87,"Tranche 2")</f>
        <v/>
      </c>
      <c r="H40" s="73">
        <f>COUNTIF('Global Infrastructure'!$G$78:$G$87,"Tranche 3")</f>
        <v/>
      </c>
      <c r="I40" s="74">
        <f>HYPERLINK("#'Global Infrastructure'!A76","Open →")</f>
        <v/>
      </c>
    </row>
    <row r="41" ht="19" customHeight="1" s="52">
      <c r="A41" s="69" t="n">
        <v>37</v>
      </c>
      <c r="B41" s="76" t="n"/>
      <c r="C41" s="71" t="inlineStr">
        <is>
          <t>Design Systems</t>
        </is>
      </c>
      <c r="D41" s="72" t="inlineStr">
        <is>
          <t>• TBC</t>
        </is>
      </c>
      <c r="E41" s="73">
        <f>COUNTA('Global Infrastructure'!$B$94:$B$103)</f>
        <v/>
      </c>
      <c r="F41" s="73">
        <f>COUNTIF('Global Infrastructure'!$G$94:$G$103,"Tranche 1")</f>
        <v/>
      </c>
      <c r="G41" s="73">
        <f>COUNTIF('Global Infrastructure'!$G$94:$G$103,"Tranche 2")</f>
        <v/>
      </c>
      <c r="H41" s="73">
        <f>COUNTIF('Global Infrastructure'!$G$94:$G$103,"Tranche 3")</f>
        <v/>
      </c>
      <c r="I41" s="74">
        <f>HYPERLINK("#'Global Infrastructure'!A92","Open →")</f>
        <v/>
      </c>
    </row>
    <row r="42" ht="32" customHeight="1" s="52">
      <c r="A42" s="69" t="n">
        <v>38</v>
      </c>
      <c r="B42" s="70" t="inlineStr">
        <is>
          <t>Single-out</t>
        </is>
      </c>
      <c r="C42" s="71" t="inlineStr">
        <is>
          <t>Portal</t>
        </is>
      </c>
      <c r="D42" s="72" t="inlineStr">
        <is>
          <t>• Jaemi Bremner
• Amutha Velayutham</t>
        </is>
      </c>
      <c r="E42" s="73">
        <f>COUNTA('Single-out'!$B$14:$B$36)</f>
        <v/>
      </c>
      <c r="F42" s="73">
        <f>COUNTIF('Single-out'!$G$14:$G$36,"Tranche 1")</f>
        <v/>
      </c>
      <c r="G42" s="73">
        <f>COUNTIF('Single-out'!$G$14:$G$36,"Tranche 2")</f>
        <v/>
      </c>
      <c r="H42" s="73">
        <f>COUNTIF('Single-out'!$G$14:$G$36,"Tranche 3")</f>
        <v/>
      </c>
      <c r="I42" s="74">
        <f>HYPERLINK("#'Single-out'!A12","Open →")</f>
        <v/>
      </c>
    </row>
    <row r="43" ht="58" customHeight="1" s="52">
      <c r="A43" s="69" t="n">
        <v>39</v>
      </c>
      <c r="B43" s="75" t="n"/>
      <c r="C43" s="71" t="inlineStr">
        <is>
          <t>Reporting</t>
        </is>
      </c>
      <c r="D43" s="72" t="inlineStr">
        <is>
          <t>• Helen Ryan
• Srini Turlapati
• Shaily Daftari
• Amutha Velayutham</t>
        </is>
      </c>
      <c r="E43" s="73">
        <f>COUNTA('Single-out'!$B$43:$B$53)</f>
        <v/>
      </c>
      <c r="F43" s="73">
        <f>COUNTIF('Single-out'!$G$43:$G$53,"Tranche 1")</f>
        <v/>
      </c>
      <c r="G43" s="73">
        <f>COUNTIF('Single-out'!$G$43:$G$53,"Tranche 2")</f>
        <v/>
      </c>
      <c r="H43" s="73">
        <f>COUNTIF('Single-out'!$G$43:$G$53,"Tranche 3")</f>
        <v/>
      </c>
      <c r="I43" s="74">
        <f>HYPERLINK("#'Single-out'!A41","Open →")</f>
        <v/>
      </c>
    </row>
    <row r="44" ht="19" customHeight="1" s="52">
      <c r="A44" s="69" t="n">
        <v>40</v>
      </c>
      <c r="B44" s="75" t="n"/>
      <c r="C44" s="71" t="inlineStr">
        <is>
          <t>Billing</t>
        </is>
      </c>
      <c r="D44" s="72" t="inlineStr">
        <is>
          <t>• TBC</t>
        </is>
      </c>
      <c r="E44" s="73">
        <f>COUNTA('Single-out'!$B$60:$B$69)</f>
        <v/>
      </c>
      <c r="F44" s="73">
        <f>COUNTIF('Single-out'!$G$60:$G$69,"Tranche 1")</f>
        <v/>
      </c>
      <c r="G44" s="73">
        <f>COUNTIF('Single-out'!$G$60:$G$69,"Tranche 2")</f>
        <v/>
      </c>
      <c r="H44" s="73">
        <f>COUNTIF('Single-out'!$G$60:$G$69,"Tranche 3")</f>
        <v/>
      </c>
      <c r="I44" s="74">
        <f>HYPERLINK("#'Single-out'!A58","Open →")</f>
        <v/>
      </c>
    </row>
    <row r="45" ht="84" customHeight="1" s="52">
      <c r="A45" s="69" t="n">
        <v>41</v>
      </c>
      <c r="B45" s="75" t="n"/>
      <c r="C45" s="71" t="inlineStr">
        <is>
          <t>Disputes</t>
        </is>
      </c>
      <c r="D45" s="72" t="inlineStr">
        <is>
          <t>• Helen Ryan
• Srini Turlapati
• Rosemary Kiley
• Travis Dowden
• Kimberly Singleton
• Neville DCosta</t>
        </is>
      </c>
      <c r="E45" s="73">
        <f>COUNTA('Single-out'!$B$76:$B$85)</f>
        <v/>
      </c>
      <c r="F45" s="73">
        <f>COUNTIF('Single-out'!$G$76:$G$85,"Tranche 1")</f>
        <v/>
      </c>
      <c r="G45" s="73">
        <f>COUNTIF('Single-out'!$G$76:$G$85,"Tranche 2")</f>
        <v/>
      </c>
      <c r="H45" s="73">
        <f>COUNTIF('Single-out'!$G$76:$G$85,"Tranche 3")</f>
        <v/>
      </c>
      <c r="I45" s="74">
        <f>HYPERLINK("#'Single-out'!A74","Open →")</f>
        <v/>
      </c>
    </row>
    <row r="46" ht="19" customHeight="1" s="52">
      <c r="A46" s="69" t="n">
        <v>42</v>
      </c>
      <c r="B46" s="75" t="n"/>
      <c r="C46" s="71" t="inlineStr">
        <is>
          <t>Payouts</t>
        </is>
      </c>
      <c r="D46" s="72" t="inlineStr">
        <is>
          <t>• Rupert French</t>
        </is>
      </c>
      <c r="E46" s="73">
        <f>COUNTA('Single-out'!$B$92:$B$101)</f>
        <v/>
      </c>
      <c r="F46" s="73">
        <f>COUNTIF('Single-out'!$G$92:$G$101,"Tranche 1")</f>
        <v/>
      </c>
      <c r="G46" s="73">
        <f>COUNTIF('Single-out'!$G$92:$G$101,"Tranche 2")</f>
        <v/>
      </c>
      <c r="H46" s="73">
        <f>COUNTIF('Single-out'!$G$92:$G$101,"Tranche 3")</f>
        <v/>
      </c>
      <c r="I46" s="74">
        <f>HYPERLINK("#'Single-out'!A90","Open →")</f>
        <v/>
      </c>
    </row>
    <row r="47" ht="58" customHeight="1" s="52">
      <c r="A47" s="69" t="n">
        <v>43</v>
      </c>
      <c r="B47" s="76" t="n"/>
      <c r="C47" s="71" t="inlineStr">
        <is>
          <t>PFaaS Products</t>
        </is>
      </c>
      <c r="D47" s="72" t="inlineStr">
        <is>
          <t>• David Blair
• Curtis Landry
• Andre Dubreuil
• Soltan Nayabkhil</t>
        </is>
      </c>
      <c r="E47" s="73">
        <f>COUNTA('Single-out'!$B$108:$B$117)</f>
        <v/>
      </c>
      <c r="F47" s="73">
        <f>COUNTIF('Single-out'!$G$108:$G$117,"Tranche 1")</f>
        <v/>
      </c>
      <c r="G47" s="73">
        <f>COUNTIF('Single-out'!$G$108:$G$117,"Tranche 2")</f>
        <v/>
      </c>
      <c r="H47" s="73">
        <f>COUNTIF('Single-out'!$G$108:$G$117,"Tranche 3")</f>
        <v/>
      </c>
      <c r="I47" s="74">
        <f>HYPERLINK("#'Single-out'!A106","Open →")</f>
        <v/>
      </c>
    </row>
    <row r="48">
      <c r="A48" s="77" t="n"/>
      <c r="B48" s="77" t="n"/>
      <c r="C48" s="77" t="n"/>
      <c r="D48" s="78" t="inlineStr">
        <is>
          <t>Total</t>
        </is>
      </c>
      <c r="E48" s="79">
        <f>SUM(E5:E47)</f>
        <v/>
      </c>
      <c r="F48" s="79">
        <f>SUM(F5:F47)</f>
        <v/>
      </c>
      <c r="G48" s="79">
        <f>SUM(G5:G47)</f>
        <v/>
      </c>
      <c r="H48" s="79">
        <f>SUM(H5:H47)</f>
        <v/>
      </c>
      <c r="I48" s="77" t="n"/>
    </row>
    <row r="49">
      <c r="C49" s="80">
        <f>HYPERLINK("#'Parking'!A1","Parking — POS software →")</f>
        <v/>
      </c>
      <c r="D49" s="81" t="inlineStr">
        <is>
          <t>not tranched</t>
        </is>
      </c>
      <c r="E49" s="82">
        <f>COUNTA(Parking!$B$9:$B$33)</f>
        <v/>
      </c>
    </row>
  </sheetData>
  <mergeCells count="7">
    <mergeCell ref="B36:B41"/>
    <mergeCell ref="B11:B15"/>
    <mergeCell ref="B26:B34"/>
    <mergeCell ref="B20:B25"/>
    <mergeCell ref="B42:B47"/>
    <mergeCell ref="B5:B10"/>
    <mergeCell ref="B16: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W122"/>
  <sheetViews>
    <sheetView showGridLines="0" workbookViewId="0">
      <selection activeCell="A1" sqref="A1"/>
    </sheetView>
  </sheetViews>
  <sheetFormatPr baseColWidth="8" defaultRowHeight="15"/>
  <cols>
    <col width="5" customWidth="1" style="52" min="1" max="1"/>
    <col width="26" customWidth="1" style="52" min="2" max="2"/>
    <col width="17" customWidth="1" style="52" min="3" max="3"/>
    <col width="16" customWidth="1" style="52" min="4" max="4"/>
    <col width="15" customWidth="1" style="52" min="5" max="5"/>
    <col width="44" customWidth="1" style="52" min="6" max="6"/>
    <col width="14" customWidth="1" style="52" min="7" max="7"/>
    <col width="2" customWidth="1" style="52" min="8" max="8"/>
    <col width="4" customWidth="1" style="52" min="9" max="9"/>
    <col width="9" customWidth="1" style="52" min="10" max="10"/>
    <col width="26" customWidth="1" style="52" min="11" max="11"/>
    <col width="26" customWidth="1" style="52" min="12" max="12"/>
    <col width="26" customWidth="1" style="52" min="13" max="13"/>
    <col width="2" customWidth="1" style="52" min="14" max="14"/>
    <col hidden="1" width="13" customWidth="1" style="52" min="15" max="15"/>
    <col hidden="1" width="13" customWidth="1" style="52" min="16" max="16"/>
    <col hidden="1" width="13" customWidth="1" style="52" min="17" max="17"/>
    <col hidden="1" width="13" customWidth="1" style="52" min="18" max="18"/>
    <col hidden="1" width="13" customWidth="1" style="52" min="19" max="19"/>
    <col hidden="1" width="13" customWidth="1" style="52" min="20" max="20"/>
    <col hidden="1" width="13" customWidth="1" style="52" min="21" max="21"/>
    <col hidden="1" width="13" customWidth="1" style="52" min="22" max="22"/>
    <col hidden="1" width="13" customWidth="1" style="52" min="23" max="23"/>
  </cols>
  <sheetData>
    <row r="1">
      <c r="A1" s="83" t="inlineStr">
        <is>
          <t>Boarding — Platform Assessment</t>
        </is>
      </c>
    </row>
    <row r="2">
      <c r="A2" s="84">
        <f>HYPERLINK("#'Summary'!A1","← Back to Summary")</f>
        <v/>
      </c>
      <c r="C2" s="85" t="inlineStr">
        <is>
          <t>Pick a State, score High / Medium / Low — the tranche, the matrix and the Summary update automatically.</t>
        </is>
      </c>
    </row>
    <row r="4">
      <c r="A4" s="86" t="inlineStr">
        <is>
          <t>Tracker — jump to a sub-capability:</t>
        </is>
      </c>
    </row>
    <row r="5">
      <c r="A5" s="87" t="inlineStr">
        <is>
          <t>1.</t>
        </is>
      </c>
      <c r="B5" s="84">
        <f>HYPERLINK("#'Boarding'!A12","Boarding Experience")</f>
        <v/>
      </c>
    </row>
    <row r="6">
      <c r="A6" s="87" t="inlineStr">
        <is>
          <t>2.</t>
        </is>
      </c>
      <c r="B6" s="84">
        <f>HYPERLINK("#'Boarding'!A44","Ingress")</f>
        <v/>
      </c>
    </row>
    <row r="7">
      <c r="A7" s="87" t="inlineStr">
        <is>
          <t>3.</t>
        </is>
      </c>
      <c r="B7" s="84">
        <f>HYPERLINK("#'Boarding'!A60","Boarding Orchestration")</f>
        <v/>
      </c>
    </row>
    <row r="8">
      <c r="A8" s="87" t="inlineStr">
        <is>
          <t>4.</t>
        </is>
      </c>
      <c r="B8" s="84">
        <f>HYPERLINK("#'Boarding'!A78","Integration &amp; Messaging")</f>
        <v/>
      </c>
    </row>
    <row r="9">
      <c r="A9" s="87" t="inlineStr">
        <is>
          <t>5.</t>
        </is>
      </c>
      <c r="B9" s="84">
        <f>HYPERLINK("#'Boarding'!A94","Credit &amp; Underwriting")</f>
        <v/>
      </c>
    </row>
    <row r="10">
      <c r="A10" s="87" t="inlineStr">
        <is>
          <t>6.</t>
        </is>
      </c>
      <c r="B10" s="84">
        <f>HYPERLINK("#'Boarding'!A110","CPQ / Quote-pricing")</f>
        <v/>
      </c>
    </row>
    <row r="12" ht="22" customHeight="1" s="52">
      <c r="A12" s="88" t="inlineStr">
        <is>
          <t>Boarding Experience</t>
        </is>
      </c>
      <c r="G12" s="89">
        <f>HYPERLINK("#'Boarding'!A4","▲ tracker")</f>
        <v/>
      </c>
      <c r="K12" s="90" t="inlineStr">
        <is>
          <t>Assessment Outcome</t>
        </is>
      </c>
    </row>
    <row r="13" ht="18" customHeight="1" s="52">
      <c r="A13" s="91" t="inlineStr">
        <is>
          <t>#</t>
        </is>
      </c>
      <c r="B13" s="91" t="inlineStr">
        <is>
          <t>Platform</t>
        </is>
      </c>
      <c r="C13" s="91" t="inlineStr">
        <is>
          <t>State</t>
        </is>
      </c>
      <c r="D13" s="91" t="inlineStr">
        <is>
          <t>Imperative to exit</t>
        </is>
      </c>
      <c r="E13" s="91" t="inlineStr">
        <is>
          <t>Exit complexity</t>
        </is>
      </c>
      <c r="F13" s="91" t="inlineStr">
        <is>
          <t>Supporting facts</t>
        </is>
      </c>
      <c r="G13" s="91" t="inlineStr">
        <is>
          <t>Tranche (auto)</t>
        </is>
      </c>
      <c r="K13" s="92" t="inlineStr">
        <is>
          <t>Low</t>
        </is>
      </c>
      <c r="L13" s="92" t="inlineStr">
        <is>
          <t>Medium</t>
        </is>
      </c>
      <c r="M13" s="92" t="inlineStr">
        <is>
          <t>High</t>
        </is>
      </c>
    </row>
    <row r="14" ht="20" customHeight="1" s="52">
      <c r="A14" s="93" t="inlineStr">
        <is>
          <t>①</t>
        </is>
      </c>
      <c r="B14" s="94" t="inlineStr">
        <is>
          <t>Launchpad</t>
        </is>
      </c>
      <c r="C14" s="73" t="inlineStr">
        <is>
          <t>Target state</t>
        </is>
      </c>
      <c r="D14" s="73" t="n"/>
      <c r="E14" s="73" t="n"/>
      <c r="F14" s="72" t="n"/>
      <c r="G14" s="95">
        <f>IF(OR($B14="",$D14="",$E14=""),"",IF(OR($C14="Target state",$C14="Exception"),"Out of scope",IF($D14="Low","No tranche",IF($E14="Low","Tranche 1",IF($E14="Medium","Tranche 2",IF($D14="High","Tranche 3","No tranche"))))))</f>
        <v/>
      </c>
      <c r="I14" s="96" t="inlineStr">
        <is>
          <t>Benefits</t>
        </is>
      </c>
      <c r="J14" s="97" t="inlineStr">
        <is>
          <t>High</t>
        </is>
      </c>
      <c r="K14" s="98">
        <f>"Tranche 1"&amp;CHAR(10)&amp;_xlfn.TEXTJOIN(CHAR(10),TRUE,O$14:O$39)</f>
        <v/>
      </c>
      <c r="L14" s="99">
        <f>"Tranche 2"&amp;CHAR(10)&amp;_xlfn.TEXTJOIN(CHAR(10),TRUE,P$14:P$39)</f>
        <v/>
      </c>
      <c r="M14" s="100">
        <f>"Tranche 3"&amp;CHAR(10)&amp;_xlfn.TEXTJOIN(CHAR(10),TRUE,Q$14:Q$39)</f>
        <v/>
      </c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36" customHeight="1" s="52">
      <c r="A15" s="93" t="inlineStr">
        <is>
          <t>②</t>
        </is>
      </c>
      <c r="B15" s="94" t="inlineStr">
        <is>
          <t>ELAPP</t>
        </is>
      </c>
      <c r="C15" s="73" t="inlineStr">
        <is>
          <t>Non-target state</t>
        </is>
      </c>
      <c r="D15" s="73" t="n"/>
      <c r="E15" s="73" t="n"/>
      <c r="F15" s="72" t="inlineStr">
        <is>
          <t>Non-strategic TSYS Broomfield boarding application covering about 178K merchants; around $835K in yearly cost; replaced by Base CRM and IDGen under ECHO</t>
        </is>
      </c>
      <c r="G15" s="95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101" t="n"/>
      <c r="L15" s="101" t="n"/>
      <c r="M15" s="101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30" customHeight="1" s="52">
      <c r="A16" s="93" t="inlineStr">
        <is>
          <t>③</t>
        </is>
      </c>
      <c r="B16" s="94" t="inlineStr">
        <is>
          <t>Merchant Application Package (MAP)</t>
        </is>
      </c>
      <c r="C16" s="73" t="inlineStr">
        <is>
          <t>Non-target state</t>
        </is>
      </c>
      <c r="D16" s="73" t="n"/>
      <c r="E16" s="73" t="n"/>
      <c r="F16" s="72" t="inlineStr">
        <is>
          <t>Non-strategic Omaha boarding solution also used by CPay covering about 87K merchants; around $430K in yearly third-party cost</t>
        </is>
      </c>
      <c r="G16" s="95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101" t="n"/>
      <c r="L16" s="101" t="n"/>
      <c r="M16" s="101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36" customHeight="1" s="52">
      <c r="A17" s="93" t="inlineStr">
        <is>
          <t>④</t>
        </is>
      </c>
      <c r="B17" s="94" t="inlineStr">
        <is>
          <t>Central Station (CPay)</t>
        </is>
      </c>
      <c r="C17" s="73" t="inlineStr">
        <is>
          <t>Non-target state</t>
        </is>
      </c>
      <c r="D17" s="73" t="n"/>
      <c r="E17" s="73" t="n"/>
      <c r="F17" s="72" t="inlineStr">
        <is>
          <t>Non-strategic all-in-one business management platform for the Central Payments portfolio across 30K MIDs spanning sales, underwriting, boarding and service; about $360K in yearly cost</t>
        </is>
      </c>
      <c r="G17" s="95">
        <f>IF(OR($B17="",$D17="",$E17=""),"",IF(OR($C17="Target state",$C17="Exception"),"Out of scope",IF($D17="Low","No tranche",IF($E17="Low","Tranche 1",IF($E17="Medium","Tranche 2",IF($D17="High","Tranche 3","No tranche"))))))</f>
        <v/>
      </c>
      <c r="K17" s="101" t="n"/>
      <c r="L17" s="101" t="n"/>
      <c r="M17" s="101" t="n"/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36" customHeight="1" s="52">
      <c r="A18" s="93" t="inlineStr">
        <is>
          <t>⑤</t>
        </is>
      </c>
      <c r="B18" s="94" t="inlineStr">
        <is>
          <t>EVONow</t>
        </is>
      </c>
      <c r="C18" s="73" t="inlineStr">
        <is>
          <t>Non-target state</t>
        </is>
      </c>
      <c r="D18" s="73" t="n"/>
      <c r="E18" s="73" t="n"/>
      <c r="F18" s="72" t="inlineStr">
        <is>
          <t>Non-strategic partner and merchant online application feeding the underwriting system; about $150K in yearly cost; folds into the EVO simplification program</t>
        </is>
      </c>
      <c r="G18" s="95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101" t="n"/>
      <c r="L18" s="101" t="n"/>
      <c r="M18" s="101" t="n"/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36" customHeight="1" s="52">
      <c r="A19" s="93" t="inlineStr">
        <is>
          <t>⑥</t>
        </is>
      </c>
      <c r="B19" s="94" t="inlineStr">
        <is>
          <t>MOSS CA</t>
        </is>
      </c>
      <c r="C19" s="73" t="inlineStr">
        <is>
          <t>Non-target state</t>
        </is>
      </c>
      <c r="D19" s="73" t="n"/>
      <c r="E19" s="73" t="n"/>
      <c r="F19" s="72" t="inlineStr">
        <is>
          <t>Non-strategic boarding platform for the legacy GP Canada market with 2.3K active users; about $410K in yearly cost; repository flags initial disposition Keep &amp; Enhance — confirm with SPOC</t>
        </is>
      </c>
      <c r="G19" s="95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101" t="n"/>
      <c r="L19" s="101" t="n"/>
      <c r="M19" s="101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36" customHeight="1" s="52">
      <c r="A20" s="93" t="inlineStr">
        <is>
          <t>⑦</t>
        </is>
      </c>
      <c r="B20" s="94" t="inlineStr">
        <is>
          <t>MOSS AP</t>
        </is>
      </c>
      <c r="C20" s="73" t="inlineStr">
        <is>
          <t>Non-target state</t>
        </is>
      </c>
      <c r="D20" s="73" t="n"/>
      <c r="E20" s="73" t="n"/>
      <c r="F20" s="72" t="inlineStr">
        <is>
          <t>Non-strategic boarding platform for the legacy GP Asia Pacific market with about 230 active users; about $460K in yearly cost; repository flags initial disposition Keep &amp; Enhance — confirm with SPOC</t>
        </is>
      </c>
      <c r="G20" s="95">
        <f>IF(OR($B20="",$D20="",$E20=""),"",IF(OR($C20="Target state",$C20="Exception"),"Out of scope",IF($D20="Low","No tranche",IF($E20="Low","Tranche 1",IF($E20="Medium","Tranche 2",IF($D20="High","Tranche 3","No tranche"))))))</f>
        <v/>
      </c>
      <c r="K20" s="101" t="n"/>
      <c r="L20" s="101" t="n"/>
      <c r="M20" s="101" t="n"/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36" customHeight="1" s="52">
      <c r="A21" s="93" t="inlineStr">
        <is>
          <t>⑧</t>
        </is>
      </c>
      <c r="B21" s="94" t="inlineStr">
        <is>
          <t>MOSS UK</t>
        </is>
      </c>
      <c r="C21" s="73" t="inlineStr">
        <is>
          <t>Non-target state</t>
        </is>
      </c>
      <c r="D21" s="73" t="n"/>
      <c r="E21" s="73" t="n"/>
      <c r="F21" s="72" t="inlineStr">
        <is>
          <t>Non-strategic boarding platform for the legacy GP UK market with about 1.1K active users; about $990K in yearly cost; repository flags initial disposition Keep &amp; Enhance — confirm with SPOC</t>
        </is>
      </c>
      <c r="G21" s="95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101" t="n"/>
      <c r="L21" s="101" t="n"/>
      <c r="M21" s="101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30" customHeight="1" s="52">
      <c r="A22" s="93" t="inlineStr">
        <is>
          <t>⑨</t>
        </is>
      </c>
      <c r="B22" s="94" t="inlineStr">
        <is>
          <t>MOSS Mexico</t>
        </is>
      </c>
      <c r="C22" s="73" t="inlineStr">
        <is>
          <t>Non-target state</t>
        </is>
      </c>
      <c r="D22" s="73" t="n"/>
      <c r="E22" s="73" t="n"/>
      <c r="F22" s="72" t="inlineStr">
        <is>
          <t>Non-strategic boarding platform for the LATAM market; limited usage detail in the repository</t>
        </is>
      </c>
      <c r="G22" s="95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102" t="n"/>
      <c r="L22" s="102" t="n"/>
      <c r="M22" s="102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30" customHeight="1" s="52">
      <c r="A23" s="93" t="inlineStr">
        <is>
          <t>⑩</t>
        </is>
      </c>
      <c r="B23" s="94" t="inlineStr">
        <is>
          <t>i-Apply</t>
        </is>
      </c>
      <c r="C23" s="73" t="inlineStr">
        <is>
          <t>Non-target state</t>
        </is>
      </c>
      <c r="D23" s="73" t="n"/>
      <c r="E23" s="73" t="n"/>
      <c r="F23" s="72" t="inlineStr">
        <is>
          <t>Non-strategic application platform for NBG Pay serving all application types; to be replaced by e-service systems</t>
        </is>
      </c>
      <c r="G23" s="95">
        <f>IF(OR($B23="",$D23="",$E23=""),"",IF(OR($C23="Target state",$C23="Exception"),"Out of scope",IF($D23="Low","No tranche",IF($E23="Low","Tranche 1",IF($E23="Medium","Tranche 2",IF($D23="High","Tranche 3","No tranche"))))))</f>
        <v/>
      </c>
      <c r="J23" s="97" t="inlineStr">
        <is>
          <t>Medium</t>
        </is>
      </c>
      <c r="K23" s="98">
        <f>"Tranche 1"&amp;CHAR(10)&amp;_xlfn.TEXTJOIN(CHAR(10),TRUE,R$14:R$39)</f>
        <v/>
      </c>
      <c r="L23" s="99">
        <f>"Tranche 2"&amp;CHAR(10)&amp;_xlfn.TEXTJOIN(CHAR(10),TRUE,S$14:S$39)</f>
        <v/>
      </c>
      <c r="M23" s="103">
        <f>_xlfn.TEXTJOIN(CHAR(10),TRUE,T$14:T$39)</f>
        <v/>
      </c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4" ht="30" customHeight="1" s="52">
      <c r="A24" s="93" t="inlineStr">
        <is>
          <t>⑪</t>
        </is>
      </c>
      <c r="B24" s="94" t="inlineStr">
        <is>
          <t>MVSI Onboard</t>
        </is>
      </c>
      <c r="C24" s="73" t="inlineStr">
        <is>
          <t>Non-target state</t>
        </is>
      </c>
      <c r="D24" s="73" t="n"/>
      <c r="E24" s="73" t="n"/>
      <c r="F24" s="72" t="inlineStr">
        <is>
          <t>Non-strategic onboarding platform for a subset of Ezidebit clients; about $50K in yearly licence cost; confirmed for decommission</t>
        </is>
      </c>
      <c r="G24" s="95">
        <f>IF(OR($B24="",$D24="",$E24=""),"",IF(OR($C24="Target state",$C24="Exception"),"Out of scope",IF($D24="Low","No tranche",IF($E24="Low","Tranche 1",IF($E24="Medium","Tranche 2",IF($D24="High","Tranche 3","No tranche"))))))</f>
        <v/>
      </c>
      <c r="K24" s="101" t="n"/>
      <c r="L24" s="101" t="n"/>
      <c r="M24" s="101" t="n"/>
      <c r="O24">
        <f>IF(AND($B24&lt;&gt;"",$C24&lt;&gt;"Target state",$C24&lt;&gt;"Exception",$D24="High",$E24="Low"),$A24&amp;"  "&amp;$B24,"")</f>
        <v/>
      </c>
      <c r="P24">
        <f>IF(AND($B24&lt;&gt;"",$C24&lt;&gt;"Target state",$C24&lt;&gt;"Exception",$D24="High",$E24="Medium"),$A24&amp;"  "&amp;$B24,"")</f>
        <v/>
      </c>
      <c r="Q24">
        <f>IF(AND($B24&lt;&gt;"",$C24&lt;&gt;"Target state",$C24&lt;&gt;"Exception",$D24="High",$E24="High"),$A24&amp;"  "&amp;$B24,"")</f>
        <v/>
      </c>
      <c r="R24">
        <f>IF(AND($B24&lt;&gt;"",$C24&lt;&gt;"Target state",$C24&lt;&gt;"Exception",$D24="Medium",$E24="Low"),$A24&amp;"  "&amp;$B24,"")</f>
        <v/>
      </c>
      <c r="S24">
        <f>IF(AND($B24&lt;&gt;"",$C24&lt;&gt;"Target state",$C24&lt;&gt;"Exception",$D24="Medium",$E24="Medium"),$A24&amp;"  "&amp;$B24,"")</f>
        <v/>
      </c>
      <c r="T24">
        <f>IF(AND($B24&lt;&gt;"",$C24&lt;&gt;"Target state",$C24&lt;&gt;"Exception",$D24="Medium",$E24="High"),$A24&amp;"  "&amp;$B24,"")</f>
        <v/>
      </c>
      <c r="U24">
        <f>IF(AND($B24&lt;&gt;"",$C24&lt;&gt;"Target state",$C24&lt;&gt;"Exception",$D24="Low",$E24="Low"),$A24&amp;"  "&amp;$B24,"")</f>
        <v/>
      </c>
      <c r="V24">
        <f>IF(AND($B24&lt;&gt;"",$C24&lt;&gt;"Target state",$C24&lt;&gt;"Exception",$D24="Low",$E24="Medium"),$A24&amp;"  "&amp;$B24,"")</f>
        <v/>
      </c>
      <c r="W24">
        <f>IF(AND($B24&lt;&gt;"",$C24&lt;&gt;"Target state",$C24&lt;&gt;"Exception",$D24="Low",$E24="High"),$A24&amp;"  "&amp;$B24,"")</f>
        <v/>
      </c>
    </row>
    <row r="25" ht="30" customHeight="1" s="52">
      <c r="A25" s="93" t="inlineStr">
        <is>
          <t>⑫</t>
        </is>
      </c>
      <c r="B25" s="94" t="inlineStr">
        <is>
          <t>Online Boarding Portal</t>
        </is>
      </c>
      <c r="C25" s="73" t="inlineStr">
        <is>
          <t>Non-target state</t>
        </is>
      </c>
      <c r="D25" s="73" t="n"/>
      <c r="E25" s="73" t="n"/>
      <c r="F25" s="72" t="inlineStr">
        <is>
          <t>Non-strategic legacy Heartland and Portico boarding front end for partners feeding Instant Boarding</t>
        </is>
      </c>
      <c r="G25" s="95">
        <f>IF(OR($B25="",$D25="",$E25=""),"",IF(OR($C25="Target state",$C25="Exception"),"Out of scope",IF($D25="Low","No tranche",IF($E25="Low","Tranche 1",IF($E25="Medium","Tranche 2",IF($D25="High","Tranche 3","No tranche"))))))</f>
        <v/>
      </c>
      <c r="K25" s="101" t="n"/>
      <c r="L25" s="101" t="n"/>
      <c r="M25" s="101" t="n"/>
      <c r="O25">
        <f>IF(AND($B25&lt;&gt;"",$C25&lt;&gt;"Target state",$C25&lt;&gt;"Exception",$D25="High",$E25="Low"),$A25&amp;"  "&amp;$B25,"")</f>
        <v/>
      </c>
      <c r="P25">
        <f>IF(AND($B25&lt;&gt;"",$C25&lt;&gt;"Target state",$C25&lt;&gt;"Exception",$D25="High",$E25="Medium"),$A25&amp;"  "&amp;$B25,"")</f>
        <v/>
      </c>
      <c r="Q25">
        <f>IF(AND($B25&lt;&gt;"",$C25&lt;&gt;"Target state",$C25&lt;&gt;"Exception",$D25="High",$E25="High"),$A25&amp;"  "&amp;$B25,"")</f>
        <v/>
      </c>
      <c r="R25">
        <f>IF(AND($B25&lt;&gt;"",$C25&lt;&gt;"Target state",$C25&lt;&gt;"Exception",$D25="Medium",$E25="Low"),$A25&amp;"  "&amp;$B25,"")</f>
        <v/>
      </c>
      <c r="S25">
        <f>IF(AND($B25&lt;&gt;"",$C25&lt;&gt;"Target state",$C25&lt;&gt;"Exception",$D25="Medium",$E25="Medium"),$A25&amp;"  "&amp;$B25,"")</f>
        <v/>
      </c>
      <c r="T25">
        <f>IF(AND($B25&lt;&gt;"",$C25&lt;&gt;"Target state",$C25&lt;&gt;"Exception",$D25="Medium",$E25="High"),$A25&amp;"  "&amp;$B25,"")</f>
        <v/>
      </c>
      <c r="U25">
        <f>IF(AND($B25&lt;&gt;"",$C25&lt;&gt;"Target state",$C25&lt;&gt;"Exception",$D25="Low",$E25="Low"),$A25&amp;"  "&amp;$B25,"")</f>
        <v/>
      </c>
      <c r="V25">
        <f>IF(AND($B25&lt;&gt;"",$C25&lt;&gt;"Target state",$C25&lt;&gt;"Exception",$D25="Low",$E25="Medium"),$A25&amp;"  "&amp;$B25,"")</f>
        <v/>
      </c>
      <c r="W25">
        <f>IF(AND($B25&lt;&gt;"",$C25&lt;&gt;"Target state",$C25&lt;&gt;"Exception",$D25="Low",$E25="High"),$A25&amp;"  "&amp;$B25,"")</f>
        <v/>
      </c>
    </row>
    <row r="26" ht="30" customHeight="1" s="52">
      <c r="A26" s="93" t="inlineStr">
        <is>
          <t>⑬</t>
        </is>
      </c>
      <c r="B26" s="94" t="inlineStr">
        <is>
          <t>Rapid Activation</t>
        </is>
      </c>
      <c r="C26" s="73" t="inlineStr">
        <is>
          <t>Non-target state</t>
        </is>
      </c>
      <c r="D26" s="73" t="n"/>
      <c r="E26" s="73" t="n"/>
      <c r="F26" s="72" t="inlineStr">
        <is>
          <t>Non-strategic legacy GPI boarding for partners and sales users with modest monthly boarding volume</t>
        </is>
      </c>
      <c r="G26" s="95">
        <f>IF(OR($B26="",$D26="",$E26=""),"",IF(OR($C26="Target state",$C26="Exception"),"Out of scope",IF($D26="Low","No tranche",IF($E26="Low","Tranche 1",IF($E26="Medium","Tranche 2",IF($D26="High","Tranche 3","No tranche"))))))</f>
        <v/>
      </c>
      <c r="K26" s="101" t="n"/>
      <c r="L26" s="101" t="n"/>
      <c r="M26" s="101" t="n"/>
      <c r="O26">
        <f>IF(AND($B26&lt;&gt;"",$C26&lt;&gt;"Target state",$C26&lt;&gt;"Exception",$D26="High",$E26="Low"),$A26&amp;"  "&amp;$B26,"")</f>
        <v/>
      </c>
      <c r="P26">
        <f>IF(AND($B26&lt;&gt;"",$C26&lt;&gt;"Target state",$C26&lt;&gt;"Exception",$D26="High",$E26="Medium"),$A26&amp;"  "&amp;$B26,"")</f>
        <v/>
      </c>
      <c r="Q26">
        <f>IF(AND($B26&lt;&gt;"",$C26&lt;&gt;"Target state",$C26&lt;&gt;"Exception",$D26="High",$E26="High"),$A26&amp;"  "&amp;$B26,"")</f>
        <v/>
      </c>
      <c r="R26">
        <f>IF(AND($B26&lt;&gt;"",$C26&lt;&gt;"Target state",$C26&lt;&gt;"Exception",$D26="Medium",$E26="Low"),$A26&amp;"  "&amp;$B26,"")</f>
        <v/>
      </c>
      <c r="S26">
        <f>IF(AND($B26&lt;&gt;"",$C26&lt;&gt;"Target state",$C26&lt;&gt;"Exception",$D26="Medium",$E26="Medium"),$A26&amp;"  "&amp;$B26,"")</f>
        <v/>
      </c>
      <c r="T26">
        <f>IF(AND($B26&lt;&gt;"",$C26&lt;&gt;"Target state",$C26&lt;&gt;"Exception",$D26="Medium",$E26="High"),$A26&amp;"  "&amp;$B26,"")</f>
        <v/>
      </c>
      <c r="U26">
        <f>IF(AND($B26&lt;&gt;"",$C26&lt;&gt;"Target state",$C26&lt;&gt;"Exception",$D26="Low",$E26="Low"),$A26&amp;"  "&amp;$B26,"")</f>
        <v/>
      </c>
      <c r="V26">
        <f>IF(AND($B26&lt;&gt;"",$C26&lt;&gt;"Target state",$C26&lt;&gt;"Exception",$D26="Low",$E26="Medium"),$A26&amp;"  "&amp;$B26,"")</f>
        <v/>
      </c>
      <c r="W26">
        <f>IF(AND($B26&lt;&gt;"",$C26&lt;&gt;"Target state",$C26&lt;&gt;"Exception",$D26="Low",$E26="High"),$A26&amp;"  "&amp;$B26,"")</f>
        <v/>
      </c>
    </row>
    <row r="27" ht="30" customHeight="1" s="52">
      <c r="A27" s="93" t="inlineStr">
        <is>
          <t>⑭</t>
        </is>
      </c>
      <c r="B27" s="94" t="inlineStr">
        <is>
          <t>Hermes</t>
        </is>
      </c>
      <c r="C27" s="73" t="inlineStr">
        <is>
          <t>Non-target state</t>
        </is>
      </c>
      <c r="D27" s="73" t="n"/>
      <c r="E27" s="73" t="n"/>
      <c r="F27" s="72" t="inlineStr">
        <is>
          <t>Non-strategic third-party boarding system for Czech bank advisors and sales reps; about 26K clients processed; modest annual cost</t>
        </is>
      </c>
      <c r="G27" s="95">
        <f>IF(OR($B27="",$D27="",$E27=""),"",IF(OR($C27="Target state",$C27="Exception"),"Out of scope",IF($D27="Low","No tranche",IF($E27="Low","Tranche 1",IF($E27="Medium","Tranche 2",IF($D27="High","Tranche 3","No tranche"))))))</f>
        <v/>
      </c>
      <c r="K27" s="101" t="n"/>
      <c r="L27" s="101" t="n"/>
      <c r="M27" s="101" t="n"/>
      <c r="O27">
        <f>IF(AND($B27&lt;&gt;"",$C27&lt;&gt;"Target state",$C27&lt;&gt;"Exception",$D27="High",$E27="Low"),$A27&amp;"  "&amp;$B27,"")</f>
        <v/>
      </c>
      <c r="P27">
        <f>IF(AND($B27&lt;&gt;"",$C27&lt;&gt;"Target state",$C27&lt;&gt;"Exception",$D27="High",$E27="Medium"),$A27&amp;"  "&amp;$B27,"")</f>
        <v/>
      </c>
      <c r="Q27">
        <f>IF(AND($B27&lt;&gt;"",$C27&lt;&gt;"Target state",$C27&lt;&gt;"Exception",$D27="High",$E27="High"),$A27&amp;"  "&amp;$B27,"")</f>
        <v/>
      </c>
      <c r="R27">
        <f>IF(AND($B27&lt;&gt;"",$C27&lt;&gt;"Target state",$C27&lt;&gt;"Exception",$D27="Medium",$E27="Low"),$A27&amp;"  "&amp;$B27,"")</f>
        <v/>
      </c>
      <c r="S27">
        <f>IF(AND($B27&lt;&gt;"",$C27&lt;&gt;"Target state",$C27&lt;&gt;"Exception",$D27="Medium",$E27="Medium"),$A27&amp;"  "&amp;$B27,"")</f>
        <v/>
      </c>
      <c r="T27">
        <f>IF(AND($B27&lt;&gt;"",$C27&lt;&gt;"Target state",$C27&lt;&gt;"Exception",$D27="Medium",$E27="High"),$A27&amp;"  "&amp;$B27,"")</f>
        <v/>
      </c>
      <c r="U27">
        <f>IF(AND($B27&lt;&gt;"",$C27&lt;&gt;"Target state",$C27&lt;&gt;"Exception",$D27="Low",$E27="Low"),$A27&amp;"  "&amp;$B27,"")</f>
        <v/>
      </c>
      <c r="V27">
        <f>IF(AND($B27&lt;&gt;"",$C27&lt;&gt;"Target state",$C27&lt;&gt;"Exception",$D27="Low",$E27="Medium"),$A27&amp;"  "&amp;$B27,"")</f>
        <v/>
      </c>
      <c r="W27">
        <f>IF(AND($B27&lt;&gt;"",$C27&lt;&gt;"Target state",$C27&lt;&gt;"Exception",$D27="Low",$E27="High"),$A27&amp;"  "&amp;$B27,"")</f>
        <v/>
      </c>
    </row>
    <row r="28" ht="30" customHeight="1" s="52">
      <c r="A28" s="93" t="inlineStr">
        <is>
          <t>⑮</t>
        </is>
      </c>
      <c r="B28" s="94" t="inlineStr">
        <is>
          <t>Portico Website (POS Gateway)</t>
        </is>
      </c>
      <c r="C28" s="73" t="inlineStr">
        <is>
          <t>Non-target state</t>
        </is>
      </c>
      <c r="D28" s="73" t="n"/>
      <c r="E28" s="73" t="n"/>
      <c r="F28" s="72" t="inlineStr">
        <is>
          <t>Non-strategic internal UI for manual Portico boarding, configuration and research across US, Canada and UK portfolios</t>
        </is>
      </c>
      <c r="G28" s="95">
        <f>IF(OR($B28="",$D28="",$E28=""),"",IF(OR($C28="Target state",$C28="Exception"),"Out of scope",IF($D28="Low","No tranche",IF($E28="Low","Tranche 1",IF($E28="Medium","Tranche 2",IF($D28="High","Tranche 3","No tranche"))))))</f>
        <v/>
      </c>
      <c r="K28" s="101" t="n"/>
      <c r="L28" s="101" t="n"/>
      <c r="M28" s="101" t="n"/>
      <c r="O28">
        <f>IF(AND($B28&lt;&gt;"",$C28&lt;&gt;"Target state",$C28&lt;&gt;"Exception",$D28="High",$E28="Low"),$A28&amp;"  "&amp;$B28,"")</f>
        <v/>
      </c>
      <c r="P28">
        <f>IF(AND($B28&lt;&gt;"",$C28&lt;&gt;"Target state",$C28&lt;&gt;"Exception",$D28="High",$E28="Medium"),$A28&amp;"  "&amp;$B28,"")</f>
        <v/>
      </c>
      <c r="Q28">
        <f>IF(AND($B28&lt;&gt;"",$C28&lt;&gt;"Target state",$C28&lt;&gt;"Exception",$D28="High",$E28="High"),$A28&amp;"  "&amp;$B28,"")</f>
        <v/>
      </c>
      <c r="R28">
        <f>IF(AND($B28&lt;&gt;"",$C28&lt;&gt;"Target state",$C28&lt;&gt;"Exception",$D28="Medium",$E28="Low"),$A28&amp;"  "&amp;$B28,"")</f>
        <v/>
      </c>
      <c r="S28">
        <f>IF(AND($B28&lt;&gt;"",$C28&lt;&gt;"Target state",$C28&lt;&gt;"Exception",$D28="Medium",$E28="Medium"),$A28&amp;"  "&amp;$B28,"")</f>
        <v/>
      </c>
      <c r="T28">
        <f>IF(AND($B28&lt;&gt;"",$C28&lt;&gt;"Target state",$C28&lt;&gt;"Exception",$D28="Medium",$E28="High"),$A28&amp;"  "&amp;$B28,"")</f>
        <v/>
      </c>
      <c r="U28">
        <f>IF(AND($B28&lt;&gt;"",$C28&lt;&gt;"Target state",$C28&lt;&gt;"Exception",$D28="Low",$E28="Low"),$A28&amp;"  "&amp;$B28,"")</f>
        <v/>
      </c>
      <c r="V28">
        <f>IF(AND($B28&lt;&gt;"",$C28&lt;&gt;"Target state",$C28&lt;&gt;"Exception",$D28="Low",$E28="Medium"),$A28&amp;"  "&amp;$B28,"")</f>
        <v/>
      </c>
      <c r="W28">
        <f>IF(AND($B28&lt;&gt;"",$C28&lt;&gt;"Target state",$C28&lt;&gt;"Exception",$D28="Low",$E28="High"),$A28&amp;"  "&amp;$B28,"")</f>
        <v/>
      </c>
    </row>
    <row r="29" ht="30" customHeight="1" s="52">
      <c r="A29" s="93" t="inlineStr">
        <is>
          <t>⑯</t>
        </is>
      </c>
      <c r="B29" s="94" t="inlineStr">
        <is>
          <t>NetSuite (Cayan)</t>
        </is>
      </c>
      <c r="C29" s="73" t="inlineStr">
        <is>
          <t>Non-target state</t>
        </is>
      </c>
      <c r="D29" s="73" t="n"/>
      <c r="E29" s="73" t="n"/>
      <c r="F29" s="72" t="inlineStr">
        <is>
          <t>Non-strategic SaaS boarding and servicing customization for the Cayan portfolio with about 670 users; around $670K in yearly cost</t>
        </is>
      </c>
      <c r="G29" s="95">
        <f>IF(OR($B29="",$D29="",$E29=""),"",IF(OR($C29="Target state",$C29="Exception"),"Out of scope",IF($D29="Low","No tranche",IF($E29="Low","Tranche 1",IF($E29="Medium","Tranche 2",IF($D29="High","Tranche 3","No tranche"))))))</f>
        <v/>
      </c>
      <c r="K29" s="101" t="n"/>
      <c r="L29" s="101" t="n"/>
      <c r="M29" s="101" t="n"/>
      <c r="O29">
        <f>IF(AND($B29&lt;&gt;"",$C29&lt;&gt;"Target state",$C29&lt;&gt;"Exception",$D29="High",$E29="Low"),$A29&amp;"  "&amp;$B29,"")</f>
        <v/>
      </c>
      <c r="P29">
        <f>IF(AND($B29&lt;&gt;"",$C29&lt;&gt;"Target state",$C29&lt;&gt;"Exception",$D29="High",$E29="Medium"),$A29&amp;"  "&amp;$B29,"")</f>
        <v/>
      </c>
      <c r="Q29">
        <f>IF(AND($B29&lt;&gt;"",$C29&lt;&gt;"Target state",$C29&lt;&gt;"Exception",$D29="High",$E29="High"),$A29&amp;"  "&amp;$B29,"")</f>
        <v/>
      </c>
      <c r="R29">
        <f>IF(AND($B29&lt;&gt;"",$C29&lt;&gt;"Target state",$C29&lt;&gt;"Exception",$D29="Medium",$E29="Low"),$A29&amp;"  "&amp;$B29,"")</f>
        <v/>
      </c>
      <c r="S29">
        <f>IF(AND($B29&lt;&gt;"",$C29&lt;&gt;"Target state",$C29&lt;&gt;"Exception",$D29="Medium",$E29="Medium"),$A29&amp;"  "&amp;$B29,"")</f>
        <v/>
      </c>
      <c r="T29">
        <f>IF(AND($B29&lt;&gt;"",$C29&lt;&gt;"Target state",$C29&lt;&gt;"Exception",$D29="Medium",$E29="High"),$A29&amp;"  "&amp;$B29,"")</f>
        <v/>
      </c>
      <c r="U29">
        <f>IF(AND($B29&lt;&gt;"",$C29&lt;&gt;"Target state",$C29&lt;&gt;"Exception",$D29="Low",$E29="Low"),$A29&amp;"  "&amp;$B29,"")</f>
        <v/>
      </c>
      <c r="V29">
        <f>IF(AND($B29&lt;&gt;"",$C29&lt;&gt;"Target state",$C29&lt;&gt;"Exception",$D29="Low",$E29="Medium"),$A29&amp;"  "&amp;$B29,"")</f>
        <v/>
      </c>
      <c r="W29">
        <f>IF(AND($B29&lt;&gt;"",$C29&lt;&gt;"Target state",$C29&lt;&gt;"Exception",$D29="Low",$E29="High"),$A29&amp;"  "&amp;$B29,"")</f>
        <v/>
      </c>
    </row>
    <row r="30" ht="30" customHeight="1" s="52">
      <c r="A30" s="93" t="inlineStr">
        <is>
          <t>⑰</t>
        </is>
      </c>
      <c r="B30" s="94" t="inlineStr">
        <is>
          <t>Payroll CRM</t>
        </is>
      </c>
      <c r="C30" s="73" t="inlineStr">
        <is>
          <t>Non-target state</t>
        </is>
      </c>
      <c r="D30" s="73" t="n"/>
      <c r="E30" s="73" t="n"/>
      <c r="F30" s="72" t="inlineStr">
        <is>
          <t>Non-strategic boarding system for payroll clients with about 150 users; modest annual cost</t>
        </is>
      </c>
      <c r="G30" s="95">
        <f>IF(OR($B30="",$D30="",$E30=""),"",IF(OR($C30="Target state",$C30="Exception"),"Out of scope",IF($D30="Low","No tranche",IF($E30="Low","Tranche 1",IF($E30="Medium","Tranche 2",IF($D30="High","Tranche 3","No tranche"))))))</f>
        <v/>
      </c>
      <c r="K30" s="101" t="n"/>
      <c r="L30" s="101" t="n"/>
      <c r="M30" s="101" t="n"/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30" customHeight="1" s="52">
      <c r="A31" s="93" t="inlineStr">
        <is>
          <t>⑱</t>
        </is>
      </c>
      <c r="B31" s="94" t="inlineStr">
        <is>
          <t>eContracts</t>
        </is>
      </c>
      <c r="C31" s="73" t="inlineStr">
        <is>
          <t>Non-target state</t>
        </is>
      </c>
      <c r="D31" s="73" t="n"/>
      <c r="E31" s="73" t="n"/>
      <c r="F31" s="72" t="inlineStr">
        <is>
          <t>Non-strategic merchant agreement and eSignature generation used in Poland; about 78K merchants processed; modest annual cost</t>
        </is>
      </c>
      <c r="G31" s="95">
        <f>IF(OR($B31="",$D31="",$E31=""),"",IF(OR($C31="Target state",$C31="Exception"),"Out of scope",IF($D31="Low","No tranche",IF($E31="Low","Tranche 1",IF($E31="Medium","Tranche 2",IF($D31="High","Tranche 3","No tranche"))))))</f>
        <v/>
      </c>
      <c r="K31" s="102" t="n"/>
      <c r="L31" s="102" t="n"/>
      <c r="M31" s="102" t="n"/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30" customHeight="1" s="52">
      <c r="A32" s="93" t="inlineStr">
        <is>
          <t>⑲</t>
        </is>
      </c>
      <c r="B32" s="94" t="inlineStr">
        <is>
          <t>AssureSign</t>
        </is>
      </c>
      <c r="C32" s="73" t="inlineStr">
        <is>
          <t>Non-target state</t>
        </is>
      </c>
      <c r="D32" s="73" t="n"/>
      <c r="E32" s="73" t="n"/>
      <c r="F32" s="72" t="inlineStr">
        <is>
          <t>Third-party eSignature vendor for ELAPP priced per document; follows the ELAPP replacement path</t>
        </is>
      </c>
      <c r="G32" s="95">
        <f>IF(OR($B32="",$D32="",$E32=""),"",IF(OR($C32="Target state",$C32="Exception"),"Out of scope",IF($D32="Low","No tranche",IF($E32="Low","Tranche 1",IF($E32="Medium","Tranche 2",IF($D32="High","Tranche 3","No tranche"))))))</f>
        <v/>
      </c>
      <c r="J32" s="97" t="inlineStr">
        <is>
          <t>Low</t>
        </is>
      </c>
      <c r="K32" s="103">
        <f>_xlfn.TEXTJOIN(CHAR(10),TRUE,U$14:U$39)</f>
        <v/>
      </c>
      <c r="L32" s="103">
        <f>_xlfn.TEXTJOIN(CHAR(10),TRUE,V$14:V$39)</f>
        <v/>
      </c>
      <c r="M32" s="103">
        <f>_xlfn.TEXTJOIN(CHAR(10),TRUE,W$14:W$39)</f>
        <v/>
      </c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30" customHeight="1" s="52">
      <c r="A33" s="93" t="inlineStr">
        <is>
          <t>⑳</t>
        </is>
      </c>
      <c r="B33" s="94" t="inlineStr">
        <is>
          <t>Agreement Express</t>
        </is>
      </c>
      <c r="C33" s="73" t="inlineStr">
        <is>
          <t>Non-target state</t>
        </is>
      </c>
      <c r="D33" s="73" t="n"/>
      <c r="E33" s="73" t="n"/>
      <c r="F33" s="72" t="inlineStr">
        <is>
          <t>Third-party eSignature tool used by the Cayan NetSuite boarding flow; on the decommission path</t>
        </is>
      </c>
      <c r="G33" s="95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101" t="n"/>
      <c r="L33" s="101" t="n"/>
      <c r="M33" s="101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30" customHeight="1" s="52">
      <c r="A34" s="93" t="inlineStr">
        <is>
          <t>㉑</t>
        </is>
      </c>
      <c r="B34" s="94" t="inlineStr">
        <is>
          <t>Switch</t>
        </is>
      </c>
      <c r="C34" s="73" t="inlineStr">
        <is>
          <t>Non-target state</t>
        </is>
      </c>
      <c r="D34" s="73" t="n"/>
      <c r="E34" s="73" t="n"/>
      <c r="F34" s="72" t="inlineStr">
        <is>
          <t>Non-strategic boarding system for the Mainstream portfolio acquisition processing on the legacy TSYS stack; confirmed for decommission</t>
        </is>
      </c>
      <c r="G34" s="95">
        <f>IF(OR($B34="",$D34="",$E34=""),"",IF(OR($C34="Target state",$C34="Exception"),"Out of scope",IF($D34="Low","No tranche",IF($E34="Low","Tranche 1",IF($E34="Medium","Tranche 2",IF($D34="High","Tranche 3","No tranche"))))))</f>
        <v/>
      </c>
      <c r="K34" s="101" t="n"/>
      <c r="L34" s="101" t="n"/>
      <c r="M34" s="101" t="n"/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36" customHeight="1" s="52">
      <c r="A35" s="93" t="inlineStr">
        <is>
          <t>㉒</t>
        </is>
      </c>
      <c r="B35" s="94" t="inlineStr">
        <is>
          <t>Fi911</t>
        </is>
      </c>
      <c r="C35" s="73" t="inlineStr">
        <is>
          <t>Non-target state</t>
        </is>
      </c>
      <c r="D35" s="73" t="n"/>
      <c r="E35" s="73" t="n"/>
      <c r="F35" s="72" t="inlineStr">
        <is>
          <t>Third-party boarding and deployment platform supporting the NCR portfolio and Jumpman; about $240K in yearly cost; strategy is to move to in-house boarding</t>
        </is>
      </c>
      <c r="G35" s="95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101" t="n"/>
      <c r="L35" s="101" t="n"/>
      <c r="M35" s="101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20" customHeight="1" s="52">
      <c r="A36" s="93" t="inlineStr">
        <is>
          <t>㉓</t>
        </is>
      </c>
      <c r="B36" s="94" t="n"/>
      <c r="C36" s="73" t="n"/>
      <c r="D36" s="73" t="n"/>
      <c r="E36" s="73" t="n"/>
      <c r="F36" s="72" t="n"/>
      <c r="G36" s="95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101" t="n"/>
      <c r="L36" s="101" t="n"/>
      <c r="M36" s="101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 ht="20" customHeight="1" s="52">
      <c r="A37" s="93" t="inlineStr">
        <is>
          <t>㉔</t>
        </is>
      </c>
      <c r="B37" s="94" t="n"/>
      <c r="C37" s="73" t="n"/>
      <c r="D37" s="73" t="n"/>
      <c r="E37" s="73" t="n"/>
      <c r="F37" s="72" t="n"/>
      <c r="G37" s="95">
        <f>IF(OR($B37="",$D37="",$E37=""),"",IF(OR($C37="Target state",$C37="Exception"),"Out of scope",IF($D37="Low","No tranche",IF($E37="Low","Tranche 1",IF($E37="Medium","Tranche 2",IF($D37="High","Tranche 3","No tranche"))))))</f>
        <v/>
      </c>
      <c r="K37" s="101" t="n"/>
      <c r="L37" s="101" t="n"/>
      <c r="M37" s="101" t="n"/>
      <c r="O37">
        <f>IF(AND($B37&lt;&gt;"",$C37&lt;&gt;"Target state",$C37&lt;&gt;"Exception",$D37="High",$E37="Low"),$A37&amp;"  "&amp;$B37,"")</f>
        <v/>
      </c>
      <c r="P37">
        <f>IF(AND($B37&lt;&gt;"",$C37&lt;&gt;"Target state",$C37&lt;&gt;"Exception",$D37="High",$E37="Medium"),$A37&amp;"  "&amp;$B37,"")</f>
        <v/>
      </c>
      <c r="Q37">
        <f>IF(AND($B37&lt;&gt;"",$C37&lt;&gt;"Target state",$C37&lt;&gt;"Exception",$D37="High",$E37="High"),$A37&amp;"  "&amp;$B37,"")</f>
        <v/>
      </c>
      <c r="R37">
        <f>IF(AND($B37&lt;&gt;"",$C37&lt;&gt;"Target state",$C37&lt;&gt;"Exception",$D37="Medium",$E37="Low"),$A37&amp;"  "&amp;$B37,"")</f>
        <v/>
      </c>
      <c r="S37">
        <f>IF(AND($B37&lt;&gt;"",$C37&lt;&gt;"Target state",$C37&lt;&gt;"Exception",$D37="Medium",$E37="Medium"),$A37&amp;"  "&amp;$B37,"")</f>
        <v/>
      </c>
      <c r="T37">
        <f>IF(AND($B37&lt;&gt;"",$C37&lt;&gt;"Target state",$C37&lt;&gt;"Exception",$D37="Medium",$E37="High"),$A37&amp;"  "&amp;$B37,"")</f>
        <v/>
      </c>
      <c r="U37">
        <f>IF(AND($B37&lt;&gt;"",$C37&lt;&gt;"Target state",$C37&lt;&gt;"Exception",$D37="Low",$E37="Low"),$A37&amp;"  "&amp;$B37,"")</f>
        <v/>
      </c>
      <c r="V37">
        <f>IF(AND($B37&lt;&gt;"",$C37&lt;&gt;"Target state",$C37&lt;&gt;"Exception",$D37="Low",$E37="Medium"),$A37&amp;"  "&amp;$B37,"")</f>
        <v/>
      </c>
      <c r="W37">
        <f>IF(AND($B37&lt;&gt;"",$C37&lt;&gt;"Target state",$C37&lt;&gt;"Exception",$D37="Low",$E37="High"),$A37&amp;"  "&amp;$B37,"")</f>
        <v/>
      </c>
    </row>
    <row r="38" ht="20" customHeight="1" s="52">
      <c r="A38" s="93" t="inlineStr">
        <is>
          <t>㉕</t>
        </is>
      </c>
      <c r="B38" s="94" t="n"/>
      <c r="C38" s="73" t="n"/>
      <c r="D38" s="73" t="n"/>
      <c r="E38" s="73" t="n"/>
      <c r="F38" s="72" t="n"/>
      <c r="G38" s="95">
        <f>IF(OR($B38="",$D38="",$E38=""),"",IF(OR($C38="Target state",$C38="Exception"),"Out of scope",IF($D38="Low","No tranche",IF($E38="Low","Tranche 1",IF($E38="Medium","Tranche 2",IF($D38="High","Tranche 3","No tranche"))))))</f>
        <v/>
      </c>
      <c r="K38" s="101" t="n"/>
      <c r="L38" s="101" t="n"/>
      <c r="M38" s="101" t="n"/>
      <c r="O38">
        <f>IF(AND($B38&lt;&gt;"",$C38&lt;&gt;"Target state",$C38&lt;&gt;"Exception",$D38="High",$E38="Low"),$A38&amp;"  "&amp;$B38,"")</f>
        <v/>
      </c>
      <c r="P38">
        <f>IF(AND($B38&lt;&gt;"",$C38&lt;&gt;"Target state",$C38&lt;&gt;"Exception",$D38="High",$E38="Medium"),$A38&amp;"  "&amp;$B38,"")</f>
        <v/>
      </c>
      <c r="Q38">
        <f>IF(AND($B38&lt;&gt;"",$C38&lt;&gt;"Target state",$C38&lt;&gt;"Exception",$D38="High",$E38="High"),$A38&amp;"  "&amp;$B38,"")</f>
        <v/>
      </c>
      <c r="R38">
        <f>IF(AND($B38&lt;&gt;"",$C38&lt;&gt;"Target state",$C38&lt;&gt;"Exception",$D38="Medium",$E38="Low"),$A38&amp;"  "&amp;$B38,"")</f>
        <v/>
      </c>
      <c r="S38">
        <f>IF(AND($B38&lt;&gt;"",$C38&lt;&gt;"Target state",$C38&lt;&gt;"Exception",$D38="Medium",$E38="Medium"),$A38&amp;"  "&amp;$B38,"")</f>
        <v/>
      </c>
      <c r="T38">
        <f>IF(AND($B38&lt;&gt;"",$C38&lt;&gt;"Target state",$C38&lt;&gt;"Exception",$D38="Medium",$E38="High"),$A38&amp;"  "&amp;$B38,"")</f>
        <v/>
      </c>
      <c r="U38">
        <f>IF(AND($B38&lt;&gt;"",$C38&lt;&gt;"Target state",$C38&lt;&gt;"Exception",$D38="Low",$E38="Low"),$A38&amp;"  "&amp;$B38,"")</f>
        <v/>
      </c>
      <c r="V38">
        <f>IF(AND($B38&lt;&gt;"",$C38&lt;&gt;"Target state",$C38&lt;&gt;"Exception",$D38="Low",$E38="Medium"),$A38&amp;"  "&amp;$B38,"")</f>
        <v/>
      </c>
      <c r="W38">
        <f>IF(AND($B38&lt;&gt;"",$C38&lt;&gt;"Target state",$C38&lt;&gt;"Exception",$D38="Low",$E38="High"),$A38&amp;"  "&amp;$B38,"")</f>
        <v/>
      </c>
    </row>
    <row r="39" ht="20" customHeight="1" s="52">
      <c r="A39" s="93" t="inlineStr">
        <is>
          <t>㉖</t>
        </is>
      </c>
      <c r="B39" s="94" t="n"/>
      <c r="C39" s="73" t="n"/>
      <c r="D39" s="73" t="n"/>
      <c r="E39" s="73" t="n"/>
      <c r="F39" s="72" t="n"/>
      <c r="G39" s="95">
        <f>IF(OR($B39="",$D39="",$E39=""),"",IF(OR($C39="Target state",$C39="Exception"),"Out of scope",IF($D39="Low","No tranche",IF($E39="Low","Tranche 1",IF($E39="Medium","Tranche 2",IF($D39="High","Tranche 3","No tranche"))))))</f>
        <v/>
      </c>
      <c r="K39" s="102" t="n"/>
      <c r="L39" s="102" t="n"/>
      <c r="M39" s="102" t="n"/>
      <c r="O39">
        <f>IF(AND($B39&lt;&gt;"",$C39&lt;&gt;"Target state",$C39&lt;&gt;"Exception",$D39="High",$E39="Low"),$A39&amp;"  "&amp;$B39,"")</f>
        <v/>
      </c>
      <c r="P39">
        <f>IF(AND($B39&lt;&gt;"",$C39&lt;&gt;"Target state",$C39&lt;&gt;"Exception",$D39="High",$E39="Medium"),$A39&amp;"  "&amp;$B39,"")</f>
        <v/>
      </c>
      <c r="Q39">
        <f>IF(AND($B39&lt;&gt;"",$C39&lt;&gt;"Target state",$C39&lt;&gt;"Exception",$D39="High",$E39="High"),$A39&amp;"  "&amp;$B39,"")</f>
        <v/>
      </c>
      <c r="R39">
        <f>IF(AND($B39&lt;&gt;"",$C39&lt;&gt;"Target state",$C39&lt;&gt;"Exception",$D39="Medium",$E39="Low"),$A39&amp;"  "&amp;$B39,"")</f>
        <v/>
      </c>
      <c r="S39">
        <f>IF(AND($B39&lt;&gt;"",$C39&lt;&gt;"Target state",$C39&lt;&gt;"Exception",$D39="Medium",$E39="Medium"),$A39&amp;"  "&amp;$B39,"")</f>
        <v/>
      </c>
      <c r="T39">
        <f>IF(AND($B39&lt;&gt;"",$C39&lt;&gt;"Target state",$C39&lt;&gt;"Exception",$D39="Medium",$E39="High"),$A39&amp;"  "&amp;$B39,"")</f>
        <v/>
      </c>
      <c r="U39">
        <f>IF(AND($B39&lt;&gt;"",$C39&lt;&gt;"Target state",$C39&lt;&gt;"Exception",$D39="Low",$E39="Low"),$A39&amp;"  "&amp;$B39,"")</f>
        <v/>
      </c>
      <c r="V39">
        <f>IF(AND($B39&lt;&gt;"",$C39&lt;&gt;"Target state",$C39&lt;&gt;"Exception",$D39="Low",$E39="Medium"),$A39&amp;"  "&amp;$B39,"")</f>
        <v/>
      </c>
      <c r="W39">
        <f>IF(AND($B39&lt;&gt;"",$C39&lt;&gt;"Target state",$C39&lt;&gt;"Exception",$D39="Low",$E39="High"),$A39&amp;"  "&amp;$B39,"")</f>
        <v/>
      </c>
    </row>
    <row r="40">
      <c r="K40" s="97" t="inlineStr">
        <is>
          <t>Complexity</t>
        </is>
      </c>
    </row>
    <row r="44" ht="22" customHeight="1" s="52">
      <c r="A44" s="88" t="inlineStr">
        <is>
          <t>Ingress</t>
        </is>
      </c>
      <c r="G44" s="89">
        <f>HYPERLINK("#'Boarding'!A4","▲ tracker")</f>
        <v/>
      </c>
      <c r="K44" s="90" t="inlineStr">
        <is>
          <t>Assessment Outcome</t>
        </is>
      </c>
    </row>
    <row r="45" ht="18" customHeight="1" s="52">
      <c r="A45" s="91" t="inlineStr">
        <is>
          <t>#</t>
        </is>
      </c>
      <c r="B45" s="91" t="inlineStr">
        <is>
          <t>Platform</t>
        </is>
      </c>
      <c r="C45" s="91" t="inlineStr">
        <is>
          <t>State</t>
        </is>
      </c>
      <c r="D45" s="91" t="inlineStr">
        <is>
          <t>Imperative to exit</t>
        </is>
      </c>
      <c r="E45" s="91" t="inlineStr">
        <is>
          <t>Exit complexity</t>
        </is>
      </c>
      <c r="F45" s="91" t="inlineStr">
        <is>
          <t>Supporting facts</t>
        </is>
      </c>
      <c r="G45" s="91" t="inlineStr">
        <is>
          <t>Tranche (auto)</t>
        </is>
      </c>
      <c r="K45" s="92" t="inlineStr">
        <is>
          <t>Low</t>
        </is>
      </c>
      <c r="L45" s="92" t="inlineStr">
        <is>
          <t>Medium</t>
        </is>
      </c>
      <c r="M45" s="92" t="inlineStr">
        <is>
          <t>High</t>
        </is>
      </c>
    </row>
    <row r="46" ht="36" customHeight="1" s="52">
      <c r="A46" s="93" t="inlineStr">
        <is>
          <t>①</t>
        </is>
      </c>
      <c r="B46" s="94" t="inlineStr">
        <is>
          <t>Instant Boarding</t>
        </is>
      </c>
      <c r="C46" s="73" t="inlineStr">
        <is>
          <t>Non-target state</t>
        </is>
      </c>
      <c r="D46" s="73" t="n"/>
      <c r="E46" s="73" t="n"/>
      <c r="F46" s="72" t="inlineStr">
        <is>
          <t>Service-based boarding interface processing about 32K US payments and payroll applications a year from external systems; repository flags initial disposition Keep &amp; Enhance — confirm with SPOC</t>
        </is>
      </c>
      <c r="G46" s="95">
        <f>IF(OR($B46="",$D46="",$E46=""),"",IF(OR($C46="Target state",$C46="Exception"),"Out of scope",IF($D46="Low","No tranche",IF($E46="Low","Tranche 1",IF($E46="Medium","Tranche 2",IF($D46="High","Tranche 3","No tranche"))))))</f>
        <v/>
      </c>
      <c r="I46" s="96" t="inlineStr">
        <is>
          <t>Benefits</t>
        </is>
      </c>
      <c r="J46" s="97" t="inlineStr">
        <is>
          <t>High</t>
        </is>
      </c>
      <c r="K46" s="98">
        <f>"Tranche 1"&amp;CHAR(10)&amp;_xlfn.TEXTJOIN(CHAR(10),TRUE,O$46:O$55)</f>
        <v/>
      </c>
      <c r="L46" s="99">
        <f>"Tranche 2"&amp;CHAR(10)&amp;_xlfn.TEXTJOIN(CHAR(10),TRUE,P$46:P$55)</f>
        <v/>
      </c>
      <c r="M46" s="100">
        <f>"Tranche 3"&amp;CHAR(10)&amp;_xlfn.TEXTJOIN(CHAR(10),TRUE,Q$46:Q$55)</f>
        <v/>
      </c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30" customHeight="1" s="52">
      <c r="A47" s="93" t="inlineStr">
        <is>
          <t>②</t>
        </is>
      </c>
      <c r="B47" s="94" t="inlineStr">
        <is>
          <t>ELAPP Boarding API</t>
        </is>
      </c>
      <c r="C47" s="73" t="inlineStr">
        <is>
          <t>Non-target state</t>
        </is>
      </c>
      <c r="D47" s="73" t="n"/>
      <c r="E47" s="73" t="n"/>
      <c r="F47" s="72" t="inlineStr">
        <is>
          <t>Non-strategic merchant boarding API for partner integrators with about 9.3K MIDs boarded; around $280K in yearly cost; replaced by Base CRM</t>
        </is>
      </c>
      <c r="G47" s="95">
        <f>IF(OR($B47="",$D47="",$E47=""),"",IF(OR($C47="Target state",$C47="Exception"),"Out of scope",IF($D47="Low","No tranche",IF($E47="Low","Tranche 1",IF($E47="Medium","Tranche 2",IF($D47="High","Tranche 3","No tranche"))))))</f>
        <v/>
      </c>
      <c r="K47" s="101" t="n"/>
      <c r="L47" s="101" t="n"/>
      <c r="M47" s="101" t="n"/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36" customHeight="1" s="52">
      <c r="A48" s="93" t="inlineStr">
        <is>
          <t>③</t>
        </is>
      </c>
      <c r="B48" s="94" t="inlineStr">
        <is>
          <t>MerchantFlo</t>
        </is>
      </c>
      <c r="C48" s="73" t="inlineStr">
        <is>
          <t>Non-target state</t>
        </is>
      </c>
      <c r="D48" s="73" t="n"/>
      <c r="E48" s="73" t="n"/>
      <c r="F48" s="72" t="inlineStr">
        <is>
          <t>Non-strategic boarding integration with a B2B API into OnTrak and a legacy Mindbody email flow; about $130K in yearly cost; B2B is replaced by Base CRM while the Mindbody flow persists</t>
        </is>
      </c>
      <c r="G48" s="95">
        <f>IF(OR($B48="",$D48="",$E48=""),"",IF(OR($C48="Target state",$C48="Exception"),"Out of scope",IF($D48="Low","No tranche",IF($E48="Low","Tranche 1",IF($E48="Medium","Tranche 2",IF($D48="High","Tranche 3","No tranche"))))))</f>
        <v/>
      </c>
      <c r="K48" s="101" t="n"/>
      <c r="L48" s="101" t="n"/>
      <c r="M48" s="101" t="n"/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30" customHeight="1" s="52">
      <c r="A49" s="93" t="inlineStr">
        <is>
          <t>④</t>
        </is>
      </c>
      <c r="B49" s="94" t="inlineStr">
        <is>
          <t>Automated Boarding</t>
        </is>
      </c>
      <c r="C49" s="73" t="inlineStr">
        <is>
          <t>Non-target state</t>
        </is>
      </c>
      <c r="D49" s="73" t="n"/>
      <c r="E49" s="73" t="n"/>
      <c r="F49" s="72" t="inlineStr">
        <is>
          <t>Automated merchant and terminal boarding for OpenEdge and Genius on Edge; repository flags initial disposition Keep &amp; Enhance — confirm with SPOC</t>
        </is>
      </c>
      <c r="G49" s="95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102" t="n"/>
      <c r="L49" s="102" t="n"/>
      <c r="M49" s="102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30" customHeight="1" s="52">
      <c r="A50" s="93" t="inlineStr">
        <is>
          <t>⑤</t>
        </is>
      </c>
      <c r="B50" s="94" t="inlineStr">
        <is>
          <t>Multi Location Boarding</t>
        </is>
      </c>
      <c r="C50" s="73" t="inlineStr">
        <is>
          <t>Non-target state</t>
        </is>
      </c>
      <c r="D50" s="73" t="n"/>
      <c r="E50" s="73" t="n"/>
      <c r="F50" s="72" t="inlineStr">
        <is>
          <t>Non-strategic web application boarding multiple locations at once into Instant Boarding with about 1.8K users; modest annual cost</t>
        </is>
      </c>
      <c r="G50" s="95">
        <f>IF(OR($B50="",$D50="",$E50=""),"",IF(OR($C50="Target state",$C50="Exception"),"Out of scope",IF($D50="Low","No tranche",IF($E50="Low","Tranche 1",IF($E50="Medium","Tranche 2",IF($D50="High","Tranche 3","No tranche"))))))</f>
        <v/>
      </c>
      <c r="J50" s="97" t="inlineStr">
        <is>
          <t>Medium</t>
        </is>
      </c>
      <c r="K50" s="98">
        <f>"Tranche 1"&amp;CHAR(10)&amp;_xlfn.TEXTJOIN(CHAR(10),TRUE,R$46:R$55)</f>
        <v/>
      </c>
      <c r="L50" s="99">
        <f>"Tranche 2"&amp;CHAR(10)&amp;_xlfn.TEXTJOIN(CHAR(10),TRUE,S$46:S$55)</f>
        <v/>
      </c>
      <c r="M50" s="103">
        <f>_xlfn.TEXTJOIN(CHAR(10),TRUE,T$46:T$55)</f>
        <v/>
      </c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1" ht="30" customHeight="1" s="52">
      <c r="A51" s="93" t="inlineStr">
        <is>
          <t>⑥</t>
        </is>
      </c>
      <c r="B51" s="94" t="inlineStr">
        <is>
          <t>GPI: EdgeBuilder</t>
        </is>
      </c>
      <c r="C51" s="73" t="inlineStr">
        <is>
          <t>Non-target state</t>
        </is>
      </c>
      <c r="D51" s="73" t="n"/>
      <c r="E51" s="73" t="n"/>
      <c r="F51" s="72" t="inlineStr">
        <is>
          <t>Non-strategic service boarding merchants to the Edge gateway and linking Salesforce data; already in maintenance mode</t>
        </is>
      </c>
      <c r="G51" s="95">
        <f>IF(OR($B51="",$D51="",$E51=""),"",IF(OR($C51="Target state",$C51="Exception"),"Out of scope",IF($D51="Low","No tranche",IF($E51="Low","Tranche 1",IF($E51="Medium","Tranche 2",IF($D51="High","Tranche 3","No tranche"))))))</f>
        <v/>
      </c>
      <c r="K51" s="101" t="n"/>
      <c r="L51" s="101" t="n"/>
      <c r="M51" s="101" t="n"/>
      <c r="O51">
        <f>IF(AND($B51&lt;&gt;"",$C51&lt;&gt;"Target state",$C51&lt;&gt;"Exception",$D51="High",$E51="Low"),$A51&amp;"  "&amp;$B51,"")</f>
        <v/>
      </c>
      <c r="P51">
        <f>IF(AND($B51&lt;&gt;"",$C51&lt;&gt;"Target state",$C51&lt;&gt;"Exception",$D51="High",$E51="Medium"),$A51&amp;"  "&amp;$B51,"")</f>
        <v/>
      </c>
      <c r="Q51">
        <f>IF(AND($B51&lt;&gt;"",$C51&lt;&gt;"Target state",$C51&lt;&gt;"Exception",$D51="High",$E51="High"),$A51&amp;"  "&amp;$B51,"")</f>
        <v/>
      </c>
      <c r="R51">
        <f>IF(AND($B51&lt;&gt;"",$C51&lt;&gt;"Target state",$C51&lt;&gt;"Exception",$D51="Medium",$E51="Low"),$A51&amp;"  "&amp;$B51,"")</f>
        <v/>
      </c>
      <c r="S51">
        <f>IF(AND($B51&lt;&gt;"",$C51&lt;&gt;"Target state",$C51&lt;&gt;"Exception",$D51="Medium",$E51="Medium"),$A51&amp;"  "&amp;$B51,"")</f>
        <v/>
      </c>
      <c r="T51">
        <f>IF(AND($B51&lt;&gt;"",$C51&lt;&gt;"Target state",$C51&lt;&gt;"Exception",$D51="Medium",$E51="High"),$A51&amp;"  "&amp;$B51,"")</f>
        <v/>
      </c>
      <c r="U51">
        <f>IF(AND($B51&lt;&gt;"",$C51&lt;&gt;"Target state",$C51&lt;&gt;"Exception",$D51="Low",$E51="Low"),$A51&amp;"  "&amp;$B51,"")</f>
        <v/>
      </c>
      <c r="V51">
        <f>IF(AND($B51&lt;&gt;"",$C51&lt;&gt;"Target state",$C51&lt;&gt;"Exception",$D51="Low",$E51="Medium"),$A51&amp;"  "&amp;$B51,"")</f>
        <v/>
      </c>
      <c r="W51">
        <f>IF(AND($B51&lt;&gt;"",$C51&lt;&gt;"Target state",$C51&lt;&gt;"Exception",$D51="Low",$E51="High"),$A51&amp;"  "&amp;$B51,"")</f>
        <v/>
      </c>
    </row>
    <row r="52" ht="20" customHeight="1" s="52">
      <c r="A52" s="93" t="inlineStr">
        <is>
          <t>⑦</t>
        </is>
      </c>
      <c r="B52" s="94" t="n"/>
      <c r="C52" s="73" t="n"/>
      <c r="D52" s="73" t="n"/>
      <c r="E52" s="73" t="n"/>
      <c r="F52" s="72" t="n"/>
      <c r="G52" s="95">
        <f>IF(OR($B52="",$D52="",$E52=""),"",IF(OR($C52="Target state",$C52="Exception"),"Out of scope",IF($D52="Low","No tranche",IF($E52="Low","Tranche 1",IF($E52="Medium","Tranche 2",IF($D52="High","Tranche 3","No tranche"))))))</f>
        <v/>
      </c>
      <c r="K52" s="102" t="n"/>
      <c r="L52" s="102" t="n"/>
      <c r="M52" s="102" t="n"/>
      <c r="O52">
        <f>IF(AND($B52&lt;&gt;"",$C52&lt;&gt;"Target state",$C52&lt;&gt;"Exception",$D52="High",$E52="Low"),$A52&amp;"  "&amp;$B52,"")</f>
        <v/>
      </c>
      <c r="P52">
        <f>IF(AND($B52&lt;&gt;"",$C52&lt;&gt;"Target state",$C52&lt;&gt;"Exception",$D52="High",$E52="Medium"),$A52&amp;"  "&amp;$B52,"")</f>
        <v/>
      </c>
      <c r="Q52">
        <f>IF(AND($B52&lt;&gt;"",$C52&lt;&gt;"Target state",$C52&lt;&gt;"Exception",$D52="High",$E52="High"),$A52&amp;"  "&amp;$B52,"")</f>
        <v/>
      </c>
      <c r="R52">
        <f>IF(AND($B52&lt;&gt;"",$C52&lt;&gt;"Target state",$C52&lt;&gt;"Exception",$D52="Medium",$E52="Low"),$A52&amp;"  "&amp;$B52,"")</f>
        <v/>
      </c>
      <c r="S52">
        <f>IF(AND($B52&lt;&gt;"",$C52&lt;&gt;"Target state",$C52&lt;&gt;"Exception",$D52="Medium",$E52="Medium"),$A52&amp;"  "&amp;$B52,"")</f>
        <v/>
      </c>
      <c r="T52">
        <f>IF(AND($B52&lt;&gt;"",$C52&lt;&gt;"Target state",$C52&lt;&gt;"Exception",$D52="Medium",$E52="High"),$A52&amp;"  "&amp;$B52,"")</f>
        <v/>
      </c>
      <c r="U52">
        <f>IF(AND($B52&lt;&gt;"",$C52&lt;&gt;"Target state",$C52&lt;&gt;"Exception",$D52="Low",$E52="Low"),$A52&amp;"  "&amp;$B52,"")</f>
        <v/>
      </c>
      <c r="V52">
        <f>IF(AND($B52&lt;&gt;"",$C52&lt;&gt;"Target state",$C52&lt;&gt;"Exception",$D52="Low",$E52="Medium"),$A52&amp;"  "&amp;$B52,"")</f>
        <v/>
      </c>
      <c r="W52">
        <f>IF(AND($B52&lt;&gt;"",$C52&lt;&gt;"Target state",$C52&lt;&gt;"Exception",$D52="Low",$E52="High"),$A52&amp;"  "&amp;$B52,"")</f>
        <v/>
      </c>
    </row>
    <row r="53" ht="20" customHeight="1" s="52">
      <c r="A53" s="93" t="inlineStr">
        <is>
          <t>⑧</t>
        </is>
      </c>
      <c r="B53" s="94" t="n"/>
      <c r="C53" s="73" t="n"/>
      <c r="D53" s="73" t="n"/>
      <c r="E53" s="73" t="n"/>
      <c r="F53" s="72" t="n"/>
      <c r="G53" s="95">
        <f>IF(OR($B53="",$D53="",$E53=""),"",IF(OR($C53="Target state",$C53="Exception"),"Out of scope",IF($D53="Low","No tranche",IF($E53="Low","Tranche 1",IF($E53="Medium","Tranche 2",IF($D53="High","Tranche 3","No tranche"))))))</f>
        <v/>
      </c>
      <c r="J53" s="97" t="inlineStr">
        <is>
          <t>Low</t>
        </is>
      </c>
      <c r="K53" s="103">
        <f>_xlfn.TEXTJOIN(CHAR(10),TRUE,U$46:U$55)</f>
        <v/>
      </c>
      <c r="L53" s="103">
        <f>_xlfn.TEXTJOIN(CHAR(10),TRUE,V$46:V$55)</f>
        <v/>
      </c>
      <c r="M53" s="103">
        <f>_xlfn.TEXTJOIN(CHAR(10),TRUE,W$46:W$55)</f>
        <v/>
      </c>
      <c r="O53">
        <f>IF(AND($B53&lt;&gt;"",$C53&lt;&gt;"Target state",$C53&lt;&gt;"Exception",$D53="High",$E53="Low"),$A53&amp;"  "&amp;$B53,"")</f>
        <v/>
      </c>
      <c r="P53">
        <f>IF(AND($B53&lt;&gt;"",$C53&lt;&gt;"Target state",$C53&lt;&gt;"Exception",$D53="High",$E53="Medium"),$A53&amp;"  "&amp;$B53,"")</f>
        <v/>
      </c>
      <c r="Q53">
        <f>IF(AND($B53&lt;&gt;"",$C53&lt;&gt;"Target state",$C53&lt;&gt;"Exception",$D53="High",$E53="High"),$A53&amp;"  "&amp;$B53,"")</f>
        <v/>
      </c>
      <c r="R53">
        <f>IF(AND($B53&lt;&gt;"",$C53&lt;&gt;"Target state",$C53&lt;&gt;"Exception",$D53="Medium",$E53="Low"),$A53&amp;"  "&amp;$B53,"")</f>
        <v/>
      </c>
      <c r="S53">
        <f>IF(AND($B53&lt;&gt;"",$C53&lt;&gt;"Target state",$C53&lt;&gt;"Exception",$D53="Medium",$E53="Medium"),$A53&amp;"  "&amp;$B53,"")</f>
        <v/>
      </c>
      <c r="T53">
        <f>IF(AND($B53&lt;&gt;"",$C53&lt;&gt;"Target state",$C53&lt;&gt;"Exception",$D53="Medium",$E53="High"),$A53&amp;"  "&amp;$B53,"")</f>
        <v/>
      </c>
      <c r="U53">
        <f>IF(AND($B53&lt;&gt;"",$C53&lt;&gt;"Target state",$C53&lt;&gt;"Exception",$D53="Low",$E53="Low"),$A53&amp;"  "&amp;$B53,"")</f>
        <v/>
      </c>
      <c r="V53">
        <f>IF(AND($B53&lt;&gt;"",$C53&lt;&gt;"Target state",$C53&lt;&gt;"Exception",$D53="Low",$E53="Medium"),$A53&amp;"  "&amp;$B53,"")</f>
        <v/>
      </c>
      <c r="W53">
        <f>IF(AND($B53&lt;&gt;"",$C53&lt;&gt;"Target state",$C53&lt;&gt;"Exception",$D53="Low",$E53="High"),$A53&amp;"  "&amp;$B53,"")</f>
        <v/>
      </c>
    </row>
    <row r="54" ht="20" customHeight="1" s="52">
      <c r="A54" s="93" t="inlineStr">
        <is>
          <t>⑨</t>
        </is>
      </c>
      <c r="B54" s="94" t="n"/>
      <c r="C54" s="73" t="n"/>
      <c r="D54" s="73" t="n"/>
      <c r="E54" s="73" t="n"/>
      <c r="F54" s="72" t="n"/>
      <c r="G54" s="95">
        <f>IF(OR($B54="",$D54="",$E54=""),"",IF(OR($C54="Target state",$C54="Exception"),"Out of scope",IF($D54="Low","No tranche",IF($E54="Low","Tranche 1",IF($E54="Medium","Tranche 2",IF($D54="High","Tranche 3","No tranche"))))))</f>
        <v/>
      </c>
      <c r="K54" s="101" t="n"/>
      <c r="L54" s="101" t="n"/>
      <c r="M54" s="101" t="n"/>
      <c r="O54">
        <f>IF(AND($B54&lt;&gt;"",$C54&lt;&gt;"Target state",$C54&lt;&gt;"Exception",$D54="High",$E54="Low"),$A54&amp;"  "&amp;$B54,"")</f>
        <v/>
      </c>
      <c r="P54">
        <f>IF(AND($B54&lt;&gt;"",$C54&lt;&gt;"Target state",$C54&lt;&gt;"Exception",$D54="High",$E54="Medium"),$A54&amp;"  "&amp;$B54,"")</f>
        <v/>
      </c>
      <c r="Q54">
        <f>IF(AND($B54&lt;&gt;"",$C54&lt;&gt;"Target state",$C54&lt;&gt;"Exception",$D54="High",$E54="High"),$A54&amp;"  "&amp;$B54,"")</f>
        <v/>
      </c>
      <c r="R54">
        <f>IF(AND($B54&lt;&gt;"",$C54&lt;&gt;"Target state",$C54&lt;&gt;"Exception",$D54="Medium",$E54="Low"),$A54&amp;"  "&amp;$B54,"")</f>
        <v/>
      </c>
      <c r="S54">
        <f>IF(AND($B54&lt;&gt;"",$C54&lt;&gt;"Target state",$C54&lt;&gt;"Exception",$D54="Medium",$E54="Medium"),$A54&amp;"  "&amp;$B54,"")</f>
        <v/>
      </c>
      <c r="T54">
        <f>IF(AND($B54&lt;&gt;"",$C54&lt;&gt;"Target state",$C54&lt;&gt;"Exception",$D54="Medium",$E54="High"),$A54&amp;"  "&amp;$B54,"")</f>
        <v/>
      </c>
      <c r="U54">
        <f>IF(AND($B54&lt;&gt;"",$C54&lt;&gt;"Target state",$C54&lt;&gt;"Exception",$D54="Low",$E54="Low"),$A54&amp;"  "&amp;$B54,"")</f>
        <v/>
      </c>
      <c r="V54">
        <f>IF(AND($B54&lt;&gt;"",$C54&lt;&gt;"Target state",$C54&lt;&gt;"Exception",$D54="Low",$E54="Medium"),$A54&amp;"  "&amp;$B54,"")</f>
        <v/>
      </c>
      <c r="W54">
        <f>IF(AND($B54&lt;&gt;"",$C54&lt;&gt;"Target state",$C54&lt;&gt;"Exception",$D54="Low",$E54="High"),$A54&amp;"  "&amp;$B54,"")</f>
        <v/>
      </c>
    </row>
    <row r="55" ht="20" customHeight="1" s="52">
      <c r="A55" s="93" t="inlineStr">
        <is>
          <t>⑩</t>
        </is>
      </c>
      <c r="B55" s="94" t="n"/>
      <c r="C55" s="73" t="n"/>
      <c r="D55" s="73" t="n"/>
      <c r="E55" s="73" t="n"/>
      <c r="F55" s="72" t="n"/>
      <c r="G55" s="95">
        <f>IF(OR($B55="",$D55="",$E55=""),"",IF(OR($C55="Target state",$C55="Exception"),"Out of scope",IF($D55="Low","No tranche",IF($E55="Low","Tranche 1",IF($E55="Medium","Tranche 2",IF($D55="High","Tranche 3","No tranche"))))))</f>
        <v/>
      </c>
      <c r="K55" s="102" t="n"/>
      <c r="L55" s="102" t="n"/>
      <c r="M55" s="102" t="n"/>
      <c r="O55">
        <f>IF(AND($B55&lt;&gt;"",$C55&lt;&gt;"Target state",$C55&lt;&gt;"Exception",$D55="High",$E55="Low"),$A55&amp;"  "&amp;$B55,"")</f>
        <v/>
      </c>
      <c r="P55">
        <f>IF(AND($B55&lt;&gt;"",$C55&lt;&gt;"Target state",$C55&lt;&gt;"Exception",$D55="High",$E55="Medium"),$A55&amp;"  "&amp;$B55,"")</f>
        <v/>
      </c>
      <c r="Q55">
        <f>IF(AND($B55&lt;&gt;"",$C55&lt;&gt;"Target state",$C55&lt;&gt;"Exception",$D55="High",$E55="High"),$A55&amp;"  "&amp;$B55,"")</f>
        <v/>
      </c>
      <c r="R55">
        <f>IF(AND($B55&lt;&gt;"",$C55&lt;&gt;"Target state",$C55&lt;&gt;"Exception",$D55="Medium",$E55="Low"),$A55&amp;"  "&amp;$B55,"")</f>
        <v/>
      </c>
      <c r="S55">
        <f>IF(AND($B55&lt;&gt;"",$C55&lt;&gt;"Target state",$C55&lt;&gt;"Exception",$D55="Medium",$E55="Medium"),$A55&amp;"  "&amp;$B55,"")</f>
        <v/>
      </c>
      <c r="T55">
        <f>IF(AND($B55&lt;&gt;"",$C55&lt;&gt;"Target state",$C55&lt;&gt;"Exception",$D55="Medium",$E55="High"),$A55&amp;"  "&amp;$B55,"")</f>
        <v/>
      </c>
      <c r="U55">
        <f>IF(AND($B55&lt;&gt;"",$C55&lt;&gt;"Target state",$C55&lt;&gt;"Exception",$D55="Low",$E55="Low"),$A55&amp;"  "&amp;$B55,"")</f>
        <v/>
      </c>
      <c r="V55">
        <f>IF(AND($B55&lt;&gt;"",$C55&lt;&gt;"Target state",$C55&lt;&gt;"Exception",$D55="Low",$E55="Medium"),$A55&amp;"  "&amp;$B55,"")</f>
        <v/>
      </c>
      <c r="W55">
        <f>IF(AND($B55&lt;&gt;"",$C55&lt;&gt;"Target state",$C55&lt;&gt;"Exception",$D55="Low",$E55="High"),$A55&amp;"  "&amp;$B55,"")</f>
        <v/>
      </c>
    </row>
    <row r="56">
      <c r="K56" s="97" t="inlineStr">
        <is>
          <t>Complexity</t>
        </is>
      </c>
    </row>
    <row r="60" ht="22" customHeight="1" s="52">
      <c r="A60" s="88" t="inlineStr">
        <is>
          <t>Boarding Orchestration</t>
        </is>
      </c>
      <c r="G60" s="89">
        <f>HYPERLINK("#'Boarding'!A4","▲ tracker")</f>
        <v/>
      </c>
      <c r="K60" s="90" t="inlineStr">
        <is>
          <t>Assessment Outcome</t>
        </is>
      </c>
    </row>
    <row r="61" ht="18" customHeight="1" s="52">
      <c r="A61" s="91" t="inlineStr">
        <is>
          <t>#</t>
        </is>
      </c>
      <c r="B61" s="91" t="inlineStr">
        <is>
          <t>Platform</t>
        </is>
      </c>
      <c r="C61" s="91" t="inlineStr">
        <is>
          <t>State</t>
        </is>
      </c>
      <c r="D61" s="91" t="inlineStr">
        <is>
          <t>Imperative to exit</t>
        </is>
      </c>
      <c r="E61" s="91" t="inlineStr">
        <is>
          <t>Exit complexity</t>
        </is>
      </c>
      <c r="F61" s="91" t="inlineStr">
        <is>
          <t>Supporting facts</t>
        </is>
      </c>
      <c r="G61" s="91" t="inlineStr">
        <is>
          <t>Tranche (auto)</t>
        </is>
      </c>
      <c r="K61" s="92" t="inlineStr">
        <is>
          <t>Low</t>
        </is>
      </c>
      <c r="L61" s="92" t="inlineStr">
        <is>
          <t>Medium</t>
        </is>
      </c>
      <c r="M61" s="92" t="inlineStr">
        <is>
          <t>High</t>
        </is>
      </c>
    </row>
    <row r="62" ht="36" customHeight="1" s="52">
      <c r="A62" s="93" t="inlineStr">
        <is>
          <t>①</t>
        </is>
      </c>
      <c r="B62" s="94" t="inlineStr">
        <is>
          <t>Onboard</t>
        </is>
      </c>
      <c r="C62" s="73" t="inlineStr">
        <is>
          <t>Non-target state</t>
        </is>
      </c>
      <c r="D62" s="73" t="n"/>
      <c r="E62" s="73" t="n"/>
      <c r="F62" s="72" t="inlineStr">
        <is>
          <t>Non-strategic boarding system for the EVO frontend boarding into A360 and GSAP with Discover MAP and Amex Opt Blue enrollments; about $150K in yearly cost; on the decommission path</t>
        </is>
      </c>
      <c r="G62" s="95">
        <f>IF(OR($B62="",$D62="",$E62=""),"",IF(OR($C62="Target state",$C62="Exception"),"Out of scope",IF($D62="Low","No tranche",IF($E62="Low","Tranche 1",IF($E62="Medium","Tranche 2",IF($D62="High","Tranche 3","No tranche"))))))</f>
        <v/>
      </c>
      <c r="I62" s="96" t="inlineStr">
        <is>
          <t>Benefits</t>
        </is>
      </c>
      <c r="J62" s="97" t="inlineStr">
        <is>
          <t>High</t>
        </is>
      </c>
      <c r="K62" s="98">
        <f>"Tranche 1"&amp;CHAR(10)&amp;_xlfn.TEXTJOIN(CHAR(10),TRUE,O$62:O$73)</f>
        <v/>
      </c>
      <c r="L62" s="99">
        <f>"Tranche 2"&amp;CHAR(10)&amp;_xlfn.TEXTJOIN(CHAR(10),TRUE,P$62:P$73)</f>
        <v/>
      </c>
      <c r="M62" s="100">
        <f>"Tranche 3"&amp;CHAR(10)&amp;_xlfn.TEXTJOIN(CHAR(10),TRUE,Q$62:Q$73)</f>
        <v/>
      </c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30" customHeight="1" s="52">
      <c r="A63" s="93" t="inlineStr">
        <is>
          <t>②</t>
        </is>
      </c>
      <c r="B63" s="94" t="inlineStr">
        <is>
          <t>Merchant Enrollment Advantage (MEA)</t>
        </is>
      </c>
      <c r="C63" s="73" t="inlineStr">
        <is>
          <t>Non-target state</t>
        </is>
      </c>
      <c r="D63" s="73" t="n"/>
      <c r="E63" s="73" t="n"/>
      <c r="F63" s="72" t="inlineStr">
        <is>
          <t>Non-strategic GP US boarding application orchestrating boarding across host systems for about 113K merchants; around $260K in yearly cost</t>
        </is>
      </c>
      <c r="G63" s="95">
        <f>IF(OR($B63="",$D63="",$E63=""),"",IF(OR($C63="Target state",$C63="Exception"),"Out of scope",IF($D63="Low","No tranche",IF($E63="Low","Tranche 1",IF($E63="Medium","Tranche 2",IF($D63="High","Tranche 3","No tranche"))))))</f>
        <v/>
      </c>
      <c r="K63" s="101" t="n"/>
      <c r="L63" s="101" t="n"/>
      <c r="M63" s="101" t="n"/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36" customHeight="1" s="52">
      <c r="A64" s="93" t="inlineStr">
        <is>
          <t>③</t>
        </is>
      </c>
      <c r="B64" s="94" t="inlineStr">
        <is>
          <t>MMS</t>
        </is>
      </c>
      <c r="C64" s="73" t="inlineStr">
        <is>
          <t>Non-target state</t>
        </is>
      </c>
      <c r="D64" s="73" t="n"/>
      <c r="E64" s="73" t="n"/>
      <c r="F64" s="72" t="inlineStr">
        <is>
          <t>Non-strategic legacy front-end loader pushing bank and merchant information into TSYS systems across 3.9M merchants; about $490K in yearly cost; profiles still required in TMAS for full-service clients</t>
        </is>
      </c>
      <c r="G64" s="95">
        <f>IF(OR($B64="",$D64="",$E64=""),"",IF(OR($C64="Target state",$C64="Exception"),"Out of scope",IF($D64="Low","No tranche",IF($E64="Low","Tranche 1",IF($E64="Medium","Tranche 2",IF($D64="High","Tranche 3","No tranche"))))))</f>
        <v/>
      </c>
      <c r="K64" s="101" t="n"/>
      <c r="L64" s="101" t="n"/>
      <c r="M64" s="101" t="n"/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5" ht="30" customHeight="1" s="52">
      <c r="A65" s="93" t="inlineStr">
        <is>
          <t>④</t>
        </is>
      </c>
      <c r="B65" s="94" t="inlineStr">
        <is>
          <t>Discover Enrollment System (DES)</t>
        </is>
      </c>
      <c r="C65" s="73" t="inlineStr">
        <is>
          <t>Non-target state</t>
        </is>
      </c>
      <c r="D65" s="73" t="n"/>
      <c r="E65" s="73" t="n"/>
      <c r="F65" s="72" t="inlineStr">
        <is>
          <t>Non-strategic GP application enrolling merchants with Discover across US and Canada portfolios</t>
        </is>
      </c>
      <c r="G65" s="95">
        <f>IF(OR($B65="",$D65="",$E65=""),"",IF(OR($C65="Target state",$C65="Exception"),"Out of scope",IF($D65="Low","No tranche",IF($E65="Low","Tranche 1",IF($E65="Medium","Tranche 2",IF($D65="High","Tranche 3","No tranche"))))))</f>
        <v/>
      </c>
      <c r="K65" s="102" t="n"/>
      <c r="L65" s="102" t="n"/>
      <c r="M65" s="102" t="n"/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6" ht="36" customHeight="1" s="52">
      <c r="A66" s="93" t="inlineStr">
        <is>
          <t>⑤</t>
        </is>
      </c>
      <c r="B66" s="94" t="inlineStr">
        <is>
          <t>Genesis</t>
        </is>
      </c>
      <c r="C66" s="73" t="inlineStr">
        <is>
          <t>Non-target state</t>
        </is>
      </c>
      <c r="D66" s="73" t="n"/>
      <c r="E66" s="73" t="n"/>
      <c r="F66" s="72" t="inlineStr">
        <is>
          <t>Non-strategic boarding system for NWS and VAPS merchants outside Client Manager with about 90 users; around $330K in yearly cost; repository flags Keep &amp; Enhance with selective migration — confirm with SPOC</t>
        </is>
      </c>
      <c r="G66" s="95">
        <f>IF(OR($B66="",$D66="",$E66=""),"",IF(OR($C66="Target state",$C66="Exception"),"Out of scope",IF($D66="Low","No tranche",IF($E66="Low","Tranche 1",IF($E66="Medium","Tranche 2",IF($D66="High","Tranche 3","No tranche"))))))</f>
        <v/>
      </c>
      <c r="J66" s="97" t="inlineStr">
        <is>
          <t>Medium</t>
        </is>
      </c>
      <c r="K66" s="98">
        <f>"Tranche 1"&amp;CHAR(10)&amp;_xlfn.TEXTJOIN(CHAR(10),TRUE,R$62:R$73)</f>
        <v/>
      </c>
      <c r="L66" s="99">
        <f>"Tranche 2"&amp;CHAR(10)&amp;_xlfn.TEXTJOIN(CHAR(10),TRUE,S$62:S$73)</f>
        <v/>
      </c>
      <c r="M66" s="103">
        <f>_xlfn.TEXTJOIN(CHAR(10),TRUE,T$62:T$73)</f>
        <v/>
      </c>
      <c r="O66">
        <f>IF(AND($B66&lt;&gt;"",$C66&lt;&gt;"Target state",$C66&lt;&gt;"Exception",$D66="High",$E66="Low"),$A66&amp;"  "&amp;$B66,"")</f>
        <v/>
      </c>
      <c r="P66">
        <f>IF(AND($B66&lt;&gt;"",$C66&lt;&gt;"Target state",$C66&lt;&gt;"Exception",$D66="High",$E66="Medium"),$A66&amp;"  "&amp;$B66,"")</f>
        <v/>
      </c>
      <c r="Q66">
        <f>IF(AND($B66&lt;&gt;"",$C66&lt;&gt;"Target state",$C66&lt;&gt;"Exception",$D66="High",$E66="High"),$A66&amp;"  "&amp;$B66,"")</f>
        <v/>
      </c>
      <c r="R66">
        <f>IF(AND($B66&lt;&gt;"",$C66&lt;&gt;"Target state",$C66&lt;&gt;"Exception",$D66="Medium",$E66="Low"),$A66&amp;"  "&amp;$B66,"")</f>
        <v/>
      </c>
      <c r="S66">
        <f>IF(AND($B66&lt;&gt;"",$C66&lt;&gt;"Target state",$C66&lt;&gt;"Exception",$D66="Medium",$E66="Medium"),$A66&amp;"  "&amp;$B66,"")</f>
        <v/>
      </c>
      <c r="T66">
        <f>IF(AND($B66&lt;&gt;"",$C66&lt;&gt;"Target state",$C66&lt;&gt;"Exception",$D66="Medium",$E66="High"),$A66&amp;"  "&amp;$B66,"")</f>
        <v/>
      </c>
      <c r="U66">
        <f>IF(AND($B66&lt;&gt;"",$C66&lt;&gt;"Target state",$C66&lt;&gt;"Exception",$D66="Low",$E66="Low"),$A66&amp;"  "&amp;$B66,"")</f>
        <v/>
      </c>
      <c r="V66">
        <f>IF(AND($B66&lt;&gt;"",$C66&lt;&gt;"Target state",$C66&lt;&gt;"Exception",$D66="Low",$E66="Medium"),$A66&amp;"  "&amp;$B66,"")</f>
        <v/>
      </c>
      <c r="W66">
        <f>IF(AND($B66&lt;&gt;"",$C66&lt;&gt;"Target state",$C66&lt;&gt;"Exception",$D66="Low",$E66="High"),$A66&amp;"  "&amp;$B66,"")</f>
        <v/>
      </c>
    </row>
    <row r="67" ht="36" customHeight="1" s="52">
      <c r="A67" s="93" t="inlineStr">
        <is>
          <t>⑥</t>
        </is>
      </c>
      <c r="B67" s="94" t="inlineStr">
        <is>
          <t>Client Manager</t>
        </is>
      </c>
      <c r="C67" s="73" t="inlineStr">
        <is>
          <t>Non-target state</t>
        </is>
      </c>
      <c r="D67" s="73" t="n"/>
      <c r="E67" s="73" t="n"/>
      <c r="F67" s="72" t="inlineStr">
        <is>
          <t>Boarding system for Passport backend merchants with about 1.3K users; repository flags Keep &amp; Enhance with selective migration — confirm whether this row should be Target state</t>
        </is>
      </c>
      <c r="G67" s="95">
        <f>IF(OR($B67="",$D67="",$E67=""),"",IF(OR($C67="Target state",$C67="Exception"),"Out of scope",IF($D67="Low","No tranche",IF($E67="Low","Tranche 1",IF($E67="Medium","Tranche 2",IF($D67="High","Tranche 3","No tranche"))))))</f>
        <v/>
      </c>
      <c r="K67" s="101" t="n"/>
      <c r="L67" s="101" t="n"/>
      <c r="M67" s="101" t="n"/>
      <c r="O67">
        <f>IF(AND($B67&lt;&gt;"",$C67&lt;&gt;"Target state",$C67&lt;&gt;"Exception",$D67="High",$E67="Low"),$A67&amp;"  "&amp;$B67,"")</f>
        <v/>
      </c>
      <c r="P67">
        <f>IF(AND($B67&lt;&gt;"",$C67&lt;&gt;"Target state",$C67&lt;&gt;"Exception",$D67="High",$E67="Medium"),$A67&amp;"  "&amp;$B67,"")</f>
        <v/>
      </c>
      <c r="Q67">
        <f>IF(AND($B67&lt;&gt;"",$C67&lt;&gt;"Target state",$C67&lt;&gt;"Exception",$D67="High",$E67="High"),$A67&amp;"  "&amp;$B67,"")</f>
        <v/>
      </c>
      <c r="R67">
        <f>IF(AND($B67&lt;&gt;"",$C67&lt;&gt;"Target state",$C67&lt;&gt;"Exception",$D67="Medium",$E67="Low"),$A67&amp;"  "&amp;$B67,"")</f>
        <v/>
      </c>
      <c r="S67">
        <f>IF(AND($B67&lt;&gt;"",$C67&lt;&gt;"Target state",$C67&lt;&gt;"Exception",$D67="Medium",$E67="Medium"),$A67&amp;"  "&amp;$B67,"")</f>
        <v/>
      </c>
      <c r="T67">
        <f>IF(AND($B67&lt;&gt;"",$C67&lt;&gt;"Target state",$C67&lt;&gt;"Exception",$D67="Medium",$E67="High"),$A67&amp;"  "&amp;$B67,"")</f>
        <v/>
      </c>
      <c r="U67">
        <f>IF(AND($B67&lt;&gt;"",$C67&lt;&gt;"Target state",$C67&lt;&gt;"Exception",$D67="Low",$E67="Low"),$A67&amp;"  "&amp;$B67,"")</f>
        <v/>
      </c>
      <c r="V67">
        <f>IF(AND($B67&lt;&gt;"",$C67&lt;&gt;"Target state",$C67&lt;&gt;"Exception",$D67="Low",$E67="Medium"),$A67&amp;"  "&amp;$B67,"")</f>
        <v/>
      </c>
      <c r="W67">
        <f>IF(AND($B67&lt;&gt;"",$C67&lt;&gt;"Target state",$C67&lt;&gt;"Exception",$D67="Low",$E67="High"),$A67&amp;"  "&amp;$B67,"")</f>
        <v/>
      </c>
    </row>
    <row r="68" ht="36" customHeight="1" s="52">
      <c r="A68" s="93" t="inlineStr">
        <is>
          <t>⑦</t>
        </is>
      </c>
      <c r="B68" s="94" t="inlineStr">
        <is>
          <t>SEAT</t>
        </is>
      </c>
      <c r="C68" s="73" t="inlineStr">
        <is>
          <t>Non-target state</t>
        </is>
      </c>
      <c r="D68" s="73" t="n"/>
      <c r="E68" s="73" t="n"/>
      <c r="F68" s="72" t="inlineStr">
        <is>
          <t>Non-strategic sales entity and application workflow configuration tool with about 150 users; around $150K in yearly cost; repository flags Further Input — confirm with SPOC</t>
        </is>
      </c>
      <c r="G68" s="95">
        <f>IF(OR($B68="",$D68="",$E68=""),"",IF(OR($C68="Target state",$C68="Exception"),"Out of scope",IF($D68="Low","No tranche",IF($E68="Low","Tranche 1",IF($E68="Medium","Tranche 2",IF($D68="High","Tranche 3","No tranche"))))))</f>
        <v/>
      </c>
      <c r="K68" s="101" t="n"/>
      <c r="L68" s="101" t="n"/>
      <c r="M68" s="101" t="n"/>
      <c r="O68">
        <f>IF(AND($B68&lt;&gt;"",$C68&lt;&gt;"Target state",$C68&lt;&gt;"Exception",$D68="High",$E68="Low"),$A68&amp;"  "&amp;$B68,"")</f>
        <v/>
      </c>
      <c r="P68">
        <f>IF(AND($B68&lt;&gt;"",$C68&lt;&gt;"Target state",$C68&lt;&gt;"Exception",$D68="High",$E68="Medium"),$A68&amp;"  "&amp;$B68,"")</f>
        <v/>
      </c>
      <c r="Q68">
        <f>IF(AND($B68&lt;&gt;"",$C68&lt;&gt;"Target state",$C68&lt;&gt;"Exception",$D68="High",$E68="High"),$A68&amp;"  "&amp;$B68,"")</f>
        <v/>
      </c>
      <c r="R68">
        <f>IF(AND($B68&lt;&gt;"",$C68&lt;&gt;"Target state",$C68&lt;&gt;"Exception",$D68="Medium",$E68="Low"),$A68&amp;"  "&amp;$B68,"")</f>
        <v/>
      </c>
      <c r="S68">
        <f>IF(AND($B68&lt;&gt;"",$C68&lt;&gt;"Target state",$C68&lt;&gt;"Exception",$D68="Medium",$E68="Medium"),$A68&amp;"  "&amp;$B68,"")</f>
        <v/>
      </c>
      <c r="T68">
        <f>IF(AND($B68&lt;&gt;"",$C68&lt;&gt;"Target state",$C68&lt;&gt;"Exception",$D68="Medium",$E68="High"),$A68&amp;"  "&amp;$B68,"")</f>
        <v/>
      </c>
      <c r="U68">
        <f>IF(AND($B68&lt;&gt;"",$C68&lt;&gt;"Target state",$C68&lt;&gt;"Exception",$D68="Low",$E68="Low"),$A68&amp;"  "&amp;$B68,"")</f>
        <v/>
      </c>
      <c r="V68">
        <f>IF(AND($B68&lt;&gt;"",$C68&lt;&gt;"Target state",$C68&lt;&gt;"Exception",$D68="Low",$E68="Medium"),$A68&amp;"  "&amp;$B68,"")</f>
        <v/>
      </c>
      <c r="W68">
        <f>IF(AND($B68&lt;&gt;"",$C68&lt;&gt;"Target state",$C68&lt;&gt;"Exception",$D68="Low",$E68="High"),$A68&amp;"  "&amp;$B68,"")</f>
        <v/>
      </c>
    </row>
    <row r="69" ht="48" customHeight="1" s="52">
      <c r="A69" s="93" t="inlineStr">
        <is>
          <t>⑧</t>
        </is>
      </c>
      <c r="B69" s="94" t="inlineStr">
        <is>
          <t>Flex (EVO boarding)</t>
        </is>
      </c>
      <c r="C69" s="73" t="inlineStr">
        <is>
          <t>Non-target state</t>
        </is>
      </c>
      <c r="D69" s="73" t="n"/>
      <c r="E69" s="73" t="n"/>
      <c r="F69" s="72" t="inlineStr">
        <is>
          <t>Non-strategic EVO boarding of demographics, plans and fees with equipment ordering and deployment ticketing; about $150K in yearly cost; on the decommission path. Distinct from the Canadian FLEX terminal application parked separately</t>
        </is>
      </c>
      <c r="G69" s="95">
        <f>IF(OR($B69="",$D69="",$E69=""),"",IF(OR($C69="Target state",$C69="Exception"),"Out of scope",IF($D69="Low","No tranche",IF($E69="Low","Tranche 1",IF($E69="Medium","Tranche 2",IF($D69="High","Tranche 3","No tranche"))))))</f>
        <v/>
      </c>
      <c r="K69" s="102" t="n"/>
      <c r="L69" s="102" t="n"/>
      <c r="M69" s="102" t="n"/>
      <c r="O69">
        <f>IF(AND($B69&lt;&gt;"",$C69&lt;&gt;"Target state",$C69&lt;&gt;"Exception",$D69="High",$E69="Low"),$A69&amp;"  "&amp;$B69,"")</f>
        <v/>
      </c>
      <c r="P69">
        <f>IF(AND($B69&lt;&gt;"",$C69&lt;&gt;"Target state",$C69&lt;&gt;"Exception",$D69="High",$E69="Medium"),$A69&amp;"  "&amp;$B69,"")</f>
        <v/>
      </c>
      <c r="Q69">
        <f>IF(AND($B69&lt;&gt;"",$C69&lt;&gt;"Target state",$C69&lt;&gt;"Exception",$D69="High",$E69="High"),$A69&amp;"  "&amp;$B69,"")</f>
        <v/>
      </c>
      <c r="R69">
        <f>IF(AND($B69&lt;&gt;"",$C69&lt;&gt;"Target state",$C69&lt;&gt;"Exception",$D69="Medium",$E69="Low"),$A69&amp;"  "&amp;$B69,"")</f>
        <v/>
      </c>
      <c r="S69">
        <f>IF(AND($B69&lt;&gt;"",$C69&lt;&gt;"Target state",$C69&lt;&gt;"Exception",$D69="Medium",$E69="Medium"),$A69&amp;"  "&amp;$B69,"")</f>
        <v/>
      </c>
      <c r="T69">
        <f>IF(AND($B69&lt;&gt;"",$C69&lt;&gt;"Target state",$C69&lt;&gt;"Exception",$D69="Medium",$E69="High"),$A69&amp;"  "&amp;$B69,"")</f>
        <v/>
      </c>
      <c r="U69">
        <f>IF(AND($B69&lt;&gt;"",$C69&lt;&gt;"Target state",$C69&lt;&gt;"Exception",$D69="Low",$E69="Low"),$A69&amp;"  "&amp;$B69,"")</f>
        <v/>
      </c>
      <c r="V69">
        <f>IF(AND($B69&lt;&gt;"",$C69&lt;&gt;"Target state",$C69&lt;&gt;"Exception",$D69="Low",$E69="Medium"),$A69&amp;"  "&amp;$B69,"")</f>
        <v/>
      </c>
      <c r="W69">
        <f>IF(AND($B69&lt;&gt;"",$C69&lt;&gt;"Target state",$C69&lt;&gt;"Exception",$D69="Low",$E69="High"),$A69&amp;"  "&amp;$B69,"")</f>
        <v/>
      </c>
    </row>
    <row r="70" ht="20" customHeight="1" s="52">
      <c r="A70" s="93" t="inlineStr">
        <is>
          <t>⑨</t>
        </is>
      </c>
      <c r="B70" s="94" t="n"/>
      <c r="C70" s="73" t="n"/>
      <c r="D70" s="73" t="n"/>
      <c r="E70" s="73" t="n"/>
      <c r="F70" s="72" t="n"/>
      <c r="G70" s="95">
        <f>IF(OR($B70="",$D70="",$E70=""),"",IF(OR($C70="Target state",$C70="Exception"),"Out of scope",IF($D70="Low","No tranche",IF($E70="Low","Tranche 1",IF($E70="Medium","Tranche 2",IF($D70="High","Tranche 3","No tranche"))))))</f>
        <v/>
      </c>
      <c r="J70" s="97" t="inlineStr">
        <is>
          <t>Low</t>
        </is>
      </c>
      <c r="K70" s="103">
        <f>_xlfn.TEXTJOIN(CHAR(10),TRUE,U$62:U$73)</f>
        <v/>
      </c>
      <c r="L70" s="103">
        <f>_xlfn.TEXTJOIN(CHAR(10),TRUE,V$62:V$73)</f>
        <v/>
      </c>
      <c r="M70" s="103">
        <f>_xlfn.TEXTJOIN(CHAR(10),TRUE,W$62:W$73)</f>
        <v/>
      </c>
      <c r="O70">
        <f>IF(AND($B70&lt;&gt;"",$C70&lt;&gt;"Target state",$C70&lt;&gt;"Exception",$D70="High",$E70="Low"),$A70&amp;"  "&amp;$B70,"")</f>
        <v/>
      </c>
      <c r="P70">
        <f>IF(AND($B70&lt;&gt;"",$C70&lt;&gt;"Target state",$C70&lt;&gt;"Exception",$D70="High",$E70="Medium"),$A70&amp;"  "&amp;$B70,"")</f>
        <v/>
      </c>
      <c r="Q70">
        <f>IF(AND($B70&lt;&gt;"",$C70&lt;&gt;"Target state",$C70&lt;&gt;"Exception",$D70="High",$E70="High"),$A70&amp;"  "&amp;$B70,"")</f>
        <v/>
      </c>
      <c r="R70">
        <f>IF(AND($B70&lt;&gt;"",$C70&lt;&gt;"Target state",$C70&lt;&gt;"Exception",$D70="Medium",$E70="Low"),$A70&amp;"  "&amp;$B70,"")</f>
        <v/>
      </c>
      <c r="S70">
        <f>IF(AND($B70&lt;&gt;"",$C70&lt;&gt;"Target state",$C70&lt;&gt;"Exception",$D70="Medium",$E70="Medium"),$A70&amp;"  "&amp;$B70,"")</f>
        <v/>
      </c>
      <c r="T70">
        <f>IF(AND($B70&lt;&gt;"",$C70&lt;&gt;"Target state",$C70&lt;&gt;"Exception",$D70="Medium",$E70="High"),$A70&amp;"  "&amp;$B70,"")</f>
        <v/>
      </c>
      <c r="U70">
        <f>IF(AND($B70&lt;&gt;"",$C70&lt;&gt;"Target state",$C70&lt;&gt;"Exception",$D70="Low",$E70="Low"),$A70&amp;"  "&amp;$B70,"")</f>
        <v/>
      </c>
      <c r="V70">
        <f>IF(AND($B70&lt;&gt;"",$C70&lt;&gt;"Target state",$C70&lt;&gt;"Exception",$D70="Low",$E70="Medium"),$A70&amp;"  "&amp;$B70,"")</f>
        <v/>
      </c>
      <c r="W70">
        <f>IF(AND($B70&lt;&gt;"",$C70&lt;&gt;"Target state",$C70&lt;&gt;"Exception",$D70="Low",$E70="High"),$A70&amp;"  "&amp;$B70,"")</f>
        <v/>
      </c>
    </row>
    <row r="71" ht="20" customHeight="1" s="52">
      <c r="A71" s="93" t="inlineStr">
        <is>
          <t>⑩</t>
        </is>
      </c>
      <c r="B71" s="94" t="n"/>
      <c r="C71" s="73" t="n"/>
      <c r="D71" s="73" t="n"/>
      <c r="E71" s="73" t="n"/>
      <c r="F71" s="72" t="n"/>
      <c r="G71" s="95">
        <f>IF(OR($B71="",$D71="",$E71=""),"",IF(OR($C71="Target state",$C71="Exception"),"Out of scope",IF($D71="Low","No tranche",IF($E71="Low","Tranche 1",IF($E71="Medium","Tranche 2",IF($D71="High","Tranche 3","No tranche"))))))</f>
        <v/>
      </c>
      <c r="K71" s="101" t="n"/>
      <c r="L71" s="101" t="n"/>
      <c r="M71" s="101" t="n"/>
      <c r="O71">
        <f>IF(AND($B71&lt;&gt;"",$C71&lt;&gt;"Target state",$C71&lt;&gt;"Exception",$D71="High",$E71="Low"),$A71&amp;"  "&amp;$B71,"")</f>
        <v/>
      </c>
      <c r="P71">
        <f>IF(AND($B71&lt;&gt;"",$C71&lt;&gt;"Target state",$C71&lt;&gt;"Exception",$D71="High",$E71="Medium"),$A71&amp;"  "&amp;$B71,"")</f>
        <v/>
      </c>
      <c r="Q71">
        <f>IF(AND($B71&lt;&gt;"",$C71&lt;&gt;"Target state",$C71&lt;&gt;"Exception",$D71="High",$E71="High"),$A71&amp;"  "&amp;$B71,"")</f>
        <v/>
      </c>
      <c r="R71">
        <f>IF(AND($B71&lt;&gt;"",$C71&lt;&gt;"Target state",$C71&lt;&gt;"Exception",$D71="Medium",$E71="Low"),$A71&amp;"  "&amp;$B71,"")</f>
        <v/>
      </c>
      <c r="S71">
        <f>IF(AND($B71&lt;&gt;"",$C71&lt;&gt;"Target state",$C71&lt;&gt;"Exception",$D71="Medium",$E71="Medium"),$A71&amp;"  "&amp;$B71,"")</f>
        <v/>
      </c>
      <c r="T71">
        <f>IF(AND($B71&lt;&gt;"",$C71&lt;&gt;"Target state",$C71&lt;&gt;"Exception",$D71="Medium",$E71="High"),$A71&amp;"  "&amp;$B71,"")</f>
        <v/>
      </c>
      <c r="U71">
        <f>IF(AND($B71&lt;&gt;"",$C71&lt;&gt;"Target state",$C71&lt;&gt;"Exception",$D71="Low",$E71="Low"),$A71&amp;"  "&amp;$B71,"")</f>
        <v/>
      </c>
      <c r="V71">
        <f>IF(AND($B71&lt;&gt;"",$C71&lt;&gt;"Target state",$C71&lt;&gt;"Exception",$D71="Low",$E71="Medium"),$A71&amp;"  "&amp;$B71,"")</f>
        <v/>
      </c>
      <c r="W71">
        <f>IF(AND($B71&lt;&gt;"",$C71&lt;&gt;"Target state",$C71&lt;&gt;"Exception",$D71="Low",$E71="High"),$A71&amp;"  "&amp;$B71,"")</f>
        <v/>
      </c>
    </row>
    <row r="72" ht="20" customHeight="1" s="52">
      <c r="A72" s="93" t="inlineStr">
        <is>
          <t>⑪</t>
        </is>
      </c>
      <c r="B72" s="94" t="n"/>
      <c r="C72" s="73" t="n"/>
      <c r="D72" s="73" t="n"/>
      <c r="E72" s="73" t="n"/>
      <c r="F72" s="72" t="n"/>
      <c r="G72" s="95">
        <f>IF(OR($B72="",$D72="",$E72=""),"",IF(OR($C72="Target state",$C72="Exception"),"Out of scope",IF($D72="Low","No tranche",IF($E72="Low","Tranche 1",IF($E72="Medium","Tranche 2",IF($D72="High","Tranche 3","No tranche"))))))</f>
        <v/>
      </c>
      <c r="K72" s="101" t="n"/>
      <c r="L72" s="101" t="n"/>
      <c r="M72" s="101" t="n"/>
      <c r="O72">
        <f>IF(AND($B72&lt;&gt;"",$C72&lt;&gt;"Target state",$C72&lt;&gt;"Exception",$D72="High",$E72="Low"),$A72&amp;"  "&amp;$B72,"")</f>
        <v/>
      </c>
      <c r="P72">
        <f>IF(AND($B72&lt;&gt;"",$C72&lt;&gt;"Target state",$C72&lt;&gt;"Exception",$D72="High",$E72="Medium"),$A72&amp;"  "&amp;$B72,"")</f>
        <v/>
      </c>
      <c r="Q72">
        <f>IF(AND($B72&lt;&gt;"",$C72&lt;&gt;"Target state",$C72&lt;&gt;"Exception",$D72="High",$E72="High"),$A72&amp;"  "&amp;$B72,"")</f>
        <v/>
      </c>
      <c r="R72">
        <f>IF(AND($B72&lt;&gt;"",$C72&lt;&gt;"Target state",$C72&lt;&gt;"Exception",$D72="Medium",$E72="Low"),$A72&amp;"  "&amp;$B72,"")</f>
        <v/>
      </c>
      <c r="S72">
        <f>IF(AND($B72&lt;&gt;"",$C72&lt;&gt;"Target state",$C72&lt;&gt;"Exception",$D72="Medium",$E72="Medium"),$A72&amp;"  "&amp;$B72,"")</f>
        <v/>
      </c>
      <c r="T72">
        <f>IF(AND($B72&lt;&gt;"",$C72&lt;&gt;"Target state",$C72&lt;&gt;"Exception",$D72="Medium",$E72="High"),$A72&amp;"  "&amp;$B72,"")</f>
        <v/>
      </c>
      <c r="U72">
        <f>IF(AND($B72&lt;&gt;"",$C72&lt;&gt;"Target state",$C72&lt;&gt;"Exception",$D72="Low",$E72="Low"),$A72&amp;"  "&amp;$B72,"")</f>
        <v/>
      </c>
      <c r="V72">
        <f>IF(AND($B72&lt;&gt;"",$C72&lt;&gt;"Target state",$C72&lt;&gt;"Exception",$D72="Low",$E72="Medium"),$A72&amp;"  "&amp;$B72,"")</f>
        <v/>
      </c>
      <c r="W72">
        <f>IF(AND($B72&lt;&gt;"",$C72&lt;&gt;"Target state",$C72&lt;&gt;"Exception",$D72="Low",$E72="High"),$A72&amp;"  "&amp;$B72,"")</f>
        <v/>
      </c>
    </row>
    <row r="73" ht="20" customHeight="1" s="52">
      <c r="A73" s="93" t="inlineStr">
        <is>
          <t>⑫</t>
        </is>
      </c>
      <c r="B73" s="94" t="n"/>
      <c r="C73" s="73" t="n"/>
      <c r="D73" s="73" t="n"/>
      <c r="E73" s="73" t="n"/>
      <c r="F73" s="72" t="n"/>
      <c r="G73" s="95">
        <f>IF(OR($B73="",$D73="",$E73=""),"",IF(OR($C73="Target state",$C73="Exception"),"Out of scope",IF($D73="Low","No tranche",IF($E73="Low","Tranche 1",IF($E73="Medium","Tranche 2",IF($D73="High","Tranche 3","No tranche"))))))</f>
        <v/>
      </c>
      <c r="K73" s="102" t="n"/>
      <c r="L73" s="102" t="n"/>
      <c r="M73" s="102" t="n"/>
      <c r="O73">
        <f>IF(AND($B73&lt;&gt;"",$C73&lt;&gt;"Target state",$C73&lt;&gt;"Exception",$D73="High",$E73="Low"),$A73&amp;"  "&amp;$B73,"")</f>
        <v/>
      </c>
      <c r="P73">
        <f>IF(AND($B73&lt;&gt;"",$C73&lt;&gt;"Target state",$C73&lt;&gt;"Exception",$D73="High",$E73="Medium"),$A73&amp;"  "&amp;$B73,"")</f>
        <v/>
      </c>
      <c r="Q73">
        <f>IF(AND($B73&lt;&gt;"",$C73&lt;&gt;"Target state",$C73&lt;&gt;"Exception",$D73="High",$E73="High"),$A73&amp;"  "&amp;$B73,"")</f>
        <v/>
      </c>
      <c r="R73">
        <f>IF(AND($B73&lt;&gt;"",$C73&lt;&gt;"Target state",$C73&lt;&gt;"Exception",$D73="Medium",$E73="Low"),$A73&amp;"  "&amp;$B73,"")</f>
        <v/>
      </c>
      <c r="S73">
        <f>IF(AND($B73&lt;&gt;"",$C73&lt;&gt;"Target state",$C73&lt;&gt;"Exception",$D73="Medium",$E73="Medium"),$A73&amp;"  "&amp;$B73,"")</f>
        <v/>
      </c>
      <c r="T73">
        <f>IF(AND($B73&lt;&gt;"",$C73&lt;&gt;"Target state",$C73&lt;&gt;"Exception",$D73="Medium",$E73="High"),$A73&amp;"  "&amp;$B73,"")</f>
        <v/>
      </c>
      <c r="U73">
        <f>IF(AND($B73&lt;&gt;"",$C73&lt;&gt;"Target state",$C73&lt;&gt;"Exception",$D73="Low",$E73="Low"),$A73&amp;"  "&amp;$B73,"")</f>
        <v/>
      </c>
      <c r="V73">
        <f>IF(AND($B73&lt;&gt;"",$C73&lt;&gt;"Target state",$C73&lt;&gt;"Exception",$D73="Low",$E73="Medium"),$A73&amp;"  "&amp;$B73,"")</f>
        <v/>
      </c>
      <c r="W73">
        <f>IF(AND($B73&lt;&gt;"",$C73&lt;&gt;"Target state",$C73&lt;&gt;"Exception",$D73="Low",$E73="High"),$A73&amp;"  "&amp;$B73,"")</f>
        <v/>
      </c>
    </row>
    <row r="74">
      <c r="K74" s="97" t="inlineStr">
        <is>
          <t>Complexity</t>
        </is>
      </c>
    </row>
    <row r="78" ht="22" customHeight="1" s="52">
      <c r="A78" s="88" t="inlineStr">
        <is>
          <t>Integration &amp; Messaging</t>
        </is>
      </c>
      <c r="G78" s="89">
        <f>HYPERLINK("#'Boarding'!A4","▲ tracker")</f>
        <v/>
      </c>
      <c r="K78" s="90" t="inlineStr">
        <is>
          <t>Assessment Outcome</t>
        </is>
      </c>
    </row>
    <row r="79" ht="18" customHeight="1" s="52">
      <c r="A79" s="91" t="inlineStr">
        <is>
          <t>#</t>
        </is>
      </c>
      <c r="B79" s="91" t="inlineStr">
        <is>
          <t>Platform</t>
        </is>
      </c>
      <c r="C79" s="91" t="inlineStr">
        <is>
          <t>State</t>
        </is>
      </c>
      <c r="D79" s="91" t="inlineStr">
        <is>
          <t>Imperative to exit</t>
        </is>
      </c>
      <c r="E79" s="91" t="inlineStr">
        <is>
          <t>Exit complexity</t>
        </is>
      </c>
      <c r="F79" s="91" t="inlineStr">
        <is>
          <t>Supporting facts</t>
        </is>
      </c>
      <c r="G79" s="91" t="inlineStr">
        <is>
          <t>Tranche (auto)</t>
        </is>
      </c>
      <c r="K79" s="92" t="inlineStr">
        <is>
          <t>Low</t>
        </is>
      </c>
      <c r="L79" s="92" t="inlineStr">
        <is>
          <t>Medium</t>
        </is>
      </c>
      <c r="M79" s="92" t="inlineStr">
        <is>
          <t>High</t>
        </is>
      </c>
    </row>
    <row r="80" ht="36" customHeight="1" s="52">
      <c r="A80" s="93" t="inlineStr">
        <is>
          <t>①</t>
        </is>
      </c>
      <c r="B80" s="94" t="inlineStr">
        <is>
          <t>The Central API</t>
        </is>
      </c>
      <c r="C80" s="73" t="inlineStr">
        <is>
          <t>Non-target state</t>
        </is>
      </c>
      <c r="D80" s="73" t="n"/>
      <c r="E80" s="73" t="n"/>
      <c r="F80" s="72" t="inlineStr">
        <is>
          <t>Communications backbone for Heartland POS providing boarding automation, invoicing, monitoring and service activations; about $1.3M in yearly cost; sustain in KTLO per the repository</t>
        </is>
      </c>
      <c r="G80" s="95">
        <f>IF(OR($B80="",$D80="",$E80=""),"",IF(OR($C80="Target state",$C80="Exception"),"Out of scope",IF($D80="Low","No tranche",IF($E80="Low","Tranche 1",IF($E80="Medium","Tranche 2",IF($D80="High","Tranche 3","No tranche"))))))</f>
        <v/>
      </c>
      <c r="I80" s="96" t="inlineStr">
        <is>
          <t>Benefits</t>
        </is>
      </c>
      <c r="J80" s="97" t="inlineStr">
        <is>
          <t>High</t>
        </is>
      </c>
      <c r="K80" s="98">
        <f>"Tranche 1"&amp;CHAR(10)&amp;_xlfn.TEXTJOIN(CHAR(10),TRUE,O$80:O$89)</f>
        <v/>
      </c>
      <c r="L80" s="99">
        <f>"Tranche 2"&amp;CHAR(10)&amp;_xlfn.TEXTJOIN(CHAR(10),TRUE,P$80:P$89)</f>
        <v/>
      </c>
      <c r="M80" s="100">
        <f>"Tranche 3"&amp;CHAR(10)&amp;_xlfn.TEXTJOIN(CHAR(10),TRUE,Q$80:Q$89)</f>
        <v/>
      </c>
      <c r="O80">
        <f>IF(AND($B80&lt;&gt;"",$C80&lt;&gt;"Target state",$C80&lt;&gt;"Exception",$D80="High",$E80="Low"),$A80&amp;"  "&amp;$B80,"")</f>
        <v/>
      </c>
      <c r="P80">
        <f>IF(AND($B80&lt;&gt;"",$C80&lt;&gt;"Target state",$C80&lt;&gt;"Exception",$D80="High",$E80="Medium"),$A80&amp;"  "&amp;$B80,"")</f>
        <v/>
      </c>
      <c r="Q80">
        <f>IF(AND($B80&lt;&gt;"",$C80&lt;&gt;"Target state",$C80&lt;&gt;"Exception",$D80="High",$E80="High"),$A80&amp;"  "&amp;$B80,"")</f>
        <v/>
      </c>
      <c r="R80">
        <f>IF(AND($B80&lt;&gt;"",$C80&lt;&gt;"Target state",$C80&lt;&gt;"Exception",$D80="Medium",$E80="Low"),$A80&amp;"  "&amp;$B80,"")</f>
        <v/>
      </c>
      <c r="S80">
        <f>IF(AND($B80&lt;&gt;"",$C80&lt;&gt;"Target state",$C80&lt;&gt;"Exception",$D80="Medium",$E80="Medium"),$A80&amp;"  "&amp;$B80,"")</f>
        <v/>
      </c>
      <c r="T80">
        <f>IF(AND($B80&lt;&gt;"",$C80&lt;&gt;"Target state",$C80&lt;&gt;"Exception",$D80="Medium",$E80="High"),$A80&amp;"  "&amp;$B80,"")</f>
        <v/>
      </c>
      <c r="U80">
        <f>IF(AND($B80&lt;&gt;"",$C80&lt;&gt;"Target state",$C80&lt;&gt;"Exception",$D80="Low",$E80="Low"),$A80&amp;"  "&amp;$B80,"")</f>
        <v/>
      </c>
      <c r="V80">
        <f>IF(AND($B80&lt;&gt;"",$C80&lt;&gt;"Target state",$C80&lt;&gt;"Exception",$D80="Low",$E80="Medium"),$A80&amp;"  "&amp;$B80,"")</f>
        <v/>
      </c>
      <c r="W80">
        <f>IF(AND($B80&lt;&gt;"",$C80&lt;&gt;"Target state",$C80&lt;&gt;"Exception",$D80="Low",$E80="High"),$A80&amp;"  "&amp;$B80,"")</f>
        <v/>
      </c>
    </row>
    <row r="81" ht="20" customHeight="1" s="52">
      <c r="A81" s="93" t="inlineStr">
        <is>
          <t>②</t>
        </is>
      </c>
      <c r="B81" s="94" t="n"/>
      <c r="C81" s="73" t="n"/>
      <c r="D81" s="73" t="n"/>
      <c r="E81" s="73" t="n"/>
      <c r="F81" s="72" t="n"/>
      <c r="G81" s="95">
        <f>IF(OR($B81="",$D81="",$E81=""),"",IF(OR($C81="Target state",$C81="Exception"),"Out of scope",IF($D81="Low","No tranche",IF($E81="Low","Tranche 1",IF($E81="Medium","Tranche 2",IF($D81="High","Tranche 3","No tranche"))))))</f>
        <v/>
      </c>
      <c r="K81" s="101" t="n"/>
      <c r="L81" s="101" t="n"/>
      <c r="M81" s="101" t="n"/>
      <c r="O81">
        <f>IF(AND($B81&lt;&gt;"",$C81&lt;&gt;"Target state",$C81&lt;&gt;"Exception",$D81="High",$E81="Low"),$A81&amp;"  "&amp;$B81,"")</f>
        <v/>
      </c>
      <c r="P81">
        <f>IF(AND($B81&lt;&gt;"",$C81&lt;&gt;"Target state",$C81&lt;&gt;"Exception",$D81="High",$E81="Medium"),$A81&amp;"  "&amp;$B81,"")</f>
        <v/>
      </c>
      <c r="Q81">
        <f>IF(AND($B81&lt;&gt;"",$C81&lt;&gt;"Target state",$C81&lt;&gt;"Exception",$D81="High",$E81="High"),$A81&amp;"  "&amp;$B81,"")</f>
        <v/>
      </c>
      <c r="R81">
        <f>IF(AND($B81&lt;&gt;"",$C81&lt;&gt;"Target state",$C81&lt;&gt;"Exception",$D81="Medium",$E81="Low"),$A81&amp;"  "&amp;$B81,"")</f>
        <v/>
      </c>
      <c r="S81">
        <f>IF(AND($B81&lt;&gt;"",$C81&lt;&gt;"Target state",$C81&lt;&gt;"Exception",$D81="Medium",$E81="Medium"),$A81&amp;"  "&amp;$B81,"")</f>
        <v/>
      </c>
      <c r="T81">
        <f>IF(AND($B81&lt;&gt;"",$C81&lt;&gt;"Target state",$C81&lt;&gt;"Exception",$D81="Medium",$E81="High"),$A81&amp;"  "&amp;$B81,"")</f>
        <v/>
      </c>
      <c r="U81">
        <f>IF(AND($B81&lt;&gt;"",$C81&lt;&gt;"Target state",$C81&lt;&gt;"Exception",$D81="Low",$E81="Low"),$A81&amp;"  "&amp;$B81,"")</f>
        <v/>
      </c>
      <c r="V81">
        <f>IF(AND($B81&lt;&gt;"",$C81&lt;&gt;"Target state",$C81&lt;&gt;"Exception",$D81="Low",$E81="Medium"),$A81&amp;"  "&amp;$B81,"")</f>
        <v/>
      </c>
      <c r="W81">
        <f>IF(AND($B81&lt;&gt;"",$C81&lt;&gt;"Target state",$C81&lt;&gt;"Exception",$D81="Low",$E81="High"),$A81&amp;"  "&amp;$B81,"")</f>
        <v/>
      </c>
    </row>
    <row r="82" ht="20" customHeight="1" s="52">
      <c r="A82" s="93" t="inlineStr">
        <is>
          <t>③</t>
        </is>
      </c>
      <c r="B82" s="94" t="n"/>
      <c r="C82" s="73" t="n"/>
      <c r="D82" s="73" t="n"/>
      <c r="E82" s="73" t="n"/>
      <c r="F82" s="72" t="n"/>
      <c r="G82" s="95">
        <f>IF(OR($B82="",$D82="",$E82=""),"",IF(OR($C82="Target state",$C82="Exception"),"Out of scope",IF($D82="Low","No tranche",IF($E82="Low","Tranche 1",IF($E82="Medium","Tranche 2",IF($D82="High","Tranche 3","No tranche"))))))</f>
        <v/>
      </c>
      <c r="K82" s="101" t="n"/>
      <c r="L82" s="101" t="n"/>
      <c r="M82" s="101" t="n"/>
      <c r="O82">
        <f>IF(AND($B82&lt;&gt;"",$C82&lt;&gt;"Target state",$C82&lt;&gt;"Exception",$D82="High",$E82="Low"),$A82&amp;"  "&amp;$B82,"")</f>
        <v/>
      </c>
      <c r="P82">
        <f>IF(AND($B82&lt;&gt;"",$C82&lt;&gt;"Target state",$C82&lt;&gt;"Exception",$D82="High",$E82="Medium"),$A82&amp;"  "&amp;$B82,"")</f>
        <v/>
      </c>
      <c r="Q82">
        <f>IF(AND($B82&lt;&gt;"",$C82&lt;&gt;"Target state",$C82&lt;&gt;"Exception",$D82="High",$E82="High"),$A82&amp;"  "&amp;$B82,"")</f>
        <v/>
      </c>
      <c r="R82">
        <f>IF(AND($B82&lt;&gt;"",$C82&lt;&gt;"Target state",$C82&lt;&gt;"Exception",$D82="Medium",$E82="Low"),$A82&amp;"  "&amp;$B82,"")</f>
        <v/>
      </c>
      <c r="S82">
        <f>IF(AND($B82&lt;&gt;"",$C82&lt;&gt;"Target state",$C82&lt;&gt;"Exception",$D82="Medium",$E82="Medium"),$A82&amp;"  "&amp;$B82,"")</f>
        <v/>
      </c>
      <c r="T82">
        <f>IF(AND($B82&lt;&gt;"",$C82&lt;&gt;"Target state",$C82&lt;&gt;"Exception",$D82="Medium",$E82="High"),$A82&amp;"  "&amp;$B82,"")</f>
        <v/>
      </c>
      <c r="U82">
        <f>IF(AND($B82&lt;&gt;"",$C82&lt;&gt;"Target state",$C82&lt;&gt;"Exception",$D82="Low",$E82="Low"),$A82&amp;"  "&amp;$B82,"")</f>
        <v/>
      </c>
      <c r="V82">
        <f>IF(AND($B82&lt;&gt;"",$C82&lt;&gt;"Target state",$C82&lt;&gt;"Exception",$D82="Low",$E82="Medium"),$A82&amp;"  "&amp;$B82,"")</f>
        <v/>
      </c>
      <c r="W82">
        <f>IF(AND($B82&lt;&gt;"",$C82&lt;&gt;"Target state",$C82&lt;&gt;"Exception",$D82="Low",$E82="High"),$A82&amp;"  "&amp;$B82,"")</f>
        <v/>
      </c>
    </row>
    <row r="83" ht="20" customHeight="1" s="52">
      <c r="A83" s="93" t="inlineStr">
        <is>
          <t>④</t>
        </is>
      </c>
      <c r="B83" s="94" t="n"/>
      <c r="C83" s="73" t="n"/>
      <c r="D83" s="73" t="n"/>
      <c r="E83" s="73" t="n"/>
      <c r="F83" s="72" t="n"/>
      <c r="G83" s="95">
        <f>IF(OR($B83="",$D83="",$E83=""),"",IF(OR($C83="Target state",$C83="Exception"),"Out of scope",IF($D83="Low","No tranche",IF($E83="Low","Tranche 1",IF($E83="Medium","Tranche 2",IF($D83="High","Tranche 3","No tranche"))))))</f>
        <v/>
      </c>
      <c r="K83" s="102" t="n"/>
      <c r="L83" s="102" t="n"/>
      <c r="M83" s="102" t="n"/>
      <c r="O83">
        <f>IF(AND($B83&lt;&gt;"",$C83&lt;&gt;"Target state",$C83&lt;&gt;"Exception",$D83="High",$E83="Low"),$A83&amp;"  "&amp;$B83,"")</f>
        <v/>
      </c>
      <c r="P83">
        <f>IF(AND($B83&lt;&gt;"",$C83&lt;&gt;"Target state",$C83&lt;&gt;"Exception",$D83="High",$E83="Medium"),$A83&amp;"  "&amp;$B83,"")</f>
        <v/>
      </c>
      <c r="Q83">
        <f>IF(AND($B83&lt;&gt;"",$C83&lt;&gt;"Target state",$C83&lt;&gt;"Exception",$D83="High",$E83="High"),$A83&amp;"  "&amp;$B83,"")</f>
        <v/>
      </c>
      <c r="R83">
        <f>IF(AND($B83&lt;&gt;"",$C83&lt;&gt;"Target state",$C83&lt;&gt;"Exception",$D83="Medium",$E83="Low"),$A83&amp;"  "&amp;$B83,"")</f>
        <v/>
      </c>
      <c r="S83">
        <f>IF(AND($B83&lt;&gt;"",$C83&lt;&gt;"Target state",$C83&lt;&gt;"Exception",$D83="Medium",$E83="Medium"),$A83&amp;"  "&amp;$B83,"")</f>
        <v/>
      </c>
      <c r="T83">
        <f>IF(AND($B83&lt;&gt;"",$C83&lt;&gt;"Target state",$C83&lt;&gt;"Exception",$D83="Medium",$E83="High"),$A83&amp;"  "&amp;$B83,"")</f>
        <v/>
      </c>
      <c r="U83">
        <f>IF(AND($B83&lt;&gt;"",$C83&lt;&gt;"Target state",$C83&lt;&gt;"Exception",$D83="Low",$E83="Low"),$A83&amp;"  "&amp;$B83,"")</f>
        <v/>
      </c>
      <c r="V83">
        <f>IF(AND($B83&lt;&gt;"",$C83&lt;&gt;"Target state",$C83&lt;&gt;"Exception",$D83="Low",$E83="Medium"),$A83&amp;"  "&amp;$B83,"")</f>
        <v/>
      </c>
      <c r="W83">
        <f>IF(AND($B83&lt;&gt;"",$C83&lt;&gt;"Target state",$C83&lt;&gt;"Exception",$D83="Low",$E83="High"),$A83&amp;"  "&amp;$B83,"")</f>
        <v/>
      </c>
    </row>
    <row r="84" ht="20" customHeight="1" s="52">
      <c r="A84" s="93" t="inlineStr">
        <is>
          <t>⑤</t>
        </is>
      </c>
      <c r="B84" s="94" t="n"/>
      <c r="C84" s="73" t="n"/>
      <c r="D84" s="73" t="n"/>
      <c r="E84" s="73" t="n"/>
      <c r="F84" s="72" t="n"/>
      <c r="G84" s="95">
        <f>IF(OR($B84="",$D84="",$E84=""),"",IF(OR($C84="Target state",$C84="Exception"),"Out of scope",IF($D84="Low","No tranche",IF($E84="Low","Tranche 1",IF($E84="Medium","Tranche 2",IF($D84="High","Tranche 3","No tranche"))))))</f>
        <v/>
      </c>
      <c r="J84" s="97" t="inlineStr">
        <is>
          <t>Medium</t>
        </is>
      </c>
      <c r="K84" s="98">
        <f>"Tranche 1"&amp;CHAR(10)&amp;_xlfn.TEXTJOIN(CHAR(10),TRUE,R$80:R$89)</f>
        <v/>
      </c>
      <c r="L84" s="99">
        <f>"Tranche 2"&amp;CHAR(10)&amp;_xlfn.TEXTJOIN(CHAR(10),TRUE,S$80:S$89)</f>
        <v/>
      </c>
      <c r="M84" s="103">
        <f>_xlfn.TEXTJOIN(CHAR(10),TRUE,T$80:T$89)</f>
        <v/>
      </c>
      <c r="O84">
        <f>IF(AND($B84&lt;&gt;"",$C84&lt;&gt;"Target state",$C84&lt;&gt;"Exception",$D84="High",$E84="Low"),$A84&amp;"  "&amp;$B84,"")</f>
        <v/>
      </c>
      <c r="P84">
        <f>IF(AND($B84&lt;&gt;"",$C84&lt;&gt;"Target state",$C84&lt;&gt;"Exception",$D84="High",$E84="Medium"),$A84&amp;"  "&amp;$B84,"")</f>
        <v/>
      </c>
      <c r="Q84">
        <f>IF(AND($B84&lt;&gt;"",$C84&lt;&gt;"Target state",$C84&lt;&gt;"Exception",$D84="High",$E84="High"),$A84&amp;"  "&amp;$B84,"")</f>
        <v/>
      </c>
      <c r="R84">
        <f>IF(AND($B84&lt;&gt;"",$C84&lt;&gt;"Target state",$C84&lt;&gt;"Exception",$D84="Medium",$E84="Low"),$A84&amp;"  "&amp;$B84,"")</f>
        <v/>
      </c>
      <c r="S84">
        <f>IF(AND($B84&lt;&gt;"",$C84&lt;&gt;"Target state",$C84&lt;&gt;"Exception",$D84="Medium",$E84="Medium"),$A84&amp;"  "&amp;$B84,"")</f>
        <v/>
      </c>
      <c r="T84">
        <f>IF(AND($B84&lt;&gt;"",$C84&lt;&gt;"Target state",$C84&lt;&gt;"Exception",$D84="Medium",$E84="High"),$A84&amp;"  "&amp;$B84,"")</f>
        <v/>
      </c>
      <c r="U84">
        <f>IF(AND($B84&lt;&gt;"",$C84&lt;&gt;"Target state",$C84&lt;&gt;"Exception",$D84="Low",$E84="Low"),$A84&amp;"  "&amp;$B84,"")</f>
        <v/>
      </c>
      <c r="V84">
        <f>IF(AND($B84&lt;&gt;"",$C84&lt;&gt;"Target state",$C84&lt;&gt;"Exception",$D84="Low",$E84="Medium"),$A84&amp;"  "&amp;$B84,"")</f>
        <v/>
      </c>
      <c r="W84">
        <f>IF(AND($B84&lt;&gt;"",$C84&lt;&gt;"Target state",$C84&lt;&gt;"Exception",$D84="Low",$E84="High"),$A84&amp;"  "&amp;$B84,"")</f>
        <v/>
      </c>
    </row>
    <row r="85" ht="20" customHeight="1" s="52">
      <c r="A85" s="93" t="inlineStr">
        <is>
          <t>⑥</t>
        </is>
      </c>
      <c r="B85" s="94" t="n"/>
      <c r="C85" s="73" t="n"/>
      <c r="D85" s="73" t="n"/>
      <c r="E85" s="73" t="n"/>
      <c r="F85" s="72" t="n"/>
      <c r="G85" s="95">
        <f>IF(OR($B85="",$D85="",$E85=""),"",IF(OR($C85="Target state",$C85="Exception"),"Out of scope",IF($D85="Low","No tranche",IF($E85="Low","Tranche 1",IF($E85="Medium","Tranche 2",IF($D85="High","Tranche 3","No tranche"))))))</f>
        <v/>
      </c>
      <c r="K85" s="101" t="n"/>
      <c r="L85" s="101" t="n"/>
      <c r="M85" s="101" t="n"/>
      <c r="O85">
        <f>IF(AND($B85&lt;&gt;"",$C85&lt;&gt;"Target state",$C85&lt;&gt;"Exception",$D85="High",$E85="Low"),$A85&amp;"  "&amp;$B85,"")</f>
        <v/>
      </c>
      <c r="P85">
        <f>IF(AND($B85&lt;&gt;"",$C85&lt;&gt;"Target state",$C85&lt;&gt;"Exception",$D85="High",$E85="Medium"),$A85&amp;"  "&amp;$B85,"")</f>
        <v/>
      </c>
      <c r="Q85">
        <f>IF(AND($B85&lt;&gt;"",$C85&lt;&gt;"Target state",$C85&lt;&gt;"Exception",$D85="High",$E85="High"),$A85&amp;"  "&amp;$B85,"")</f>
        <v/>
      </c>
      <c r="R85">
        <f>IF(AND($B85&lt;&gt;"",$C85&lt;&gt;"Target state",$C85&lt;&gt;"Exception",$D85="Medium",$E85="Low"),$A85&amp;"  "&amp;$B85,"")</f>
        <v/>
      </c>
      <c r="S85">
        <f>IF(AND($B85&lt;&gt;"",$C85&lt;&gt;"Target state",$C85&lt;&gt;"Exception",$D85="Medium",$E85="Medium"),$A85&amp;"  "&amp;$B85,"")</f>
        <v/>
      </c>
      <c r="T85">
        <f>IF(AND($B85&lt;&gt;"",$C85&lt;&gt;"Target state",$C85&lt;&gt;"Exception",$D85="Medium",$E85="High"),$A85&amp;"  "&amp;$B85,"")</f>
        <v/>
      </c>
      <c r="U85">
        <f>IF(AND($B85&lt;&gt;"",$C85&lt;&gt;"Target state",$C85&lt;&gt;"Exception",$D85="Low",$E85="Low"),$A85&amp;"  "&amp;$B85,"")</f>
        <v/>
      </c>
      <c r="V85">
        <f>IF(AND($B85&lt;&gt;"",$C85&lt;&gt;"Target state",$C85&lt;&gt;"Exception",$D85="Low",$E85="Medium"),$A85&amp;"  "&amp;$B85,"")</f>
        <v/>
      </c>
      <c r="W85">
        <f>IF(AND($B85&lt;&gt;"",$C85&lt;&gt;"Target state",$C85&lt;&gt;"Exception",$D85="Low",$E85="High"),$A85&amp;"  "&amp;$B85,"")</f>
        <v/>
      </c>
    </row>
    <row r="86" ht="20" customHeight="1" s="52">
      <c r="A86" s="93" t="inlineStr">
        <is>
          <t>⑦</t>
        </is>
      </c>
      <c r="B86" s="94" t="n"/>
      <c r="C86" s="73" t="n"/>
      <c r="D86" s="73" t="n"/>
      <c r="E86" s="73" t="n"/>
      <c r="F86" s="72" t="n"/>
      <c r="G86" s="95">
        <f>IF(OR($B86="",$D86="",$E86=""),"",IF(OR($C86="Target state",$C86="Exception"),"Out of scope",IF($D86="Low","No tranche",IF($E86="Low","Tranche 1",IF($E86="Medium","Tranche 2",IF($D86="High","Tranche 3","No tranche"))))))</f>
        <v/>
      </c>
      <c r="K86" s="102" t="n"/>
      <c r="L86" s="102" t="n"/>
      <c r="M86" s="102" t="n"/>
      <c r="O86">
        <f>IF(AND($B86&lt;&gt;"",$C86&lt;&gt;"Target state",$C86&lt;&gt;"Exception",$D86="High",$E86="Low"),$A86&amp;"  "&amp;$B86,"")</f>
        <v/>
      </c>
      <c r="P86">
        <f>IF(AND($B86&lt;&gt;"",$C86&lt;&gt;"Target state",$C86&lt;&gt;"Exception",$D86="High",$E86="Medium"),$A86&amp;"  "&amp;$B86,"")</f>
        <v/>
      </c>
      <c r="Q86">
        <f>IF(AND($B86&lt;&gt;"",$C86&lt;&gt;"Target state",$C86&lt;&gt;"Exception",$D86="High",$E86="High"),$A86&amp;"  "&amp;$B86,"")</f>
        <v/>
      </c>
      <c r="R86">
        <f>IF(AND($B86&lt;&gt;"",$C86&lt;&gt;"Target state",$C86&lt;&gt;"Exception",$D86="Medium",$E86="Low"),$A86&amp;"  "&amp;$B86,"")</f>
        <v/>
      </c>
      <c r="S86">
        <f>IF(AND($B86&lt;&gt;"",$C86&lt;&gt;"Target state",$C86&lt;&gt;"Exception",$D86="Medium",$E86="Medium"),$A86&amp;"  "&amp;$B86,"")</f>
        <v/>
      </c>
      <c r="T86">
        <f>IF(AND($B86&lt;&gt;"",$C86&lt;&gt;"Target state",$C86&lt;&gt;"Exception",$D86="Medium",$E86="High"),$A86&amp;"  "&amp;$B86,"")</f>
        <v/>
      </c>
      <c r="U86">
        <f>IF(AND($B86&lt;&gt;"",$C86&lt;&gt;"Target state",$C86&lt;&gt;"Exception",$D86="Low",$E86="Low"),$A86&amp;"  "&amp;$B86,"")</f>
        <v/>
      </c>
      <c r="V86">
        <f>IF(AND($B86&lt;&gt;"",$C86&lt;&gt;"Target state",$C86&lt;&gt;"Exception",$D86="Low",$E86="Medium"),$A86&amp;"  "&amp;$B86,"")</f>
        <v/>
      </c>
      <c r="W86">
        <f>IF(AND($B86&lt;&gt;"",$C86&lt;&gt;"Target state",$C86&lt;&gt;"Exception",$D86="Low",$E86="High"),$A86&amp;"  "&amp;$B86,"")</f>
        <v/>
      </c>
    </row>
    <row r="87" ht="20" customHeight="1" s="52">
      <c r="A87" s="93" t="inlineStr">
        <is>
          <t>⑧</t>
        </is>
      </c>
      <c r="B87" s="94" t="n"/>
      <c r="C87" s="73" t="n"/>
      <c r="D87" s="73" t="n"/>
      <c r="E87" s="73" t="n"/>
      <c r="F87" s="72" t="n"/>
      <c r="G87" s="95">
        <f>IF(OR($B87="",$D87="",$E87=""),"",IF(OR($C87="Target state",$C87="Exception"),"Out of scope",IF($D87="Low","No tranche",IF($E87="Low","Tranche 1",IF($E87="Medium","Tranche 2",IF($D87="High","Tranche 3","No tranche"))))))</f>
        <v/>
      </c>
      <c r="J87" s="97" t="inlineStr">
        <is>
          <t>Low</t>
        </is>
      </c>
      <c r="K87" s="103">
        <f>_xlfn.TEXTJOIN(CHAR(10),TRUE,U$80:U$89)</f>
        <v/>
      </c>
      <c r="L87" s="103">
        <f>_xlfn.TEXTJOIN(CHAR(10),TRUE,V$80:V$89)</f>
        <v/>
      </c>
      <c r="M87" s="103">
        <f>_xlfn.TEXTJOIN(CHAR(10),TRUE,W$80:W$89)</f>
        <v/>
      </c>
      <c r="O87">
        <f>IF(AND($B87&lt;&gt;"",$C87&lt;&gt;"Target state",$C87&lt;&gt;"Exception",$D87="High",$E87="Low"),$A87&amp;"  "&amp;$B87,"")</f>
        <v/>
      </c>
      <c r="P87">
        <f>IF(AND($B87&lt;&gt;"",$C87&lt;&gt;"Target state",$C87&lt;&gt;"Exception",$D87="High",$E87="Medium"),$A87&amp;"  "&amp;$B87,"")</f>
        <v/>
      </c>
      <c r="Q87">
        <f>IF(AND($B87&lt;&gt;"",$C87&lt;&gt;"Target state",$C87&lt;&gt;"Exception",$D87="High",$E87="High"),$A87&amp;"  "&amp;$B87,"")</f>
        <v/>
      </c>
      <c r="R87">
        <f>IF(AND($B87&lt;&gt;"",$C87&lt;&gt;"Target state",$C87&lt;&gt;"Exception",$D87="Medium",$E87="Low"),$A87&amp;"  "&amp;$B87,"")</f>
        <v/>
      </c>
      <c r="S87">
        <f>IF(AND($B87&lt;&gt;"",$C87&lt;&gt;"Target state",$C87&lt;&gt;"Exception",$D87="Medium",$E87="Medium"),$A87&amp;"  "&amp;$B87,"")</f>
        <v/>
      </c>
      <c r="T87">
        <f>IF(AND($B87&lt;&gt;"",$C87&lt;&gt;"Target state",$C87&lt;&gt;"Exception",$D87="Medium",$E87="High"),$A87&amp;"  "&amp;$B87,"")</f>
        <v/>
      </c>
      <c r="U87">
        <f>IF(AND($B87&lt;&gt;"",$C87&lt;&gt;"Target state",$C87&lt;&gt;"Exception",$D87="Low",$E87="Low"),$A87&amp;"  "&amp;$B87,"")</f>
        <v/>
      </c>
      <c r="V87">
        <f>IF(AND($B87&lt;&gt;"",$C87&lt;&gt;"Target state",$C87&lt;&gt;"Exception",$D87="Low",$E87="Medium"),$A87&amp;"  "&amp;$B87,"")</f>
        <v/>
      </c>
      <c r="W87">
        <f>IF(AND($B87&lt;&gt;"",$C87&lt;&gt;"Target state",$C87&lt;&gt;"Exception",$D87="Low",$E87="High"),$A87&amp;"  "&amp;$B87,"")</f>
        <v/>
      </c>
    </row>
    <row r="88" ht="20" customHeight="1" s="52">
      <c r="A88" s="93" t="inlineStr">
        <is>
          <t>⑨</t>
        </is>
      </c>
      <c r="B88" s="94" t="n"/>
      <c r="C88" s="73" t="n"/>
      <c r="D88" s="73" t="n"/>
      <c r="E88" s="73" t="n"/>
      <c r="F88" s="72" t="n"/>
      <c r="G88" s="95">
        <f>IF(OR($B88="",$D88="",$E88=""),"",IF(OR($C88="Target state",$C88="Exception"),"Out of scope",IF($D88="Low","No tranche",IF($E88="Low","Tranche 1",IF($E88="Medium","Tranche 2",IF($D88="High","Tranche 3","No tranche"))))))</f>
        <v/>
      </c>
      <c r="K88" s="101" t="n"/>
      <c r="L88" s="101" t="n"/>
      <c r="M88" s="101" t="n"/>
      <c r="O88">
        <f>IF(AND($B88&lt;&gt;"",$C88&lt;&gt;"Target state",$C88&lt;&gt;"Exception",$D88="High",$E88="Low"),$A88&amp;"  "&amp;$B88,"")</f>
        <v/>
      </c>
      <c r="P88">
        <f>IF(AND($B88&lt;&gt;"",$C88&lt;&gt;"Target state",$C88&lt;&gt;"Exception",$D88="High",$E88="Medium"),$A88&amp;"  "&amp;$B88,"")</f>
        <v/>
      </c>
      <c r="Q88">
        <f>IF(AND($B88&lt;&gt;"",$C88&lt;&gt;"Target state",$C88&lt;&gt;"Exception",$D88="High",$E88="High"),$A88&amp;"  "&amp;$B88,"")</f>
        <v/>
      </c>
      <c r="R88">
        <f>IF(AND($B88&lt;&gt;"",$C88&lt;&gt;"Target state",$C88&lt;&gt;"Exception",$D88="Medium",$E88="Low"),$A88&amp;"  "&amp;$B88,"")</f>
        <v/>
      </c>
      <c r="S88">
        <f>IF(AND($B88&lt;&gt;"",$C88&lt;&gt;"Target state",$C88&lt;&gt;"Exception",$D88="Medium",$E88="Medium"),$A88&amp;"  "&amp;$B88,"")</f>
        <v/>
      </c>
      <c r="T88">
        <f>IF(AND($B88&lt;&gt;"",$C88&lt;&gt;"Target state",$C88&lt;&gt;"Exception",$D88="Medium",$E88="High"),$A88&amp;"  "&amp;$B88,"")</f>
        <v/>
      </c>
      <c r="U88">
        <f>IF(AND($B88&lt;&gt;"",$C88&lt;&gt;"Target state",$C88&lt;&gt;"Exception",$D88="Low",$E88="Low"),$A88&amp;"  "&amp;$B88,"")</f>
        <v/>
      </c>
      <c r="V88">
        <f>IF(AND($B88&lt;&gt;"",$C88&lt;&gt;"Target state",$C88&lt;&gt;"Exception",$D88="Low",$E88="Medium"),$A88&amp;"  "&amp;$B88,"")</f>
        <v/>
      </c>
      <c r="W88">
        <f>IF(AND($B88&lt;&gt;"",$C88&lt;&gt;"Target state",$C88&lt;&gt;"Exception",$D88="Low",$E88="High"),$A88&amp;"  "&amp;$B88,"")</f>
        <v/>
      </c>
    </row>
    <row r="89" ht="20" customHeight="1" s="52">
      <c r="A89" s="93" t="inlineStr">
        <is>
          <t>⑩</t>
        </is>
      </c>
      <c r="B89" s="94" t="n"/>
      <c r="C89" s="73" t="n"/>
      <c r="D89" s="73" t="n"/>
      <c r="E89" s="73" t="n"/>
      <c r="F89" s="72" t="n"/>
      <c r="G89" s="95">
        <f>IF(OR($B89="",$D89="",$E89=""),"",IF(OR($C89="Target state",$C89="Exception"),"Out of scope",IF($D89="Low","No tranche",IF($E89="Low","Tranche 1",IF($E89="Medium","Tranche 2",IF($D89="High","Tranche 3","No tranche"))))))</f>
        <v/>
      </c>
      <c r="K89" s="102" t="n"/>
      <c r="L89" s="102" t="n"/>
      <c r="M89" s="102" t="n"/>
      <c r="O89">
        <f>IF(AND($B89&lt;&gt;"",$C89&lt;&gt;"Target state",$C89&lt;&gt;"Exception",$D89="High",$E89="Low"),$A89&amp;"  "&amp;$B89,"")</f>
        <v/>
      </c>
      <c r="P89">
        <f>IF(AND($B89&lt;&gt;"",$C89&lt;&gt;"Target state",$C89&lt;&gt;"Exception",$D89="High",$E89="Medium"),$A89&amp;"  "&amp;$B89,"")</f>
        <v/>
      </c>
      <c r="Q89">
        <f>IF(AND($B89&lt;&gt;"",$C89&lt;&gt;"Target state",$C89&lt;&gt;"Exception",$D89="High",$E89="High"),$A89&amp;"  "&amp;$B89,"")</f>
        <v/>
      </c>
      <c r="R89">
        <f>IF(AND($B89&lt;&gt;"",$C89&lt;&gt;"Target state",$C89&lt;&gt;"Exception",$D89="Medium",$E89="Low"),$A89&amp;"  "&amp;$B89,"")</f>
        <v/>
      </c>
      <c r="S89">
        <f>IF(AND($B89&lt;&gt;"",$C89&lt;&gt;"Target state",$C89&lt;&gt;"Exception",$D89="Medium",$E89="Medium"),$A89&amp;"  "&amp;$B89,"")</f>
        <v/>
      </c>
      <c r="T89">
        <f>IF(AND($B89&lt;&gt;"",$C89&lt;&gt;"Target state",$C89&lt;&gt;"Exception",$D89="Medium",$E89="High"),$A89&amp;"  "&amp;$B89,"")</f>
        <v/>
      </c>
      <c r="U89">
        <f>IF(AND($B89&lt;&gt;"",$C89&lt;&gt;"Target state",$C89&lt;&gt;"Exception",$D89="Low",$E89="Low"),$A89&amp;"  "&amp;$B89,"")</f>
        <v/>
      </c>
      <c r="V89">
        <f>IF(AND($B89&lt;&gt;"",$C89&lt;&gt;"Target state",$C89&lt;&gt;"Exception",$D89="Low",$E89="Medium"),$A89&amp;"  "&amp;$B89,"")</f>
        <v/>
      </c>
      <c r="W89">
        <f>IF(AND($B89&lt;&gt;"",$C89&lt;&gt;"Target state",$C89&lt;&gt;"Exception",$D89="Low",$E89="High"),$A89&amp;"  "&amp;$B89,"")</f>
        <v/>
      </c>
    </row>
    <row r="90">
      <c r="K90" s="97" t="inlineStr">
        <is>
          <t>Complexity</t>
        </is>
      </c>
    </row>
    <row r="94" ht="22" customHeight="1" s="52">
      <c r="A94" s="88" t="inlineStr">
        <is>
          <t>Credit &amp; Underwriting</t>
        </is>
      </c>
      <c r="G94" s="89">
        <f>HYPERLINK("#'Boarding'!A4","▲ tracker")</f>
        <v/>
      </c>
      <c r="K94" s="90" t="inlineStr">
        <is>
          <t>Assessment Outcome</t>
        </is>
      </c>
    </row>
    <row r="95" ht="18" customHeight="1" s="52">
      <c r="A95" s="91" t="inlineStr">
        <is>
          <t>#</t>
        </is>
      </c>
      <c r="B95" s="91" t="inlineStr">
        <is>
          <t>Platform</t>
        </is>
      </c>
      <c r="C95" s="91" t="inlineStr">
        <is>
          <t>State</t>
        </is>
      </c>
      <c r="D95" s="91" t="inlineStr">
        <is>
          <t>Imperative to exit</t>
        </is>
      </c>
      <c r="E95" s="91" t="inlineStr">
        <is>
          <t>Exit complexity</t>
        </is>
      </c>
      <c r="F95" s="91" t="inlineStr">
        <is>
          <t>Supporting facts</t>
        </is>
      </c>
      <c r="G95" s="91" t="inlineStr">
        <is>
          <t>Tranche (auto)</t>
        </is>
      </c>
      <c r="K95" s="92" t="inlineStr">
        <is>
          <t>Low</t>
        </is>
      </c>
      <c r="L95" s="92" t="inlineStr">
        <is>
          <t>Medium</t>
        </is>
      </c>
      <c r="M95" s="92" t="inlineStr">
        <is>
          <t>High</t>
        </is>
      </c>
    </row>
    <row r="96" ht="36" customHeight="1" s="52">
      <c r="A96" s="93" t="inlineStr">
        <is>
          <t>①</t>
        </is>
      </c>
      <c r="B96" s="94" t="inlineStr">
        <is>
          <t>Underwriting Web</t>
        </is>
      </c>
      <c r="C96" s="73" t="inlineStr">
        <is>
          <t>Non-target state</t>
        </is>
      </c>
      <c r="D96" s="73" t="n"/>
      <c r="E96" s="73" t="n"/>
      <c r="F96" s="72" t="inlineStr">
        <is>
          <t>Non-strategic EVO tool for approving merchant applications with Mastercard MATCH and credit bureau checks; about $150K in yearly cost; repository flags Further Input — confirm with SPOC</t>
        </is>
      </c>
      <c r="G96" s="95">
        <f>IF(OR($B96="",$D96="",$E96=""),"",IF(OR($C96="Target state",$C96="Exception"),"Out of scope",IF($D96="Low","No tranche",IF($E96="Low","Tranche 1",IF($E96="Medium","Tranche 2",IF($D96="High","Tranche 3","No tranche"))))))</f>
        <v/>
      </c>
      <c r="I96" s="96" t="inlineStr">
        <is>
          <t>Benefits</t>
        </is>
      </c>
      <c r="J96" s="97" t="inlineStr">
        <is>
          <t>High</t>
        </is>
      </c>
      <c r="K96" s="98">
        <f>"Tranche 1"&amp;CHAR(10)&amp;_xlfn.TEXTJOIN(CHAR(10),TRUE,O$96:O$105)</f>
        <v/>
      </c>
      <c r="L96" s="99">
        <f>"Tranche 2"&amp;CHAR(10)&amp;_xlfn.TEXTJOIN(CHAR(10),TRUE,P$96:P$105)</f>
        <v/>
      </c>
      <c r="M96" s="100">
        <f>"Tranche 3"&amp;CHAR(10)&amp;_xlfn.TEXTJOIN(CHAR(10),TRUE,Q$96:Q$105)</f>
        <v/>
      </c>
      <c r="O96">
        <f>IF(AND($B96&lt;&gt;"",$C96&lt;&gt;"Target state",$C96&lt;&gt;"Exception",$D96="High",$E96="Low"),$A96&amp;"  "&amp;$B96,"")</f>
        <v/>
      </c>
      <c r="P96">
        <f>IF(AND($B96&lt;&gt;"",$C96&lt;&gt;"Target state",$C96&lt;&gt;"Exception",$D96="High",$E96="Medium"),$A96&amp;"  "&amp;$B96,"")</f>
        <v/>
      </c>
      <c r="Q96">
        <f>IF(AND($B96&lt;&gt;"",$C96&lt;&gt;"Target state",$C96&lt;&gt;"Exception",$D96="High",$E96="High"),$A96&amp;"  "&amp;$B96,"")</f>
        <v/>
      </c>
      <c r="R96">
        <f>IF(AND($B96&lt;&gt;"",$C96&lt;&gt;"Target state",$C96&lt;&gt;"Exception",$D96="Medium",$E96="Low"),$A96&amp;"  "&amp;$B96,"")</f>
        <v/>
      </c>
      <c r="S96">
        <f>IF(AND($B96&lt;&gt;"",$C96&lt;&gt;"Target state",$C96&lt;&gt;"Exception",$D96="Medium",$E96="Medium"),$A96&amp;"  "&amp;$B96,"")</f>
        <v/>
      </c>
      <c r="T96">
        <f>IF(AND($B96&lt;&gt;"",$C96&lt;&gt;"Target state",$C96&lt;&gt;"Exception",$D96="Medium",$E96="High"),$A96&amp;"  "&amp;$B96,"")</f>
        <v/>
      </c>
      <c r="U96">
        <f>IF(AND($B96&lt;&gt;"",$C96&lt;&gt;"Target state",$C96&lt;&gt;"Exception",$D96="Low",$E96="Low"),$A96&amp;"  "&amp;$B96,"")</f>
        <v/>
      </c>
      <c r="V96">
        <f>IF(AND($B96&lt;&gt;"",$C96&lt;&gt;"Target state",$C96&lt;&gt;"Exception",$D96="Low",$E96="Medium"),$A96&amp;"  "&amp;$B96,"")</f>
        <v/>
      </c>
      <c r="W96">
        <f>IF(AND($B96&lt;&gt;"",$C96&lt;&gt;"Target state",$C96&lt;&gt;"Exception",$D96="Low",$E96="High"),$A96&amp;"  "&amp;$B96,"")</f>
        <v/>
      </c>
    </row>
    <row r="97" ht="36" customHeight="1" s="52">
      <c r="A97" s="93" t="inlineStr">
        <is>
          <t>②</t>
        </is>
      </c>
      <c r="B97" s="94" t="inlineStr">
        <is>
          <t>Universal Underwriting</t>
        </is>
      </c>
      <c r="C97" s="73" t="inlineStr">
        <is>
          <t>Non-target state</t>
        </is>
      </c>
      <c r="D97" s="73" t="n"/>
      <c r="E97" s="73" t="n"/>
      <c r="F97" s="72" t="inlineStr">
        <is>
          <t>Non-strategic service generating Experian reports and validation rules for Instant Boarding and Client Manager across about 32K applications a year; modest annual cost</t>
        </is>
      </c>
      <c r="G97" s="95">
        <f>IF(OR($B97="",$D97="",$E97=""),"",IF(OR($C97="Target state",$C97="Exception"),"Out of scope",IF($D97="Low","No tranche",IF($E97="Low","Tranche 1",IF($E97="Medium","Tranche 2",IF($D97="High","Tranche 3","No tranche"))))))</f>
        <v/>
      </c>
      <c r="K97" s="101" t="n"/>
      <c r="L97" s="101" t="n"/>
      <c r="M97" s="101" t="n"/>
      <c r="O97">
        <f>IF(AND($B97&lt;&gt;"",$C97&lt;&gt;"Target state",$C97&lt;&gt;"Exception",$D97="High",$E97="Low"),$A97&amp;"  "&amp;$B97,"")</f>
        <v/>
      </c>
      <c r="P97">
        <f>IF(AND($B97&lt;&gt;"",$C97&lt;&gt;"Target state",$C97&lt;&gt;"Exception",$D97="High",$E97="Medium"),$A97&amp;"  "&amp;$B97,"")</f>
        <v/>
      </c>
      <c r="Q97">
        <f>IF(AND($B97&lt;&gt;"",$C97&lt;&gt;"Target state",$C97&lt;&gt;"Exception",$D97="High",$E97="High"),$A97&amp;"  "&amp;$B97,"")</f>
        <v/>
      </c>
      <c r="R97">
        <f>IF(AND($B97&lt;&gt;"",$C97&lt;&gt;"Target state",$C97&lt;&gt;"Exception",$D97="Medium",$E97="Low"),$A97&amp;"  "&amp;$B97,"")</f>
        <v/>
      </c>
      <c r="S97">
        <f>IF(AND($B97&lt;&gt;"",$C97&lt;&gt;"Target state",$C97&lt;&gt;"Exception",$D97="Medium",$E97="Medium"),$A97&amp;"  "&amp;$B97,"")</f>
        <v/>
      </c>
      <c r="T97">
        <f>IF(AND($B97&lt;&gt;"",$C97&lt;&gt;"Target state",$C97&lt;&gt;"Exception",$D97="Medium",$E97="High"),$A97&amp;"  "&amp;$B97,"")</f>
        <v/>
      </c>
      <c r="U97">
        <f>IF(AND($B97&lt;&gt;"",$C97&lt;&gt;"Target state",$C97&lt;&gt;"Exception",$D97="Low",$E97="Low"),$A97&amp;"  "&amp;$B97,"")</f>
        <v/>
      </c>
      <c r="V97">
        <f>IF(AND($B97&lt;&gt;"",$C97&lt;&gt;"Target state",$C97&lt;&gt;"Exception",$D97="Low",$E97="Medium"),$A97&amp;"  "&amp;$B97,"")</f>
        <v/>
      </c>
      <c r="W97">
        <f>IF(AND($B97&lt;&gt;"",$C97&lt;&gt;"Target state",$C97&lt;&gt;"Exception",$D97="Low",$E97="High"),$A97&amp;"  "&amp;$B97,"")</f>
        <v/>
      </c>
    </row>
    <row r="98" ht="36" customHeight="1" s="52">
      <c r="A98" s="93" t="inlineStr">
        <is>
          <t>③</t>
        </is>
      </c>
      <c r="B98" s="94" t="inlineStr">
        <is>
          <t>Mercury USA</t>
        </is>
      </c>
      <c r="C98" s="73" t="inlineStr">
        <is>
          <t>Non-target state</t>
        </is>
      </c>
      <c r="D98" s="73" t="n"/>
      <c r="E98" s="73" t="n"/>
      <c r="F98" s="72" t="inlineStr">
        <is>
          <t>Non-strategic credit, boarding and underwriting tool being sunset with EVONowHost taking over through the simplification program; noted as hard to scale with a history of security issues</t>
        </is>
      </c>
      <c r="G98" s="95">
        <f>IF(OR($B98="",$D98="",$E98=""),"",IF(OR($C98="Target state",$C98="Exception"),"Out of scope",IF($D98="Low","No tranche",IF($E98="Low","Tranche 1",IF($E98="Medium","Tranche 2",IF($D98="High","Tranche 3","No tranche"))))))</f>
        <v/>
      </c>
      <c r="K98" s="101" t="n"/>
      <c r="L98" s="101" t="n"/>
      <c r="M98" s="101" t="n"/>
      <c r="O98">
        <f>IF(AND($B98&lt;&gt;"",$C98&lt;&gt;"Target state",$C98&lt;&gt;"Exception",$D98="High",$E98="Low"),$A98&amp;"  "&amp;$B98,"")</f>
        <v/>
      </c>
      <c r="P98">
        <f>IF(AND($B98&lt;&gt;"",$C98&lt;&gt;"Target state",$C98&lt;&gt;"Exception",$D98="High",$E98="Medium"),$A98&amp;"  "&amp;$B98,"")</f>
        <v/>
      </c>
      <c r="Q98">
        <f>IF(AND($B98&lt;&gt;"",$C98&lt;&gt;"Target state",$C98&lt;&gt;"Exception",$D98="High",$E98="High"),$A98&amp;"  "&amp;$B98,"")</f>
        <v/>
      </c>
      <c r="R98">
        <f>IF(AND($B98&lt;&gt;"",$C98&lt;&gt;"Target state",$C98&lt;&gt;"Exception",$D98="Medium",$E98="Low"),$A98&amp;"  "&amp;$B98,"")</f>
        <v/>
      </c>
      <c r="S98">
        <f>IF(AND($B98&lt;&gt;"",$C98&lt;&gt;"Target state",$C98&lt;&gt;"Exception",$D98="Medium",$E98="Medium"),$A98&amp;"  "&amp;$B98,"")</f>
        <v/>
      </c>
      <c r="T98">
        <f>IF(AND($B98&lt;&gt;"",$C98&lt;&gt;"Target state",$C98&lt;&gt;"Exception",$D98="Medium",$E98="High"),$A98&amp;"  "&amp;$B98,"")</f>
        <v/>
      </c>
      <c r="U98">
        <f>IF(AND($B98&lt;&gt;"",$C98&lt;&gt;"Target state",$C98&lt;&gt;"Exception",$D98="Low",$E98="Low"),$A98&amp;"  "&amp;$B98,"")</f>
        <v/>
      </c>
      <c r="V98">
        <f>IF(AND($B98&lt;&gt;"",$C98&lt;&gt;"Target state",$C98&lt;&gt;"Exception",$D98="Low",$E98="Medium"),$A98&amp;"  "&amp;$B98,"")</f>
        <v/>
      </c>
      <c r="W98">
        <f>IF(AND($B98&lt;&gt;"",$C98&lt;&gt;"Target state",$C98&lt;&gt;"Exception",$D98="Low",$E98="High"),$A98&amp;"  "&amp;$B98,"")</f>
        <v/>
      </c>
    </row>
    <row r="99" ht="36" customHeight="1" s="52">
      <c r="A99" s="93" t="inlineStr">
        <is>
          <t>④</t>
        </is>
      </c>
      <c r="B99" s="94" t="inlineStr">
        <is>
          <t>Jarvis</t>
        </is>
      </c>
      <c r="C99" s="73" t="inlineStr">
        <is>
          <t>Non-target state</t>
        </is>
      </c>
      <c r="D99" s="73" t="n"/>
      <c r="E99" s="73" t="n"/>
      <c r="F99" s="72" t="inlineStr">
        <is>
          <t>Non-strategic Get Beyond underwriting and merchant maintenance tool integrating with TSYS and Fiserv; about $150K in yearly cost; on the decommission path</t>
        </is>
      </c>
      <c r="G99" s="95">
        <f>IF(OR($B99="",$D99="",$E99=""),"",IF(OR($C99="Target state",$C99="Exception"),"Out of scope",IF($D99="Low","No tranche",IF($E99="Low","Tranche 1",IF($E99="Medium","Tranche 2",IF($D99="High","Tranche 3","No tranche"))))))</f>
        <v/>
      </c>
      <c r="K99" s="102" t="n"/>
      <c r="L99" s="102" t="n"/>
      <c r="M99" s="102" t="n"/>
      <c r="O99">
        <f>IF(AND($B99&lt;&gt;"",$C99&lt;&gt;"Target state",$C99&lt;&gt;"Exception",$D99="High",$E99="Low"),$A99&amp;"  "&amp;$B99,"")</f>
        <v/>
      </c>
      <c r="P99">
        <f>IF(AND($B99&lt;&gt;"",$C99&lt;&gt;"Target state",$C99&lt;&gt;"Exception",$D99="High",$E99="Medium"),$A99&amp;"  "&amp;$B99,"")</f>
        <v/>
      </c>
      <c r="Q99">
        <f>IF(AND($B99&lt;&gt;"",$C99&lt;&gt;"Target state",$C99&lt;&gt;"Exception",$D99="High",$E99="High"),$A99&amp;"  "&amp;$B99,"")</f>
        <v/>
      </c>
      <c r="R99">
        <f>IF(AND($B99&lt;&gt;"",$C99&lt;&gt;"Target state",$C99&lt;&gt;"Exception",$D99="Medium",$E99="Low"),$A99&amp;"  "&amp;$B99,"")</f>
        <v/>
      </c>
      <c r="S99">
        <f>IF(AND($B99&lt;&gt;"",$C99&lt;&gt;"Target state",$C99&lt;&gt;"Exception",$D99="Medium",$E99="Medium"),$A99&amp;"  "&amp;$B99,"")</f>
        <v/>
      </c>
      <c r="T99">
        <f>IF(AND($B99&lt;&gt;"",$C99&lt;&gt;"Target state",$C99&lt;&gt;"Exception",$D99="Medium",$E99="High"),$A99&amp;"  "&amp;$B99,"")</f>
        <v/>
      </c>
      <c r="U99">
        <f>IF(AND($B99&lt;&gt;"",$C99&lt;&gt;"Target state",$C99&lt;&gt;"Exception",$D99="Low",$E99="Low"),$A99&amp;"  "&amp;$B99,"")</f>
        <v/>
      </c>
      <c r="V99">
        <f>IF(AND($B99&lt;&gt;"",$C99&lt;&gt;"Target state",$C99&lt;&gt;"Exception",$D99="Low",$E99="Medium"),$A99&amp;"  "&amp;$B99,"")</f>
        <v/>
      </c>
      <c r="W99">
        <f>IF(AND($B99&lt;&gt;"",$C99&lt;&gt;"Target state",$C99&lt;&gt;"Exception",$D99="Low",$E99="High"),$A99&amp;"  "&amp;$B99,"")</f>
        <v/>
      </c>
    </row>
    <row r="100" ht="20" customHeight="1" s="52">
      <c r="A100" s="93" t="inlineStr">
        <is>
          <t>⑤</t>
        </is>
      </c>
      <c r="B100" s="94" t="n"/>
      <c r="C100" s="73" t="n"/>
      <c r="D100" s="73" t="n"/>
      <c r="E100" s="73" t="n"/>
      <c r="F100" s="72" t="n"/>
      <c r="G100" s="95">
        <f>IF(OR($B100="",$D100="",$E100=""),"",IF(OR($C100="Target state",$C100="Exception"),"Out of scope",IF($D100="Low","No tranche",IF($E100="Low","Tranche 1",IF($E100="Medium","Tranche 2",IF($D100="High","Tranche 3","No tranche"))))))</f>
        <v/>
      </c>
      <c r="J100" s="97" t="inlineStr">
        <is>
          <t>Medium</t>
        </is>
      </c>
      <c r="K100" s="98">
        <f>"Tranche 1"&amp;CHAR(10)&amp;_xlfn.TEXTJOIN(CHAR(10),TRUE,R$96:R$105)</f>
        <v/>
      </c>
      <c r="L100" s="99">
        <f>"Tranche 2"&amp;CHAR(10)&amp;_xlfn.TEXTJOIN(CHAR(10),TRUE,S$96:S$105)</f>
        <v/>
      </c>
      <c r="M100" s="103">
        <f>_xlfn.TEXTJOIN(CHAR(10),TRUE,T$96:T$105)</f>
        <v/>
      </c>
      <c r="O100">
        <f>IF(AND($B100&lt;&gt;"",$C100&lt;&gt;"Target state",$C100&lt;&gt;"Exception",$D100="High",$E100="Low"),$A100&amp;"  "&amp;$B100,"")</f>
        <v/>
      </c>
      <c r="P100">
        <f>IF(AND($B100&lt;&gt;"",$C100&lt;&gt;"Target state",$C100&lt;&gt;"Exception",$D100="High",$E100="Medium"),$A100&amp;"  "&amp;$B100,"")</f>
        <v/>
      </c>
      <c r="Q100">
        <f>IF(AND($B100&lt;&gt;"",$C100&lt;&gt;"Target state",$C100&lt;&gt;"Exception",$D100="High",$E100="High"),$A100&amp;"  "&amp;$B100,"")</f>
        <v/>
      </c>
      <c r="R100">
        <f>IF(AND($B100&lt;&gt;"",$C100&lt;&gt;"Target state",$C100&lt;&gt;"Exception",$D100="Medium",$E100="Low"),$A100&amp;"  "&amp;$B100,"")</f>
        <v/>
      </c>
      <c r="S100">
        <f>IF(AND($B100&lt;&gt;"",$C100&lt;&gt;"Target state",$C100&lt;&gt;"Exception",$D100="Medium",$E100="Medium"),$A100&amp;"  "&amp;$B100,"")</f>
        <v/>
      </c>
      <c r="T100">
        <f>IF(AND($B100&lt;&gt;"",$C100&lt;&gt;"Target state",$C100&lt;&gt;"Exception",$D100="Medium",$E100="High"),$A100&amp;"  "&amp;$B100,"")</f>
        <v/>
      </c>
      <c r="U100">
        <f>IF(AND($B100&lt;&gt;"",$C100&lt;&gt;"Target state",$C100&lt;&gt;"Exception",$D100="Low",$E100="Low"),$A100&amp;"  "&amp;$B100,"")</f>
        <v/>
      </c>
      <c r="V100">
        <f>IF(AND($B100&lt;&gt;"",$C100&lt;&gt;"Target state",$C100&lt;&gt;"Exception",$D100="Low",$E100="Medium"),$A100&amp;"  "&amp;$B100,"")</f>
        <v/>
      </c>
      <c r="W100">
        <f>IF(AND($B100&lt;&gt;"",$C100&lt;&gt;"Target state",$C100&lt;&gt;"Exception",$D100="Low",$E100="High"),$A100&amp;"  "&amp;$B100,"")</f>
        <v/>
      </c>
    </row>
    <row r="101" ht="20" customHeight="1" s="52">
      <c r="A101" s="93" t="inlineStr">
        <is>
          <t>⑥</t>
        </is>
      </c>
      <c r="B101" s="94" t="n"/>
      <c r="C101" s="73" t="n"/>
      <c r="D101" s="73" t="n"/>
      <c r="E101" s="73" t="n"/>
      <c r="F101" s="72" t="n"/>
      <c r="G101" s="95">
        <f>IF(OR($B101="",$D101="",$E101=""),"",IF(OR($C101="Target state",$C101="Exception"),"Out of scope",IF($D101="Low","No tranche",IF($E101="Low","Tranche 1",IF($E101="Medium","Tranche 2",IF($D101="High","Tranche 3","No tranche"))))))</f>
        <v/>
      </c>
      <c r="K101" s="101" t="n"/>
      <c r="L101" s="101" t="n"/>
      <c r="M101" s="101" t="n"/>
      <c r="O101">
        <f>IF(AND($B101&lt;&gt;"",$C101&lt;&gt;"Target state",$C101&lt;&gt;"Exception",$D101="High",$E101="Low"),$A101&amp;"  "&amp;$B101,"")</f>
        <v/>
      </c>
      <c r="P101">
        <f>IF(AND($B101&lt;&gt;"",$C101&lt;&gt;"Target state",$C101&lt;&gt;"Exception",$D101="High",$E101="Medium"),$A101&amp;"  "&amp;$B101,"")</f>
        <v/>
      </c>
      <c r="Q101">
        <f>IF(AND($B101&lt;&gt;"",$C101&lt;&gt;"Target state",$C101&lt;&gt;"Exception",$D101="High",$E101="High"),$A101&amp;"  "&amp;$B101,"")</f>
        <v/>
      </c>
      <c r="R101">
        <f>IF(AND($B101&lt;&gt;"",$C101&lt;&gt;"Target state",$C101&lt;&gt;"Exception",$D101="Medium",$E101="Low"),$A101&amp;"  "&amp;$B101,"")</f>
        <v/>
      </c>
      <c r="S101">
        <f>IF(AND($B101&lt;&gt;"",$C101&lt;&gt;"Target state",$C101&lt;&gt;"Exception",$D101="Medium",$E101="Medium"),$A101&amp;"  "&amp;$B101,"")</f>
        <v/>
      </c>
      <c r="T101">
        <f>IF(AND($B101&lt;&gt;"",$C101&lt;&gt;"Target state",$C101&lt;&gt;"Exception",$D101="Medium",$E101="High"),$A101&amp;"  "&amp;$B101,"")</f>
        <v/>
      </c>
      <c r="U101">
        <f>IF(AND($B101&lt;&gt;"",$C101&lt;&gt;"Target state",$C101&lt;&gt;"Exception",$D101="Low",$E101="Low"),$A101&amp;"  "&amp;$B101,"")</f>
        <v/>
      </c>
      <c r="V101">
        <f>IF(AND($B101&lt;&gt;"",$C101&lt;&gt;"Target state",$C101&lt;&gt;"Exception",$D101="Low",$E101="Medium"),$A101&amp;"  "&amp;$B101,"")</f>
        <v/>
      </c>
      <c r="W101">
        <f>IF(AND($B101&lt;&gt;"",$C101&lt;&gt;"Target state",$C101&lt;&gt;"Exception",$D101="Low",$E101="High"),$A101&amp;"  "&amp;$B101,"")</f>
        <v/>
      </c>
    </row>
    <row r="102" ht="20" customHeight="1" s="52">
      <c r="A102" s="93" t="inlineStr">
        <is>
          <t>⑦</t>
        </is>
      </c>
      <c r="B102" s="94" t="n"/>
      <c r="C102" s="73" t="n"/>
      <c r="D102" s="73" t="n"/>
      <c r="E102" s="73" t="n"/>
      <c r="F102" s="72" t="n"/>
      <c r="G102" s="95">
        <f>IF(OR($B102="",$D102="",$E102=""),"",IF(OR($C102="Target state",$C102="Exception"),"Out of scope",IF($D102="Low","No tranche",IF($E102="Low","Tranche 1",IF($E102="Medium","Tranche 2",IF($D102="High","Tranche 3","No tranche"))))))</f>
        <v/>
      </c>
      <c r="K102" s="102" t="n"/>
      <c r="L102" s="102" t="n"/>
      <c r="M102" s="102" t="n"/>
      <c r="O102">
        <f>IF(AND($B102&lt;&gt;"",$C102&lt;&gt;"Target state",$C102&lt;&gt;"Exception",$D102="High",$E102="Low"),$A102&amp;"  "&amp;$B102,"")</f>
        <v/>
      </c>
      <c r="P102">
        <f>IF(AND($B102&lt;&gt;"",$C102&lt;&gt;"Target state",$C102&lt;&gt;"Exception",$D102="High",$E102="Medium"),$A102&amp;"  "&amp;$B102,"")</f>
        <v/>
      </c>
      <c r="Q102">
        <f>IF(AND($B102&lt;&gt;"",$C102&lt;&gt;"Target state",$C102&lt;&gt;"Exception",$D102="High",$E102="High"),$A102&amp;"  "&amp;$B102,"")</f>
        <v/>
      </c>
      <c r="R102">
        <f>IF(AND($B102&lt;&gt;"",$C102&lt;&gt;"Target state",$C102&lt;&gt;"Exception",$D102="Medium",$E102="Low"),$A102&amp;"  "&amp;$B102,"")</f>
        <v/>
      </c>
      <c r="S102">
        <f>IF(AND($B102&lt;&gt;"",$C102&lt;&gt;"Target state",$C102&lt;&gt;"Exception",$D102="Medium",$E102="Medium"),$A102&amp;"  "&amp;$B102,"")</f>
        <v/>
      </c>
      <c r="T102">
        <f>IF(AND($B102&lt;&gt;"",$C102&lt;&gt;"Target state",$C102&lt;&gt;"Exception",$D102="Medium",$E102="High"),$A102&amp;"  "&amp;$B102,"")</f>
        <v/>
      </c>
      <c r="U102">
        <f>IF(AND($B102&lt;&gt;"",$C102&lt;&gt;"Target state",$C102&lt;&gt;"Exception",$D102="Low",$E102="Low"),$A102&amp;"  "&amp;$B102,"")</f>
        <v/>
      </c>
      <c r="V102">
        <f>IF(AND($B102&lt;&gt;"",$C102&lt;&gt;"Target state",$C102&lt;&gt;"Exception",$D102="Low",$E102="Medium"),$A102&amp;"  "&amp;$B102,"")</f>
        <v/>
      </c>
      <c r="W102">
        <f>IF(AND($B102&lt;&gt;"",$C102&lt;&gt;"Target state",$C102&lt;&gt;"Exception",$D102="Low",$E102="High"),$A102&amp;"  "&amp;$B102,"")</f>
        <v/>
      </c>
    </row>
    <row r="103" ht="20" customHeight="1" s="52">
      <c r="A103" s="93" t="inlineStr">
        <is>
          <t>⑧</t>
        </is>
      </c>
      <c r="B103" s="94" t="n"/>
      <c r="C103" s="73" t="n"/>
      <c r="D103" s="73" t="n"/>
      <c r="E103" s="73" t="n"/>
      <c r="F103" s="72" t="n"/>
      <c r="G103" s="95">
        <f>IF(OR($B103="",$D103="",$E103=""),"",IF(OR($C103="Target state",$C103="Exception"),"Out of scope",IF($D103="Low","No tranche",IF($E103="Low","Tranche 1",IF($E103="Medium","Tranche 2",IF($D103="High","Tranche 3","No tranche"))))))</f>
        <v/>
      </c>
      <c r="J103" s="97" t="inlineStr">
        <is>
          <t>Low</t>
        </is>
      </c>
      <c r="K103" s="103">
        <f>_xlfn.TEXTJOIN(CHAR(10),TRUE,U$96:U$105)</f>
        <v/>
      </c>
      <c r="L103" s="103">
        <f>_xlfn.TEXTJOIN(CHAR(10),TRUE,V$96:V$105)</f>
        <v/>
      </c>
      <c r="M103" s="103">
        <f>_xlfn.TEXTJOIN(CHAR(10),TRUE,W$96:W$105)</f>
        <v/>
      </c>
      <c r="O103">
        <f>IF(AND($B103&lt;&gt;"",$C103&lt;&gt;"Target state",$C103&lt;&gt;"Exception",$D103="High",$E103="Low"),$A103&amp;"  "&amp;$B103,"")</f>
        <v/>
      </c>
      <c r="P103">
        <f>IF(AND($B103&lt;&gt;"",$C103&lt;&gt;"Target state",$C103&lt;&gt;"Exception",$D103="High",$E103="Medium"),$A103&amp;"  "&amp;$B103,"")</f>
        <v/>
      </c>
      <c r="Q103">
        <f>IF(AND($B103&lt;&gt;"",$C103&lt;&gt;"Target state",$C103&lt;&gt;"Exception",$D103="High",$E103="High"),$A103&amp;"  "&amp;$B103,"")</f>
        <v/>
      </c>
      <c r="R103">
        <f>IF(AND($B103&lt;&gt;"",$C103&lt;&gt;"Target state",$C103&lt;&gt;"Exception",$D103="Medium",$E103="Low"),$A103&amp;"  "&amp;$B103,"")</f>
        <v/>
      </c>
      <c r="S103">
        <f>IF(AND($B103&lt;&gt;"",$C103&lt;&gt;"Target state",$C103&lt;&gt;"Exception",$D103="Medium",$E103="Medium"),$A103&amp;"  "&amp;$B103,"")</f>
        <v/>
      </c>
      <c r="T103">
        <f>IF(AND($B103&lt;&gt;"",$C103&lt;&gt;"Target state",$C103&lt;&gt;"Exception",$D103="Medium",$E103="High"),$A103&amp;"  "&amp;$B103,"")</f>
        <v/>
      </c>
      <c r="U103">
        <f>IF(AND($B103&lt;&gt;"",$C103&lt;&gt;"Target state",$C103&lt;&gt;"Exception",$D103="Low",$E103="Low"),$A103&amp;"  "&amp;$B103,"")</f>
        <v/>
      </c>
      <c r="V103">
        <f>IF(AND($B103&lt;&gt;"",$C103&lt;&gt;"Target state",$C103&lt;&gt;"Exception",$D103="Low",$E103="Medium"),$A103&amp;"  "&amp;$B103,"")</f>
        <v/>
      </c>
      <c r="W103">
        <f>IF(AND($B103&lt;&gt;"",$C103&lt;&gt;"Target state",$C103&lt;&gt;"Exception",$D103="Low",$E103="High"),$A103&amp;"  "&amp;$B103,"")</f>
        <v/>
      </c>
    </row>
    <row r="104" ht="20" customHeight="1" s="52">
      <c r="A104" s="93" t="inlineStr">
        <is>
          <t>⑨</t>
        </is>
      </c>
      <c r="B104" s="94" t="n"/>
      <c r="C104" s="73" t="n"/>
      <c r="D104" s="73" t="n"/>
      <c r="E104" s="73" t="n"/>
      <c r="F104" s="72" t="n"/>
      <c r="G104" s="95">
        <f>IF(OR($B104="",$D104="",$E104=""),"",IF(OR($C104="Target state",$C104="Exception"),"Out of scope",IF($D104="Low","No tranche",IF($E104="Low","Tranche 1",IF($E104="Medium","Tranche 2",IF($D104="High","Tranche 3","No tranche"))))))</f>
        <v/>
      </c>
      <c r="K104" s="101" t="n"/>
      <c r="L104" s="101" t="n"/>
      <c r="M104" s="101" t="n"/>
      <c r="O104">
        <f>IF(AND($B104&lt;&gt;"",$C104&lt;&gt;"Target state",$C104&lt;&gt;"Exception",$D104="High",$E104="Low"),$A104&amp;"  "&amp;$B104,"")</f>
        <v/>
      </c>
      <c r="P104">
        <f>IF(AND($B104&lt;&gt;"",$C104&lt;&gt;"Target state",$C104&lt;&gt;"Exception",$D104="High",$E104="Medium"),$A104&amp;"  "&amp;$B104,"")</f>
        <v/>
      </c>
      <c r="Q104">
        <f>IF(AND($B104&lt;&gt;"",$C104&lt;&gt;"Target state",$C104&lt;&gt;"Exception",$D104="High",$E104="High"),$A104&amp;"  "&amp;$B104,"")</f>
        <v/>
      </c>
      <c r="R104">
        <f>IF(AND($B104&lt;&gt;"",$C104&lt;&gt;"Target state",$C104&lt;&gt;"Exception",$D104="Medium",$E104="Low"),$A104&amp;"  "&amp;$B104,"")</f>
        <v/>
      </c>
      <c r="S104">
        <f>IF(AND($B104&lt;&gt;"",$C104&lt;&gt;"Target state",$C104&lt;&gt;"Exception",$D104="Medium",$E104="Medium"),$A104&amp;"  "&amp;$B104,"")</f>
        <v/>
      </c>
      <c r="T104">
        <f>IF(AND($B104&lt;&gt;"",$C104&lt;&gt;"Target state",$C104&lt;&gt;"Exception",$D104="Medium",$E104="High"),$A104&amp;"  "&amp;$B104,"")</f>
        <v/>
      </c>
      <c r="U104">
        <f>IF(AND($B104&lt;&gt;"",$C104&lt;&gt;"Target state",$C104&lt;&gt;"Exception",$D104="Low",$E104="Low"),$A104&amp;"  "&amp;$B104,"")</f>
        <v/>
      </c>
      <c r="V104">
        <f>IF(AND($B104&lt;&gt;"",$C104&lt;&gt;"Target state",$C104&lt;&gt;"Exception",$D104="Low",$E104="Medium"),$A104&amp;"  "&amp;$B104,"")</f>
        <v/>
      </c>
      <c r="W104">
        <f>IF(AND($B104&lt;&gt;"",$C104&lt;&gt;"Target state",$C104&lt;&gt;"Exception",$D104="Low",$E104="High"),$A104&amp;"  "&amp;$B104,"")</f>
        <v/>
      </c>
    </row>
    <row r="105" ht="20" customHeight="1" s="52">
      <c r="A105" s="93" t="inlineStr">
        <is>
          <t>⑩</t>
        </is>
      </c>
      <c r="B105" s="94" t="n"/>
      <c r="C105" s="73" t="n"/>
      <c r="D105" s="73" t="n"/>
      <c r="E105" s="73" t="n"/>
      <c r="F105" s="72" t="n"/>
      <c r="G105" s="95">
        <f>IF(OR($B105="",$D105="",$E105=""),"",IF(OR($C105="Target state",$C105="Exception"),"Out of scope",IF($D105="Low","No tranche",IF($E105="Low","Tranche 1",IF($E105="Medium","Tranche 2",IF($D105="High","Tranche 3","No tranche"))))))</f>
        <v/>
      </c>
      <c r="K105" s="102" t="n"/>
      <c r="L105" s="102" t="n"/>
      <c r="M105" s="102" t="n"/>
      <c r="O105">
        <f>IF(AND($B105&lt;&gt;"",$C105&lt;&gt;"Target state",$C105&lt;&gt;"Exception",$D105="High",$E105="Low"),$A105&amp;"  "&amp;$B105,"")</f>
        <v/>
      </c>
      <c r="P105">
        <f>IF(AND($B105&lt;&gt;"",$C105&lt;&gt;"Target state",$C105&lt;&gt;"Exception",$D105="High",$E105="Medium"),$A105&amp;"  "&amp;$B105,"")</f>
        <v/>
      </c>
      <c r="Q105">
        <f>IF(AND($B105&lt;&gt;"",$C105&lt;&gt;"Target state",$C105&lt;&gt;"Exception",$D105="High",$E105="High"),$A105&amp;"  "&amp;$B105,"")</f>
        <v/>
      </c>
      <c r="R105">
        <f>IF(AND($B105&lt;&gt;"",$C105&lt;&gt;"Target state",$C105&lt;&gt;"Exception",$D105="Medium",$E105="Low"),$A105&amp;"  "&amp;$B105,"")</f>
        <v/>
      </c>
      <c r="S105">
        <f>IF(AND($B105&lt;&gt;"",$C105&lt;&gt;"Target state",$C105&lt;&gt;"Exception",$D105="Medium",$E105="Medium"),$A105&amp;"  "&amp;$B105,"")</f>
        <v/>
      </c>
      <c r="T105">
        <f>IF(AND($B105&lt;&gt;"",$C105&lt;&gt;"Target state",$C105&lt;&gt;"Exception",$D105="Medium",$E105="High"),$A105&amp;"  "&amp;$B105,"")</f>
        <v/>
      </c>
      <c r="U105">
        <f>IF(AND($B105&lt;&gt;"",$C105&lt;&gt;"Target state",$C105&lt;&gt;"Exception",$D105="Low",$E105="Low"),$A105&amp;"  "&amp;$B105,"")</f>
        <v/>
      </c>
      <c r="V105">
        <f>IF(AND($B105&lt;&gt;"",$C105&lt;&gt;"Target state",$C105&lt;&gt;"Exception",$D105="Low",$E105="Medium"),$A105&amp;"  "&amp;$B105,"")</f>
        <v/>
      </c>
      <c r="W105">
        <f>IF(AND($B105&lt;&gt;"",$C105&lt;&gt;"Target state",$C105&lt;&gt;"Exception",$D105="Low",$E105="High"),$A105&amp;"  "&amp;$B105,"")</f>
        <v/>
      </c>
    </row>
    <row r="106">
      <c r="K106" s="97" t="inlineStr">
        <is>
          <t>Complexity</t>
        </is>
      </c>
    </row>
    <row r="110" ht="22" customHeight="1" s="52">
      <c r="A110" s="88" t="inlineStr">
        <is>
          <t>CPQ / Quote-pricing</t>
        </is>
      </c>
      <c r="G110" s="89">
        <f>HYPERLINK("#'Boarding'!A4","▲ tracker")</f>
        <v/>
      </c>
      <c r="K110" s="90" t="inlineStr">
        <is>
          <t>Assessment Outcome</t>
        </is>
      </c>
    </row>
    <row r="111" ht="18" customHeight="1" s="52">
      <c r="A111" s="91" t="inlineStr">
        <is>
          <t>#</t>
        </is>
      </c>
      <c r="B111" s="91" t="inlineStr">
        <is>
          <t>Platform</t>
        </is>
      </c>
      <c r="C111" s="91" t="inlineStr">
        <is>
          <t>State</t>
        </is>
      </c>
      <c r="D111" s="91" t="inlineStr">
        <is>
          <t>Imperative to exit</t>
        </is>
      </c>
      <c r="E111" s="91" t="inlineStr">
        <is>
          <t>Exit complexity</t>
        </is>
      </c>
      <c r="F111" s="91" t="inlineStr">
        <is>
          <t>Supporting facts</t>
        </is>
      </c>
      <c r="G111" s="91" t="inlineStr">
        <is>
          <t>Tranche (auto)</t>
        </is>
      </c>
      <c r="K111" s="92" t="inlineStr">
        <is>
          <t>Low</t>
        </is>
      </c>
      <c r="L111" s="92" t="inlineStr">
        <is>
          <t>Medium</t>
        </is>
      </c>
      <c r="M111" s="92" t="inlineStr">
        <is>
          <t>High</t>
        </is>
      </c>
    </row>
    <row r="112" ht="36" customHeight="1" s="52">
      <c r="A112" s="93" t="inlineStr">
        <is>
          <t>①</t>
        </is>
      </c>
      <c r="B112" s="94" t="inlineStr">
        <is>
          <t>Fee Rule Manager</t>
        </is>
      </c>
      <c r="C112" s="73" t="inlineStr">
        <is>
          <t>Non-target state</t>
        </is>
      </c>
      <c r="D112" s="73" t="n"/>
      <c r="E112" s="73" t="n"/>
      <c r="F112" s="72" t="inlineStr">
        <is>
          <t>Non-strategic pricing manipulation tool for Heartland merchants with about 120 users; repository flags Keep &amp; Enhance with selective migration — confirm with SPOC</t>
        </is>
      </c>
      <c r="G112" s="95">
        <f>IF(OR($B112="",$D112="",$E112=""),"",IF(OR($C112="Target state",$C112="Exception"),"Out of scope",IF($D112="Low","No tranche",IF($E112="Low","Tranche 1",IF($E112="Medium","Tranche 2",IF($D112="High","Tranche 3","No tranche"))))))</f>
        <v/>
      </c>
      <c r="I112" s="96" t="inlineStr">
        <is>
          <t>Benefits</t>
        </is>
      </c>
      <c r="J112" s="97" t="inlineStr">
        <is>
          <t>High</t>
        </is>
      </c>
      <c r="K112" s="98">
        <f>"Tranche 1"&amp;CHAR(10)&amp;_xlfn.TEXTJOIN(CHAR(10),TRUE,O$112:O$121)</f>
        <v/>
      </c>
      <c r="L112" s="99">
        <f>"Tranche 2"&amp;CHAR(10)&amp;_xlfn.TEXTJOIN(CHAR(10),TRUE,P$112:P$121)</f>
        <v/>
      </c>
      <c r="M112" s="100">
        <f>"Tranche 3"&amp;CHAR(10)&amp;_xlfn.TEXTJOIN(CHAR(10),TRUE,Q$112:Q$121)</f>
        <v/>
      </c>
      <c r="O112">
        <f>IF(AND($B112&lt;&gt;"",$C112&lt;&gt;"Target state",$C112&lt;&gt;"Exception",$D112="High",$E112="Low"),$A112&amp;"  "&amp;$B112,"")</f>
        <v/>
      </c>
      <c r="P112">
        <f>IF(AND($B112&lt;&gt;"",$C112&lt;&gt;"Target state",$C112&lt;&gt;"Exception",$D112="High",$E112="Medium"),$A112&amp;"  "&amp;$B112,"")</f>
        <v/>
      </c>
      <c r="Q112">
        <f>IF(AND($B112&lt;&gt;"",$C112&lt;&gt;"Target state",$C112&lt;&gt;"Exception",$D112="High",$E112="High"),$A112&amp;"  "&amp;$B112,"")</f>
        <v/>
      </c>
      <c r="R112">
        <f>IF(AND($B112&lt;&gt;"",$C112&lt;&gt;"Target state",$C112&lt;&gt;"Exception",$D112="Medium",$E112="Low"),$A112&amp;"  "&amp;$B112,"")</f>
        <v/>
      </c>
      <c r="S112">
        <f>IF(AND($B112&lt;&gt;"",$C112&lt;&gt;"Target state",$C112&lt;&gt;"Exception",$D112="Medium",$E112="Medium"),$A112&amp;"  "&amp;$B112,"")</f>
        <v/>
      </c>
      <c r="T112">
        <f>IF(AND($B112&lt;&gt;"",$C112&lt;&gt;"Target state",$C112&lt;&gt;"Exception",$D112="Medium",$E112="High"),$A112&amp;"  "&amp;$B112,"")</f>
        <v/>
      </c>
      <c r="U112">
        <f>IF(AND($B112&lt;&gt;"",$C112&lt;&gt;"Target state",$C112&lt;&gt;"Exception",$D112="Low",$E112="Low"),$A112&amp;"  "&amp;$B112,"")</f>
        <v/>
      </c>
      <c r="V112">
        <f>IF(AND($B112&lt;&gt;"",$C112&lt;&gt;"Target state",$C112&lt;&gt;"Exception",$D112="Low",$E112="Medium"),$A112&amp;"  "&amp;$B112,"")</f>
        <v/>
      </c>
      <c r="W112">
        <f>IF(AND($B112&lt;&gt;"",$C112&lt;&gt;"Target state",$C112&lt;&gt;"Exception",$D112="Low",$E112="High"),$A112&amp;"  "&amp;$B112,"")</f>
        <v/>
      </c>
    </row>
    <row r="113" ht="36" customHeight="1" s="52">
      <c r="A113" s="93" t="inlineStr">
        <is>
          <t>②</t>
        </is>
      </c>
      <c r="B113" s="94" t="inlineStr">
        <is>
          <t>Heartland Pricing Portal</t>
        </is>
      </c>
      <c r="C113" s="73" t="inlineStr">
        <is>
          <t>Non-target state</t>
        </is>
      </c>
      <c r="D113" s="73" t="n"/>
      <c r="E113" s="73" t="n"/>
      <c r="F113" s="72" t="inlineStr">
        <is>
          <t>Non-strategic pricing and retention tooling for Heartland merchants with about 220 users; repository flags Keep &amp; Enhance with selective migration — confirm with SPOC</t>
        </is>
      </c>
      <c r="G113" s="95">
        <f>IF(OR($B113="",$D113="",$E113=""),"",IF(OR($C113="Target state",$C113="Exception"),"Out of scope",IF($D113="Low","No tranche",IF($E113="Low","Tranche 1",IF($E113="Medium","Tranche 2",IF($D113="High","Tranche 3","No tranche"))))))</f>
        <v/>
      </c>
      <c r="K113" s="101" t="n"/>
      <c r="L113" s="101" t="n"/>
      <c r="M113" s="101" t="n"/>
      <c r="O113">
        <f>IF(AND($B113&lt;&gt;"",$C113&lt;&gt;"Target state",$C113&lt;&gt;"Exception",$D113="High",$E113="Low"),$A113&amp;"  "&amp;$B113,"")</f>
        <v/>
      </c>
      <c r="P113">
        <f>IF(AND($B113&lt;&gt;"",$C113&lt;&gt;"Target state",$C113&lt;&gt;"Exception",$D113="High",$E113="Medium"),$A113&amp;"  "&amp;$B113,"")</f>
        <v/>
      </c>
      <c r="Q113">
        <f>IF(AND($B113&lt;&gt;"",$C113&lt;&gt;"Target state",$C113&lt;&gt;"Exception",$D113="High",$E113="High"),$A113&amp;"  "&amp;$B113,"")</f>
        <v/>
      </c>
      <c r="R113">
        <f>IF(AND($B113&lt;&gt;"",$C113&lt;&gt;"Target state",$C113&lt;&gt;"Exception",$D113="Medium",$E113="Low"),$A113&amp;"  "&amp;$B113,"")</f>
        <v/>
      </c>
      <c r="S113">
        <f>IF(AND($B113&lt;&gt;"",$C113&lt;&gt;"Target state",$C113&lt;&gt;"Exception",$D113="Medium",$E113="Medium"),$A113&amp;"  "&amp;$B113,"")</f>
        <v/>
      </c>
      <c r="T113">
        <f>IF(AND($B113&lt;&gt;"",$C113&lt;&gt;"Target state",$C113&lt;&gt;"Exception",$D113="Medium",$E113="High"),$A113&amp;"  "&amp;$B113,"")</f>
        <v/>
      </c>
      <c r="U113">
        <f>IF(AND($B113&lt;&gt;"",$C113&lt;&gt;"Target state",$C113&lt;&gt;"Exception",$D113="Low",$E113="Low"),$A113&amp;"  "&amp;$B113,"")</f>
        <v/>
      </c>
      <c r="V113">
        <f>IF(AND($B113&lt;&gt;"",$C113&lt;&gt;"Target state",$C113&lt;&gt;"Exception",$D113="Low",$E113="Medium"),$A113&amp;"  "&amp;$B113,"")</f>
        <v/>
      </c>
      <c r="W113">
        <f>IF(AND($B113&lt;&gt;"",$C113&lt;&gt;"Target state",$C113&lt;&gt;"Exception",$D113="Low",$E113="High"),$A113&amp;"  "&amp;$B113,"")</f>
        <v/>
      </c>
    </row>
    <row r="114" ht="30" customHeight="1" s="52">
      <c r="A114" s="93" t="inlineStr">
        <is>
          <t>③</t>
        </is>
      </c>
      <c r="B114" s="94" t="inlineStr">
        <is>
          <t>Margin Service</t>
        </is>
      </c>
      <c r="C114" s="73" t="inlineStr">
        <is>
          <t>Non-target state</t>
        </is>
      </c>
      <c r="D114" s="73" t="n"/>
      <c r="E114" s="73" t="n"/>
      <c r="F114" s="72" t="inlineStr">
        <is>
          <t>Non-strategic margin calculator API for Heartland payments products; migration path agreed</t>
        </is>
      </c>
      <c r="G114" s="95">
        <f>IF(OR($B114="",$D114="",$E114=""),"",IF(OR($C114="Target state",$C114="Exception"),"Out of scope",IF($D114="Low","No tranche",IF($E114="Low","Tranche 1",IF($E114="Medium","Tranche 2",IF($D114="High","Tranche 3","No tranche"))))))</f>
        <v/>
      </c>
      <c r="K114" s="101" t="n"/>
      <c r="L114" s="101" t="n"/>
      <c r="M114" s="101" t="n"/>
      <c r="O114">
        <f>IF(AND($B114&lt;&gt;"",$C114&lt;&gt;"Target state",$C114&lt;&gt;"Exception",$D114="High",$E114="Low"),$A114&amp;"  "&amp;$B114,"")</f>
        <v/>
      </c>
      <c r="P114">
        <f>IF(AND($B114&lt;&gt;"",$C114&lt;&gt;"Target state",$C114&lt;&gt;"Exception",$D114="High",$E114="Medium"),$A114&amp;"  "&amp;$B114,"")</f>
        <v/>
      </c>
      <c r="Q114">
        <f>IF(AND($B114&lt;&gt;"",$C114&lt;&gt;"Target state",$C114&lt;&gt;"Exception",$D114="High",$E114="High"),$A114&amp;"  "&amp;$B114,"")</f>
        <v/>
      </c>
      <c r="R114">
        <f>IF(AND($B114&lt;&gt;"",$C114&lt;&gt;"Target state",$C114&lt;&gt;"Exception",$D114="Medium",$E114="Low"),$A114&amp;"  "&amp;$B114,"")</f>
        <v/>
      </c>
      <c r="S114">
        <f>IF(AND($B114&lt;&gt;"",$C114&lt;&gt;"Target state",$C114&lt;&gt;"Exception",$D114="Medium",$E114="Medium"),$A114&amp;"  "&amp;$B114,"")</f>
        <v/>
      </c>
      <c r="T114">
        <f>IF(AND($B114&lt;&gt;"",$C114&lt;&gt;"Target state",$C114&lt;&gt;"Exception",$D114="Medium",$E114="High"),$A114&amp;"  "&amp;$B114,"")</f>
        <v/>
      </c>
      <c r="U114">
        <f>IF(AND($B114&lt;&gt;"",$C114&lt;&gt;"Target state",$C114&lt;&gt;"Exception",$D114="Low",$E114="Low"),$A114&amp;"  "&amp;$B114,"")</f>
        <v/>
      </c>
      <c r="V114">
        <f>IF(AND($B114&lt;&gt;"",$C114&lt;&gt;"Target state",$C114&lt;&gt;"Exception",$D114="Low",$E114="Medium"),$A114&amp;"  "&amp;$B114,"")</f>
        <v/>
      </c>
      <c r="W114">
        <f>IF(AND($B114&lt;&gt;"",$C114&lt;&gt;"Target state",$C114&lt;&gt;"Exception",$D114="Low",$E114="High"),$A114&amp;"  "&amp;$B114,"")</f>
        <v/>
      </c>
    </row>
    <row r="115" ht="20" customHeight="1" s="52">
      <c r="A115" s="93" t="inlineStr">
        <is>
          <t>④</t>
        </is>
      </c>
      <c r="B115" s="94" t="n"/>
      <c r="C115" s="73" t="n"/>
      <c r="D115" s="73" t="n"/>
      <c r="E115" s="73" t="n"/>
      <c r="F115" s="72" t="n"/>
      <c r="G115" s="95">
        <f>IF(OR($B115="",$D115="",$E115=""),"",IF(OR($C115="Target state",$C115="Exception"),"Out of scope",IF($D115="Low","No tranche",IF($E115="Low","Tranche 1",IF($E115="Medium","Tranche 2",IF($D115="High","Tranche 3","No tranche"))))))</f>
        <v/>
      </c>
      <c r="K115" s="102" t="n"/>
      <c r="L115" s="102" t="n"/>
      <c r="M115" s="102" t="n"/>
      <c r="O115">
        <f>IF(AND($B115&lt;&gt;"",$C115&lt;&gt;"Target state",$C115&lt;&gt;"Exception",$D115="High",$E115="Low"),$A115&amp;"  "&amp;$B115,"")</f>
        <v/>
      </c>
      <c r="P115">
        <f>IF(AND($B115&lt;&gt;"",$C115&lt;&gt;"Target state",$C115&lt;&gt;"Exception",$D115="High",$E115="Medium"),$A115&amp;"  "&amp;$B115,"")</f>
        <v/>
      </c>
      <c r="Q115">
        <f>IF(AND($B115&lt;&gt;"",$C115&lt;&gt;"Target state",$C115&lt;&gt;"Exception",$D115="High",$E115="High"),$A115&amp;"  "&amp;$B115,"")</f>
        <v/>
      </c>
      <c r="R115">
        <f>IF(AND($B115&lt;&gt;"",$C115&lt;&gt;"Target state",$C115&lt;&gt;"Exception",$D115="Medium",$E115="Low"),$A115&amp;"  "&amp;$B115,"")</f>
        <v/>
      </c>
      <c r="S115">
        <f>IF(AND($B115&lt;&gt;"",$C115&lt;&gt;"Target state",$C115&lt;&gt;"Exception",$D115="Medium",$E115="Medium"),$A115&amp;"  "&amp;$B115,"")</f>
        <v/>
      </c>
      <c r="T115">
        <f>IF(AND($B115&lt;&gt;"",$C115&lt;&gt;"Target state",$C115&lt;&gt;"Exception",$D115="Medium",$E115="High"),$A115&amp;"  "&amp;$B115,"")</f>
        <v/>
      </c>
      <c r="U115">
        <f>IF(AND($B115&lt;&gt;"",$C115&lt;&gt;"Target state",$C115&lt;&gt;"Exception",$D115="Low",$E115="Low"),$A115&amp;"  "&amp;$B115,"")</f>
        <v/>
      </c>
      <c r="V115">
        <f>IF(AND($B115&lt;&gt;"",$C115&lt;&gt;"Target state",$C115&lt;&gt;"Exception",$D115="Low",$E115="Medium"),$A115&amp;"  "&amp;$B115,"")</f>
        <v/>
      </c>
      <c r="W115">
        <f>IF(AND($B115&lt;&gt;"",$C115&lt;&gt;"Target state",$C115&lt;&gt;"Exception",$D115="Low",$E115="High"),$A115&amp;"  "&amp;$B115,"")</f>
        <v/>
      </c>
    </row>
    <row r="116" ht="20" customHeight="1" s="52">
      <c r="A116" s="93" t="inlineStr">
        <is>
          <t>⑤</t>
        </is>
      </c>
      <c r="B116" s="94" t="n"/>
      <c r="C116" s="73" t="n"/>
      <c r="D116" s="73" t="n"/>
      <c r="E116" s="73" t="n"/>
      <c r="F116" s="72" t="n"/>
      <c r="G116" s="95">
        <f>IF(OR($B116="",$D116="",$E116=""),"",IF(OR($C116="Target state",$C116="Exception"),"Out of scope",IF($D116="Low","No tranche",IF($E116="Low","Tranche 1",IF($E116="Medium","Tranche 2",IF($D116="High","Tranche 3","No tranche"))))))</f>
        <v/>
      </c>
      <c r="J116" s="97" t="inlineStr">
        <is>
          <t>Medium</t>
        </is>
      </c>
      <c r="K116" s="98">
        <f>"Tranche 1"&amp;CHAR(10)&amp;_xlfn.TEXTJOIN(CHAR(10),TRUE,R$112:R$121)</f>
        <v/>
      </c>
      <c r="L116" s="99">
        <f>"Tranche 2"&amp;CHAR(10)&amp;_xlfn.TEXTJOIN(CHAR(10),TRUE,S$112:S$121)</f>
        <v/>
      </c>
      <c r="M116" s="103">
        <f>_xlfn.TEXTJOIN(CHAR(10),TRUE,T$112:T$121)</f>
        <v/>
      </c>
      <c r="O116">
        <f>IF(AND($B116&lt;&gt;"",$C116&lt;&gt;"Target state",$C116&lt;&gt;"Exception",$D116="High",$E116="Low"),$A116&amp;"  "&amp;$B116,"")</f>
        <v/>
      </c>
      <c r="P116">
        <f>IF(AND($B116&lt;&gt;"",$C116&lt;&gt;"Target state",$C116&lt;&gt;"Exception",$D116="High",$E116="Medium"),$A116&amp;"  "&amp;$B116,"")</f>
        <v/>
      </c>
      <c r="Q116">
        <f>IF(AND($B116&lt;&gt;"",$C116&lt;&gt;"Target state",$C116&lt;&gt;"Exception",$D116="High",$E116="High"),$A116&amp;"  "&amp;$B116,"")</f>
        <v/>
      </c>
      <c r="R116">
        <f>IF(AND($B116&lt;&gt;"",$C116&lt;&gt;"Target state",$C116&lt;&gt;"Exception",$D116="Medium",$E116="Low"),$A116&amp;"  "&amp;$B116,"")</f>
        <v/>
      </c>
      <c r="S116">
        <f>IF(AND($B116&lt;&gt;"",$C116&lt;&gt;"Target state",$C116&lt;&gt;"Exception",$D116="Medium",$E116="Medium"),$A116&amp;"  "&amp;$B116,"")</f>
        <v/>
      </c>
      <c r="T116">
        <f>IF(AND($B116&lt;&gt;"",$C116&lt;&gt;"Target state",$C116&lt;&gt;"Exception",$D116="Medium",$E116="High"),$A116&amp;"  "&amp;$B116,"")</f>
        <v/>
      </c>
      <c r="U116">
        <f>IF(AND($B116&lt;&gt;"",$C116&lt;&gt;"Target state",$C116&lt;&gt;"Exception",$D116="Low",$E116="Low"),$A116&amp;"  "&amp;$B116,"")</f>
        <v/>
      </c>
      <c r="V116">
        <f>IF(AND($B116&lt;&gt;"",$C116&lt;&gt;"Target state",$C116&lt;&gt;"Exception",$D116="Low",$E116="Medium"),$A116&amp;"  "&amp;$B116,"")</f>
        <v/>
      </c>
      <c r="W116">
        <f>IF(AND($B116&lt;&gt;"",$C116&lt;&gt;"Target state",$C116&lt;&gt;"Exception",$D116="Low",$E116="High"),$A116&amp;"  "&amp;$B116,"")</f>
        <v/>
      </c>
    </row>
    <row r="117" ht="20" customHeight="1" s="52">
      <c r="A117" s="93" t="inlineStr">
        <is>
          <t>⑥</t>
        </is>
      </c>
      <c r="B117" s="94" t="n"/>
      <c r="C117" s="73" t="n"/>
      <c r="D117" s="73" t="n"/>
      <c r="E117" s="73" t="n"/>
      <c r="F117" s="72" t="n"/>
      <c r="G117" s="95">
        <f>IF(OR($B117="",$D117="",$E117=""),"",IF(OR($C117="Target state",$C117="Exception"),"Out of scope",IF($D117="Low","No tranche",IF($E117="Low","Tranche 1",IF($E117="Medium","Tranche 2",IF($D117="High","Tranche 3","No tranche"))))))</f>
        <v/>
      </c>
      <c r="K117" s="101" t="n"/>
      <c r="L117" s="101" t="n"/>
      <c r="M117" s="101" t="n"/>
      <c r="O117">
        <f>IF(AND($B117&lt;&gt;"",$C117&lt;&gt;"Target state",$C117&lt;&gt;"Exception",$D117="High",$E117="Low"),$A117&amp;"  "&amp;$B117,"")</f>
        <v/>
      </c>
      <c r="P117">
        <f>IF(AND($B117&lt;&gt;"",$C117&lt;&gt;"Target state",$C117&lt;&gt;"Exception",$D117="High",$E117="Medium"),$A117&amp;"  "&amp;$B117,"")</f>
        <v/>
      </c>
      <c r="Q117">
        <f>IF(AND($B117&lt;&gt;"",$C117&lt;&gt;"Target state",$C117&lt;&gt;"Exception",$D117="High",$E117="High"),$A117&amp;"  "&amp;$B117,"")</f>
        <v/>
      </c>
      <c r="R117">
        <f>IF(AND($B117&lt;&gt;"",$C117&lt;&gt;"Target state",$C117&lt;&gt;"Exception",$D117="Medium",$E117="Low"),$A117&amp;"  "&amp;$B117,"")</f>
        <v/>
      </c>
      <c r="S117">
        <f>IF(AND($B117&lt;&gt;"",$C117&lt;&gt;"Target state",$C117&lt;&gt;"Exception",$D117="Medium",$E117="Medium"),$A117&amp;"  "&amp;$B117,"")</f>
        <v/>
      </c>
      <c r="T117">
        <f>IF(AND($B117&lt;&gt;"",$C117&lt;&gt;"Target state",$C117&lt;&gt;"Exception",$D117="Medium",$E117="High"),$A117&amp;"  "&amp;$B117,"")</f>
        <v/>
      </c>
      <c r="U117">
        <f>IF(AND($B117&lt;&gt;"",$C117&lt;&gt;"Target state",$C117&lt;&gt;"Exception",$D117="Low",$E117="Low"),$A117&amp;"  "&amp;$B117,"")</f>
        <v/>
      </c>
      <c r="V117">
        <f>IF(AND($B117&lt;&gt;"",$C117&lt;&gt;"Target state",$C117&lt;&gt;"Exception",$D117="Low",$E117="Medium"),$A117&amp;"  "&amp;$B117,"")</f>
        <v/>
      </c>
      <c r="W117">
        <f>IF(AND($B117&lt;&gt;"",$C117&lt;&gt;"Target state",$C117&lt;&gt;"Exception",$D117="Low",$E117="High"),$A117&amp;"  "&amp;$B117,"")</f>
        <v/>
      </c>
    </row>
    <row r="118" ht="20" customHeight="1" s="52">
      <c r="A118" s="93" t="inlineStr">
        <is>
          <t>⑦</t>
        </is>
      </c>
      <c r="B118" s="94" t="n"/>
      <c r="C118" s="73" t="n"/>
      <c r="D118" s="73" t="n"/>
      <c r="E118" s="73" t="n"/>
      <c r="F118" s="72" t="n"/>
      <c r="G118" s="95">
        <f>IF(OR($B118="",$D118="",$E118=""),"",IF(OR($C118="Target state",$C118="Exception"),"Out of scope",IF($D118="Low","No tranche",IF($E118="Low","Tranche 1",IF($E118="Medium","Tranche 2",IF($D118="High","Tranche 3","No tranche"))))))</f>
        <v/>
      </c>
      <c r="K118" s="102" t="n"/>
      <c r="L118" s="102" t="n"/>
      <c r="M118" s="102" t="n"/>
      <c r="O118">
        <f>IF(AND($B118&lt;&gt;"",$C118&lt;&gt;"Target state",$C118&lt;&gt;"Exception",$D118="High",$E118="Low"),$A118&amp;"  "&amp;$B118,"")</f>
        <v/>
      </c>
      <c r="P118">
        <f>IF(AND($B118&lt;&gt;"",$C118&lt;&gt;"Target state",$C118&lt;&gt;"Exception",$D118="High",$E118="Medium"),$A118&amp;"  "&amp;$B118,"")</f>
        <v/>
      </c>
      <c r="Q118">
        <f>IF(AND($B118&lt;&gt;"",$C118&lt;&gt;"Target state",$C118&lt;&gt;"Exception",$D118="High",$E118="High"),$A118&amp;"  "&amp;$B118,"")</f>
        <v/>
      </c>
      <c r="R118">
        <f>IF(AND($B118&lt;&gt;"",$C118&lt;&gt;"Target state",$C118&lt;&gt;"Exception",$D118="Medium",$E118="Low"),$A118&amp;"  "&amp;$B118,"")</f>
        <v/>
      </c>
      <c r="S118">
        <f>IF(AND($B118&lt;&gt;"",$C118&lt;&gt;"Target state",$C118&lt;&gt;"Exception",$D118="Medium",$E118="Medium"),$A118&amp;"  "&amp;$B118,"")</f>
        <v/>
      </c>
      <c r="T118">
        <f>IF(AND($B118&lt;&gt;"",$C118&lt;&gt;"Target state",$C118&lt;&gt;"Exception",$D118="Medium",$E118="High"),$A118&amp;"  "&amp;$B118,"")</f>
        <v/>
      </c>
      <c r="U118">
        <f>IF(AND($B118&lt;&gt;"",$C118&lt;&gt;"Target state",$C118&lt;&gt;"Exception",$D118="Low",$E118="Low"),$A118&amp;"  "&amp;$B118,"")</f>
        <v/>
      </c>
      <c r="V118">
        <f>IF(AND($B118&lt;&gt;"",$C118&lt;&gt;"Target state",$C118&lt;&gt;"Exception",$D118="Low",$E118="Medium"),$A118&amp;"  "&amp;$B118,"")</f>
        <v/>
      </c>
      <c r="W118">
        <f>IF(AND($B118&lt;&gt;"",$C118&lt;&gt;"Target state",$C118&lt;&gt;"Exception",$D118="Low",$E118="High"),$A118&amp;"  "&amp;$B118,"")</f>
        <v/>
      </c>
    </row>
    <row r="119" ht="20" customHeight="1" s="52">
      <c r="A119" s="93" t="inlineStr">
        <is>
          <t>⑧</t>
        </is>
      </c>
      <c r="B119" s="94" t="n"/>
      <c r="C119" s="73" t="n"/>
      <c r="D119" s="73" t="n"/>
      <c r="E119" s="73" t="n"/>
      <c r="F119" s="72" t="n"/>
      <c r="G119" s="95">
        <f>IF(OR($B119="",$D119="",$E119=""),"",IF(OR($C119="Target state",$C119="Exception"),"Out of scope",IF($D119="Low","No tranche",IF($E119="Low","Tranche 1",IF($E119="Medium","Tranche 2",IF($D119="High","Tranche 3","No tranche"))))))</f>
        <v/>
      </c>
      <c r="J119" s="97" t="inlineStr">
        <is>
          <t>Low</t>
        </is>
      </c>
      <c r="K119" s="103">
        <f>_xlfn.TEXTJOIN(CHAR(10),TRUE,U$112:U$121)</f>
        <v/>
      </c>
      <c r="L119" s="103">
        <f>_xlfn.TEXTJOIN(CHAR(10),TRUE,V$112:V$121)</f>
        <v/>
      </c>
      <c r="M119" s="103">
        <f>_xlfn.TEXTJOIN(CHAR(10),TRUE,W$112:W$121)</f>
        <v/>
      </c>
      <c r="O119">
        <f>IF(AND($B119&lt;&gt;"",$C119&lt;&gt;"Target state",$C119&lt;&gt;"Exception",$D119="High",$E119="Low"),$A119&amp;"  "&amp;$B119,"")</f>
        <v/>
      </c>
      <c r="P119">
        <f>IF(AND($B119&lt;&gt;"",$C119&lt;&gt;"Target state",$C119&lt;&gt;"Exception",$D119="High",$E119="Medium"),$A119&amp;"  "&amp;$B119,"")</f>
        <v/>
      </c>
      <c r="Q119">
        <f>IF(AND($B119&lt;&gt;"",$C119&lt;&gt;"Target state",$C119&lt;&gt;"Exception",$D119="High",$E119="High"),$A119&amp;"  "&amp;$B119,"")</f>
        <v/>
      </c>
      <c r="R119">
        <f>IF(AND($B119&lt;&gt;"",$C119&lt;&gt;"Target state",$C119&lt;&gt;"Exception",$D119="Medium",$E119="Low"),$A119&amp;"  "&amp;$B119,"")</f>
        <v/>
      </c>
      <c r="S119">
        <f>IF(AND($B119&lt;&gt;"",$C119&lt;&gt;"Target state",$C119&lt;&gt;"Exception",$D119="Medium",$E119="Medium"),$A119&amp;"  "&amp;$B119,"")</f>
        <v/>
      </c>
      <c r="T119">
        <f>IF(AND($B119&lt;&gt;"",$C119&lt;&gt;"Target state",$C119&lt;&gt;"Exception",$D119="Medium",$E119="High"),$A119&amp;"  "&amp;$B119,"")</f>
        <v/>
      </c>
      <c r="U119">
        <f>IF(AND($B119&lt;&gt;"",$C119&lt;&gt;"Target state",$C119&lt;&gt;"Exception",$D119="Low",$E119="Low"),$A119&amp;"  "&amp;$B119,"")</f>
        <v/>
      </c>
      <c r="V119">
        <f>IF(AND($B119&lt;&gt;"",$C119&lt;&gt;"Target state",$C119&lt;&gt;"Exception",$D119="Low",$E119="Medium"),$A119&amp;"  "&amp;$B119,"")</f>
        <v/>
      </c>
      <c r="W119">
        <f>IF(AND($B119&lt;&gt;"",$C119&lt;&gt;"Target state",$C119&lt;&gt;"Exception",$D119="Low",$E119="High"),$A119&amp;"  "&amp;$B119,"")</f>
        <v/>
      </c>
    </row>
    <row r="120" ht="20" customHeight="1" s="52">
      <c r="A120" s="93" t="inlineStr">
        <is>
          <t>⑨</t>
        </is>
      </c>
      <c r="B120" s="94" t="n"/>
      <c r="C120" s="73" t="n"/>
      <c r="D120" s="73" t="n"/>
      <c r="E120" s="73" t="n"/>
      <c r="F120" s="72" t="n"/>
      <c r="G120" s="95">
        <f>IF(OR($B120="",$D120="",$E120=""),"",IF(OR($C120="Target state",$C120="Exception"),"Out of scope",IF($D120="Low","No tranche",IF($E120="Low","Tranche 1",IF($E120="Medium","Tranche 2",IF($D120="High","Tranche 3","No tranche"))))))</f>
        <v/>
      </c>
      <c r="K120" s="101" t="n"/>
      <c r="L120" s="101" t="n"/>
      <c r="M120" s="101" t="n"/>
      <c r="O120">
        <f>IF(AND($B120&lt;&gt;"",$C120&lt;&gt;"Target state",$C120&lt;&gt;"Exception",$D120="High",$E120="Low"),$A120&amp;"  "&amp;$B120,"")</f>
        <v/>
      </c>
      <c r="P120">
        <f>IF(AND($B120&lt;&gt;"",$C120&lt;&gt;"Target state",$C120&lt;&gt;"Exception",$D120="High",$E120="Medium"),$A120&amp;"  "&amp;$B120,"")</f>
        <v/>
      </c>
      <c r="Q120">
        <f>IF(AND($B120&lt;&gt;"",$C120&lt;&gt;"Target state",$C120&lt;&gt;"Exception",$D120="High",$E120="High"),$A120&amp;"  "&amp;$B120,"")</f>
        <v/>
      </c>
      <c r="R120">
        <f>IF(AND($B120&lt;&gt;"",$C120&lt;&gt;"Target state",$C120&lt;&gt;"Exception",$D120="Medium",$E120="Low"),$A120&amp;"  "&amp;$B120,"")</f>
        <v/>
      </c>
      <c r="S120">
        <f>IF(AND($B120&lt;&gt;"",$C120&lt;&gt;"Target state",$C120&lt;&gt;"Exception",$D120="Medium",$E120="Medium"),$A120&amp;"  "&amp;$B120,"")</f>
        <v/>
      </c>
      <c r="T120">
        <f>IF(AND($B120&lt;&gt;"",$C120&lt;&gt;"Target state",$C120&lt;&gt;"Exception",$D120="Medium",$E120="High"),$A120&amp;"  "&amp;$B120,"")</f>
        <v/>
      </c>
      <c r="U120">
        <f>IF(AND($B120&lt;&gt;"",$C120&lt;&gt;"Target state",$C120&lt;&gt;"Exception",$D120="Low",$E120="Low"),$A120&amp;"  "&amp;$B120,"")</f>
        <v/>
      </c>
      <c r="V120">
        <f>IF(AND($B120&lt;&gt;"",$C120&lt;&gt;"Target state",$C120&lt;&gt;"Exception",$D120="Low",$E120="Medium"),$A120&amp;"  "&amp;$B120,"")</f>
        <v/>
      </c>
      <c r="W120">
        <f>IF(AND($B120&lt;&gt;"",$C120&lt;&gt;"Target state",$C120&lt;&gt;"Exception",$D120="Low",$E120="High"),$A120&amp;"  "&amp;$B120,"")</f>
        <v/>
      </c>
    </row>
    <row r="121" ht="20" customHeight="1" s="52">
      <c r="A121" s="93" t="inlineStr">
        <is>
          <t>⑩</t>
        </is>
      </c>
      <c r="B121" s="94" t="n"/>
      <c r="C121" s="73" t="n"/>
      <c r="D121" s="73" t="n"/>
      <c r="E121" s="73" t="n"/>
      <c r="F121" s="72" t="n"/>
      <c r="G121" s="95">
        <f>IF(OR($B121="",$D121="",$E121=""),"",IF(OR($C121="Target state",$C121="Exception"),"Out of scope",IF($D121="Low","No tranche",IF($E121="Low","Tranche 1",IF($E121="Medium","Tranche 2",IF($D121="High","Tranche 3","No tranche"))))))</f>
        <v/>
      </c>
      <c r="K121" s="102" t="n"/>
      <c r="L121" s="102" t="n"/>
      <c r="M121" s="102" t="n"/>
      <c r="O121">
        <f>IF(AND($B121&lt;&gt;"",$C121&lt;&gt;"Target state",$C121&lt;&gt;"Exception",$D121="High",$E121="Low"),$A121&amp;"  "&amp;$B121,"")</f>
        <v/>
      </c>
      <c r="P121">
        <f>IF(AND($B121&lt;&gt;"",$C121&lt;&gt;"Target state",$C121&lt;&gt;"Exception",$D121="High",$E121="Medium"),$A121&amp;"  "&amp;$B121,"")</f>
        <v/>
      </c>
      <c r="Q121">
        <f>IF(AND($B121&lt;&gt;"",$C121&lt;&gt;"Target state",$C121&lt;&gt;"Exception",$D121="High",$E121="High"),$A121&amp;"  "&amp;$B121,"")</f>
        <v/>
      </c>
      <c r="R121">
        <f>IF(AND($B121&lt;&gt;"",$C121&lt;&gt;"Target state",$C121&lt;&gt;"Exception",$D121="Medium",$E121="Low"),$A121&amp;"  "&amp;$B121,"")</f>
        <v/>
      </c>
      <c r="S121">
        <f>IF(AND($B121&lt;&gt;"",$C121&lt;&gt;"Target state",$C121&lt;&gt;"Exception",$D121="Medium",$E121="Medium"),$A121&amp;"  "&amp;$B121,"")</f>
        <v/>
      </c>
      <c r="T121">
        <f>IF(AND($B121&lt;&gt;"",$C121&lt;&gt;"Target state",$C121&lt;&gt;"Exception",$D121="Medium",$E121="High"),$A121&amp;"  "&amp;$B121,"")</f>
        <v/>
      </c>
      <c r="U121">
        <f>IF(AND($B121&lt;&gt;"",$C121&lt;&gt;"Target state",$C121&lt;&gt;"Exception",$D121="Low",$E121="Low"),$A121&amp;"  "&amp;$B121,"")</f>
        <v/>
      </c>
      <c r="V121">
        <f>IF(AND($B121&lt;&gt;"",$C121&lt;&gt;"Target state",$C121&lt;&gt;"Exception",$D121="Low",$E121="Medium"),$A121&amp;"  "&amp;$B121,"")</f>
        <v/>
      </c>
      <c r="W121">
        <f>IF(AND($B121&lt;&gt;"",$C121&lt;&gt;"Target state",$C121&lt;&gt;"Exception",$D121="Low",$E121="High"),$A121&amp;"  "&amp;$B121,"")</f>
        <v/>
      </c>
    </row>
    <row r="122">
      <c r="K122" s="97" t="inlineStr">
        <is>
          <t>Complexity</t>
        </is>
      </c>
    </row>
  </sheetData>
  <mergeCells count="97">
    <mergeCell ref="J50:J52"/>
    <mergeCell ref="K80:K83"/>
    <mergeCell ref="L50:L52"/>
    <mergeCell ref="L66:L69"/>
    <mergeCell ref="K40:M40"/>
    <mergeCell ref="K106:M106"/>
    <mergeCell ref="K56:M56"/>
    <mergeCell ref="L23:L31"/>
    <mergeCell ref="M70:M73"/>
    <mergeCell ref="K14:K22"/>
    <mergeCell ref="K23:K31"/>
    <mergeCell ref="M14:M22"/>
    <mergeCell ref="K32:K39"/>
    <mergeCell ref="I14:I39"/>
    <mergeCell ref="A44:F44"/>
    <mergeCell ref="J116:J118"/>
    <mergeCell ref="L103:L105"/>
    <mergeCell ref="K74:M74"/>
    <mergeCell ref="J84:J86"/>
    <mergeCell ref="L46:L49"/>
    <mergeCell ref="I112:I121"/>
    <mergeCell ref="K119:K121"/>
    <mergeCell ref="I62:I73"/>
    <mergeCell ref="M119:M121"/>
    <mergeCell ref="I96:I105"/>
    <mergeCell ref="A60:F60"/>
    <mergeCell ref="J96:J99"/>
    <mergeCell ref="K100:K102"/>
    <mergeCell ref="L96:L99"/>
    <mergeCell ref="L70:L73"/>
    <mergeCell ref="J46:J49"/>
    <mergeCell ref="K110:M110"/>
    <mergeCell ref="K84:K86"/>
    <mergeCell ref="M84:M86"/>
    <mergeCell ref="K60:M60"/>
    <mergeCell ref="K94:M94"/>
    <mergeCell ref="L14:L22"/>
    <mergeCell ref="K44:M44"/>
    <mergeCell ref="K12:M12"/>
    <mergeCell ref="L32:L39"/>
    <mergeCell ref="K87:K89"/>
    <mergeCell ref="M87:M89"/>
    <mergeCell ref="K96:K99"/>
    <mergeCell ref="A4:C4"/>
    <mergeCell ref="L116:L118"/>
    <mergeCell ref="J53:J55"/>
    <mergeCell ref="J66:J69"/>
    <mergeCell ref="L53:L55"/>
    <mergeCell ref="K50:K52"/>
    <mergeCell ref="K66:K69"/>
    <mergeCell ref="M66:M69"/>
    <mergeCell ref="M112:M115"/>
    <mergeCell ref="M32:M39"/>
    <mergeCell ref="J112:J115"/>
    <mergeCell ref="L119:L121"/>
    <mergeCell ref="I46:I55"/>
    <mergeCell ref="L62:L65"/>
    <mergeCell ref="J80:J83"/>
    <mergeCell ref="L112:L115"/>
    <mergeCell ref="J70:J73"/>
    <mergeCell ref="K103:K105"/>
    <mergeCell ref="M103:M105"/>
    <mergeCell ref="K46:K49"/>
    <mergeCell ref="M46:M49"/>
    <mergeCell ref="M80:M83"/>
    <mergeCell ref="K70:K73"/>
    <mergeCell ref="K78:M78"/>
    <mergeCell ref="J32:J39"/>
    <mergeCell ref="A94:F94"/>
    <mergeCell ref="M96:M99"/>
    <mergeCell ref="J23:J31"/>
    <mergeCell ref="J119:J121"/>
    <mergeCell ref="K112:K115"/>
    <mergeCell ref="A78:F78"/>
    <mergeCell ref="J103:J105"/>
    <mergeCell ref="K90:M90"/>
    <mergeCell ref="J100:J102"/>
    <mergeCell ref="L100:L102"/>
    <mergeCell ref="A12:F12"/>
    <mergeCell ref="L84:L86"/>
    <mergeCell ref="K116:K118"/>
    <mergeCell ref="M116:M118"/>
    <mergeCell ref="K53:K55"/>
    <mergeCell ref="M100:M102"/>
    <mergeCell ref="M53:M55"/>
    <mergeCell ref="I80:I89"/>
    <mergeCell ref="M50:M52"/>
    <mergeCell ref="J87:J89"/>
    <mergeCell ref="M23:M31"/>
    <mergeCell ref="L87:L89"/>
    <mergeCell ref="J14:J22"/>
    <mergeCell ref="J62:J65"/>
    <mergeCell ref="A110:F110"/>
    <mergeCell ref="L80:L83"/>
    <mergeCell ref="K62:K65"/>
    <mergeCell ref="M62:M65"/>
    <mergeCell ref="K122:M122"/>
  </mergeCells>
  <conditionalFormatting sqref="A14:G39">
    <cfRule type="expression" priority="1" dxfId="43">
      <formula>OR($C14="Target state",$C14="Exception")</formula>
    </cfRule>
  </conditionalFormatting>
  <conditionalFormatting sqref="A46:G55">
    <cfRule type="expression" priority="2" dxfId="43">
      <formula>OR($C46="Target state",$C46="Exception")</formula>
    </cfRule>
  </conditionalFormatting>
  <conditionalFormatting sqref="A62:G73">
    <cfRule type="expression" priority="3" dxfId="43">
      <formula>OR($C62="Target state",$C62="Exception")</formula>
    </cfRule>
  </conditionalFormatting>
  <conditionalFormatting sqref="A80:G89">
    <cfRule type="expression" priority="4" dxfId="43">
      <formula>OR($C80="Target state",$C80="Exception")</formula>
    </cfRule>
  </conditionalFormatting>
  <conditionalFormatting sqref="A96:G105">
    <cfRule type="expression" priority="5" dxfId="43">
      <formula>OR($C96="Target state",$C96="Exception")</formula>
    </cfRule>
  </conditionalFormatting>
  <conditionalFormatting sqref="A112:G121">
    <cfRule type="expression" priority="6" dxfId="43">
      <formula>OR($C112="Target state",$C112="Exception")</formula>
    </cfRule>
  </conditionalFormatting>
  <dataValidations count="2">
    <dataValidation sqref="C14:C39 C46:C55 C62:C73 C80:C89 C96:C105 C112:C121" showDropDown="0" showInputMessage="0" showErrorMessage="0" allowBlank="1" type="list">
      <formula1>"Target state,Non-target state,Exception"</formula1>
    </dataValidation>
    <dataValidation sqref="D14:E39 D46:E55 D62:E73 D80:E89 D96:E105 D11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W100"/>
  <sheetViews>
    <sheetView showGridLines="0" workbookViewId="0">
      <selection activeCell="A1" sqref="A1"/>
    </sheetView>
  </sheetViews>
  <sheetFormatPr baseColWidth="8" defaultRowHeight="15"/>
  <cols>
    <col width="5" customWidth="1" style="52" min="1" max="1"/>
    <col width="26" customWidth="1" style="52" min="2" max="2"/>
    <col width="17" customWidth="1" style="52" min="3" max="3"/>
    <col width="16" customWidth="1" style="52" min="4" max="4"/>
    <col width="15" customWidth="1" style="52" min="5" max="5"/>
    <col width="44" customWidth="1" style="52" min="6" max="6"/>
    <col width="14" customWidth="1" style="52" min="7" max="7"/>
    <col width="2" customWidth="1" style="52" min="8" max="8"/>
    <col width="4" customWidth="1" style="52" min="9" max="9"/>
    <col width="9" customWidth="1" style="52" min="10" max="10"/>
    <col width="26" customWidth="1" style="52" min="11" max="11"/>
    <col width="26" customWidth="1" style="52" min="12" max="12"/>
    <col width="26" customWidth="1" style="52" min="13" max="13"/>
    <col width="2" customWidth="1" style="52" min="14" max="14"/>
    <col hidden="1" width="13" customWidth="1" style="52" min="15" max="15"/>
    <col hidden="1" width="13" customWidth="1" style="52" min="16" max="16"/>
    <col hidden="1" width="13" customWidth="1" style="52" min="17" max="17"/>
    <col hidden="1" width="13" customWidth="1" style="52" min="18" max="18"/>
    <col hidden="1" width="13" customWidth="1" style="52" min="19" max="19"/>
    <col hidden="1" width="13" customWidth="1" style="52" min="20" max="20"/>
    <col hidden="1" width="13" customWidth="1" style="52" min="21" max="21"/>
    <col hidden="1" width="13" customWidth="1" style="52" min="22" max="22"/>
    <col hidden="1" width="13" customWidth="1" style="52" min="23" max="23"/>
  </cols>
  <sheetData>
    <row r="1">
      <c r="A1" s="83" t="inlineStr">
        <is>
          <t>Single-in — Platform Assessment</t>
        </is>
      </c>
    </row>
    <row r="2">
      <c r="A2" s="84">
        <f>HYPERLINK("#'Summary'!A1","← Back to Summary")</f>
        <v/>
      </c>
      <c r="C2" s="85" t="inlineStr">
        <is>
          <t>Pick a State, score High / Medium / Low — the tranche, the matrix and the Summary update automatically.</t>
        </is>
      </c>
    </row>
    <row r="4">
      <c r="A4" s="86" t="inlineStr">
        <is>
          <t>Tracker — jump to a sub-capability:</t>
        </is>
      </c>
    </row>
    <row r="5">
      <c r="A5" s="87" t="inlineStr">
        <is>
          <t>1.</t>
        </is>
      </c>
      <c r="B5" s="84">
        <f>HYPERLINK("#'Single-in'!A11","Global API")</f>
        <v/>
      </c>
    </row>
    <row r="6">
      <c r="A6" s="87" t="inlineStr">
        <is>
          <t>2.</t>
        </is>
      </c>
      <c r="B6" s="84">
        <f>HYPERLINK("#'Single-in'!A27","Payment Apps &amp; SDKs")</f>
        <v/>
      </c>
    </row>
    <row r="7">
      <c r="A7" s="87" t="inlineStr">
        <is>
          <t>3.</t>
        </is>
      </c>
      <c r="B7" s="84">
        <f>HYPERLINK("#'Single-in'!A56","Developer Experience")</f>
        <v/>
      </c>
    </row>
    <row r="8">
      <c r="A8" s="87" t="inlineStr">
        <is>
          <t>4.</t>
        </is>
      </c>
      <c r="B8" s="84">
        <f>HYPERLINK("#'Single-in'!A72","Hosted Solutions")</f>
        <v/>
      </c>
    </row>
    <row r="9">
      <c r="A9" s="87" t="inlineStr">
        <is>
          <t>5.</t>
        </is>
      </c>
      <c r="B9" s="84">
        <f>HYPERLINK("#'Single-in'!A88","Unified Proposition")</f>
        <v/>
      </c>
    </row>
    <row r="11" ht="22" customHeight="1" s="52">
      <c r="A11" s="88" t="inlineStr">
        <is>
          <t>Global API</t>
        </is>
      </c>
      <c r="G11" s="89">
        <f>HYPERLINK("#'Single-in'!A4","▲ tracker")</f>
        <v/>
      </c>
      <c r="K11" s="90" t="inlineStr">
        <is>
          <t>Assessment Outcome</t>
        </is>
      </c>
    </row>
    <row r="12" ht="18" customHeight="1" s="52">
      <c r="A12" s="91" t="inlineStr">
        <is>
          <t>#</t>
        </is>
      </c>
      <c r="B12" s="91" t="inlineStr">
        <is>
          <t>Platform</t>
        </is>
      </c>
      <c r="C12" s="91" t="inlineStr">
        <is>
          <t>State</t>
        </is>
      </c>
      <c r="D12" s="91" t="inlineStr">
        <is>
          <t>Imperative to exit</t>
        </is>
      </c>
      <c r="E12" s="91" t="inlineStr">
        <is>
          <t>Exit complexity</t>
        </is>
      </c>
      <c r="F12" s="91" t="inlineStr">
        <is>
          <t>Supporting facts</t>
        </is>
      </c>
      <c r="G12" s="91" t="inlineStr">
        <is>
          <t>Tranche (auto)</t>
        </is>
      </c>
      <c r="K12" s="92" t="inlineStr">
        <is>
          <t>Low</t>
        </is>
      </c>
      <c r="L12" s="92" t="inlineStr">
        <is>
          <t>Medium</t>
        </is>
      </c>
      <c r="M12" s="92" t="inlineStr">
        <is>
          <t>High</t>
        </is>
      </c>
    </row>
    <row r="13" ht="30" customHeight="1" s="52">
      <c r="A13" s="93" t="inlineStr">
        <is>
          <t>①</t>
        </is>
      </c>
      <c r="B13" s="94" t="inlineStr">
        <is>
          <t>Comercia Addon2.0 API</t>
        </is>
      </c>
      <c r="C13" s="73" t="inlineStr">
        <is>
          <t>Non-target state</t>
        </is>
      </c>
      <c r="D13" s="73" t="n"/>
      <c r="E13" s="73" t="n"/>
      <c r="F13" s="72" t="inlineStr">
        <is>
          <t>Non-strategic Addon 2.0 integration API for Comercia merchants offered as JavaScript or host-to-host; on the decommission path</t>
        </is>
      </c>
      <c r="G13" s="95">
        <f>IF(OR($B13="",$D13="",$E13=""),"",IF(OR($C13="Target state",$C13="Exception"),"Out of scope",IF($D13="Low","No tranche",IF($E13="Low","Tranche 1",IF($E13="Medium","Tranche 2",IF($D13="High","Tranche 3","No tranche"))))))</f>
        <v/>
      </c>
      <c r="I13" s="96" t="inlineStr">
        <is>
          <t>Benefits</t>
        </is>
      </c>
      <c r="J13" s="97" t="inlineStr">
        <is>
          <t>High</t>
        </is>
      </c>
      <c r="K13" s="98">
        <f>"Tranche 1"&amp;CHAR(10)&amp;_xlfn.TEXTJOIN(CHAR(10),TRUE,O$13:O$22)</f>
        <v/>
      </c>
      <c r="L13" s="99">
        <f>"Tranche 2"&amp;CHAR(10)&amp;_xlfn.TEXTJOIN(CHAR(10),TRUE,P$13:P$22)</f>
        <v/>
      </c>
      <c r="M13" s="100">
        <f>"Tranche 3"&amp;CHAR(10)&amp;_xlfn.TEXTJOIN(CHAR(10),TRUE,Q$13:Q$22)</f>
        <v/>
      </c>
      <c r="O13">
        <f>IF(AND($B13&lt;&gt;"",$C13&lt;&gt;"Target state",$C13&lt;&gt;"Exception",$D13="High",$E13="Low"),$A13&amp;"  "&amp;$B13,"")</f>
        <v/>
      </c>
      <c r="P13">
        <f>IF(AND($B13&lt;&gt;"",$C13&lt;&gt;"Target state",$C13&lt;&gt;"Exception",$D13="High",$E13="Medium"),$A13&amp;"  "&amp;$B13,"")</f>
        <v/>
      </c>
      <c r="Q13">
        <f>IF(AND($B13&lt;&gt;"",$C13&lt;&gt;"Target state",$C13&lt;&gt;"Exception",$D13="High",$E13="High"),$A13&amp;"  "&amp;$B13,"")</f>
        <v/>
      </c>
      <c r="R13">
        <f>IF(AND($B13&lt;&gt;"",$C13&lt;&gt;"Target state",$C13&lt;&gt;"Exception",$D13="Medium",$E13="Low"),$A13&amp;"  "&amp;$B13,"")</f>
        <v/>
      </c>
      <c r="S13">
        <f>IF(AND($B13&lt;&gt;"",$C13&lt;&gt;"Target state",$C13&lt;&gt;"Exception",$D13="Medium",$E13="Medium"),$A13&amp;"  "&amp;$B13,"")</f>
        <v/>
      </c>
      <c r="T13">
        <f>IF(AND($B13&lt;&gt;"",$C13&lt;&gt;"Target state",$C13&lt;&gt;"Exception",$D13="Medium",$E13="High"),$A13&amp;"  "&amp;$B13,"")</f>
        <v/>
      </c>
      <c r="U13">
        <f>IF(AND($B13&lt;&gt;"",$C13&lt;&gt;"Target state",$C13&lt;&gt;"Exception",$D13="Low",$E13="Low"),$A13&amp;"  "&amp;$B13,"")</f>
        <v/>
      </c>
      <c r="V13">
        <f>IF(AND($B13&lt;&gt;"",$C13&lt;&gt;"Target state",$C13&lt;&gt;"Exception",$D13="Low",$E13="Medium"),$A13&amp;"  "&amp;$B13,"")</f>
        <v/>
      </c>
      <c r="W13">
        <f>IF(AND($B13&lt;&gt;"",$C13&lt;&gt;"Target state",$C13&lt;&gt;"Exception",$D13="Low",$E13="High"),$A13&amp;"  "&amp;$B13,"")</f>
        <v/>
      </c>
    </row>
    <row r="14" ht="20" customHeight="1" s="52">
      <c r="A14" s="93" t="inlineStr">
        <is>
          <t>②</t>
        </is>
      </c>
      <c r="B14" s="94" t="n"/>
      <c r="C14" s="73" t="n"/>
      <c r="D14" s="73" t="n"/>
      <c r="E14" s="73" t="n"/>
      <c r="F14" s="72" t="n"/>
      <c r="G14" s="95">
        <f>IF(OR($B14="",$D14="",$E14=""),"",IF(OR($C14="Target state",$C14="Exception"),"Out of scope",IF($D14="Low","No tranche",IF($E14="Low","Tranche 1",IF($E14="Medium","Tranche 2",IF($D14="High","Tranche 3","No tranche"))))))</f>
        <v/>
      </c>
      <c r="K14" s="101" t="n"/>
      <c r="L14" s="101" t="n"/>
      <c r="M14" s="101" t="n"/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20" customHeight="1" s="52">
      <c r="A15" s="93" t="inlineStr">
        <is>
          <t>③</t>
        </is>
      </c>
      <c r="B15" s="94" t="n"/>
      <c r="C15" s="73" t="n"/>
      <c r="D15" s="73" t="n"/>
      <c r="E15" s="73" t="n"/>
      <c r="F15" s="72" t="n"/>
      <c r="G15" s="95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101" t="n"/>
      <c r="L15" s="101" t="n"/>
      <c r="M15" s="101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20" customHeight="1" s="52">
      <c r="A16" s="93" t="inlineStr">
        <is>
          <t>④</t>
        </is>
      </c>
      <c r="B16" s="94" t="n"/>
      <c r="C16" s="73" t="n"/>
      <c r="D16" s="73" t="n"/>
      <c r="E16" s="73" t="n"/>
      <c r="F16" s="72" t="n"/>
      <c r="G16" s="95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102" t="n"/>
      <c r="L16" s="102" t="n"/>
      <c r="M16" s="102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20" customHeight="1" s="52">
      <c r="A17" s="93" t="inlineStr">
        <is>
          <t>⑤</t>
        </is>
      </c>
      <c r="B17" s="94" t="n"/>
      <c r="C17" s="73" t="n"/>
      <c r="D17" s="73" t="n"/>
      <c r="E17" s="73" t="n"/>
      <c r="F17" s="72" t="n"/>
      <c r="G17" s="95">
        <f>IF(OR($B17="",$D17="",$E17=""),"",IF(OR($C17="Target state",$C17="Exception"),"Out of scope",IF($D17="Low","No tranche",IF($E17="Low","Tranche 1",IF($E17="Medium","Tranche 2",IF($D17="High","Tranche 3","No tranche"))))))</f>
        <v/>
      </c>
      <c r="J17" s="97" t="inlineStr">
        <is>
          <t>Medium</t>
        </is>
      </c>
      <c r="K17" s="98">
        <f>"Tranche 1"&amp;CHAR(10)&amp;_xlfn.TEXTJOIN(CHAR(10),TRUE,R$13:R$22)</f>
        <v/>
      </c>
      <c r="L17" s="99">
        <f>"Tranche 2"&amp;CHAR(10)&amp;_xlfn.TEXTJOIN(CHAR(10),TRUE,S$13:S$22)</f>
        <v/>
      </c>
      <c r="M17" s="103">
        <f>_xlfn.TEXTJOIN(CHAR(10),TRUE,T$13:T$22)</f>
        <v/>
      </c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 s="52">
      <c r="A18" s="93" t="inlineStr">
        <is>
          <t>⑥</t>
        </is>
      </c>
      <c r="B18" s="94" t="n"/>
      <c r="C18" s="73" t="n"/>
      <c r="D18" s="73" t="n"/>
      <c r="E18" s="73" t="n"/>
      <c r="F18" s="72" t="n"/>
      <c r="G18" s="95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101" t="n"/>
      <c r="L18" s="101" t="n"/>
      <c r="M18" s="101" t="n"/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20" customHeight="1" s="52">
      <c r="A19" s="93" t="inlineStr">
        <is>
          <t>⑦</t>
        </is>
      </c>
      <c r="B19" s="94" t="n"/>
      <c r="C19" s="73" t="n"/>
      <c r="D19" s="73" t="n"/>
      <c r="E19" s="73" t="n"/>
      <c r="F19" s="72" t="n"/>
      <c r="G19" s="95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102" t="n"/>
      <c r="L19" s="102" t="n"/>
      <c r="M19" s="102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20" customHeight="1" s="52">
      <c r="A20" s="93" t="inlineStr">
        <is>
          <t>⑧</t>
        </is>
      </c>
      <c r="B20" s="94" t="n"/>
      <c r="C20" s="73" t="n"/>
      <c r="D20" s="73" t="n"/>
      <c r="E20" s="73" t="n"/>
      <c r="F20" s="72" t="n"/>
      <c r="G20" s="95">
        <f>IF(OR($B20="",$D20="",$E20=""),"",IF(OR($C20="Target state",$C20="Exception"),"Out of scope",IF($D20="Low","No tranche",IF($E20="Low","Tranche 1",IF($E20="Medium","Tranche 2",IF($D20="High","Tranche 3","No tranche"))))))</f>
        <v/>
      </c>
      <c r="J20" s="97" t="inlineStr">
        <is>
          <t>Low</t>
        </is>
      </c>
      <c r="K20" s="103">
        <f>_xlfn.TEXTJOIN(CHAR(10),TRUE,U$13:U$22)</f>
        <v/>
      </c>
      <c r="L20" s="103">
        <f>_xlfn.TEXTJOIN(CHAR(10),TRUE,V$13:V$22)</f>
        <v/>
      </c>
      <c r="M20" s="103">
        <f>_xlfn.TEXTJOIN(CHAR(10),TRUE,W$13:W$22)</f>
        <v/>
      </c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20" customHeight="1" s="52">
      <c r="A21" s="93" t="inlineStr">
        <is>
          <t>⑨</t>
        </is>
      </c>
      <c r="B21" s="94" t="n"/>
      <c r="C21" s="73" t="n"/>
      <c r="D21" s="73" t="n"/>
      <c r="E21" s="73" t="n"/>
      <c r="F21" s="72" t="n"/>
      <c r="G21" s="95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101" t="n"/>
      <c r="L21" s="101" t="n"/>
      <c r="M21" s="101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20" customHeight="1" s="52">
      <c r="A22" s="93" t="inlineStr">
        <is>
          <t>⑩</t>
        </is>
      </c>
      <c r="B22" s="94" t="n"/>
      <c r="C22" s="73" t="n"/>
      <c r="D22" s="73" t="n"/>
      <c r="E22" s="73" t="n"/>
      <c r="F22" s="72" t="n"/>
      <c r="G22" s="95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102" t="n"/>
      <c r="L22" s="102" t="n"/>
      <c r="M22" s="102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>
      <c r="K23" s="97" t="inlineStr">
        <is>
          <t>Complexity</t>
        </is>
      </c>
    </row>
    <row r="27" ht="22" customHeight="1" s="52">
      <c r="A27" s="88" t="inlineStr">
        <is>
          <t>Payment Apps &amp; SDKs</t>
        </is>
      </c>
      <c r="G27" s="89">
        <f>HYPERLINK("#'Single-in'!A4","▲ tracker")</f>
        <v/>
      </c>
      <c r="K27" s="90" t="inlineStr">
        <is>
          <t>Assessment Outcome</t>
        </is>
      </c>
    </row>
    <row r="28" ht="18" customHeight="1" s="52">
      <c r="A28" s="91" t="inlineStr">
        <is>
          <t>#</t>
        </is>
      </c>
      <c r="B28" s="91" t="inlineStr">
        <is>
          <t>Platform</t>
        </is>
      </c>
      <c r="C28" s="91" t="inlineStr">
        <is>
          <t>State</t>
        </is>
      </c>
      <c r="D28" s="91" t="inlineStr">
        <is>
          <t>Imperative to exit</t>
        </is>
      </c>
      <c r="E28" s="91" t="inlineStr">
        <is>
          <t>Exit complexity</t>
        </is>
      </c>
      <c r="F28" s="91" t="inlineStr">
        <is>
          <t>Supporting facts</t>
        </is>
      </c>
      <c r="G28" s="91" t="inlineStr">
        <is>
          <t>Tranche (auto)</t>
        </is>
      </c>
      <c r="K28" s="92" t="inlineStr">
        <is>
          <t>Low</t>
        </is>
      </c>
      <c r="L28" s="92" t="inlineStr">
        <is>
          <t>Medium</t>
        </is>
      </c>
      <c r="M28" s="92" t="inlineStr">
        <is>
          <t>High</t>
        </is>
      </c>
    </row>
    <row r="29" ht="30" customHeight="1" s="52">
      <c r="A29" s="93" t="inlineStr">
        <is>
          <t>①</t>
        </is>
      </c>
      <c r="B29" s="94" t="inlineStr">
        <is>
          <t>Deployed Apps (XCharge, RCM)</t>
        </is>
      </c>
      <c r="C29" s="73" t="inlineStr">
        <is>
          <t>Non-target state</t>
        </is>
      </c>
      <c r="D29" s="73" t="n"/>
      <c r="E29" s="73" t="n"/>
      <c r="F29" s="72" t="inlineStr">
        <is>
          <t>Non-strategic legacy deployed applications tightly integrated with the Edge gateway; follow the Edge exit path</t>
        </is>
      </c>
      <c r="G29" s="95">
        <f>IF(OR($B29="",$D29="",$E29=""),"",IF(OR($C29="Target state",$C29="Exception"),"Out of scope",IF($D29="Low","No tranche",IF($E29="Low","Tranche 1",IF($E29="Medium","Tranche 2",IF($D29="High","Tranche 3","No tranche"))))))</f>
        <v/>
      </c>
      <c r="I29" s="96" t="inlineStr">
        <is>
          <t>Benefits</t>
        </is>
      </c>
      <c r="J29" s="97" t="inlineStr">
        <is>
          <t>High</t>
        </is>
      </c>
      <c r="K29" s="98">
        <f>"Tranche 1"&amp;CHAR(10)&amp;_xlfn.TEXTJOIN(CHAR(10),TRUE,O$29:O$51)</f>
        <v/>
      </c>
      <c r="L29" s="99">
        <f>"Tranche 2"&amp;CHAR(10)&amp;_xlfn.TEXTJOIN(CHAR(10),TRUE,P$29:P$51)</f>
        <v/>
      </c>
      <c r="M29" s="100">
        <f>"Tranche 3"&amp;CHAR(10)&amp;_xlfn.TEXTJOIN(CHAR(10),TRUE,Q$29:Q$51)</f>
        <v/>
      </c>
      <c r="O29">
        <f>IF(AND($B29&lt;&gt;"",$C29&lt;&gt;"Target state",$C29&lt;&gt;"Exception",$D29="High",$E29="Low"),$A29&amp;"  "&amp;$B29,"")</f>
        <v/>
      </c>
      <c r="P29">
        <f>IF(AND($B29&lt;&gt;"",$C29&lt;&gt;"Target state",$C29&lt;&gt;"Exception",$D29="High",$E29="Medium"),$A29&amp;"  "&amp;$B29,"")</f>
        <v/>
      </c>
      <c r="Q29">
        <f>IF(AND($B29&lt;&gt;"",$C29&lt;&gt;"Target state",$C29&lt;&gt;"Exception",$D29="High",$E29="High"),$A29&amp;"  "&amp;$B29,"")</f>
        <v/>
      </c>
      <c r="R29">
        <f>IF(AND($B29&lt;&gt;"",$C29&lt;&gt;"Target state",$C29&lt;&gt;"Exception",$D29="Medium",$E29="Low"),$A29&amp;"  "&amp;$B29,"")</f>
        <v/>
      </c>
      <c r="S29">
        <f>IF(AND($B29&lt;&gt;"",$C29&lt;&gt;"Target state",$C29&lt;&gt;"Exception",$D29="Medium",$E29="Medium"),$A29&amp;"  "&amp;$B29,"")</f>
        <v/>
      </c>
      <c r="T29">
        <f>IF(AND($B29&lt;&gt;"",$C29&lt;&gt;"Target state",$C29&lt;&gt;"Exception",$D29="Medium",$E29="High"),$A29&amp;"  "&amp;$B29,"")</f>
        <v/>
      </c>
      <c r="U29">
        <f>IF(AND($B29&lt;&gt;"",$C29&lt;&gt;"Target state",$C29&lt;&gt;"Exception",$D29="Low",$E29="Low"),$A29&amp;"  "&amp;$B29,"")</f>
        <v/>
      </c>
      <c r="V29">
        <f>IF(AND($B29&lt;&gt;"",$C29&lt;&gt;"Target state",$C29&lt;&gt;"Exception",$D29="Low",$E29="Medium"),$A29&amp;"  "&amp;$B29,"")</f>
        <v/>
      </c>
      <c r="W29">
        <f>IF(AND($B29&lt;&gt;"",$C29&lt;&gt;"Target state",$C29&lt;&gt;"Exception",$D29="Low",$E29="High"),$A29&amp;"  "&amp;$B29,"")</f>
        <v/>
      </c>
    </row>
    <row r="30" ht="36" customHeight="1" s="52">
      <c r="A30" s="93" t="inlineStr">
        <is>
          <t>②</t>
        </is>
      </c>
      <c r="B30" s="94" t="inlineStr">
        <is>
          <t>Middleware for Aloha &amp; Symphony POS</t>
        </is>
      </c>
      <c r="C30" s="73" t="inlineStr">
        <is>
          <t>Non-target state</t>
        </is>
      </c>
      <c r="D30" s="73" t="n"/>
      <c r="E30" s="73" t="n"/>
      <c r="F30" s="72" t="inlineStr">
        <is>
          <t>Non-strategic middleware between the gateway and Aloha or Symphony POS across 1.4K merchants; meaningful margin contribution of about $4.5M; sustain in KTLO per the repository</t>
        </is>
      </c>
      <c r="G30" s="95">
        <f>IF(OR($B30="",$D30="",$E30=""),"",IF(OR($C30="Target state",$C30="Exception"),"Out of scope",IF($D30="Low","No tranche",IF($E30="Low","Tranche 1",IF($E30="Medium","Tranche 2",IF($D30="High","Tranche 3","No tranche"))))))</f>
        <v/>
      </c>
      <c r="K30" s="101" t="n"/>
      <c r="L30" s="101" t="n"/>
      <c r="M30" s="101" t="n"/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36" customHeight="1" s="52">
      <c r="A31" s="93" t="inlineStr">
        <is>
          <t>③</t>
        </is>
      </c>
      <c r="B31" s="94" t="inlineStr">
        <is>
          <t>Spidr</t>
        </is>
      </c>
      <c r="C31" s="73" t="inlineStr">
        <is>
          <t>Non-target state</t>
        </is>
      </c>
      <c r="D31" s="73" t="n"/>
      <c r="E31" s="73" t="n"/>
      <c r="F31" s="72" t="inlineStr">
        <is>
          <t>Non-strategic Windows middleware used mainly in parking across 4.3K merchants; about 10M transactions and $150M processed; effectively no dedicated cost</t>
        </is>
      </c>
      <c r="G31" s="95">
        <f>IF(OR($B31="",$D31="",$E31=""),"",IF(OR($C31="Target state",$C31="Exception"),"Out of scope",IF($D31="Low","No tranche",IF($E31="Low","Tranche 1",IF($E31="Medium","Tranche 2",IF($D31="High","Tranche 3","No tranche"))))))</f>
        <v/>
      </c>
      <c r="K31" s="101" t="n"/>
      <c r="L31" s="101" t="n"/>
      <c r="M31" s="101" t="n"/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30" customHeight="1" s="52">
      <c r="A32" s="93" t="inlineStr">
        <is>
          <t>④</t>
        </is>
      </c>
      <c r="B32" s="94" t="inlineStr">
        <is>
          <t>UK-Ingenico SDK</t>
        </is>
      </c>
      <c r="C32" s="73" t="inlineStr">
        <is>
          <t>Non-target state</t>
        </is>
      </c>
      <c r="D32" s="73" t="n"/>
      <c r="E32" s="73" t="n"/>
      <c r="F32" s="72" t="inlineStr">
        <is>
          <t>Non-strategic SDKs fronting legacy Ingenico applications for the UK ISV market; on the decommission path</t>
        </is>
      </c>
      <c r="G32" s="95">
        <f>IF(OR($B32="",$D32="",$E32=""),"",IF(OR($C32="Target state",$C32="Exception"),"Out of scope",IF($D32="Low","No tranche",IF($E32="Low","Tranche 1",IF($E32="Medium","Tranche 2",IF($D32="High","Tranche 3","No tranche"))))))</f>
        <v/>
      </c>
      <c r="K32" s="101" t="n"/>
      <c r="L32" s="101" t="n"/>
      <c r="M32" s="101" t="n"/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36" customHeight="1" s="52">
      <c r="A33" s="93" t="inlineStr">
        <is>
          <t>⑤</t>
        </is>
      </c>
      <c r="B33" s="94" t="inlineStr">
        <is>
          <t>The Phoenix Group (TPG)</t>
        </is>
      </c>
      <c r="C33" s="73" t="inlineStr">
        <is>
          <t>Non-target state</t>
        </is>
      </c>
      <c r="D33" s="73" t="n"/>
      <c r="E33" s="73" t="n"/>
      <c r="F33" s="72" t="inlineStr">
        <is>
          <t>Third-party terminal deployment service sourcing hardware for Omaha, EVO, Canada and CPay across about 13K devices; repository flags initial disposition Keep &amp; Enhance — confirm with SPOC</t>
        </is>
      </c>
      <c r="G33" s="95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101" t="n"/>
      <c r="L33" s="101" t="n"/>
      <c r="M33" s="101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36" customHeight="1" s="52">
      <c r="A34" s="93" t="inlineStr">
        <is>
          <t>⑥</t>
        </is>
      </c>
      <c r="B34" s="94" t="inlineStr">
        <is>
          <t>POS Portal</t>
        </is>
      </c>
      <c r="C34" s="73" t="inlineStr">
        <is>
          <t>Non-target state</t>
        </is>
      </c>
      <c r="D34" s="73" t="n"/>
      <c r="E34" s="73" t="n"/>
      <c r="F34" s="72" t="inlineStr">
        <is>
          <t>Third-party terminal deployment service for Cayan, Omaha and Broomfield with about 100K devices shipped; repository flags initial disposition Keep &amp; Enhance — confirm with SPOC</t>
        </is>
      </c>
      <c r="G34" s="95">
        <f>IF(OR($B34="",$D34="",$E34=""),"",IF(OR($C34="Target state",$C34="Exception"),"Out of scope",IF($D34="Low","No tranche",IF($E34="Low","Tranche 1",IF($E34="Medium","Tranche 2",IF($D34="High","Tranche 3","No tranche"))))))</f>
        <v/>
      </c>
      <c r="K34" s="101" t="n"/>
      <c r="L34" s="101" t="n"/>
      <c r="M34" s="101" t="n"/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36" customHeight="1" s="52">
      <c r="A35" s="93" t="inlineStr">
        <is>
          <t>⑦</t>
        </is>
      </c>
      <c r="B35" s="94" t="inlineStr">
        <is>
          <t>EVO TMS</t>
        </is>
      </c>
      <c r="C35" s="73" t="inlineStr">
        <is>
          <t>Non-target state</t>
        </is>
      </c>
      <c r="D35" s="73" t="n"/>
      <c r="E35" s="73" t="n"/>
      <c r="F35" s="72" t="inlineStr">
        <is>
          <t>Non-strategic eService terminal management system supporting about 100K terminals across EU and UK; repository flags initial disposition Keep &amp; Enhance — confirm with SPOC</t>
        </is>
      </c>
      <c r="G35" s="95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101" t="n"/>
      <c r="L35" s="101" t="n"/>
      <c r="M35" s="101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36" customHeight="1" s="52">
      <c r="A36" s="93" t="inlineStr">
        <is>
          <t>⑧</t>
        </is>
      </c>
      <c r="B36" s="94" t="inlineStr">
        <is>
          <t>GPE TMS</t>
        </is>
      </c>
      <c r="C36" s="73" t="inlineStr">
        <is>
          <t>Non-target state</t>
        </is>
      </c>
      <c r="D36" s="73" t="n"/>
      <c r="E36" s="73" t="n"/>
      <c r="F36" s="72" t="inlineStr">
        <is>
          <t>Non-strategic GPE terminal management system covering about 91K terminals, tightly integrated with boarding; around $480K in yearly cost; repository flags initial disposition Keep &amp; Enhance — confirm with SPOC</t>
        </is>
      </c>
      <c r="G36" s="95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102" t="n"/>
      <c r="L36" s="102" t="n"/>
      <c r="M36" s="102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 ht="30" customHeight="1" s="52">
      <c r="A37" s="93" t="inlineStr">
        <is>
          <t>⑨</t>
        </is>
      </c>
      <c r="B37" s="94" t="inlineStr">
        <is>
          <t>Terminal Management Services (TMS)</t>
        </is>
      </c>
      <c r="C37" s="73" t="inlineStr">
        <is>
          <t>Non-target state</t>
        </is>
      </c>
      <c r="D37" s="73" t="n"/>
      <c r="E37" s="73" t="n"/>
      <c r="F37" s="72" t="inlineStr">
        <is>
          <t>Non-strategic terminal management supporting Genius across about 91K MIDs; repository flags initial disposition Keep &amp; Enhance — confirm with SPOC</t>
        </is>
      </c>
      <c r="G37" s="95">
        <f>IF(OR($B37="",$D37="",$E37=""),"",IF(OR($C37="Target state",$C37="Exception"),"Out of scope",IF($D37="Low","No tranche",IF($E37="Low","Tranche 1",IF($E37="Medium","Tranche 2",IF($D37="High","Tranche 3","No tranche"))))))</f>
        <v/>
      </c>
      <c r="J37" s="97" t="inlineStr">
        <is>
          <t>Medium</t>
        </is>
      </c>
      <c r="K37" s="98">
        <f>"Tranche 1"&amp;CHAR(10)&amp;_xlfn.TEXTJOIN(CHAR(10),TRUE,R$29:R$51)</f>
        <v/>
      </c>
      <c r="L37" s="99">
        <f>"Tranche 2"&amp;CHAR(10)&amp;_xlfn.TEXTJOIN(CHAR(10),TRUE,S$29:S$51)</f>
        <v/>
      </c>
      <c r="M37" s="103">
        <f>_xlfn.TEXTJOIN(CHAR(10),TRUE,T$29:T$51)</f>
        <v/>
      </c>
      <c r="O37">
        <f>IF(AND($B37&lt;&gt;"",$C37&lt;&gt;"Target state",$C37&lt;&gt;"Exception",$D37="High",$E37="Low"),$A37&amp;"  "&amp;$B37,"")</f>
        <v/>
      </c>
      <c r="P37">
        <f>IF(AND($B37&lt;&gt;"",$C37&lt;&gt;"Target state",$C37&lt;&gt;"Exception",$D37="High",$E37="Medium"),$A37&amp;"  "&amp;$B37,"")</f>
        <v/>
      </c>
      <c r="Q37">
        <f>IF(AND($B37&lt;&gt;"",$C37&lt;&gt;"Target state",$C37&lt;&gt;"Exception",$D37="High",$E37="High"),$A37&amp;"  "&amp;$B37,"")</f>
        <v/>
      </c>
      <c r="R37">
        <f>IF(AND($B37&lt;&gt;"",$C37&lt;&gt;"Target state",$C37&lt;&gt;"Exception",$D37="Medium",$E37="Low"),$A37&amp;"  "&amp;$B37,"")</f>
        <v/>
      </c>
      <c r="S37">
        <f>IF(AND($B37&lt;&gt;"",$C37&lt;&gt;"Target state",$C37&lt;&gt;"Exception",$D37="Medium",$E37="Medium"),$A37&amp;"  "&amp;$B37,"")</f>
        <v/>
      </c>
      <c r="T37">
        <f>IF(AND($B37&lt;&gt;"",$C37&lt;&gt;"Target state",$C37&lt;&gt;"Exception",$D37="Medium",$E37="High"),$A37&amp;"  "&amp;$B37,"")</f>
        <v/>
      </c>
      <c r="U37">
        <f>IF(AND($B37&lt;&gt;"",$C37&lt;&gt;"Target state",$C37&lt;&gt;"Exception",$D37="Low",$E37="Low"),$A37&amp;"  "&amp;$B37,"")</f>
        <v/>
      </c>
      <c r="V37">
        <f>IF(AND($B37&lt;&gt;"",$C37&lt;&gt;"Target state",$C37&lt;&gt;"Exception",$D37="Low",$E37="Medium"),$A37&amp;"  "&amp;$B37,"")</f>
        <v/>
      </c>
      <c r="W37">
        <f>IF(AND($B37&lt;&gt;"",$C37&lt;&gt;"Target state",$C37&lt;&gt;"Exception",$D37="Low",$E37="High"),$A37&amp;"  "&amp;$B37,"")</f>
        <v/>
      </c>
    </row>
    <row r="38" ht="36" customHeight="1" s="52">
      <c r="A38" s="93" t="inlineStr">
        <is>
          <t>⑩</t>
        </is>
      </c>
      <c r="B38" s="94" t="inlineStr">
        <is>
          <t>Aurora TMS</t>
        </is>
      </c>
      <c r="C38" s="73" t="inlineStr">
        <is>
          <t>Non-target state</t>
        </is>
      </c>
      <c r="D38" s="73" t="n"/>
      <c r="E38" s="73" t="n"/>
      <c r="F38" s="72" t="inlineStr">
        <is>
          <t>Non-strategic LATAM platform administering remote terminal application loads for POS and iAcepta across 93K MIDs; about 166M transactions and $10.6B processed; around $180K in yearly cost</t>
        </is>
      </c>
      <c r="G38" s="95">
        <f>IF(OR($B38="",$D38="",$E38=""),"",IF(OR($C38="Target state",$C38="Exception"),"Out of scope",IF($D38="Low","No tranche",IF($E38="Low","Tranche 1",IF($E38="Medium","Tranche 2",IF($D38="High","Tranche 3","No tranche"))))))</f>
        <v/>
      </c>
      <c r="K38" s="101" t="n"/>
      <c r="L38" s="101" t="n"/>
      <c r="M38" s="101" t="n"/>
      <c r="O38">
        <f>IF(AND($B38&lt;&gt;"",$C38&lt;&gt;"Target state",$C38&lt;&gt;"Exception",$D38="High",$E38="Low"),$A38&amp;"  "&amp;$B38,"")</f>
        <v/>
      </c>
      <c r="P38">
        <f>IF(AND($B38&lt;&gt;"",$C38&lt;&gt;"Target state",$C38&lt;&gt;"Exception",$D38="High",$E38="Medium"),$A38&amp;"  "&amp;$B38,"")</f>
        <v/>
      </c>
      <c r="Q38">
        <f>IF(AND($B38&lt;&gt;"",$C38&lt;&gt;"Target state",$C38&lt;&gt;"Exception",$D38="High",$E38="High"),$A38&amp;"  "&amp;$B38,"")</f>
        <v/>
      </c>
      <c r="R38">
        <f>IF(AND($B38&lt;&gt;"",$C38&lt;&gt;"Target state",$C38&lt;&gt;"Exception",$D38="Medium",$E38="Low"),$A38&amp;"  "&amp;$B38,"")</f>
        <v/>
      </c>
      <c r="S38">
        <f>IF(AND($B38&lt;&gt;"",$C38&lt;&gt;"Target state",$C38&lt;&gt;"Exception",$D38="Medium",$E38="Medium"),$A38&amp;"  "&amp;$B38,"")</f>
        <v/>
      </c>
      <c r="T38">
        <f>IF(AND($B38&lt;&gt;"",$C38&lt;&gt;"Target state",$C38&lt;&gt;"Exception",$D38="Medium",$E38="High"),$A38&amp;"  "&amp;$B38,"")</f>
        <v/>
      </c>
      <c r="U38">
        <f>IF(AND($B38&lt;&gt;"",$C38&lt;&gt;"Target state",$C38&lt;&gt;"Exception",$D38="Low",$E38="Low"),$A38&amp;"  "&amp;$B38,"")</f>
        <v/>
      </c>
      <c r="V38">
        <f>IF(AND($B38&lt;&gt;"",$C38&lt;&gt;"Target state",$C38&lt;&gt;"Exception",$D38="Low",$E38="Medium"),$A38&amp;"  "&amp;$B38,"")</f>
        <v/>
      </c>
      <c r="W38">
        <f>IF(AND($B38&lt;&gt;"",$C38&lt;&gt;"Target state",$C38&lt;&gt;"Exception",$D38="Low",$E38="High"),$A38&amp;"  "&amp;$B38,"")</f>
        <v/>
      </c>
    </row>
    <row r="39" ht="36" customHeight="1" s="52">
      <c r="A39" s="93" t="inlineStr">
        <is>
          <t>⑪</t>
        </is>
      </c>
      <c r="B39" s="94" t="inlineStr">
        <is>
          <t>WebTops</t>
        </is>
      </c>
      <c r="C39" s="73" t="inlineStr">
        <is>
          <t>Non-target state</t>
        </is>
      </c>
      <c r="D39" s="73" t="n"/>
      <c r="E39" s="73" t="n"/>
      <c r="F39" s="72" t="inlineStr">
        <is>
          <t>Non-strategic Heartland terminal configuration platform across about 100K MIDs; around $1M in yearly cost; repository flags initial disposition Keep &amp; Enhance — confirm with SPOC</t>
        </is>
      </c>
      <c r="G39" s="95">
        <f>IF(OR($B39="",$D39="",$E39=""),"",IF(OR($C39="Target state",$C39="Exception"),"Out of scope",IF($D39="Low","No tranche",IF($E39="Low","Tranche 1",IF($E39="Medium","Tranche 2",IF($D39="High","Tranche 3","No tranche"))))))</f>
        <v/>
      </c>
      <c r="K39" s="101" t="n"/>
      <c r="L39" s="101" t="n"/>
      <c r="M39" s="101" t="n"/>
      <c r="O39">
        <f>IF(AND($B39&lt;&gt;"",$C39&lt;&gt;"Target state",$C39&lt;&gt;"Exception",$D39="High",$E39="Low"),$A39&amp;"  "&amp;$B39,"")</f>
        <v/>
      </c>
      <c r="P39">
        <f>IF(AND($B39&lt;&gt;"",$C39&lt;&gt;"Target state",$C39&lt;&gt;"Exception",$D39="High",$E39="Medium"),$A39&amp;"  "&amp;$B39,"")</f>
        <v/>
      </c>
      <c r="Q39">
        <f>IF(AND($B39&lt;&gt;"",$C39&lt;&gt;"Target state",$C39&lt;&gt;"Exception",$D39="High",$E39="High"),$A39&amp;"  "&amp;$B39,"")</f>
        <v/>
      </c>
      <c r="R39">
        <f>IF(AND($B39&lt;&gt;"",$C39&lt;&gt;"Target state",$C39&lt;&gt;"Exception",$D39="Medium",$E39="Low"),$A39&amp;"  "&amp;$B39,"")</f>
        <v/>
      </c>
      <c r="S39">
        <f>IF(AND($B39&lt;&gt;"",$C39&lt;&gt;"Target state",$C39&lt;&gt;"Exception",$D39="Medium",$E39="Medium"),$A39&amp;"  "&amp;$B39,"")</f>
        <v/>
      </c>
      <c r="T39">
        <f>IF(AND($B39&lt;&gt;"",$C39&lt;&gt;"Target state",$C39&lt;&gt;"Exception",$D39="Medium",$E39="High"),$A39&amp;"  "&amp;$B39,"")</f>
        <v/>
      </c>
      <c r="U39">
        <f>IF(AND($B39&lt;&gt;"",$C39&lt;&gt;"Target state",$C39&lt;&gt;"Exception",$D39="Low",$E39="Low"),$A39&amp;"  "&amp;$B39,"")</f>
        <v/>
      </c>
      <c r="V39">
        <f>IF(AND($B39&lt;&gt;"",$C39&lt;&gt;"Target state",$C39&lt;&gt;"Exception",$D39="Low",$E39="Medium"),$A39&amp;"  "&amp;$B39,"")</f>
        <v/>
      </c>
      <c r="W39">
        <f>IF(AND($B39&lt;&gt;"",$C39&lt;&gt;"Target state",$C39&lt;&gt;"Exception",$D39="Low",$E39="High"),$A39&amp;"  "&amp;$B39,"")</f>
        <v/>
      </c>
    </row>
    <row r="40" ht="30" customHeight="1" s="52">
      <c r="A40" s="93" t="inlineStr">
        <is>
          <t>⑫</t>
        </is>
      </c>
      <c r="B40" s="94" t="inlineStr">
        <is>
          <t>One Touch</t>
        </is>
      </c>
      <c r="C40" s="73" t="inlineStr">
        <is>
          <t>Non-target state</t>
        </is>
      </c>
      <c r="D40" s="73" t="n"/>
      <c r="E40" s="73" t="n"/>
      <c r="F40" s="72" t="inlineStr">
        <is>
          <t>Non-strategic internal UI managing terminal download files and parameters; no dedicated cost; on the decommission path</t>
        </is>
      </c>
      <c r="G40" s="95">
        <f>IF(OR($B40="",$D40="",$E40=""),"",IF(OR($C40="Target state",$C40="Exception"),"Out of scope",IF($D40="Low","No tranche",IF($E40="Low","Tranche 1",IF($E40="Medium","Tranche 2",IF($D40="High","Tranche 3","No tranche"))))))</f>
        <v/>
      </c>
      <c r="K40" s="101" t="n"/>
      <c r="L40" s="101" t="n"/>
      <c r="M40" s="101" t="n"/>
      <c r="O40">
        <f>IF(AND($B40&lt;&gt;"",$C40&lt;&gt;"Target state",$C40&lt;&gt;"Exception",$D40="High",$E40="Low"),$A40&amp;"  "&amp;$B40,"")</f>
        <v/>
      </c>
      <c r="P40">
        <f>IF(AND($B40&lt;&gt;"",$C40&lt;&gt;"Target state",$C40&lt;&gt;"Exception",$D40="High",$E40="Medium"),$A40&amp;"  "&amp;$B40,"")</f>
        <v/>
      </c>
      <c r="Q40">
        <f>IF(AND($B40&lt;&gt;"",$C40&lt;&gt;"Target state",$C40&lt;&gt;"Exception",$D40="High",$E40="High"),$A40&amp;"  "&amp;$B40,"")</f>
        <v/>
      </c>
      <c r="R40">
        <f>IF(AND($B40&lt;&gt;"",$C40&lt;&gt;"Target state",$C40&lt;&gt;"Exception",$D40="Medium",$E40="Low"),$A40&amp;"  "&amp;$B40,"")</f>
        <v/>
      </c>
      <c r="S40">
        <f>IF(AND($B40&lt;&gt;"",$C40&lt;&gt;"Target state",$C40&lt;&gt;"Exception",$D40="Medium",$E40="Medium"),$A40&amp;"  "&amp;$B40,"")</f>
        <v/>
      </c>
      <c r="T40">
        <f>IF(AND($B40&lt;&gt;"",$C40&lt;&gt;"Target state",$C40&lt;&gt;"Exception",$D40="Medium",$E40="High"),$A40&amp;"  "&amp;$B40,"")</f>
        <v/>
      </c>
      <c r="U40">
        <f>IF(AND($B40&lt;&gt;"",$C40&lt;&gt;"Target state",$C40&lt;&gt;"Exception",$D40="Low",$E40="Low"),$A40&amp;"  "&amp;$B40,"")</f>
        <v/>
      </c>
      <c r="V40">
        <f>IF(AND($B40&lt;&gt;"",$C40&lt;&gt;"Target state",$C40&lt;&gt;"Exception",$D40="Low",$E40="Medium"),$A40&amp;"  "&amp;$B40,"")</f>
        <v/>
      </c>
      <c r="W40">
        <f>IF(AND($B40&lt;&gt;"",$C40&lt;&gt;"Target state",$C40&lt;&gt;"Exception",$D40="Low",$E40="High"),$A40&amp;"  "&amp;$B40,"")</f>
        <v/>
      </c>
    </row>
    <row r="41" ht="30" customHeight="1" s="52">
      <c r="A41" s="93" t="inlineStr">
        <is>
          <t>⑬</t>
        </is>
      </c>
      <c r="B41" s="94" t="inlineStr">
        <is>
          <t>AIMS</t>
        </is>
      </c>
      <c r="C41" s="73" t="inlineStr">
        <is>
          <t>Non-target state</t>
        </is>
      </c>
      <c r="D41" s="73" t="n"/>
      <c r="E41" s="73" t="n"/>
      <c r="F41" s="72" t="inlineStr">
        <is>
          <t>Non-strategic legacy Global US deployment system with about 190 users; around $130K in yearly cost; on the decommission path</t>
        </is>
      </c>
      <c r="G41" s="95">
        <f>IF(OR($B41="",$D41="",$E41=""),"",IF(OR($C41="Target state",$C41="Exception"),"Out of scope",IF($D41="Low","No tranche",IF($E41="Low","Tranche 1",IF($E41="Medium","Tranche 2",IF($D41="High","Tranche 3","No tranche"))))))</f>
        <v/>
      </c>
      <c r="K41" s="101" t="n"/>
      <c r="L41" s="101" t="n"/>
      <c r="M41" s="101" t="n"/>
      <c r="O41">
        <f>IF(AND($B41&lt;&gt;"",$C41&lt;&gt;"Target state",$C41&lt;&gt;"Exception",$D41="High",$E41="Low"),$A41&amp;"  "&amp;$B41,"")</f>
        <v/>
      </c>
      <c r="P41">
        <f>IF(AND($B41&lt;&gt;"",$C41&lt;&gt;"Target state",$C41&lt;&gt;"Exception",$D41="High",$E41="Medium"),$A41&amp;"  "&amp;$B41,"")</f>
        <v/>
      </c>
      <c r="Q41">
        <f>IF(AND($B41&lt;&gt;"",$C41&lt;&gt;"Target state",$C41&lt;&gt;"Exception",$D41="High",$E41="High"),$A41&amp;"  "&amp;$B41,"")</f>
        <v/>
      </c>
      <c r="R41">
        <f>IF(AND($B41&lt;&gt;"",$C41&lt;&gt;"Target state",$C41&lt;&gt;"Exception",$D41="Medium",$E41="Low"),$A41&amp;"  "&amp;$B41,"")</f>
        <v/>
      </c>
      <c r="S41">
        <f>IF(AND($B41&lt;&gt;"",$C41&lt;&gt;"Target state",$C41&lt;&gt;"Exception",$D41="Medium",$E41="Medium"),$A41&amp;"  "&amp;$B41,"")</f>
        <v/>
      </c>
      <c r="T41">
        <f>IF(AND($B41&lt;&gt;"",$C41&lt;&gt;"Target state",$C41&lt;&gt;"Exception",$D41="Medium",$E41="High"),$A41&amp;"  "&amp;$B41,"")</f>
        <v/>
      </c>
      <c r="U41">
        <f>IF(AND($B41&lt;&gt;"",$C41&lt;&gt;"Target state",$C41&lt;&gt;"Exception",$D41="Low",$E41="Low"),$A41&amp;"  "&amp;$B41,"")</f>
        <v/>
      </c>
      <c r="V41">
        <f>IF(AND($B41&lt;&gt;"",$C41&lt;&gt;"Target state",$C41&lt;&gt;"Exception",$D41="Low",$E41="Medium"),$A41&amp;"  "&amp;$B41,"")</f>
        <v/>
      </c>
      <c r="W41">
        <f>IF(AND($B41&lt;&gt;"",$C41&lt;&gt;"Target state",$C41&lt;&gt;"Exception",$D41="Low",$E41="High"),$A41&amp;"  "&amp;$B41,"")</f>
        <v/>
      </c>
    </row>
    <row r="42" ht="30" customHeight="1" s="52">
      <c r="A42" s="93" t="inlineStr">
        <is>
          <t>⑭</t>
        </is>
      </c>
      <c r="B42" s="94" t="inlineStr">
        <is>
          <t>Deployment Manager</t>
        </is>
      </c>
      <c r="C42" s="73" t="inlineStr">
        <is>
          <t>Non-target state</t>
        </is>
      </c>
      <c r="D42" s="73" t="n"/>
      <c r="E42" s="73" t="n"/>
      <c r="F42" s="72" t="inlineStr">
        <is>
          <t>Non-strategic deployment web API used by ShipExec with warehouse printing services; modest annual cost; migration path agreed</t>
        </is>
      </c>
      <c r="G42" s="95">
        <f>IF(OR($B42="",$D42="",$E42=""),"",IF(OR($C42="Target state",$C42="Exception"),"Out of scope",IF($D42="Low","No tranche",IF($E42="Low","Tranche 1",IF($E42="Medium","Tranche 2",IF($D42="High","Tranche 3","No tranche"))))))</f>
        <v/>
      </c>
      <c r="K42" s="101" t="n"/>
      <c r="L42" s="101" t="n"/>
      <c r="M42" s="101" t="n"/>
      <c r="O42">
        <f>IF(AND($B42&lt;&gt;"",$C42&lt;&gt;"Target state",$C42&lt;&gt;"Exception",$D42="High",$E42="Low"),$A42&amp;"  "&amp;$B42,"")</f>
        <v/>
      </c>
      <c r="P42">
        <f>IF(AND($B42&lt;&gt;"",$C42&lt;&gt;"Target state",$C42&lt;&gt;"Exception",$D42="High",$E42="Medium"),$A42&amp;"  "&amp;$B42,"")</f>
        <v/>
      </c>
      <c r="Q42">
        <f>IF(AND($B42&lt;&gt;"",$C42&lt;&gt;"Target state",$C42&lt;&gt;"Exception",$D42="High",$E42="High"),$A42&amp;"  "&amp;$B42,"")</f>
        <v/>
      </c>
      <c r="R42">
        <f>IF(AND($B42&lt;&gt;"",$C42&lt;&gt;"Target state",$C42&lt;&gt;"Exception",$D42="Medium",$E42="Low"),$A42&amp;"  "&amp;$B42,"")</f>
        <v/>
      </c>
      <c r="S42">
        <f>IF(AND($B42&lt;&gt;"",$C42&lt;&gt;"Target state",$C42&lt;&gt;"Exception",$D42="Medium",$E42="Medium"),$A42&amp;"  "&amp;$B42,"")</f>
        <v/>
      </c>
      <c r="T42">
        <f>IF(AND($B42&lt;&gt;"",$C42&lt;&gt;"Target state",$C42&lt;&gt;"Exception",$D42="Medium",$E42="High"),$A42&amp;"  "&amp;$B42,"")</f>
        <v/>
      </c>
      <c r="U42">
        <f>IF(AND($B42&lt;&gt;"",$C42&lt;&gt;"Target state",$C42&lt;&gt;"Exception",$D42="Low",$E42="Low"),$A42&amp;"  "&amp;$B42,"")</f>
        <v/>
      </c>
      <c r="V42">
        <f>IF(AND($B42&lt;&gt;"",$C42&lt;&gt;"Target state",$C42&lt;&gt;"Exception",$D42="Low",$E42="Medium"),$A42&amp;"  "&amp;$B42,"")</f>
        <v/>
      </c>
      <c r="W42">
        <f>IF(AND($B42&lt;&gt;"",$C42&lt;&gt;"Target state",$C42&lt;&gt;"Exception",$D42="Low",$E42="High"),$A42&amp;"  "&amp;$B42,"")</f>
        <v/>
      </c>
    </row>
    <row r="43" ht="36" customHeight="1" s="52">
      <c r="A43" s="93" t="inlineStr">
        <is>
          <t>⑮</t>
        </is>
      </c>
      <c r="B43" s="94" t="inlineStr">
        <is>
          <t>Inventory Manager</t>
        </is>
      </c>
      <c r="C43" s="73" t="inlineStr">
        <is>
          <t>Non-target state</t>
        </is>
      </c>
      <c r="D43" s="73" t="n"/>
      <c r="E43" s="73" t="n"/>
      <c r="F43" s="72" t="inlineStr">
        <is>
          <t>Non-strategic Canadian system tracking terminal physical locations with about 160 users; around $130K in yearly cost; repository flags initial disposition Keep &amp; Enhance — confirm with SPOC</t>
        </is>
      </c>
      <c r="G43" s="95">
        <f>IF(OR($B43="",$D43="",$E43=""),"",IF(OR($C43="Target state",$C43="Exception"),"Out of scope",IF($D43="Low","No tranche",IF($E43="Low","Tranche 1",IF($E43="Medium","Tranche 2",IF($D43="High","Tranche 3","No tranche"))))))</f>
        <v/>
      </c>
      <c r="K43" s="101" t="n"/>
      <c r="L43" s="101" t="n"/>
      <c r="M43" s="101" t="n"/>
      <c r="O43">
        <f>IF(AND($B43&lt;&gt;"",$C43&lt;&gt;"Target state",$C43&lt;&gt;"Exception",$D43="High",$E43="Low"),$A43&amp;"  "&amp;$B43,"")</f>
        <v/>
      </c>
      <c r="P43">
        <f>IF(AND($B43&lt;&gt;"",$C43&lt;&gt;"Target state",$C43&lt;&gt;"Exception",$D43="High",$E43="Medium"),$A43&amp;"  "&amp;$B43,"")</f>
        <v/>
      </c>
      <c r="Q43">
        <f>IF(AND($B43&lt;&gt;"",$C43&lt;&gt;"Target state",$C43&lt;&gt;"Exception",$D43="High",$E43="High"),$A43&amp;"  "&amp;$B43,"")</f>
        <v/>
      </c>
      <c r="R43">
        <f>IF(AND($B43&lt;&gt;"",$C43&lt;&gt;"Target state",$C43&lt;&gt;"Exception",$D43="Medium",$E43="Low"),$A43&amp;"  "&amp;$B43,"")</f>
        <v/>
      </c>
      <c r="S43">
        <f>IF(AND($B43&lt;&gt;"",$C43&lt;&gt;"Target state",$C43&lt;&gt;"Exception",$D43="Medium",$E43="Medium"),$A43&amp;"  "&amp;$B43,"")</f>
        <v/>
      </c>
      <c r="T43">
        <f>IF(AND($B43&lt;&gt;"",$C43&lt;&gt;"Target state",$C43&lt;&gt;"Exception",$D43="Medium",$E43="High"),$A43&amp;"  "&amp;$B43,"")</f>
        <v/>
      </c>
      <c r="U43">
        <f>IF(AND($B43&lt;&gt;"",$C43&lt;&gt;"Target state",$C43&lt;&gt;"Exception",$D43="Low",$E43="Low"),$A43&amp;"  "&amp;$B43,"")</f>
        <v/>
      </c>
      <c r="V43">
        <f>IF(AND($B43&lt;&gt;"",$C43&lt;&gt;"Target state",$C43&lt;&gt;"Exception",$D43="Low",$E43="Medium"),$A43&amp;"  "&amp;$B43,"")</f>
        <v/>
      </c>
      <c r="W43">
        <f>IF(AND($B43&lt;&gt;"",$C43&lt;&gt;"Target state",$C43&lt;&gt;"Exception",$D43="Low",$E43="High"),$A43&amp;"  "&amp;$B43,"")</f>
        <v/>
      </c>
    </row>
    <row r="44" ht="30" customHeight="1" s="52">
      <c r="A44" s="93" t="inlineStr">
        <is>
          <t>⑯</t>
        </is>
      </c>
      <c r="B44" s="94" t="inlineStr">
        <is>
          <t>VeriCentre (Canada)</t>
        </is>
      </c>
      <c r="C44" s="73" t="inlineStr">
        <is>
          <t>Non-target state</t>
        </is>
      </c>
      <c r="D44" s="73" t="n"/>
      <c r="E44" s="73" t="n"/>
      <c r="F44" s="72" t="inlineStr">
        <is>
          <t>Non-strategic Canadian instance of the Verifone terminal management system tracking about 111K terminal IDs; sustain in KTLO per the repository</t>
        </is>
      </c>
      <c r="G44" s="95">
        <f>IF(OR($B44="",$D44="",$E44=""),"",IF(OR($C44="Target state",$C44="Exception"),"Out of scope",IF($D44="Low","No tranche",IF($E44="Low","Tranche 1",IF($E44="Medium","Tranche 2",IF($D44="High","Tranche 3","No tranche"))))))</f>
        <v/>
      </c>
      <c r="K44" s="102" t="n"/>
      <c r="L44" s="102" t="n"/>
      <c r="M44" s="102" t="n"/>
      <c r="O44">
        <f>IF(AND($B44&lt;&gt;"",$C44&lt;&gt;"Target state",$C44&lt;&gt;"Exception",$D44="High",$E44="Low"),$A44&amp;"  "&amp;$B44,"")</f>
        <v/>
      </c>
      <c r="P44">
        <f>IF(AND($B44&lt;&gt;"",$C44&lt;&gt;"Target state",$C44&lt;&gt;"Exception",$D44="High",$E44="Medium"),$A44&amp;"  "&amp;$B44,"")</f>
        <v/>
      </c>
      <c r="Q44">
        <f>IF(AND($B44&lt;&gt;"",$C44&lt;&gt;"Target state",$C44&lt;&gt;"Exception",$D44="High",$E44="High"),$A44&amp;"  "&amp;$B44,"")</f>
        <v/>
      </c>
      <c r="R44">
        <f>IF(AND($B44&lt;&gt;"",$C44&lt;&gt;"Target state",$C44&lt;&gt;"Exception",$D44="Medium",$E44="Low"),$A44&amp;"  "&amp;$B44,"")</f>
        <v/>
      </c>
      <c r="S44">
        <f>IF(AND($B44&lt;&gt;"",$C44&lt;&gt;"Target state",$C44&lt;&gt;"Exception",$D44="Medium",$E44="Medium"),$A44&amp;"  "&amp;$B44,"")</f>
        <v/>
      </c>
      <c r="T44">
        <f>IF(AND($B44&lt;&gt;"",$C44&lt;&gt;"Target state",$C44&lt;&gt;"Exception",$D44="Medium",$E44="High"),$A44&amp;"  "&amp;$B44,"")</f>
        <v/>
      </c>
      <c r="U44">
        <f>IF(AND($B44&lt;&gt;"",$C44&lt;&gt;"Target state",$C44&lt;&gt;"Exception",$D44="Low",$E44="Low"),$A44&amp;"  "&amp;$B44,"")</f>
        <v/>
      </c>
      <c r="V44">
        <f>IF(AND($B44&lt;&gt;"",$C44&lt;&gt;"Target state",$C44&lt;&gt;"Exception",$D44="Low",$E44="Medium"),$A44&amp;"  "&amp;$B44,"")</f>
        <v/>
      </c>
      <c r="W44">
        <f>IF(AND($B44&lt;&gt;"",$C44&lt;&gt;"Target state",$C44&lt;&gt;"Exception",$D44="Low",$E44="High"),$A44&amp;"  "&amp;$B44,"")</f>
        <v/>
      </c>
    </row>
    <row r="45" ht="30" customHeight="1" s="52">
      <c r="A45" s="93" t="inlineStr">
        <is>
          <t>⑰</t>
        </is>
      </c>
      <c r="B45" s="94" t="inlineStr">
        <is>
          <t>GPC Injection System</t>
        </is>
      </c>
      <c r="C45" s="73" t="inlineStr">
        <is>
          <t>Non-target state</t>
        </is>
      </c>
      <c r="D45" s="73" t="n"/>
      <c r="E45" s="73" t="n"/>
      <c r="F45" s="72" t="inlineStr">
        <is>
          <t>Non-strategic key injection system using Verifone secure modules for Canadian hosts and gateways; sustain in KTLO per the repository</t>
        </is>
      </c>
      <c r="G45" s="95">
        <f>IF(OR($B45="",$D45="",$E45=""),"",IF(OR($C45="Target state",$C45="Exception"),"Out of scope",IF($D45="Low","No tranche",IF($E45="Low","Tranche 1",IF($E45="Medium","Tranche 2",IF($D45="High","Tranche 3","No tranche"))))))</f>
        <v/>
      </c>
      <c r="J45" s="97" t="inlineStr">
        <is>
          <t>Low</t>
        </is>
      </c>
      <c r="K45" s="103">
        <f>_xlfn.TEXTJOIN(CHAR(10),TRUE,U$29:U$51)</f>
        <v/>
      </c>
      <c r="L45" s="103">
        <f>_xlfn.TEXTJOIN(CHAR(10),TRUE,V$29:V$51)</f>
        <v/>
      </c>
      <c r="M45" s="103">
        <f>_xlfn.TEXTJOIN(CHAR(10),TRUE,W$29:W$51)</f>
        <v/>
      </c>
      <c r="O45">
        <f>IF(AND($B45&lt;&gt;"",$C45&lt;&gt;"Target state",$C45&lt;&gt;"Exception",$D45="High",$E45="Low"),$A45&amp;"  "&amp;$B45,"")</f>
        <v/>
      </c>
      <c r="P45">
        <f>IF(AND($B45&lt;&gt;"",$C45&lt;&gt;"Target state",$C45&lt;&gt;"Exception",$D45="High",$E45="Medium"),$A45&amp;"  "&amp;$B45,"")</f>
        <v/>
      </c>
      <c r="Q45">
        <f>IF(AND($B45&lt;&gt;"",$C45&lt;&gt;"Target state",$C45&lt;&gt;"Exception",$D45="High",$E45="High"),$A45&amp;"  "&amp;$B45,"")</f>
        <v/>
      </c>
      <c r="R45">
        <f>IF(AND($B45&lt;&gt;"",$C45&lt;&gt;"Target state",$C45&lt;&gt;"Exception",$D45="Medium",$E45="Low"),$A45&amp;"  "&amp;$B45,"")</f>
        <v/>
      </c>
      <c r="S45">
        <f>IF(AND($B45&lt;&gt;"",$C45&lt;&gt;"Target state",$C45&lt;&gt;"Exception",$D45="Medium",$E45="Medium"),$A45&amp;"  "&amp;$B45,"")</f>
        <v/>
      </c>
      <c r="T45">
        <f>IF(AND($B45&lt;&gt;"",$C45&lt;&gt;"Target state",$C45&lt;&gt;"Exception",$D45="Medium",$E45="High"),$A45&amp;"  "&amp;$B45,"")</f>
        <v/>
      </c>
      <c r="U45">
        <f>IF(AND($B45&lt;&gt;"",$C45&lt;&gt;"Target state",$C45&lt;&gt;"Exception",$D45="Low",$E45="Low"),$A45&amp;"  "&amp;$B45,"")</f>
        <v/>
      </c>
      <c r="V45">
        <f>IF(AND($B45&lt;&gt;"",$C45&lt;&gt;"Target state",$C45&lt;&gt;"Exception",$D45="Low",$E45="Medium"),$A45&amp;"  "&amp;$B45,"")</f>
        <v/>
      </c>
      <c r="W45">
        <f>IF(AND($B45&lt;&gt;"",$C45&lt;&gt;"Target state",$C45&lt;&gt;"Exception",$D45="Low",$E45="High"),$A45&amp;"  "&amp;$B45,"")</f>
        <v/>
      </c>
    </row>
    <row r="46" ht="30" customHeight="1" s="52">
      <c r="A46" s="93" t="inlineStr">
        <is>
          <t>⑱</t>
        </is>
      </c>
      <c r="B46" s="94" t="inlineStr">
        <is>
          <t>Logistics</t>
        </is>
      </c>
      <c r="C46" s="73" t="inlineStr">
        <is>
          <t>Non-target state</t>
        </is>
      </c>
      <c r="D46" s="73" t="n"/>
      <c r="E46" s="73" t="n"/>
      <c r="F46" s="72" t="inlineStr">
        <is>
          <t>Non-strategic Heartland equipment tracking system with about 110 users; modest annual cost; migration path agreed</t>
        </is>
      </c>
      <c r="G46" s="95">
        <f>IF(OR($B46="",$D46="",$E46=""),"",IF(OR($C46="Target state",$C46="Exception"),"Out of scope",IF($D46="Low","No tranche",IF($E46="Low","Tranche 1",IF($E46="Medium","Tranche 2",IF($D46="High","Tranche 3","No tranche"))))))</f>
        <v/>
      </c>
      <c r="K46" s="101" t="n"/>
      <c r="L46" s="101" t="n"/>
      <c r="M46" s="101" t="n"/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30" customHeight="1" s="52">
      <c r="A47" s="93" t="inlineStr">
        <is>
          <t>⑲</t>
        </is>
      </c>
      <c r="B47" s="94" t="inlineStr">
        <is>
          <t>Order Management System</t>
        </is>
      </c>
      <c r="C47" s="73" t="inlineStr">
        <is>
          <t>Non-target state</t>
        </is>
      </c>
      <c r="D47" s="73" t="n"/>
      <c r="E47" s="73" t="n"/>
      <c r="F47" s="72" t="inlineStr">
        <is>
          <t>Non-strategic merchant equipment ordering and configuration system with about 230 users; modest annual cost; migration path agreed</t>
        </is>
      </c>
      <c r="G47" s="95">
        <f>IF(OR($B47="",$D47="",$E47=""),"",IF(OR($C47="Target state",$C47="Exception"),"Out of scope",IF($D47="Low","No tranche",IF($E47="Low","Tranche 1",IF($E47="Medium","Tranche 2",IF($D47="High","Tranche 3","No tranche"))))))</f>
        <v/>
      </c>
      <c r="K47" s="101" t="n"/>
      <c r="L47" s="101" t="n"/>
      <c r="M47" s="101" t="n"/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20" customHeight="1" s="52">
      <c r="A48" s="93" t="inlineStr">
        <is>
          <t>⑳</t>
        </is>
      </c>
      <c r="B48" s="94" t="n"/>
      <c r="C48" s="73" t="n"/>
      <c r="D48" s="73" t="n"/>
      <c r="E48" s="73" t="n"/>
      <c r="F48" s="72" t="n"/>
      <c r="G48" s="95">
        <f>IF(OR($B48="",$D48="",$E48=""),"",IF(OR($C48="Target state",$C48="Exception"),"Out of scope",IF($D48="Low","No tranche",IF($E48="Low","Tranche 1",IF($E48="Medium","Tranche 2",IF($D48="High","Tranche 3","No tranche"))))))</f>
        <v/>
      </c>
      <c r="K48" s="101" t="n"/>
      <c r="L48" s="101" t="n"/>
      <c r="M48" s="101" t="n"/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20" customHeight="1" s="52">
      <c r="A49" s="93" t="inlineStr">
        <is>
          <t>㉑</t>
        </is>
      </c>
      <c r="B49" s="94" t="n"/>
      <c r="C49" s="73" t="n"/>
      <c r="D49" s="73" t="n"/>
      <c r="E49" s="73" t="n"/>
      <c r="F49" s="72" t="n"/>
      <c r="G49" s="95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101" t="n"/>
      <c r="L49" s="101" t="n"/>
      <c r="M49" s="101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20" customHeight="1" s="52">
      <c r="A50" s="93" t="inlineStr">
        <is>
          <t>㉒</t>
        </is>
      </c>
      <c r="B50" s="94" t="n"/>
      <c r="C50" s="73" t="n"/>
      <c r="D50" s="73" t="n"/>
      <c r="E50" s="73" t="n"/>
      <c r="F50" s="72" t="n"/>
      <c r="G50" s="95">
        <f>IF(OR($B50="",$D50="",$E50=""),"",IF(OR($C50="Target state",$C50="Exception"),"Out of scope",IF($D50="Low","No tranche",IF($E50="Low","Tranche 1",IF($E50="Medium","Tranche 2",IF($D50="High","Tranche 3","No tranche"))))))</f>
        <v/>
      </c>
      <c r="K50" s="101" t="n"/>
      <c r="L50" s="101" t="n"/>
      <c r="M50" s="101" t="n"/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1" ht="20" customHeight="1" s="52">
      <c r="A51" s="93" t="inlineStr">
        <is>
          <t>㉓</t>
        </is>
      </c>
      <c r="B51" s="94" t="n"/>
      <c r="C51" s="73" t="n"/>
      <c r="D51" s="73" t="n"/>
      <c r="E51" s="73" t="n"/>
      <c r="F51" s="72" t="n"/>
      <c r="G51" s="95">
        <f>IF(OR($B51="",$D51="",$E51=""),"",IF(OR($C51="Target state",$C51="Exception"),"Out of scope",IF($D51="Low","No tranche",IF($E51="Low","Tranche 1",IF($E51="Medium","Tranche 2",IF($D51="High","Tranche 3","No tranche"))))))</f>
        <v/>
      </c>
      <c r="K51" s="102" t="n"/>
      <c r="L51" s="102" t="n"/>
      <c r="M51" s="102" t="n"/>
      <c r="O51">
        <f>IF(AND($B51&lt;&gt;"",$C51&lt;&gt;"Target state",$C51&lt;&gt;"Exception",$D51="High",$E51="Low"),$A51&amp;"  "&amp;$B51,"")</f>
        <v/>
      </c>
      <c r="P51">
        <f>IF(AND($B51&lt;&gt;"",$C51&lt;&gt;"Target state",$C51&lt;&gt;"Exception",$D51="High",$E51="Medium"),$A51&amp;"  "&amp;$B51,"")</f>
        <v/>
      </c>
      <c r="Q51">
        <f>IF(AND($B51&lt;&gt;"",$C51&lt;&gt;"Target state",$C51&lt;&gt;"Exception",$D51="High",$E51="High"),$A51&amp;"  "&amp;$B51,"")</f>
        <v/>
      </c>
      <c r="R51">
        <f>IF(AND($B51&lt;&gt;"",$C51&lt;&gt;"Target state",$C51&lt;&gt;"Exception",$D51="Medium",$E51="Low"),$A51&amp;"  "&amp;$B51,"")</f>
        <v/>
      </c>
      <c r="S51">
        <f>IF(AND($B51&lt;&gt;"",$C51&lt;&gt;"Target state",$C51&lt;&gt;"Exception",$D51="Medium",$E51="Medium"),$A51&amp;"  "&amp;$B51,"")</f>
        <v/>
      </c>
      <c r="T51">
        <f>IF(AND($B51&lt;&gt;"",$C51&lt;&gt;"Target state",$C51&lt;&gt;"Exception",$D51="Medium",$E51="High"),$A51&amp;"  "&amp;$B51,"")</f>
        <v/>
      </c>
      <c r="U51">
        <f>IF(AND($B51&lt;&gt;"",$C51&lt;&gt;"Target state",$C51&lt;&gt;"Exception",$D51="Low",$E51="Low"),$A51&amp;"  "&amp;$B51,"")</f>
        <v/>
      </c>
      <c r="V51">
        <f>IF(AND($B51&lt;&gt;"",$C51&lt;&gt;"Target state",$C51&lt;&gt;"Exception",$D51="Low",$E51="Medium"),$A51&amp;"  "&amp;$B51,"")</f>
        <v/>
      </c>
      <c r="W51">
        <f>IF(AND($B51&lt;&gt;"",$C51&lt;&gt;"Target state",$C51&lt;&gt;"Exception",$D51="Low",$E51="High"),$A51&amp;"  "&amp;$B51,"")</f>
        <v/>
      </c>
    </row>
    <row r="52">
      <c r="K52" s="97" t="inlineStr">
        <is>
          <t>Complexity</t>
        </is>
      </c>
    </row>
    <row r="56" ht="22" customHeight="1" s="52">
      <c r="A56" s="88" t="inlineStr">
        <is>
          <t>Developer Experience</t>
        </is>
      </c>
      <c r="G56" s="89">
        <f>HYPERLINK("#'Single-in'!A4","▲ tracker")</f>
        <v/>
      </c>
      <c r="K56" s="90" t="inlineStr">
        <is>
          <t>Assessment Outcome</t>
        </is>
      </c>
    </row>
    <row r="57" ht="18" customHeight="1" s="52">
      <c r="A57" s="91" t="inlineStr">
        <is>
          <t>#</t>
        </is>
      </c>
      <c r="B57" s="91" t="inlineStr">
        <is>
          <t>Platform</t>
        </is>
      </c>
      <c r="C57" s="91" t="inlineStr">
        <is>
          <t>State</t>
        </is>
      </c>
      <c r="D57" s="91" t="inlineStr">
        <is>
          <t>Imperative to exit</t>
        </is>
      </c>
      <c r="E57" s="91" t="inlineStr">
        <is>
          <t>Exit complexity</t>
        </is>
      </c>
      <c r="F57" s="91" t="inlineStr">
        <is>
          <t>Supporting facts</t>
        </is>
      </c>
      <c r="G57" s="91" t="inlineStr">
        <is>
          <t>Tranche (auto)</t>
        </is>
      </c>
      <c r="K57" s="92" t="inlineStr">
        <is>
          <t>Low</t>
        </is>
      </c>
      <c r="L57" s="92" t="inlineStr">
        <is>
          <t>Medium</t>
        </is>
      </c>
      <c r="M57" s="92" t="inlineStr">
        <is>
          <t>High</t>
        </is>
      </c>
    </row>
    <row r="58" ht="30" customHeight="1" s="52">
      <c r="A58" s="93" t="inlineStr">
        <is>
          <t>①</t>
        </is>
      </c>
      <c r="B58" s="94" t="inlineStr">
        <is>
          <t>GPI Developer Portal</t>
        </is>
      </c>
      <c r="C58" s="73" t="inlineStr">
        <is>
          <t>Non-target state</t>
        </is>
      </c>
      <c r="D58" s="73" t="n"/>
      <c r="E58" s="73" t="n"/>
      <c r="F58" s="72" t="inlineStr">
        <is>
          <t>Non-strategic developer portal covering only GPI platforms with documentation and no sandbox; migration path agreed</t>
        </is>
      </c>
      <c r="G58" s="95">
        <f>IF(OR($B58="",$D58="",$E58=""),"",IF(OR($C58="Target state",$C58="Exception"),"Out of scope",IF($D58="Low","No tranche",IF($E58="Low","Tranche 1",IF($E58="Medium","Tranche 2",IF($D58="High","Tranche 3","No tranche"))))))</f>
        <v/>
      </c>
      <c r="I58" s="96" t="inlineStr">
        <is>
          <t>Benefits</t>
        </is>
      </c>
      <c r="J58" s="97" t="inlineStr">
        <is>
          <t>High</t>
        </is>
      </c>
      <c r="K58" s="98">
        <f>"Tranche 1"&amp;CHAR(10)&amp;_xlfn.TEXTJOIN(CHAR(10),TRUE,O$58:O$67)</f>
        <v/>
      </c>
      <c r="L58" s="99">
        <f>"Tranche 2"&amp;CHAR(10)&amp;_xlfn.TEXTJOIN(CHAR(10),TRUE,P$58:P$67)</f>
        <v/>
      </c>
      <c r="M58" s="100">
        <f>"Tranche 3"&amp;CHAR(10)&amp;_xlfn.TEXTJOIN(CHAR(10),TRUE,Q$58:Q$67)</f>
        <v/>
      </c>
      <c r="O58">
        <f>IF(AND($B58&lt;&gt;"",$C58&lt;&gt;"Target state",$C58&lt;&gt;"Exception",$D58="High",$E58="Low"),$A58&amp;"  "&amp;$B58,"")</f>
        <v/>
      </c>
      <c r="P58">
        <f>IF(AND($B58&lt;&gt;"",$C58&lt;&gt;"Target state",$C58&lt;&gt;"Exception",$D58="High",$E58="Medium"),$A58&amp;"  "&amp;$B58,"")</f>
        <v/>
      </c>
      <c r="Q58">
        <f>IF(AND($B58&lt;&gt;"",$C58&lt;&gt;"Target state",$C58&lt;&gt;"Exception",$D58="High",$E58="High"),$A58&amp;"  "&amp;$B58,"")</f>
        <v/>
      </c>
      <c r="R58">
        <f>IF(AND($B58&lt;&gt;"",$C58&lt;&gt;"Target state",$C58&lt;&gt;"Exception",$D58="Medium",$E58="Low"),$A58&amp;"  "&amp;$B58,"")</f>
        <v/>
      </c>
      <c r="S58">
        <f>IF(AND($B58&lt;&gt;"",$C58&lt;&gt;"Target state",$C58&lt;&gt;"Exception",$D58="Medium",$E58="Medium"),$A58&amp;"  "&amp;$B58,"")</f>
        <v/>
      </c>
      <c r="T58">
        <f>IF(AND($B58&lt;&gt;"",$C58&lt;&gt;"Target state",$C58&lt;&gt;"Exception",$D58="Medium",$E58="High"),$A58&amp;"  "&amp;$B58,"")</f>
        <v/>
      </c>
      <c r="U58">
        <f>IF(AND($B58&lt;&gt;"",$C58&lt;&gt;"Target state",$C58&lt;&gt;"Exception",$D58="Low",$E58="Low"),$A58&amp;"  "&amp;$B58,"")</f>
        <v/>
      </c>
      <c r="V58">
        <f>IF(AND($B58&lt;&gt;"",$C58&lt;&gt;"Target state",$C58&lt;&gt;"Exception",$D58="Low",$E58="Medium"),$A58&amp;"  "&amp;$B58,"")</f>
        <v/>
      </c>
      <c r="W58">
        <f>IF(AND($B58&lt;&gt;"",$C58&lt;&gt;"Target state",$C58&lt;&gt;"Exception",$D58="Low",$E58="High"),$A58&amp;"  "&amp;$B58,"")</f>
        <v/>
      </c>
    </row>
    <row r="59" ht="36" customHeight="1" s="52">
      <c r="A59" s="93" t="inlineStr">
        <is>
          <t>②</t>
        </is>
      </c>
      <c r="B59" s="94" t="inlineStr">
        <is>
          <t>Heartland Developer Portal</t>
        </is>
      </c>
      <c r="C59" s="73" t="inlineStr">
        <is>
          <t>Non-target state</t>
        </is>
      </c>
      <c r="D59" s="73" t="n"/>
      <c r="E59" s="73" t="n"/>
      <c r="F59" s="72" t="inlineStr">
        <is>
          <t>Non-strategic developer portal for credentials, SDK libraries and documentation with about 18.5K users; repository flags Further Input — confirm with SPOC</t>
        </is>
      </c>
      <c r="G59" s="95">
        <f>IF(OR($B59="",$D59="",$E59=""),"",IF(OR($C59="Target state",$C59="Exception"),"Out of scope",IF($D59="Low","No tranche",IF($E59="Low","Tranche 1",IF($E59="Medium","Tranche 2",IF($D59="High","Tranche 3","No tranche"))))))</f>
        <v/>
      </c>
      <c r="K59" s="101" t="n"/>
      <c r="L59" s="101" t="n"/>
      <c r="M59" s="101" t="n"/>
      <c r="O59">
        <f>IF(AND($B59&lt;&gt;"",$C59&lt;&gt;"Target state",$C59&lt;&gt;"Exception",$D59="High",$E59="Low"),$A59&amp;"  "&amp;$B59,"")</f>
        <v/>
      </c>
      <c r="P59">
        <f>IF(AND($B59&lt;&gt;"",$C59&lt;&gt;"Target state",$C59&lt;&gt;"Exception",$D59="High",$E59="Medium"),$A59&amp;"  "&amp;$B59,"")</f>
        <v/>
      </c>
      <c r="Q59">
        <f>IF(AND($B59&lt;&gt;"",$C59&lt;&gt;"Target state",$C59&lt;&gt;"Exception",$D59="High",$E59="High"),$A59&amp;"  "&amp;$B59,"")</f>
        <v/>
      </c>
      <c r="R59">
        <f>IF(AND($B59&lt;&gt;"",$C59&lt;&gt;"Target state",$C59&lt;&gt;"Exception",$D59="Medium",$E59="Low"),$A59&amp;"  "&amp;$B59,"")</f>
        <v/>
      </c>
      <c r="S59">
        <f>IF(AND($B59&lt;&gt;"",$C59&lt;&gt;"Target state",$C59&lt;&gt;"Exception",$D59="Medium",$E59="Medium"),$A59&amp;"  "&amp;$B59,"")</f>
        <v/>
      </c>
      <c r="T59">
        <f>IF(AND($B59&lt;&gt;"",$C59&lt;&gt;"Target state",$C59&lt;&gt;"Exception",$D59="Medium",$E59="High"),$A59&amp;"  "&amp;$B59,"")</f>
        <v/>
      </c>
      <c r="U59">
        <f>IF(AND($B59&lt;&gt;"",$C59&lt;&gt;"Target state",$C59&lt;&gt;"Exception",$D59="Low",$E59="Low"),$A59&amp;"  "&amp;$B59,"")</f>
        <v/>
      </c>
      <c r="V59">
        <f>IF(AND($B59&lt;&gt;"",$C59&lt;&gt;"Target state",$C59&lt;&gt;"Exception",$D59="Low",$E59="Medium"),$A59&amp;"  "&amp;$B59,"")</f>
        <v/>
      </c>
      <c r="W59">
        <f>IF(AND($B59&lt;&gt;"",$C59&lt;&gt;"Target state",$C59&lt;&gt;"Exception",$D59="Low",$E59="High"),$A59&amp;"  "&amp;$B59,"")</f>
        <v/>
      </c>
    </row>
    <row r="60" ht="36" customHeight="1" s="52">
      <c r="A60" s="93" t="inlineStr">
        <is>
          <t>③</t>
        </is>
      </c>
      <c r="B60" s="94" t="inlineStr">
        <is>
          <t>TSYS Developer Portal</t>
        </is>
      </c>
      <c r="C60" s="73" t="inlineStr">
        <is>
          <t>Non-target state</t>
        </is>
      </c>
      <c r="D60" s="73" t="n"/>
      <c r="E60" s="73" t="n"/>
      <c r="F60" s="72" t="inlineStr">
        <is>
          <t>Developer portal through which issuing clients and partners access documentation and APIs; repository flags initial disposition Keep &amp; Enhance — confirm with SPOC</t>
        </is>
      </c>
      <c r="G60" s="95">
        <f>IF(OR($B60="",$D60="",$E60=""),"",IF(OR($C60="Target state",$C60="Exception"),"Out of scope",IF($D60="Low","No tranche",IF($E60="Low","Tranche 1",IF($E60="Medium","Tranche 2",IF($D60="High","Tranche 3","No tranche"))))))</f>
        <v/>
      </c>
      <c r="K60" s="101" t="n"/>
      <c r="L60" s="101" t="n"/>
      <c r="M60" s="101" t="n"/>
      <c r="O60">
        <f>IF(AND($B60&lt;&gt;"",$C60&lt;&gt;"Target state",$C60&lt;&gt;"Exception",$D60="High",$E60="Low"),$A60&amp;"  "&amp;$B60,"")</f>
        <v/>
      </c>
      <c r="P60">
        <f>IF(AND($B60&lt;&gt;"",$C60&lt;&gt;"Target state",$C60&lt;&gt;"Exception",$D60="High",$E60="Medium"),$A60&amp;"  "&amp;$B60,"")</f>
        <v/>
      </c>
      <c r="Q60">
        <f>IF(AND($B60&lt;&gt;"",$C60&lt;&gt;"Target state",$C60&lt;&gt;"Exception",$D60="High",$E60="High"),$A60&amp;"  "&amp;$B60,"")</f>
        <v/>
      </c>
      <c r="R60">
        <f>IF(AND($B60&lt;&gt;"",$C60&lt;&gt;"Target state",$C60&lt;&gt;"Exception",$D60="Medium",$E60="Low"),$A60&amp;"  "&amp;$B60,"")</f>
        <v/>
      </c>
      <c r="S60">
        <f>IF(AND($B60&lt;&gt;"",$C60&lt;&gt;"Target state",$C60&lt;&gt;"Exception",$D60="Medium",$E60="Medium"),$A60&amp;"  "&amp;$B60,"")</f>
        <v/>
      </c>
      <c r="T60">
        <f>IF(AND($B60&lt;&gt;"",$C60&lt;&gt;"Target state",$C60&lt;&gt;"Exception",$D60="Medium",$E60="High"),$A60&amp;"  "&amp;$B60,"")</f>
        <v/>
      </c>
      <c r="U60">
        <f>IF(AND($B60&lt;&gt;"",$C60&lt;&gt;"Target state",$C60&lt;&gt;"Exception",$D60="Low",$E60="Low"),$A60&amp;"  "&amp;$B60,"")</f>
        <v/>
      </c>
      <c r="V60">
        <f>IF(AND($B60&lt;&gt;"",$C60&lt;&gt;"Target state",$C60&lt;&gt;"Exception",$D60="Low",$E60="Medium"),$A60&amp;"  "&amp;$B60,"")</f>
        <v/>
      </c>
      <c r="W60">
        <f>IF(AND($B60&lt;&gt;"",$C60&lt;&gt;"Target state",$C60&lt;&gt;"Exception",$D60="Low",$E60="High"),$A60&amp;"  "&amp;$B60,"")</f>
        <v/>
      </c>
    </row>
    <row r="61" ht="30" customHeight="1" s="52">
      <c r="A61" s="93" t="inlineStr">
        <is>
          <t>④</t>
        </is>
      </c>
      <c r="B61" s="94" t="inlineStr">
        <is>
          <t>Comercia Developer Portal</t>
        </is>
      </c>
      <c r="C61" s="73" t="inlineStr">
        <is>
          <t>Non-target state</t>
        </is>
      </c>
      <c r="D61" s="73" t="n"/>
      <c r="E61" s="73" t="n"/>
      <c r="F61" s="72" t="inlineStr">
        <is>
          <t>Non-strategic documentation portal with SDKs and API explorer tools for the Spanish market</t>
        </is>
      </c>
      <c r="G61" s="95">
        <f>IF(OR($B61="",$D61="",$E61=""),"",IF(OR($C61="Target state",$C61="Exception"),"Out of scope",IF($D61="Low","No tranche",IF($E61="Low","Tranche 1",IF($E61="Medium","Tranche 2",IF($D61="High","Tranche 3","No tranche"))))))</f>
        <v/>
      </c>
      <c r="K61" s="102" t="n"/>
      <c r="L61" s="102" t="n"/>
      <c r="M61" s="102" t="n"/>
      <c r="O61">
        <f>IF(AND($B61&lt;&gt;"",$C61&lt;&gt;"Target state",$C61&lt;&gt;"Exception",$D61="High",$E61="Low"),$A61&amp;"  "&amp;$B61,"")</f>
        <v/>
      </c>
      <c r="P61">
        <f>IF(AND($B61&lt;&gt;"",$C61&lt;&gt;"Target state",$C61&lt;&gt;"Exception",$D61="High",$E61="Medium"),$A61&amp;"  "&amp;$B61,"")</f>
        <v/>
      </c>
      <c r="Q61">
        <f>IF(AND($B61&lt;&gt;"",$C61&lt;&gt;"Target state",$C61&lt;&gt;"Exception",$D61="High",$E61="High"),$A61&amp;"  "&amp;$B61,"")</f>
        <v/>
      </c>
      <c r="R61">
        <f>IF(AND($B61&lt;&gt;"",$C61&lt;&gt;"Target state",$C61&lt;&gt;"Exception",$D61="Medium",$E61="Low"),$A61&amp;"  "&amp;$B61,"")</f>
        <v/>
      </c>
      <c r="S61">
        <f>IF(AND($B61&lt;&gt;"",$C61&lt;&gt;"Target state",$C61&lt;&gt;"Exception",$D61="Medium",$E61="Medium"),$A61&amp;"  "&amp;$B61,"")</f>
        <v/>
      </c>
      <c r="T61">
        <f>IF(AND($B61&lt;&gt;"",$C61&lt;&gt;"Target state",$C61&lt;&gt;"Exception",$D61="Medium",$E61="High"),$A61&amp;"  "&amp;$B61,"")</f>
        <v/>
      </c>
      <c r="U61">
        <f>IF(AND($B61&lt;&gt;"",$C61&lt;&gt;"Target state",$C61&lt;&gt;"Exception",$D61="Low",$E61="Low"),$A61&amp;"  "&amp;$B61,"")</f>
        <v/>
      </c>
      <c r="V61">
        <f>IF(AND($B61&lt;&gt;"",$C61&lt;&gt;"Target state",$C61&lt;&gt;"Exception",$D61="Low",$E61="Medium"),$A61&amp;"  "&amp;$B61,"")</f>
        <v/>
      </c>
      <c r="W61">
        <f>IF(AND($B61&lt;&gt;"",$C61&lt;&gt;"Target state",$C61&lt;&gt;"Exception",$D61="Low",$E61="High"),$A61&amp;"  "&amp;$B61,"")</f>
        <v/>
      </c>
    </row>
    <row r="62" ht="20" customHeight="1" s="52">
      <c r="A62" s="93" t="inlineStr">
        <is>
          <t>⑤</t>
        </is>
      </c>
      <c r="B62" s="94" t="n"/>
      <c r="C62" s="73" t="n"/>
      <c r="D62" s="73" t="n"/>
      <c r="E62" s="73" t="n"/>
      <c r="F62" s="72" t="n"/>
      <c r="G62" s="95">
        <f>IF(OR($B62="",$D62="",$E62=""),"",IF(OR($C62="Target state",$C62="Exception"),"Out of scope",IF($D62="Low","No tranche",IF($E62="Low","Tranche 1",IF($E62="Medium","Tranche 2",IF($D62="High","Tranche 3","No tranche"))))))</f>
        <v/>
      </c>
      <c r="J62" s="97" t="inlineStr">
        <is>
          <t>Medium</t>
        </is>
      </c>
      <c r="K62" s="98">
        <f>"Tranche 1"&amp;CHAR(10)&amp;_xlfn.TEXTJOIN(CHAR(10),TRUE,R$58:R$67)</f>
        <v/>
      </c>
      <c r="L62" s="99">
        <f>"Tranche 2"&amp;CHAR(10)&amp;_xlfn.TEXTJOIN(CHAR(10),TRUE,S$58:S$67)</f>
        <v/>
      </c>
      <c r="M62" s="103">
        <f>_xlfn.TEXTJOIN(CHAR(10),TRUE,T$58:T$67)</f>
        <v/>
      </c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 s="52">
      <c r="A63" s="93" t="inlineStr">
        <is>
          <t>⑥</t>
        </is>
      </c>
      <c r="B63" s="94" t="n"/>
      <c r="C63" s="73" t="n"/>
      <c r="D63" s="73" t="n"/>
      <c r="E63" s="73" t="n"/>
      <c r="F63" s="72" t="n"/>
      <c r="G63" s="95">
        <f>IF(OR($B63="",$D63="",$E63=""),"",IF(OR($C63="Target state",$C63="Exception"),"Out of scope",IF($D63="Low","No tranche",IF($E63="Low","Tranche 1",IF($E63="Medium","Tranche 2",IF($D63="High","Tranche 3","No tranche"))))))</f>
        <v/>
      </c>
      <c r="K63" s="101" t="n"/>
      <c r="L63" s="101" t="n"/>
      <c r="M63" s="101" t="n"/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20" customHeight="1" s="52">
      <c r="A64" s="93" t="inlineStr">
        <is>
          <t>⑦</t>
        </is>
      </c>
      <c r="B64" s="94" t="n"/>
      <c r="C64" s="73" t="n"/>
      <c r="D64" s="73" t="n"/>
      <c r="E64" s="73" t="n"/>
      <c r="F64" s="72" t="n"/>
      <c r="G64" s="95">
        <f>IF(OR($B64="",$D64="",$E64=""),"",IF(OR($C64="Target state",$C64="Exception"),"Out of scope",IF($D64="Low","No tranche",IF($E64="Low","Tranche 1",IF($E64="Medium","Tranche 2",IF($D64="High","Tranche 3","No tranche"))))))</f>
        <v/>
      </c>
      <c r="K64" s="102" t="n"/>
      <c r="L64" s="102" t="n"/>
      <c r="M64" s="102" t="n"/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5" ht="20" customHeight="1" s="52">
      <c r="A65" s="93" t="inlineStr">
        <is>
          <t>⑧</t>
        </is>
      </c>
      <c r="B65" s="94" t="n"/>
      <c r="C65" s="73" t="n"/>
      <c r="D65" s="73" t="n"/>
      <c r="E65" s="73" t="n"/>
      <c r="F65" s="72" t="n"/>
      <c r="G65" s="95">
        <f>IF(OR($B65="",$D65="",$E65=""),"",IF(OR($C65="Target state",$C65="Exception"),"Out of scope",IF($D65="Low","No tranche",IF($E65="Low","Tranche 1",IF($E65="Medium","Tranche 2",IF($D65="High","Tranche 3","No tranche"))))))</f>
        <v/>
      </c>
      <c r="J65" s="97" t="inlineStr">
        <is>
          <t>Low</t>
        </is>
      </c>
      <c r="K65" s="103">
        <f>_xlfn.TEXTJOIN(CHAR(10),TRUE,U$58:U$67)</f>
        <v/>
      </c>
      <c r="L65" s="103">
        <f>_xlfn.TEXTJOIN(CHAR(10),TRUE,V$58:V$67)</f>
        <v/>
      </c>
      <c r="M65" s="103">
        <f>_xlfn.TEXTJOIN(CHAR(10),TRUE,W$58:W$67)</f>
        <v/>
      </c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6" ht="20" customHeight="1" s="52">
      <c r="A66" s="93" t="inlineStr">
        <is>
          <t>⑨</t>
        </is>
      </c>
      <c r="B66" s="94" t="n"/>
      <c r="C66" s="73" t="n"/>
      <c r="D66" s="73" t="n"/>
      <c r="E66" s="73" t="n"/>
      <c r="F66" s="72" t="n"/>
      <c r="G66" s="95">
        <f>IF(OR($B66="",$D66="",$E66=""),"",IF(OR($C66="Target state",$C66="Exception"),"Out of scope",IF($D66="Low","No tranche",IF($E66="Low","Tranche 1",IF($E66="Medium","Tranche 2",IF($D66="High","Tranche 3","No tranche"))))))</f>
        <v/>
      </c>
      <c r="K66" s="101" t="n"/>
      <c r="L66" s="101" t="n"/>
      <c r="M66" s="101" t="n"/>
      <c r="O66">
        <f>IF(AND($B66&lt;&gt;"",$C66&lt;&gt;"Target state",$C66&lt;&gt;"Exception",$D66="High",$E66="Low"),$A66&amp;"  "&amp;$B66,"")</f>
        <v/>
      </c>
      <c r="P66">
        <f>IF(AND($B66&lt;&gt;"",$C66&lt;&gt;"Target state",$C66&lt;&gt;"Exception",$D66="High",$E66="Medium"),$A66&amp;"  "&amp;$B66,"")</f>
        <v/>
      </c>
      <c r="Q66">
        <f>IF(AND($B66&lt;&gt;"",$C66&lt;&gt;"Target state",$C66&lt;&gt;"Exception",$D66="High",$E66="High"),$A66&amp;"  "&amp;$B66,"")</f>
        <v/>
      </c>
      <c r="R66">
        <f>IF(AND($B66&lt;&gt;"",$C66&lt;&gt;"Target state",$C66&lt;&gt;"Exception",$D66="Medium",$E66="Low"),$A66&amp;"  "&amp;$B66,"")</f>
        <v/>
      </c>
      <c r="S66">
        <f>IF(AND($B66&lt;&gt;"",$C66&lt;&gt;"Target state",$C66&lt;&gt;"Exception",$D66="Medium",$E66="Medium"),$A66&amp;"  "&amp;$B66,"")</f>
        <v/>
      </c>
      <c r="T66">
        <f>IF(AND($B66&lt;&gt;"",$C66&lt;&gt;"Target state",$C66&lt;&gt;"Exception",$D66="Medium",$E66="High"),$A66&amp;"  "&amp;$B66,"")</f>
        <v/>
      </c>
      <c r="U66">
        <f>IF(AND($B66&lt;&gt;"",$C66&lt;&gt;"Target state",$C66&lt;&gt;"Exception",$D66="Low",$E66="Low"),$A66&amp;"  "&amp;$B66,"")</f>
        <v/>
      </c>
      <c r="V66">
        <f>IF(AND($B66&lt;&gt;"",$C66&lt;&gt;"Target state",$C66&lt;&gt;"Exception",$D66="Low",$E66="Medium"),$A66&amp;"  "&amp;$B66,"")</f>
        <v/>
      </c>
      <c r="W66">
        <f>IF(AND($B66&lt;&gt;"",$C66&lt;&gt;"Target state",$C66&lt;&gt;"Exception",$D66="Low",$E66="High"),$A66&amp;"  "&amp;$B66,"")</f>
        <v/>
      </c>
    </row>
    <row r="67" ht="20" customHeight="1" s="52">
      <c r="A67" s="93" t="inlineStr">
        <is>
          <t>⑩</t>
        </is>
      </c>
      <c r="B67" s="94" t="n"/>
      <c r="C67" s="73" t="n"/>
      <c r="D67" s="73" t="n"/>
      <c r="E67" s="73" t="n"/>
      <c r="F67" s="72" t="n"/>
      <c r="G67" s="95">
        <f>IF(OR($B67="",$D67="",$E67=""),"",IF(OR($C67="Target state",$C67="Exception"),"Out of scope",IF($D67="Low","No tranche",IF($E67="Low","Tranche 1",IF($E67="Medium","Tranche 2",IF($D67="High","Tranche 3","No tranche"))))))</f>
        <v/>
      </c>
      <c r="K67" s="102" t="n"/>
      <c r="L67" s="102" t="n"/>
      <c r="M67" s="102" t="n"/>
      <c r="O67">
        <f>IF(AND($B67&lt;&gt;"",$C67&lt;&gt;"Target state",$C67&lt;&gt;"Exception",$D67="High",$E67="Low"),$A67&amp;"  "&amp;$B67,"")</f>
        <v/>
      </c>
      <c r="P67">
        <f>IF(AND($B67&lt;&gt;"",$C67&lt;&gt;"Target state",$C67&lt;&gt;"Exception",$D67="High",$E67="Medium"),$A67&amp;"  "&amp;$B67,"")</f>
        <v/>
      </c>
      <c r="Q67">
        <f>IF(AND($B67&lt;&gt;"",$C67&lt;&gt;"Target state",$C67&lt;&gt;"Exception",$D67="High",$E67="High"),$A67&amp;"  "&amp;$B67,"")</f>
        <v/>
      </c>
      <c r="R67">
        <f>IF(AND($B67&lt;&gt;"",$C67&lt;&gt;"Target state",$C67&lt;&gt;"Exception",$D67="Medium",$E67="Low"),$A67&amp;"  "&amp;$B67,"")</f>
        <v/>
      </c>
      <c r="S67">
        <f>IF(AND($B67&lt;&gt;"",$C67&lt;&gt;"Target state",$C67&lt;&gt;"Exception",$D67="Medium",$E67="Medium"),$A67&amp;"  "&amp;$B67,"")</f>
        <v/>
      </c>
      <c r="T67">
        <f>IF(AND($B67&lt;&gt;"",$C67&lt;&gt;"Target state",$C67&lt;&gt;"Exception",$D67="Medium",$E67="High"),$A67&amp;"  "&amp;$B67,"")</f>
        <v/>
      </c>
      <c r="U67">
        <f>IF(AND($B67&lt;&gt;"",$C67&lt;&gt;"Target state",$C67&lt;&gt;"Exception",$D67="Low",$E67="Low"),$A67&amp;"  "&amp;$B67,"")</f>
        <v/>
      </c>
      <c r="V67">
        <f>IF(AND($B67&lt;&gt;"",$C67&lt;&gt;"Target state",$C67&lt;&gt;"Exception",$D67="Low",$E67="Medium"),$A67&amp;"  "&amp;$B67,"")</f>
        <v/>
      </c>
      <c r="W67">
        <f>IF(AND($B67&lt;&gt;"",$C67&lt;&gt;"Target state",$C67&lt;&gt;"Exception",$D67="Low",$E67="High"),$A67&amp;"  "&amp;$B67,"")</f>
        <v/>
      </c>
    </row>
    <row r="68">
      <c r="K68" s="97" t="inlineStr">
        <is>
          <t>Complexity</t>
        </is>
      </c>
    </row>
    <row r="72" ht="22" customHeight="1" s="52">
      <c r="A72" s="88" t="inlineStr">
        <is>
          <t>Hosted Solutions</t>
        </is>
      </c>
      <c r="G72" s="89">
        <f>HYPERLINK("#'Single-in'!A4","▲ tracker")</f>
        <v/>
      </c>
      <c r="K72" s="90" t="inlineStr">
        <is>
          <t>Assessment Outcome</t>
        </is>
      </c>
    </row>
    <row r="73" ht="18" customHeight="1" s="52">
      <c r="A73" s="91" t="inlineStr">
        <is>
          <t>#</t>
        </is>
      </c>
      <c r="B73" s="91" t="inlineStr">
        <is>
          <t>Platform</t>
        </is>
      </c>
      <c r="C73" s="91" t="inlineStr">
        <is>
          <t>State</t>
        </is>
      </c>
      <c r="D73" s="91" t="inlineStr">
        <is>
          <t>Imperative to exit</t>
        </is>
      </c>
      <c r="E73" s="91" t="inlineStr">
        <is>
          <t>Exit complexity</t>
        </is>
      </c>
      <c r="F73" s="91" t="inlineStr">
        <is>
          <t>Supporting facts</t>
        </is>
      </c>
      <c r="G73" s="91" t="inlineStr">
        <is>
          <t>Tranche (auto)</t>
        </is>
      </c>
      <c r="K73" s="92" t="inlineStr">
        <is>
          <t>Low</t>
        </is>
      </c>
      <c r="L73" s="92" t="inlineStr">
        <is>
          <t>Medium</t>
        </is>
      </c>
      <c r="M73" s="92" t="inlineStr">
        <is>
          <t>High</t>
        </is>
      </c>
    </row>
    <row r="74" ht="20" customHeight="1" s="52">
      <c r="A74" s="93" t="inlineStr">
        <is>
          <t>①</t>
        </is>
      </c>
      <c r="B74" s="94" t="n"/>
      <c r="C74" s="73" t="n"/>
      <c r="D74" s="73" t="n"/>
      <c r="E74" s="73" t="n"/>
      <c r="F74" s="72" t="n"/>
      <c r="G74" s="95">
        <f>IF(OR($B74="",$D74="",$E74=""),"",IF(OR($C74="Target state",$C74="Exception"),"Out of scope",IF($D74="Low","No tranche",IF($E74="Low","Tranche 1",IF($E74="Medium","Tranche 2",IF($D74="High","Tranche 3","No tranche"))))))</f>
        <v/>
      </c>
      <c r="I74" s="96" t="inlineStr">
        <is>
          <t>Benefits</t>
        </is>
      </c>
      <c r="J74" s="97" t="inlineStr">
        <is>
          <t>High</t>
        </is>
      </c>
      <c r="K74" s="98">
        <f>"Tranche 1"&amp;CHAR(10)&amp;_xlfn.TEXTJOIN(CHAR(10),TRUE,O$74:O$83)</f>
        <v/>
      </c>
      <c r="L74" s="99">
        <f>"Tranche 2"&amp;CHAR(10)&amp;_xlfn.TEXTJOIN(CHAR(10),TRUE,P$74:P$83)</f>
        <v/>
      </c>
      <c r="M74" s="100">
        <f>"Tranche 3"&amp;CHAR(10)&amp;_xlfn.TEXTJOIN(CHAR(10),TRUE,Q$74:Q$83)</f>
        <v/>
      </c>
      <c r="O74">
        <f>IF(AND($B74&lt;&gt;"",$C74&lt;&gt;"Target state",$C74&lt;&gt;"Exception",$D74="High",$E74="Low"),$A74&amp;"  "&amp;$B74,"")</f>
        <v/>
      </c>
      <c r="P74">
        <f>IF(AND($B74&lt;&gt;"",$C74&lt;&gt;"Target state",$C74&lt;&gt;"Exception",$D74="High",$E74="Medium"),$A74&amp;"  "&amp;$B74,"")</f>
        <v/>
      </c>
      <c r="Q74">
        <f>IF(AND($B74&lt;&gt;"",$C74&lt;&gt;"Target state",$C74&lt;&gt;"Exception",$D74="High",$E74="High"),$A74&amp;"  "&amp;$B74,"")</f>
        <v/>
      </c>
      <c r="R74">
        <f>IF(AND($B74&lt;&gt;"",$C74&lt;&gt;"Target state",$C74&lt;&gt;"Exception",$D74="Medium",$E74="Low"),$A74&amp;"  "&amp;$B74,"")</f>
        <v/>
      </c>
      <c r="S74">
        <f>IF(AND($B74&lt;&gt;"",$C74&lt;&gt;"Target state",$C74&lt;&gt;"Exception",$D74="Medium",$E74="Medium"),$A74&amp;"  "&amp;$B74,"")</f>
        <v/>
      </c>
      <c r="T74">
        <f>IF(AND($B74&lt;&gt;"",$C74&lt;&gt;"Target state",$C74&lt;&gt;"Exception",$D74="Medium",$E74="High"),$A74&amp;"  "&amp;$B74,"")</f>
        <v/>
      </c>
      <c r="U74">
        <f>IF(AND($B74&lt;&gt;"",$C74&lt;&gt;"Target state",$C74&lt;&gt;"Exception",$D74="Low",$E74="Low"),$A74&amp;"  "&amp;$B74,"")</f>
        <v/>
      </c>
      <c r="V74">
        <f>IF(AND($B74&lt;&gt;"",$C74&lt;&gt;"Target state",$C74&lt;&gt;"Exception",$D74="Low",$E74="Medium"),$A74&amp;"  "&amp;$B74,"")</f>
        <v/>
      </c>
      <c r="W74">
        <f>IF(AND($B74&lt;&gt;"",$C74&lt;&gt;"Target state",$C74&lt;&gt;"Exception",$D74="Low",$E74="High"),$A74&amp;"  "&amp;$B74,"")</f>
        <v/>
      </c>
    </row>
    <row r="75" ht="20" customHeight="1" s="52">
      <c r="A75" s="93" t="inlineStr">
        <is>
          <t>②</t>
        </is>
      </c>
      <c r="B75" s="94" t="n"/>
      <c r="C75" s="73" t="n"/>
      <c r="D75" s="73" t="n"/>
      <c r="E75" s="73" t="n"/>
      <c r="F75" s="72" t="n"/>
      <c r="G75" s="95">
        <f>IF(OR($B75="",$D75="",$E75=""),"",IF(OR($C75="Target state",$C75="Exception"),"Out of scope",IF($D75="Low","No tranche",IF($E75="Low","Tranche 1",IF($E75="Medium","Tranche 2",IF($D75="High","Tranche 3","No tranche"))))))</f>
        <v/>
      </c>
      <c r="K75" s="101" t="n"/>
      <c r="L75" s="101" t="n"/>
      <c r="M75" s="101" t="n"/>
      <c r="O75">
        <f>IF(AND($B75&lt;&gt;"",$C75&lt;&gt;"Target state",$C75&lt;&gt;"Exception",$D75="High",$E75="Low"),$A75&amp;"  "&amp;$B75,"")</f>
        <v/>
      </c>
      <c r="P75">
        <f>IF(AND($B75&lt;&gt;"",$C75&lt;&gt;"Target state",$C75&lt;&gt;"Exception",$D75="High",$E75="Medium"),$A75&amp;"  "&amp;$B75,"")</f>
        <v/>
      </c>
      <c r="Q75">
        <f>IF(AND($B75&lt;&gt;"",$C75&lt;&gt;"Target state",$C75&lt;&gt;"Exception",$D75="High",$E75="High"),$A75&amp;"  "&amp;$B75,"")</f>
        <v/>
      </c>
      <c r="R75">
        <f>IF(AND($B75&lt;&gt;"",$C75&lt;&gt;"Target state",$C75&lt;&gt;"Exception",$D75="Medium",$E75="Low"),$A75&amp;"  "&amp;$B75,"")</f>
        <v/>
      </c>
      <c r="S75">
        <f>IF(AND($B75&lt;&gt;"",$C75&lt;&gt;"Target state",$C75&lt;&gt;"Exception",$D75="Medium",$E75="Medium"),$A75&amp;"  "&amp;$B75,"")</f>
        <v/>
      </c>
      <c r="T75">
        <f>IF(AND($B75&lt;&gt;"",$C75&lt;&gt;"Target state",$C75&lt;&gt;"Exception",$D75="Medium",$E75="High"),$A75&amp;"  "&amp;$B75,"")</f>
        <v/>
      </c>
      <c r="U75">
        <f>IF(AND($B75&lt;&gt;"",$C75&lt;&gt;"Target state",$C75&lt;&gt;"Exception",$D75="Low",$E75="Low"),$A75&amp;"  "&amp;$B75,"")</f>
        <v/>
      </c>
      <c r="V75">
        <f>IF(AND($B75&lt;&gt;"",$C75&lt;&gt;"Target state",$C75&lt;&gt;"Exception",$D75="Low",$E75="Medium"),$A75&amp;"  "&amp;$B75,"")</f>
        <v/>
      </c>
      <c r="W75">
        <f>IF(AND($B75&lt;&gt;"",$C75&lt;&gt;"Target state",$C75&lt;&gt;"Exception",$D75="Low",$E75="High"),$A75&amp;"  "&amp;$B75,"")</f>
        <v/>
      </c>
    </row>
    <row r="76" ht="20" customHeight="1" s="52">
      <c r="A76" s="93" t="inlineStr">
        <is>
          <t>③</t>
        </is>
      </c>
      <c r="B76" s="94" t="n"/>
      <c r="C76" s="73" t="n"/>
      <c r="D76" s="73" t="n"/>
      <c r="E76" s="73" t="n"/>
      <c r="F76" s="72" t="n"/>
      <c r="G76" s="95">
        <f>IF(OR($B76="",$D76="",$E76=""),"",IF(OR($C76="Target state",$C76="Exception"),"Out of scope",IF($D76="Low","No tranche",IF($E76="Low","Tranche 1",IF($E76="Medium","Tranche 2",IF($D76="High","Tranche 3","No tranche"))))))</f>
        <v/>
      </c>
      <c r="K76" s="101" t="n"/>
      <c r="L76" s="101" t="n"/>
      <c r="M76" s="101" t="n"/>
      <c r="O76">
        <f>IF(AND($B76&lt;&gt;"",$C76&lt;&gt;"Target state",$C76&lt;&gt;"Exception",$D76="High",$E76="Low"),$A76&amp;"  "&amp;$B76,"")</f>
        <v/>
      </c>
      <c r="P76">
        <f>IF(AND($B76&lt;&gt;"",$C76&lt;&gt;"Target state",$C76&lt;&gt;"Exception",$D76="High",$E76="Medium"),$A76&amp;"  "&amp;$B76,"")</f>
        <v/>
      </c>
      <c r="Q76">
        <f>IF(AND($B76&lt;&gt;"",$C76&lt;&gt;"Target state",$C76&lt;&gt;"Exception",$D76="High",$E76="High"),$A76&amp;"  "&amp;$B76,"")</f>
        <v/>
      </c>
      <c r="R76">
        <f>IF(AND($B76&lt;&gt;"",$C76&lt;&gt;"Target state",$C76&lt;&gt;"Exception",$D76="Medium",$E76="Low"),$A76&amp;"  "&amp;$B76,"")</f>
        <v/>
      </c>
      <c r="S76">
        <f>IF(AND($B76&lt;&gt;"",$C76&lt;&gt;"Target state",$C76&lt;&gt;"Exception",$D76="Medium",$E76="Medium"),$A76&amp;"  "&amp;$B76,"")</f>
        <v/>
      </c>
      <c r="T76">
        <f>IF(AND($B76&lt;&gt;"",$C76&lt;&gt;"Target state",$C76&lt;&gt;"Exception",$D76="Medium",$E76="High"),$A76&amp;"  "&amp;$B76,"")</f>
        <v/>
      </c>
      <c r="U76">
        <f>IF(AND($B76&lt;&gt;"",$C76&lt;&gt;"Target state",$C76&lt;&gt;"Exception",$D76="Low",$E76="Low"),$A76&amp;"  "&amp;$B76,"")</f>
        <v/>
      </c>
      <c r="V76">
        <f>IF(AND($B76&lt;&gt;"",$C76&lt;&gt;"Target state",$C76&lt;&gt;"Exception",$D76="Low",$E76="Medium"),$A76&amp;"  "&amp;$B76,"")</f>
        <v/>
      </c>
      <c r="W76">
        <f>IF(AND($B76&lt;&gt;"",$C76&lt;&gt;"Target state",$C76&lt;&gt;"Exception",$D76="Low",$E76="High"),$A76&amp;"  "&amp;$B76,"")</f>
        <v/>
      </c>
    </row>
    <row r="77" ht="20" customHeight="1" s="52">
      <c r="A77" s="93" t="inlineStr">
        <is>
          <t>④</t>
        </is>
      </c>
      <c r="B77" s="94" t="n"/>
      <c r="C77" s="73" t="n"/>
      <c r="D77" s="73" t="n"/>
      <c r="E77" s="73" t="n"/>
      <c r="F77" s="72" t="n"/>
      <c r="G77" s="95">
        <f>IF(OR($B77="",$D77="",$E77=""),"",IF(OR($C77="Target state",$C77="Exception"),"Out of scope",IF($D77="Low","No tranche",IF($E77="Low","Tranche 1",IF($E77="Medium","Tranche 2",IF($D77="High","Tranche 3","No tranche"))))))</f>
        <v/>
      </c>
      <c r="K77" s="102" t="n"/>
      <c r="L77" s="102" t="n"/>
      <c r="M77" s="102" t="n"/>
      <c r="O77">
        <f>IF(AND($B77&lt;&gt;"",$C77&lt;&gt;"Target state",$C77&lt;&gt;"Exception",$D77="High",$E77="Low"),$A77&amp;"  "&amp;$B77,"")</f>
        <v/>
      </c>
      <c r="P77">
        <f>IF(AND($B77&lt;&gt;"",$C77&lt;&gt;"Target state",$C77&lt;&gt;"Exception",$D77="High",$E77="Medium"),$A77&amp;"  "&amp;$B77,"")</f>
        <v/>
      </c>
      <c r="Q77">
        <f>IF(AND($B77&lt;&gt;"",$C77&lt;&gt;"Target state",$C77&lt;&gt;"Exception",$D77="High",$E77="High"),$A77&amp;"  "&amp;$B77,"")</f>
        <v/>
      </c>
      <c r="R77">
        <f>IF(AND($B77&lt;&gt;"",$C77&lt;&gt;"Target state",$C77&lt;&gt;"Exception",$D77="Medium",$E77="Low"),$A77&amp;"  "&amp;$B77,"")</f>
        <v/>
      </c>
      <c r="S77">
        <f>IF(AND($B77&lt;&gt;"",$C77&lt;&gt;"Target state",$C77&lt;&gt;"Exception",$D77="Medium",$E77="Medium"),$A77&amp;"  "&amp;$B77,"")</f>
        <v/>
      </c>
      <c r="T77">
        <f>IF(AND($B77&lt;&gt;"",$C77&lt;&gt;"Target state",$C77&lt;&gt;"Exception",$D77="Medium",$E77="High"),$A77&amp;"  "&amp;$B77,"")</f>
        <v/>
      </c>
      <c r="U77">
        <f>IF(AND($B77&lt;&gt;"",$C77&lt;&gt;"Target state",$C77&lt;&gt;"Exception",$D77="Low",$E77="Low"),$A77&amp;"  "&amp;$B77,"")</f>
        <v/>
      </c>
      <c r="V77">
        <f>IF(AND($B77&lt;&gt;"",$C77&lt;&gt;"Target state",$C77&lt;&gt;"Exception",$D77="Low",$E77="Medium"),$A77&amp;"  "&amp;$B77,"")</f>
        <v/>
      </c>
      <c r="W77">
        <f>IF(AND($B77&lt;&gt;"",$C77&lt;&gt;"Target state",$C77&lt;&gt;"Exception",$D77="Low",$E77="High"),$A77&amp;"  "&amp;$B77,"")</f>
        <v/>
      </c>
    </row>
    <row r="78" ht="20" customHeight="1" s="52">
      <c r="A78" s="93" t="inlineStr">
        <is>
          <t>⑤</t>
        </is>
      </c>
      <c r="B78" s="94" t="n"/>
      <c r="C78" s="73" t="n"/>
      <c r="D78" s="73" t="n"/>
      <c r="E78" s="73" t="n"/>
      <c r="F78" s="72" t="n"/>
      <c r="G78" s="95">
        <f>IF(OR($B78="",$D78="",$E78=""),"",IF(OR($C78="Target state",$C78="Exception"),"Out of scope",IF($D78="Low","No tranche",IF($E78="Low","Tranche 1",IF($E78="Medium","Tranche 2",IF($D78="High","Tranche 3","No tranche"))))))</f>
        <v/>
      </c>
      <c r="J78" s="97" t="inlineStr">
        <is>
          <t>Medium</t>
        </is>
      </c>
      <c r="K78" s="98">
        <f>"Tranche 1"&amp;CHAR(10)&amp;_xlfn.TEXTJOIN(CHAR(10),TRUE,R$74:R$83)</f>
        <v/>
      </c>
      <c r="L78" s="99">
        <f>"Tranche 2"&amp;CHAR(10)&amp;_xlfn.TEXTJOIN(CHAR(10),TRUE,S$74:S$83)</f>
        <v/>
      </c>
      <c r="M78" s="103">
        <f>_xlfn.TEXTJOIN(CHAR(10),TRUE,T$74:T$83)</f>
        <v/>
      </c>
      <c r="O78">
        <f>IF(AND($B78&lt;&gt;"",$C78&lt;&gt;"Target state",$C78&lt;&gt;"Exception",$D78="High",$E78="Low"),$A78&amp;"  "&amp;$B78,"")</f>
        <v/>
      </c>
      <c r="P78">
        <f>IF(AND($B78&lt;&gt;"",$C78&lt;&gt;"Target state",$C78&lt;&gt;"Exception",$D78="High",$E78="Medium"),$A78&amp;"  "&amp;$B78,"")</f>
        <v/>
      </c>
      <c r="Q78">
        <f>IF(AND($B78&lt;&gt;"",$C78&lt;&gt;"Target state",$C78&lt;&gt;"Exception",$D78="High",$E78="High"),$A78&amp;"  "&amp;$B78,"")</f>
        <v/>
      </c>
      <c r="R78">
        <f>IF(AND($B78&lt;&gt;"",$C78&lt;&gt;"Target state",$C78&lt;&gt;"Exception",$D78="Medium",$E78="Low"),$A78&amp;"  "&amp;$B78,"")</f>
        <v/>
      </c>
      <c r="S78">
        <f>IF(AND($B78&lt;&gt;"",$C78&lt;&gt;"Target state",$C78&lt;&gt;"Exception",$D78="Medium",$E78="Medium"),$A78&amp;"  "&amp;$B78,"")</f>
        <v/>
      </c>
      <c r="T78">
        <f>IF(AND($B78&lt;&gt;"",$C78&lt;&gt;"Target state",$C78&lt;&gt;"Exception",$D78="Medium",$E78="High"),$A78&amp;"  "&amp;$B78,"")</f>
        <v/>
      </c>
      <c r="U78">
        <f>IF(AND($B78&lt;&gt;"",$C78&lt;&gt;"Target state",$C78&lt;&gt;"Exception",$D78="Low",$E78="Low"),$A78&amp;"  "&amp;$B78,"")</f>
        <v/>
      </c>
      <c r="V78">
        <f>IF(AND($B78&lt;&gt;"",$C78&lt;&gt;"Target state",$C78&lt;&gt;"Exception",$D78="Low",$E78="Medium"),$A78&amp;"  "&amp;$B78,"")</f>
        <v/>
      </c>
      <c r="W78">
        <f>IF(AND($B78&lt;&gt;"",$C78&lt;&gt;"Target state",$C78&lt;&gt;"Exception",$D78="Low",$E78="High"),$A78&amp;"  "&amp;$B78,"")</f>
        <v/>
      </c>
    </row>
    <row r="79" ht="20" customHeight="1" s="52">
      <c r="A79" s="93" t="inlineStr">
        <is>
          <t>⑥</t>
        </is>
      </c>
      <c r="B79" s="94" t="n"/>
      <c r="C79" s="73" t="n"/>
      <c r="D79" s="73" t="n"/>
      <c r="E79" s="73" t="n"/>
      <c r="F79" s="72" t="n"/>
      <c r="G79" s="95">
        <f>IF(OR($B79="",$D79="",$E79=""),"",IF(OR($C79="Target state",$C79="Exception"),"Out of scope",IF($D79="Low","No tranche",IF($E79="Low","Tranche 1",IF($E79="Medium","Tranche 2",IF($D79="High","Tranche 3","No tranche"))))))</f>
        <v/>
      </c>
      <c r="K79" s="101" t="n"/>
      <c r="L79" s="101" t="n"/>
      <c r="M79" s="101" t="n"/>
      <c r="O79">
        <f>IF(AND($B79&lt;&gt;"",$C79&lt;&gt;"Target state",$C79&lt;&gt;"Exception",$D79="High",$E79="Low"),$A79&amp;"  "&amp;$B79,"")</f>
        <v/>
      </c>
      <c r="P79">
        <f>IF(AND($B79&lt;&gt;"",$C79&lt;&gt;"Target state",$C79&lt;&gt;"Exception",$D79="High",$E79="Medium"),$A79&amp;"  "&amp;$B79,"")</f>
        <v/>
      </c>
      <c r="Q79">
        <f>IF(AND($B79&lt;&gt;"",$C79&lt;&gt;"Target state",$C79&lt;&gt;"Exception",$D79="High",$E79="High"),$A79&amp;"  "&amp;$B79,"")</f>
        <v/>
      </c>
      <c r="R79">
        <f>IF(AND($B79&lt;&gt;"",$C79&lt;&gt;"Target state",$C79&lt;&gt;"Exception",$D79="Medium",$E79="Low"),$A79&amp;"  "&amp;$B79,"")</f>
        <v/>
      </c>
      <c r="S79">
        <f>IF(AND($B79&lt;&gt;"",$C79&lt;&gt;"Target state",$C79&lt;&gt;"Exception",$D79="Medium",$E79="Medium"),$A79&amp;"  "&amp;$B79,"")</f>
        <v/>
      </c>
      <c r="T79">
        <f>IF(AND($B79&lt;&gt;"",$C79&lt;&gt;"Target state",$C79&lt;&gt;"Exception",$D79="Medium",$E79="High"),$A79&amp;"  "&amp;$B79,"")</f>
        <v/>
      </c>
      <c r="U79">
        <f>IF(AND($B79&lt;&gt;"",$C79&lt;&gt;"Target state",$C79&lt;&gt;"Exception",$D79="Low",$E79="Low"),$A79&amp;"  "&amp;$B79,"")</f>
        <v/>
      </c>
      <c r="V79">
        <f>IF(AND($B79&lt;&gt;"",$C79&lt;&gt;"Target state",$C79&lt;&gt;"Exception",$D79="Low",$E79="Medium"),$A79&amp;"  "&amp;$B79,"")</f>
        <v/>
      </c>
      <c r="W79">
        <f>IF(AND($B79&lt;&gt;"",$C79&lt;&gt;"Target state",$C79&lt;&gt;"Exception",$D79="Low",$E79="High"),$A79&amp;"  "&amp;$B79,"")</f>
        <v/>
      </c>
    </row>
    <row r="80" ht="20" customHeight="1" s="52">
      <c r="A80" s="93" t="inlineStr">
        <is>
          <t>⑦</t>
        </is>
      </c>
      <c r="B80" s="94" t="n"/>
      <c r="C80" s="73" t="n"/>
      <c r="D80" s="73" t="n"/>
      <c r="E80" s="73" t="n"/>
      <c r="F80" s="72" t="n"/>
      <c r="G80" s="95">
        <f>IF(OR($B80="",$D80="",$E80=""),"",IF(OR($C80="Target state",$C80="Exception"),"Out of scope",IF($D80="Low","No tranche",IF($E80="Low","Tranche 1",IF($E80="Medium","Tranche 2",IF($D80="High","Tranche 3","No tranche"))))))</f>
        <v/>
      </c>
      <c r="K80" s="102" t="n"/>
      <c r="L80" s="102" t="n"/>
      <c r="M80" s="102" t="n"/>
      <c r="O80">
        <f>IF(AND($B80&lt;&gt;"",$C80&lt;&gt;"Target state",$C80&lt;&gt;"Exception",$D80="High",$E80="Low"),$A80&amp;"  "&amp;$B80,"")</f>
        <v/>
      </c>
      <c r="P80">
        <f>IF(AND($B80&lt;&gt;"",$C80&lt;&gt;"Target state",$C80&lt;&gt;"Exception",$D80="High",$E80="Medium"),$A80&amp;"  "&amp;$B80,"")</f>
        <v/>
      </c>
      <c r="Q80">
        <f>IF(AND($B80&lt;&gt;"",$C80&lt;&gt;"Target state",$C80&lt;&gt;"Exception",$D80="High",$E80="High"),$A80&amp;"  "&amp;$B80,"")</f>
        <v/>
      </c>
      <c r="R80">
        <f>IF(AND($B80&lt;&gt;"",$C80&lt;&gt;"Target state",$C80&lt;&gt;"Exception",$D80="Medium",$E80="Low"),$A80&amp;"  "&amp;$B80,"")</f>
        <v/>
      </c>
      <c r="S80">
        <f>IF(AND($B80&lt;&gt;"",$C80&lt;&gt;"Target state",$C80&lt;&gt;"Exception",$D80="Medium",$E80="Medium"),$A80&amp;"  "&amp;$B80,"")</f>
        <v/>
      </c>
      <c r="T80">
        <f>IF(AND($B80&lt;&gt;"",$C80&lt;&gt;"Target state",$C80&lt;&gt;"Exception",$D80="Medium",$E80="High"),$A80&amp;"  "&amp;$B80,"")</f>
        <v/>
      </c>
      <c r="U80">
        <f>IF(AND($B80&lt;&gt;"",$C80&lt;&gt;"Target state",$C80&lt;&gt;"Exception",$D80="Low",$E80="Low"),$A80&amp;"  "&amp;$B80,"")</f>
        <v/>
      </c>
      <c r="V80">
        <f>IF(AND($B80&lt;&gt;"",$C80&lt;&gt;"Target state",$C80&lt;&gt;"Exception",$D80="Low",$E80="Medium"),$A80&amp;"  "&amp;$B80,"")</f>
        <v/>
      </c>
      <c r="W80">
        <f>IF(AND($B80&lt;&gt;"",$C80&lt;&gt;"Target state",$C80&lt;&gt;"Exception",$D80="Low",$E80="High"),$A80&amp;"  "&amp;$B80,"")</f>
        <v/>
      </c>
    </row>
    <row r="81" ht="20" customHeight="1" s="52">
      <c r="A81" s="93" t="inlineStr">
        <is>
          <t>⑧</t>
        </is>
      </c>
      <c r="B81" s="94" t="n"/>
      <c r="C81" s="73" t="n"/>
      <c r="D81" s="73" t="n"/>
      <c r="E81" s="73" t="n"/>
      <c r="F81" s="72" t="n"/>
      <c r="G81" s="95">
        <f>IF(OR($B81="",$D81="",$E81=""),"",IF(OR($C81="Target state",$C81="Exception"),"Out of scope",IF($D81="Low","No tranche",IF($E81="Low","Tranche 1",IF($E81="Medium","Tranche 2",IF($D81="High","Tranche 3","No tranche"))))))</f>
        <v/>
      </c>
      <c r="J81" s="97" t="inlineStr">
        <is>
          <t>Low</t>
        </is>
      </c>
      <c r="K81" s="103">
        <f>_xlfn.TEXTJOIN(CHAR(10),TRUE,U$74:U$83)</f>
        <v/>
      </c>
      <c r="L81" s="103">
        <f>_xlfn.TEXTJOIN(CHAR(10),TRUE,V$74:V$83)</f>
        <v/>
      </c>
      <c r="M81" s="103">
        <f>_xlfn.TEXTJOIN(CHAR(10),TRUE,W$74:W$83)</f>
        <v/>
      </c>
      <c r="O81">
        <f>IF(AND($B81&lt;&gt;"",$C81&lt;&gt;"Target state",$C81&lt;&gt;"Exception",$D81="High",$E81="Low"),$A81&amp;"  "&amp;$B81,"")</f>
        <v/>
      </c>
      <c r="P81">
        <f>IF(AND($B81&lt;&gt;"",$C81&lt;&gt;"Target state",$C81&lt;&gt;"Exception",$D81="High",$E81="Medium"),$A81&amp;"  "&amp;$B81,"")</f>
        <v/>
      </c>
      <c r="Q81">
        <f>IF(AND($B81&lt;&gt;"",$C81&lt;&gt;"Target state",$C81&lt;&gt;"Exception",$D81="High",$E81="High"),$A81&amp;"  "&amp;$B81,"")</f>
        <v/>
      </c>
      <c r="R81">
        <f>IF(AND($B81&lt;&gt;"",$C81&lt;&gt;"Target state",$C81&lt;&gt;"Exception",$D81="Medium",$E81="Low"),$A81&amp;"  "&amp;$B81,"")</f>
        <v/>
      </c>
      <c r="S81">
        <f>IF(AND($B81&lt;&gt;"",$C81&lt;&gt;"Target state",$C81&lt;&gt;"Exception",$D81="Medium",$E81="Medium"),$A81&amp;"  "&amp;$B81,"")</f>
        <v/>
      </c>
      <c r="T81">
        <f>IF(AND($B81&lt;&gt;"",$C81&lt;&gt;"Target state",$C81&lt;&gt;"Exception",$D81="Medium",$E81="High"),$A81&amp;"  "&amp;$B81,"")</f>
        <v/>
      </c>
      <c r="U81">
        <f>IF(AND($B81&lt;&gt;"",$C81&lt;&gt;"Target state",$C81&lt;&gt;"Exception",$D81="Low",$E81="Low"),$A81&amp;"  "&amp;$B81,"")</f>
        <v/>
      </c>
      <c r="V81">
        <f>IF(AND($B81&lt;&gt;"",$C81&lt;&gt;"Target state",$C81&lt;&gt;"Exception",$D81="Low",$E81="Medium"),$A81&amp;"  "&amp;$B81,"")</f>
        <v/>
      </c>
      <c r="W81">
        <f>IF(AND($B81&lt;&gt;"",$C81&lt;&gt;"Target state",$C81&lt;&gt;"Exception",$D81="Low",$E81="High"),$A81&amp;"  "&amp;$B81,"")</f>
        <v/>
      </c>
    </row>
    <row r="82" ht="20" customHeight="1" s="52">
      <c r="A82" s="93" t="inlineStr">
        <is>
          <t>⑨</t>
        </is>
      </c>
      <c r="B82" s="94" t="n"/>
      <c r="C82" s="73" t="n"/>
      <c r="D82" s="73" t="n"/>
      <c r="E82" s="73" t="n"/>
      <c r="F82" s="72" t="n"/>
      <c r="G82" s="95">
        <f>IF(OR($B82="",$D82="",$E82=""),"",IF(OR($C82="Target state",$C82="Exception"),"Out of scope",IF($D82="Low","No tranche",IF($E82="Low","Tranche 1",IF($E82="Medium","Tranche 2",IF($D82="High","Tranche 3","No tranche"))))))</f>
        <v/>
      </c>
      <c r="K82" s="101" t="n"/>
      <c r="L82" s="101" t="n"/>
      <c r="M82" s="101" t="n"/>
      <c r="O82">
        <f>IF(AND($B82&lt;&gt;"",$C82&lt;&gt;"Target state",$C82&lt;&gt;"Exception",$D82="High",$E82="Low"),$A82&amp;"  "&amp;$B82,"")</f>
        <v/>
      </c>
      <c r="P82">
        <f>IF(AND($B82&lt;&gt;"",$C82&lt;&gt;"Target state",$C82&lt;&gt;"Exception",$D82="High",$E82="Medium"),$A82&amp;"  "&amp;$B82,"")</f>
        <v/>
      </c>
      <c r="Q82">
        <f>IF(AND($B82&lt;&gt;"",$C82&lt;&gt;"Target state",$C82&lt;&gt;"Exception",$D82="High",$E82="High"),$A82&amp;"  "&amp;$B82,"")</f>
        <v/>
      </c>
      <c r="R82">
        <f>IF(AND($B82&lt;&gt;"",$C82&lt;&gt;"Target state",$C82&lt;&gt;"Exception",$D82="Medium",$E82="Low"),$A82&amp;"  "&amp;$B82,"")</f>
        <v/>
      </c>
      <c r="S82">
        <f>IF(AND($B82&lt;&gt;"",$C82&lt;&gt;"Target state",$C82&lt;&gt;"Exception",$D82="Medium",$E82="Medium"),$A82&amp;"  "&amp;$B82,"")</f>
        <v/>
      </c>
      <c r="T82">
        <f>IF(AND($B82&lt;&gt;"",$C82&lt;&gt;"Target state",$C82&lt;&gt;"Exception",$D82="Medium",$E82="High"),$A82&amp;"  "&amp;$B82,"")</f>
        <v/>
      </c>
      <c r="U82">
        <f>IF(AND($B82&lt;&gt;"",$C82&lt;&gt;"Target state",$C82&lt;&gt;"Exception",$D82="Low",$E82="Low"),$A82&amp;"  "&amp;$B82,"")</f>
        <v/>
      </c>
      <c r="V82">
        <f>IF(AND($B82&lt;&gt;"",$C82&lt;&gt;"Target state",$C82&lt;&gt;"Exception",$D82="Low",$E82="Medium"),$A82&amp;"  "&amp;$B82,"")</f>
        <v/>
      </c>
      <c r="W82">
        <f>IF(AND($B82&lt;&gt;"",$C82&lt;&gt;"Target state",$C82&lt;&gt;"Exception",$D82="Low",$E82="High"),$A82&amp;"  "&amp;$B82,"")</f>
        <v/>
      </c>
    </row>
    <row r="83" ht="20" customHeight="1" s="52">
      <c r="A83" s="93" t="inlineStr">
        <is>
          <t>⑩</t>
        </is>
      </c>
      <c r="B83" s="94" t="n"/>
      <c r="C83" s="73" t="n"/>
      <c r="D83" s="73" t="n"/>
      <c r="E83" s="73" t="n"/>
      <c r="F83" s="72" t="n"/>
      <c r="G83" s="95">
        <f>IF(OR($B83="",$D83="",$E83=""),"",IF(OR($C83="Target state",$C83="Exception"),"Out of scope",IF($D83="Low","No tranche",IF($E83="Low","Tranche 1",IF($E83="Medium","Tranche 2",IF($D83="High","Tranche 3","No tranche"))))))</f>
        <v/>
      </c>
      <c r="K83" s="102" t="n"/>
      <c r="L83" s="102" t="n"/>
      <c r="M83" s="102" t="n"/>
      <c r="O83">
        <f>IF(AND($B83&lt;&gt;"",$C83&lt;&gt;"Target state",$C83&lt;&gt;"Exception",$D83="High",$E83="Low"),$A83&amp;"  "&amp;$B83,"")</f>
        <v/>
      </c>
      <c r="P83">
        <f>IF(AND($B83&lt;&gt;"",$C83&lt;&gt;"Target state",$C83&lt;&gt;"Exception",$D83="High",$E83="Medium"),$A83&amp;"  "&amp;$B83,"")</f>
        <v/>
      </c>
      <c r="Q83">
        <f>IF(AND($B83&lt;&gt;"",$C83&lt;&gt;"Target state",$C83&lt;&gt;"Exception",$D83="High",$E83="High"),$A83&amp;"  "&amp;$B83,"")</f>
        <v/>
      </c>
      <c r="R83">
        <f>IF(AND($B83&lt;&gt;"",$C83&lt;&gt;"Target state",$C83&lt;&gt;"Exception",$D83="Medium",$E83="Low"),$A83&amp;"  "&amp;$B83,"")</f>
        <v/>
      </c>
      <c r="S83">
        <f>IF(AND($B83&lt;&gt;"",$C83&lt;&gt;"Target state",$C83&lt;&gt;"Exception",$D83="Medium",$E83="Medium"),$A83&amp;"  "&amp;$B83,"")</f>
        <v/>
      </c>
      <c r="T83">
        <f>IF(AND($B83&lt;&gt;"",$C83&lt;&gt;"Target state",$C83&lt;&gt;"Exception",$D83="Medium",$E83="High"),$A83&amp;"  "&amp;$B83,"")</f>
        <v/>
      </c>
      <c r="U83">
        <f>IF(AND($B83&lt;&gt;"",$C83&lt;&gt;"Target state",$C83&lt;&gt;"Exception",$D83="Low",$E83="Low"),$A83&amp;"  "&amp;$B83,"")</f>
        <v/>
      </c>
      <c r="V83">
        <f>IF(AND($B83&lt;&gt;"",$C83&lt;&gt;"Target state",$C83&lt;&gt;"Exception",$D83="Low",$E83="Medium"),$A83&amp;"  "&amp;$B83,"")</f>
        <v/>
      </c>
      <c r="W83">
        <f>IF(AND($B83&lt;&gt;"",$C83&lt;&gt;"Target state",$C83&lt;&gt;"Exception",$D83="Low",$E83="High"),$A83&amp;"  "&amp;$B83,"")</f>
        <v/>
      </c>
    </row>
    <row r="84">
      <c r="K84" s="97" t="inlineStr">
        <is>
          <t>Complexity</t>
        </is>
      </c>
    </row>
    <row r="88" ht="22" customHeight="1" s="52">
      <c r="A88" s="88" t="inlineStr">
        <is>
          <t>Unified Proposition</t>
        </is>
      </c>
      <c r="G88" s="89">
        <f>HYPERLINK("#'Single-in'!A4","▲ tracker")</f>
        <v/>
      </c>
      <c r="K88" s="90" t="inlineStr">
        <is>
          <t>Assessment Outcome</t>
        </is>
      </c>
    </row>
    <row r="89" ht="18" customHeight="1" s="52">
      <c r="A89" s="91" t="inlineStr">
        <is>
          <t>#</t>
        </is>
      </c>
      <c r="B89" s="91" t="inlineStr">
        <is>
          <t>Platform</t>
        </is>
      </c>
      <c r="C89" s="91" t="inlineStr">
        <is>
          <t>State</t>
        </is>
      </c>
      <c r="D89" s="91" t="inlineStr">
        <is>
          <t>Imperative to exit</t>
        </is>
      </c>
      <c r="E89" s="91" t="inlineStr">
        <is>
          <t>Exit complexity</t>
        </is>
      </c>
      <c r="F89" s="91" t="inlineStr">
        <is>
          <t>Supporting facts</t>
        </is>
      </c>
      <c r="G89" s="91" t="inlineStr">
        <is>
          <t>Tranche (auto)</t>
        </is>
      </c>
      <c r="K89" s="92" t="inlineStr">
        <is>
          <t>Low</t>
        </is>
      </c>
      <c r="L89" s="92" t="inlineStr">
        <is>
          <t>Medium</t>
        </is>
      </c>
      <c r="M89" s="92" t="inlineStr">
        <is>
          <t>High</t>
        </is>
      </c>
    </row>
    <row r="90" ht="20" customHeight="1" s="52">
      <c r="A90" s="93" t="inlineStr">
        <is>
          <t>①</t>
        </is>
      </c>
      <c r="B90" s="94" t="n"/>
      <c r="C90" s="73" t="n"/>
      <c r="D90" s="73" t="n"/>
      <c r="E90" s="73" t="n"/>
      <c r="F90" s="72" t="n"/>
      <c r="G90" s="95">
        <f>IF(OR($B90="",$D90="",$E90=""),"",IF(OR($C90="Target state",$C90="Exception"),"Out of scope",IF($D90="Low","No tranche",IF($E90="Low","Tranche 1",IF($E90="Medium","Tranche 2",IF($D90="High","Tranche 3","No tranche"))))))</f>
        <v/>
      </c>
      <c r="I90" s="96" t="inlineStr">
        <is>
          <t>Benefits</t>
        </is>
      </c>
      <c r="J90" s="97" t="inlineStr">
        <is>
          <t>High</t>
        </is>
      </c>
      <c r="K90" s="98">
        <f>"Tranche 1"&amp;CHAR(10)&amp;_xlfn.TEXTJOIN(CHAR(10),TRUE,O$90:O$99)</f>
        <v/>
      </c>
      <c r="L90" s="99">
        <f>"Tranche 2"&amp;CHAR(10)&amp;_xlfn.TEXTJOIN(CHAR(10),TRUE,P$90:P$99)</f>
        <v/>
      </c>
      <c r="M90" s="100">
        <f>"Tranche 3"&amp;CHAR(10)&amp;_xlfn.TEXTJOIN(CHAR(10),TRUE,Q$90:Q$99)</f>
        <v/>
      </c>
      <c r="O90">
        <f>IF(AND($B90&lt;&gt;"",$C90&lt;&gt;"Target state",$C90&lt;&gt;"Exception",$D90="High",$E90="Low"),$A90&amp;"  "&amp;$B90,"")</f>
        <v/>
      </c>
      <c r="P90">
        <f>IF(AND($B90&lt;&gt;"",$C90&lt;&gt;"Target state",$C90&lt;&gt;"Exception",$D90="High",$E90="Medium"),$A90&amp;"  "&amp;$B90,"")</f>
        <v/>
      </c>
      <c r="Q90">
        <f>IF(AND($B90&lt;&gt;"",$C90&lt;&gt;"Target state",$C90&lt;&gt;"Exception",$D90="High",$E90="High"),$A90&amp;"  "&amp;$B90,"")</f>
        <v/>
      </c>
      <c r="R90">
        <f>IF(AND($B90&lt;&gt;"",$C90&lt;&gt;"Target state",$C90&lt;&gt;"Exception",$D90="Medium",$E90="Low"),$A90&amp;"  "&amp;$B90,"")</f>
        <v/>
      </c>
      <c r="S90">
        <f>IF(AND($B90&lt;&gt;"",$C90&lt;&gt;"Target state",$C90&lt;&gt;"Exception",$D90="Medium",$E90="Medium"),$A90&amp;"  "&amp;$B90,"")</f>
        <v/>
      </c>
      <c r="T90">
        <f>IF(AND($B90&lt;&gt;"",$C90&lt;&gt;"Target state",$C90&lt;&gt;"Exception",$D90="Medium",$E90="High"),$A90&amp;"  "&amp;$B90,"")</f>
        <v/>
      </c>
      <c r="U90">
        <f>IF(AND($B90&lt;&gt;"",$C90&lt;&gt;"Target state",$C90&lt;&gt;"Exception",$D90="Low",$E90="Low"),$A90&amp;"  "&amp;$B90,"")</f>
        <v/>
      </c>
      <c r="V90">
        <f>IF(AND($B90&lt;&gt;"",$C90&lt;&gt;"Target state",$C90&lt;&gt;"Exception",$D90="Low",$E90="Medium"),$A90&amp;"  "&amp;$B90,"")</f>
        <v/>
      </c>
      <c r="W90">
        <f>IF(AND($B90&lt;&gt;"",$C90&lt;&gt;"Target state",$C90&lt;&gt;"Exception",$D90="Low",$E90="High"),$A90&amp;"  "&amp;$B90,"")</f>
        <v/>
      </c>
    </row>
    <row r="91" ht="20" customHeight="1" s="52">
      <c r="A91" s="93" t="inlineStr">
        <is>
          <t>②</t>
        </is>
      </c>
      <c r="B91" s="94" t="n"/>
      <c r="C91" s="73" t="n"/>
      <c r="D91" s="73" t="n"/>
      <c r="E91" s="73" t="n"/>
      <c r="F91" s="72" t="n"/>
      <c r="G91" s="95">
        <f>IF(OR($B91="",$D91="",$E91=""),"",IF(OR($C91="Target state",$C91="Exception"),"Out of scope",IF($D91="Low","No tranche",IF($E91="Low","Tranche 1",IF($E91="Medium","Tranche 2",IF($D91="High","Tranche 3","No tranche"))))))</f>
        <v/>
      </c>
      <c r="K91" s="101" t="n"/>
      <c r="L91" s="101" t="n"/>
      <c r="M91" s="101" t="n"/>
      <c r="O91">
        <f>IF(AND($B91&lt;&gt;"",$C91&lt;&gt;"Target state",$C91&lt;&gt;"Exception",$D91="High",$E91="Low"),$A91&amp;"  "&amp;$B91,"")</f>
        <v/>
      </c>
      <c r="P91">
        <f>IF(AND($B91&lt;&gt;"",$C91&lt;&gt;"Target state",$C91&lt;&gt;"Exception",$D91="High",$E91="Medium"),$A91&amp;"  "&amp;$B91,"")</f>
        <v/>
      </c>
      <c r="Q91">
        <f>IF(AND($B91&lt;&gt;"",$C91&lt;&gt;"Target state",$C91&lt;&gt;"Exception",$D91="High",$E91="High"),$A91&amp;"  "&amp;$B91,"")</f>
        <v/>
      </c>
      <c r="R91">
        <f>IF(AND($B91&lt;&gt;"",$C91&lt;&gt;"Target state",$C91&lt;&gt;"Exception",$D91="Medium",$E91="Low"),$A91&amp;"  "&amp;$B91,"")</f>
        <v/>
      </c>
      <c r="S91">
        <f>IF(AND($B91&lt;&gt;"",$C91&lt;&gt;"Target state",$C91&lt;&gt;"Exception",$D91="Medium",$E91="Medium"),$A91&amp;"  "&amp;$B91,"")</f>
        <v/>
      </c>
      <c r="T91">
        <f>IF(AND($B91&lt;&gt;"",$C91&lt;&gt;"Target state",$C91&lt;&gt;"Exception",$D91="Medium",$E91="High"),$A91&amp;"  "&amp;$B91,"")</f>
        <v/>
      </c>
      <c r="U91">
        <f>IF(AND($B91&lt;&gt;"",$C91&lt;&gt;"Target state",$C91&lt;&gt;"Exception",$D91="Low",$E91="Low"),$A91&amp;"  "&amp;$B91,"")</f>
        <v/>
      </c>
      <c r="V91">
        <f>IF(AND($B91&lt;&gt;"",$C91&lt;&gt;"Target state",$C91&lt;&gt;"Exception",$D91="Low",$E91="Medium"),$A91&amp;"  "&amp;$B91,"")</f>
        <v/>
      </c>
      <c r="W91">
        <f>IF(AND($B91&lt;&gt;"",$C91&lt;&gt;"Target state",$C91&lt;&gt;"Exception",$D91="Low",$E91="High"),$A91&amp;"  "&amp;$B91,"")</f>
        <v/>
      </c>
    </row>
    <row r="92" ht="20" customHeight="1" s="52">
      <c r="A92" s="93" t="inlineStr">
        <is>
          <t>③</t>
        </is>
      </c>
      <c r="B92" s="94" t="n"/>
      <c r="C92" s="73" t="n"/>
      <c r="D92" s="73" t="n"/>
      <c r="E92" s="73" t="n"/>
      <c r="F92" s="72" t="n"/>
      <c r="G92" s="95">
        <f>IF(OR($B92="",$D92="",$E92=""),"",IF(OR($C92="Target state",$C92="Exception"),"Out of scope",IF($D92="Low","No tranche",IF($E92="Low","Tranche 1",IF($E92="Medium","Tranche 2",IF($D92="High","Tranche 3","No tranche"))))))</f>
        <v/>
      </c>
      <c r="K92" s="101" t="n"/>
      <c r="L92" s="101" t="n"/>
      <c r="M92" s="101" t="n"/>
      <c r="O92">
        <f>IF(AND($B92&lt;&gt;"",$C92&lt;&gt;"Target state",$C92&lt;&gt;"Exception",$D92="High",$E92="Low"),$A92&amp;"  "&amp;$B92,"")</f>
        <v/>
      </c>
      <c r="P92">
        <f>IF(AND($B92&lt;&gt;"",$C92&lt;&gt;"Target state",$C92&lt;&gt;"Exception",$D92="High",$E92="Medium"),$A92&amp;"  "&amp;$B92,"")</f>
        <v/>
      </c>
      <c r="Q92">
        <f>IF(AND($B92&lt;&gt;"",$C92&lt;&gt;"Target state",$C92&lt;&gt;"Exception",$D92="High",$E92="High"),$A92&amp;"  "&amp;$B92,"")</f>
        <v/>
      </c>
      <c r="R92">
        <f>IF(AND($B92&lt;&gt;"",$C92&lt;&gt;"Target state",$C92&lt;&gt;"Exception",$D92="Medium",$E92="Low"),$A92&amp;"  "&amp;$B92,"")</f>
        <v/>
      </c>
      <c r="S92">
        <f>IF(AND($B92&lt;&gt;"",$C92&lt;&gt;"Target state",$C92&lt;&gt;"Exception",$D92="Medium",$E92="Medium"),$A92&amp;"  "&amp;$B92,"")</f>
        <v/>
      </c>
      <c r="T92">
        <f>IF(AND($B92&lt;&gt;"",$C92&lt;&gt;"Target state",$C92&lt;&gt;"Exception",$D92="Medium",$E92="High"),$A92&amp;"  "&amp;$B92,"")</f>
        <v/>
      </c>
      <c r="U92">
        <f>IF(AND($B92&lt;&gt;"",$C92&lt;&gt;"Target state",$C92&lt;&gt;"Exception",$D92="Low",$E92="Low"),$A92&amp;"  "&amp;$B92,"")</f>
        <v/>
      </c>
      <c r="V92">
        <f>IF(AND($B92&lt;&gt;"",$C92&lt;&gt;"Target state",$C92&lt;&gt;"Exception",$D92="Low",$E92="Medium"),$A92&amp;"  "&amp;$B92,"")</f>
        <v/>
      </c>
      <c r="W92">
        <f>IF(AND($B92&lt;&gt;"",$C92&lt;&gt;"Target state",$C92&lt;&gt;"Exception",$D92="Low",$E92="High"),$A92&amp;"  "&amp;$B92,"")</f>
        <v/>
      </c>
    </row>
    <row r="93" ht="20" customHeight="1" s="52">
      <c r="A93" s="93" t="inlineStr">
        <is>
          <t>④</t>
        </is>
      </c>
      <c r="B93" s="94" t="n"/>
      <c r="C93" s="73" t="n"/>
      <c r="D93" s="73" t="n"/>
      <c r="E93" s="73" t="n"/>
      <c r="F93" s="72" t="n"/>
      <c r="G93" s="95">
        <f>IF(OR($B93="",$D93="",$E93=""),"",IF(OR($C93="Target state",$C93="Exception"),"Out of scope",IF($D93="Low","No tranche",IF($E93="Low","Tranche 1",IF($E93="Medium","Tranche 2",IF($D93="High","Tranche 3","No tranche"))))))</f>
        <v/>
      </c>
      <c r="K93" s="102" t="n"/>
      <c r="L93" s="102" t="n"/>
      <c r="M93" s="102" t="n"/>
      <c r="O93">
        <f>IF(AND($B93&lt;&gt;"",$C93&lt;&gt;"Target state",$C93&lt;&gt;"Exception",$D93="High",$E93="Low"),$A93&amp;"  "&amp;$B93,"")</f>
        <v/>
      </c>
      <c r="P93">
        <f>IF(AND($B93&lt;&gt;"",$C93&lt;&gt;"Target state",$C93&lt;&gt;"Exception",$D93="High",$E93="Medium"),$A93&amp;"  "&amp;$B93,"")</f>
        <v/>
      </c>
      <c r="Q93">
        <f>IF(AND($B93&lt;&gt;"",$C93&lt;&gt;"Target state",$C93&lt;&gt;"Exception",$D93="High",$E93="High"),$A93&amp;"  "&amp;$B93,"")</f>
        <v/>
      </c>
      <c r="R93">
        <f>IF(AND($B93&lt;&gt;"",$C93&lt;&gt;"Target state",$C93&lt;&gt;"Exception",$D93="Medium",$E93="Low"),$A93&amp;"  "&amp;$B93,"")</f>
        <v/>
      </c>
      <c r="S93">
        <f>IF(AND($B93&lt;&gt;"",$C93&lt;&gt;"Target state",$C93&lt;&gt;"Exception",$D93="Medium",$E93="Medium"),$A93&amp;"  "&amp;$B93,"")</f>
        <v/>
      </c>
      <c r="T93">
        <f>IF(AND($B93&lt;&gt;"",$C93&lt;&gt;"Target state",$C93&lt;&gt;"Exception",$D93="Medium",$E93="High"),$A93&amp;"  "&amp;$B93,"")</f>
        <v/>
      </c>
      <c r="U93">
        <f>IF(AND($B93&lt;&gt;"",$C93&lt;&gt;"Target state",$C93&lt;&gt;"Exception",$D93="Low",$E93="Low"),$A93&amp;"  "&amp;$B93,"")</f>
        <v/>
      </c>
      <c r="V93">
        <f>IF(AND($B93&lt;&gt;"",$C93&lt;&gt;"Target state",$C93&lt;&gt;"Exception",$D93="Low",$E93="Medium"),$A93&amp;"  "&amp;$B93,"")</f>
        <v/>
      </c>
      <c r="W93">
        <f>IF(AND($B93&lt;&gt;"",$C93&lt;&gt;"Target state",$C93&lt;&gt;"Exception",$D93="Low",$E93="High"),$A93&amp;"  "&amp;$B93,"")</f>
        <v/>
      </c>
    </row>
    <row r="94" ht="20" customHeight="1" s="52">
      <c r="A94" s="93" t="inlineStr">
        <is>
          <t>⑤</t>
        </is>
      </c>
      <c r="B94" s="94" t="n"/>
      <c r="C94" s="73" t="n"/>
      <c r="D94" s="73" t="n"/>
      <c r="E94" s="73" t="n"/>
      <c r="F94" s="72" t="n"/>
      <c r="G94" s="95">
        <f>IF(OR($B94="",$D94="",$E94=""),"",IF(OR($C94="Target state",$C94="Exception"),"Out of scope",IF($D94="Low","No tranche",IF($E94="Low","Tranche 1",IF($E94="Medium","Tranche 2",IF($D94="High","Tranche 3","No tranche"))))))</f>
        <v/>
      </c>
      <c r="J94" s="97" t="inlineStr">
        <is>
          <t>Medium</t>
        </is>
      </c>
      <c r="K94" s="98">
        <f>"Tranche 1"&amp;CHAR(10)&amp;_xlfn.TEXTJOIN(CHAR(10),TRUE,R$90:R$99)</f>
        <v/>
      </c>
      <c r="L94" s="99">
        <f>"Tranche 2"&amp;CHAR(10)&amp;_xlfn.TEXTJOIN(CHAR(10),TRUE,S$90:S$99)</f>
        <v/>
      </c>
      <c r="M94" s="103">
        <f>_xlfn.TEXTJOIN(CHAR(10),TRUE,T$90:T$99)</f>
        <v/>
      </c>
      <c r="O94">
        <f>IF(AND($B94&lt;&gt;"",$C94&lt;&gt;"Target state",$C94&lt;&gt;"Exception",$D94="High",$E94="Low"),$A94&amp;"  "&amp;$B94,"")</f>
        <v/>
      </c>
      <c r="P94">
        <f>IF(AND($B94&lt;&gt;"",$C94&lt;&gt;"Target state",$C94&lt;&gt;"Exception",$D94="High",$E94="Medium"),$A94&amp;"  "&amp;$B94,"")</f>
        <v/>
      </c>
      <c r="Q94">
        <f>IF(AND($B94&lt;&gt;"",$C94&lt;&gt;"Target state",$C94&lt;&gt;"Exception",$D94="High",$E94="High"),$A94&amp;"  "&amp;$B94,"")</f>
        <v/>
      </c>
      <c r="R94">
        <f>IF(AND($B94&lt;&gt;"",$C94&lt;&gt;"Target state",$C94&lt;&gt;"Exception",$D94="Medium",$E94="Low"),$A94&amp;"  "&amp;$B94,"")</f>
        <v/>
      </c>
      <c r="S94">
        <f>IF(AND($B94&lt;&gt;"",$C94&lt;&gt;"Target state",$C94&lt;&gt;"Exception",$D94="Medium",$E94="Medium"),$A94&amp;"  "&amp;$B94,"")</f>
        <v/>
      </c>
      <c r="T94">
        <f>IF(AND($B94&lt;&gt;"",$C94&lt;&gt;"Target state",$C94&lt;&gt;"Exception",$D94="Medium",$E94="High"),$A94&amp;"  "&amp;$B94,"")</f>
        <v/>
      </c>
      <c r="U94">
        <f>IF(AND($B94&lt;&gt;"",$C94&lt;&gt;"Target state",$C94&lt;&gt;"Exception",$D94="Low",$E94="Low"),$A94&amp;"  "&amp;$B94,"")</f>
        <v/>
      </c>
      <c r="V94">
        <f>IF(AND($B94&lt;&gt;"",$C94&lt;&gt;"Target state",$C94&lt;&gt;"Exception",$D94="Low",$E94="Medium"),$A94&amp;"  "&amp;$B94,"")</f>
        <v/>
      </c>
      <c r="W94">
        <f>IF(AND($B94&lt;&gt;"",$C94&lt;&gt;"Target state",$C94&lt;&gt;"Exception",$D94="Low",$E94="High"),$A94&amp;"  "&amp;$B94,"")</f>
        <v/>
      </c>
    </row>
    <row r="95" ht="20" customHeight="1" s="52">
      <c r="A95" s="93" t="inlineStr">
        <is>
          <t>⑥</t>
        </is>
      </c>
      <c r="B95" s="94" t="n"/>
      <c r="C95" s="73" t="n"/>
      <c r="D95" s="73" t="n"/>
      <c r="E95" s="73" t="n"/>
      <c r="F95" s="72" t="n"/>
      <c r="G95" s="95">
        <f>IF(OR($B95="",$D95="",$E95=""),"",IF(OR($C95="Target state",$C95="Exception"),"Out of scope",IF($D95="Low","No tranche",IF($E95="Low","Tranche 1",IF($E95="Medium","Tranche 2",IF($D95="High","Tranche 3","No tranche"))))))</f>
        <v/>
      </c>
      <c r="K95" s="101" t="n"/>
      <c r="L95" s="101" t="n"/>
      <c r="M95" s="101" t="n"/>
      <c r="O95">
        <f>IF(AND($B95&lt;&gt;"",$C95&lt;&gt;"Target state",$C95&lt;&gt;"Exception",$D95="High",$E95="Low"),$A95&amp;"  "&amp;$B95,"")</f>
        <v/>
      </c>
      <c r="P95">
        <f>IF(AND($B95&lt;&gt;"",$C95&lt;&gt;"Target state",$C95&lt;&gt;"Exception",$D95="High",$E95="Medium"),$A95&amp;"  "&amp;$B95,"")</f>
        <v/>
      </c>
      <c r="Q95">
        <f>IF(AND($B95&lt;&gt;"",$C95&lt;&gt;"Target state",$C95&lt;&gt;"Exception",$D95="High",$E95="High"),$A95&amp;"  "&amp;$B95,"")</f>
        <v/>
      </c>
      <c r="R95">
        <f>IF(AND($B95&lt;&gt;"",$C95&lt;&gt;"Target state",$C95&lt;&gt;"Exception",$D95="Medium",$E95="Low"),$A95&amp;"  "&amp;$B95,"")</f>
        <v/>
      </c>
      <c r="S95">
        <f>IF(AND($B95&lt;&gt;"",$C95&lt;&gt;"Target state",$C95&lt;&gt;"Exception",$D95="Medium",$E95="Medium"),$A95&amp;"  "&amp;$B95,"")</f>
        <v/>
      </c>
      <c r="T95">
        <f>IF(AND($B95&lt;&gt;"",$C95&lt;&gt;"Target state",$C95&lt;&gt;"Exception",$D95="Medium",$E95="High"),$A95&amp;"  "&amp;$B95,"")</f>
        <v/>
      </c>
      <c r="U95">
        <f>IF(AND($B95&lt;&gt;"",$C95&lt;&gt;"Target state",$C95&lt;&gt;"Exception",$D95="Low",$E95="Low"),$A95&amp;"  "&amp;$B95,"")</f>
        <v/>
      </c>
      <c r="V95">
        <f>IF(AND($B95&lt;&gt;"",$C95&lt;&gt;"Target state",$C95&lt;&gt;"Exception",$D95="Low",$E95="Medium"),$A95&amp;"  "&amp;$B95,"")</f>
        <v/>
      </c>
      <c r="W95">
        <f>IF(AND($B95&lt;&gt;"",$C95&lt;&gt;"Target state",$C95&lt;&gt;"Exception",$D95="Low",$E95="High"),$A95&amp;"  "&amp;$B95,"")</f>
        <v/>
      </c>
    </row>
    <row r="96" ht="20" customHeight="1" s="52">
      <c r="A96" s="93" t="inlineStr">
        <is>
          <t>⑦</t>
        </is>
      </c>
      <c r="B96" s="94" t="n"/>
      <c r="C96" s="73" t="n"/>
      <c r="D96" s="73" t="n"/>
      <c r="E96" s="73" t="n"/>
      <c r="F96" s="72" t="n"/>
      <c r="G96" s="95">
        <f>IF(OR($B96="",$D96="",$E96=""),"",IF(OR($C96="Target state",$C96="Exception"),"Out of scope",IF($D96="Low","No tranche",IF($E96="Low","Tranche 1",IF($E96="Medium","Tranche 2",IF($D96="High","Tranche 3","No tranche"))))))</f>
        <v/>
      </c>
      <c r="K96" s="102" t="n"/>
      <c r="L96" s="102" t="n"/>
      <c r="M96" s="102" t="n"/>
      <c r="O96">
        <f>IF(AND($B96&lt;&gt;"",$C96&lt;&gt;"Target state",$C96&lt;&gt;"Exception",$D96="High",$E96="Low"),$A96&amp;"  "&amp;$B96,"")</f>
        <v/>
      </c>
      <c r="P96">
        <f>IF(AND($B96&lt;&gt;"",$C96&lt;&gt;"Target state",$C96&lt;&gt;"Exception",$D96="High",$E96="Medium"),$A96&amp;"  "&amp;$B96,"")</f>
        <v/>
      </c>
      <c r="Q96">
        <f>IF(AND($B96&lt;&gt;"",$C96&lt;&gt;"Target state",$C96&lt;&gt;"Exception",$D96="High",$E96="High"),$A96&amp;"  "&amp;$B96,"")</f>
        <v/>
      </c>
      <c r="R96">
        <f>IF(AND($B96&lt;&gt;"",$C96&lt;&gt;"Target state",$C96&lt;&gt;"Exception",$D96="Medium",$E96="Low"),$A96&amp;"  "&amp;$B96,"")</f>
        <v/>
      </c>
      <c r="S96">
        <f>IF(AND($B96&lt;&gt;"",$C96&lt;&gt;"Target state",$C96&lt;&gt;"Exception",$D96="Medium",$E96="Medium"),$A96&amp;"  "&amp;$B96,"")</f>
        <v/>
      </c>
      <c r="T96">
        <f>IF(AND($B96&lt;&gt;"",$C96&lt;&gt;"Target state",$C96&lt;&gt;"Exception",$D96="Medium",$E96="High"),$A96&amp;"  "&amp;$B96,"")</f>
        <v/>
      </c>
      <c r="U96">
        <f>IF(AND($B96&lt;&gt;"",$C96&lt;&gt;"Target state",$C96&lt;&gt;"Exception",$D96="Low",$E96="Low"),$A96&amp;"  "&amp;$B96,"")</f>
        <v/>
      </c>
      <c r="V96">
        <f>IF(AND($B96&lt;&gt;"",$C96&lt;&gt;"Target state",$C96&lt;&gt;"Exception",$D96="Low",$E96="Medium"),$A96&amp;"  "&amp;$B96,"")</f>
        <v/>
      </c>
      <c r="W96">
        <f>IF(AND($B96&lt;&gt;"",$C96&lt;&gt;"Target state",$C96&lt;&gt;"Exception",$D96="Low",$E96="High"),$A96&amp;"  "&amp;$B96,"")</f>
        <v/>
      </c>
    </row>
    <row r="97" ht="20" customHeight="1" s="52">
      <c r="A97" s="93" t="inlineStr">
        <is>
          <t>⑧</t>
        </is>
      </c>
      <c r="B97" s="94" t="n"/>
      <c r="C97" s="73" t="n"/>
      <c r="D97" s="73" t="n"/>
      <c r="E97" s="73" t="n"/>
      <c r="F97" s="72" t="n"/>
      <c r="G97" s="95">
        <f>IF(OR($B97="",$D97="",$E97=""),"",IF(OR($C97="Target state",$C97="Exception"),"Out of scope",IF($D97="Low","No tranche",IF($E97="Low","Tranche 1",IF($E97="Medium","Tranche 2",IF($D97="High","Tranche 3","No tranche"))))))</f>
        <v/>
      </c>
      <c r="J97" s="97" t="inlineStr">
        <is>
          <t>Low</t>
        </is>
      </c>
      <c r="K97" s="103">
        <f>_xlfn.TEXTJOIN(CHAR(10),TRUE,U$90:U$99)</f>
        <v/>
      </c>
      <c r="L97" s="103">
        <f>_xlfn.TEXTJOIN(CHAR(10),TRUE,V$90:V$99)</f>
        <v/>
      </c>
      <c r="M97" s="103">
        <f>_xlfn.TEXTJOIN(CHAR(10),TRUE,W$90:W$99)</f>
        <v/>
      </c>
      <c r="O97">
        <f>IF(AND($B97&lt;&gt;"",$C97&lt;&gt;"Target state",$C97&lt;&gt;"Exception",$D97="High",$E97="Low"),$A97&amp;"  "&amp;$B97,"")</f>
        <v/>
      </c>
      <c r="P97">
        <f>IF(AND($B97&lt;&gt;"",$C97&lt;&gt;"Target state",$C97&lt;&gt;"Exception",$D97="High",$E97="Medium"),$A97&amp;"  "&amp;$B97,"")</f>
        <v/>
      </c>
      <c r="Q97">
        <f>IF(AND($B97&lt;&gt;"",$C97&lt;&gt;"Target state",$C97&lt;&gt;"Exception",$D97="High",$E97="High"),$A97&amp;"  "&amp;$B97,"")</f>
        <v/>
      </c>
      <c r="R97">
        <f>IF(AND($B97&lt;&gt;"",$C97&lt;&gt;"Target state",$C97&lt;&gt;"Exception",$D97="Medium",$E97="Low"),$A97&amp;"  "&amp;$B97,"")</f>
        <v/>
      </c>
      <c r="S97">
        <f>IF(AND($B97&lt;&gt;"",$C97&lt;&gt;"Target state",$C97&lt;&gt;"Exception",$D97="Medium",$E97="Medium"),$A97&amp;"  "&amp;$B97,"")</f>
        <v/>
      </c>
      <c r="T97">
        <f>IF(AND($B97&lt;&gt;"",$C97&lt;&gt;"Target state",$C97&lt;&gt;"Exception",$D97="Medium",$E97="High"),$A97&amp;"  "&amp;$B97,"")</f>
        <v/>
      </c>
      <c r="U97">
        <f>IF(AND($B97&lt;&gt;"",$C97&lt;&gt;"Target state",$C97&lt;&gt;"Exception",$D97="Low",$E97="Low"),$A97&amp;"  "&amp;$B97,"")</f>
        <v/>
      </c>
      <c r="V97">
        <f>IF(AND($B97&lt;&gt;"",$C97&lt;&gt;"Target state",$C97&lt;&gt;"Exception",$D97="Low",$E97="Medium"),$A97&amp;"  "&amp;$B97,"")</f>
        <v/>
      </c>
      <c r="W97">
        <f>IF(AND($B97&lt;&gt;"",$C97&lt;&gt;"Target state",$C97&lt;&gt;"Exception",$D97="Low",$E97="High"),$A97&amp;"  "&amp;$B97,"")</f>
        <v/>
      </c>
    </row>
    <row r="98" ht="20" customHeight="1" s="52">
      <c r="A98" s="93" t="inlineStr">
        <is>
          <t>⑨</t>
        </is>
      </c>
      <c r="B98" s="94" t="n"/>
      <c r="C98" s="73" t="n"/>
      <c r="D98" s="73" t="n"/>
      <c r="E98" s="73" t="n"/>
      <c r="F98" s="72" t="n"/>
      <c r="G98" s="95">
        <f>IF(OR($B98="",$D98="",$E98=""),"",IF(OR($C98="Target state",$C98="Exception"),"Out of scope",IF($D98="Low","No tranche",IF($E98="Low","Tranche 1",IF($E98="Medium","Tranche 2",IF($D98="High","Tranche 3","No tranche"))))))</f>
        <v/>
      </c>
      <c r="K98" s="101" t="n"/>
      <c r="L98" s="101" t="n"/>
      <c r="M98" s="101" t="n"/>
      <c r="O98">
        <f>IF(AND($B98&lt;&gt;"",$C98&lt;&gt;"Target state",$C98&lt;&gt;"Exception",$D98="High",$E98="Low"),$A98&amp;"  "&amp;$B98,"")</f>
        <v/>
      </c>
      <c r="P98">
        <f>IF(AND($B98&lt;&gt;"",$C98&lt;&gt;"Target state",$C98&lt;&gt;"Exception",$D98="High",$E98="Medium"),$A98&amp;"  "&amp;$B98,"")</f>
        <v/>
      </c>
      <c r="Q98">
        <f>IF(AND($B98&lt;&gt;"",$C98&lt;&gt;"Target state",$C98&lt;&gt;"Exception",$D98="High",$E98="High"),$A98&amp;"  "&amp;$B98,"")</f>
        <v/>
      </c>
      <c r="R98">
        <f>IF(AND($B98&lt;&gt;"",$C98&lt;&gt;"Target state",$C98&lt;&gt;"Exception",$D98="Medium",$E98="Low"),$A98&amp;"  "&amp;$B98,"")</f>
        <v/>
      </c>
      <c r="S98">
        <f>IF(AND($B98&lt;&gt;"",$C98&lt;&gt;"Target state",$C98&lt;&gt;"Exception",$D98="Medium",$E98="Medium"),$A98&amp;"  "&amp;$B98,"")</f>
        <v/>
      </c>
      <c r="T98">
        <f>IF(AND($B98&lt;&gt;"",$C98&lt;&gt;"Target state",$C98&lt;&gt;"Exception",$D98="Medium",$E98="High"),$A98&amp;"  "&amp;$B98,"")</f>
        <v/>
      </c>
      <c r="U98">
        <f>IF(AND($B98&lt;&gt;"",$C98&lt;&gt;"Target state",$C98&lt;&gt;"Exception",$D98="Low",$E98="Low"),$A98&amp;"  "&amp;$B98,"")</f>
        <v/>
      </c>
      <c r="V98">
        <f>IF(AND($B98&lt;&gt;"",$C98&lt;&gt;"Target state",$C98&lt;&gt;"Exception",$D98="Low",$E98="Medium"),$A98&amp;"  "&amp;$B98,"")</f>
        <v/>
      </c>
      <c r="W98">
        <f>IF(AND($B98&lt;&gt;"",$C98&lt;&gt;"Target state",$C98&lt;&gt;"Exception",$D98="Low",$E98="High"),$A98&amp;"  "&amp;$B98,"")</f>
        <v/>
      </c>
    </row>
    <row r="99" ht="20" customHeight="1" s="52">
      <c r="A99" s="93" t="inlineStr">
        <is>
          <t>⑩</t>
        </is>
      </c>
      <c r="B99" s="94" t="n"/>
      <c r="C99" s="73" t="n"/>
      <c r="D99" s="73" t="n"/>
      <c r="E99" s="73" t="n"/>
      <c r="F99" s="72" t="n"/>
      <c r="G99" s="95">
        <f>IF(OR($B99="",$D99="",$E99=""),"",IF(OR($C99="Target state",$C99="Exception"),"Out of scope",IF($D99="Low","No tranche",IF($E99="Low","Tranche 1",IF($E99="Medium","Tranche 2",IF($D99="High","Tranche 3","No tranche"))))))</f>
        <v/>
      </c>
      <c r="K99" s="102" t="n"/>
      <c r="L99" s="102" t="n"/>
      <c r="M99" s="102" t="n"/>
      <c r="O99">
        <f>IF(AND($B99&lt;&gt;"",$C99&lt;&gt;"Target state",$C99&lt;&gt;"Exception",$D99="High",$E99="Low"),$A99&amp;"  "&amp;$B99,"")</f>
        <v/>
      </c>
      <c r="P99">
        <f>IF(AND($B99&lt;&gt;"",$C99&lt;&gt;"Target state",$C99&lt;&gt;"Exception",$D99="High",$E99="Medium"),$A99&amp;"  "&amp;$B99,"")</f>
        <v/>
      </c>
      <c r="Q99">
        <f>IF(AND($B99&lt;&gt;"",$C99&lt;&gt;"Target state",$C99&lt;&gt;"Exception",$D99="High",$E99="High"),$A99&amp;"  "&amp;$B99,"")</f>
        <v/>
      </c>
      <c r="R99">
        <f>IF(AND($B99&lt;&gt;"",$C99&lt;&gt;"Target state",$C99&lt;&gt;"Exception",$D99="Medium",$E99="Low"),$A99&amp;"  "&amp;$B99,"")</f>
        <v/>
      </c>
      <c r="S99">
        <f>IF(AND($B99&lt;&gt;"",$C99&lt;&gt;"Target state",$C99&lt;&gt;"Exception",$D99="Medium",$E99="Medium"),$A99&amp;"  "&amp;$B99,"")</f>
        <v/>
      </c>
      <c r="T99">
        <f>IF(AND($B99&lt;&gt;"",$C99&lt;&gt;"Target state",$C99&lt;&gt;"Exception",$D99="Medium",$E99="High"),$A99&amp;"  "&amp;$B99,"")</f>
        <v/>
      </c>
      <c r="U99">
        <f>IF(AND($B99&lt;&gt;"",$C99&lt;&gt;"Target state",$C99&lt;&gt;"Exception",$D99="Low",$E99="Low"),$A99&amp;"  "&amp;$B99,"")</f>
        <v/>
      </c>
      <c r="V99">
        <f>IF(AND($B99&lt;&gt;"",$C99&lt;&gt;"Target state",$C99&lt;&gt;"Exception",$D99="Low",$E99="Medium"),$A99&amp;"  "&amp;$B99,"")</f>
        <v/>
      </c>
      <c r="W99">
        <f>IF(AND($B99&lt;&gt;"",$C99&lt;&gt;"Target state",$C99&lt;&gt;"Exception",$D99="Low",$E99="High"),$A99&amp;"  "&amp;$B99,"")</f>
        <v/>
      </c>
    </row>
    <row r="100">
      <c r="K100" s="97" t="inlineStr">
        <is>
          <t>Complexity</t>
        </is>
      </c>
    </row>
  </sheetData>
  <mergeCells count="81">
    <mergeCell ref="K56:M56"/>
    <mergeCell ref="M45:M51"/>
    <mergeCell ref="K27:M27"/>
    <mergeCell ref="A72:F72"/>
    <mergeCell ref="J97:J99"/>
    <mergeCell ref="M20:M22"/>
    <mergeCell ref="J81:J83"/>
    <mergeCell ref="K58:K61"/>
    <mergeCell ref="K68:M68"/>
    <mergeCell ref="K11:M11"/>
    <mergeCell ref="K100:M100"/>
    <mergeCell ref="K84:M84"/>
    <mergeCell ref="A27:F27"/>
    <mergeCell ref="L81:L83"/>
    <mergeCell ref="J29:J36"/>
    <mergeCell ref="I90:I99"/>
    <mergeCell ref="J37:J44"/>
    <mergeCell ref="L65:L67"/>
    <mergeCell ref="K97:K99"/>
    <mergeCell ref="M97:M99"/>
    <mergeCell ref="I74:I83"/>
    <mergeCell ref="J74:J77"/>
    <mergeCell ref="K78:K80"/>
    <mergeCell ref="L74:L77"/>
    <mergeCell ref="K23:M23"/>
    <mergeCell ref="K65:K67"/>
    <mergeCell ref="K29:K36"/>
    <mergeCell ref="L58:L61"/>
    <mergeCell ref="K90:K93"/>
    <mergeCell ref="A4:C4"/>
    <mergeCell ref="M90:M93"/>
    <mergeCell ref="M13:M16"/>
    <mergeCell ref="M74:M77"/>
    <mergeCell ref="M37:M44"/>
    <mergeCell ref="A11:F11"/>
    <mergeCell ref="J20:J22"/>
    <mergeCell ref="A88:F88"/>
    <mergeCell ref="J94:J96"/>
    <mergeCell ref="L94:L96"/>
    <mergeCell ref="I13:I22"/>
    <mergeCell ref="J13:J16"/>
    <mergeCell ref="J62:J64"/>
    <mergeCell ref="K17:K19"/>
    <mergeCell ref="L13:L16"/>
    <mergeCell ref="A56:F56"/>
    <mergeCell ref="J45:J51"/>
    <mergeCell ref="L45:L51"/>
    <mergeCell ref="M17:M19"/>
    <mergeCell ref="K62:K64"/>
    <mergeCell ref="M62:M64"/>
    <mergeCell ref="J17:J19"/>
    <mergeCell ref="L17:L19"/>
    <mergeCell ref="K45:K51"/>
    <mergeCell ref="J90:J93"/>
    <mergeCell ref="K81:K83"/>
    <mergeCell ref="M81:M83"/>
    <mergeCell ref="K88:M88"/>
    <mergeCell ref="J58:J61"/>
    <mergeCell ref="K37:K44"/>
    <mergeCell ref="I29:I51"/>
    <mergeCell ref="K72:M72"/>
    <mergeCell ref="L20:L22"/>
    <mergeCell ref="K74:K77"/>
    <mergeCell ref="M29:M36"/>
    <mergeCell ref="M58:M61"/>
    <mergeCell ref="K52:M52"/>
    <mergeCell ref="L37:L44"/>
    <mergeCell ref="L97:L99"/>
    <mergeCell ref="J78:J80"/>
    <mergeCell ref="L78:L80"/>
    <mergeCell ref="J65:J67"/>
    <mergeCell ref="K20:K22"/>
    <mergeCell ref="L29:L36"/>
    <mergeCell ref="L62:L64"/>
    <mergeCell ref="K94:K96"/>
    <mergeCell ref="L90:L93"/>
    <mergeCell ref="M94:M96"/>
    <mergeCell ref="I58:I67"/>
    <mergeCell ref="K13:K16"/>
    <mergeCell ref="M78:M80"/>
    <mergeCell ref="M65:M67"/>
  </mergeCells>
  <conditionalFormatting sqref="A13:G22">
    <cfRule type="expression" priority="1" dxfId="43">
      <formula>OR($C13="Target state",$C13="Exception")</formula>
    </cfRule>
  </conditionalFormatting>
  <conditionalFormatting sqref="A29:G51">
    <cfRule type="expression" priority="2" dxfId="43">
      <formula>OR($C29="Target state",$C29="Exception")</formula>
    </cfRule>
  </conditionalFormatting>
  <conditionalFormatting sqref="A58:G67">
    <cfRule type="expression" priority="3" dxfId="43">
      <formula>OR($C58="Target state",$C58="Exception")</formula>
    </cfRule>
  </conditionalFormatting>
  <conditionalFormatting sqref="A74:G83">
    <cfRule type="expression" priority="4" dxfId="43">
      <formula>OR($C74="Target state",$C74="Exception")</formula>
    </cfRule>
  </conditionalFormatting>
  <conditionalFormatting sqref="A90:G99">
    <cfRule type="expression" priority="5" dxfId="43">
      <formula>OR($C90="Target state",$C90="Exception")</formula>
    </cfRule>
  </conditionalFormatting>
  <dataValidations count="2">
    <dataValidation sqref="C13:C22 C29:C51 C58:C67 C74:C83 C90:C99" showDropDown="0" showInputMessage="0" showErrorMessage="0" allowBlank="1" type="list">
      <formula1>"Target state,Non-target state,Exception"</formula1>
    </dataValidation>
    <dataValidation sqref="D13:E22 D29:E51 D58:E67 D74:E83 D90:E9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W82"/>
  <sheetViews>
    <sheetView showGridLines="0" workbookViewId="0">
      <selection activeCell="A1" sqref="A1"/>
    </sheetView>
  </sheetViews>
  <sheetFormatPr baseColWidth="8" defaultRowHeight="15"/>
  <cols>
    <col width="5" customWidth="1" style="52" min="1" max="1"/>
    <col width="26" customWidth="1" style="52" min="2" max="2"/>
    <col width="17" customWidth="1" style="52" min="3" max="3"/>
    <col width="16" customWidth="1" style="52" min="4" max="4"/>
    <col width="15" customWidth="1" style="52" min="5" max="5"/>
    <col width="44" customWidth="1" style="52" min="6" max="6"/>
    <col width="14" customWidth="1" style="52" min="7" max="7"/>
    <col width="2" customWidth="1" style="52" min="8" max="8"/>
    <col width="4" customWidth="1" style="52" min="9" max="9"/>
    <col width="9" customWidth="1" style="52" min="10" max="10"/>
    <col width="26" customWidth="1" style="52" min="11" max="11"/>
    <col width="26" customWidth="1" style="52" min="12" max="12"/>
    <col width="26" customWidth="1" style="52" min="13" max="13"/>
    <col width="2" customWidth="1" style="52" min="14" max="14"/>
    <col hidden="1" width="13" customWidth="1" style="52" min="15" max="15"/>
    <col hidden="1" width="13" customWidth="1" style="52" min="16" max="16"/>
    <col hidden="1" width="13" customWidth="1" style="52" min="17" max="17"/>
    <col hidden="1" width="13" customWidth="1" style="52" min="18" max="18"/>
    <col hidden="1" width="13" customWidth="1" style="52" min="19" max="19"/>
    <col hidden="1" width="13" customWidth="1" style="52" min="20" max="20"/>
    <col hidden="1" width="13" customWidth="1" style="52" min="21" max="21"/>
    <col hidden="1" width="13" customWidth="1" style="52" min="22" max="22"/>
    <col hidden="1" width="13" customWidth="1" style="52" min="23" max="23"/>
  </cols>
  <sheetData>
    <row r="1">
      <c r="A1" s="83" t="inlineStr">
        <is>
          <t>Sales &amp; Servicing — Platform Assessment</t>
        </is>
      </c>
    </row>
    <row r="2">
      <c r="A2" s="84">
        <f>HYPERLINK("#'Summary'!A1","← Back to Summary")</f>
        <v/>
      </c>
      <c r="C2" s="85" t="inlineStr">
        <is>
          <t>Pick a State, score High / Medium / Low — the tranche, the matrix and the Summary update automatically.</t>
        </is>
      </c>
    </row>
    <row r="4">
      <c r="A4" s="86" t="inlineStr">
        <is>
          <t>Tracker — jump to a sub-capability:</t>
        </is>
      </c>
    </row>
    <row r="5">
      <c r="A5" s="87" t="inlineStr">
        <is>
          <t>1.</t>
        </is>
      </c>
      <c r="B5" s="84">
        <f>HYPERLINK("#'Sales &amp; Servicing'!A10","CRM")</f>
        <v/>
      </c>
    </row>
    <row r="6">
      <c r="A6" s="87" t="inlineStr">
        <is>
          <t>2.</t>
        </is>
      </c>
      <c r="B6" s="84">
        <f>HYPERLINK("#'Sales &amp; Servicing'!A32","Servicing Tools")</f>
        <v/>
      </c>
    </row>
    <row r="7">
      <c r="A7" s="87" t="inlineStr">
        <is>
          <t>3.</t>
        </is>
      </c>
      <c r="B7" s="84">
        <f>HYPERLINK("#'Sales &amp; Servicing'!A54","Sales Automation")</f>
        <v/>
      </c>
    </row>
    <row r="8">
      <c r="A8" s="87" t="inlineStr">
        <is>
          <t>4.</t>
        </is>
      </c>
      <c r="B8" s="84">
        <f>HYPERLINK("#'Sales &amp; Servicing'!A70","Risks")</f>
        <v/>
      </c>
    </row>
    <row r="10" ht="22" customHeight="1" s="52">
      <c r="A10" s="88" t="inlineStr">
        <is>
          <t>CRM</t>
        </is>
      </c>
      <c r="G10" s="89">
        <f>HYPERLINK("#'Sales &amp; Servicing'!A4","▲ tracker")</f>
        <v/>
      </c>
      <c r="K10" s="90" t="inlineStr">
        <is>
          <t>Assessment Outcome</t>
        </is>
      </c>
    </row>
    <row r="11" ht="18" customHeight="1" s="52">
      <c r="A11" s="91" t="inlineStr">
        <is>
          <t>#</t>
        </is>
      </c>
      <c r="B11" s="91" t="inlineStr">
        <is>
          <t>Platform</t>
        </is>
      </c>
      <c r="C11" s="91" t="inlineStr">
        <is>
          <t>State</t>
        </is>
      </c>
      <c r="D11" s="91" t="inlineStr">
        <is>
          <t>Imperative to exit</t>
        </is>
      </c>
      <c r="E11" s="91" t="inlineStr">
        <is>
          <t>Exit complexity</t>
        </is>
      </c>
      <c r="F11" s="91" t="inlineStr">
        <is>
          <t>Supporting facts</t>
        </is>
      </c>
      <c r="G11" s="91" t="inlineStr">
        <is>
          <t>Tranche (auto)</t>
        </is>
      </c>
      <c r="K11" s="92" t="inlineStr">
        <is>
          <t>Low</t>
        </is>
      </c>
      <c r="L11" s="92" t="inlineStr">
        <is>
          <t>Medium</t>
        </is>
      </c>
      <c r="M11" s="92" t="inlineStr">
        <is>
          <t>High</t>
        </is>
      </c>
    </row>
    <row r="12" ht="36" customHeight="1" s="52">
      <c r="A12" s="93" t="inlineStr">
        <is>
          <t>①</t>
        </is>
      </c>
      <c r="B12" s="94" t="inlineStr">
        <is>
          <t>Salesforce (TSYS Lightning)</t>
        </is>
      </c>
      <c r="C12" s="73" t="inlineStr">
        <is>
          <t>Non-target state</t>
        </is>
      </c>
      <c r="D12" s="73" t="n"/>
      <c r="E12" s="73" t="n"/>
      <c r="F12" s="72" t="inlineStr">
        <is>
          <t>Non-strategic instance managing ISV partner relationships for the Omaha portfolio with about 140 users; around $520K in yearly cost; migration path agreed</t>
        </is>
      </c>
      <c r="G12" s="95">
        <f>IF(OR($B12="",$D12="",$E12=""),"",IF(OR($C12="Target state",$C12="Exception"),"Out of scope",IF($D12="Low","No tranche",IF($E12="Low","Tranche 1",IF($E12="Medium","Tranche 2",IF($D12="High","Tranche 3","No tranche"))))))</f>
        <v/>
      </c>
      <c r="I12" s="96" t="inlineStr">
        <is>
          <t>Benefits</t>
        </is>
      </c>
      <c r="J12" s="97" t="inlineStr">
        <is>
          <t>High</t>
        </is>
      </c>
      <c r="K12" s="98">
        <f>"Tranche 1"&amp;CHAR(10)&amp;_xlfn.TEXTJOIN(CHAR(10),TRUE,O$12:O$27)</f>
        <v/>
      </c>
      <c r="L12" s="99">
        <f>"Tranche 2"&amp;CHAR(10)&amp;_xlfn.TEXTJOIN(CHAR(10),TRUE,P$12:P$27)</f>
        <v/>
      </c>
      <c r="M12" s="100">
        <f>"Tranche 3"&amp;CHAR(10)&amp;_xlfn.TEXTJOIN(CHAR(10),TRUE,Q$12:Q$27)</f>
        <v/>
      </c>
      <c r="O12">
        <f>IF(AND($B12&lt;&gt;"",$C12&lt;&gt;"Target state",$C12&lt;&gt;"Exception",$D12="High",$E12="Low"),$A12&amp;"  "&amp;$B12,"")</f>
        <v/>
      </c>
      <c r="P12">
        <f>IF(AND($B12&lt;&gt;"",$C12&lt;&gt;"Target state",$C12&lt;&gt;"Exception",$D12="High",$E12="Medium"),$A12&amp;"  "&amp;$B12,"")</f>
        <v/>
      </c>
      <c r="Q12">
        <f>IF(AND($B12&lt;&gt;"",$C12&lt;&gt;"Target state",$C12&lt;&gt;"Exception",$D12="High",$E12="High"),$A12&amp;"  "&amp;$B12,"")</f>
        <v/>
      </c>
      <c r="R12">
        <f>IF(AND($B12&lt;&gt;"",$C12&lt;&gt;"Target state",$C12&lt;&gt;"Exception",$D12="Medium",$E12="Low"),$A12&amp;"  "&amp;$B12,"")</f>
        <v/>
      </c>
      <c r="S12">
        <f>IF(AND($B12&lt;&gt;"",$C12&lt;&gt;"Target state",$C12&lt;&gt;"Exception",$D12="Medium",$E12="Medium"),$A12&amp;"  "&amp;$B12,"")</f>
        <v/>
      </c>
      <c r="T12">
        <f>IF(AND($B12&lt;&gt;"",$C12&lt;&gt;"Target state",$C12&lt;&gt;"Exception",$D12="Medium",$E12="High"),$A12&amp;"  "&amp;$B12,"")</f>
        <v/>
      </c>
      <c r="U12">
        <f>IF(AND($B12&lt;&gt;"",$C12&lt;&gt;"Target state",$C12&lt;&gt;"Exception",$D12="Low",$E12="Low"),$A12&amp;"  "&amp;$B12,"")</f>
        <v/>
      </c>
      <c r="V12">
        <f>IF(AND($B12&lt;&gt;"",$C12&lt;&gt;"Target state",$C12&lt;&gt;"Exception",$D12="Low",$E12="Medium"),$A12&amp;"  "&amp;$B12,"")</f>
        <v/>
      </c>
      <c r="W12">
        <f>IF(AND($B12&lt;&gt;"",$C12&lt;&gt;"Target state",$C12&lt;&gt;"Exception",$D12="Low",$E12="High"),$A12&amp;"  "&amp;$B12,"")</f>
        <v/>
      </c>
    </row>
    <row r="13" ht="36" customHeight="1" s="52">
      <c r="A13" s="93" t="inlineStr">
        <is>
          <t>②</t>
        </is>
      </c>
      <c r="B13" s="94" t="inlineStr">
        <is>
          <t>Salesforce (Como)</t>
        </is>
      </c>
      <c r="C13" s="73" t="inlineStr">
        <is>
          <t>Non-target state</t>
        </is>
      </c>
      <c r="D13" s="73" t="n"/>
      <c r="E13" s="73" t="n"/>
      <c r="F13" s="72" t="inlineStr">
        <is>
          <t>Non-strategic instance providing lead management for Como clients with about 20 users; around $120K in yearly cost; repository flags Further Input — confirm with SPOC</t>
        </is>
      </c>
      <c r="G13" s="95">
        <f>IF(OR($B13="",$D13="",$E13=""),"",IF(OR($C13="Target state",$C13="Exception"),"Out of scope",IF($D13="Low","No tranche",IF($E13="Low","Tranche 1",IF($E13="Medium","Tranche 2",IF($D13="High","Tranche 3","No tranche"))))))</f>
        <v/>
      </c>
      <c r="K13" s="101" t="n"/>
      <c r="L13" s="101" t="n"/>
      <c r="M13" s="101" t="n"/>
      <c r="O13">
        <f>IF(AND($B13&lt;&gt;"",$C13&lt;&gt;"Target state",$C13&lt;&gt;"Exception",$D13="High",$E13="Low"),$A13&amp;"  "&amp;$B13,"")</f>
        <v/>
      </c>
      <c r="P13">
        <f>IF(AND($B13&lt;&gt;"",$C13&lt;&gt;"Target state",$C13&lt;&gt;"Exception",$D13="High",$E13="Medium"),$A13&amp;"  "&amp;$B13,"")</f>
        <v/>
      </c>
      <c r="Q13">
        <f>IF(AND($B13&lt;&gt;"",$C13&lt;&gt;"Target state",$C13&lt;&gt;"Exception",$D13="High",$E13="High"),$A13&amp;"  "&amp;$B13,"")</f>
        <v/>
      </c>
      <c r="R13">
        <f>IF(AND($B13&lt;&gt;"",$C13&lt;&gt;"Target state",$C13&lt;&gt;"Exception",$D13="Medium",$E13="Low"),$A13&amp;"  "&amp;$B13,"")</f>
        <v/>
      </c>
      <c r="S13">
        <f>IF(AND($B13&lt;&gt;"",$C13&lt;&gt;"Target state",$C13&lt;&gt;"Exception",$D13="Medium",$E13="Medium"),$A13&amp;"  "&amp;$B13,"")</f>
        <v/>
      </c>
      <c r="T13">
        <f>IF(AND($B13&lt;&gt;"",$C13&lt;&gt;"Target state",$C13&lt;&gt;"Exception",$D13="Medium",$E13="High"),$A13&amp;"  "&amp;$B13,"")</f>
        <v/>
      </c>
      <c r="U13">
        <f>IF(AND($B13&lt;&gt;"",$C13&lt;&gt;"Target state",$C13&lt;&gt;"Exception",$D13="Low",$E13="Low"),$A13&amp;"  "&amp;$B13,"")</f>
        <v/>
      </c>
      <c r="V13">
        <f>IF(AND($B13&lt;&gt;"",$C13&lt;&gt;"Target state",$C13&lt;&gt;"Exception",$D13="Low",$E13="Medium"),$A13&amp;"  "&amp;$B13,"")</f>
        <v/>
      </c>
      <c r="W13">
        <f>IF(AND($B13&lt;&gt;"",$C13&lt;&gt;"Target state",$C13&lt;&gt;"Exception",$D13="Low",$E13="High"),$A13&amp;"  "&amp;$B13,"")</f>
        <v/>
      </c>
    </row>
    <row r="14" ht="30" customHeight="1" s="52">
      <c r="A14" s="93" t="inlineStr">
        <is>
          <t>③</t>
        </is>
      </c>
      <c r="B14" s="94" t="inlineStr">
        <is>
          <t>Salesforce (IBC)</t>
        </is>
      </c>
      <c r="C14" s="73" t="inlineStr">
        <is>
          <t>Non-target state</t>
        </is>
      </c>
      <c r="D14" s="73" t="n"/>
      <c r="E14" s="73" t="n"/>
      <c r="F14" s="72" t="inlineStr">
        <is>
          <t>Non-strategic instance for International Banc Card partners with about 120 users; around $120K in yearly cost; migration path agreed</t>
        </is>
      </c>
      <c r="G14" s="95">
        <f>IF(OR($B14="",$D14="",$E14=""),"",IF(OR($C14="Target state",$C14="Exception"),"Out of scope",IF($D14="Low","No tranche",IF($E14="Low","Tranche 1",IF($E14="Medium","Tranche 2",IF($D14="High","Tranche 3","No tranche"))))))</f>
        <v/>
      </c>
      <c r="K14" s="101" t="n"/>
      <c r="L14" s="101" t="n"/>
      <c r="M14" s="101" t="n"/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30" customHeight="1" s="52">
      <c r="A15" s="93" t="inlineStr">
        <is>
          <t>④</t>
        </is>
      </c>
      <c r="B15" s="94" t="inlineStr">
        <is>
          <t>Salesforce (GetBeyond)</t>
        </is>
      </c>
      <c r="C15" s="73" t="inlineStr">
        <is>
          <t>Non-target state</t>
        </is>
      </c>
      <c r="D15" s="73" t="n"/>
      <c r="E15" s="73" t="n"/>
      <c r="F15" s="72" t="inlineStr">
        <is>
          <t>Non-strategic legacy GetBeyond instance with about 200 users; around $340K in yearly cost; migration path agreed</t>
        </is>
      </c>
      <c r="G15" s="95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101" t="n"/>
      <c r="L15" s="101" t="n"/>
      <c r="M15" s="101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30" customHeight="1" s="52">
      <c r="A16" s="93" t="inlineStr">
        <is>
          <t>⑤</t>
        </is>
      </c>
      <c r="B16" s="94" t="inlineStr">
        <is>
          <t>Salesforce (Integrated)</t>
        </is>
      </c>
      <c r="C16" s="73" t="inlineStr">
        <is>
          <t>Non-target state</t>
        </is>
      </c>
      <c r="D16" s="73" t="n"/>
      <c r="E16" s="73" t="n"/>
      <c r="F16" s="72" t="inlineStr">
        <is>
          <t>Non-strategic instance covering the Integrated partner portfolio with about 1,000 users; around $2.8M in yearly cost; migration path agreed</t>
        </is>
      </c>
      <c r="G16" s="95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101" t="n"/>
      <c r="L16" s="101" t="n"/>
      <c r="M16" s="101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36" customHeight="1" s="52">
      <c r="A17" s="93" t="inlineStr">
        <is>
          <t>⑥</t>
        </is>
      </c>
      <c r="B17" s="94" t="inlineStr">
        <is>
          <t>Salesforce (GetHired)</t>
        </is>
      </c>
      <c r="C17" s="73" t="inlineStr">
        <is>
          <t>Non-target state</t>
        </is>
      </c>
      <c r="D17" s="73" t="n"/>
      <c r="E17" s="73" t="n"/>
      <c r="F17" s="72" t="inlineStr">
        <is>
          <t>Non-strategic legacy training and servicing instance for the GetHired portfolio with about 15 users; around $90K in yearly cost; on the decommission path</t>
        </is>
      </c>
      <c r="G17" s="95">
        <f>IF(OR($B17="",$D17="",$E17=""),"",IF(OR($C17="Target state",$C17="Exception"),"Out of scope",IF($D17="Low","No tranche",IF($E17="Low","Tranche 1",IF($E17="Medium","Tranche 2",IF($D17="High","Tranche 3","No tranche"))))))</f>
        <v/>
      </c>
      <c r="K17" s="102" t="n"/>
      <c r="L17" s="102" t="n"/>
      <c r="M17" s="102" t="n"/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30" customHeight="1" s="52">
      <c r="A18" s="93" t="inlineStr">
        <is>
          <t>⑦</t>
        </is>
      </c>
      <c r="B18" s="94" t="inlineStr">
        <is>
          <t>Salesforce (Springboard)</t>
        </is>
      </c>
      <c r="C18" s="73" t="inlineStr">
        <is>
          <t>Non-target state</t>
        </is>
      </c>
      <c r="D18" s="73" t="n"/>
      <c r="E18" s="73" t="n"/>
      <c r="F18" s="72" t="inlineStr">
        <is>
          <t>Non-strategic legacy Heartland Retail POS instance with about 30 users; around $110K in yearly cost; migration path agreed</t>
        </is>
      </c>
      <c r="G18" s="95">
        <f>IF(OR($B18="",$D18="",$E18=""),"",IF(OR($C18="Target state",$C18="Exception"),"Out of scope",IF($D18="Low","No tranche",IF($E18="Low","Tranche 1",IF($E18="Medium","Tranche 2",IF($D18="High","Tranche 3","No tranche"))))))</f>
        <v/>
      </c>
      <c r="J18" s="97" t="inlineStr">
        <is>
          <t>Medium</t>
        </is>
      </c>
      <c r="K18" s="98">
        <f>"Tranche 1"&amp;CHAR(10)&amp;_xlfn.TEXTJOIN(CHAR(10),TRUE,R$12:R$27)</f>
        <v/>
      </c>
      <c r="L18" s="99">
        <f>"Tranche 2"&amp;CHAR(10)&amp;_xlfn.TEXTJOIN(CHAR(10),TRUE,S$12:S$27)</f>
        <v/>
      </c>
      <c r="M18" s="103">
        <f>_xlfn.TEXTJOIN(CHAR(10),TRUE,T$12:T$27)</f>
        <v/>
      </c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36" customHeight="1" s="52">
      <c r="A19" s="93" t="inlineStr">
        <is>
          <t>⑧</t>
        </is>
      </c>
      <c r="B19" s="94" t="inlineStr">
        <is>
          <t>Salesforce (HPOS)</t>
        </is>
      </c>
      <c r="C19" s="73" t="inlineStr">
        <is>
          <t>Non-target state</t>
        </is>
      </c>
      <c r="D19" s="73" t="n"/>
      <c r="E19" s="73" t="n"/>
      <c r="F19" s="72" t="inlineStr">
        <is>
          <t>Instance managing the Heartland POS portfolio and dealer verticals with about 480 users; around $2M in yearly cost; repository flags Keep &amp; Enhance with selective migration — confirm with SPOC</t>
        </is>
      </c>
      <c r="G19" s="95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101" t="n"/>
      <c r="L19" s="101" t="n"/>
      <c r="M19" s="101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36" customHeight="1" s="52">
      <c r="A20" s="93" t="inlineStr">
        <is>
          <t>⑨</t>
        </is>
      </c>
      <c r="B20" s="94" t="inlineStr">
        <is>
          <t>Salesforce (International)</t>
        </is>
      </c>
      <c r="C20" s="73" t="inlineStr">
        <is>
          <t>Non-target state</t>
        </is>
      </c>
      <c r="D20" s="73" t="n"/>
      <c r="E20" s="73" t="n"/>
      <c r="F20" s="72" t="inlineStr">
        <is>
          <t>Lead management for international merchants across Canada, UK and AP; around $3.7M in yearly cost; repository flags initial disposition Keep &amp; Enhance — confirm with SPOC</t>
        </is>
      </c>
      <c r="G20" s="95">
        <f>IF(OR($B20="",$D20="",$E20=""),"",IF(OR($C20="Target state",$C20="Exception"),"Out of scope",IF($D20="Low","No tranche",IF($E20="Low","Tranche 1",IF($E20="Medium","Tranche 2",IF($D20="High","Tranche 3","No tranche"))))))</f>
        <v/>
      </c>
      <c r="K20" s="101" t="n"/>
      <c r="L20" s="101" t="n"/>
      <c r="M20" s="101" t="n"/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30" customHeight="1" s="52">
      <c r="A21" s="93" t="inlineStr">
        <is>
          <t>⑩</t>
        </is>
      </c>
      <c r="B21" s="94" t="inlineStr">
        <is>
          <t>The Landing (Salesforce)</t>
        </is>
      </c>
      <c r="C21" s="73" t="inlineStr">
        <is>
          <t>Non-target state</t>
        </is>
      </c>
      <c r="D21" s="73" t="n"/>
      <c r="E21" s="73" t="n"/>
      <c r="F21" s="72" t="inlineStr">
        <is>
          <t>Non-strategic Get Beyond sales and service cloud with about 120 users; around $530K in yearly cost; on the decommission path</t>
        </is>
      </c>
      <c r="G21" s="95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101" t="n"/>
      <c r="L21" s="101" t="n"/>
      <c r="M21" s="101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30" customHeight="1" s="52">
      <c r="A22" s="93" t="inlineStr">
        <is>
          <t>⑪</t>
        </is>
      </c>
      <c r="B22" s="94" t="inlineStr">
        <is>
          <t>Sugar CRM</t>
        </is>
      </c>
      <c r="C22" s="73" t="inlineStr">
        <is>
          <t>Non-target state</t>
        </is>
      </c>
      <c r="D22" s="73" t="n"/>
      <c r="E22" s="73" t="n"/>
      <c r="F22" s="72" t="inlineStr">
        <is>
          <t>Non-strategic sales pipeline tool managed separately per European country with about 135 users; around $110K in yearly cost; migration path agreed</t>
        </is>
      </c>
      <c r="G22" s="95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102" t="n"/>
      <c r="L22" s="102" t="n"/>
      <c r="M22" s="102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30" customHeight="1" s="52">
      <c r="A23" s="93" t="inlineStr">
        <is>
          <t>⑫</t>
        </is>
      </c>
      <c r="B23" s="94" t="inlineStr">
        <is>
          <t>Korn Ferry Sell</t>
        </is>
      </c>
      <c r="C23" s="73" t="inlineStr">
        <is>
          <t>Non-target state</t>
        </is>
      </c>
      <c r="D23" s="73" t="n"/>
      <c r="E23" s="73" t="n"/>
      <c r="F23" s="72" t="inlineStr">
        <is>
          <t>Third-party account planning package inside Salesforce for large accounts with about 110 users; around $180K in yearly cost; on the decommission path</t>
        </is>
      </c>
      <c r="G23" s="95">
        <f>IF(OR($B23="",$D23="",$E23=""),"",IF(OR($C23="Target state",$C23="Exception"),"Out of scope",IF($D23="Low","No tranche",IF($E23="Low","Tranche 1",IF($E23="Medium","Tranche 2",IF($D23="High","Tranche 3","No tranche"))))))</f>
        <v/>
      </c>
      <c r="J23" s="97" t="inlineStr">
        <is>
          <t>Low</t>
        </is>
      </c>
      <c r="K23" s="103">
        <f>_xlfn.TEXTJOIN(CHAR(10),TRUE,U$12:U$27)</f>
        <v/>
      </c>
      <c r="L23" s="103">
        <f>_xlfn.TEXTJOIN(CHAR(10),TRUE,V$12:V$27)</f>
        <v/>
      </c>
      <c r="M23" s="103">
        <f>_xlfn.TEXTJOIN(CHAR(10),TRUE,W$12:W$27)</f>
        <v/>
      </c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4" ht="20" customHeight="1" s="52">
      <c r="A24" s="93" t="inlineStr">
        <is>
          <t>⑬</t>
        </is>
      </c>
      <c r="B24" s="94" t="n"/>
      <c r="C24" s="73" t="n"/>
      <c r="D24" s="73" t="n"/>
      <c r="E24" s="73" t="n"/>
      <c r="F24" s="72" t="n"/>
      <c r="G24" s="95">
        <f>IF(OR($B24="",$D24="",$E24=""),"",IF(OR($C24="Target state",$C24="Exception"),"Out of scope",IF($D24="Low","No tranche",IF($E24="Low","Tranche 1",IF($E24="Medium","Tranche 2",IF($D24="High","Tranche 3","No tranche"))))))</f>
        <v/>
      </c>
      <c r="K24" s="101" t="n"/>
      <c r="L24" s="101" t="n"/>
      <c r="M24" s="101" t="n"/>
      <c r="O24">
        <f>IF(AND($B24&lt;&gt;"",$C24&lt;&gt;"Target state",$C24&lt;&gt;"Exception",$D24="High",$E24="Low"),$A24&amp;"  "&amp;$B24,"")</f>
        <v/>
      </c>
      <c r="P24">
        <f>IF(AND($B24&lt;&gt;"",$C24&lt;&gt;"Target state",$C24&lt;&gt;"Exception",$D24="High",$E24="Medium"),$A24&amp;"  "&amp;$B24,"")</f>
        <v/>
      </c>
      <c r="Q24">
        <f>IF(AND($B24&lt;&gt;"",$C24&lt;&gt;"Target state",$C24&lt;&gt;"Exception",$D24="High",$E24="High"),$A24&amp;"  "&amp;$B24,"")</f>
        <v/>
      </c>
      <c r="R24">
        <f>IF(AND($B24&lt;&gt;"",$C24&lt;&gt;"Target state",$C24&lt;&gt;"Exception",$D24="Medium",$E24="Low"),$A24&amp;"  "&amp;$B24,"")</f>
        <v/>
      </c>
      <c r="S24">
        <f>IF(AND($B24&lt;&gt;"",$C24&lt;&gt;"Target state",$C24&lt;&gt;"Exception",$D24="Medium",$E24="Medium"),$A24&amp;"  "&amp;$B24,"")</f>
        <v/>
      </c>
      <c r="T24">
        <f>IF(AND($B24&lt;&gt;"",$C24&lt;&gt;"Target state",$C24&lt;&gt;"Exception",$D24="Medium",$E24="High"),$A24&amp;"  "&amp;$B24,"")</f>
        <v/>
      </c>
      <c r="U24">
        <f>IF(AND($B24&lt;&gt;"",$C24&lt;&gt;"Target state",$C24&lt;&gt;"Exception",$D24="Low",$E24="Low"),$A24&amp;"  "&amp;$B24,"")</f>
        <v/>
      </c>
      <c r="V24">
        <f>IF(AND($B24&lt;&gt;"",$C24&lt;&gt;"Target state",$C24&lt;&gt;"Exception",$D24="Low",$E24="Medium"),$A24&amp;"  "&amp;$B24,"")</f>
        <v/>
      </c>
      <c r="W24">
        <f>IF(AND($B24&lt;&gt;"",$C24&lt;&gt;"Target state",$C24&lt;&gt;"Exception",$D24="Low",$E24="High"),$A24&amp;"  "&amp;$B24,"")</f>
        <v/>
      </c>
    </row>
    <row r="25" ht="20" customHeight="1" s="52">
      <c r="A25" s="93" t="inlineStr">
        <is>
          <t>⑭</t>
        </is>
      </c>
      <c r="B25" s="94" t="n"/>
      <c r="C25" s="73" t="n"/>
      <c r="D25" s="73" t="n"/>
      <c r="E25" s="73" t="n"/>
      <c r="F25" s="72" t="n"/>
      <c r="G25" s="95">
        <f>IF(OR($B25="",$D25="",$E25=""),"",IF(OR($C25="Target state",$C25="Exception"),"Out of scope",IF($D25="Low","No tranche",IF($E25="Low","Tranche 1",IF($E25="Medium","Tranche 2",IF($D25="High","Tranche 3","No tranche"))))))</f>
        <v/>
      </c>
      <c r="K25" s="101" t="n"/>
      <c r="L25" s="101" t="n"/>
      <c r="M25" s="101" t="n"/>
      <c r="O25">
        <f>IF(AND($B25&lt;&gt;"",$C25&lt;&gt;"Target state",$C25&lt;&gt;"Exception",$D25="High",$E25="Low"),$A25&amp;"  "&amp;$B25,"")</f>
        <v/>
      </c>
      <c r="P25">
        <f>IF(AND($B25&lt;&gt;"",$C25&lt;&gt;"Target state",$C25&lt;&gt;"Exception",$D25="High",$E25="Medium"),$A25&amp;"  "&amp;$B25,"")</f>
        <v/>
      </c>
      <c r="Q25">
        <f>IF(AND($B25&lt;&gt;"",$C25&lt;&gt;"Target state",$C25&lt;&gt;"Exception",$D25="High",$E25="High"),$A25&amp;"  "&amp;$B25,"")</f>
        <v/>
      </c>
      <c r="R25">
        <f>IF(AND($B25&lt;&gt;"",$C25&lt;&gt;"Target state",$C25&lt;&gt;"Exception",$D25="Medium",$E25="Low"),$A25&amp;"  "&amp;$B25,"")</f>
        <v/>
      </c>
      <c r="S25">
        <f>IF(AND($B25&lt;&gt;"",$C25&lt;&gt;"Target state",$C25&lt;&gt;"Exception",$D25="Medium",$E25="Medium"),$A25&amp;"  "&amp;$B25,"")</f>
        <v/>
      </c>
      <c r="T25">
        <f>IF(AND($B25&lt;&gt;"",$C25&lt;&gt;"Target state",$C25&lt;&gt;"Exception",$D25="Medium",$E25="High"),$A25&amp;"  "&amp;$B25,"")</f>
        <v/>
      </c>
      <c r="U25">
        <f>IF(AND($B25&lt;&gt;"",$C25&lt;&gt;"Target state",$C25&lt;&gt;"Exception",$D25="Low",$E25="Low"),$A25&amp;"  "&amp;$B25,"")</f>
        <v/>
      </c>
      <c r="V25">
        <f>IF(AND($B25&lt;&gt;"",$C25&lt;&gt;"Target state",$C25&lt;&gt;"Exception",$D25="Low",$E25="Medium"),$A25&amp;"  "&amp;$B25,"")</f>
        <v/>
      </c>
      <c r="W25">
        <f>IF(AND($B25&lt;&gt;"",$C25&lt;&gt;"Target state",$C25&lt;&gt;"Exception",$D25="Low",$E25="High"),$A25&amp;"  "&amp;$B25,"")</f>
        <v/>
      </c>
    </row>
    <row r="26" ht="20" customHeight="1" s="52">
      <c r="A26" s="93" t="inlineStr">
        <is>
          <t>⑮</t>
        </is>
      </c>
      <c r="B26" s="94" t="n"/>
      <c r="C26" s="73" t="n"/>
      <c r="D26" s="73" t="n"/>
      <c r="E26" s="73" t="n"/>
      <c r="F26" s="72" t="n"/>
      <c r="G26" s="95">
        <f>IF(OR($B26="",$D26="",$E26=""),"",IF(OR($C26="Target state",$C26="Exception"),"Out of scope",IF($D26="Low","No tranche",IF($E26="Low","Tranche 1",IF($E26="Medium","Tranche 2",IF($D26="High","Tranche 3","No tranche"))))))</f>
        <v/>
      </c>
      <c r="K26" s="101" t="n"/>
      <c r="L26" s="101" t="n"/>
      <c r="M26" s="101" t="n"/>
      <c r="O26">
        <f>IF(AND($B26&lt;&gt;"",$C26&lt;&gt;"Target state",$C26&lt;&gt;"Exception",$D26="High",$E26="Low"),$A26&amp;"  "&amp;$B26,"")</f>
        <v/>
      </c>
      <c r="P26">
        <f>IF(AND($B26&lt;&gt;"",$C26&lt;&gt;"Target state",$C26&lt;&gt;"Exception",$D26="High",$E26="Medium"),$A26&amp;"  "&amp;$B26,"")</f>
        <v/>
      </c>
      <c r="Q26">
        <f>IF(AND($B26&lt;&gt;"",$C26&lt;&gt;"Target state",$C26&lt;&gt;"Exception",$D26="High",$E26="High"),$A26&amp;"  "&amp;$B26,"")</f>
        <v/>
      </c>
      <c r="R26">
        <f>IF(AND($B26&lt;&gt;"",$C26&lt;&gt;"Target state",$C26&lt;&gt;"Exception",$D26="Medium",$E26="Low"),$A26&amp;"  "&amp;$B26,"")</f>
        <v/>
      </c>
      <c r="S26">
        <f>IF(AND($B26&lt;&gt;"",$C26&lt;&gt;"Target state",$C26&lt;&gt;"Exception",$D26="Medium",$E26="Medium"),$A26&amp;"  "&amp;$B26,"")</f>
        <v/>
      </c>
      <c r="T26">
        <f>IF(AND($B26&lt;&gt;"",$C26&lt;&gt;"Target state",$C26&lt;&gt;"Exception",$D26="Medium",$E26="High"),$A26&amp;"  "&amp;$B26,"")</f>
        <v/>
      </c>
      <c r="U26">
        <f>IF(AND($B26&lt;&gt;"",$C26&lt;&gt;"Target state",$C26&lt;&gt;"Exception",$D26="Low",$E26="Low"),$A26&amp;"  "&amp;$B26,"")</f>
        <v/>
      </c>
      <c r="V26">
        <f>IF(AND($B26&lt;&gt;"",$C26&lt;&gt;"Target state",$C26&lt;&gt;"Exception",$D26="Low",$E26="Medium"),$A26&amp;"  "&amp;$B26,"")</f>
        <v/>
      </c>
      <c r="W26">
        <f>IF(AND($B26&lt;&gt;"",$C26&lt;&gt;"Target state",$C26&lt;&gt;"Exception",$D26="Low",$E26="High"),$A26&amp;"  "&amp;$B26,"")</f>
        <v/>
      </c>
    </row>
    <row r="27" ht="20" customHeight="1" s="52">
      <c r="A27" s="93" t="inlineStr">
        <is>
          <t>⑯</t>
        </is>
      </c>
      <c r="B27" s="94" t="n"/>
      <c r="C27" s="73" t="n"/>
      <c r="D27" s="73" t="n"/>
      <c r="E27" s="73" t="n"/>
      <c r="F27" s="72" t="n"/>
      <c r="G27" s="95">
        <f>IF(OR($B27="",$D27="",$E27=""),"",IF(OR($C27="Target state",$C27="Exception"),"Out of scope",IF($D27="Low","No tranche",IF($E27="Low","Tranche 1",IF($E27="Medium","Tranche 2",IF($D27="High","Tranche 3","No tranche"))))))</f>
        <v/>
      </c>
      <c r="K27" s="102" t="n"/>
      <c r="L27" s="102" t="n"/>
      <c r="M27" s="102" t="n"/>
      <c r="O27">
        <f>IF(AND($B27&lt;&gt;"",$C27&lt;&gt;"Target state",$C27&lt;&gt;"Exception",$D27="High",$E27="Low"),$A27&amp;"  "&amp;$B27,"")</f>
        <v/>
      </c>
      <c r="P27">
        <f>IF(AND($B27&lt;&gt;"",$C27&lt;&gt;"Target state",$C27&lt;&gt;"Exception",$D27="High",$E27="Medium"),$A27&amp;"  "&amp;$B27,"")</f>
        <v/>
      </c>
      <c r="Q27">
        <f>IF(AND($B27&lt;&gt;"",$C27&lt;&gt;"Target state",$C27&lt;&gt;"Exception",$D27="High",$E27="High"),$A27&amp;"  "&amp;$B27,"")</f>
        <v/>
      </c>
      <c r="R27">
        <f>IF(AND($B27&lt;&gt;"",$C27&lt;&gt;"Target state",$C27&lt;&gt;"Exception",$D27="Medium",$E27="Low"),$A27&amp;"  "&amp;$B27,"")</f>
        <v/>
      </c>
      <c r="S27">
        <f>IF(AND($B27&lt;&gt;"",$C27&lt;&gt;"Target state",$C27&lt;&gt;"Exception",$D27="Medium",$E27="Medium"),$A27&amp;"  "&amp;$B27,"")</f>
        <v/>
      </c>
      <c r="T27">
        <f>IF(AND($B27&lt;&gt;"",$C27&lt;&gt;"Target state",$C27&lt;&gt;"Exception",$D27="Medium",$E27="High"),$A27&amp;"  "&amp;$B27,"")</f>
        <v/>
      </c>
      <c r="U27">
        <f>IF(AND($B27&lt;&gt;"",$C27&lt;&gt;"Target state",$C27&lt;&gt;"Exception",$D27="Low",$E27="Low"),$A27&amp;"  "&amp;$B27,"")</f>
        <v/>
      </c>
      <c r="V27">
        <f>IF(AND($B27&lt;&gt;"",$C27&lt;&gt;"Target state",$C27&lt;&gt;"Exception",$D27="Low",$E27="Medium"),$A27&amp;"  "&amp;$B27,"")</f>
        <v/>
      </c>
      <c r="W27">
        <f>IF(AND($B27&lt;&gt;"",$C27&lt;&gt;"Target state",$C27&lt;&gt;"Exception",$D27="Low",$E27="High"),$A27&amp;"  "&amp;$B27,"")</f>
        <v/>
      </c>
    </row>
    <row r="28">
      <c r="K28" s="97" t="inlineStr">
        <is>
          <t>Complexity</t>
        </is>
      </c>
    </row>
    <row r="32" ht="22" customHeight="1" s="52">
      <c r="A32" s="88" t="inlineStr">
        <is>
          <t>Servicing Tools</t>
        </is>
      </c>
      <c r="G32" s="89">
        <f>HYPERLINK("#'Sales &amp; Servicing'!A4","▲ tracker")</f>
        <v/>
      </c>
      <c r="K32" s="90" t="inlineStr">
        <is>
          <t>Assessment Outcome</t>
        </is>
      </c>
    </row>
    <row r="33" ht="18" customHeight="1" s="52">
      <c r="A33" s="91" t="inlineStr">
        <is>
          <t>#</t>
        </is>
      </c>
      <c r="B33" s="91" t="inlineStr">
        <is>
          <t>Platform</t>
        </is>
      </c>
      <c r="C33" s="91" t="inlineStr">
        <is>
          <t>State</t>
        </is>
      </c>
      <c r="D33" s="91" t="inlineStr">
        <is>
          <t>Imperative to exit</t>
        </is>
      </c>
      <c r="E33" s="91" t="inlineStr">
        <is>
          <t>Exit complexity</t>
        </is>
      </c>
      <c r="F33" s="91" t="inlineStr">
        <is>
          <t>Supporting facts</t>
        </is>
      </c>
      <c r="G33" s="91" t="inlineStr">
        <is>
          <t>Tranche (auto)</t>
        </is>
      </c>
      <c r="K33" s="92" t="inlineStr">
        <is>
          <t>Low</t>
        </is>
      </c>
      <c r="L33" s="92" t="inlineStr">
        <is>
          <t>Medium</t>
        </is>
      </c>
      <c r="M33" s="92" t="inlineStr">
        <is>
          <t>High</t>
        </is>
      </c>
    </row>
    <row r="34" ht="48" customHeight="1" s="52">
      <c r="A34" s="93" t="inlineStr">
        <is>
          <t>①</t>
        </is>
      </c>
      <c r="B34" s="94" t="inlineStr">
        <is>
          <t>OnTrak</t>
        </is>
      </c>
      <c r="C34" s="73" t="inlineStr">
        <is>
          <t>Non-target state</t>
        </is>
      </c>
      <c r="D34" s="73" t="n"/>
      <c r="E34" s="73" t="n"/>
      <c r="F34" s="72" t="inlineStr">
        <is>
          <t>Non-strategic Broomfield partner and merchant servicing suite including month-end residual processing of about $340M in rev share; around $2.1M in yearly cost; replaced by Base CRM and IDGen; repository flags Keep &amp; Enhance with selective migration — confirm with SPOC</t>
        </is>
      </c>
      <c r="G34" s="95">
        <f>IF(OR($B34="",$D34="",$E34=""),"",IF(OR($C34="Target state",$C34="Exception"),"Out of scope",IF($D34="Low","No tranche",IF($E34="Low","Tranche 1",IF($E34="Medium","Tranche 2",IF($D34="High","Tranche 3","No tranche"))))))</f>
        <v/>
      </c>
      <c r="I34" s="96" t="inlineStr">
        <is>
          <t>Benefits</t>
        </is>
      </c>
      <c r="J34" s="97" t="inlineStr">
        <is>
          <t>High</t>
        </is>
      </c>
      <c r="K34" s="98">
        <f>"Tranche 1"&amp;CHAR(10)&amp;_xlfn.TEXTJOIN(CHAR(10),TRUE,O$34:O$49)</f>
        <v/>
      </c>
      <c r="L34" s="99">
        <f>"Tranche 2"&amp;CHAR(10)&amp;_xlfn.TEXTJOIN(CHAR(10),TRUE,P$34:P$49)</f>
        <v/>
      </c>
      <c r="M34" s="100">
        <f>"Tranche 3"&amp;CHAR(10)&amp;_xlfn.TEXTJOIN(CHAR(10),TRUE,Q$34:Q$49)</f>
        <v/>
      </c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30" customHeight="1" s="52">
      <c r="A35" s="93" t="inlineStr">
        <is>
          <t>②</t>
        </is>
      </c>
      <c r="B35" s="94" t="inlineStr">
        <is>
          <t>Heartland Servicing Site</t>
        </is>
      </c>
      <c r="C35" s="73" t="inlineStr">
        <is>
          <t>Non-target state</t>
        </is>
      </c>
      <c r="D35" s="73" t="n"/>
      <c r="E35" s="73" t="n"/>
      <c r="F35" s="72" t="inlineStr">
        <is>
          <t>Non-strategic central hub for Heartland merchant servicing with about 2.5K users; modest annual cost; migration path agreed</t>
        </is>
      </c>
      <c r="G35" s="95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101" t="n"/>
      <c r="L35" s="101" t="n"/>
      <c r="M35" s="101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30" customHeight="1" s="52">
      <c r="A36" s="93" t="inlineStr">
        <is>
          <t>③</t>
        </is>
      </c>
      <c r="B36" s="94" t="inlineStr">
        <is>
          <t>Document Management Service</t>
        </is>
      </c>
      <c r="C36" s="73" t="inlineStr">
        <is>
          <t>Non-target state</t>
        </is>
      </c>
      <c r="D36" s="73" t="n"/>
      <c r="E36" s="73" t="n"/>
      <c r="F36" s="72" t="inlineStr">
        <is>
          <t>Non-strategic document hub for Heartland merchant application uploads and downloads; modest annual cost; migration path agreed</t>
        </is>
      </c>
      <c r="G36" s="95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101" t="n"/>
      <c r="L36" s="101" t="n"/>
      <c r="M36" s="101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 ht="30" customHeight="1" s="52">
      <c r="A37" s="93" t="inlineStr">
        <is>
          <t>④</t>
        </is>
      </c>
      <c r="B37" s="94" t="inlineStr">
        <is>
          <t>Finance Portal</t>
        </is>
      </c>
      <c r="C37" s="73" t="inlineStr">
        <is>
          <t>Non-target state</t>
        </is>
      </c>
      <c r="D37" s="73" t="n"/>
      <c r="E37" s="73" t="n"/>
      <c r="F37" s="72" t="inlineStr">
        <is>
          <t>Non-strategic internal app for modifying merchant banking information with about 190 users; modest annual cost; migration path agreed</t>
        </is>
      </c>
      <c r="G37" s="95">
        <f>IF(OR($B37="",$D37="",$E37=""),"",IF(OR($C37="Target state",$C37="Exception"),"Out of scope",IF($D37="Low","No tranche",IF($E37="Low","Tranche 1",IF($E37="Medium","Tranche 2",IF($D37="High","Tranche 3","No tranche"))))))</f>
        <v/>
      </c>
      <c r="K37" s="101" t="n"/>
      <c r="L37" s="101" t="n"/>
      <c r="M37" s="101" t="n"/>
      <c r="O37">
        <f>IF(AND($B37&lt;&gt;"",$C37&lt;&gt;"Target state",$C37&lt;&gt;"Exception",$D37="High",$E37="Low"),$A37&amp;"  "&amp;$B37,"")</f>
        <v/>
      </c>
      <c r="P37">
        <f>IF(AND($B37&lt;&gt;"",$C37&lt;&gt;"Target state",$C37&lt;&gt;"Exception",$D37="High",$E37="Medium"),$A37&amp;"  "&amp;$B37,"")</f>
        <v/>
      </c>
      <c r="Q37">
        <f>IF(AND($B37&lt;&gt;"",$C37&lt;&gt;"Target state",$C37&lt;&gt;"Exception",$D37="High",$E37="High"),$A37&amp;"  "&amp;$B37,"")</f>
        <v/>
      </c>
      <c r="R37">
        <f>IF(AND($B37&lt;&gt;"",$C37&lt;&gt;"Target state",$C37&lt;&gt;"Exception",$D37="Medium",$E37="Low"),$A37&amp;"  "&amp;$B37,"")</f>
        <v/>
      </c>
      <c r="S37">
        <f>IF(AND($B37&lt;&gt;"",$C37&lt;&gt;"Target state",$C37&lt;&gt;"Exception",$D37="Medium",$E37="Medium"),$A37&amp;"  "&amp;$B37,"")</f>
        <v/>
      </c>
      <c r="T37">
        <f>IF(AND($B37&lt;&gt;"",$C37&lt;&gt;"Target state",$C37&lt;&gt;"Exception",$D37="Medium",$E37="High"),$A37&amp;"  "&amp;$B37,"")</f>
        <v/>
      </c>
      <c r="U37">
        <f>IF(AND($B37&lt;&gt;"",$C37&lt;&gt;"Target state",$C37&lt;&gt;"Exception",$D37="Low",$E37="Low"),$A37&amp;"  "&amp;$B37,"")</f>
        <v/>
      </c>
      <c r="V37">
        <f>IF(AND($B37&lt;&gt;"",$C37&lt;&gt;"Target state",$C37&lt;&gt;"Exception",$D37="Low",$E37="Medium"),$A37&amp;"  "&amp;$B37,"")</f>
        <v/>
      </c>
      <c r="W37">
        <f>IF(AND($B37&lt;&gt;"",$C37&lt;&gt;"Target state",$C37&lt;&gt;"Exception",$D37="Low",$E37="High"),$A37&amp;"  "&amp;$B37,"")</f>
        <v/>
      </c>
    </row>
    <row r="38" ht="30" customHeight="1" s="52">
      <c r="A38" s="93" t="inlineStr">
        <is>
          <t>⑤</t>
        </is>
      </c>
      <c r="B38" s="94" t="inlineStr">
        <is>
          <t>SGM</t>
        </is>
      </c>
      <c r="C38" s="73" t="inlineStr">
        <is>
          <t>Non-target state</t>
        </is>
      </c>
      <c r="D38" s="73" t="n"/>
      <c r="E38" s="73" t="n"/>
      <c r="F38" s="72" t="inlineStr">
        <is>
          <t>Non-strategic sales hierarchy tool assigning Heartland reps to sales areas with about 150 users; modest annual cost; migration path agreed</t>
        </is>
      </c>
      <c r="G38" s="95">
        <f>IF(OR($B38="",$D38="",$E38=""),"",IF(OR($C38="Target state",$C38="Exception"),"Out of scope",IF($D38="Low","No tranche",IF($E38="Low","Tranche 1",IF($E38="Medium","Tranche 2",IF($D38="High","Tranche 3","No tranche"))))))</f>
        <v/>
      </c>
      <c r="K38" s="101" t="n"/>
      <c r="L38" s="101" t="n"/>
      <c r="M38" s="101" t="n"/>
      <c r="O38">
        <f>IF(AND($B38&lt;&gt;"",$C38&lt;&gt;"Target state",$C38&lt;&gt;"Exception",$D38="High",$E38="Low"),$A38&amp;"  "&amp;$B38,"")</f>
        <v/>
      </c>
      <c r="P38">
        <f>IF(AND($B38&lt;&gt;"",$C38&lt;&gt;"Target state",$C38&lt;&gt;"Exception",$D38="High",$E38="Medium"),$A38&amp;"  "&amp;$B38,"")</f>
        <v/>
      </c>
      <c r="Q38">
        <f>IF(AND($B38&lt;&gt;"",$C38&lt;&gt;"Target state",$C38&lt;&gt;"Exception",$D38="High",$E38="High"),$A38&amp;"  "&amp;$B38,"")</f>
        <v/>
      </c>
      <c r="R38">
        <f>IF(AND($B38&lt;&gt;"",$C38&lt;&gt;"Target state",$C38&lt;&gt;"Exception",$D38="Medium",$E38="Low"),$A38&amp;"  "&amp;$B38,"")</f>
        <v/>
      </c>
      <c r="S38">
        <f>IF(AND($B38&lt;&gt;"",$C38&lt;&gt;"Target state",$C38&lt;&gt;"Exception",$D38="Medium",$E38="Medium"),$A38&amp;"  "&amp;$B38,"")</f>
        <v/>
      </c>
      <c r="T38">
        <f>IF(AND($B38&lt;&gt;"",$C38&lt;&gt;"Target state",$C38&lt;&gt;"Exception",$D38="Medium",$E38="High"),$A38&amp;"  "&amp;$B38,"")</f>
        <v/>
      </c>
      <c r="U38">
        <f>IF(AND($B38&lt;&gt;"",$C38&lt;&gt;"Target state",$C38&lt;&gt;"Exception",$D38="Low",$E38="Low"),$A38&amp;"  "&amp;$B38,"")</f>
        <v/>
      </c>
      <c r="V38">
        <f>IF(AND($B38&lt;&gt;"",$C38&lt;&gt;"Target state",$C38&lt;&gt;"Exception",$D38="Low",$E38="Medium"),$A38&amp;"  "&amp;$B38,"")</f>
        <v/>
      </c>
      <c r="W38">
        <f>IF(AND($B38&lt;&gt;"",$C38&lt;&gt;"Target state",$C38&lt;&gt;"Exception",$D38="Low",$E38="High"),$A38&amp;"  "&amp;$B38,"")</f>
        <v/>
      </c>
    </row>
    <row r="39" ht="30" customHeight="1" s="52">
      <c r="A39" s="93" t="inlineStr">
        <is>
          <t>⑥</t>
        </is>
      </c>
      <c r="B39" s="94" t="inlineStr">
        <is>
          <t>Affiliate Atlas</t>
        </is>
      </c>
      <c r="C39" s="73" t="inlineStr">
        <is>
          <t>Non-target state</t>
        </is>
      </c>
      <c r="D39" s="73" t="n"/>
      <c r="E39" s="73" t="n"/>
      <c r="F39" s="72" t="inlineStr">
        <is>
          <t>Non-strategic sales affiliate portal for pricing updates with about 60 users; modest annual cost; migration path agreed</t>
        </is>
      </c>
      <c r="G39" s="95">
        <f>IF(OR($B39="",$D39="",$E39=""),"",IF(OR($C39="Target state",$C39="Exception"),"Out of scope",IF($D39="Low","No tranche",IF($E39="Low","Tranche 1",IF($E39="Medium","Tranche 2",IF($D39="High","Tranche 3","No tranche"))))))</f>
        <v/>
      </c>
      <c r="K39" s="102" t="n"/>
      <c r="L39" s="102" t="n"/>
      <c r="M39" s="102" t="n"/>
      <c r="O39">
        <f>IF(AND($B39&lt;&gt;"",$C39&lt;&gt;"Target state",$C39&lt;&gt;"Exception",$D39="High",$E39="Low"),$A39&amp;"  "&amp;$B39,"")</f>
        <v/>
      </c>
      <c r="P39">
        <f>IF(AND($B39&lt;&gt;"",$C39&lt;&gt;"Target state",$C39&lt;&gt;"Exception",$D39="High",$E39="Medium"),$A39&amp;"  "&amp;$B39,"")</f>
        <v/>
      </c>
      <c r="Q39">
        <f>IF(AND($B39&lt;&gt;"",$C39&lt;&gt;"Target state",$C39&lt;&gt;"Exception",$D39="High",$E39="High"),$A39&amp;"  "&amp;$B39,"")</f>
        <v/>
      </c>
      <c r="R39">
        <f>IF(AND($B39&lt;&gt;"",$C39&lt;&gt;"Target state",$C39&lt;&gt;"Exception",$D39="Medium",$E39="Low"),$A39&amp;"  "&amp;$B39,"")</f>
        <v/>
      </c>
      <c r="S39">
        <f>IF(AND($B39&lt;&gt;"",$C39&lt;&gt;"Target state",$C39&lt;&gt;"Exception",$D39="Medium",$E39="Medium"),$A39&amp;"  "&amp;$B39,"")</f>
        <v/>
      </c>
      <c r="T39">
        <f>IF(AND($B39&lt;&gt;"",$C39&lt;&gt;"Target state",$C39&lt;&gt;"Exception",$D39="Medium",$E39="High"),$A39&amp;"  "&amp;$B39,"")</f>
        <v/>
      </c>
      <c r="U39">
        <f>IF(AND($B39&lt;&gt;"",$C39&lt;&gt;"Target state",$C39&lt;&gt;"Exception",$D39="Low",$E39="Low"),$A39&amp;"  "&amp;$B39,"")</f>
        <v/>
      </c>
      <c r="V39">
        <f>IF(AND($B39&lt;&gt;"",$C39&lt;&gt;"Target state",$C39&lt;&gt;"Exception",$D39="Low",$E39="Medium"),$A39&amp;"  "&amp;$B39,"")</f>
        <v/>
      </c>
      <c r="W39">
        <f>IF(AND($B39&lt;&gt;"",$C39&lt;&gt;"Target state",$C39&lt;&gt;"Exception",$D39="Low",$E39="High"),$A39&amp;"  "&amp;$B39,"")</f>
        <v/>
      </c>
    </row>
    <row r="40" ht="30" customHeight="1" s="52">
      <c r="A40" s="93" t="inlineStr">
        <is>
          <t>⑦</t>
        </is>
      </c>
      <c r="B40" s="94" t="inlineStr">
        <is>
          <t>Integrated Partner Service</t>
        </is>
      </c>
      <c r="C40" s="73" t="inlineStr">
        <is>
          <t>Non-target state</t>
        </is>
      </c>
      <c r="D40" s="73" t="n"/>
      <c r="E40" s="73" t="n"/>
      <c r="F40" s="72" t="inlineStr">
        <is>
          <t>Non-strategic external app identifying certified software solutions for processing; modest annual cost</t>
        </is>
      </c>
      <c r="G40" s="95">
        <f>IF(OR($B40="",$D40="",$E40=""),"",IF(OR($C40="Target state",$C40="Exception"),"Out of scope",IF($D40="Low","No tranche",IF($E40="Low","Tranche 1",IF($E40="Medium","Tranche 2",IF($D40="High","Tranche 3","No tranche"))))))</f>
        <v/>
      </c>
      <c r="J40" s="97" t="inlineStr">
        <is>
          <t>Medium</t>
        </is>
      </c>
      <c r="K40" s="98">
        <f>"Tranche 1"&amp;CHAR(10)&amp;_xlfn.TEXTJOIN(CHAR(10),TRUE,R$34:R$49)</f>
        <v/>
      </c>
      <c r="L40" s="99">
        <f>"Tranche 2"&amp;CHAR(10)&amp;_xlfn.TEXTJOIN(CHAR(10),TRUE,S$34:S$49)</f>
        <v/>
      </c>
      <c r="M40" s="103">
        <f>_xlfn.TEXTJOIN(CHAR(10),TRUE,T$34:T$49)</f>
        <v/>
      </c>
      <c r="O40">
        <f>IF(AND($B40&lt;&gt;"",$C40&lt;&gt;"Target state",$C40&lt;&gt;"Exception",$D40="High",$E40="Low"),$A40&amp;"  "&amp;$B40,"")</f>
        <v/>
      </c>
      <c r="P40">
        <f>IF(AND($B40&lt;&gt;"",$C40&lt;&gt;"Target state",$C40&lt;&gt;"Exception",$D40="High",$E40="Medium"),$A40&amp;"  "&amp;$B40,"")</f>
        <v/>
      </c>
      <c r="Q40">
        <f>IF(AND($B40&lt;&gt;"",$C40&lt;&gt;"Target state",$C40&lt;&gt;"Exception",$D40="High",$E40="High"),$A40&amp;"  "&amp;$B40,"")</f>
        <v/>
      </c>
      <c r="R40">
        <f>IF(AND($B40&lt;&gt;"",$C40&lt;&gt;"Target state",$C40&lt;&gt;"Exception",$D40="Medium",$E40="Low"),$A40&amp;"  "&amp;$B40,"")</f>
        <v/>
      </c>
      <c r="S40">
        <f>IF(AND($B40&lt;&gt;"",$C40&lt;&gt;"Target state",$C40&lt;&gt;"Exception",$D40="Medium",$E40="Medium"),$A40&amp;"  "&amp;$B40,"")</f>
        <v/>
      </c>
      <c r="T40">
        <f>IF(AND($B40&lt;&gt;"",$C40&lt;&gt;"Target state",$C40&lt;&gt;"Exception",$D40="Medium",$E40="High"),$A40&amp;"  "&amp;$B40,"")</f>
        <v/>
      </c>
      <c r="U40">
        <f>IF(AND($B40&lt;&gt;"",$C40&lt;&gt;"Target state",$C40&lt;&gt;"Exception",$D40="Low",$E40="Low"),$A40&amp;"  "&amp;$B40,"")</f>
        <v/>
      </c>
      <c r="V40">
        <f>IF(AND($B40&lt;&gt;"",$C40&lt;&gt;"Target state",$C40&lt;&gt;"Exception",$D40="Low",$E40="Medium"),$A40&amp;"  "&amp;$B40,"")</f>
        <v/>
      </c>
      <c r="W40">
        <f>IF(AND($B40&lt;&gt;"",$C40&lt;&gt;"Target state",$C40&lt;&gt;"Exception",$D40="Low",$E40="High"),$A40&amp;"  "&amp;$B40,"")</f>
        <v/>
      </c>
    </row>
    <row r="41" ht="30" customHeight="1" s="52">
      <c r="A41" s="93" t="inlineStr">
        <is>
          <t>⑧</t>
        </is>
      </c>
      <c r="B41" s="94" t="inlineStr">
        <is>
          <t>GPeCom GAdmin</t>
        </is>
      </c>
      <c r="C41" s="73" t="inlineStr">
        <is>
          <t>Non-target state</t>
        </is>
      </c>
      <c r="D41" s="73" t="n"/>
      <c r="E41" s="73" t="n"/>
      <c r="F41" s="72" t="inlineStr">
        <is>
          <t>Non-strategic UK servicing and administration tool for GP eCom; migration path agreed</t>
        </is>
      </c>
      <c r="G41" s="95">
        <f>IF(OR($B41="",$D41="",$E41=""),"",IF(OR($C41="Target state",$C41="Exception"),"Out of scope",IF($D41="Low","No tranche",IF($E41="Low","Tranche 1",IF($E41="Medium","Tranche 2",IF($D41="High","Tranche 3","No tranche"))))))</f>
        <v/>
      </c>
      <c r="K41" s="101" t="n"/>
      <c r="L41" s="101" t="n"/>
      <c r="M41" s="101" t="n"/>
      <c r="O41">
        <f>IF(AND($B41&lt;&gt;"",$C41&lt;&gt;"Target state",$C41&lt;&gt;"Exception",$D41="High",$E41="Low"),$A41&amp;"  "&amp;$B41,"")</f>
        <v/>
      </c>
      <c r="P41">
        <f>IF(AND($B41&lt;&gt;"",$C41&lt;&gt;"Target state",$C41&lt;&gt;"Exception",$D41="High",$E41="Medium"),$A41&amp;"  "&amp;$B41,"")</f>
        <v/>
      </c>
      <c r="Q41">
        <f>IF(AND($B41&lt;&gt;"",$C41&lt;&gt;"Target state",$C41&lt;&gt;"Exception",$D41="High",$E41="High"),$A41&amp;"  "&amp;$B41,"")</f>
        <v/>
      </c>
      <c r="R41">
        <f>IF(AND($B41&lt;&gt;"",$C41&lt;&gt;"Target state",$C41&lt;&gt;"Exception",$D41="Medium",$E41="Low"),$A41&amp;"  "&amp;$B41,"")</f>
        <v/>
      </c>
      <c r="S41">
        <f>IF(AND($B41&lt;&gt;"",$C41&lt;&gt;"Target state",$C41&lt;&gt;"Exception",$D41="Medium",$E41="Medium"),$A41&amp;"  "&amp;$B41,"")</f>
        <v/>
      </c>
      <c r="T41">
        <f>IF(AND($B41&lt;&gt;"",$C41&lt;&gt;"Target state",$C41&lt;&gt;"Exception",$D41="Medium",$E41="High"),$A41&amp;"  "&amp;$B41,"")</f>
        <v/>
      </c>
      <c r="U41">
        <f>IF(AND($B41&lt;&gt;"",$C41&lt;&gt;"Target state",$C41&lt;&gt;"Exception",$D41="Low",$E41="Low"),$A41&amp;"  "&amp;$B41,"")</f>
        <v/>
      </c>
      <c r="V41">
        <f>IF(AND($B41&lt;&gt;"",$C41&lt;&gt;"Target state",$C41&lt;&gt;"Exception",$D41="Low",$E41="Medium"),$A41&amp;"  "&amp;$B41,"")</f>
        <v/>
      </c>
      <c r="W41">
        <f>IF(AND($B41&lt;&gt;"",$C41&lt;&gt;"Target state",$C41&lt;&gt;"Exception",$D41="Low",$E41="High"),$A41&amp;"  "&amp;$B41,"")</f>
        <v/>
      </c>
    </row>
    <row r="42" ht="30" customHeight="1" s="52">
      <c r="A42" s="93" t="inlineStr">
        <is>
          <t>⑨</t>
        </is>
      </c>
      <c r="B42" s="94" t="inlineStr">
        <is>
          <t>Tramites</t>
        </is>
      </c>
      <c r="C42" s="73" t="inlineStr">
        <is>
          <t>Non-target state</t>
        </is>
      </c>
      <c r="D42" s="73" t="n"/>
      <c r="E42" s="73" t="n"/>
      <c r="F42" s="72" t="inlineStr">
        <is>
          <t>Non-strategic call-centre application handling merchant claims and calls in LATAM; on the decommission path</t>
        </is>
      </c>
      <c r="G42" s="95">
        <f>IF(OR($B42="",$D42="",$E42=""),"",IF(OR($C42="Target state",$C42="Exception"),"Out of scope",IF($D42="Low","No tranche",IF($E42="Low","Tranche 1",IF($E42="Medium","Tranche 2",IF($D42="High","Tranche 3","No tranche"))))))</f>
        <v/>
      </c>
      <c r="K42" s="101" t="n"/>
      <c r="L42" s="101" t="n"/>
      <c r="M42" s="101" t="n"/>
      <c r="O42">
        <f>IF(AND($B42&lt;&gt;"",$C42&lt;&gt;"Target state",$C42&lt;&gt;"Exception",$D42="High",$E42="Low"),$A42&amp;"  "&amp;$B42,"")</f>
        <v/>
      </c>
      <c r="P42">
        <f>IF(AND($B42&lt;&gt;"",$C42&lt;&gt;"Target state",$C42&lt;&gt;"Exception",$D42="High",$E42="Medium"),$A42&amp;"  "&amp;$B42,"")</f>
        <v/>
      </c>
      <c r="Q42">
        <f>IF(AND($B42&lt;&gt;"",$C42&lt;&gt;"Target state",$C42&lt;&gt;"Exception",$D42="High",$E42="High"),$A42&amp;"  "&amp;$B42,"")</f>
        <v/>
      </c>
      <c r="R42">
        <f>IF(AND($B42&lt;&gt;"",$C42&lt;&gt;"Target state",$C42&lt;&gt;"Exception",$D42="Medium",$E42="Low"),$A42&amp;"  "&amp;$B42,"")</f>
        <v/>
      </c>
      <c r="S42">
        <f>IF(AND($B42&lt;&gt;"",$C42&lt;&gt;"Target state",$C42&lt;&gt;"Exception",$D42="Medium",$E42="Medium"),$A42&amp;"  "&amp;$B42,"")</f>
        <v/>
      </c>
      <c r="T42">
        <f>IF(AND($B42&lt;&gt;"",$C42&lt;&gt;"Target state",$C42&lt;&gt;"Exception",$D42="Medium",$E42="High"),$A42&amp;"  "&amp;$B42,"")</f>
        <v/>
      </c>
      <c r="U42">
        <f>IF(AND($B42&lt;&gt;"",$C42&lt;&gt;"Target state",$C42&lt;&gt;"Exception",$D42="Low",$E42="Low"),$A42&amp;"  "&amp;$B42,"")</f>
        <v/>
      </c>
      <c r="V42">
        <f>IF(AND($B42&lt;&gt;"",$C42&lt;&gt;"Target state",$C42&lt;&gt;"Exception",$D42="Low",$E42="Medium"),$A42&amp;"  "&amp;$B42,"")</f>
        <v/>
      </c>
      <c r="W42">
        <f>IF(AND($B42&lt;&gt;"",$C42&lt;&gt;"Target state",$C42&lt;&gt;"Exception",$D42="Low",$E42="High"),$A42&amp;"  "&amp;$B42,"")</f>
        <v/>
      </c>
    </row>
    <row r="43" ht="30" customHeight="1" s="52">
      <c r="A43" s="93" t="inlineStr">
        <is>
          <t>⑩</t>
        </is>
      </c>
      <c r="B43" s="94" t="inlineStr">
        <is>
          <t>Debt$Net</t>
        </is>
      </c>
      <c r="C43" s="73" t="inlineStr">
        <is>
          <t>Non-target state</t>
        </is>
      </c>
      <c r="D43" s="73" t="n"/>
      <c r="E43" s="73" t="n"/>
      <c r="F43" s="72" t="inlineStr">
        <is>
          <t>Non-strategic collections software feeding FNBO and TSYS general ledgers; effectively no dedicated cost; migration path agreed</t>
        </is>
      </c>
      <c r="G43" s="95">
        <f>IF(OR($B43="",$D43="",$E43=""),"",IF(OR($C43="Target state",$C43="Exception"),"Out of scope",IF($D43="Low","No tranche",IF($E43="Low","Tranche 1",IF($E43="Medium","Tranche 2",IF($D43="High","Tranche 3","No tranche"))))))</f>
        <v/>
      </c>
      <c r="K43" s="101" t="n"/>
      <c r="L43" s="101" t="n"/>
      <c r="M43" s="101" t="n"/>
      <c r="O43">
        <f>IF(AND($B43&lt;&gt;"",$C43&lt;&gt;"Target state",$C43&lt;&gt;"Exception",$D43="High",$E43="Low"),$A43&amp;"  "&amp;$B43,"")</f>
        <v/>
      </c>
      <c r="P43">
        <f>IF(AND($B43&lt;&gt;"",$C43&lt;&gt;"Target state",$C43&lt;&gt;"Exception",$D43="High",$E43="Medium"),$A43&amp;"  "&amp;$B43,"")</f>
        <v/>
      </c>
      <c r="Q43">
        <f>IF(AND($B43&lt;&gt;"",$C43&lt;&gt;"Target state",$C43&lt;&gt;"Exception",$D43="High",$E43="High"),$A43&amp;"  "&amp;$B43,"")</f>
        <v/>
      </c>
      <c r="R43">
        <f>IF(AND($B43&lt;&gt;"",$C43&lt;&gt;"Target state",$C43&lt;&gt;"Exception",$D43="Medium",$E43="Low"),$A43&amp;"  "&amp;$B43,"")</f>
        <v/>
      </c>
      <c r="S43">
        <f>IF(AND($B43&lt;&gt;"",$C43&lt;&gt;"Target state",$C43&lt;&gt;"Exception",$D43="Medium",$E43="Medium"),$A43&amp;"  "&amp;$B43,"")</f>
        <v/>
      </c>
      <c r="T43">
        <f>IF(AND($B43&lt;&gt;"",$C43&lt;&gt;"Target state",$C43&lt;&gt;"Exception",$D43="Medium",$E43="High"),$A43&amp;"  "&amp;$B43,"")</f>
        <v/>
      </c>
      <c r="U43">
        <f>IF(AND($B43&lt;&gt;"",$C43&lt;&gt;"Target state",$C43&lt;&gt;"Exception",$D43="Low",$E43="Low"),$A43&amp;"  "&amp;$B43,"")</f>
        <v/>
      </c>
      <c r="V43">
        <f>IF(AND($B43&lt;&gt;"",$C43&lt;&gt;"Target state",$C43&lt;&gt;"Exception",$D43="Low",$E43="Medium"),$A43&amp;"  "&amp;$B43,"")</f>
        <v/>
      </c>
      <c r="W43">
        <f>IF(AND($B43&lt;&gt;"",$C43&lt;&gt;"Target state",$C43&lt;&gt;"Exception",$D43="Low",$E43="High"),$A43&amp;"  "&amp;$B43,"")</f>
        <v/>
      </c>
    </row>
    <row r="44" ht="30" customHeight="1" s="52">
      <c r="A44" s="93" t="inlineStr">
        <is>
          <t>⑪</t>
        </is>
      </c>
      <c r="B44" s="94" t="inlineStr">
        <is>
          <t>eCommission</t>
        </is>
      </c>
      <c r="C44" s="73" t="inlineStr">
        <is>
          <t>Non-target state</t>
        </is>
      </c>
      <c r="D44" s="73" t="n"/>
      <c r="E44" s="73" t="n"/>
      <c r="F44" s="72" t="inlineStr">
        <is>
          <t>Non-strategic EVO US residual system across about 480K accounts; around $100K in yearly cost; on the decommission path</t>
        </is>
      </c>
      <c r="G44" s="95">
        <f>IF(OR($B44="",$D44="",$E44=""),"",IF(OR($C44="Target state",$C44="Exception"),"Out of scope",IF($D44="Low","No tranche",IF($E44="Low","Tranche 1",IF($E44="Medium","Tranche 2",IF($D44="High","Tranche 3","No tranche"))))))</f>
        <v/>
      </c>
      <c r="K44" s="102" t="n"/>
      <c r="L44" s="102" t="n"/>
      <c r="M44" s="102" t="n"/>
      <c r="O44">
        <f>IF(AND($B44&lt;&gt;"",$C44&lt;&gt;"Target state",$C44&lt;&gt;"Exception",$D44="High",$E44="Low"),$A44&amp;"  "&amp;$B44,"")</f>
        <v/>
      </c>
      <c r="P44">
        <f>IF(AND($B44&lt;&gt;"",$C44&lt;&gt;"Target state",$C44&lt;&gt;"Exception",$D44="High",$E44="Medium"),$A44&amp;"  "&amp;$B44,"")</f>
        <v/>
      </c>
      <c r="Q44">
        <f>IF(AND($B44&lt;&gt;"",$C44&lt;&gt;"Target state",$C44&lt;&gt;"Exception",$D44="High",$E44="High"),$A44&amp;"  "&amp;$B44,"")</f>
        <v/>
      </c>
      <c r="R44">
        <f>IF(AND($B44&lt;&gt;"",$C44&lt;&gt;"Target state",$C44&lt;&gt;"Exception",$D44="Medium",$E44="Low"),$A44&amp;"  "&amp;$B44,"")</f>
        <v/>
      </c>
      <c r="S44">
        <f>IF(AND($B44&lt;&gt;"",$C44&lt;&gt;"Target state",$C44&lt;&gt;"Exception",$D44="Medium",$E44="Medium"),$A44&amp;"  "&amp;$B44,"")</f>
        <v/>
      </c>
      <c r="T44">
        <f>IF(AND($B44&lt;&gt;"",$C44&lt;&gt;"Target state",$C44&lt;&gt;"Exception",$D44="Medium",$E44="High"),$A44&amp;"  "&amp;$B44,"")</f>
        <v/>
      </c>
      <c r="U44">
        <f>IF(AND($B44&lt;&gt;"",$C44&lt;&gt;"Target state",$C44&lt;&gt;"Exception",$D44="Low",$E44="Low"),$A44&amp;"  "&amp;$B44,"")</f>
        <v/>
      </c>
      <c r="V44">
        <f>IF(AND($B44&lt;&gt;"",$C44&lt;&gt;"Target state",$C44&lt;&gt;"Exception",$D44="Low",$E44="Medium"),$A44&amp;"  "&amp;$B44,"")</f>
        <v/>
      </c>
      <c r="W44">
        <f>IF(AND($B44&lt;&gt;"",$C44&lt;&gt;"Target state",$C44&lt;&gt;"Exception",$D44="Low",$E44="High"),$A44&amp;"  "&amp;$B44,"")</f>
        <v/>
      </c>
    </row>
    <row r="45" ht="30" customHeight="1" s="52">
      <c r="A45" s="93" t="inlineStr">
        <is>
          <t>⑫</t>
        </is>
      </c>
      <c r="B45" s="94" t="inlineStr">
        <is>
          <t>Sales Compensation</t>
        </is>
      </c>
      <c r="C45" s="73" t="inlineStr">
        <is>
          <t>Non-target state</t>
        </is>
      </c>
      <c r="D45" s="73" t="n"/>
      <c r="E45" s="73" t="n"/>
      <c r="F45" s="72" t="inlineStr">
        <is>
          <t>Non-strategic Get Beyond seller compensation and portfolio health tool with about 50 users; around $120K in yearly cost; migration path agreed</t>
        </is>
      </c>
      <c r="G45" s="95">
        <f>IF(OR($B45="",$D45="",$E45=""),"",IF(OR($C45="Target state",$C45="Exception"),"Out of scope",IF($D45="Low","No tranche",IF($E45="Low","Tranche 1",IF($E45="Medium","Tranche 2",IF($D45="High","Tranche 3","No tranche"))))))</f>
        <v/>
      </c>
      <c r="J45" s="97" t="inlineStr">
        <is>
          <t>Low</t>
        </is>
      </c>
      <c r="K45" s="103">
        <f>_xlfn.TEXTJOIN(CHAR(10),TRUE,U$34:U$49)</f>
        <v/>
      </c>
      <c r="L45" s="103">
        <f>_xlfn.TEXTJOIN(CHAR(10),TRUE,V$34:V$49)</f>
        <v/>
      </c>
      <c r="M45" s="103">
        <f>_xlfn.TEXTJOIN(CHAR(10),TRUE,W$34:W$49)</f>
        <v/>
      </c>
      <c r="O45">
        <f>IF(AND($B45&lt;&gt;"",$C45&lt;&gt;"Target state",$C45&lt;&gt;"Exception",$D45="High",$E45="Low"),$A45&amp;"  "&amp;$B45,"")</f>
        <v/>
      </c>
      <c r="P45">
        <f>IF(AND($B45&lt;&gt;"",$C45&lt;&gt;"Target state",$C45&lt;&gt;"Exception",$D45="High",$E45="Medium"),$A45&amp;"  "&amp;$B45,"")</f>
        <v/>
      </c>
      <c r="Q45">
        <f>IF(AND($B45&lt;&gt;"",$C45&lt;&gt;"Target state",$C45&lt;&gt;"Exception",$D45="High",$E45="High"),$A45&amp;"  "&amp;$B45,"")</f>
        <v/>
      </c>
      <c r="R45">
        <f>IF(AND($B45&lt;&gt;"",$C45&lt;&gt;"Target state",$C45&lt;&gt;"Exception",$D45="Medium",$E45="Low"),$A45&amp;"  "&amp;$B45,"")</f>
        <v/>
      </c>
      <c r="S45">
        <f>IF(AND($B45&lt;&gt;"",$C45&lt;&gt;"Target state",$C45&lt;&gt;"Exception",$D45="Medium",$E45="Medium"),$A45&amp;"  "&amp;$B45,"")</f>
        <v/>
      </c>
      <c r="T45">
        <f>IF(AND($B45&lt;&gt;"",$C45&lt;&gt;"Target state",$C45&lt;&gt;"Exception",$D45="Medium",$E45="High"),$A45&amp;"  "&amp;$B45,"")</f>
        <v/>
      </c>
      <c r="U45">
        <f>IF(AND($B45&lt;&gt;"",$C45&lt;&gt;"Target state",$C45&lt;&gt;"Exception",$D45="Low",$E45="Low"),$A45&amp;"  "&amp;$B45,"")</f>
        <v/>
      </c>
      <c r="V45">
        <f>IF(AND($B45&lt;&gt;"",$C45&lt;&gt;"Target state",$C45&lt;&gt;"Exception",$D45="Low",$E45="Medium"),$A45&amp;"  "&amp;$B45,"")</f>
        <v/>
      </c>
      <c r="W45">
        <f>IF(AND($B45&lt;&gt;"",$C45&lt;&gt;"Target state",$C45&lt;&gt;"Exception",$D45="Low",$E45="High"),$A45&amp;"  "&amp;$B45,"")</f>
        <v/>
      </c>
    </row>
    <row r="46" ht="20" customHeight="1" s="52">
      <c r="A46" s="93" t="inlineStr">
        <is>
          <t>⑬</t>
        </is>
      </c>
      <c r="B46" s="94" t="n"/>
      <c r="C46" s="73" t="n"/>
      <c r="D46" s="73" t="n"/>
      <c r="E46" s="73" t="n"/>
      <c r="F46" s="72" t="n"/>
      <c r="G46" s="95">
        <f>IF(OR($B46="",$D46="",$E46=""),"",IF(OR($C46="Target state",$C46="Exception"),"Out of scope",IF($D46="Low","No tranche",IF($E46="Low","Tranche 1",IF($E46="Medium","Tranche 2",IF($D46="High","Tranche 3","No tranche"))))))</f>
        <v/>
      </c>
      <c r="K46" s="101" t="n"/>
      <c r="L46" s="101" t="n"/>
      <c r="M46" s="101" t="n"/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20" customHeight="1" s="52">
      <c r="A47" s="93" t="inlineStr">
        <is>
          <t>⑭</t>
        </is>
      </c>
      <c r="B47" s="94" t="n"/>
      <c r="C47" s="73" t="n"/>
      <c r="D47" s="73" t="n"/>
      <c r="E47" s="73" t="n"/>
      <c r="F47" s="72" t="n"/>
      <c r="G47" s="95">
        <f>IF(OR($B47="",$D47="",$E47=""),"",IF(OR($C47="Target state",$C47="Exception"),"Out of scope",IF($D47="Low","No tranche",IF($E47="Low","Tranche 1",IF($E47="Medium","Tranche 2",IF($D47="High","Tranche 3","No tranche"))))))</f>
        <v/>
      </c>
      <c r="K47" s="101" t="n"/>
      <c r="L47" s="101" t="n"/>
      <c r="M47" s="101" t="n"/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20" customHeight="1" s="52">
      <c r="A48" s="93" t="inlineStr">
        <is>
          <t>⑮</t>
        </is>
      </c>
      <c r="B48" s="94" t="n"/>
      <c r="C48" s="73" t="n"/>
      <c r="D48" s="73" t="n"/>
      <c r="E48" s="73" t="n"/>
      <c r="F48" s="72" t="n"/>
      <c r="G48" s="95">
        <f>IF(OR($B48="",$D48="",$E48=""),"",IF(OR($C48="Target state",$C48="Exception"),"Out of scope",IF($D48="Low","No tranche",IF($E48="Low","Tranche 1",IF($E48="Medium","Tranche 2",IF($D48="High","Tranche 3","No tranche"))))))</f>
        <v/>
      </c>
      <c r="K48" s="101" t="n"/>
      <c r="L48" s="101" t="n"/>
      <c r="M48" s="101" t="n"/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20" customHeight="1" s="52">
      <c r="A49" s="93" t="inlineStr">
        <is>
          <t>⑯</t>
        </is>
      </c>
      <c r="B49" s="94" t="n"/>
      <c r="C49" s="73" t="n"/>
      <c r="D49" s="73" t="n"/>
      <c r="E49" s="73" t="n"/>
      <c r="F49" s="72" t="n"/>
      <c r="G49" s="95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102" t="n"/>
      <c r="L49" s="102" t="n"/>
      <c r="M49" s="102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>
      <c r="K50" s="97" t="inlineStr">
        <is>
          <t>Complexity</t>
        </is>
      </c>
    </row>
    <row r="54" ht="22" customHeight="1" s="52">
      <c r="A54" s="88" t="inlineStr">
        <is>
          <t>Sales Automation</t>
        </is>
      </c>
      <c r="G54" s="89">
        <f>HYPERLINK("#'Sales &amp; Servicing'!A4","▲ tracker")</f>
        <v/>
      </c>
      <c r="K54" s="90" t="inlineStr">
        <is>
          <t>Assessment Outcome</t>
        </is>
      </c>
    </row>
    <row r="55" ht="18" customHeight="1" s="52">
      <c r="A55" s="91" t="inlineStr">
        <is>
          <t>#</t>
        </is>
      </c>
      <c r="B55" s="91" t="inlineStr">
        <is>
          <t>Platform</t>
        </is>
      </c>
      <c r="C55" s="91" t="inlineStr">
        <is>
          <t>State</t>
        </is>
      </c>
      <c r="D55" s="91" t="inlineStr">
        <is>
          <t>Imperative to exit</t>
        </is>
      </c>
      <c r="E55" s="91" t="inlineStr">
        <is>
          <t>Exit complexity</t>
        </is>
      </c>
      <c r="F55" s="91" t="inlineStr">
        <is>
          <t>Supporting facts</t>
        </is>
      </c>
      <c r="G55" s="91" t="inlineStr">
        <is>
          <t>Tranche (auto)</t>
        </is>
      </c>
      <c r="K55" s="92" t="inlineStr">
        <is>
          <t>Low</t>
        </is>
      </c>
      <c r="L55" s="92" t="inlineStr">
        <is>
          <t>Medium</t>
        </is>
      </c>
      <c r="M55" s="92" t="inlineStr">
        <is>
          <t>High</t>
        </is>
      </c>
    </row>
    <row r="56" ht="30" customHeight="1" s="52">
      <c r="A56" s="93" t="inlineStr">
        <is>
          <t>①</t>
        </is>
      </c>
      <c r="B56" s="94" t="inlineStr">
        <is>
          <t>Aim</t>
        </is>
      </c>
      <c r="C56" s="73" t="inlineStr">
        <is>
          <t>Non-target state</t>
        </is>
      </c>
      <c r="D56" s="73" t="n"/>
      <c r="E56" s="73" t="n"/>
      <c r="F56" s="72" t="inlineStr">
        <is>
          <t>Non-strategic sales scheduling and dialer tool serving the EVO direct team only; about $150K in yearly cost; confirmed for sunset</t>
        </is>
      </c>
      <c r="G56" s="95">
        <f>IF(OR($B56="",$D56="",$E56=""),"",IF(OR($C56="Target state",$C56="Exception"),"Out of scope",IF($D56="Low","No tranche",IF($E56="Low","Tranche 1",IF($E56="Medium","Tranche 2",IF($D56="High","Tranche 3","No tranche"))))))</f>
        <v/>
      </c>
      <c r="I56" s="96" t="inlineStr">
        <is>
          <t>Benefits</t>
        </is>
      </c>
      <c r="J56" s="97" t="inlineStr">
        <is>
          <t>High</t>
        </is>
      </c>
      <c r="K56" s="98">
        <f>"Tranche 1"&amp;CHAR(10)&amp;_xlfn.TEXTJOIN(CHAR(10),TRUE,O$56:O$65)</f>
        <v/>
      </c>
      <c r="L56" s="99">
        <f>"Tranche 2"&amp;CHAR(10)&amp;_xlfn.TEXTJOIN(CHAR(10),TRUE,P$56:P$65)</f>
        <v/>
      </c>
      <c r="M56" s="100">
        <f>"Tranche 3"&amp;CHAR(10)&amp;_xlfn.TEXTJOIN(CHAR(10),TRUE,Q$56:Q$65)</f>
        <v/>
      </c>
      <c r="O56">
        <f>IF(AND($B56&lt;&gt;"",$C56&lt;&gt;"Target state",$C56&lt;&gt;"Exception",$D56="High",$E56="Low"),$A56&amp;"  "&amp;$B56,"")</f>
        <v/>
      </c>
      <c r="P56">
        <f>IF(AND($B56&lt;&gt;"",$C56&lt;&gt;"Target state",$C56&lt;&gt;"Exception",$D56="High",$E56="Medium"),$A56&amp;"  "&amp;$B56,"")</f>
        <v/>
      </c>
      <c r="Q56">
        <f>IF(AND($B56&lt;&gt;"",$C56&lt;&gt;"Target state",$C56&lt;&gt;"Exception",$D56="High",$E56="High"),$A56&amp;"  "&amp;$B56,"")</f>
        <v/>
      </c>
      <c r="R56">
        <f>IF(AND($B56&lt;&gt;"",$C56&lt;&gt;"Target state",$C56&lt;&gt;"Exception",$D56="Medium",$E56="Low"),$A56&amp;"  "&amp;$B56,"")</f>
        <v/>
      </c>
      <c r="S56">
        <f>IF(AND($B56&lt;&gt;"",$C56&lt;&gt;"Target state",$C56&lt;&gt;"Exception",$D56="Medium",$E56="Medium"),$A56&amp;"  "&amp;$B56,"")</f>
        <v/>
      </c>
      <c r="T56">
        <f>IF(AND($B56&lt;&gt;"",$C56&lt;&gt;"Target state",$C56&lt;&gt;"Exception",$D56="Medium",$E56="High"),$A56&amp;"  "&amp;$B56,"")</f>
        <v/>
      </c>
      <c r="U56">
        <f>IF(AND($B56&lt;&gt;"",$C56&lt;&gt;"Target state",$C56&lt;&gt;"Exception",$D56="Low",$E56="Low"),$A56&amp;"  "&amp;$B56,"")</f>
        <v/>
      </c>
      <c r="V56">
        <f>IF(AND($B56&lt;&gt;"",$C56&lt;&gt;"Target state",$C56&lt;&gt;"Exception",$D56="Low",$E56="Medium"),$A56&amp;"  "&amp;$B56,"")</f>
        <v/>
      </c>
      <c r="W56">
        <f>IF(AND($B56&lt;&gt;"",$C56&lt;&gt;"Target state",$C56&lt;&gt;"Exception",$D56="Low",$E56="High"),$A56&amp;"  "&amp;$B56,"")</f>
        <v/>
      </c>
    </row>
    <row r="57" ht="20" customHeight="1" s="52">
      <c r="A57" s="93" t="inlineStr">
        <is>
          <t>②</t>
        </is>
      </c>
      <c r="B57" s="94" t="n"/>
      <c r="C57" s="73" t="n"/>
      <c r="D57" s="73" t="n"/>
      <c r="E57" s="73" t="n"/>
      <c r="F57" s="72" t="n"/>
      <c r="G57" s="95">
        <f>IF(OR($B57="",$D57="",$E57=""),"",IF(OR($C57="Target state",$C57="Exception"),"Out of scope",IF($D57="Low","No tranche",IF($E57="Low","Tranche 1",IF($E57="Medium","Tranche 2",IF($D57="High","Tranche 3","No tranche"))))))</f>
        <v/>
      </c>
      <c r="K57" s="101" t="n"/>
      <c r="L57" s="101" t="n"/>
      <c r="M57" s="101" t="n"/>
      <c r="O57">
        <f>IF(AND($B57&lt;&gt;"",$C57&lt;&gt;"Target state",$C57&lt;&gt;"Exception",$D57="High",$E57="Low"),$A57&amp;"  "&amp;$B57,"")</f>
        <v/>
      </c>
      <c r="P57">
        <f>IF(AND($B57&lt;&gt;"",$C57&lt;&gt;"Target state",$C57&lt;&gt;"Exception",$D57="High",$E57="Medium"),$A57&amp;"  "&amp;$B57,"")</f>
        <v/>
      </c>
      <c r="Q57">
        <f>IF(AND($B57&lt;&gt;"",$C57&lt;&gt;"Target state",$C57&lt;&gt;"Exception",$D57="High",$E57="High"),$A57&amp;"  "&amp;$B57,"")</f>
        <v/>
      </c>
      <c r="R57">
        <f>IF(AND($B57&lt;&gt;"",$C57&lt;&gt;"Target state",$C57&lt;&gt;"Exception",$D57="Medium",$E57="Low"),$A57&amp;"  "&amp;$B57,"")</f>
        <v/>
      </c>
      <c r="S57">
        <f>IF(AND($B57&lt;&gt;"",$C57&lt;&gt;"Target state",$C57&lt;&gt;"Exception",$D57="Medium",$E57="Medium"),$A57&amp;"  "&amp;$B57,"")</f>
        <v/>
      </c>
      <c r="T57">
        <f>IF(AND($B57&lt;&gt;"",$C57&lt;&gt;"Target state",$C57&lt;&gt;"Exception",$D57="Medium",$E57="High"),$A57&amp;"  "&amp;$B57,"")</f>
        <v/>
      </c>
      <c r="U57">
        <f>IF(AND($B57&lt;&gt;"",$C57&lt;&gt;"Target state",$C57&lt;&gt;"Exception",$D57="Low",$E57="Low"),$A57&amp;"  "&amp;$B57,"")</f>
        <v/>
      </c>
      <c r="V57">
        <f>IF(AND($B57&lt;&gt;"",$C57&lt;&gt;"Target state",$C57&lt;&gt;"Exception",$D57="Low",$E57="Medium"),$A57&amp;"  "&amp;$B57,"")</f>
        <v/>
      </c>
      <c r="W57">
        <f>IF(AND($B57&lt;&gt;"",$C57&lt;&gt;"Target state",$C57&lt;&gt;"Exception",$D57="Low",$E57="High"),$A57&amp;"  "&amp;$B57,"")</f>
        <v/>
      </c>
    </row>
    <row r="58" ht="20" customHeight="1" s="52">
      <c r="A58" s="93" t="inlineStr">
        <is>
          <t>③</t>
        </is>
      </c>
      <c r="B58" s="94" t="n"/>
      <c r="C58" s="73" t="n"/>
      <c r="D58" s="73" t="n"/>
      <c r="E58" s="73" t="n"/>
      <c r="F58" s="72" t="n"/>
      <c r="G58" s="95">
        <f>IF(OR($B58="",$D58="",$E58=""),"",IF(OR($C58="Target state",$C58="Exception"),"Out of scope",IF($D58="Low","No tranche",IF($E58="Low","Tranche 1",IF($E58="Medium","Tranche 2",IF($D58="High","Tranche 3","No tranche"))))))</f>
        <v/>
      </c>
      <c r="K58" s="101" t="n"/>
      <c r="L58" s="101" t="n"/>
      <c r="M58" s="101" t="n"/>
      <c r="O58">
        <f>IF(AND($B58&lt;&gt;"",$C58&lt;&gt;"Target state",$C58&lt;&gt;"Exception",$D58="High",$E58="Low"),$A58&amp;"  "&amp;$B58,"")</f>
        <v/>
      </c>
      <c r="P58">
        <f>IF(AND($B58&lt;&gt;"",$C58&lt;&gt;"Target state",$C58&lt;&gt;"Exception",$D58="High",$E58="Medium"),$A58&amp;"  "&amp;$B58,"")</f>
        <v/>
      </c>
      <c r="Q58">
        <f>IF(AND($B58&lt;&gt;"",$C58&lt;&gt;"Target state",$C58&lt;&gt;"Exception",$D58="High",$E58="High"),$A58&amp;"  "&amp;$B58,"")</f>
        <v/>
      </c>
      <c r="R58">
        <f>IF(AND($B58&lt;&gt;"",$C58&lt;&gt;"Target state",$C58&lt;&gt;"Exception",$D58="Medium",$E58="Low"),$A58&amp;"  "&amp;$B58,"")</f>
        <v/>
      </c>
      <c r="S58">
        <f>IF(AND($B58&lt;&gt;"",$C58&lt;&gt;"Target state",$C58&lt;&gt;"Exception",$D58="Medium",$E58="Medium"),$A58&amp;"  "&amp;$B58,"")</f>
        <v/>
      </c>
      <c r="T58">
        <f>IF(AND($B58&lt;&gt;"",$C58&lt;&gt;"Target state",$C58&lt;&gt;"Exception",$D58="Medium",$E58="High"),$A58&amp;"  "&amp;$B58,"")</f>
        <v/>
      </c>
      <c r="U58">
        <f>IF(AND($B58&lt;&gt;"",$C58&lt;&gt;"Target state",$C58&lt;&gt;"Exception",$D58="Low",$E58="Low"),$A58&amp;"  "&amp;$B58,"")</f>
        <v/>
      </c>
      <c r="V58">
        <f>IF(AND($B58&lt;&gt;"",$C58&lt;&gt;"Target state",$C58&lt;&gt;"Exception",$D58="Low",$E58="Medium"),$A58&amp;"  "&amp;$B58,"")</f>
        <v/>
      </c>
      <c r="W58">
        <f>IF(AND($B58&lt;&gt;"",$C58&lt;&gt;"Target state",$C58&lt;&gt;"Exception",$D58="Low",$E58="High"),$A58&amp;"  "&amp;$B58,"")</f>
        <v/>
      </c>
    </row>
    <row r="59" ht="20" customHeight="1" s="52">
      <c r="A59" s="93" t="inlineStr">
        <is>
          <t>④</t>
        </is>
      </c>
      <c r="B59" s="94" t="n"/>
      <c r="C59" s="73" t="n"/>
      <c r="D59" s="73" t="n"/>
      <c r="E59" s="73" t="n"/>
      <c r="F59" s="72" t="n"/>
      <c r="G59" s="95">
        <f>IF(OR($B59="",$D59="",$E59=""),"",IF(OR($C59="Target state",$C59="Exception"),"Out of scope",IF($D59="Low","No tranche",IF($E59="Low","Tranche 1",IF($E59="Medium","Tranche 2",IF($D59="High","Tranche 3","No tranche"))))))</f>
        <v/>
      </c>
      <c r="K59" s="102" t="n"/>
      <c r="L59" s="102" t="n"/>
      <c r="M59" s="102" t="n"/>
      <c r="O59">
        <f>IF(AND($B59&lt;&gt;"",$C59&lt;&gt;"Target state",$C59&lt;&gt;"Exception",$D59="High",$E59="Low"),$A59&amp;"  "&amp;$B59,"")</f>
        <v/>
      </c>
      <c r="P59">
        <f>IF(AND($B59&lt;&gt;"",$C59&lt;&gt;"Target state",$C59&lt;&gt;"Exception",$D59="High",$E59="Medium"),$A59&amp;"  "&amp;$B59,"")</f>
        <v/>
      </c>
      <c r="Q59">
        <f>IF(AND($B59&lt;&gt;"",$C59&lt;&gt;"Target state",$C59&lt;&gt;"Exception",$D59="High",$E59="High"),$A59&amp;"  "&amp;$B59,"")</f>
        <v/>
      </c>
      <c r="R59">
        <f>IF(AND($B59&lt;&gt;"",$C59&lt;&gt;"Target state",$C59&lt;&gt;"Exception",$D59="Medium",$E59="Low"),$A59&amp;"  "&amp;$B59,"")</f>
        <v/>
      </c>
      <c r="S59">
        <f>IF(AND($B59&lt;&gt;"",$C59&lt;&gt;"Target state",$C59&lt;&gt;"Exception",$D59="Medium",$E59="Medium"),$A59&amp;"  "&amp;$B59,"")</f>
        <v/>
      </c>
      <c r="T59">
        <f>IF(AND($B59&lt;&gt;"",$C59&lt;&gt;"Target state",$C59&lt;&gt;"Exception",$D59="Medium",$E59="High"),$A59&amp;"  "&amp;$B59,"")</f>
        <v/>
      </c>
      <c r="U59">
        <f>IF(AND($B59&lt;&gt;"",$C59&lt;&gt;"Target state",$C59&lt;&gt;"Exception",$D59="Low",$E59="Low"),$A59&amp;"  "&amp;$B59,"")</f>
        <v/>
      </c>
      <c r="V59">
        <f>IF(AND($B59&lt;&gt;"",$C59&lt;&gt;"Target state",$C59&lt;&gt;"Exception",$D59="Low",$E59="Medium"),$A59&amp;"  "&amp;$B59,"")</f>
        <v/>
      </c>
      <c r="W59">
        <f>IF(AND($B59&lt;&gt;"",$C59&lt;&gt;"Target state",$C59&lt;&gt;"Exception",$D59="Low",$E59="High"),$A59&amp;"  "&amp;$B59,"")</f>
        <v/>
      </c>
    </row>
    <row r="60" ht="20" customHeight="1" s="52">
      <c r="A60" s="93" t="inlineStr">
        <is>
          <t>⑤</t>
        </is>
      </c>
      <c r="B60" s="94" t="n"/>
      <c r="C60" s="73" t="n"/>
      <c r="D60" s="73" t="n"/>
      <c r="E60" s="73" t="n"/>
      <c r="F60" s="72" t="n"/>
      <c r="G60" s="95">
        <f>IF(OR($B60="",$D60="",$E60=""),"",IF(OR($C60="Target state",$C60="Exception"),"Out of scope",IF($D60="Low","No tranche",IF($E60="Low","Tranche 1",IF($E60="Medium","Tranche 2",IF($D60="High","Tranche 3","No tranche"))))))</f>
        <v/>
      </c>
      <c r="J60" s="97" t="inlineStr">
        <is>
          <t>Medium</t>
        </is>
      </c>
      <c r="K60" s="98">
        <f>"Tranche 1"&amp;CHAR(10)&amp;_xlfn.TEXTJOIN(CHAR(10),TRUE,R$56:R$65)</f>
        <v/>
      </c>
      <c r="L60" s="99">
        <f>"Tranche 2"&amp;CHAR(10)&amp;_xlfn.TEXTJOIN(CHAR(10),TRUE,S$56:S$65)</f>
        <v/>
      </c>
      <c r="M60" s="103">
        <f>_xlfn.TEXTJOIN(CHAR(10),TRUE,T$56:T$65)</f>
        <v/>
      </c>
      <c r="O60">
        <f>IF(AND($B60&lt;&gt;"",$C60&lt;&gt;"Target state",$C60&lt;&gt;"Exception",$D60="High",$E60="Low"),$A60&amp;"  "&amp;$B60,"")</f>
        <v/>
      </c>
      <c r="P60">
        <f>IF(AND($B60&lt;&gt;"",$C60&lt;&gt;"Target state",$C60&lt;&gt;"Exception",$D60="High",$E60="Medium"),$A60&amp;"  "&amp;$B60,"")</f>
        <v/>
      </c>
      <c r="Q60">
        <f>IF(AND($B60&lt;&gt;"",$C60&lt;&gt;"Target state",$C60&lt;&gt;"Exception",$D60="High",$E60="High"),$A60&amp;"  "&amp;$B60,"")</f>
        <v/>
      </c>
      <c r="R60">
        <f>IF(AND($B60&lt;&gt;"",$C60&lt;&gt;"Target state",$C60&lt;&gt;"Exception",$D60="Medium",$E60="Low"),$A60&amp;"  "&amp;$B60,"")</f>
        <v/>
      </c>
      <c r="S60">
        <f>IF(AND($B60&lt;&gt;"",$C60&lt;&gt;"Target state",$C60&lt;&gt;"Exception",$D60="Medium",$E60="Medium"),$A60&amp;"  "&amp;$B60,"")</f>
        <v/>
      </c>
      <c r="T60">
        <f>IF(AND($B60&lt;&gt;"",$C60&lt;&gt;"Target state",$C60&lt;&gt;"Exception",$D60="Medium",$E60="High"),$A60&amp;"  "&amp;$B60,"")</f>
        <v/>
      </c>
      <c r="U60">
        <f>IF(AND($B60&lt;&gt;"",$C60&lt;&gt;"Target state",$C60&lt;&gt;"Exception",$D60="Low",$E60="Low"),$A60&amp;"  "&amp;$B60,"")</f>
        <v/>
      </c>
      <c r="V60">
        <f>IF(AND($B60&lt;&gt;"",$C60&lt;&gt;"Target state",$C60&lt;&gt;"Exception",$D60="Low",$E60="Medium"),$A60&amp;"  "&amp;$B60,"")</f>
        <v/>
      </c>
      <c r="W60">
        <f>IF(AND($B60&lt;&gt;"",$C60&lt;&gt;"Target state",$C60&lt;&gt;"Exception",$D60="Low",$E60="High"),$A60&amp;"  "&amp;$B60,"")</f>
        <v/>
      </c>
    </row>
    <row r="61" ht="20" customHeight="1" s="52">
      <c r="A61" s="93" t="inlineStr">
        <is>
          <t>⑥</t>
        </is>
      </c>
      <c r="B61" s="94" t="n"/>
      <c r="C61" s="73" t="n"/>
      <c r="D61" s="73" t="n"/>
      <c r="E61" s="73" t="n"/>
      <c r="F61" s="72" t="n"/>
      <c r="G61" s="95">
        <f>IF(OR($B61="",$D61="",$E61=""),"",IF(OR($C61="Target state",$C61="Exception"),"Out of scope",IF($D61="Low","No tranche",IF($E61="Low","Tranche 1",IF($E61="Medium","Tranche 2",IF($D61="High","Tranche 3","No tranche"))))))</f>
        <v/>
      </c>
      <c r="K61" s="101" t="n"/>
      <c r="L61" s="101" t="n"/>
      <c r="M61" s="101" t="n"/>
      <c r="O61">
        <f>IF(AND($B61&lt;&gt;"",$C61&lt;&gt;"Target state",$C61&lt;&gt;"Exception",$D61="High",$E61="Low"),$A61&amp;"  "&amp;$B61,"")</f>
        <v/>
      </c>
      <c r="P61">
        <f>IF(AND($B61&lt;&gt;"",$C61&lt;&gt;"Target state",$C61&lt;&gt;"Exception",$D61="High",$E61="Medium"),$A61&amp;"  "&amp;$B61,"")</f>
        <v/>
      </c>
      <c r="Q61">
        <f>IF(AND($B61&lt;&gt;"",$C61&lt;&gt;"Target state",$C61&lt;&gt;"Exception",$D61="High",$E61="High"),$A61&amp;"  "&amp;$B61,"")</f>
        <v/>
      </c>
      <c r="R61">
        <f>IF(AND($B61&lt;&gt;"",$C61&lt;&gt;"Target state",$C61&lt;&gt;"Exception",$D61="Medium",$E61="Low"),$A61&amp;"  "&amp;$B61,"")</f>
        <v/>
      </c>
      <c r="S61">
        <f>IF(AND($B61&lt;&gt;"",$C61&lt;&gt;"Target state",$C61&lt;&gt;"Exception",$D61="Medium",$E61="Medium"),$A61&amp;"  "&amp;$B61,"")</f>
        <v/>
      </c>
      <c r="T61">
        <f>IF(AND($B61&lt;&gt;"",$C61&lt;&gt;"Target state",$C61&lt;&gt;"Exception",$D61="Medium",$E61="High"),$A61&amp;"  "&amp;$B61,"")</f>
        <v/>
      </c>
      <c r="U61">
        <f>IF(AND($B61&lt;&gt;"",$C61&lt;&gt;"Target state",$C61&lt;&gt;"Exception",$D61="Low",$E61="Low"),$A61&amp;"  "&amp;$B61,"")</f>
        <v/>
      </c>
      <c r="V61">
        <f>IF(AND($B61&lt;&gt;"",$C61&lt;&gt;"Target state",$C61&lt;&gt;"Exception",$D61="Low",$E61="Medium"),$A61&amp;"  "&amp;$B61,"")</f>
        <v/>
      </c>
      <c r="W61">
        <f>IF(AND($B61&lt;&gt;"",$C61&lt;&gt;"Target state",$C61&lt;&gt;"Exception",$D61="Low",$E61="High"),$A61&amp;"  "&amp;$B61,"")</f>
        <v/>
      </c>
    </row>
    <row r="62" ht="20" customHeight="1" s="52">
      <c r="A62" s="93" t="inlineStr">
        <is>
          <t>⑦</t>
        </is>
      </c>
      <c r="B62" s="94" t="n"/>
      <c r="C62" s="73" t="n"/>
      <c r="D62" s="73" t="n"/>
      <c r="E62" s="73" t="n"/>
      <c r="F62" s="72" t="n"/>
      <c r="G62" s="95">
        <f>IF(OR($B62="",$D62="",$E62=""),"",IF(OR($C62="Target state",$C62="Exception"),"Out of scope",IF($D62="Low","No tranche",IF($E62="Low","Tranche 1",IF($E62="Medium","Tranche 2",IF($D62="High","Tranche 3","No tranche"))))))</f>
        <v/>
      </c>
      <c r="K62" s="102" t="n"/>
      <c r="L62" s="102" t="n"/>
      <c r="M62" s="102" t="n"/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 s="52">
      <c r="A63" s="93" t="inlineStr">
        <is>
          <t>⑧</t>
        </is>
      </c>
      <c r="B63" s="94" t="n"/>
      <c r="C63" s="73" t="n"/>
      <c r="D63" s="73" t="n"/>
      <c r="E63" s="73" t="n"/>
      <c r="F63" s="72" t="n"/>
      <c r="G63" s="95">
        <f>IF(OR($B63="",$D63="",$E63=""),"",IF(OR($C63="Target state",$C63="Exception"),"Out of scope",IF($D63="Low","No tranche",IF($E63="Low","Tranche 1",IF($E63="Medium","Tranche 2",IF($D63="High","Tranche 3","No tranche"))))))</f>
        <v/>
      </c>
      <c r="J63" s="97" t="inlineStr">
        <is>
          <t>Low</t>
        </is>
      </c>
      <c r="K63" s="103">
        <f>_xlfn.TEXTJOIN(CHAR(10),TRUE,U$56:U$65)</f>
        <v/>
      </c>
      <c r="L63" s="103">
        <f>_xlfn.TEXTJOIN(CHAR(10),TRUE,V$56:V$65)</f>
        <v/>
      </c>
      <c r="M63" s="103">
        <f>_xlfn.TEXTJOIN(CHAR(10),TRUE,W$56:W$65)</f>
        <v/>
      </c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20" customHeight="1" s="52">
      <c r="A64" s="93" t="inlineStr">
        <is>
          <t>⑨</t>
        </is>
      </c>
      <c r="B64" s="94" t="n"/>
      <c r="C64" s="73" t="n"/>
      <c r="D64" s="73" t="n"/>
      <c r="E64" s="73" t="n"/>
      <c r="F64" s="72" t="n"/>
      <c r="G64" s="95">
        <f>IF(OR($B64="",$D64="",$E64=""),"",IF(OR($C64="Target state",$C64="Exception"),"Out of scope",IF($D64="Low","No tranche",IF($E64="Low","Tranche 1",IF($E64="Medium","Tranche 2",IF($D64="High","Tranche 3","No tranche"))))))</f>
        <v/>
      </c>
      <c r="K64" s="101" t="n"/>
      <c r="L64" s="101" t="n"/>
      <c r="M64" s="101" t="n"/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5" ht="20" customHeight="1" s="52">
      <c r="A65" s="93" t="inlineStr">
        <is>
          <t>⑩</t>
        </is>
      </c>
      <c r="B65" s="94" t="n"/>
      <c r="C65" s="73" t="n"/>
      <c r="D65" s="73" t="n"/>
      <c r="E65" s="73" t="n"/>
      <c r="F65" s="72" t="n"/>
      <c r="G65" s="95">
        <f>IF(OR($B65="",$D65="",$E65=""),"",IF(OR($C65="Target state",$C65="Exception"),"Out of scope",IF($D65="Low","No tranche",IF($E65="Low","Tranche 1",IF($E65="Medium","Tranche 2",IF($D65="High","Tranche 3","No tranche"))))))</f>
        <v/>
      </c>
      <c r="K65" s="102" t="n"/>
      <c r="L65" s="102" t="n"/>
      <c r="M65" s="102" t="n"/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6">
      <c r="K66" s="97" t="inlineStr">
        <is>
          <t>Complexity</t>
        </is>
      </c>
    </row>
    <row r="70" ht="22" customHeight="1" s="52">
      <c r="A70" s="88" t="inlineStr">
        <is>
          <t>Risks</t>
        </is>
      </c>
      <c r="G70" s="89">
        <f>HYPERLINK("#'Sales &amp; Servicing'!A4","▲ tracker")</f>
        <v/>
      </c>
      <c r="K70" s="90" t="inlineStr">
        <is>
          <t>Assessment Outcome</t>
        </is>
      </c>
    </row>
    <row r="71" ht="18" customHeight="1" s="52">
      <c r="A71" s="91" t="inlineStr">
        <is>
          <t>#</t>
        </is>
      </c>
      <c r="B71" s="91" t="inlineStr">
        <is>
          <t>Platform</t>
        </is>
      </c>
      <c r="C71" s="91" t="inlineStr">
        <is>
          <t>State</t>
        </is>
      </c>
      <c r="D71" s="91" t="inlineStr">
        <is>
          <t>Imperative to exit</t>
        </is>
      </c>
      <c r="E71" s="91" t="inlineStr">
        <is>
          <t>Exit complexity</t>
        </is>
      </c>
      <c r="F71" s="91" t="inlineStr">
        <is>
          <t>Supporting facts</t>
        </is>
      </c>
      <c r="G71" s="91" t="inlineStr">
        <is>
          <t>Tranche (auto)</t>
        </is>
      </c>
      <c r="K71" s="92" t="inlineStr">
        <is>
          <t>Low</t>
        </is>
      </c>
      <c r="L71" s="92" t="inlineStr">
        <is>
          <t>Medium</t>
        </is>
      </c>
      <c r="M71" s="92" t="inlineStr">
        <is>
          <t>High</t>
        </is>
      </c>
    </row>
    <row r="72" ht="20" customHeight="1" s="52">
      <c r="A72" s="93" t="inlineStr">
        <is>
          <t>①</t>
        </is>
      </c>
      <c r="B72" s="94" t="n"/>
      <c r="C72" s="73" t="n"/>
      <c r="D72" s="73" t="n"/>
      <c r="E72" s="73" t="n"/>
      <c r="F72" s="72" t="n"/>
      <c r="G72" s="95">
        <f>IF(OR($B72="",$D72="",$E72=""),"",IF(OR($C72="Target state",$C72="Exception"),"Out of scope",IF($D72="Low","No tranche",IF($E72="Low","Tranche 1",IF($E72="Medium","Tranche 2",IF($D72="High","Tranche 3","No tranche"))))))</f>
        <v/>
      </c>
      <c r="I72" s="96" t="inlineStr">
        <is>
          <t>Benefits</t>
        </is>
      </c>
      <c r="J72" s="97" t="inlineStr">
        <is>
          <t>High</t>
        </is>
      </c>
      <c r="K72" s="98">
        <f>"Tranche 1"&amp;CHAR(10)&amp;_xlfn.TEXTJOIN(CHAR(10),TRUE,O$72:O$81)</f>
        <v/>
      </c>
      <c r="L72" s="99">
        <f>"Tranche 2"&amp;CHAR(10)&amp;_xlfn.TEXTJOIN(CHAR(10),TRUE,P$72:P$81)</f>
        <v/>
      </c>
      <c r="M72" s="100">
        <f>"Tranche 3"&amp;CHAR(10)&amp;_xlfn.TEXTJOIN(CHAR(10),TRUE,Q$72:Q$81)</f>
        <v/>
      </c>
      <c r="O72">
        <f>IF(AND($B72&lt;&gt;"",$C72&lt;&gt;"Target state",$C72&lt;&gt;"Exception",$D72="High",$E72="Low"),$A72&amp;"  "&amp;$B72,"")</f>
        <v/>
      </c>
      <c r="P72">
        <f>IF(AND($B72&lt;&gt;"",$C72&lt;&gt;"Target state",$C72&lt;&gt;"Exception",$D72="High",$E72="Medium"),$A72&amp;"  "&amp;$B72,"")</f>
        <v/>
      </c>
      <c r="Q72">
        <f>IF(AND($B72&lt;&gt;"",$C72&lt;&gt;"Target state",$C72&lt;&gt;"Exception",$D72="High",$E72="High"),$A72&amp;"  "&amp;$B72,"")</f>
        <v/>
      </c>
      <c r="R72">
        <f>IF(AND($B72&lt;&gt;"",$C72&lt;&gt;"Target state",$C72&lt;&gt;"Exception",$D72="Medium",$E72="Low"),$A72&amp;"  "&amp;$B72,"")</f>
        <v/>
      </c>
      <c r="S72">
        <f>IF(AND($B72&lt;&gt;"",$C72&lt;&gt;"Target state",$C72&lt;&gt;"Exception",$D72="Medium",$E72="Medium"),$A72&amp;"  "&amp;$B72,"")</f>
        <v/>
      </c>
      <c r="T72">
        <f>IF(AND($B72&lt;&gt;"",$C72&lt;&gt;"Target state",$C72&lt;&gt;"Exception",$D72="Medium",$E72="High"),$A72&amp;"  "&amp;$B72,"")</f>
        <v/>
      </c>
      <c r="U72">
        <f>IF(AND($B72&lt;&gt;"",$C72&lt;&gt;"Target state",$C72&lt;&gt;"Exception",$D72="Low",$E72="Low"),$A72&amp;"  "&amp;$B72,"")</f>
        <v/>
      </c>
      <c r="V72">
        <f>IF(AND($B72&lt;&gt;"",$C72&lt;&gt;"Target state",$C72&lt;&gt;"Exception",$D72="Low",$E72="Medium"),$A72&amp;"  "&amp;$B72,"")</f>
        <v/>
      </c>
      <c r="W72">
        <f>IF(AND($B72&lt;&gt;"",$C72&lt;&gt;"Target state",$C72&lt;&gt;"Exception",$D72="Low",$E72="High"),$A72&amp;"  "&amp;$B72,"")</f>
        <v/>
      </c>
    </row>
    <row r="73" ht="20" customHeight="1" s="52">
      <c r="A73" s="93" t="inlineStr">
        <is>
          <t>②</t>
        </is>
      </c>
      <c r="B73" s="94" t="n"/>
      <c r="C73" s="73" t="n"/>
      <c r="D73" s="73" t="n"/>
      <c r="E73" s="73" t="n"/>
      <c r="F73" s="72" t="n"/>
      <c r="G73" s="95">
        <f>IF(OR($B73="",$D73="",$E73=""),"",IF(OR($C73="Target state",$C73="Exception"),"Out of scope",IF($D73="Low","No tranche",IF($E73="Low","Tranche 1",IF($E73="Medium","Tranche 2",IF($D73="High","Tranche 3","No tranche"))))))</f>
        <v/>
      </c>
      <c r="K73" s="101" t="n"/>
      <c r="L73" s="101" t="n"/>
      <c r="M73" s="101" t="n"/>
      <c r="O73">
        <f>IF(AND($B73&lt;&gt;"",$C73&lt;&gt;"Target state",$C73&lt;&gt;"Exception",$D73="High",$E73="Low"),$A73&amp;"  "&amp;$B73,"")</f>
        <v/>
      </c>
      <c r="P73">
        <f>IF(AND($B73&lt;&gt;"",$C73&lt;&gt;"Target state",$C73&lt;&gt;"Exception",$D73="High",$E73="Medium"),$A73&amp;"  "&amp;$B73,"")</f>
        <v/>
      </c>
      <c r="Q73">
        <f>IF(AND($B73&lt;&gt;"",$C73&lt;&gt;"Target state",$C73&lt;&gt;"Exception",$D73="High",$E73="High"),$A73&amp;"  "&amp;$B73,"")</f>
        <v/>
      </c>
      <c r="R73">
        <f>IF(AND($B73&lt;&gt;"",$C73&lt;&gt;"Target state",$C73&lt;&gt;"Exception",$D73="Medium",$E73="Low"),$A73&amp;"  "&amp;$B73,"")</f>
        <v/>
      </c>
      <c r="S73">
        <f>IF(AND($B73&lt;&gt;"",$C73&lt;&gt;"Target state",$C73&lt;&gt;"Exception",$D73="Medium",$E73="Medium"),$A73&amp;"  "&amp;$B73,"")</f>
        <v/>
      </c>
      <c r="T73">
        <f>IF(AND($B73&lt;&gt;"",$C73&lt;&gt;"Target state",$C73&lt;&gt;"Exception",$D73="Medium",$E73="High"),$A73&amp;"  "&amp;$B73,"")</f>
        <v/>
      </c>
      <c r="U73">
        <f>IF(AND($B73&lt;&gt;"",$C73&lt;&gt;"Target state",$C73&lt;&gt;"Exception",$D73="Low",$E73="Low"),$A73&amp;"  "&amp;$B73,"")</f>
        <v/>
      </c>
      <c r="V73">
        <f>IF(AND($B73&lt;&gt;"",$C73&lt;&gt;"Target state",$C73&lt;&gt;"Exception",$D73="Low",$E73="Medium"),$A73&amp;"  "&amp;$B73,"")</f>
        <v/>
      </c>
      <c r="W73">
        <f>IF(AND($B73&lt;&gt;"",$C73&lt;&gt;"Target state",$C73&lt;&gt;"Exception",$D73="Low",$E73="High"),$A73&amp;"  "&amp;$B73,"")</f>
        <v/>
      </c>
    </row>
    <row r="74" ht="20" customHeight="1" s="52">
      <c r="A74" s="93" t="inlineStr">
        <is>
          <t>③</t>
        </is>
      </c>
      <c r="B74" s="94" t="n"/>
      <c r="C74" s="73" t="n"/>
      <c r="D74" s="73" t="n"/>
      <c r="E74" s="73" t="n"/>
      <c r="F74" s="72" t="n"/>
      <c r="G74" s="95">
        <f>IF(OR($B74="",$D74="",$E74=""),"",IF(OR($C74="Target state",$C74="Exception"),"Out of scope",IF($D74="Low","No tranche",IF($E74="Low","Tranche 1",IF($E74="Medium","Tranche 2",IF($D74="High","Tranche 3","No tranche"))))))</f>
        <v/>
      </c>
      <c r="K74" s="101" t="n"/>
      <c r="L74" s="101" t="n"/>
      <c r="M74" s="101" t="n"/>
      <c r="O74">
        <f>IF(AND($B74&lt;&gt;"",$C74&lt;&gt;"Target state",$C74&lt;&gt;"Exception",$D74="High",$E74="Low"),$A74&amp;"  "&amp;$B74,"")</f>
        <v/>
      </c>
      <c r="P74">
        <f>IF(AND($B74&lt;&gt;"",$C74&lt;&gt;"Target state",$C74&lt;&gt;"Exception",$D74="High",$E74="Medium"),$A74&amp;"  "&amp;$B74,"")</f>
        <v/>
      </c>
      <c r="Q74">
        <f>IF(AND($B74&lt;&gt;"",$C74&lt;&gt;"Target state",$C74&lt;&gt;"Exception",$D74="High",$E74="High"),$A74&amp;"  "&amp;$B74,"")</f>
        <v/>
      </c>
      <c r="R74">
        <f>IF(AND($B74&lt;&gt;"",$C74&lt;&gt;"Target state",$C74&lt;&gt;"Exception",$D74="Medium",$E74="Low"),$A74&amp;"  "&amp;$B74,"")</f>
        <v/>
      </c>
      <c r="S74">
        <f>IF(AND($B74&lt;&gt;"",$C74&lt;&gt;"Target state",$C74&lt;&gt;"Exception",$D74="Medium",$E74="Medium"),$A74&amp;"  "&amp;$B74,"")</f>
        <v/>
      </c>
      <c r="T74">
        <f>IF(AND($B74&lt;&gt;"",$C74&lt;&gt;"Target state",$C74&lt;&gt;"Exception",$D74="Medium",$E74="High"),$A74&amp;"  "&amp;$B74,"")</f>
        <v/>
      </c>
      <c r="U74">
        <f>IF(AND($B74&lt;&gt;"",$C74&lt;&gt;"Target state",$C74&lt;&gt;"Exception",$D74="Low",$E74="Low"),$A74&amp;"  "&amp;$B74,"")</f>
        <v/>
      </c>
      <c r="V74">
        <f>IF(AND($B74&lt;&gt;"",$C74&lt;&gt;"Target state",$C74&lt;&gt;"Exception",$D74="Low",$E74="Medium"),$A74&amp;"  "&amp;$B74,"")</f>
        <v/>
      </c>
      <c r="W74">
        <f>IF(AND($B74&lt;&gt;"",$C74&lt;&gt;"Target state",$C74&lt;&gt;"Exception",$D74="Low",$E74="High"),$A74&amp;"  "&amp;$B74,"")</f>
        <v/>
      </c>
    </row>
    <row r="75" ht="20" customHeight="1" s="52">
      <c r="A75" s="93" t="inlineStr">
        <is>
          <t>④</t>
        </is>
      </c>
      <c r="B75" s="94" t="n"/>
      <c r="C75" s="73" t="n"/>
      <c r="D75" s="73" t="n"/>
      <c r="E75" s="73" t="n"/>
      <c r="F75" s="72" t="n"/>
      <c r="G75" s="95">
        <f>IF(OR($B75="",$D75="",$E75=""),"",IF(OR($C75="Target state",$C75="Exception"),"Out of scope",IF($D75="Low","No tranche",IF($E75="Low","Tranche 1",IF($E75="Medium","Tranche 2",IF($D75="High","Tranche 3","No tranche"))))))</f>
        <v/>
      </c>
      <c r="K75" s="102" t="n"/>
      <c r="L75" s="102" t="n"/>
      <c r="M75" s="102" t="n"/>
      <c r="O75">
        <f>IF(AND($B75&lt;&gt;"",$C75&lt;&gt;"Target state",$C75&lt;&gt;"Exception",$D75="High",$E75="Low"),$A75&amp;"  "&amp;$B75,"")</f>
        <v/>
      </c>
      <c r="P75">
        <f>IF(AND($B75&lt;&gt;"",$C75&lt;&gt;"Target state",$C75&lt;&gt;"Exception",$D75="High",$E75="Medium"),$A75&amp;"  "&amp;$B75,"")</f>
        <v/>
      </c>
      <c r="Q75">
        <f>IF(AND($B75&lt;&gt;"",$C75&lt;&gt;"Target state",$C75&lt;&gt;"Exception",$D75="High",$E75="High"),$A75&amp;"  "&amp;$B75,"")</f>
        <v/>
      </c>
      <c r="R75">
        <f>IF(AND($B75&lt;&gt;"",$C75&lt;&gt;"Target state",$C75&lt;&gt;"Exception",$D75="Medium",$E75="Low"),$A75&amp;"  "&amp;$B75,"")</f>
        <v/>
      </c>
      <c r="S75">
        <f>IF(AND($B75&lt;&gt;"",$C75&lt;&gt;"Target state",$C75&lt;&gt;"Exception",$D75="Medium",$E75="Medium"),$A75&amp;"  "&amp;$B75,"")</f>
        <v/>
      </c>
      <c r="T75">
        <f>IF(AND($B75&lt;&gt;"",$C75&lt;&gt;"Target state",$C75&lt;&gt;"Exception",$D75="Medium",$E75="High"),$A75&amp;"  "&amp;$B75,"")</f>
        <v/>
      </c>
      <c r="U75">
        <f>IF(AND($B75&lt;&gt;"",$C75&lt;&gt;"Target state",$C75&lt;&gt;"Exception",$D75="Low",$E75="Low"),$A75&amp;"  "&amp;$B75,"")</f>
        <v/>
      </c>
      <c r="V75">
        <f>IF(AND($B75&lt;&gt;"",$C75&lt;&gt;"Target state",$C75&lt;&gt;"Exception",$D75="Low",$E75="Medium"),$A75&amp;"  "&amp;$B75,"")</f>
        <v/>
      </c>
      <c r="W75">
        <f>IF(AND($B75&lt;&gt;"",$C75&lt;&gt;"Target state",$C75&lt;&gt;"Exception",$D75="Low",$E75="High"),$A75&amp;"  "&amp;$B75,"")</f>
        <v/>
      </c>
    </row>
    <row r="76" ht="20" customHeight="1" s="52">
      <c r="A76" s="93" t="inlineStr">
        <is>
          <t>⑤</t>
        </is>
      </c>
      <c r="B76" s="94" t="n"/>
      <c r="C76" s="73" t="n"/>
      <c r="D76" s="73" t="n"/>
      <c r="E76" s="73" t="n"/>
      <c r="F76" s="72" t="n"/>
      <c r="G76" s="95">
        <f>IF(OR($B76="",$D76="",$E76=""),"",IF(OR($C76="Target state",$C76="Exception"),"Out of scope",IF($D76="Low","No tranche",IF($E76="Low","Tranche 1",IF($E76="Medium","Tranche 2",IF($D76="High","Tranche 3","No tranche"))))))</f>
        <v/>
      </c>
      <c r="J76" s="97" t="inlineStr">
        <is>
          <t>Medium</t>
        </is>
      </c>
      <c r="K76" s="98">
        <f>"Tranche 1"&amp;CHAR(10)&amp;_xlfn.TEXTJOIN(CHAR(10),TRUE,R$72:R$81)</f>
        <v/>
      </c>
      <c r="L76" s="99">
        <f>"Tranche 2"&amp;CHAR(10)&amp;_xlfn.TEXTJOIN(CHAR(10),TRUE,S$72:S$81)</f>
        <v/>
      </c>
      <c r="M76" s="103">
        <f>_xlfn.TEXTJOIN(CHAR(10),TRUE,T$72:T$81)</f>
        <v/>
      </c>
      <c r="O76">
        <f>IF(AND($B76&lt;&gt;"",$C76&lt;&gt;"Target state",$C76&lt;&gt;"Exception",$D76="High",$E76="Low"),$A76&amp;"  "&amp;$B76,"")</f>
        <v/>
      </c>
      <c r="P76">
        <f>IF(AND($B76&lt;&gt;"",$C76&lt;&gt;"Target state",$C76&lt;&gt;"Exception",$D76="High",$E76="Medium"),$A76&amp;"  "&amp;$B76,"")</f>
        <v/>
      </c>
      <c r="Q76">
        <f>IF(AND($B76&lt;&gt;"",$C76&lt;&gt;"Target state",$C76&lt;&gt;"Exception",$D76="High",$E76="High"),$A76&amp;"  "&amp;$B76,"")</f>
        <v/>
      </c>
      <c r="R76">
        <f>IF(AND($B76&lt;&gt;"",$C76&lt;&gt;"Target state",$C76&lt;&gt;"Exception",$D76="Medium",$E76="Low"),$A76&amp;"  "&amp;$B76,"")</f>
        <v/>
      </c>
      <c r="S76">
        <f>IF(AND($B76&lt;&gt;"",$C76&lt;&gt;"Target state",$C76&lt;&gt;"Exception",$D76="Medium",$E76="Medium"),$A76&amp;"  "&amp;$B76,"")</f>
        <v/>
      </c>
      <c r="T76">
        <f>IF(AND($B76&lt;&gt;"",$C76&lt;&gt;"Target state",$C76&lt;&gt;"Exception",$D76="Medium",$E76="High"),$A76&amp;"  "&amp;$B76,"")</f>
        <v/>
      </c>
      <c r="U76">
        <f>IF(AND($B76&lt;&gt;"",$C76&lt;&gt;"Target state",$C76&lt;&gt;"Exception",$D76="Low",$E76="Low"),$A76&amp;"  "&amp;$B76,"")</f>
        <v/>
      </c>
      <c r="V76">
        <f>IF(AND($B76&lt;&gt;"",$C76&lt;&gt;"Target state",$C76&lt;&gt;"Exception",$D76="Low",$E76="Medium"),$A76&amp;"  "&amp;$B76,"")</f>
        <v/>
      </c>
      <c r="W76">
        <f>IF(AND($B76&lt;&gt;"",$C76&lt;&gt;"Target state",$C76&lt;&gt;"Exception",$D76="Low",$E76="High"),$A76&amp;"  "&amp;$B76,"")</f>
        <v/>
      </c>
    </row>
    <row r="77" ht="20" customHeight="1" s="52">
      <c r="A77" s="93" t="inlineStr">
        <is>
          <t>⑥</t>
        </is>
      </c>
      <c r="B77" s="94" t="n"/>
      <c r="C77" s="73" t="n"/>
      <c r="D77" s="73" t="n"/>
      <c r="E77" s="73" t="n"/>
      <c r="F77" s="72" t="n"/>
      <c r="G77" s="95">
        <f>IF(OR($B77="",$D77="",$E77=""),"",IF(OR($C77="Target state",$C77="Exception"),"Out of scope",IF($D77="Low","No tranche",IF($E77="Low","Tranche 1",IF($E77="Medium","Tranche 2",IF($D77="High","Tranche 3","No tranche"))))))</f>
        <v/>
      </c>
      <c r="K77" s="101" t="n"/>
      <c r="L77" s="101" t="n"/>
      <c r="M77" s="101" t="n"/>
      <c r="O77">
        <f>IF(AND($B77&lt;&gt;"",$C77&lt;&gt;"Target state",$C77&lt;&gt;"Exception",$D77="High",$E77="Low"),$A77&amp;"  "&amp;$B77,"")</f>
        <v/>
      </c>
      <c r="P77">
        <f>IF(AND($B77&lt;&gt;"",$C77&lt;&gt;"Target state",$C77&lt;&gt;"Exception",$D77="High",$E77="Medium"),$A77&amp;"  "&amp;$B77,"")</f>
        <v/>
      </c>
      <c r="Q77">
        <f>IF(AND($B77&lt;&gt;"",$C77&lt;&gt;"Target state",$C77&lt;&gt;"Exception",$D77="High",$E77="High"),$A77&amp;"  "&amp;$B77,"")</f>
        <v/>
      </c>
      <c r="R77">
        <f>IF(AND($B77&lt;&gt;"",$C77&lt;&gt;"Target state",$C77&lt;&gt;"Exception",$D77="Medium",$E77="Low"),$A77&amp;"  "&amp;$B77,"")</f>
        <v/>
      </c>
      <c r="S77">
        <f>IF(AND($B77&lt;&gt;"",$C77&lt;&gt;"Target state",$C77&lt;&gt;"Exception",$D77="Medium",$E77="Medium"),$A77&amp;"  "&amp;$B77,"")</f>
        <v/>
      </c>
      <c r="T77">
        <f>IF(AND($B77&lt;&gt;"",$C77&lt;&gt;"Target state",$C77&lt;&gt;"Exception",$D77="Medium",$E77="High"),$A77&amp;"  "&amp;$B77,"")</f>
        <v/>
      </c>
      <c r="U77">
        <f>IF(AND($B77&lt;&gt;"",$C77&lt;&gt;"Target state",$C77&lt;&gt;"Exception",$D77="Low",$E77="Low"),$A77&amp;"  "&amp;$B77,"")</f>
        <v/>
      </c>
      <c r="V77">
        <f>IF(AND($B77&lt;&gt;"",$C77&lt;&gt;"Target state",$C77&lt;&gt;"Exception",$D77="Low",$E77="Medium"),$A77&amp;"  "&amp;$B77,"")</f>
        <v/>
      </c>
      <c r="W77">
        <f>IF(AND($B77&lt;&gt;"",$C77&lt;&gt;"Target state",$C77&lt;&gt;"Exception",$D77="Low",$E77="High"),$A77&amp;"  "&amp;$B77,"")</f>
        <v/>
      </c>
    </row>
    <row r="78" ht="20" customHeight="1" s="52">
      <c r="A78" s="93" t="inlineStr">
        <is>
          <t>⑦</t>
        </is>
      </c>
      <c r="B78" s="94" t="n"/>
      <c r="C78" s="73" t="n"/>
      <c r="D78" s="73" t="n"/>
      <c r="E78" s="73" t="n"/>
      <c r="F78" s="72" t="n"/>
      <c r="G78" s="95">
        <f>IF(OR($B78="",$D78="",$E78=""),"",IF(OR($C78="Target state",$C78="Exception"),"Out of scope",IF($D78="Low","No tranche",IF($E78="Low","Tranche 1",IF($E78="Medium","Tranche 2",IF($D78="High","Tranche 3","No tranche"))))))</f>
        <v/>
      </c>
      <c r="K78" s="102" t="n"/>
      <c r="L78" s="102" t="n"/>
      <c r="M78" s="102" t="n"/>
      <c r="O78">
        <f>IF(AND($B78&lt;&gt;"",$C78&lt;&gt;"Target state",$C78&lt;&gt;"Exception",$D78="High",$E78="Low"),$A78&amp;"  "&amp;$B78,"")</f>
        <v/>
      </c>
      <c r="P78">
        <f>IF(AND($B78&lt;&gt;"",$C78&lt;&gt;"Target state",$C78&lt;&gt;"Exception",$D78="High",$E78="Medium"),$A78&amp;"  "&amp;$B78,"")</f>
        <v/>
      </c>
      <c r="Q78">
        <f>IF(AND($B78&lt;&gt;"",$C78&lt;&gt;"Target state",$C78&lt;&gt;"Exception",$D78="High",$E78="High"),$A78&amp;"  "&amp;$B78,"")</f>
        <v/>
      </c>
      <c r="R78">
        <f>IF(AND($B78&lt;&gt;"",$C78&lt;&gt;"Target state",$C78&lt;&gt;"Exception",$D78="Medium",$E78="Low"),$A78&amp;"  "&amp;$B78,"")</f>
        <v/>
      </c>
      <c r="S78">
        <f>IF(AND($B78&lt;&gt;"",$C78&lt;&gt;"Target state",$C78&lt;&gt;"Exception",$D78="Medium",$E78="Medium"),$A78&amp;"  "&amp;$B78,"")</f>
        <v/>
      </c>
      <c r="T78">
        <f>IF(AND($B78&lt;&gt;"",$C78&lt;&gt;"Target state",$C78&lt;&gt;"Exception",$D78="Medium",$E78="High"),$A78&amp;"  "&amp;$B78,"")</f>
        <v/>
      </c>
      <c r="U78">
        <f>IF(AND($B78&lt;&gt;"",$C78&lt;&gt;"Target state",$C78&lt;&gt;"Exception",$D78="Low",$E78="Low"),$A78&amp;"  "&amp;$B78,"")</f>
        <v/>
      </c>
      <c r="V78">
        <f>IF(AND($B78&lt;&gt;"",$C78&lt;&gt;"Target state",$C78&lt;&gt;"Exception",$D78="Low",$E78="Medium"),$A78&amp;"  "&amp;$B78,"")</f>
        <v/>
      </c>
      <c r="W78">
        <f>IF(AND($B78&lt;&gt;"",$C78&lt;&gt;"Target state",$C78&lt;&gt;"Exception",$D78="Low",$E78="High"),$A78&amp;"  "&amp;$B78,"")</f>
        <v/>
      </c>
    </row>
    <row r="79" ht="20" customHeight="1" s="52">
      <c r="A79" s="93" t="inlineStr">
        <is>
          <t>⑧</t>
        </is>
      </c>
      <c r="B79" s="94" t="n"/>
      <c r="C79" s="73" t="n"/>
      <c r="D79" s="73" t="n"/>
      <c r="E79" s="73" t="n"/>
      <c r="F79" s="72" t="n"/>
      <c r="G79" s="95">
        <f>IF(OR($B79="",$D79="",$E79=""),"",IF(OR($C79="Target state",$C79="Exception"),"Out of scope",IF($D79="Low","No tranche",IF($E79="Low","Tranche 1",IF($E79="Medium","Tranche 2",IF($D79="High","Tranche 3","No tranche"))))))</f>
        <v/>
      </c>
      <c r="J79" s="97" t="inlineStr">
        <is>
          <t>Low</t>
        </is>
      </c>
      <c r="K79" s="103">
        <f>_xlfn.TEXTJOIN(CHAR(10),TRUE,U$72:U$81)</f>
        <v/>
      </c>
      <c r="L79" s="103">
        <f>_xlfn.TEXTJOIN(CHAR(10),TRUE,V$72:V$81)</f>
        <v/>
      </c>
      <c r="M79" s="103">
        <f>_xlfn.TEXTJOIN(CHAR(10),TRUE,W$72:W$81)</f>
        <v/>
      </c>
      <c r="O79">
        <f>IF(AND($B79&lt;&gt;"",$C79&lt;&gt;"Target state",$C79&lt;&gt;"Exception",$D79="High",$E79="Low"),$A79&amp;"  "&amp;$B79,"")</f>
        <v/>
      </c>
      <c r="P79">
        <f>IF(AND($B79&lt;&gt;"",$C79&lt;&gt;"Target state",$C79&lt;&gt;"Exception",$D79="High",$E79="Medium"),$A79&amp;"  "&amp;$B79,"")</f>
        <v/>
      </c>
      <c r="Q79">
        <f>IF(AND($B79&lt;&gt;"",$C79&lt;&gt;"Target state",$C79&lt;&gt;"Exception",$D79="High",$E79="High"),$A79&amp;"  "&amp;$B79,"")</f>
        <v/>
      </c>
      <c r="R79">
        <f>IF(AND($B79&lt;&gt;"",$C79&lt;&gt;"Target state",$C79&lt;&gt;"Exception",$D79="Medium",$E79="Low"),$A79&amp;"  "&amp;$B79,"")</f>
        <v/>
      </c>
      <c r="S79">
        <f>IF(AND($B79&lt;&gt;"",$C79&lt;&gt;"Target state",$C79&lt;&gt;"Exception",$D79="Medium",$E79="Medium"),$A79&amp;"  "&amp;$B79,"")</f>
        <v/>
      </c>
      <c r="T79">
        <f>IF(AND($B79&lt;&gt;"",$C79&lt;&gt;"Target state",$C79&lt;&gt;"Exception",$D79="Medium",$E79="High"),$A79&amp;"  "&amp;$B79,"")</f>
        <v/>
      </c>
      <c r="U79">
        <f>IF(AND($B79&lt;&gt;"",$C79&lt;&gt;"Target state",$C79&lt;&gt;"Exception",$D79="Low",$E79="Low"),$A79&amp;"  "&amp;$B79,"")</f>
        <v/>
      </c>
      <c r="V79">
        <f>IF(AND($B79&lt;&gt;"",$C79&lt;&gt;"Target state",$C79&lt;&gt;"Exception",$D79="Low",$E79="Medium"),$A79&amp;"  "&amp;$B79,"")</f>
        <v/>
      </c>
      <c r="W79">
        <f>IF(AND($B79&lt;&gt;"",$C79&lt;&gt;"Target state",$C79&lt;&gt;"Exception",$D79="Low",$E79="High"),$A79&amp;"  "&amp;$B79,"")</f>
        <v/>
      </c>
    </row>
    <row r="80" ht="20" customHeight="1" s="52">
      <c r="A80" s="93" t="inlineStr">
        <is>
          <t>⑨</t>
        </is>
      </c>
      <c r="B80" s="94" t="n"/>
      <c r="C80" s="73" t="n"/>
      <c r="D80" s="73" t="n"/>
      <c r="E80" s="73" t="n"/>
      <c r="F80" s="72" t="n"/>
      <c r="G80" s="95">
        <f>IF(OR($B80="",$D80="",$E80=""),"",IF(OR($C80="Target state",$C80="Exception"),"Out of scope",IF($D80="Low","No tranche",IF($E80="Low","Tranche 1",IF($E80="Medium","Tranche 2",IF($D80="High","Tranche 3","No tranche"))))))</f>
        <v/>
      </c>
      <c r="K80" s="101" t="n"/>
      <c r="L80" s="101" t="n"/>
      <c r="M80" s="101" t="n"/>
      <c r="O80">
        <f>IF(AND($B80&lt;&gt;"",$C80&lt;&gt;"Target state",$C80&lt;&gt;"Exception",$D80="High",$E80="Low"),$A80&amp;"  "&amp;$B80,"")</f>
        <v/>
      </c>
      <c r="P80">
        <f>IF(AND($B80&lt;&gt;"",$C80&lt;&gt;"Target state",$C80&lt;&gt;"Exception",$D80="High",$E80="Medium"),$A80&amp;"  "&amp;$B80,"")</f>
        <v/>
      </c>
      <c r="Q80">
        <f>IF(AND($B80&lt;&gt;"",$C80&lt;&gt;"Target state",$C80&lt;&gt;"Exception",$D80="High",$E80="High"),$A80&amp;"  "&amp;$B80,"")</f>
        <v/>
      </c>
      <c r="R80">
        <f>IF(AND($B80&lt;&gt;"",$C80&lt;&gt;"Target state",$C80&lt;&gt;"Exception",$D80="Medium",$E80="Low"),$A80&amp;"  "&amp;$B80,"")</f>
        <v/>
      </c>
      <c r="S80">
        <f>IF(AND($B80&lt;&gt;"",$C80&lt;&gt;"Target state",$C80&lt;&gt;"Exception",$D80="Medium",$E80="Medium"),$A80&amp;"  "&amp;$B80,"")</f>
        <v/>
      </c>
      <c r="T80">
        <f>IF(AND($B80&lt;&gt;"",$C80&lt;&gt;"Target state",$C80&lt;&gt;"Exception",$D80="Medium",$E80="High"),$A80&amp;"  "&amp;$B80,"")</f>
        <v/>
      </c>
      <c r="U80">
        <f>IF(AND($B80&lt;&gt;"",$C80&lt;&gt;"Target state",$C80&lt;&gt;"Exception",$D80="Low",$E80="Low"),$A80&amp;"  "&amp;$B80,"")</f>
        <v/>
      </c>
      <c r="V80">
        <f>IF(AND($B80&lt;&gt;"",$C80&lt;&gt;"Target state",$C80&lt;&gt;"Exception",$D80="Low",$E80="Medium"),$A80&amp;"  "&amp;$B80,"")</f>
        <v/>
      </c>
      <c r="W80">
        <f>IF(AND($B80&lt;&gt;"",$C80&lt;&gt;"Target state",$C80&lt;&gt;"Exception",$D80="Low",$E80="High"),$A80&amp;"  "&amp;$B80,"")</f>
        <v/>
      </c>
    </row>
    <row r="81" ht="20" customHeight="1" s="52">
      <c r="A81" s="93" t="inlineStr">
        <is>
          <t>⑩</t>
        </is>
      </c>
      <c r="B81" s="94" t="n"/>
      <c r="C81" s="73" t="n"/>
      <c r="D81" s="73" t="n"/>
      <c r="E81" s="73" t="n"/>
      <c r="F81" s="72" t="n"/>
      <c r="G81" s="95">
        <f>IF(OR($B81="",$D81="",$E81=""),"",IF(OR($C81="Target state",$C81="Exception"),"Out of scope",IF($D81="Low","No tranche",IF($E81="Low","Tranche 1",IF($E81="Medium","Tranche 2",IF($D81="High","Tranche 3","No tranche"))))))</f>
        <v/>
      </c>
      <c r="K81" s="102" t="n"/>
      <c r="L81" s="102" t="n"/>
      <c r="M81" s="102" t="n"/>
      <c r="O81">
        <f>IF(AND($B81&lt;&gt;"",$C81&lt;&gt;"Target state",$C81&lt;&gt;"Exception",$D81="High",$E81="Low"),$A81&amp;"  "&amp;$B81,"")</f>
        <v/>
      </c>
      <c r="P81">
        <f>IF(AND($B81&lt;&gt;"",$C81&lt;&gt;"Target state",$C81&lt;&gt;"Exception",$D81="High",$E81="Medium"),$A81&amp;"  "&amp;$B81,"")</f>
        <v/>
      </c>
      <c r="Q81">
        <f>IF(AND($B81&lt;&gt;"",$C81&lt;&gt;"Target state",$C81&lt;&gt;"Exception",$D81="High",$E81="High"),$A81&amp;"  "&amp;$B81,"")</f>
        <v/>
      </c>
      <c r="R81">
        <f>IF(AND($B81&lt;&gt;"",$C81&lt;&gt;"Target state",$C81&lt;&gt;"Exception",$D81="Medium",$E81="Low"),$A81&amp;"  "&amp;$B81,"")</f>
        <v/>
      </c>
      <c r="S81">
        <f>IF(AND($B81&lt;&gt;"",$C81&lt;&gt;"Target state",$C81&lt;&gt;"Exception",$D81="Medium",$E81="Medium"),$A81&amp;"  "&amp;$B81,"")</f>
        <v/>
      </c>
      <c r="T81">
        <f>IF(AND($B81&lt;&gt;"",$C81&lt;&gt;"Target state",$C81&lt;&gt;"Exception",$D81="Medium",$E81="High"),$A81&amp;"  "&amp;$B81,"")</f>
        <v/>
      </c>
      <c r="U81">
        <f>IF(AND($B81&lt;&gt;"",$C81&lt;&gt;"Target state",$C81&lt;&gt;"Exception",$D81="Low",$E81="Low"),$A81&amp;"  "&amp;$B81,"")</f>
        <v/>
      </c>
      <c r="V81">
        <f>IF(AND($B81&lt;&gt;"",$C81&lt;&gt;"Target state",$C81&lt;&gt;"Exception",$D81="Low",$E81="Medium"),$A81&amp;"  "&amp;$B81,"")</f>
        <v/>
      </c>
      <c r="W81">
        <f>IF(AND($B81&lt;&gt;"",$C81&lt;&gt;"Target state",$C81&lt;&gt;"Exception",$D81="Low",$E81="High"),$A81&amp;"  "&amp;$B81,"")</f>
        <v/>
      </c>
    </row>
    <row r="82">
      <c r="K82" s="97" t="inlineStr">
        <is>
          <t>Complexity</t>
        </is>
      </c>
    </row>
  </sheetData>
  <mergeCells count="65">
    <mergeCell ref="L23:L27"/>
    <mergeCell ref="M40:M44"/>
    <mergeCell ref="J45:J49"/>
    <mergeCell ref="L45:L49"/>
    <mergeCell ref="A54:F54"/>
    <mergeCell ref="L79:L81"/>
    <mergeCell ref="K32:M32"/>
    <mergeCell ref="K50:M50"/>
    <mergeCell ref="M34:M39"/>
    <mergeCell ref="L76:L78"/>
    <mergeCell ref="L63:L65"/>
    <mergeCell ref="M76:M78"/>
    <mergeCell ref="M18:M22"/>
    <mergeCell ref="M45:M49"/>
    <mergeCell ref="L40:L44"/>
    <mergeCell ref="K23:K27"/>
    <mergeCell ref="L12:L17"/>
    <mergeCell ref="J34:J39"/>
    <mergeCell ref="K70:M70"/>
    <mergeCell ref="A32:F32"/>
    <mergeCell ref="K56:K59"/>
    <mergeCell ref="K72:K75"/>
    <mergeCell ref="M63:M65"/>
    <mergeCell ref="I34:I49"/>
    <mergeCell ref="M23:M27"/>
    <mergeCell ref="J76:J78"/>
    <mergeCell ref="J79:J81"/>
    <mergeCell ref="J60:J62"/>
    <mergeCell ref="A4:C4"/>
    <mergeCell ref="J18:J22"/>
    <mergeCell ref="K82:M82"/>
    <mergeCell ref="K18:K22"/>
    <mergeCell ref="J23:J27"/>
    <mergeCell ref="A10:F10"/>
    <mergeCell ref="K10:M10"/>
    <mergeCell ref="K28:M28"/>
    <mergeCell ref="K66:M66"/>
    <mergeCell ref="K12:K17"/>
    <mergeCell ref="M12:M17"/>
    <mergeCell ref="M79:M81"/>
    <mergeCell ref="I72:I81"/>
    <mergeCell ref="L72:L75"/>
    <mergeCell ref="K60:K62"/>
    <mergeCell ref="M60:M62"/>
    <mergeCell ref="K76:K78"/>
    <mergeCell ref="K63:K65"/>
    <mergeCell ref="K79:K81"/>
    <mergeCell ref="I56:I65"/>
    <mergeCell ref="K45:K49"/>
    <mergeCell ref="J40:J44"/>
    <mergeCell ref="J56:J59"/>
    <mergeCell ref="L34:L39"/>
    <mergeCell ref="L56:L59"/>
    <mergeCell ref="J12:J17"/>
    <mergeCell ref="K54:M54"/>
    <mergeCell ref="M56:M59"/>
    <mergeCell ref="A70:F70"/>
    <mergeCell ref="J72:J75"/>
    <mergeCell ref="M72:M75"/>
    <mergeCell ref="I12:I27"/>
    <mergeCell ref="L60:L62"/>
    <mergeCell ref="K34:K39"/>
    <mergeCell ref="L18:L22"/>
    <mergeCell ref="J63:J65"/>
    <mergeCell ref="K40:K44"/>
  </mergeCells>
  <conditionalFormatting sqref="A12:G27">
    <cfRule type="expression" priority="1" dxfId="43">
      <formula>OR($C12="Target state",$C12="Exception")</formula>
    </cfRule>
  </conditionalFormatting>
  <conditionalFormatting sqref="A34:G49">
    <cfRule type="expression" priority="2" dxfId="43">
      <formula>OR($C34="Target state",$C34="Exception")</formula>
    </cfRule>
  </conditionalFormatting>
  <conditionalFormatting sqref="A56:G65">
    <cfRule type="expression" priority="3" dxfId="43">
      <formula>OR($C56="Target state",$C56="Exception")</formula>
    </cfRule>
  </conditionalFormatting>
  <conditionalFormatting sqref="A72:G81">
    <cfRule type="expression" priority="4" dxfId="43">
      <formula>OR($C72="Target state",$C72="Exception")</formula>
    </cfRule>
  </conditionalFormatting>
  <dataValidations count="2">
    <dataValidation sqref="C12:C27 C34:C49 C56:C65 C72:C81" showDropDown="0" showInputMessage="0" showErrorMessage="0" allowBlank="1" type="list">
      <formula1>"Target state,Non-target state,Exception"</formula1>
    </dataValidation>
    <dataValidation sqref="D12:E27 D34:E49 D56:E65 D72:E8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W145"/>
  <sheetViews>
    <sheetView showGridLines="0" workbookViewId="0">
      <selection activeCell="A1" sqref="A1"/>
    </sheetView>
  </sheetViews>
  <sheetFormatPr baseColWidth="8" defaultRowHeight="15"/>
  <cols>
    <col width="5" customWidth="1" style="52" min="1" max="1"/>
    <col width="26" customWidth="1" style="52" min="2" max="2"/>
    <col width="17" customWidth="1" style="52" min="3" max="3"/>
    <col width="16" customWidth="1" style="52" min="4" max="4"/>
    <col width="15" customWidth="1" style="52" min="5" max="5"/>
    <col width="44" customWidth="1" style="52" min="6" max="6"/>
    <col width="14" customWidth="1" style="52" min="7" max="7"/>
    <col width="2" customWidth="1" style="52" min="8" max="8"/>
    <col width="4" customWidth="1" style="52" min="9" max="9"/>
    <col width="9" customWidth="1" style="52" min="10" max="10"/>
    <col width="26" customWidth="1" style="52" min="11" max="11"/>
    <col width="26" customWidth="1" style="52" min="12" max="12"/>
    <col width="26" customWidth="1" style="52" min="13" max="13"/>
    <col width="2" customWidth="1" style="52" min="14" max="14"/>
    <col hidden="1" width="13" customWidth="1" style="52" min="15" max="15"/>
    <col hidden="1" width="13" customWidth="1" style="52" min="16" max="16"/>
    <col hidden="1" width="13" customWidth="1" style="52" min="17" max="17"/>
    <col hidden="1" width="13" customWidth="1" style="52" min="18" max="18"/>
    <col hidden="1" width="13" customWidth="1" style="52" min="19" max="19"/>
    <col hidden="1" width="13" customWidth="1" style="52" min="20" max="20"/>
    <col hidden="1" width="13" customWidth="1" style="52" min="21" max="21"/>
    <col hidden="1" width="13" customWidth="1" style="52" min="22" max="22"/>
    <col hidden="1" width="13" customWidth="1" style="52" min="23" max="23"/>
  </cols>
  <sheetData>
    <row r="1">
      <c r="A1" s="83" t="inlineStr">
        <is>
          <t>Payment Processing — Platform Assessment</t>
        </is>
      </c>
    </row>
    <row r="2">
      <c r="A2" s="84">
        <f>HYPERLINK("#'Summary'!A1","← Back to Summary")</f>
        <v/>
      </c>
      <c r="C2" s="85" t="inlineStr">
        <is>
          <t>Pick a State, score High / Medium / Low — the tranche, the matrix and the Summary update automatically.</t>
        </is>
      </c>
    </row>
    <row r="4">
      <c r="A4" s="86" t="inlineStr">
        <is>
          <t>Tracker — jump to a sub-capability:</t>
        </is>
      </c>
    </row>
    <row r="5">
      <c r="A5" s="87" t="inlineStr">
        <is>
          <t>1.</t>
        </is>
      </c>
      <c r="B5" s="84">
        <f>HYPERLINK("#'Payment Processing'!A12","Gateway")</f>
        <v/>
      </c>
    </row>
    <row r="6">
      <c r="A6" s="87" t="inlineStr">
        <is>
          <t>2.</t>
        </is>
      </c>
      <c r="B6" s="84">
        <f>HYPERLINK("#'Payment Processing'!A57","Switch")</f>
        <v/>
      </c>
    </row>
    <row r="7">
      <c r="A7" s="87" t="inlineStr">
        <is>
          <t>3.</t>
        </is>
      </c>
      <c r="B7" s="84">
        <f>HYPERLINK("#'Payment Processing'!A73","Clearing Back-end")</f>
        <v/>
      </c>
    </row>
    <row r="8">
      <c r="A8" s="87" t="inlineStr">
        <is>
          <t>4.</t>
        </is>
      </c>
      <c r="B8" s="84">
        <f>HYPERLINK("#'Payment Processing'!A94","Authorization Host")</f>
        <v/>
      </c>
    </row>
    <row r="9">
      <c r="A9" s="87" t="inlineStr">
        <is>
          <t>5.</t>
        </is>
      </c>
      <c r="B9" s="84">
        <f>HYPERLINK("#'Payment Processing'!A117","Transaction monitoring")</f>
        <v/>
      </c>
    </row>
    <row r="10">
      <c r="A10" s="87" t="inlineStr">
        <is>
          <t>6.</t>
        </is>
      </c>
      <c r="B10" s="84">
        <f>HYPERLINK("#'Payment Processing'!A133","APMs/LPMs")</f>
        <v/>
      </c>
    </row>
    <row r="12" ht="22" customHeight="1" s="52">
      <c r="A12" s="88" t="inlineStr">
        <is>
          <t>Gateway</t>
        </is>
      </c>
      <c r="G12" s="89">
        <f>HYPERLINK("#'Payment Processing'!A4","▲ tracker")</f>
        <v/>
      </c>
      <c r="K12" s="90" t="inlineStr">
        <is>
          <t>Assessment Outcome</t>
        </is>
      </c>
    </row>
    <row r="13" ht="18" customHeight="1" s="52">
      <c r="A13" s="91" t="inlineStr">
        <is>
          <t>#</t>
        </is>
      </c>
      <c r="B13" s="91" t="inlineStr">
        <is>
          <t>Platform</t>
        </is>
      </c>
      <c r="C13" s="91" t="inlineStr">
        <is>
          <t>State</t>
        </is>
      </c>
      <c r="D13" s="91" t="inlineStr">
        <is>
          <t>Imperative to exit</t>
        </is>
      </c>
      <c r="E13" s="91" t="inlineStr">
        <is>
          <t>Exit complexity</t>
        </is>
      </c>
      <c r="F13" s="91" t="inlineStr">
        <is>
          <t>Supporting facts</t>
        </is>
      </c>
      <c r="G13" s="91" t="inlineStr">
        <is>
          <t>Tranche (auto)</t>
        </is>
      </c>
      <c r="K13" s="92" t="inlineStr">
        <is>
          <t>Low</t>
        </is>
      </c>
      <c r="L13" s="92" t="inlineStr">
        <is>
          <t>Medium</t>
        </is>
      </c>
      <c r="M13" s="92" t="inlineStr">
        <is>
          <t>High</t>
        </is>
      </c>
    </row>
    <row r="14" ht="20" customHeight="1" s="52">
      <c r="A14" s="93" t="inlineStr">
        <is>
          <t>①</t>
        </is>
      </c>
      <c r="B14" s="94" t="inlineStr">
        <is>
          <t>Global Gateway</t>
        </is>
      </c>
      <c r="C14" s="73" t="inlineStr">
        <is>
          <t>Target state</t>
        </is>
      </c>
      <c r="D14" s="73" t="n"/>
      <c r="E14" s="73" t="n"/>
      <c r="F14" s="72" t="n"/>
      <c r="G14" s="95">
        <f>IF(OR($B14="",$D14="",$E14=""),"",IF(OR($C14="Target state",$C14="Exception"),"Out of scope",IF($D14="Low","No tranche",IF($E14="Low","Tranche 1",IF($E14="Medium","Tranche 2",IF($D14="High","Tranche 3","No tranche"))))))</f>
        <v/>
      </c>
      <c r="I14" s="96" t="inlineStr">
        <is>
          <t>Benefits</t>
        </is>
      </c>
      <c r="J14" s="97" t="inlineStr">
        <is>
          <t>High</t>
        </is>
      </c>
      <c r="K14" s="98">
        <f>"Tranche 1"&amp;CHAR(10)&amp;_xlfn.TEXTJOIN(CHAR(10),TRUE,O$14:O$52)</f>
        <v/>
      </c>
      <c r="L14" s="99">
        <f>"Tranche 2"&amp;CHAR(10)&amp;_xlfn.TEXTJOIN(CHAR(10),TRUE,P$14:P$52)</f>
        <v/>
      </c>
      <c r="M14" s="100">
        <f>"Tranche 3"&amp;CHAR(10)&amp;_xlfn.TEXTJOIN(CHAR(10),TRUE,Q$14:Q$52)</f>
        <v/>
      </c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60" customHeight="1" s="52">
      <c r="A15" s="93" t="inlineStr">
        <is>
          <t>②</t>
        </is>
      </c>
      <c r="B15" s="94" t="inlineStr">
        <is>
          <t>Edge</t>
        </is>
      </c>
      <c r="C15" s="73" t="inlineStr">
        <is>
          <t>Non-target state</t>
        </is>
      </c>
      <c r="D15" s="73" t="inlineStr">
        <is>
          <t>High</t>
        </is>
      </c>
      <c r="E15" s="73" t="inlineStr">
        <is>
          <t>High</t>
        </is>
      </c>
      <c r="F15" s="72" t="inlineStr">
        <is>
          <t>Non-strategic but high volume — roughly 700M transactions and $50B processed annually across 80K MIDs, over half of contribution — with high feature complexity, surcharging built under prior constraints and about $7M in yearly run cost; structured multi-year migration, modernization and exit plan with stop-sell in around 24 months</t>
        </is>
      </c>
      <c r="G15" s="95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101" t="n"/>
      <c r="L15" s="101" t="n"/>
      <c r="M15" s="101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30" customHeight="1" s="52">
      <c r="A16" s="93" t="inlineStr">
        <is>
          <t>③</t>
        </is>
      </c>
      <c r="B16" s="94" t="inlineStr">
        <is>
          <t>WP Total / Emboss</t>
        </is>
      </c>
      <c r="C16" s="73" t="inlineStr">
        <is>
          <t>Non-target state</t>
        </is>
      </c>
      <c r="D16" s="73" t="inlineStr">
        <is>
          <t>High</t>
        </is>
      </c>
      <c r="E16" s="73" t="inlineStr">
        <is>
          <t>Medium</t>
        </is>
      </c>
      <c r="F16" s="72" t="inlineStr">
        <is>
          <t>Non-strategic with moderate volume at 10–25% of contribution; stop-sell within six months while migration plans to target are built</t>
        </is>
      </c>
      <c r="G16" s="95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101" t="n"/>
      <c r="L16" s="101" t="n"/>
      <c r="M16" s="101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48" customHeight="1" s="52">
      <c r="A17" s="93" t="inlineStr">
        <is>
          <t>④</t>
        </is>
      </c>
      <c r="B17" s="94" t="inlineStr">
        <is>
          <t>Innovo</t>
        </is>
      </c>
      <c r="C17" s="73" t="inlineStr">
        <is>
          <t>Non-target state</t>
        </is>
      </c>
      <c r="D17" s="73" t="inlineStr">
        <is>
          <t>Medium</t>
        </is>
      </c>
      <c r="E17" s="73" t="inlineStr">
        <is>
          <t>Low</t>
        </is>
      </c>
      <c r="F17" s="72" t="inlineStr">
        <is>
          <t>Non-strategic and low volume — about 18M transactions and $2B processed across 2.3K MIDs, roughly 1% of volume and $20M of revenue — with a small feature gap and about $350K in yearly run cost; immediate stop-sell within three months alongside migration planning</t>
        </is>
      </c>
      <c r="G17" s="95">
        <f>IF(OR($B17="",$D17="",$E17=""),"",IF(OR($C17="Target state",$C17="Exception"),"Out of scope",IF($D17="Low","No tranche",IF($E17="Low","Tranche 1",IF($E17="Medium","Tranche 2",IF($D17="High","Tranche 3","No tranche"))))))</f>
        <v/>
      </c>
      <c r="K17" s="101" t="n"/>
      <c r="L17" s="101" t="n"/>
      <c r="M17" s="101" t="n"/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30" customHeight="1" s="52">
      <c r="A18" s="93" t="inlineStr">
        <is>
          <t>⑤</t>
        </is>
      </c>
      <c r="B18" s="94" t="inlineStr">
        <is>
          <t>EWay</t>
        </is>
      </c>
      <c r="C18" s="73" t="inlineStr">
        <is>
          <t>Non-target state</t>
        </is>
      </c>
      <c r="D18" s="73" t="inlineStr">
        <is>
          <t>Medium</t>
        </is>
      </c>
      <c r="E18" s="73" t="inlineStr">
        <is>
          <t>Medium</t>
        </is>
      </c>
      <c r="F18" s="72" t="inlineStr">
        <is>
          <t>Non-strategic with moderate volume at 10–25% of contribution; stop-sell within six months while migration plans to target are built</t>
        </is>
      </c>
      <c r="G18" s="95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101" t="n"/>
      <c r="L18" s="101" t="n"/>
      <c r="M18" s="101" t="n"/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60" customHeight="1" s="52">
      <c r="A19" s="93" t="inlineStr">
        <is>
          <t>⑥</t>
        </is>
      </c>
      <c r="B19" s="94" t="inlineStr">
        <is>
          <t>Sterling</t>
        </is>
      </c>
      <c r="C19" s="73" t="inlineStr">
        <is>
          <t>Non-target state</t>
        </is>
      </c>
      <c r="D19" s="73" t="inlineStr">
        <is>
          <t>Medium</t>
        </is>
      </c>
      <c r="E19" s="73" t="inlineStr">
        <is>
          <t>Low</t>
        </is>
      </c>
      <c r="F19" s="72" t="inlineStr">
        <is>
          <t>Non-strategic and low volume — about 46M transactions and $1.8B processed across 4.7K merchants — and on the agreed decommission list; immediate stop-sell within three months alongside migration planning. The repository records Sterling Gateway and SNAP as a single platform — consider merging with the SNAP row</t>
        </is>
      </c>
      <c r="G19" s="95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101" t="n"/>
      <c r="L19" s="101" t="n"/>
      <c r="M19" s="101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30" customHeight="1" s="52">
      <c r="A20" s="93" t="inlineStr">
        <is>
          <t>⑦</t>
        </is>
      </c>
      <c r="B20" s="94" t="inlineStr">
        <is>
          <t>Tron</t>
        </is>
      </c>
      <c r="C20" s="73" t="inlineStr">
        <is>
          <t>Non-target state</t>
        </is>
      </c>
      <c r="D20" s="73" t="inlineStr">
        <is>
          <t>Medium</t>
        </is>
      </c>
      <c r="E20" s="73" t="inlineStr">
        <is>
          <t>Low</t>
        </is>
      </c>
      <c r="F20" s="72" t="inlineStr">
        <is>
          <t>Non-strategic and low volume legacy eCommerce gateway for the Germany business; immediate stop-sell within three months alongside migration planning</t>
        </is>
      </c>
      <c r="G20" s="95">
        <f>IF(OR($B20="",$D20="",$E20=""),"",IF(OR($C20="Target state",$C20="Exception"),"Out of scope",IF($D20="Low","No tranche",IF($E20="Low","Tranche 1",IF($E20="Medium","Tranche 2",IF($D20="High","Tranche 3","No tranche"))))))</f>
        <v/>
      </c>
      <c r="K20" s="101" t="n"/>
      <c r="L20" s="101" t="n"/>
      <c r="M20" s="101" t="n"/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36" customHeight="1" s="52">
      <c r="A21" s="93" t="inlineStr">
        <is>
          <t>⑧</t>
        </is>
      </c>
      <c r="B21" s="94" t="inlineStr">
        <is>
          <t>SNAP</t>
        </is>
      </c>
      <c r="C21" s="73" t="inlineStr">
        <is>
          <t>Non-target state</t>
        </is>
      </c>
      <c r="D21" s="73" t="inlineStr">
        <is>
          <t>Medium</t>
        </is>
      </c>
      <c r="E21" s="73" t="inlineStr">
        <is>
          <t>Low</t>
        </is>
      </c>
      <c r="F21" s="72" t="inlineStr">
        <is>
          <t>Non-strategic and low volume and on the agreed decommission list; immediate stop-sell within three months alongside migration planning. Likely the same platform as Sterling Gateway in the repository — confirm and merge if so</t>
        </is>
      </c>
      <c r="G21" s="95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101" t="n"/>
      <c r="L21" s="101" t="n"/>
      <c r="M21" s="101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48" customHeight="1" s="52">
      <c r="A22" s="93" t="inlineStr">
        <is>
          <t>⑨</t>
        </is>
      </c>
      <c r="B22" s="94" t="inlineStr">
        <is>
          <t>GP WebPay</t>
        </is>
      </c>
      <c r="C22" s="73" t="inlineStr">
        <is>
          <t>Non-target state</t>
        </is>
      </c>
      <c r="D22" s="73" t="inlineStr">
        <is>
          <t>Medium</t>
        </is>
      </c>
      <c r="E22" s="73" t="inlineStr">
        <is>
          <t>Low</t>
        </is>
      </c>
      <c r="F22" s="72" t="inlineStr">
        <is>
          <t>Non-strategic and low volume in contribution terms — the repository shows about 63M transactions and $3.1B processed across 11K MIDs with around $800K in yearly run cost; immediate stop-sell within three months alongside migration planning, noting the repository's initial Keep &amp; Enhance disposition</t>
        </is>
      </c>
      <c r="G22" s="95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101" t="n"/>
      <c r="L22" s="101" t="n"/>
      <c r="M22" s="101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48" customHeight="1" s="52">
      <c r="A23" s="93" t="inlineStr">
        <is>
          <t>⑩</t>
        </is>
      </c>
      <c r="B23" s="94" t="inlineStr">
        <is>
          <t>Ezidebit</t>
        </is>
      </c>
      <c r="C23" s="73" t="inlineStr">
        <is>
          <t>Non-target state</t>
        </is>
      </c>
      <c r="D23" s="73" t="inlineStr">
        <is>
          <t>Medium</t>
        </is>
      </c>
      <c r="E23" s="73" t="inlineStr">
        <is>
          <t>Medium</t>
        </is>
      </c>
      <c r="F23" s="72" t="inlineStr">
        <is>
          <t>Non-strategic with moderate volume at 10–25% of contribution; stop-sell within six months while building migration plans to target; related Ezidebit platforms for boarding, reporting and settlement are captured in their own areas</t>
        </is>
      </c>
      <c r="G23" s="95">
        <f>IF(OR($B23="",$D23="",$E23=""),"",IF(OR($C23="Target state",$C23="Exception"),"Out of scope",IF($D23="Low","No tranche",IF($E23="Low","Tranche 1",IF($E23="Medium","Tranche 2",IF($D23="High","Tranche 3","No tranche"))))))</f>
        <v/>
      </c>
      <c r="K23" s="101" t="n"/>
      <c r="L23" s="101" t="n"/>
      <c r="M23" s="101" t="n"/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4" ht="36" customHeight="1" s="52">
      <c r="A24" s="93" t="inlineStr">
        <is>
          <t>⑪</t>
        </is>
      </c>
      <c r="B24" s="94" t="inlineStr">
        <is>
          <t>International Business Card (IBC)</t>
        </is>
      </c>
      <c r="C24" s="73" t="inlineStr">
        <is>
          <t>Non-target state</t>
        </is>
      </c>
      <c r="D24" s="73" t="n"/>
      <c r="E24" s="73" t="n"/>
      <c r="F24" s="72" t="inlineStr">
        <is>
          <t>Non-strategic legacy gateway serving US merchants; about 5.6M transactions and $688M processed across 2.2K MIDs; annual run cost near $450K; on the decommission path</t>
        </is>
      </c>
      <c r="G24" s="95">
        <f>IF(OR($B24="",$D24="",$E24=""),"",IF(OR($C24="Target state",$C24="Exception"),"Out of scope",IF($D24="Low","No tranche",IF($E24="Low","Tranche 1",IF($E24="Medium","Tranche 2",IF($D24="High","Tranche 3","No tranche"))))))</f>
        <v/>
      </c>
      <c r="K24" s="101" t="n"/>
      <c r="L24" s="101" t="n"/>
      <c r="M24" s="101" t="n"/>
      <c r="O24">
        <f>IF(AND($B24&lt;&gt;"",$C24&lt;&gt;"Target state",$C24&lt;&gt;"Exception",$D24="High",$E24="Low"),$A24&amp;"  "&amp;$B24,"")</f>
        <v/>
      </c>
      <c r="P24">
        <f>IF(AND($B24&lt;&gt;"",$C24&lt;&gt;"Target state",$C24&lt;&gt;"Exception",$D24="High",$E24="Medium"),$A24&amp;"  "&amp;$B24,"")</f>
        <v/>
      </c>
      <c r="Q24">
        <f>IF(AND($B24&lt;&gt;"",$C24&lt;&gt;"Target state",$C24&lt;&gt;"Exception",$D24="High",$E24="High"),$A24&amp;"  "&amp;$B24,"")</f>
        <v/>
      </c>
      <c r="R24">
        <f>IF(AND($B24&lt;&gt;"",$C24&lt;&gt;"Target state",$C24&lt;&gt;"Exception",$D24="Medium",$E24="Low"),$A24&amp;"  "&amp;$B24,"")</f>
        <v/>
      </c>
      <c r="S24">
        <f>IF(AND($B24&lt;&gt;"",$C24&lt;&gt;"Target state",$C24&lt;&gt;"Exception",$D24="Medium",$E24="Medium"),$A24&amp;"  "&amp;$B24,"")</f>
        <v/>
      </c>
      <c r="T24">
        <f>IF(AND($B24&lt;&gt;"",$C24&lt;&gt;"Target state",$C24&lt;&gt;"Exception",$D24="Medium",$E24="High"),$A24&amp;"  "&amp;$B24,"")</f>
        <v/>
      </c>
      <c r="U24">
        <f>IF(AND($B24&lt;&gt;"",$C24&lt;&gt;"Target state",$C24&lt;&gt;"Exception",$D24="Low",$E24="Low"),$A24&amp;"  "&amp;$B24,"")</f>
        <v/>
      </c>
      <c r="V24">
        <f>IF(AND($B24&lt;&gt;"",$C24&lt;&gt;"Target state",$C24&lt;&gt;"Exception",$D24="Low",$E24="Medium"),$A24&amp;"  "&amp;$B24,"")</f>
        <v/>
      </c>
      <c r="W24">
        <f>IF(AND($B24&lt;&gt;"",$C24&lt;&gt;"Target state",$C24&lt;&gt;"Exception",$D24="Low",$E24="High"),$A24&amp;"  "&amp;$B24,"")</f>
        <v/>
      </c>
    </row>
    <row r="25" ht="36" customHeight="1" s="52">
      <c r="A25" s="93" t="inlineStr">
        <is>
          <t>⑫</t>
        </is>
      </c>
      <c r="B25" s="94" t="inlineStr">
        <is>
          <t>Transaction Express (TXP)</t>
        </is>
      </c>
      <c r="C25" s="73" t="inlineStr">
        <is>
          <t>Non-target state</t>
        </is>
      </c>
      <c r="D25" s="73" t="n"/>
      <c r="E25" s="73" t="n"/>
      <c r="F25" s="72" t="inlineStr">
        <is>
          <t>Non-strategic legacy TSYS gateway for US merchants; about 60M transactions and $7.8B processed across 19K MIDs; annual run cost near $1.1M including the ACI licence; on the decommission path</t>
        </is>
      </c>
      <c r="G25" s="95">
        <f>IF(OR($B25="",$D25="",$E25=""),"",IF(OR($C25="Target state",$C25="Exception"),"Out of scope",IF($D25="Low","No tranche",IF($E25="Low","Tranche 1",IF($E25="Medium","Tranche 2",IF($D25="High","Tranche 3","No tranche"))))))</f>
        <v/>
      </c>
      <c r="K25" s="101" t="n"/>
      <c r="L25" s="101" t="n"/>
      <c r="M25" s="101" t="n"/>
      <c r="O25">
        <f>IF(AND($B25&lt;&gt;"",$C25&lt;&gt;"Target state",$C25&lt;&gt;"Exception",$D25="High",$E25="Low"),$A25&amp;"  "&amp;$B25,"")</f>
        <v/>
      </c>
      <c r="P25">
        <f>IF(AND($B25&lt;&gt;"",$C25&lt;&gt;"Target state",$C25&lt;&gt;"Exception",$D25="High",$E25="Medium"),$A25&amp;"  "&amp;$B25,"")</f>
        <v/>
      </c>
      <c r="Q25">
        <f>IF(AND($B25&lt;&gt;"",$C25&lt;&gt;"Target state",$C25&lt;&gt;"Exception",$D25="High",$E25="High"),$A25&amp;"  "&amp;$B25,"")</f>
        <v/>
      </c>
      <c r="R25">
        <f>IF(AND($B25&lt;&gt;"",$C25&lt;&gt;"Target state",$C25&lt;&gt;"Exception",$D25="Medium",$E25="Low"),$A25&amp;"  "&amp;$B25,"")</f>
        <v/>
      </c>
      <c r="S25">
        <f>IF(AND($B25&lt;&gt;"",$C25&lt;&gt;"Target state",$C25&lt;&gt;"Exception",$D25="Medium",$E25="Medium"),$A25&amp;"  "&amp;$B25,"")</f>
        <v/>
      </c>
      <c r="T25">
        <f>IF(AND($B25&lt;&gt;"",$C25&lt;&gt;"Target state",$C25&lt;&gt;"Exception",$D25="Medium",$E25="High"),$A25&amp;"  "&amp;$B25,"")</f>
        <v/>
      </c>
      <c r="U25">
        <f>IF(AND($B25&lt;&gt;"",$C25&lt;&gt;"Target state",$C25&lt;&gt;"Exception",$D25="Low",$E25="Low"),$A25&amp;"  "&amp;$B25,"")</f>
        <v/>
      </c>
      <c r="V25">
        <f>IF(AND($B25&lt;&gt;"",$C25&lt;&gt;"Target state",$C25&lt;&gt;"Exception",$D25="Low",$E25="Medium"),$A25&amp;"  "&amp;$B25,"")</f>
        <v/>
      </c>
      <c r="W25">
        <f>IF(AND($B25&lt;&gt;"",$C25&lt;&gt;"Target state",$C25&lt;&gt;"Exception",$D25="Low",$E25="High"),$A25&amp;"  "&amp;$B25,"")</f>
        <v/>
      </c>
    </row>
    <row r="26" ht="36" customHeight="1" s="52">
      <c r="A26" s="93" t="inlineStr">
        <is>
          <t>⑬</t>
        </is>
      </c>
      <c r="B26" s="94" t="inlineStr">
        <is>
          <t>Transaction Central (TC)</t>
        </is>
      </c>
      <c r="C26" s="73" t="inlineStr">
        <is>
          <t>Non-target state</t>
        </is>
      </c>
      <c r="D26" s="73" t="n"/>
      <c r="E26" s="73" t="n"/>
      <c r="F26" s="72" t="inlineStr">
        <is>
          <t>Non-strategic legacy TSYS gateway for US merchants; about 36M transactions and $4.8B processed across 43K MIDs; annual run cost near $1.1M including third-party support; on the decommission path</t>
        </is>
      </c>
      <c r="G26" s="95">
        <f>IF(OR($B26="",$D26="",$E26=""),"",IF(OR($C26="Target state",$C26="Exception"),"Out of scope",IF($D26="Low","No tranche",IF($E26="Low","Tranche 1",IF($E26="Medium","Tranche 2",IF($D26="High","Tranche 3","No tranche"))))))</f>
        <v/>
      </c>
      <c r="K26" s="102" t="n"/>
      <c r="L26" s="102" t="n"/>
      <c r="M26" s="102" t="n"/>
      <c r="O26">
        <f>IF(AND($B26&lt;&gt;"",$C26&lt;&gt;"Target state",$C26&lt;&gt;"Exception",$D26="High",$E26="Low"),$A26&amp;"  "&amp;$B26,"")</f>
        <v/>
      </c>
      <c r="P26">
        <f>IF(AND($B26&lt;&gt;"",$C26&lt;&gt;"Target state",$C26&lt;&gt;"Exception",$D26="High",$E26="Medium"),$A26&amp;"  "&amp;$B26,"")</f>
        <v/>
      </c>
      <c r="Q26">
        <f>IF(AND($B26&lt;&gt;"",$C26&lt;&gt;"Target state",$C26&lt;&gt;"Exception",$D26="High",$E26="High"),$A26&amp;"  "&amp;$B26,"")</f>
        <v/>
      </c>
      <c r="R26">
        <f>IF(AND($B26&lt;&gt;"",$C26&lt;&gt;"Target state",$C26&lt;&gt;"Exception",$D26="Medium",$E26="Low"),$A26&amp;"  "&amp;$B26,"")</f>
        <v/>
      </c>
      <c r="S26">
        <f>IF(AND($B26&lt;&gt;"",$C26&lt;&gt;"Target state",$C26&lt;&gt;"Exception",$D26="Medium",$E26="Medium"),$A26&amp;"  "&amp;$B26,"")</f>
        <v/>
      </c>
      <c r="T26">
        <f>IF(AND($B26&lt;&gt;"",$C26&lt;&gt;"Target state",$C26&lt;&gt;"Exception",$D26="Medium",$E26="High"),$A26&amp;"  "&amp;$B26,"")</f>
        <v/>
      </c>
      <c r="U26">
        <f>IF(AND($B26&lt;&gt;"",$C26&lt;&gt;"Target state",$C26&lt;&gt;"Exception",$D26="Low",$E26="Low"),$A26&amp;"  "&amp;$B26,"")</f>
        <v/>
      </c>
      <c r="V26">
        <f>IF(AND($B26&lt;&gt;"",$C26&lt;&gt;"Target state",$C26&lt;&gt;"Exception",$D26="Low",$E26="Medium"),$A26&amp;"  "&amp;$B26,"")</f>
        <v/>
      </c>
      <c r="W26">
        <f>IF(AND($B26&lt;&gt;"",$C26&lt;&gt;"Target state",$C26&lt;&gt;"Exception",$D26="Low",$E26="High"),$A26&amp;"  "&amp;$B26,"")</f>
        <v/>
      </c>
    </row>
    <row r="27" ht="36" customHeight="1" s="52">
      <c r="A27" s="93" t="inlineStr">
        <is>
          <t>⑭</t>
        </is>
      </c>
      <c r="B27" s="94" t="inlineStr">
        <is>
          <t>DialPay 2.0</t>
        </is>
      </c>
      <c r="C27" s="73" t="inlineStr">
        <is>
          <t>Non-target state</t>
        </is>
      </c>
      <c r="D27" s="73" t="n"/>
      <c r="E27" s="73" t="n"/>
      <c r="F27" s="72" t="inlineStr">
        <is>
          <t>Non-strategic IVR authorization application for legacy TSYS merchants; usage concentrated in older portfolios; repository flags initial disposition Keep &amp; Enhance — confirm with SPOC</t>
        </is>
      </c>
      <c r="G27" s="95">
        <f>IF(OR($B27="",$D27="",$E27=""),"",IF(OR($C27="Target state",$C27="Exception"),"Out of scope",IF($D27="Low","No tranche",IF($E27="Low","Tranche 1",IF($E27="Medium","Tranche 2",IF($D27="High","Tranche 3","No tranche"))))))</f>
        <v/>
      </c>
      <c r="J27" s="97" t="inlineStr">
        <is>
          <t>Medium</t>
        </is>
      </c>
      <c r="K27" s="98">
        <f>"Tranche 1"&amp;CHAR(10)&amp;_xlfn.TEXTJOIN(CHAR(10),TRUE,R$14:R$52)</f>
        <v/>
      </c>
      <c r="L27" s="99">
        <f>"Tranche 2"&amp;CHAR(10)&amp;_xlfn.TEXTJOIN(CHAR(10),TRUE,S$14:S$52)</f>
        <v/>
      </c>
      <c r="M27" s="103">
        <f>_xlfn.TEXTJOIN(CHAR(10),TRUE,T$14:T$52)</f>
        <v/>
      </c>
      <c r="O27">
        <f>IF(AND($B27&lt;&gt;"",$C27&lt;&gt;"Target state",$C27&lt;&gt;"Exception",$D27="High",$E27="Low"),$A27&amp;"  "&amp;$B27,"")</f>
        <v/>
      </c>
      <c r="P27">
        <f>IF(AND($B27&lt;&gt;"",$C27&lt;&gt;"Target state",$C27&lt;&gt;"Exception",$D27="High",$E27="Medium"),$A27&amp;"  "&amp;$B27,"")</f>
        <v/>
      </c>
      <c r="Q27">
        <f>IF(AND($B27&lt;&gt;"",$C27&lt;&gt;"Target state",$C27&lt;&gt;"Exception",$D27="High",$E27="High"),$A27&amp;"  "&amp;$B27,"")</f>
        <v/>
      </c>
      <c r="R27">
        <f>IF(AND($B27&lt;&gt;"",$C27&lt;&gt;"Target state",$C27&lt;&gt;"Exception",$D27="Medium",$E27="Low"),$A27&amp;"  "&amp;$B27,"")</f>
        <v/>
      </c>
      <c r="S27">
        <f>IF(AND($B27&lt;&gt;"",$C27&lt;&gt;"Target state",$C27&lt;&gt;"Exception",$D27="Medium",$E27="Medium"),$A27&amp;"  "&amp;$B27,"")</f>
        <v/>
      </c>
      <c r="T27">
        <f>IF(AND($B27&lt;&gt;"",$C27&lt;&gt;"Target state",$C27&lt;&gt;"Exception",$D27="Medium",$E27="High"),$A27&amp;"  "&amp;$B27,"")</f>
        <v/>
      </c>
      <c r="U27">
        <f>IF(AND($B27&lt;&gt;"",$C27&lt;&gt;"Target state",$C27&lt;&gt;"Exception",$D27="Low",$E27="Low"),$A27&amp;"  "&amp;$B27,"")</f>
        <v/>
      </c>
      <c r="V27">
        <f>IF(AND($B27&lt;&gt;"",$C27&lt;&gt;"Target state",$C27&lt;&gt;"Exception",$D27="Low",$E27="Medium"),$A27&amp;"  "&amp;$B27,"")</f>
        <v/>
      </c>
      <c r="W27">
        <f>IF(AND($B27&lt;&gt;"",$C27&lt;&gt;"Target state",$C27&lt;&gt;"Exception",$D27="Low",$E27="High"),$A27&amp;"  "&amp;$B27,"")</f>
        <v/>
      </c>
    </row>
    <row r="28" ht="30" customHeight="1" s="52">
      <c r="A28" s="93" t="inlineStr">
        <is>
          <t>⑮</t>
        </is>
      </c>
      <c r="B28" s="94" t="inlineStr">
        <is>
          <t>EVO ACH</t>
        </is>
      </c>
      <c r="C28" s="73" t="inlineStr">
        <is>
          <t>Non-target state</t>
        </is>
      </c>
      <c r="D28" s="73" t="n"/>
      <c r="E28" s="73" t="n"/>
      <c r="F28" s="72" t="inlineStr">
        <is>
          <t>Non-strategic ACH platform supporting PayFabric, already in maintenance mode with Heartland ACH as the go-forward platform; migration path agreed</t>
        </is>
      </c>
      <c r="G28" s="95">
        <f>IF(OR($B28="",$D28="",$E28=""),"",IF(OR($C28="Target state",$C28="Exception"),"Out of scope",IF($D28="Low","No tranche",IF($E28="Low","Tranche 1",IF($E28="Medium","Tranche 2",IF($D28="High","Tranche 3","No tranche"))))))</f>
        <v/>
      </c>
      <c r="K28" s="101" t="n"/>
      <c r="L28" s="101" t="n"/>
      <c r="M28" s="101" t="n"/>
      <c r="O28">
        <f>IF(AND($B28&lt;&gt;"",$C28&lt;&gt;"Target state",$C28&lt;&gt;"Exception",$D28="High",$E28="Low"),$A28&amp;"  "&amp;$B28,"")</f>
        <v/>
      </c>
      <c r="P28">
        <f>IF(AND($B28&lt;&gt;"",$C28&lt;&gt;"Target state",$C28&lt;&gt;"Exception",$D28="High",$E28="Medium"),$A28&amp;"  "&amp;$B28,"")</f>
        <v/>
      </c>
      <c r="Q28">
        <f>IF(AND($B28&lt;&gt;"",$C28&lt;&gt;"Target state",$C28&lt;&gt;"Exception",$D28="High",$E28="High"),$A28&amp;"  "&amp;$B28,"")</f>
        <v/>
      </c>
      <c r="R28">
        <f>IF(AND($B28&lt;&gt;"",$C28&lt;&gt;"Target state",$C28&lt;&gt;"Exception",$D28="Medium",$E28="Low"),$A28&amp;"  "&amp;$B28,"")</f>
        <v/>
      </c>
      <c r="S28">
        <f>IF(AND($B28&lt;&gt;"",$C28&lt;&gt;"Target state",$C28&lt;&gt;"Exception",$D28="Medium",$E28="Medium"),$A28&amp;"  "&amp;$B28,"")</f>
        <v/>
      </c>
      <c r="T28">
        <f>IF(AND($B28&lt;&gt;"",$C28&lt;&gt;"Target state",$C28&lt;&gt;"Exception",$D28="Medium",$E28="High"),$A28&amp;"  "&amp;$B28,"")</f>
        <v/>
      </c>
      <c r="U28">
        <f>IF(AND($B28&lt;&gt;"",$C28&lt;&gt;"Target state",$C28&lt;&gt;"Exception",$D28="Low",$E28="Low"),$A28&amp;"  "&amp;$B28,"")</f>
        <v/>
      </c>
      <c r="V28">
        <f>IF(AND($B28&lt;&gt;"",$C28&lt;&gt;"Target state",$C28&lt;&gt;"Exception",$D28="Low",$E28="Medium"),$A28&amp;"  "&amp;$B28,"")</f>
        <v/>
      </c>
      <c r="W28">
        <f>IF(AND($B28&lt;&gt;"",$C28&lt;&gt;"Target state",$C28&lt;&gt;"Exception",$D28="Low",$E28="High"),$A28&amp;"  "&amp;$B28,"")</f>
        <v/>
      </c>
    </row>
    <row r="29" ht="48" customHeight="1" s="52">
      <c r="A29" s="93" t="inlineStr">
        <is>
          <t>⑯</t>
        </is>
      </c>
      <c r="B29" s="94" t="inlineStr">
        <is>
          <t>Heartland Bill Pay</t>
        </is>
      </c>
      <c r="C29" s="73" t="inlineStr">
        <is>
          <t>Non-target state</t>
        </is>
      </c>
      <c r="D29" s="73" t="n"/>
      <c r="E29" s="73" t="n"/>
      <c r="F29" s="72" t="inlineStr">
        <is>
          <t>Bill-payment platform integrating billing ISVs into Heartland ACH and Portico; about 35M transactions and $4.5B processed across 6.4K MIDs; around $1.2M in yearly third-party cost; repository flags initial disposition Keep &amp; Enhance — confirm with SPOC</t>
        </is>
      </c>
      <c r="G29" s="95">
        <f>IF(OR($B29="",$D29="",$E29=""),"",IF(OR($C29="Target state",$C29="Exception"),"Out of scope",IF($D29="Low","No tranche",IF($E29="Low","Tranche 1",IF($E29="Medium","Tranche 2",IF($D29="High","Tranche 3","No tranche"))))))</f>
        <v/>
      </c>
      <c r="K29" s="101" t="n"/>
      <c r="L29" s="101" t="n"/>
      <c r="M29" s="101" t="n"/>
      <c r="O29">
        <f>IF(AND($B29&lt;&gt;"",$C29&lt;&gt;"Target state",$C29&lt;&gt;"Exception",$D29="High",$E29="Low"),$A29&amp;"  "&amp;$B29,"")</f>
        <v/>
      </c>
      <c r="P29">
        <f>IF(AND($B29&lt;&gt;"",$C29&lt;&gt;"Target state",$C29&lt;&gt;"Exception",$D29="High",$E29="Medium"),$A29&amp;"  "&amp;$B29,"")</f>
        <v/>
      </c>
      <c r="Q29">
        <f>IF(AND($B29&lt;&gt;"",$C29&lt;&gt;"Target state",$C29&lt;&gt;"Exception",$D29="High",$E29="High"),$A29&amp;"  "&amp;$B29,"")</f>
        <v/>
      </c>
      <c r="R29">
        <f>IF(AND($B29&lt;&gt;"",$C29&lt;&gt;"Target state",$C29&lt;&gt;"Exception",$D29="Medium",$E29="Low"),$A29&amp;"  "&amp;$B29,"")</f>
        <v/>
      </c>
      <c r="S29">
        <f>IF(AND($B29&lt;&gt;"",$C29&lt;&gt;"Target state",$C29&lt;&gt;"Exception",$D29="Medium",$E29="Medium"),$A29&amp;"  "&amp;$B29,"")</f>
        <v/>
      </c>
      <c r="T29">
        <f>IF(AND($B29&lt;&gt;"",$C29&lt;&gt;"Target state",$C29&lt;&gt;"Exception",$D29="Medium",$E29="High"),$A29&amp;"  "&amp;$B29,"")</f>
        <v/>
      </c>
      <c r="U29">
        <f>IF(AND($B29&lt;&gt;"",$C29&lt;&gt;"Target state",$C29&lt;&gt;"Exception",$D29="Low",$E29="Low"),$A29&amp;"  "&amp;$B29,"")</f>
        <v/>
      </c>
      <c r="V29">
        <f>IF(AND($B29&lt;&gt;"",$C29&lt;&gt;"Target state",$C29&lt;&gt;"Exception",$D29="Low",$E29="Medium"),$A29&amp;"  "&amp;$B29,"")</f>
        <v/>
      </c>
      <c r="W29">
        <f>IF(AND($B29&lt;&gt;"",$C29&lt;&gt;"Target state",$C29&lt;&gt;"Exception",$D29="Low",$E29="High"),$A29&amp;"  "&amp;$B29,"")</f>
        <v/>
      </c>
    </row>
    <row r="30" ht="36" customHeight="1" s="52">
      <c r="A30" s="93" t="inlineStr">
        <is>
          <t>⑰</t>
        </is>
      </c>
      <c r="B30" s="94" t="inlineStr">
        <is>
          <t>Collonade ACH (Heartland ACH)</t>
        </is>
      </c>
      <c r="C30" s="73" t="inlineStr">
        <is>
          <t>Non-target state</t>
        </is>
      </c>
      <c r="D30" s="73" t="n"/>
      <c r="E30" s="73" t="n"/>
      <c r="F30" s="72" t="inlineStr">
        <is>
          <t>Described in the repository as the go-forward ACH platform, strategic and growing; about 16M transactions and $24B processed across 8K MIDs with annual run cost near $2.5M — confirm whether this row should be Target state</t>
        </is>
      </c>
      <c r="G30" s="95">
        <f>IF(OR($B30="",$D30="",$E30=""),"",IF(OR($C30="Target state",$C30="Exception"),"Out of scope",IF($D30="Low","No tranche",IF($E30="Low","Tranche 1",IF($E30="Medium","Tranche 2",IF($D30="High","Tranche 3","No tranche"))))))</f>
        <v/>
      </c>
      <c r="K30" s="101" t="n"/>
      <c r="L30" s="101" t="n"/>
      <c r="M30" s="101" t="n"/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36" customHeight="1" s="52">
      <c r="A31" s="93" t="inlineStr">
        <is>
          <t>⑱</t>
        </is>
      </c>
      <c r="B31" s="94" t="inlineStr">
        <is>
          <t>Payments Business Platform (PBP)</t>
        </is>
      </c>
      <c r="C31" s="73" t="inlineStr">
        <is>
          <t>Non-target state</t>
        </is>
      </c>
      <c r="D31" s="73" t="n"/>
      <c r="E31" s="73" t="n"/>
      <c r="F31" s="72" t="inlineStr">
        <is>
          <t>Non-strategic bill-payments platform from the NCR acquisition; about 33M transactions and $14B processed across 3.4K MIDs; vision is migration to Heartland Bill Pay</t>
        </is>
      </c>
      <c r="G31" s="95">
        <f>IF(OR($B31="",$D31="",$E31=""),"",IF(OR($C31="Target state",$C31="Exception"),"Out of scope",IF($D31="Low","No tranche",IF($E31="Low","Tranche 1",IF($E31="Medium","Tranche 2",IF($D31="High","Tranche 3","No tranche"))))))</f>
        <v/>
      </c>
      <c r="K31" s="101" t="n"/>
      <c r="L31" s="101" t="n"/>
      <c r="M31" s="101" t="n"/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36" customHeight="1" s="52">
      <c r="A32" s="93" t="inlineStr">
        <is>
          <t>⑲</t>
        </is>
      </c>
      <c r="B32" s="94" t="inlineStr">
        <is>
          <t>EVO One-Click WS</t>
        </is>
      </c>
      <c r="C32" s="73" t="inlineStr">
        <is>
          <t>Non-target state</t>
        </is>
      </c>
      <c r="D32" s="73" t="n"/>
      <c r="E32" s="73" t="n"/>
      <c r="F32" s="72" t="inlineStr">
        <is>
          <t>Non-strategic payment-link generator for premium LATAM merchants with a small footprint of about 1K MIDs; repository flags initial disposition Keep &amp; Enhance — confirm with SPOC</t>
        </is>
      </c>
      <c r="G32" s="95">
        <f>IF(OR($B32="",$D32="",$E32=""),"",IF(OR($C32="Target state",$C32="Exception"),"Out of scope",IF($D32="Low","No tranche",IF($E32="Low","Tranche 1",IF($E32="Medium","Tranche 2",IF($D32="High","Tranche 3","No tranche"))))))</f>
        <v/>
      </c>
      <c r="K32" s="101" t="n"/>
      <c r="L32" s="101" t="n"/>
      <c r="M32" s="101" t="n"/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30" customHeight="1" s="52">
      <c r="A33" s="93" t="inlineStr">
        <is>
          <t>⑳</t>
        </is>
      </c>
      <c r="B33" s="94" t="inlineStr">
        <is>
          <t>GPI: Etrans/Storebuilder</t>
        </is>
      </c>
      <c r="C33" s="73" t="inlineStr">
        <is>
          <t>Non-target state</t>
        </is>
      </c>
      <c r="D33" s="73" t="n"/>
      <c r="E33" s="73" t="n"/>
      <c r="F33" s="72" t="inlineStr">
        <is>
          <t>Non-strategic public web service routing traffic into Innovo, ACH and gift processing; already in maintenance mode alongside the Edge estate</t>
        </is>
      </c>
      <c r="G33" s="95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101" t="n"/>
      <c r="L33" s="101" t="n"/>
      <c r="M33" s="101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36" customHeight="1" s="52">
      <c r="A34" s="93" t="inlineStr">
        <is>
          <t>㉑</t>
        </is>
      </c>
      <c r="B34" s="94" t="inlineStr">
        <is>
          <t>MultiPay</t>
        </is>
      </c>
      <c r="C34" s="73" t="inlineStr">
        <is>
          <t>Non-target state</t>
        </is>
      </c>
      <c r="D34" s="73" t="n"/>
      <c r="E34" s="73" t="n"/>
      <c r="F34" s="72" t="inlineStr">
        <is>
          <t>Non-strategic EVO LATAM gateway spanning multiple countries and currencies; about 49M transactions and $8.2B processed across 2K MIDs; repository flags initial disposition Keep &amp; Enhance — confirm with SPOC</t>
        </is>
      </c>
      <c r="G34" s="95">
        <f>IF(OR($B34="",$D34="",$E34=""),"",IF(OR($C34="Target state",$C34="Exception"),"Out of scope",IF($D34="Low","No tranche",IF($E34="Low","Tranche 1",IF($E34="Medium","Tranche 2",IF($D34="High","Tranche 3","No tranche"))))))</f>
        <v/>
      </c>
      <c r="K34" s="101" t="n"/>
      <c r="L34" s="101" t="n"/>
      <c r="M34" s="101" t="n"/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36" customHeight="1" s="52">
      <c r="A35" s="93" t="inlineStr">
        <is>
          <t>㉒</t>
        </is>
      </c>
      <c r="B35" s="94" t="inlineStr">
        <is>
          <t>IPG</t>
        </is>
      </c>
      <c r="C35" s="73" t="inlineStr">
        <is>
          <t>Non-target state</t>
        </is>
      </c>
      <c r="D35" s="73" t="n"/>
      <c r="E35" s="73" t="n"/>
      <c r="F35" s="72" t="inlineStr">
        <is>
          <t>Non-strategic EVO eCommerce gateway for the UK, Irish, Spanish, German and CEE markets; about 7.5M transactions and $320M processed across 3.5K MIDs; annual run cost near $2.6M; on the decommission path</t>
        </is>
      </c>
      <c r="G35" s="95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101" t="n"/>
      <c r="L35" s="101" t="n"/>
      <c r="M35" s="101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36" customHeight="1" s="52">
      <c r="A36" s="93" t="inlineStr">
        <is>
          <t>㉓</t>
        </is>
      </c>
      <c r="B36" s="94" t="inlineStr">
        <is>
          <t>EDPS</t>
        </is>
      </c>
      <c r="C36" s="73" t="inlineStr">
        <is>
          <t>Non-target state</t>
        </is>
      </c>
      <c r="D36" s="73" t="n"/>
      <c r="E36" s="73" t="n"/>
      <c r="F36" s="72" t="inlineStr">
        <is>
          <t>Non-strategic Greek gateway serving eCommerce and POS for NBG Pay and other acquirers; roughly 15M transactions a month and $400M processed across 6.7K MIDs; repository flags Further Input — confirm with SPOC</t>
        </is>
      </c>
      <c r="G36" s="95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101" t="n"/>
      <c r="L36" s="101" t="n"/>
      <c r="M36" s="101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 ht="36" customHeight="1" s="52">
      <c r="A37" s="93" t="inlineStr">
        <is>
          <t>㉔</t>
        </is>
      </c>
      <c r="B37" s="94" t="inlineStr">
        <is>
          <t>NestPay</t>
        </is>
      </c>
      <c r="C37" s="73" t="inlineStr">
        <is>
          <t>Non-target state</t>
        </is>
      </c>
      <c r="D37" s="73" t="n"/>
      <c r="E37" s="73" t="n"/>
      <c r="F37" s="72" t="inlineStr">
        <is>
          <t>Non-strategic third-party card-present gateway for the Polish market; about 2.5M transactions and $147M processed; annual cost near $140K; migration path agreed</t>
        </is>
      </c>
      <c r="G37" s="95">
        <f>IF(OR($B37="",$D37="",$E37=""),"",IF(OR($C37="Target state",$C37="Exception"),"Out of scope",IF($D37="Low","No tranche",IF($E37="Low","Tranche 1",IF($E37="Medium","Tranche 2",IF($D37="High","Tranche 3","No tranche"))))))</f>
        <v/>
      </c>
      <c r="K37" s="101" t="n"/>
      <c r="L37" s="101" t="n"/>
      <c r="M37" s="101" t="n"/>
      <c r="O37">
        <f>IF(AND($B37&lt;&gt;"",$C37&lt;&gt;"Target state",$C37&lt;&gt;"Exception",$D37="High",$E37="Low"),$A37&amp;"  "&amp;$B37,"")</f>
        <v/>
      </c>
      <c r="P37">
        <f>IF(AND($B37&lt;&gt;"",$C37&lt;&gt;"Target state",$C37&lt;&gt;"Exception",$D37="High",$E37="Medium"),$A37&amp;"  "&amp;$B37,"")</f>
        <v/>
      </c>
      <c r="Q37">
        <f>IF(AND($B37&lt;&gt;"",$C37&lt;&gt;"Target state",$C37&lt;&gt;"Exception",$D37="High",$E37="High"),$A37&amp;"  "&amp;$B37,"")</f>
        <v/>
      </c>
      <c r="R37">
        <f>IF(AND($B37&lt;&gt;"",$C37&lt;&gt;"Target state",$C37&lt;&gt;"Exception",$D37="Medium",$E37="Low"),$A37&amp;"  "&amp;$B37,"")</f>
        <v/>
      </c>
      <c r="S37">
        <f>IF(AND($B37&lt;&gt;"",$C37&lt;&gt;"Target state",$C37&lt;&gt;"Exception",$D37="Medium",$E37="Medium"),$A37&amp;"  "&amp;$B37,"")</f>
        <v/>
      </c>
      <c r="T37">
        <f>IF(AND($B37&lt;&gt;"",$C37&lt;&gt;"Target state",$C37&lt;&gt;"Exception",$D37="Medium",$E37="High"),$A37&amp;"  "&amp;$B37,"")</f>
        <v/>
      </c>
      <c r="U37">
        <f>IF(AND($B37&lt;&gt;"",$C37&lt;&gt;"Target state",$C37&lt;&gt;"Exception",$D37="Low",$E37="Low"),$A37&amp;"  "&amp;$B37,"")</f>
        <v/>
      </c>
      <c r="V37">
        <f>IF(AND($B37&lt;&gt;"",$C37&lt;&gt;"Target state",$C37&lt;&gt;"Exception",$D37="Low",$E37="Medium"),$A37&amp;"  "&amp;$B37,"")</f>
        <v/>
      </c>
      <c r="W37">
        <f>IF(AND($B37&lt;&gt;"",$C37&lt;&gt;"Target state",$C37&lt;&gt;"Exception",$D37="Low",$E37="High"),$A37&amp;"  "&amp;$B37,"")</f>
        <v/>
      </c>
    </row>
    <row r="38" ht="30" customHeight="1" s="52">
      <c r="A38" s="93" t="inlineStr">
        <is>
          <t>㉕</t>
        </is>
      </c>
      <c r="B38" s="94" t="inlineStr">
        <is>
          <t>ClearOne</t>
        </is>
      </c>
      <c r="C38" s="73" t="inlineStr">
        <is>
          <t>Non-target state</t>
        </is>
      </c>
      <c r="D38" s="73" t="n"/>
      <c r="E38" s="73" t="n"/>
      <c r="F38" s="72" t="inlineStr">
        <is>
          <t>Non-strategic UniversalPay gateway serving integrated solutions in Iberia across 1.4K MIDs; to be decommissioned in favour of Comercia 2.0</t>
        </is>
      </c>
      <c r="G38" s="95">
        <f>IF(OR($B38="",$D38="",$E38=""),"",IF(OR($C38="Target state",$C38="Exception"),"Out of scope",IF($D38="Low","No tranche",IF($E38="Low","Tranche 1",IF($E38="Medium","Tranche 2",IF($D38="High","Tranche 3","No tranche"))))))</f>
        <v/>
      </c>
      <c r="K38" s="101" t="n"/>
      <c r="L38" s="101" t="n"/>
      <c r="M38" s="101" t="n"/>
      <c r="O38">
        <f>IF(AND($B38&lt;&gt;"",$C38&lt;&gt;"Target state",$C38&lt;&gt;"Exception",$D38="High",$E38="Low"),$A38&amp;"  "&amp;$B38,"")</f>
        <v/>
      </c>
      <c r="P38">
        <f>IF(AND($B38&lt;&gt;"",$C38&lt;&gt;"Target state",$C38&lt;&gt;"Exception",$D38="High",$E38="Medium"),$A38&amp;"  "&amp;$B38,"")</f>
        <v/>
      </c>
      <c r="Q38">
        <f>IF(AND($B38&lt;&gt;"",$C38&lt;&gt;"Target state",$C38&lt;&gt;"Exception",$D38="High",$E38="High"),$A38&amp;"  "&amp;$B38,"")</f>
        <v/>
      </c>
      <c r="R38">
        <f>IF(AND($B38&lt;&gt;"",$C38&lt;&gt;"Target state",$C38&lt;&gt;"Exception",$D38="Medium",$E38="Low"),$A38&amp;"  "&amp;$B38,"")</f>
        <v/>
      </c>
      <c r="S38">
        <f>IF(AND($B38&lt;&gt;"",$C38&lt;&gt;"Target state",$C38&lt;&gt;"Exception",$D38="Medium",$E38="Medium"),$A38&amp;"  "&amp;$B38,"")</f>
        <v/>
      </c>
      <c r="T38">
        <f>IF(AND($B38&lt;&gt;"",$C38&lt;&gt;"Target state",$C38&lt;&gt;"Exception",$D38="Medium",$E38="High"),$A38&amp;"  "&amp;$B38,"")</f>
        <v/>
      </c>
      <c r="U38">
        <f>IF(AND($B38&lt;&gt;"",$C38&lt;&gt;"Target state",$C38&lt;&gt;"Exception",$D38="Low",$E38="Low"),$A38&amp;"  "&amp;$B38,"")</f>
        <v/>
      </c>
      <c r="V38">
        <f>IF(AND($B38&lt;&gt;"",$C38&lt;&gt;"Target state",$C38&lt;&gt;"Exception",$D38="Low",$E38="Medium"),$A38&amp;"  "&amp;$B38,"")</f>
        <v/>
      </c>
      <c r="W38">
        <f>IF(AND($B38&lt;&gt;"",$C38&lt;&gt;"Target state",$C38&lt;&gt;"Exception",$D38="Low",$E38="High"),$A38&amp;"  "&amp;$B38,"")</f>
        <v/>
      </c>
    </row>
    <row r="39" ht="30" customHeight="1" s="52">
      <c r="A39" s="93" t="inlineStr">
        <is>
          <t>㉖</t>
        </is>
      </c>
      <c r="B39" s="94" t="inlineStr">
        <is>
          <t>Redsys Cyberpack</t>
        </is>
      </c>
      <c r="C39" s="73" t="inlineStr">
        <is>
          <t>Non-target state</t>
        </is>
      </c>
      <c r="D39" s="73" t="n"/>
      <c r="E39" s="73" t="n"/>
      <c r="F39" s="72" t="inlineStr">
        <is>
          <t>Non-strategic resold Redsys eCommerce gateway offered by Comercia; to be decommissioned in favour of Addon 2.0</t>
        </is>
      </c>
      <c r="G39" s="95">
        <f>IF(OR($B39="",$D39="",$E39=""),"",IF(OR($C39="Target state",$C39="Exception"),"Out of scope",IF($D39="Low","No tranche",IF($E39="Low","Tranche 1",IF($E39="Medium","Tranche 2",IF($D39="High","Tranche 3","No tranche"))))))</f>
        <v/>
      </c>
      <c r="K39" s="102" t="n"/>
      <c r="L39" s="102" t="n"/>
      <c r="M39" s="102" t="n"/>
      <c r="O39">
        <f>IF(AND($B39&lt;&gt;"",$C39&lt;&gt;"Target state",$C39&lt;&gt;"Exception",$D39="High",$E39="Low"),$A39&amp;"  "&amp;$B39,"")</f>
        <v/>
      </c>
      <c r="P39">
        <f>IF(AND($B39&lt;&gt;"",$C39&lt;&gt;"Target state",$C39&lt;&gt;"Exception",$D39="High",$E39="Medium"),$A39&amp;"  "&amp;$B39,"")</f>
        <v/>
      </c>
      <c r="Q39">
        <f>IF(AND($B39&lt;&gt;"",$C39&lt;&gt;"Target state",$C39&lt;&gt;"Exception",$D39="High",$E39="High"),$A39&amp;"  "&amp;$B39,"")</f>
        <v/>
      </c>
      <c r="R39">
        <f>IF(AND($B39&lt;&gt;"",$C39&lt;&gt;"Target state",$C39&lt;&gt;"Exception",$D39="Medium",$E39="Low"),$A39&amp;"  "&amp;$B39,"")</f>
        <v/>
      </c>
      <c r="S39">
        <f>IF(AND($B39&lt;&gt;"",$C39&lt;&gt;"Target state",$C39&lt;&gt;"Exception",$D39="Medium",$E39="Medium"),$A39&amp;"  "&amp;$B39,"")</f>
        <v/>
      </c>
      <c r="T39">
        <f>IF(AND($B39&lt;&gt;"",$C39&lt;&gt;"Target state",$C39&lt;&gt;"Exception",$D39="Medium",$E39="High"),$A39&amp;"  "&amp;$B39,"")</f>
        <v/>
      </c>
      <c r="U39">
        <f>IF(AND($B39&lt;&gt;"",$C39&lt;&gt;"Target state",$C39&lt;&gt;"Exception",$D39="Low",$E39="Low"),$A39&amp;"  "&amp;$B39,"")</f>
        <v/>
      </c>
      <c r="V39">
        <f>IF(AND($B39&lt;&gt;"",$C39&lt;&gt;"Target state",$C39&lt;&gt;"Exception",$D39="Low",$E39="Medium"),$A39&amp;"  "&amp;$B39,"")</f>
        <v/>
      </c>
      <c r="W39">
        <f>IF(AND($B39&lt;&gt;"",$C39&lt;&gt;"Target state",$C39&lt;&gt;"Exception",$D39="Low",$E39="High"),$A39&amp;"  "&amp;$B39,"")</f>
        <v/>
      </c>
    </row>
    <row r="40" ht="30" customHeight="1" s="52">
      <c r="A40" s="93" t="inlineStr">
        <is>
          <t>㉗</t>
        </is>
      </c>
      <c r="B40" s="94" t="inlineStr">
        <is>
          <t>Redsys Paygold</t>
        </is>
      </c>
      <c r="C40" s="73" t="inlineStr">
        <is>
          <t>Non-target state</t>
        </is>
      </c>
      <c r="D40" s="73" t="n"/>
      <c r="E40" s="73" t="n"/>
      <c r="F40" s="72" t="inlineStr">
        <is>
          <t>Non-strategic resold pay-by-link service built on the Cyberpac product; follows the Cyberpack decommission path</t>
        </is>
      </c>
      <c r="G40" s="95">
        <f>IF(OR($B40="",$D40="",$E40=""),"",IF(OR($C40="Target state",$C40="Exception"),"Out of scope",IF($D40="Low","No tranche",IF($E40="Low","Tranche 1",IF($E40="Medium","Tranche 2",IF($D40="High","Tranche 3","No tranche"))))))</f>
        <v/>
      </c>
      <c r="J40" s="97" t="inlineStr">
        <is>
          <t>Low</t>
        </is>
      </c>
      <c r="K40" s="103">
        <f>_xlfn.TEXTJOIN(CHAR(10),TRUE,U$14:U$52)</f>
        <v/>
      </c>
      <c r="L40" s="103">
        <f>_xlfn.TEXTJOIN(CHAR(10),TRUE,V$14:V$52)</f>
        <v/>
      </c>
      <c r="M40" s="103">
        <f>_xlfn.TEXTJOIN(CHAR(10),TRUE,W$14:W$52)</f>
        <v/>
      </c>
      <c r="O40">
        <f>IF(AND($B40&lt;&gt;"",$C40&lt;&gt;"Target state",$C40&lt;&gt;"Exception",$D40="High",$E40="Low"),$A40&amp;"  "&amp;$B40,"")</f>
        <v/>
      </c>
      <c r="P40">
        <f>IF(AND($B40&lt;&gt;"",$C40&lt;&gt;"Target state",$C40&lt;&gt;"Exception",$D40="High",$E40="Medium"),$A40&amp;"  "&amp;$B40,"")</f>
        <v/>
      </c>
      <c r="Q40">
        <f>IF(AND($B40&lt;&gt;"",$C40&lt;&gt;"Target state",$C40&lt;&gt;"Exception",$D40="High",$E40="High"),$A40&amp;"  "&amp;$B40,"")</f>
        <v/>
      </c>
      <c r="R40">
        <f>IF(AND($B40&lt;&gt;"",$C40&lt;&gt;"Target state",$C40&lt;&gt;"Exception",$D40="Medium",$E40="Low"),$A40&amp;"  "&amp;$B40,"")</f>
        <v/>
      </c>
      <c r="S40">
        <f>IF(AND($B40&lt;&gt;"",$C40&lt;&gt;"Target state",$C40&lt;&gt;"Exception",$D40="Medium",$E40="Medium"),$A40&amp;"  "&amp;$B40,"")</f>
        <v/>
      </c>
      <c r="T40">
        <f>IF(AND($B40&lt;&gt;"",$C40&lt;&gt;"Target state",$C40&lt;&gt;"Exception",$D40="Medium",$E40="High"),$A40&amp;"  "&amp;$B40,"")</f>
        <v/>
      </c>
      <c r="U40">
        <f>IF(AND($B40&lt;&gt;"",$C40&lt;&gt;"Target state",$C40&lt;&gt;"Exception",$D40="Low",$E40="Low"),$A40&amp;"  "&amp;$B40,"")</f>
        <v/>
      </c>
      <c r="V40">
        <f>IF(AND($B40&lt;&gt;"",$C40&lt;&gt;"Target state",$C40&lt;&gt;"Exception",$D40="Low",$E40="Medium"),$A40&amp;"  "&amp;$B40,"")</f>
        <v/>
      </c>
      <c r="W40">
        <f>IF(AND($B40&lt;&gt;"",$C40&lt;&gt;"Target state",$C40&lt;&gt;"Exception",$D40="Low",$E40="High"),$A40&amp;"  "&amp;$B40,"")</f>
        <v/>
      </c>
    </row>
    <row r="41" ht="30" customHeight="1" s="52">
      <c r="A41" s="93" t="inlineStr">
        <is>
          <t>㉘</t>
        </is>
      </c>
      <c r="B41" s="94" t="inlineStr">
        <is>
          <t>Way2Pay / Collect</t>
        </is>
      </c>
      <c r="C41" s="73" t="inlineStr">
        <is>
          <t>Non-target state</t>
        </is>
      </c>
      <c r="D41" s="73" t="n"/>
      <c r="E41" s="73" t="n"/>
      <c r="F41" s="72" t="inlineStr">
        <is>
          <t>Non-strategic pay-by-link service integrated only with IPG; small team and footprint; integration to GP eCom already underway</t>
        </is>
      </c>
      <c r="G41" s="95">
        <f>IF(OR($B41="",$D41="",$E41=""),"",IF(OR($C41="Target state",$C41="Exception"),"Out of scope",IF($D41="Low","No tranche",IF($E41="Low","Tranche 1",IF($E41="Medium","Tranche 2",IF($D41="High","Tranche 3","No tranche"))))))</f>
        <v/>
      </c>
      <c r="K41" s="101" t="n"/>
      <c r="L41" s="101" t="n"/>
      <c r="M41" s="101" t="n"/>
      <c r="O41">
        <f>IF(AND($B41&lt;&gt;"",$C41&lt;&gt;"Target state",$C41&lt;&gt;"Exception",$D41="High",$E41="Low"),$A41&amp;"  "&amp;$B41,"")</f>
        <v/>
      </c>
      <c r="P41">
        <f>IF(AND($B41&lt;&gt;"",$C41&lt;&gt;"Target state",$C41&lt;&gt;"Exception",$D41="High",$E41="Medium"),$A41&amp;"  "&amp;$B41,"")</f>
        <v/>
      </c>
      <c r="Q41">
        <f>IF(AND($B41&lt;&gt;"",$C41&lt;&gt;"Target state",$C41&lt;&gt;"Exception",$D41="High",$E41="High"),$A41&amp;"  "&amp;$B41,"")</f>
        <v/>
      </c>
      <c r="R41">
        <f>IF(AND($B41&lt;&gt;"",$C41&lt;&gt;"Target state",$C41&lt;&gt;"Exception",$D41="Medium",$E41="Low"),$A41&amp;"  "&amp;$B41,"")</f>
        <v/>
      </c>
      <c r="S41">
        <f>IF(AND($B41&lt;&gt;"",$C41&lt;&gt;"Target state",$C41&lt;&gt;"Exception",$D41="Medium",$E41="Medium"),$A41&amp;"  "&amp;$B41,"")</f>
        <v/>
      </c>
      <c r="T41">
        <f>IF(AND($B41&lt;&gt;"",$C41&lt;&gt;"Target state",$C41&lt;&gt;"Exception",$D41="Medium",$E41="High"),$A41&amp;"  "&amp;$B41,"")</f>
        <v/>
      </c>
      <c r="U41">
        <f>IF(AND($B41&lt;&gt;"",$C41&lt;&gt;"Target state",$C41&lt;&gt;"Exception",$D41="Low",$E41="Low"),$A41&amp;"  "&amp;$B41,"")</f>
        <v/>
      </c>
      <c r="V41">
        <f>IF(AND($B41&lt;&gt;"",$C41&lt;&gt;"Target state",$C41&lt;&gt;"Exception",$D41="Low",$E41="Medium"),$A41&amp;"  "&amp;$B41,"")</f>
        <v/>
      </c>
      <c r="W41">
        <f>IF(AND($B41&lt;&gt;"",$C41&lt;&gt;"Target state",$C41&lt;&gt;"Exception",$D41="Low",$E41="High"),$A41&amp;"  "&amp;$B41,"")</f>
        <v/>
      </c>
    </row>
    <row r="42" ht="36" customHeight="1" s="52">
      <c r="A42" s="93" t="inlineStr">
        <is>
          <t>㉙</t>
        </is>
      </c>
      <c r="B42" s="94" t="inlineStr">
        <is>
          <t>CyberSource (AP resold)</t>
        </is>
      </c>
      <c r="C42" s="73" t="inlineStr">
        <is>
          <t>Non-target state</t>
        </is>
      </c>
      <c r="D42" s="73" t="n"/>
      <c r="E42" s="73" t="n"/>
      <c r="F42" s="72" t="inlineStr">
        <is>
          <t>Resold Visa-owned gateway across Asia Pacific; about 88M transactions and $5B processed across 10.5K MIDs on per-transaction fees; repository flags initial disposition Keep &amp; Enhance — confirm with SPOC</t>
        </is>
      </c>
      <c r="G42" s="95">
        <f>IF(OR($B42="",$D42="",$E42=""),"",IF(OR($C42="Target state",$C42="Exception"),"Out of scope",IF($D42="Low","No tranche",IF($E42="Low","Tranche 1",IF($E42="Medium","Tranche 2",IF($D42="High","Tranche 3","No tranche"))))))</f>
        <v/>
      </c>
      <c r="K42" s="101" t="n"/>
      <c r="L42" s="101" t="n"/>
      <c r="M42" s="101" t="n"/>
      <c r="O42">
        <f>IF(AND($B42&lt;&gt;"",$C42&lt;&gt;"Target state",$C42&lt;&gt;"Exception",$D42="High",$E42="Low"),$A42&amp;"  "&amp;$B42,"")</f>
        <v/>
      </c>
      <c r="P42">
        <f>IF(AND($B42&lt;&gt;"",$C42&lt;&gt;"Target state",$C42&lt;&gt;"Exception",$D42="High",$E42="Medium"),$A42&amp;"  "&amp;$B42,"")</f>
        <v/>
      </c>
      <c r="Q42">
        <f>IF(AND($B42&lt;&gt;"",$C42&lt;&gt;"Target state",$C42&lt;&gt;"Exception",$D42="High",$E42="High"),$A42&amp;"  "&amp;$B42,"")</f>
        <v/>
      </c>
      <c r="R42">
        <f>IF(AND($B42&lt;&gt;"",$C42&lt;&gt;"Target state",$C42&lt;&gt;"Exception",$D42="Medium",$E42="Low"),$A42&amp;"  "&amp;$B42,"")</f>
        <v/>
      </c>
      <c r="S42">
        <f>IF(AND($B42&lt;&gt;"",$C42&lt;&gt;"Target state",$C42&lt;&gt;"Exception",$D42="Medium",$E42="Medium"),$A42&amp;"  "&amp;$B42,"")</f>
        <v/>
      </c>
      <c r="T42">
        <f>IF(AND($B42&lt;&gt;"",$C42&lt;&gt;"Target state",$C42&lt;&gt;"Exception",$D42="Medium",$E42="High"),$A42&amp;"  "&amp;$B42,"")</f>
        <v/>
      </c>
      <c r="U42">
        <f>IF(AND($B42&lt;&gt;"",$C42&lt;&gt;"Target state",$C42&lt;&gt;"Exception",$D42="Low",$E42="Low"),$A42&amp;"  "&amp;$B42,"")</f>
        <v/>
      </c>
      <c r="V42">
        <f>IF(AND($B42&lt;&gt;"",$C42&lt;&gt;"Target state",$C42&lt;&gt;"Exception",$D42="Low",$E42="Medium"),$A42&amp;"  "&amp;$B42,"")</f>
        <v/>
      </c>
      <c r="W42">
        <f>IF(AND($B42&lt;&gt;"",$C42&lt;&gt;"Target state",$C42&lt;&gt;"Exception",$D42="Low",$E42="High"),$A42&amp;"  "&amp;$B42,"")</f>
        <v/>
      </c>
    </row>
    <row r="43" ht="36" customHeight="1" s="52">
      <c r="A43" s="93" t="inlineStr">
        <is>
          <t>㉚</t>
        </is>
      </c>
      <c r="B43" s="94" t="inlineStr">
        <is>
          <t>CyberSource (Erste JV)</t>
        </is>
      </c>
      <c r="C43" s="73" t="inlineStr">
        <is>
          <t>Non-target state</t>
        </is>
      </c>
      <c r="D43" s="73" t="n"/>
      <c r="E43" s="73" t="n"/>
      <c r="F43" s="72" t="inlineStr">
        <is>
          <t>White-label Visa-owned gateway for the Erste joint venture, still in development phase; repository flags initial disposition Keep &amp; Enhance — confirm with SPOC</t>
        </is>
      </c>
      <c r="G43" s="95">
        <f>IF(OR($B43="",$D43="",$E43=""),"",IF(OR($C43="Target state",$C43="Exception"),"Out of scope",IF($D43="Low","No tranche",IF($E43="Low","Tranche 1",IF($E43="Medium","Tranche 2",IF($D43="High","Tranche 3","No tranche"))))))</f>
        <v/>
      </c>
      <c r="K43" s="101" t="n"/>
      <c r="L43" s="101" t="n"/>
      <c r="M43" s="101" t="n"/>
      <c r="O43">
        <f>IF(AND($B43&lt;&gt;"",$C43&lt;&gt;"Target state",$C43&lt;&gt;"Exception",$D43="High",$E43="Low"),$A43&amp;"  "&amp;$B43,"")</f>
        <v/>
      </c>
      <c r="P43">
        <f>IF(AND($B43&lt;&gt;"",$C43&lt;&gt;"Target state",$C43&lt;&gt;"Exception",$D43="High",$E43="Medium"),$A43&amp;"  "&amp;$B43,"")</f>
        <v/>
      </c>
      <c r="Q43">
        <f>IF(AND($B43&lt;&gt;"",$C43&lt;&gt;"Target state",$C43&lt;&gt;"Exception",$D43="High",$E43="High"),$A43&amp;"  "&amp;$B43,"")</f>
        <v/>
      </c>
      <c r="R43">
        <f>IF(AND($B43&lt;&gt;"",$C43&lt;&gt;"Target state",$C43&lt;&gt;"Exception",$D43="Medium",$E43="Low"),$A43&amp;"  "&amp;$B43,"")</f>
        <v/>
      </c>
      <c r="S43">
        <f>IF(AND($B43&lt;&gt;"",$C43&lt;&gt;"Target state",$C43&lt;&gt;"Exception",$D43="Medium",$E43="Medium"),$A43&amp;"  "&amp;$B43,"")</f>
        <v/>
      </c>
      <c r="T43">
        <f>IF(AND($B43&lt;&gt;"",$C43&lt;&gt;"Target state",$C43&lt;&gt;"Exception",$D43="Medium",$E43="High"),$A43&amp;"  "&amp;$B43,"")</f>
        <v/>
      </c>
      <c r="U43">
        <f>IF(AND($B43&lt;&gt;"",$C43&lt;&gt;"Target state",$C43&lt;&gt;"Exception",$D43="Low",$E43="Low"),$A43&amp;"  "&amp;$B43,"")</f>
        <v/>
      </c>
      <c r="V43">
        <f>IF(AND($B43&lt;&gt;"",$C43&lt;&gt;"Target state",$C43&lt;&gt;"Exception",$D43="Low",$E43="Medium"),$A43&amp;"  "&amp;$B43,"")</f>
        <v/>
      </c>
      <c r="W43">
        <f>IF(AND($B43&lt;&gt;"",$C43&lt;&gt;"Target state",$C43&lt;&gt;"Exception",$D43="Low",$E43="High"),$A43&amp;"  "&amp;$B43,"")</f>
        <v/>
      </c>
    </row>
    <row r="44" ht="30" customHeight="1" s="52">
      <c r="A44" s="93" t="inlineStr">
        <is>
          <t>㉛</t>
        </is>
      </c>
      <c r="B44" s="94" t="inlineStr">
        <is>
          <t>CyberSource (Greece transit)</t>
        </is>
      </c>
      <c r="C44" s="73" t="inlineStr">
        <is>
          <t>Non-target state</t>
        </is>
      </c>
      <c r="D44" s="73" t="n"/>
      <c r="E44" s="73" t="n"/>
      <c r="F44" s="72" t="inlineStr">
        <is>
          <t>Resold Visa-owned gateway serving the Greek transit project; very small footprint of about 300K transactions across 29 MIDs</t>
        </is>
      </c>
      <c r="G44" s="95">
        <f>IF(OR($B44="",$D44="",$E44=""),"",IF(OR($C44="Target state",$C44="Exception"),"Out of scope",IF($D44="Low","No tranche",IF($E44="Low","Tranche 1",IF($E44="Medium","Tranche 2",IF($D44="High","Tranche 3","No tranche"))))))</f>
        <v/>
      </c>
      <c r="K44" s="101" t="n"/>
      <c r="L44" s="101" t="n"/>
      <c r="M44" s="101" t="n"/>
      <c r="O44">
        <f>IF(AND($B44&lt;&gt;"",$C44&lt;&gt;"Target state",$C44&lt;&gt;"Exception",$D44="High",$E44="Low"),$A44&amp;"  "&amp;$B44,"")</f>
        <v/>
      </c>
      <c r="P44">
        <f>IF(AND($B44&lt;&gt;"",$C44&lt;&gt;"Target state",$C44&lt;&gt;"Exception",$D44="High",$E44="Medium"),$A44&amp;"  "&amp;$B44,"")</f>
        <v/>
      </c>
      <c r="Q44">
        <f>IF(AND($B44&lt;&gt;"",$C44&lt;&gt;"Target state",$C44&lt;&gt;"Exception",$D44="High",$E44="High"),$A44&amp;"  "&amp;$B44,"")</f>
        <v/>
      </c>
      <c r="R44">
        <f>IF(AND($B44&lt;&gt;"",$C44&lt;&gt;"Target state",$C44&lt;&gt;"Exception",$D44="Medium",$E44="Low"),$A44&amp;"  "&amp;$B44,"")</f>
        <v/>
      </c>
      <c r="S44">
        <f>IF(AND($B44&lt;&gt;"",$C44&lt;&gt;"Target state",$C44&lt;&gt;"Exception",$D44="Medium",$E44="Medium"),$A44&amp;"  "&amp;$B44,"")</f>
        <v/>
      </c>
      <c r="T44">
        <f>IF(AND($B44&lt;&gt;"",$C44&lt;&gt;"Target state",$C44&lt;&gt;"Exception",$D44="Medium",$E44="High"),$A44&amp;"  "&amp;$B44,"")</f>
        <v/>
      </c>
      <c r="U44">
        <f>IF(AND($B44&lt;&gt;"",$C44&lt;&gt;"Target state",$C44&lt;&gt;"Exception",$D44="Low",$E44="Low"),$A44&amp;"  "&amp;$B44,"")</f>
        <v/>
      </c>
      <c r="V44">
        <f>IF(AND($B44&lt;&gt;"",$C44&lt;&gt;"Target state",$C44&lt;&gt;"Exception",$D44="Low",$E44="Medium"),$A44&amp;"  "&amp;$B44,"")</f>
        <v/>
      </c>
      <c r="W44">
        <f>IF(AND($B44&lt;&gt;"",$C44&lt;&gt;"Target state",$C44&lt;&gt;"Exception",$D44="Low",$E44="High"),$A44&amp;"  "&amp;$B44,"")</f>
        <v/>
      </c>
    </row>
    <row r="45" ht="36" customHeight="1" s="52">
      <c r="A45" s="93" t="inlineStr">
        <is>
          <t>㉜</t>
        </is>
      </c>
      <c r="B45" s="94" t="inlineStr">
        <is>
          <t>MiGS/MPGS (AP resold)</t>
        </is>
      </c>
      <c r="C45" s="73" t="inlineStr">
        <is>
          <t>Non-target state</t>
        </is>
      </c>
      <c r="D45" s="73" t="n"/>
      <c r="E45" s="73" t="n"/>
      <c r="F45" s="72" t="inlineStr">
        <is>
          <t>Resold Mastercard-owned gateway across Asia Pacific; about 11M transactions and $980M processed across 1.4K MIDs; repository flags initial disposition Keep &amp; Enhance — confirm with SPOC</t>
        </is>
      </c>
      <c r="G45" s="95">
        <f>IF(OR($B45="",$D45="",$E45=""),"",IF(OR($C45="Target state",$C45="Exception"),"Out of scope",IF($D45="Low","No tranche",IF($E45="Low","Tranche 1",IF($E45="Medium","Tranche 2",IF($D45="High","Tranche 3","No tranche"))))))</f>
        <v/>
      </c>
      <c r="K45" s="101" t="n"/>
      <c r="L45" s="101" t="n"/>
      <c r="M45" s="101" t="n"/>
      <c r="O45">
        <f>IF(AND($B45&lt;&gt;"",$C45&lt;&gt;"Target state",$C45&lt;&gt;"Exception",$D45="High",$E45="Low"),$A45&amp;"  "&amp;$B45,"")</f>
        <v/>
      </c>
      <c r="P45">
        <f>IF(AND($B45&lt;&gt;"",$C45&lt;&gt;"Target state",$C45&lt;&gt;"Exception",$D45="High",$E45="Medium"),$A45&amp;"  "&amp;$B45,"")</f>
        <v/>
      </c>
      <c r="Q45">
        <f>IF(AND($B45&lt;&gt;"",$C45&lt;&gt;"Target state",$C45&lt;&gt;"Exception",$D45="High",$E45="High"),$A45&amp;"  "&amp;$B45,"")</f>
        <v/>
      </c>
      <c r="R45">
        <f>IF(AND($B45&lt;&gt;"",$C45&lt;&gt;"Target state",$C45&lt;&gt;"Exception",$D45="Medium",$E45="Low"),$A45&amp;"  "&amp;$B45,"")</f>
        <v/>
      </c>
      <c r="S45">
        <f>IF(AND($B45&lt;&gt;"",$C45&lt;&gt;"Target state",$C45&lt;&gt;"Exception",$D45="Medium",$E45="Medium"),$A45&amp;"  "&amp;$B45,"")</f>
        <v/>
      </c>
      <c r="T45">
        <f>IF(AND($B45&lt;&gt;"",$C45&lt;&gt;"Target state",$C45&lt;&gt;"Exception",$D45="Medium",$E45="High"),$A45&amp;"  "&amp;$B45,"")</f>
        <v/>
      </c>
      <c r="U45">
        <f>IF(AND($B45&lt;&gt;"",$C45&lt;&gt;"Target state",$C45&lt;&gt;"Exception",$D45="Low",$E45="Low"),$A45&amp;"  "&amp;$B45,"")</f>
        <v/>
      </c>
      <c r="V45">
        <f>IF(AND($B45&lt;&gt;"",$C45&lt;&gt;"Target state",$C45&lt;&gt;"Exception",$D45="Low",$E45="Medium"),$A45&amp;"  "&amp;$B45,"")</f>
        <v/>
      </c>
      <c r="W45">
        <f>IF(AND($B45&lt;&gt;"",$C45&lt;&gt;"Target state",$C45&lt;&gt;"Exception",$D45="Low",$E45="High"),$A45&amp;"  "&amp;$B45,"")</f>
        <v/>
      </c>
    </row>
    <row r="46" ht="48" customHeight="1" s="52">
      <c r="A46" s="93" t="inlineStr">
        <is>
          <t>㉝</t>
        </is>
      </c>
      <c r="B46" s="94" t="inlineStr">
        <is>
          <t>MPGS (NBG Pay)</t>
        </is>
      </c>
      <c r="C46" s="73" t="inlineStr">
        <is>
          <t>Non-target state</t>
        </is>
      </c>
      <c r="D46" s="73" t="n"/>
      <c r="E46" s="73" t="n"/>
      <c r="F46" s="72" t="inlineStr">
        <is>
          <t>White-label Mastercard gateway and main eCommerce solution for NBG Pay; about 11M transactions and $1.4B processed across 10K MIDs with roughly $1.8M in annual fees; repository flags initial disposition Keep &amp; Enhance — confirm with SPOC</t>
        </is>
      </c>
      <c r="G46" s="95">
        <f>IF(OR($B46="",$D46="",$E46=""),"",IF(OR($C46="Target state",$C46="Exception"),"Out of scope",IF($D46="Low","No tranche",IF($E46="Low","Tranche 1",IF($E46="Medium","Tranche 2",IF($D46="High","Tranche 3","No tranche"))))))</f>
        <v/>
      </c>
      <c r="K46" s="101" t="n"/>
      <c r="L46" s="101" t="n"/>
      <c r="M46" s="101" t="n"/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30" customHeight="1" s="52">
      <c r="A47" s="93" t="inlineStr">
        <is>
          <t>㉞</t>
        </is>
      </c>
      <c r="B47" s="94" t="inlineStr">
        <is>
          <t>NMI (HPY)</t>
        </is>
      </c>
      <c r="C47" s="73" t="inlineStr">
        <is>
          <t>Non-target state</t>
        </is>
      </c>
      <c r="D47" s="73" t="n"/>
      <c r="E47" s="73" t="n"/>
      <c r="F47" s="72" t="inlineStr">
        <is>
          <t>Resold third-party gateway serving NA SMB sales initiatives; sustain in KTLO per the repository</t>
        </is>
      </c>
      <c r="G47" s="95">
        <f>IF(OR($B47="",$D47="",$E47=""),"",IF(OR($C47="Target state",$C47="Exception"),"Out of scope",IF($D47="Low","No tranche",IF($E47="Low","Tranche 1",IF($E47="Medium","Tranche 2",IF($D47="High","Tranche 3","No tranche"))))))</f>
        <v/>
      </c>
      <c r="K47" s="101" t="n"/>
      <c r="L47" s="101" t="n"/>
      <c r="M47" s="101" t="n"/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30" customHeight="1" s="52">
      <c r="A48" s="93" t="inlineStr">
        <is>
          <t>㉟</t>
        </is>
      </c>
      <c r="B48" s="94" t="inlineStr">
        <is>
          <t>PayPal (PayFlow Pro &amp; Link)</t>
        </is>
      </c>
      <c r="C48" s="73" t="inlineStr">
        <is>
          <t>Non-target state</t>
        </is>
      </c>
      <c r="D48" s="73" t="n"/>
      <c r="E48" s="73" t="n"/>
      <c r="F48" s="72" t="inlineStr">
        <is>
          <t>Resold third-party gateway serving NA SMB sales initiatives; sustain in KTLO per the repository</t>
        </is>
      </c>
      <c r="G48" s="95">
        <f>IF(OR($B48="",$D48="",$E48=""),"",IF(OR($C48="Target state",$C48="Exception"),"Out of scope",IF($D48="Low","No tranche",IF($E48="Low","Tranche 1",IF($E48="Medium","Tranche 2",IF($D48="High","Tranche 3","No tranche"))))))</f>
        <v/>
      </c>
      <c r="K48" s="101" t="n"/>
      <c r="L48" s="101" t="n"/>
      <c r="M48" s="101" t="n"/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20" customHeight="1" s="52">
      <c r="A49" s="93" t="inlineStr">
        <is>
          <t>㊱</t>
        </is>
      </c>
      <c r="B49" s="94" t="n"/>
      <c r="C49" s="73" t="n"/>
      <c r="D49" s="73" t="n"/>
      <c r="E49" s="73" t="n"/>
      <c r="F49" s="72" t="n"/>
      <c r="G49" s="95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101" t="n"/>
      <c r="L49" s="101" t="n"/>
      <c r="M49" s="101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20" customHeight="1" s="52">
      <c r="A50" s="93" t="inlineStr">
        <is>
          <t>㊲</t>
        </is>
      </c>
      <c r="B50" s="94" t="n"/>
      <c r="C50" s="73" t="n"/>
      <c r="D50" s="73" t="n"/>
      <c r="E50" s="73" t="n"/>
      <c r="F50" s="72" t="n"/>
      <c r="G50" s="95">
        <f>IF(OR($B50="",$D50="",$E50=""),"",IF(OR($C50="Target state",$C50="Exception"),"Out of scope",IF($D50="Low","No tranche",IF($E50="Low","Tranche 1",IF($E50="Medium","Tranche 2",IF($D50="High","Tranche 3","No tranche"))))))</f>
        <v/>
      </c>
      <c r="K50" s="101" t="n"/>
      <c r="L50" s="101" t="n"/>
      <c r="M50" s="101" t="n"/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1" ht="20" customHeight="1" s="52">
      <c r="A51" s="93" t="inlineStr">
        <is>
          <t>㊳</t>
        </is>
      </c>
      <c r="B51" s="94" t="n"/>
      <c r="C51" s="73" t="n"/>
      <c r="D51" s="73" t="n"/>
      <c r="E51" s="73" t="n"/>
      <c r="F51" s="72" t="n"/>
      <c r="G51" s="95">
        <f>IF(OR($B51="",$D51="",$E51=""),"",IF(OR($C51="Target state",$C51="Exception"),"Out of scope",IF($D51="Low","No tranche",IF($E51="Low","Tranche 1",IF($E51="Medium","Tranche 2",IF($D51="High","Tranche 3","No tranche"))))))</f>
        <v/>
      </c>
      <c r="K51" s="101" t="n"/>
      <c r="L51" s="101" t="n"/>
      <c r="M51" s="101" t="n"/>
      <c r="O51">
        <f>IF(AND($B51&lt;&gt;"",$C51&lt;&gt;"Target state",$C51&lt;&gt;"Exception",$D51="High",$E51="Low"),$A51&amp;"  "&amp;$B51,"")</f>
        <v/>
      </c>
      <c r="P51">
        <f>IF(AND($B51&lt;&gt;"",$C51&lt;&gt;"Target state",$C51&lt;&gt;"Exception",$D51="High",$E51="Medium"),$A51&amp;"  "&amp;$B51,"")</f>
        <v/>
      </c>
      <c r="Q51">
        <f>IF(AND($B51&lt;&gt;"",$C51&lt;&gt;"Target state",$C51&lt;&gt;"Exception",$D51="High",$E51="High"),$A51&amp;"  "&amp;$B51,"")</f>
        <v/>
      </c>
      <c r="R51">
        <f>IF(AND($B51&lt;&gt;"",$C51&lt;&gt;"Target state",$C51&lt;&gt;"Exception",$D51="Medium",$E51="Low"),$A51&amp;"  "&amp;$B51,"")</f>
        <v/>
      </c>
      <c r="S51">
        <f>IF(AND($B51&lt;&gt;"",$C51&lt;&gt;"Target state",$C51&lt;&gt;"Exception",$D51="Medium",$E51="Medium"),$A51&amp;"  "&amp;$B51,"")</f>
        <v/>
      </c>
      <c r="T51">
        <f>IF(AND($B51&lt;&gt;"",$C51&lt;&gt;"Target state",$C51&lt;&gt;"Exception",$D51="Medium",$E51="High"),$A51&amp;"  "&amp;$B51,"")</f>
        <v/>
      </c>
      <c r="U51">
        <f>IF(AND($B51&lt;&gt;"",$C51&lt;&gt;"Target state",$C51&lt;&gt;"Exception",$D51="Low",$E51="Low"),$A51&amp;"  "&amp;$B51,"")</f>
        <v/>
      </c>
      <c r="V51">
        <f>IF(AND($B51&lt;&gt;"",$C51&lt;&gt;"Target state",$C51&lt;&gt;"Exception",$D51="Low",$E51="Medium"),$A51&amp;"  "&amp;$B51,"")</f>
        <v/>
      </c>
      <c r="W51">
        <f>IF(AND($B51&lt;&gt;"",$C51&lt;&gt;"Target state",$C51&lt;&gt;"Exception",$D51="Low",$E51="High"),$A51&amp;"  "&amp;$B51,"")</f>
        <v/>
      </c>
    </row>
    <row r="52" ht="20" customHeight="1" s="52">
      <c r="A52" s="93" t="inlineStr">
        <is>
          <t>㊴</t>
        </is>
      </c>
      <c r="B52" s="94" t="n"/>
      <c r="C52" s="73" t="n"/>
      <c r="D52" s="73" t="n"/>
      <c r="E52" s="73" t="n"/>
      <c r="F52" s="72" t="n"/>
      <c r="G52" s="95">
        <f>IF(OR($B52="",$D52="",$E52=""),"",IF(OR($C52="Target state",$C52="Exception"),"Out of scope",IF($D52="Low","No tranche",IF($E52="Low","Tranche 1",IF($E52="Medium","Tranche 2",IF($D52="High","Tranche 3","No tranche"))))))</f>
        <v/>
      </c>
      <c r="K52" s="102" t="n"/>
      <c r="L52" s="102" t="n"/>
      <c r="M52" s="102" t="n"/>
      <c r="O52">
        <f>IF(AND($B52&lt;&gt;"",$C52&lt;&gt;"Target state",$C52&lt;&gt;"Exception",$D52="High",$E52="Low"),$A52&amp;"  "&amp;$B52,"")</f>
        <v/>
      </c>
      <c r="P52">
        <f>IF(AND($B52&lt;&gt;"",$C52&lt;&gt;"Target state",$C52&lt;&gt;"Exception",$D52="High",$E52="Medium"),$A52&amp;"  "&amp;$B52,"")</f>
        <v/>
      </c>
      <c r="Q52">
        <f>IF(AND($B52&lt;&gt;"",$C52&lt;&gt;"Target state",$C52&lt;&gt;"Exception",$D52="High",$E52="High"),$A52&amp;"  "&amp;$B52,"")</f>
        <v/>
      </c>
      <c r="R52">
        <f>IF(AND($B52&lt;&gt;"",$C52&lt;&gt;"Target state",$C52&lt;&gt;"Exception",$D52="Medium",$E52="Low"),$A52&amp;"  "&amp;$B52,"")</f>
        <v/>
      </c>
      <c r="S52">
        <f>IF(AND($B52&lt;&gt;"",$C52&lt;&gt;"Target state",$C52&lt;&gt;"Exception",$D52="Medium",$E52="Medium"),$A52&amp;"  "&amp;$B52,"")</f>
        <v/>
      </c>
      <c r="T52">
        <f>IF(AND($B52&lt;&gt;"",$C52&lt;&gt;"Target state",$C52&lt;&gt;"Exception",$D52="Medium",$E52="High"),$A52&amp;"  "&amp;$B52,"")</f>
        <v/>
      </c>
      <c r="U52">
        <f>IF(AND($B52&lt;&gt;"",$C52&lt;&gt;"Target state",$C52&lt;&gt;"Exception",$D52="Low",$E52="Low"),$A52&amp;"  "&amp;$B52,"")</f>
        <v/>
      </c>
      <c r="V52">
        <f>IF(AND($B52&lt;&gt;"",$C52&lt;&gt;"Target state",$C52&lt;&gt;"Exception",$D52="Low",$E52="Medium"),$A52&amp;"  "&amp;$B52,"")</f>
        <v/>
      </c>
      <c r="W52">
        <f>IF(AND($B52&lt;&gt;"",$C52&lt;&gt;"Target state",$C52&lt;&gt;"Exception",$D52="Low",$E52="High"),$A52&amp;"  "&amp;$B52,"")</f>
        <v/>
      </c>
    </row>
    <row r="53">
      <c r="K53" s="97" t="inlineStr">
        <is>
          <t>Complexity</t>
        </is>
      </c>
    </row>
    <row r="57" ht="22" customHeight="1" s="52">
      <c r="A57" s="88" t="inlineStr">
        <is>
          <t>Switch</t>
        </is>
      </c>
      <c r="G57" s="89">
        <f>HYPERLINK("#'Payment Processing'!A4","▲ tracker")</f>
        <v/>
      </c>
      <c r="K57" s="90" t="inlineStr">
        <is>
          <t>Assessment Outcome</t>
        </is>
      </c>
    </row>
    <row r="58" ht="18" customHeight="1" s="52">
      <c r="A58" s="91" t="inlineStr">
        <is>
          <t>#</t>
        </is>
      </c>
      <c r="B58" s="91" t="inlineStr">
        <is>
          <t>Platform</t>
        </is>
      </c>
      <c r="C58" s="91" t="inlineStr">
        <is>
          <t>State</t>
        </is>
      </c>
      <c r="D58" s="91" t="inlineStr">
        <is>
          <t>Imperative to exit</t>
        </is>
      </c>
      <c r="E58" s="91" t="inlineStr">
        <is>
          <t>Exit complexity</t>
        </is>
      </c>
      <c r="F58" s="91" t="inlineStr">
        <is>
          <t>Supporting facts</t>
        </is>
      </c>
      <c r="G58" s="91" t="inlineStr">
        <is>
          <t>Tranche (auto)</t>
        </is>
      </c>
      <c r="K58" s="92" t="inlineStr">
        <is>
          <t>Low</t>
        </is>
      </c>
      <c r="L58" s="92" t="inlineStr">
        <is>
          <t>Medium</t>
        </is>
      </c>
      <c r="M58" s="92" t="inlineStr">
        <is>
          <t>High</t>
        </is>
      </c>
    </row>
    <row r="59" ht="20" customHeight="1" s="52">
      <c r="A59" s="93" t="inlineStr">
        <is>
          <t>①</t>
        </is>
      </c>
      <c r="B59" s="94" t="n"/>
      <c r="C59" s="73" t="n"/>
      <c r="D59" s="73" t="n"/>
      <c r="E59" s="73" t="n"/>
      <c r="F59" s="72" t="n"/>
      <c r="G59" s="95">
        <f>IF(OR($B59="",$D59="",$E59=""),"",IF(OR($C59="Target state",$C59="Exception"),"Out of scope",IF($D59="Low","No tranche",IF($E59="Low","Tranche 1",IF($E59="Medium","Tranche 2",IF($D59="High","Tranche 3","No tranche"))))))</f>
        <v/>
      </c>
      <c r="I59" s="96" t="inlineStr">
        <is>
          <t>Benefits</t>
        </is>
      </c>
      <c r="J59" s="97" t="inlineStr">
        <is>
          <t>High</t>
        </is>
      </c>
      <c r="K59" s="98">
        <f>"Tranche 1"&amp;CHAR(10)&amp;_xlfn.TEXTJOIN(CHAR(10),TRUE,O$59:O$68)</f>
        <v/>
      </c>
      <c r="L59" s="99">
        <f>"Tranche 2"&amp;CHAR(10)&amp;_xlfn.TEXTJOIN(CHAR(10),TRUE,P$59:P$68)</f>
        <v/>
      </c>
      <c r="M59" s="100">
        <f>"Tranche 3"&amp;CHAR(10)&amp;_xlfn.TEXTJOIN(CHAR(10),TRUE,Q$59:Q$68)</f>
        <v/>
      </c>
      <c r="O59">
        <f>IF(AND($B59&lt;&gt;"",$C59&lt;&gt;"Target state",$C59&lt;&gt;"Exception",$D59="High",$E59="Low"),$A59&amp;"  "&amp;$B59,"")</f>
        <v/>
      </c>
      <c r="P59">
        <f>IF(AND($B59&lt;&gt;"",$C59&lt;&gt;"Target state",$C59&lt;&gt;"Exception",$D59="High",$E59="Medium"),$A59&amp;"  "&amp;$B59,"")</f>
        <v/>
      </c>
      <c r="Q59">
        <f>IF(AND($B59&lt;&gt;"",$C59&lt;&gt;"Target state",$C59&lt;&gt;"Exception",$D59="High",$E59="High"),$A59&amp;"  "&amp;$B59,"")</f>
        <v/>
      </c>
      <c r="R59">
        <f>IF(AND($B59&lt;&gt;"",$C59&lt;&gt;"Target state",$C59&lt;&gt;"Exception",$D59="Medium",$E59="Low"),$A59&amp;"  "&amp;$B59,"")</f>
        <v/>
      </c>
      <c r="S59">
        <f>IF(AND($B59&lt;&gt;"",$C59&lt;&gt;"Target state",$C59&lt;&gt;"Exception",$D59="Medium",$E59="Medium"),$A59&amp;"  "&amp;$B59,"")</f>
        <v/>
      </c>
      <c r="T59">
        <f>IF(AND($B59&lt;&gt;"",$C59&lt;&gt;"Target state",$C59&lt;&gt;"Exception",$D59="Medium",$E59="High"),$A59&amp;"  "&amp;$B59,"")</f>
        <v/>
      </c>
      <c r="U59">
        <f>IF(AND($B59&lt;&gt;"",$C59&lt;&gt;"Target state",$C59&lt;&gt;"Exception",$D59="Low",$E59="Low"),$A59&amp;"  "&amp;$B59,"")</f>
        <v/>
      </c>
      <c r="V59">
        <f>IF(AND($B59&lt;&gt;"",$C59&lt;&gt;"Target state",$C59&lt;&gt;"Exception",$D59="Low",$E59="Medium"),$A59&amp;"  "&amp;$B59,"")</f>
        <v/>
      </c>
      <c r="W59">
        <f>IF(AND($B59&lt;&gt;"",$C59&lt;&gt;"Target state",$C59&lt;&gt;"Exception",$D59="Low",$E59="High"),$A59&amp;"  "&amp;$B59,"")</f>
        <v/>
      </c>
    </row>
    <row r="60" ht="20" customHeight="1" s="52">
      <c r="A60" s="93" t="inlineStr">
        <is>
          <t>②</t>
        </is>
      </c>
      <c r="B60" s="94" t="n"/>
      <c r="C60" s="73" t="n"/>
      <c r="D60" s="73" t="n"/>
      <c r="E60" s="73" t="n"/>
      <c r="F60" s="72" t="n"/>
      <c r="G60" s="95">
        <f>IF(OR($B60="",$D60="",$E60=""),"",IF(OR($C60="Target state",$C60="Exception"),"Out of scope",IF($D60="Low","No tranche",IF($E60="Low","Tranche 1",IF($E60="Medium","Tranche 2",IF($D60="High","Tranche 3","No tranche"))))))</f>
        <v/>
      </c>
      <c r="K60" s="101" t="n"/>
      <c r="L60" s="101" t="n"/>
      <c r="M60" s="101" t="n"/>
      <c r="O60">
        <f>IF(AND($B60&lt;&gt;"",$C60&lt;&gt;"Target state",$C60&lt;&gt;"Exception",$D60="High",$E60="Low"),$A60&amp;"  "&amp;$B60,"")</f>
        <v/>
      </c>
      <c r="P60">
        <f>IF(AND($B60&lt;&gt;"",$C60&lt;&gt;"Target state",$C60&lt;&gt;"Exception",$D60="High",$E60="Medium"),$A60&amp;"  "&amp;$B60,"")</f>
        <v/>
      </c>
      <c r="Q60">
        <f>IF(AND($B60&lt;&gt;"",$C60&lt;&gt;"Target state",$C60&lt;&gt;"Exception",$D60="High",$E60="High"),$A60&amp;"  "&amp;$B60,"")</f>
        <v/>
      </c>
      <c r="R60">
        <f>IF(AND($B60&lt;&gt;"",$C60&lt;&gt;"Target state",$C60&lt;&gt;"Exception",$D60="Medium",$E60="Low"),$A60&amp;"  "&amp;$B60,"")</f>
        <v/>
      </c>
      <c r="S60">
        <f>IF(AND($B60&lt;&gt;"",$C60&lt;&gt;"Target state",$C60&lt;&gt;"Exception",$D60="Medium",$E60="Medium"),$A60&amp;"  "&amp;$B60,"")</f>
        <v/>
      </c>
      <c r="T60">
        <f>IF(AND($B60&lt;&gt;"",$C60&lt;&gt;"Target state",$C60&lt;&gt;"Exception",$D60="Medium",$E60="High"),$A60&amp;"  "&amp;$B60,"")</f>
        <v/>
      </c>
      <c r="U60">
        <f>IF(AND($B60&lt;&gt;"",$C60&lt;&gt;"Target state",$C60&lt;&gt;"Exception",$D60="Low",$E60="Low"),$A60&amp;"  "&amp;$B60,"")</f>
        <v/>
      </c>
      <c r="V60">
        <f>IF(AND($B60&lt;&gt;"",$C60&lt;&gt;"Target state",$C60&lt;&gt;"Exception",$D60="Low",$E60="Medium"),$A60&amp;"  "&amp;$B60,"")</f>
        <v/>
      </c>
      <c r="W60">
        <f>IF(AND($B60&lt;&gt;"",$C60&lt;&gt;"Target state",$C60&lt;&gt;"Exception",$D60="Low",$E60="High"),$A60&amp;"  "&amp;$B60,"")</f>
        <v/>
      </c>
    </row>
    <row r="61" ht="20" customHeight="1" s="52">
      <c r="A61" s="93" t="inlineStr">
        <is>
          <t>③</t>
        </is>
      </c>
      <c r="B61" s="94" t="n"/>
      <c r="C61" s="73" t="n"/>
      <c r="D61" s="73" t="n"/>
      <c r="E61" s="73" t="n"/>
      <c r="F61" s="72" t="n"/>
      <c r="G61" s="95">
        <f>IF(OR($B61="",$D61="",$E61=""),"",IF(OR($C61="Target state",$C61="Exception"),"Out of scope",IF($D61="Low","No tranche",IF($E61="Low","Tranche 1",IF($E61="Medium","Tranche 2",IF($D61="High","Tranche 3","No tranche"))))))</f>
        <v/>
      </c>
      <c r="K61" s="101" t="n"/>
      <c r="L61" s="101" t="n"/>
      <c r="M61" s="101" t="n"/>
      <c r="O61">
        <f>IF(AND($B61&lt;&gt;"",$C61&lt;&gt;"Target state",$C61&lt;&gt;"Exception",$D61="High",$E61="Low"),$A61&amp;"  "&amp;$B61,"")</f>
        <v/>
      </c>
      <c r="P61">
        <f>IF(AND($B61&lt;&gt;"",$C61&lt;&gt;"Target state",$C61&lt;&gt;"Exception",$D61="High",$E61="Medium"),$A61&amp;"  "&amp;$B61,"")</f>
        <v/>
      </c>
      <c r="Q61">
        <f>IF(AND($B61&lt;&gt;"",$C61&lt;&gt;"Target state",$C61&lt;&gt;"Exception",$D61="High",$E61="High"),$A61&amp;"  "&amp;$B61,"")</f>
        <v/>
      </c>
      <c r="R61">
        <f>IF(AND($B61&lt;&gt;"",$C61&lt;&gt;"Target state",$C61&lt;&gt;"Exception",$D61="Medium",$E61="Low"),$A61&amp;"  "&amp;$B61,"")</f>
        <v/>
      </c>
      <c r="S61">
        <f>IF(AND($B61&lt;&gt;"",$C61&lt;&gt;"Target state",$C61&lt;&gt;"Exception",$D61="Medium",$E61="Medium"),$A61&amp;"  "&amp;$B61,"")</f>
        <v/>
      </c>
      <c r="T61">
        <f>IF(AND($B61&lt;&gt;"",$C61&lt;&gt;"Target state",$C61&lt;&gt;"Exception",$D61="Medium",$E61="High"),$A61&amp;"  "&amp;$B61,"")</f>
        <v/>
      </c>
      <c r="U61">
        <f>IF(AND($B61&lt;&gt;"",$C61&lt;&gt;"Target state",$C61&lt;&gt;"Exception",$D61="Low",$E61="Low"),$A61&amp;"  "&amp;$B61,"")</f>
        <v/>
      </c>
      <c r="V61">
        <f>IF(AND($B61&lt;&gt;"",$C61&lt;&gt;"Target state",$C61&lt;&gt;"Exception",$D61="Low",$E61="Medium"),$A61&amp;"  "&amp;$B61,"")</f>
        <v/>
      </c>
      <c r="W61">
        <f>IF(AND($B61&lt;&gt;"",$C61&lt;&gt;"Target state",$C61&lt;&gt;"Exception",$D61="Low",$E61="High"),$A61&amp;"  "&amp;$B61,"")</f>
        <v/>
      </c>
    </row>
    <row r="62" ht="20" customHeight="1" s="52">
      <c r="A62" s="93" t="inlineStr">
        <is>
          <t>④</t>
        </is>
      </c>
      <c r="B62" s="94" t="n"/>
      <c r="C62" s="73" t="n"/>
      <c r="D62" s="73" t="n"/>
      <c r="E62" s="73" t="n"/>
      <c r="F62" s="72" t="n"/>
      <c r="G62" s="95">
        <f>IF(OR($B62="",$D62="",$E62=""),"",IF(OR($C62="Target state",$C62="Exception"),"Out of scope",IF($D62="Low","No tranche",IF($E62="Low","Tranche 1",IF($E62="Medium","Tranche 2",IF($D62="High","Tranche 3","No tranche"))))))</f>
        <v/>
      </c>
      <c r="K62" s="102" t="n"/>
      <c r="L62" s="102" t="n"/>
      <c r="M62" s="102" t="n"/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 s="52">
      <c r="A63" s="93" t="inlineStr">
        <is>
          <t>⑤</t>
        </is>
      </c>
      <c r="B63" s="94" t="n"/>
      <c r="C63" s="73" t="n"/>
      <c r="D63" s="73" t="n"/>
      <c r="E63" s="73" t="n"/>
      <c r="F63" s="72" t="n"/>
      <c r="G63" s="95">
        <f>IF(OR($B63="",$D63="",$E63=""),"",IF(OR($C63="Target state",$C63="Exception"),"Out of scope",IF($D63="Low","No tranche",IF($E63="Low","Tranche 1",IF($E63="Medium","Tranche 2",IF($D63="High","Tranche 3","No tranche"))))))</f>
        <v/>
      </c>
      <c r="J63" s="97" t="inlineStr">
        <is>
          <t>Medium</t>
        </is>
      </c>
      <c r="K63" s="98">
        <f>"Tranche 1"&amp;CHAR(10)&amp;_xlfn.TEXTJOIN(CHAR(10),TRUE,R$59:R$68)</f>
        <v/>
      </c>
      <c r="L63" s="99">
        <f>"Tranche 2"&amp;CHAR(10)&amp;_xlfn.TEXTJOIN(CHAR(10),TRUE,S$59:S$68)</f>
        <v/>
      </c>
      <c r="M63" s="103">
        <f>_xlfn.TEXTJOIN(CHAR(10),TRUE,T$59:T$68)</f>
        <v/>
      </c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20" customHeight="1" s="52">
      <c r="A64" s="93" t="inlineStr">
        <is>
          <t>⑥</t>
        </is>
      </c>
      <c r="B64" s="94" t="n"/>
      <c r="C64" s="73" t="n"/>
      <c r="D64" s="73" t="n"/>
      <c r="E64" s="73" t="n"/>
      <c r="F64" s="72" t="n"/>
      <c r="G64" s="95">
        <f>IF(OR($B64="",$D64="",$E64=""),"",IF(OR($C64="Target state",$C64="Exception"),"Out of scope",IF($D64="Low","No tranche",IF($E64="Low","Tranche 1",IF($E64="Medium","Tranche 2",IF($D64="High","Tranche 3","No tranche"))))))</f>
        <v/>
      </c>
      <c r="K64" s="101" t="n"/>
      <c r="L64" s="101" t="n"/>
      <c r="M64" s="101" t="n"/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5" ht="20" customHeight="1" s="52">
      <c r="A65" s="93" t="inlineStr">
        <is>
          <t>⑦</t>
        </is>
      </c>
      <c r="B65" s="94" t="n"/>
      <c r="C65" s="73" t="n"/>
      <c r="D65" s="73" t="n"/>
      <c r="E65" s="73" t="n"/>
      <c r="F65" s="72" t="n"/>
      <c r="G65" s="95">
        <f>IF(OR($B65="",$D65="",$E65=""),"",IF(OR($C65="Target state",$C65="Exception"),"Out of scope",IF($D65="Low","No tranche",IF($E65="Low","Tranche 1",IF($E65="Medium","Tranche 2",IF($D65="High","Tranche 3","No tranche"))))))</f>
        <v/>
      </c>
      <c r="K65" s="102" t="n"/>
      <c r="L65" s="102" t="n"/>
      <c r="M65" s="102" t="n"/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6" ht="20" customHeight="1" s="52">
      <c r="A66" s="93" t="inlineStr">
        <is>
          <t>⑧</t>
        </is>
      </c>
      <c r="B66" s="94" t="n"/>
      <c r="C66" s="73" t="n"/>
      <c r="D66" s="73" t="n"/>
      <c r="E66" s="73" t="n"/>
      <c r="F66" s="72" t="n"/>
      <c r="G66" s="95">
        <f>IF(OR($B66="",$D66="",$E66=""),"",IF(OR($C66="Target state",$C66="Exception"),"Out of scope",IF($D66="Low","No tranche",IF($E66="Low","Tranche 1",IF($E66="Medium","Tranche 2",IF($D66="High","Tranche 3","No tranche"))))))</f>
        <v/>
      </c>
      <c r="J66" s="97" t="inlineStr">
        <is>
          <t>Low</t>
        </is>
      </c>
      <c r="K66" s="103">
        <f>_xlfn.TEXTJOIN(CHAR(10),TRUE,U$59:U$68)</f>
        <v/>
      </c>
      <c r="L66" s="103">
        <f>_xlfn.TEXTJOIN(CHAR(10),TRUE,V$59:V$68)</f>
        <v/>
      </c>
      <c r="M66" s="103">
        <f>_xlfn.TEXTJOIN(CHAR(10),TRUE,W$59:W$68)</f>
        <v/>
      </c>
      <c r="O66">
        <f>IF(AND($B66&lt;&gt;"",$C66&lt;&gt;"Target state",$C66&lt;&gt;"Exception",$D66="High",$E66="Low"),$A66&amp;"  "&amp;$B66,"")</f>
        <v/>
      </c>
      <c r="P66">
        <f>IF(AND($B66&lt;&gt;"",$C66&lt;&gt;"Target state",$C66&lt;&gt;"Exception",$D66="High",$E66="Medium"),$A66&amp;"  "&amp;$B66,"")</f>
        <v/>
      </c>
      <c r="Q66">
        <f>IF(AND($B66&lt;&gt;"",$C66&lt;&gt;"Target state",$C66&lt;&gt;"Exception",$D66="High",$E66="High"),$A66&amp;"  "&amp;$B66,"")</f>
        <v/>
      </c>
      <c r="R66">
        <f>IF(AND($B66&lt;&gt;"",$C66&lt;&gt;"Target state",$C66&lt;&gt;"Exception",$D66="Medium",$E66="Low"),$A66&amp;"  "&amp;$B66,"")</f>
        <v/>
      </c>
      <c r="S66">
        <f>IF(AND($B66&lt;&gt;"",$C66&lt;&gt;"Target state",$C66&lt;&gt;"Exception",$D66="Medium",$E66="Medium"),$A66&amp;"  "&amp;$B66,"")</f>
        <v/>
      </c>
      <c r="T66">
        <f>IF(AND($B66&lt;&gt;"",$C66&lt;&gt;"Target state",$C66&lt;&gt;"Exception",$D66="Medium",$E66="High"),$A66&amp;"  "&amp;$B66,"")</f>
        <v/>
      </c>
      <c r="U66">
        <f>IF(AND($B66&lt;&gt;"",$C66&lt;&gt;"Target state",$C66&lt;&gt;"Exception",$D66="Low",$E66="Low"),$A66&amp;"  "&amp;$B66,"")</f>
        <v/>
      </c>
      <c r="V66">
        <f>IF(AND($B66&lt;&gt;"",$C66&lt;&gt;"Target state",$C66&lt;&gt;"Exception",$D66="Low",$E66="Medium"),$A66&amp;"  "&amp;$B66,"")</f>
        <v/>
      </c>
      <c r="W66">
        <f>IF(AND($B66&lt;&gt;"",$C66&lt;&gt;"Target state",$C66&lt;&gt;"Exception",$D66="Low",$E66="High"),$A66&amp;"  "&amp;$B66,"")</f>
        <v/>
      </c>
    </row>
    <row r="67" ht="20" customHeight="1" s="52">
      <c r="A67" s="93" t="inlineStr">
        <is>
          <t>⑨</t>
        </is>
      </c>
      <c r="B67" s="94" t="n"/>
      <c r="C67" s="73" t="n"/>
      <c r="D67" s="73" t="n"/>
      <c r="E67" s="73" t="n"/>
      <c r="F67" s="72" t="n"/>
      <c r="G67" s="95">
        <f>IF(OR($B67="",$D67="",$E67=""),"",IF(OR($C67="Target state",$C67="Exception"),"Out of scope",IF($D67="Low","No tranche",IF($E67="Low","Tranche 1",IF($E67="Medium","Tranche 2",IF($D67="High","Tranche 3","No tranche"))))))</f>
        <v/>
      </c>
      <c r="K67" s="101" t="n"/>
      <c r="L67" s="101" t="n"/>
      <c r="M67" s="101" t="n"/>
      <c r="O67">
        <f>IF(AND($B67&lt;&gt;"",$C67&lt;&gt;"Target state",$C67&lt;&gt;"Exception",$D67="High",$E67="Low"),$A67&amp;"  "&amp;$B67,"")</f>
        <v/>
      </c>
      <c r="P67">
        <f>IF(AND($B67&lt;&gt;"",$C67&lt;&gt;"Target state",$C67&lt;&gt;"Exception",$D67="High",$E67="Medium"),$A67&amp;"  "&amp;$B67,"")</f>
        <v/>
      </c>
      <c r="Q67">
        <f>IF(AND($B67&lt;&gt;"",$C67&lt;&gt;"Target state",$C67&lt;&gt;"Exception",$D67="High",$E67="High"),$A67&amp;"  "&amp;$B67,"")</f>
        <v/>
      </c>
      <c r="R67">
        <f>IF(AND($B67&lt;&gt;"",$C67&lt;&gt;"Target state",$C67&lt;&gt;"Exception",$D67="Medium",$E67="Low"),$A67&amp;"  "&amp;$B67,"")</f>
        <v/>
      </c>
      <c r="S67">
        <f>IF(AND($B67&lt;&gt;"",$C67&lt;&gt;"Target state",$C67&lt;&gt;"Exception",$D67="Medium",$E67="Medium"),$A67&amp;"  "&amp;$B67,"")</f>
        <v/>
      </c>
      <c r="T67">
        <f>IF(AND($B67&lt;&gt;"",$C67&lt;&gt;"Target state",$C67&lt;&gt;"Exception",$D67="Medium",$E67="High"),$A67&amp;"  "&amp;$B67,"")</f>
        <v/>
      </c>
      <c r="U67">
        <f>IF(AND($B67&lt;&gt;"",$C67&lt;&gt;"Target state",$C67&lt;&gt;"Exception",$D67="Low",$E67="Low"),$A67&amp;"  "&amp;$B67,"")</f>
        <v/>
      </c>
      <c r="V67">
        <f>IF(AND($B67&lt;&gt;"",$C67&lt;&gt;"Target state",$C67&lt;&gt;"Exception",$D67="Low",$E67="Medium"),$A67&amp;"  "&amp;$B67,"")</f>
        <v/>
      </c>
      <c r="W67">
        <f>IF(AND($B67&lt;&gt;"",$C67&lt;&gt;"Target state",$C67&lt;&gt;"Exception",$D67="Low",$E67="High"),$A67&amp;"  "&amp;$B67,"")</f>
        <v/>
      </c>
    </row>
    <row r="68" ht="20" customHeight="1" s="52">
      <c r="A68" s="93" t="inlineStr">
        <is>
          <t>⑩</t>
        </is>
      </c>
      <c r="B68" s="94" t="n"/>
      <c r="C68" s="73" t="n"/>
      <c r="D68" s="73" t="n"/>
      <c r="E68" s="73" t="n"/>
      <c r="F68" s="72" t="n"/>
      <c r="G68" s="95">
        <f>IF(OR($B68="",$D68="",$E68=""),"",IF(OR($C68="Target state",$C68="Exception"),"Out of scope",IF($D68="Low","No tranche",IF($E68="Low","Tranche 1",IF($E68="Medium","Tranche 2",IF($D68="High","Tranche 3","No tranche"))))))</f>
        <v/>
      </c>
      <c r="K68" s="102" t="n"/>
      <c r="L68" s="102" t="n"/>
      <c r="M68" s="102" t="n"/>
      <c r="O68">
        <f>IF(AND($B68&lt;&gt;"",$C68&lt;&gt;"Target state",$C68&lt;&gt;"Exception",$D68="High",$E68="Low"),$A68&amp;"  "&amp;$B68,"")</f>
        <v/>
      </c>
      <c r="P68">
        <f>IF(AND($B68&lt;&gt;"",$C68&lt;&gt;"Target state",$C68&lt;&gt;"Exception",$D68="High",$E68="Medium"),$A68&amp;"  "&amp;$B68,"")</f>
        <v/>
      </c>
      <c r="Q68">
        <f>IF(AND($B68&lt;&gt;"",$C68&lt;&gt;"Target state",$C68&lt;&gt;"Exception",$D68="High",$E68="High"),$A68&amp;"  "&amp;$B68,"")</f>
        <v/>
      </c>
      <c r="R68">
        <f>IF(AND($B68&lt;&gt;"",$C68&lt;&gt;"Target state",$C68&lt;&gt;"Exception",$D68="Medium",$E68="Low"),$A68&amp;"  "&amp;$B68,"")</f>
        <v/>
      </c>
      <c r="S68">
        <f>IF(AND($B68&lt;&gt;"",$C68&lt;&gt;"Target state",$C68&lt;&gt;"Exception",$D68="Medium",$E68="Medium"),$A68&amp;"  "&amp;$B68,"")</f>
        <v/>
      </c>
      <c r="T68">
        <f>IF(AND($B68&lt;&gt;"",$C68&lt;&gt;"Target state",$C68&lt;&gt;"Exception",$D68="Medium",$E68="High"),$A68&amp;"  "&amp;$B68,"")</f>
        <v/>
      </c>
      <c r="U68">
        <f>IF(AND($B68&lt;&gt;"",$C68&lt;&gt;"Target state",$C68&lt;&gt;"Exception",$D68="Low",$E68="Low"),$A68&amp;"  "&amp;$B68,"")</f>
        <v/>
      </c>
      <c r="V68">
        <f>IF(AND($B68&lt;&gt;"",$C68&lt;&gt;"Target state",$C68&lt;&gt;"Exception",$D68="Low",$E68="Medium"),$A68&amp;"  "&amp;$B68,"")</f>
        <v/>
      </c>
      <c r="W68">
        <f>IF(AND($B68&lt;&gt;"",$C68&lt;&gt;"Target state",$C68&lt;&gt;"Exception",$D68="Low",$E68="High"),$A68&amp;"  "&amp;$B68,"")</f>
        <v/>
      </c>
    </row>
    <row r="69">
      <c r="K69" s="97" t="inlineStr">
        <is>
          <t>Complexity</t>
        </is>
      </c>
    </row>
    <row r="73" ht="22" customHeight="1" s="52">
      <c r="A73" s="88" t="inlineStr">
        <is>
          <t>Clearing Back-end</t>
        </is>
      </c>
      <c r="G73" s="89">
        <f>HYPERLINK("#'Payment Processing'!A4","▲ tracker")</f>
        <v/>
      </c>
      <c r="K73" s="90" t="inlineStr">
        <is>
          <t>Assessment Outcome</t>
        </is>
      </c>
    </row>
    <row r="74" ht="18" customHeight="1" s="52">
      <c r="A74" s="91" t="inlineStr">
        <is>
          <t>#</t>
        </is>
      </c>
      <c r="B74" s="91" t="inlineStr">
        <is>
          <t>Platform</t>
        </is>
      </c>
      <c r="C74" s="91" t="inlineStr">
        <is>
          <t>State</t>
        </is>
      </c>
      <c r="D74" s="91" t="inlineStr">
        <is>
          <t>Imperative to exit</t>
        </is>
      </c>
      <c r="E74" s="91" t="inlineStr">
        <is>
          <t>Exit complexity</t>
        </is>
      </c>
      <c r="F74" s="91" t="inlineStr">
        <is>
          <t>Supporting facts</t>
        </is>
      </c>
      <c r="G74" s="91" t="inlineStr">
        <is>
          <t>Tranche (auto)</t>
        </is>
      </c>
      <c r="K74" s="92" t="inlineStr">
        <is>
          <t>Low</t>
        </is>
      </c>
      <c r="L74" s="92" t="inlineStr">
        <is>
          <t>Medium</t>
        </is>
      </c>
      <c r="M74" s="92" t="inlineStr">
        <is>
          <t>High</t>
        </is>
      </c>
    </row>
    <row r="75" ht="48" customHeight="1" s="52">
      <c r="A75" s="93" t="inlineStr">
        <is>
          <t>①</t>
        </is>
      </c>
      <c r="B75" s="94" t="inlineStr">
        <is>
          <t>GMAS</t>
        </is>
      </c>
      <c r="C75" s="73" t="inlineStr">
        <is>
          <t>Non-target state</t>
        </is>
      </c>
      <c r="D75" s="73" t="n"/>
      <c r="E75" s="73" t="n"/>
      <c r="F75" s="72" t="inlineStr">
        <is>
          <t>Described in the repository as the international go-forward backend under the prior TAM; about 4.9B transactions and $800B processed across 1.3M merchants with $7.5M in yearly Endava cost; flagged Keep &amp; Enhance with selective migration, so confirm whether this row should be Target state</t>
        </is>
      </c>
      <c r="G75" s="95">
        <f>IF(OR($B75="",$D75="",$E75=""),"",IF(OR($C75="Target state",$C75="Exception"),"Out of scope",IF($D75="Low","No tranche",IF($E75="Low","Tranche 1",IF($E75="Medium","Tranche 2",IF($D75="High","Tranche 3","No tranche"))))))</f>
        <v/>
      </c>
      <c r="I75" s="96" t="inlineStr">
        <is>
          <t>Benefits</t>
        </is>
      </c>
      <c r="J75" s="97" t="inlineStr">
        <is>
          <t>High</t>
        </is>
      </c>
      <c r="K75" s="98">
        <f>"Tranche 1"&amp;CHAR(10)&amp;_xlfn.TEXTJOIN(CHAR(10),TRUE,O$75:O$89)</f>
        <v/>
      </c>
      <c r="L75" s="99">
        <f>"Tranche 2"&amp;CHAR(10)&amp;_xlfn.TEXTJOIN(CHAR(10),TRUE,P$75:P$89)</f>
        <v/>
      </c>
      <c r="M75" s="100">
        <f>"Tranche 3"&amp;CHAR(10)&amp;_xlfn.TEXTJOIN(CHAR(10),TRUE,Q$75:Q$89)</f>
        <v/>
      </c>
      <c r="O75">
        <f>IF(AND($B75&lt;&gt;"",$C75&lt;&gt;"Target state",$C75&lt;&gt;"Exception",$D75="High",$E75="Low"),$A75&amp;"  "&amp;$B75,"")</f>
        <v/>
      </c>
      <c r="P75">
        <f>IF(AND($B75&lt;&gt;"",$C75&lt;&gt;"Target state",$C75&lt;&gt;"Exception",$D75="High",$E75="Medium"),$A75&amp;"  "&amp;$B75,"")</f>
        <v/>
      </c>
      <c r="Q75">
        <f>IF(AND($B75&lt;&gt;"",$C75&lt;&gt;"Target state",$C75&lt;&gt;"Exception",$D75="High",$E75="High"),$A75&amp;"  "&amp;$B75,"")</f>
        <v/>
      </c>
      <c r="R75">
        <f>IF(AND($B75&lt;&gt;"",$C75&lt;&gt;"Target state",$C75&lt;&gt;"Exception",$D75="Medium",$E75="Low"),$A75&amp;"  "&amp;$B75,"")</f>
        <v/>
      </c>
      <c r="S75">
        <f>IF(AND($B75&lt;&gt;"",$C75&lt;&gt;"Target state",$C75&lt;&gt;"Exception",$D75="Medium",$E75="Medium"),$A75&amp;"  "&amp;$B75,"")</f>
        <v/>
      </c>
      <c r="T75">
        <f>IF(AND($B75&lt;&gt;"",$C75&lt;&gt;"Target state",$C75&lt;&gt;"Exception",$D75="Medium",$E75="High"),$A75&amp;"  "&amp;$B75,"")</f>
        <v/>
      </c>
      <c r="U75">
        <f>IF(AND($B75&lt;&gt;"",$C75&lt;&gt;"Target state",$C75&lt;&gt;"Exception",$D75="Low",$E75="Low"),$A75&amp;"  "&amp;$B75,"")</f>
        <v/>
      </c>
      <c r="V75">
        <f>IF(AND($B75&lt;&gt;"",$C75&lt;&gt;"Target state",$C75&lt;&gt;"Exception",$D75="Low",$E75="Medium"),$A75&amp;"  "&amp;$B75,"")</f>
        <v/>
      </c>
      <c r="W75">
        <f>IF(AND($B75&lt;&gt;"",$C75&lt;&gt;"Target state",$C75&lt;&gt;"Exception",$D75="Low",$E75="High"),$A75&amp;"  "&amp;$B75,"")</f>
        <v/>
      </c>
    </row>
    <row r="76" ht="36" customHeight="1" s="52">
      <c r="A76" s="93" t="inlineStr">
        <is>
          <t>②</t>
        </is>
      </c>
      <c r="B76" s="94" t="inlineStr">
        <is>
          <t>A360</t>
        </is>
      </c>
      <c r="C76" s="73" t="inlineStr">
        <is>
          <t>Non-target state</t>
        </is>
      </c>
      <c r="D76" s="73" t="n"/>
      <c r="E76" s="73" t="n"/>
      <c r="F76" s="72" t="inlineStr">
        <is>
          <t>Non-strategic EVO North America settlement and clearing backend; about 268M transactions and $28B processed across 54K MIDs; annual run cost near $1M; migrates to Passport or TMAS under Falcon</t>
        </is>
      </c>
      <c r="G76" s="95">
        <f>IF(OR($B76="",$D76="",$E76=""),"",IF(OR($C76="Target state",$C76="Exception"),"Out of scope",IF($D76="Low","No tranche",IF($E76="Low","Tranche 1",IF($E76="Medium","Tranche 2",IF($D76="High","Tranche 3","No tranche"))))))</f>
        <v/>
      </c>
      <c r="K76" s="101" t="n"/>
      <c r="L76" s="101" t="n"/>
      <c r="M76" s="101" t="n"/>
      <c r="O76">
        <f>IF(AND($B76&lt;&gt;"",$C76&lt;&gt;"Target state",$C76&lt;&gt;"Exception",$D76="High",$E76="Low"),$A76&amp;"  "&amp;$B76,"")</f>
        <v/>
      </c>
      <c r="P76">
        <f>IF(AND($B76&lt;&gt;"",$C76&lt;&gt;"Target state",$C76&lt;&gt;"Exception",$D76="High",$E76="Medium"),$A76&amp;"  "&amp;$B76,"")</f>
        <v/>
      </c>
      <c r="Q76">
        <f>IF(AND($B76&lt;&gt;"",$C76&lt;&gt;"Target state",$C76&lt;&gt;"Exception",$D76="High",$E76="High"),$A76&amp;"  "&amp;$B76,"")</f>
        <v/>
      </c>
      <c r="R76">
        <f>IF(AND($B76&lt;&gt;"",$C76&lt;&gt;"Target state",$C76&lt;&gt;"Exception",$D76="Medium",$E76="Low"),$A76&amp;"  "&amp;$B76,"")</f>
        <v/>
      </c>
      <c r="S76">
        <f>IF(AND($B76&lt;&gt;"",$C76&lt;&gt;"Target state",$C76&lt;&gt;"Exception",$D76="Medium",$E76="Medium"),$A76&amp;"  "&amp;$B76,"")</f>
        <v/>
      </c>
      <c r="T76">
        <f>IF(AND($B76&lt;&gt;"",$C76&lt;&gt;"Target state",$C76&lt;&gt;"Exception",$D76="Medium",$E76="High"),$A76&amp;"  "&amp;$B76,"")</f>
        <v/>
      </c>
      <c r="U76">
        <f>IF(AND($B76&lt;&gt;"",$C76&lt;&gt;"Target state",$C76&lt;&gt;"Exception",$D76="Low",$E76="Low"),$A76&amp;"  "&amp;$B76,"")</f>
        <v/>
      </c>
      <c r="V76">
        <f>IF(AND($B76&lt;&gt;"",$C76&lt;&gt;"Target state",$C76&lt;&gt;"Exception",$D76="Low",$E76="Medium"),$A76&amp;"  "&amp;$B76,"")</f>
        <v/>
      </c>
      <c r="W76">
        <f>IF(AND($B76&lt;&gt;"",$C76&lt;&gt;"Target state",$C76&lt;&gt;"Exception",$D76="Low",$E76="High"),$A76&amp;"  "&amp;$B76,"")</f>
        <v/>
      </c>
    </row>
    <row r="77" ht="48" customHeight="1" s="52">
      <c r="A77" s="93" t="inlineStr">
        <is>
          <t>③</t>
        </is>
      </c>
      <c r="B77" s="94" t="inlineStr">
        <is>
          <t>MCC</t>
        </is>
      </c>
      <c r="C77" s="73" t="inlineStr">
        <is>
          <t>Non-target state</t>
        </is>
      </c>
      <c r="D77" s="73" t="n"/>
      <c r="E77" s="73" t="n"/>
      <c r="F77" s="72" t="inlineStr">
        <is>
          <t>Non-strategic Comercia legacy backend supporting clearing, settlement and wider backend processes for roughly 700K active MIDs; maintained for CaixaBank customers with a reduced process footprint while decommissioning proceeds</t>
        </is>
      </c>
      <c r="G77" s="95">
        <f>IF(OR($B77="",$D77="",$E77=""),"",IF(OR($C77="Target state",$C77="Exception"),"Out of scope",IF($D77="Low","No tranche",IF($E77="Low","Tranche 1",IF($E77="Medium","Tranche 2",IF($D77="High","Tranche 3","No tranche"))))))</f>
        <v/>
      </c>
      <c r="K77" s="101" t="n"/>
      <c r="L77" s="101" t="n"/>
      <c r="M77" s="101" t="n"/>
      <c r="O77">
        <f>IF(AND($B77&lt;&gt;"",$C77&lt;&gt;"Target state",$C77&lt;&gt;"Exception",$D77="High",$E77="Low"),$A77&amp;"  "&amp;$B77,"")</f>
        <v/>
      </c>
      <c r="P77">
        <f>IF(AND($B77&lt;&gt;"",$C77&lt;&gt;"Target state",$C77&lt;&gt;"Exception",$D77="High",$E77="Medium"),$A77&amp;"  "&amp;$B77,"")</f>
        <v/>
      </c>
      <c r="Q77">
        <f>IF(AND($B77&lt;&gt;"",$C77&lt;&gt;"Target state",$C77&lt;&gt;"Exception",$D77="High",$E77="High"),$A77&amp;"  "&amp;$B77,"")</f>
        <v/>
      </c>
      <c r="R77">
        <f>IF(AND($B77&lt;&gt;"",$C77&lt;&gt;"Target state",$C77&lt;&gt;"Exception",$D77="Medium",$E77="Low"),$A77&amp;"  "&amp;$B77,"")</f>
        <v/>
      </c>
      <c r="S77">
        <f>IF(AND($B77&lt;&gt;"",$C77&lt;&gt;"Target state",$C77&lt;&gt;"Exception",$D77="Medium",$E77="Medium"),$A77&amp;"  "&amp;$B77,"")</f>
        <v/>
      </c>
      <c r="T77">
        <f>IF(AND($B77&lt;&gt;"",$C77&lt;&gt;"Target state",$C77&lt;&gt;"Exception",$D77="Medium",$E77="High"),$A77&amp;"  "&amp;$B77,"")</f>
        <v/>
      </c>
      <c r="U77">
        <f>IF(AND($B77&lt;&gt;"",$C77&lt;&gt;"Target state",$C77&lt;&gt;"Exception",$D77="Low",$E77="Low"),$A77&amp;"  "&amp;$B77,"")</f>
        <v/>
      </c>
      <c r="V77">
        <f>IF(AND($B77&lt;&gt;"",$C77&lt;&gt;"Target state",$C77&lt;&gt;"Exception",$D77="Low",$E77="Medium"),$A77&amp;"  "&amp;$B77,"")</f>
        <v/>
      </c>
      <c r="W77">
        <f>IF(AND($B77&lt;&gt;"",$C77&lt;&gt;"Target state",$C77&lt;&gt;"Exception",$D77="Low",$E77="High"),$A77&amp;"  "&amp;$B77,"")</f>
        <v/>
      </c>
    </row>
    <row r="78" ht="30" customHeight="1" s="52">
      <c r="A78" s="93" t="inlineStr">
        <is>
          <t>④</t>
        </is>
      </c>
      <c r="B78" s="94" t="inlineStr">
        <is>
          <t>DOMEX</t>
        </is>
      </c>
      <c r="C78" s="73" t="inlineStr">
        <is>
          <t>Non-target state</t>
        </is>
      </c>
      <c r="D78" s="73" t="n"/>
      <c r="E78" s="73" t="n"/>
      <c r="F78" s="72" t="inlineStr">
        <is>
          <t>Non-strategic Comercia application funding non-CaixaBank customers, interlinked with MCC processes; follows the MCC decommission path</t>
        </is>
      </c>
      <c r="G78" s="95">
        <f>IF(OR($B78="",$D78="",$E78=""),"",IF(OR($C78="Target state",$C78="Exception"),"Out of scope",IF($D78="Low","No tranche",IF($E78="Low","Tranche 1",IF($E78="Medium","Tranche 2",IF($D78="High","Tranche 3","No tranche"))))))</f>
        <v/>
      </c>
      <c r="K78" s="101" t="n"/>
      <c r="L78" s="101" t="n"/>
      <c r="M78" s="101" t="n"/>
      <c r="O78">
        <f>IF(AND($B78&lt;&gt;"",$C78&lt;&gt;"Target state",$C78&lt;&gt;"Exception",$D78="High",$E78="Low"),$A78&amp;"  "&amp;$B78,"")</f>
        <v/>
      </c>
      <c r="P78">
        <f>IF(AND($B78&lt;&gt;"",$C78&lt;&gt;"Target state",$C78&lt;&gt;"Exception",$D78="High",$E78="Medium"),$A78&amp;"  "&amp;$B78,"")</f>
        <v/>
      </c>
      <c r="Q78">
        <f>IF(AND($B78&lt;&gt;"",$C78&lt;&gt;"Target state",$C78&lt;&gt;"Exception",$D78="High",$E78="High"),$A78&amp;"  "&amp;$B78,"")</f>
        <v/>
      </c>
      <c r="R78">
        <f>IF(AND($B78&lt;&gt;"",$C78&lt;&gt;"Target state",$C78&lt;&gt;"Exception",$D78="Medium",$E78="Low"),$A78&amp;"  "&amp;$B78,"")</f>
        <v/>
      </c>
      <c r="S78">
        <f>IF(AND($B78&lt;&gt;"",$C78&lt;&gt;"Target state",$C78&lt;&gt;"Exception",$D78="Medium",$E78="Medium"),$A78&amp;"  "&amp;$B78,"")</f>
        <v/>
      </c>
      <c r="T78">
        <f>IF(AND($B78&lt;&gt;"",$C78&lt;&gt;"Target state",$C78&lt;&gt;"Exception",$D78="Medium",$E78="High"),$A78&amp;"  "&amp;$B78,"")</f>
        <v/>
      </c>
      <c r="U78">
        <f>IF(AND($B78&lt;&gt;"",$C78&lt;&gt;"Target state",$C78&lt;&gt;"Exception",$D78="Low",$E78="Low"),$A78&amp;"  "&amp;$B78,"")</f>
        <v/>
      </c>
      <c r="V78">
        <f>IF(AND($B78&lt;&gt;"",$C78&lt;&gt;"Target state",$C78&lt;&gt;"Exception",$D78="Low",$E78="Medium"),$A78&amp;"  "&amp;$B78,"")</f>
        <v/>
      </c>
      <c r="W78">
        <f>IF(AND($B78&lt;&gt;"",$C78&lt;&gt;"Target state",$C78&lt;&gt;"Exception",$D78="Low",$E78="High"),$A78&amp;"  "&amp;$B78,"")</f>
        <v/>
      </c>
    </row>
    <row r="79" ht="30" customHeight="1" s="52">
      <c r="A79" s="93" t="inlineStr">
        <is>
          <t>⑤</t>
        </is>
      </c>
      <c r="B79" s="94" t="inlineStr">
        <is>
          <t>AS400</t>
        </is>
      </c>
      <c r="C79" s="73" t="inlineStr">
        <is>
          <t>Non-target state</t>
        </is>
      </c>
      <c r="D79" s="73" t="n"/>
      <c r="E79" s="73" t="n"/>
      <c r="F79" s="72" t="inlineStr">
        <is>
          <t>Non-strategic core acquiring system for NBG Pay spanning boarding, data management and clearing; to be replaced by e-service systems after migration</t>
        </is>
      </c>
      <c r="G79" s="95">
        <f>IF(OR($B79="",$D79="",$E79=""),"",IF(OR($C79="Target state",$C79="Exception"),"Out of scope",IF($D79="Low","No tranche",IF($E79="Low","Tranche 1",IF($E79="Medium","Tranche 2",IF($D79="High","Tranche 3","No tranche"))))))</f>
        <v/>
      </c>
      <c r="K79" s="102" t="n"/>
      <c r="L79" s="102" t="n"/>
      <c r="M79" s="102" t="n"/>
      <c r="O79">
        <f>IF(AND($B79&lt;&gt;"",$C79&lt;&gt;"Target state",$C79&lt;&gt;"Exception",$D79="High",$E79="Low"),$A79&amp;"  "&amp;$B79,"")</f>
        <v/>
      </c>
      <c r="P79">
        <f>IF(AND($B79&lt;&gt;"",$C79&lt;&gt;"Target state",$C79&lt;&gt;"Exception",$D79="High",$E79="Medium"),$A79&amp;"  "&amp;$B79,"")</f>
        <v/>
      </c>
      <c r="Q79">
        <f>IF(AND($B79&lt;&gt;"",$C79&lt;&gt;"Target state",$C79&lt;&gt;"Exception",$D79="High",$E79="High"),$A79&amp;"  "&amp;$B79,"")</f>
        <v/>
      </c>
      <c r="R79">
        <f>IF(AND($B79&lt;&gt;"",$C79&lt;&gt;"Target state",$C79&lt;&gt;"Exception",$D79="Medium",$E79="Low"),$A79&amp;"  "&amp;$B79,"")</f>
        <v/>
      </c>
      <c r="S79">
        <f>IF(AND($B79&lt;&gt;"",$C79&lt;&gt;"Target state",$C79&lt;&gt;"Exception",$D79="Medium",$E79="Medium"),$A79&amp;"  "&amp;$B79,"")</f>
        <v/>
      </c>
      <c r="T79">
        <f>IF(AND($B79&lt;&gt;"",$C79&lt;&gt;"Target state",$C79&lt;&gt;"Exception",$D79="Medium",$E79="High"),$A79&amp;"  "&amp;$B79,"")</f>
        <v/>
      </c>
      <c r="U79">
        <f>IF(AND($B79&lt;&gt;"",$C79&lt;&gt;"Target state",$C79&lt;&gt;"Exception",$D79="Low",$E79="Low"),$A79&amp;"  "&amp;$B79,"")</f>
        <v/>
      </c>
      <c r="V79">
        <f>IF(AND($B79&lt;&gt;"",$C79&lt;&gt;"Target state",$C79&lt;&gt;"Exception",$D79="Low",$E79="Medium"),$A79&amp;"  "&amp;$B79,"")</f>
        <v/>
      </c>
      <c r="W79">
        <f>IF(AND($B79&lt;&gt;"",$C79&lt;&gt;"Target state",$C79&lt;&gt;"Exception",$D79="Low",$E79="High"),$A79&amp;"  "&amp;$B79,"")</f>
        <v/>
      </c>
    </row>
    <row r="80" ht="48" customHeight="1" s="52">
      <c r="A80" s="93" t="inlineStr">
        <is>
          <t>⑥</t>
        </is>
      </c>
      <c r="B80" s="94" t="inlineStr">
        <is>
          <t>Postillion Back-Office</t>
        </is>
      </c>
      <c r="C80" s="73" t="inlineStr">
        <is>
          <t>Non-target state</t>
        </is>
      </c>
      <c r="D80" s="73" t="n"/>
      <c r="E80" s="73" t="n"/>
      <c r="F80" s="72" t="inlineStr">
        <is>
          <t>Non-strategic eService clearing and data-capture back office in Poland feeding ZSFK, risk and reconciliation from a single data centre with no disaster recovery; annual cost near $1.8M; repository flags initial disposition Keep &amp; Enhance — confirm with SPOC</t>
        </is>
      </c>
      <c r="G80" s="95">
        <f>IF(OR($B80="",$D80="",$E80=""),"",IF(OR($C80="Target state",$C80="Exception"),"Out of scope",IF($D80="Low","No tranche",IF($E80="Low","Tranche 1",IF($E80="Medium","Tranche 2",IF($D80="High","Tranche 3","No tranche"))))))</f>
        <v/>
      </c>
      <c r="J80" s="97" t="inlineStr">
        <is>
          <t>Medium</t>
        </is>
      </c>
      <c r="K80" s="98">
        <f>"Tranche 1"&amp;CHAR(10)&amp;_xlfn.TEXTJOIN(CHAR(10),TRUE,R$75:R$89)</f>
        <v/>
      </c>
      <c r="L80" s="99">
        <f>"Tranche 2"&amp;CHAR(10)&amp;_xlfn.TEXTJOIN(CHAR(10),TRUE,S$75:S$89)</f>
        <v/>
      </c>
      <c r="M80" s="103">
        <f>_xlfn.TEXTJOIN(CHAR(10),TRUE,T$75:T$89)</f>
        <v/>
      </c>
      <c r="O80">
        <f>IF(AND($B80&lt;&gt;"",$C80&lt;&gt;"Target state",$C80&lt;&gt;"Exception",$D80="High",$E80="Low"),$A80&amp;"  "&amp;$B80,"")</f>
        <v/>
      </c>
      <c r="P80">
        <f>IF(AND($B80&lt;&gt;"",$C80&lt;&gt;"Target state",$C80&lt;&gt;"Exception",$D80="High",$E80="Medium"),$A80&amp;"  "&amp;$B80,"")</f>
        <v/>
      </c>
      <c r="Q80">
        <f>IF(AND($B80&lt;&gt;"",$C80&lt;&gt;"Target state",$C80&lt;&gt;"Exception",$D80="High",$E80="High"),$A80&amp;"  "&amp;$B80,"")</f>
        <v/>
      </c>
      <c r="R80">
        <f>IF(AND($B80&lt;&gt;"",$C80&lt;&gt;"Target state",$C80&lt;&gt;"Exception",$D80="Medium",$E80="Low"),$A80&amp;"  "&amp;$B80,"")</f>
        <v/>
      </c>
      <c r="S80">
        <f>IF(AND($B80&lt;&gt;"",$C80&lt;&gt;"Target state",$C80&lt;&gt;"Exception",$D80="Medium",$E80="Medium"),$A80&amp;"  "&amp;$B80,"")</f>
        <v/>
      </c>
      <c r="T80">
        <f>IF(AND($B80&lt;&gt;"",$C80&lt;&gt;"Target state",$C80&lt;&gt;"Exception",$D80="Medium",$E80="High"),$A80&amp;"  "&amp;$B80,"")</f>
        <v/>
      </c>
      <c r="U80">
        <f>IF(AND($B80&lt;&gt;"",$C80&lt;&gt;"Target state",$C80&lt;&gt;"Exception",$D80="Low",$E80="Low"),$A80&amp;"  "&amp;$B80,"")</f>
        <v/>
      </c>
      <c r="V80">
        <f>IF(AND($B80&lt;&gt;"",$C80&lt;&gt;"Target state",$C80&lt;&gt;"Exception",$D80="Low",$E80="Medium"),$A80&amp;"  "&amp;$B80,"")</f>
        <v/>
      </c>
      <c r="W80">
        <f>IF(AND($B80&lt;&gt;"",$C80&lt;&gt;"Target state",$C80&lt;&gt;"Exception",$D80="Low",$E80="High"),$A80&amp;"  "&amp;$B80,"")</f>
        <v/>
      </c>
    </row>
    <row r="81" ht="48" customHeight="1" s="52">
      <c r="A81" s="93" t="inlineStr">
        <is>
          <t>⑦</t>
        </is>
      </c>
      <c r="B81" s="94" t="inlineStr">
        <is>
          <t>ZSFK</t>
        </is>
      </c>
      <c r="C81" s="73" t="inlineStr">
        <is>
          <t>Non-target state</t>
        </is>
      </c>
      <c r="D81" s="73" t="n"/>
      <c r="E81" s="73" t="n"/>
      <c r="F81" s="72" t="inlineStr">
        <is>
          <t>Non-strategic merchant settlement system for European EVO countries outside Germany; about 3.4B transactions and $78B processed across 206K MIDs; knowledge transfer to eService underway; repository flags initial disposition Keep &amp; Enhance — confirm with SPOC</t>
        </is>
      </c>
      <c r="G81" s="95">
        <f>IF(OR($B81="",$D81="",$E81=""),"",IF(OR($C81="Target state",$C81="Exception"),"Out of scope",IF($D81="Low","No tranche",IF($E81="Low","Tranche 1",IF($E81="Medium","Tranche 2",IF($D81="High","Tranche 3","No tranche"))))))</f>
        <v/>
      </c>
      <c r="K81" s="101" t="n"/>
      <c r="L81" s="101" t="n"/>
      <c r="M81" s="101" t="n"/>
      <c r="O81">
        <f>IF(AND($B81&lt;&gt;"",$C81&lt;&gt;"Target state",$C81&lt;&gt;"Exception",$D81="High",$E81="Low"),$A81&amp;"  "&amp;$B81,"")</f>
        <v/>
      </c>
      <c r="P81">
        <f>IF(AND($B81&lt;&gt;"",$C81&lt;&gt;"Target state",$C81&lt;&gt;"Exception",$D81="High",$E81="Medium"),$A81&amp;"  "&amp;$B81,"")</f>
        <v/>
      </c>
      <c r="Q81">
        <f>IF(AND($B81&lt;&gt;"",$C81&lt;&gt;"Target state",$C81&lt;&gt;"Exception",$D81="High",$E81="High"),$A81&amp;"  "&amp;$B81,"")</f>
        <v/>
      </c>
      <c r="R81">
        <f>IF(AND($B81&lt;&gt;"",$C81&lt;&gt;"Target state",$C81&lt;&gt;"Exception",$D81="Medium",$E81="Low"),$A81&amp;"  "&amp;$B81,"")</f>
        <v/>
      </c>
      <c r="S81">
        <f>IF(AND($B81&lt;&gt;"",$C81&lt;&gt;"Target state",$C81&lt;&gt;"Exception",$D81="Medium",$E81="Medium"),$A81&amp;"  "&amp;$B81,"")</f>
        <v/>
      </c>
      <c r="T81">
        <f>IF(AND($B81&lt;&gt;"",$C81&lt;&gt;"Target state",$C81&lt;&gt;"Exception",$D81="Medium",$E81="High"),$A81&amp;"  "&amp;$B81,"")</f>
        <v/>
      </c>
      <c r="U81">
        <f>IF(AND($B81&lt;&gt;"",$C81&lt;&gt;"Target state",$C81&lt;&gt;"Exception",$D81="Low",$E81="Low"),$A81&amp;"  "&amp;$B81,"")</f>
        <v/>
      </c>
      <c r="V81">
        <f>IF(AND($B81&lt;&gt;"",$C81&lt;&gt;"Target state",$C81&lt;&gt;"Exception",$D81="Low",$E81="Medium"),$A81&amp;"  "&amp;$B81,"")</f>
        <v/>
      </c>
      <c r="W81">
        <f>IF(AND($B81&lt;&gt;"",$C81&lt;&gt;"Target state",$C81&lt;&gt;"Exception",$D81="Low",$E81="High"),$A81&amp;"  "&amp;$B81,"")</f>
        <v/>
      </c>
    </row>
    <row r="82" ht="36" customHeight="1" s="52">
      <c r="A82" s="93" t="inlineStr">
        <is>
          <t>⑧</t>
        </is>
      </c>
      <c r="B82" s="94" t="inlineStr">
        <is>
          <t>Highlander</t>
        </is>
      </c>
      <c r="C82" s="73" t="inlineStr">
        <is>
          <t>Non-target state</t>
        </is>
      </c>
      <c r="D82" s="73" t="n"/>
      <c r="E82" s="73" t="n"/>
      <c r="F82" s="72" t="inlineStr">
        <is>
          <t>Non-strategic Oracle EBS settlement platform for Australia and New Zealand across roughly 30K MIDs; about $1.6M in yearly cost; repository flags initial disposition Keep &amp; Enhance — confirm with SPOC</t>
        </is>
      </c>
      <c r="G82" s="95">
        <f>IF(OR($B82="",$D82="",$E82=""),"",IF(OR($C82="Target state",$C82="Exception"),"Out of scope",IF($D82="Low","No tranche",IF($E82="Low","Tranche 1",IF($E82="Medium","Tranche 2",IF($D82="High","Tranche 3","No tranche"))))))</f>
        <v/>
      </c>
      <c r="K82" s="101" t="n"/>
      <c r="L82" s="101" t="n"/>
      <c r="M82" s="101" t="n"/>
      <c r="O82">
        <f>IF(AND($B82&lt;&gt;"",$C82&lt;&gt;"Target state",$C82&lt;&gt;"Exception",$D82="High",$E82="Low"),$A82&amp;"  "&amp;$B82,"")</f>
        <v/>
      </c>
      <c r="P82">
        <f>IF(AND($B82&lt;&gt;"",$C82&lt;&gt;"Target state",$C82&lt;&gt;"Exception",$D82="High",$E82="Medium"),$A82&amp;"  "&amp;$B82,"")</f>
        <v/>
      </c>
      <c r="Q82">
        <f>IF(AND($B82&lt;&gt;"",$C82&lt;&gt;"Target state",$C82&lt;&gt;"Exception",$D82="High",$E82="High"),$A82&amp;"  "&amp;$B82,"")</f>
        <v/>
      </c>
      <c r="R82">
        <f>IF(AND($B82&lt;&gt;"",$C82&lt;&gt;"Target state",$C82&lt;&gt;"Exception",$D82="Medium",$E82="Low"),$A82&amp;"  "&amp;$B82,"")</f>
        <v/>
      </c>
      <c r="S82">
        <f>IF(AND($B82&lt;&gt;"",$C82&lt;&gt;"Target state",$C82&lt;&gt;"Exception",$D82="Medium",$E82="Medium"),$A82&amp;"  "&amp;$B82,"")</f>
        <v/>
      </c>
      <c r="T82">
        <f>IF(AND($B82&lt;&gt;"",$C82&lt;&gt;"Target state",$C82&lt;&gt;"Exception",$D82="Medium",$E82="High"),$A82&amp;"  "&amp;$B82,"")</f>
        <v/>
      </c>
      <c r="U82">
        <f>IF(AND($B82&lt;&gt;"",$C82&lt;&gt;"Target state",$C82&lt;&gt;"Exception",$D82="Low",$E82="Low"),$A82&amp;"  "&amp;$B82,"")</f>
        <v/>
      </c>
      <c r="V82">
        <f>IF(AND($B82&lt;&gt;"",$C82&lt;&gt;"Target state",$C82&lt;&gt;"Exception",$D82="Low",$E82="Medium"),$A82&amp;"  "&amp;$B82,"")</f>
        <v/>
      </c>
      <c r="W82">
        <f>IF(AND($B82&lt;&gt;"",$C82&lt;&gt;"Target state",$C82&lt;&gt;"Exception",$D82="Low",$E82="High"),$A82&amp;"  "&amp;$B82,"")</f>
        <v/>
      </c>
    </row>
    <row r="83" ht="30" customHeight="1" s="52">
      <c r="A83" s="93" t="inlineStr">
        <is>
          <t>⑨</t>
        </is>
      </c>
      <c r="B83" s="94" t="inlineStr">
        <is>
          <t>eBalance EU</t>
        </is>
      </c>
      <c r="C83" s="73" t="inlineStr">
        <is>
          <t>Non-target state</t>
        </is>
      </c>
      <c r="D83" s="73" t="n"/>
      <c r="E83" s="73" t="n"/>
      <c r="F83" s="72" t="inlineStr">
        <is>
          <t>Non-strategic EVO settlement balance reconciliation system across European markets; about $400K in yearly cost; on the decommission path</t>
        </is>
      </c>
      <c r="G83" s="95">
        <f>IF(OR($B83="",$D83="",$E83=""),"",IF(OR($C83="Target state",$C83="Exception"),"Out of scope",IF($D83="Low","No tranche",IF($E83="Low","Tranche 1",IF($E83="Medium","Tranche 2",IF($D83="High","Tranche 3","No tranche"))))))</f>
        <v/>
      </c>
      <c r="K83" s="101" t="n"/>
      <c r="L83" s="101" t="n"/>
      <c r="M83" s="101" t="n"/>
      <c r="O83">
        <f>IF(AND($B83&lt;&gt;"",$C83&lt;&gt;"Target state",$C83&lt;&gt;"Exception",$D83="High",$E83="Low"),$A83&amp;"  "&amp;$B83,"")</f>
        <v/>
      </c>
      <c r="P83">
        <f>IF(AND($B83&lt;&gt;"",$C83&lt;&gt;"Target state",$C83&lt;&gt;"Exception",$D83="High",$E83="Medium"),$A83&amp;"  "&amp;$B83,"")</f>
        <v/>
      </c>
      <c r="Q83">
        <f>IF(AND($B83&lt;&gt;"",$C83&lt;&gt;"Target state",$C83&lt;&gt;"Exception",$D83="High",$E83="High"),$A83&amp;"  "&amp;$B83,"")</f>
        <v/>
      </c>
      <c r="R83">
        <f>IF(AND($B83&lt;&gt;"",$C83&lt;&gt;"Target state",$C83&lt;&gt;"Exception",$D83="Medium",$E83="Low"),$A83&amp;"  "&amp;$B83,"")</f>
        <v/>
      </c>
      <c r="S83">
        <f>IF(AND($B83&lt;&gt;"",$C83&lt;&gt;"Target state",$C83&lt;&gt;"Exception",$D83="Medium",$E83="Medium"),$A83&amp;"  "&amp;$B83,"")</f>
        <v/>
      </c>
      <c r="T83">
        <f>IF(AND($B83&lt;&gt;"",$C83&lt;&gt;"Target state",$C83&lt;&gt;"Exception",$D83="Medium",$E83="High"),$A83&amp;"  "&amp;$B83,"")</f>
        <v/>
      </c>
      <c r="U83">
        <f>IF(AND($B83&lt;&gt;"",$C83&lt;&gt;"Target state",$C83&lt;&gt;"Exception",$D83="Low",$E83="Low"),$A83&amp;"  "&amp;$B83,"")</f>
        <v/>
      </c>
      <c r="V83">
        <f>IF(AND($B83&lt;&gt;"",$C83&lt;&gt;"Target state",$C83&lt;&gt;"Exception",$D83="Low",$E83="Medium"),$A83&amp;"  "&amp;$B83,"")</f>
        <v/>
      </c>
      <c r="W83">
        <f>IF(AND($B83&lt;&gt;"",$C83&lt;&gt;"Target state",$C83&lt;&gt;"Exception",$D83="Low",$E83="High"),$A83&amp;"  "&amp;$B83,"")</f>
        <v/>
      </c>
    </row>
    <row r="84" ht="30" customHeight="1" s="52">
      <c r="A84" s="93" t="inlineStr">
        <is>
          <t>⑩</t>
        </is>
      </c>
      <c r="B84" s="94" t="inlineStr">
        <is>
          <t>Oracle Settlement (R12)</t>
        </is>
      </c>
      <c r="C84" s="73" t="inlineStr">
        <is>
          <t>Non-target state</t>
        </is>
      </c>
      <c r="D84" s="73" t="n"/>
      <c r="E84" s="73" t="n"/>
      <c r="F84" s="72" t="inlineStr">
        <is>
          <t>Non-strategic legacy Oracle settlement application already transitioning to Oracle Cloud across US, Canada, UK and AP</t>
        </is>
      </c>
      <c r="G84" s="95">
        <f>IF(OR($B84="",$D84="",$E84=""),"",IF(OR($C84="Target state",$C84="Exception"),"Out of scope",IF($D84="Low","No tranche",IF($E84="Low","Tranche 1",IF($E84="Medium","Tranche 2",IF($D84="High","Tranche 3","No tranche"))))))</f>
        <v/>
      </c>
      <c r="K84" s="102" t="n"/>
      <c r="L84" s="102" t="n"/>
      <c r="M84" s="102" t="n"/>
      <c r="O84">
        <f>IF(AND($B84&lt;&gt;"",$C84&lt;&gt;"Target state",$C84&lt;&gt;"Exception",$D84="High",$E84="Low"),$A84&amp;"  "&amp;$B84,"")</f>
        <v/>
      </c>
      <c r="P84">
        <f>IF(AND($B84&lt;&gt;"",$C84&lt;&gt;"Target state",$C84&lt;&gt;"Exception",$D84="High",$E84="Medium"),$A84&amp;"  "&amp;$B84,"")</f>
        <v/>
      </c>
      <c r="Q84">
        <f>IF(AND($B84&lt;&gt;"",$C84&lt;&gt;"Target state",$C84&lt;&gt;"Exception",$D84="High",$E84="High"),$A84&amp;"  "&amp;$B84,"")</f>
        <v/>
      </c>
      <c r="R84">
        <f>IF(AND($B84&lt;&gt;"",$C84&lt;&gt;"Target state",$C84&lt;&gt;"Exception",$D84="Medium",$E84="Low"),$A84&amp;"  "&amp;$B84,"")</f>
        <v/>
      </c>
      <c r="S84">
        <f>IF(AND($B84&lt;&gt;"",$C84&lt;&gt;"Target state",$C84&lt;&gt;"Exception",$D84="Medium",$E84="Medium"),$A84&amp;"  "&amp;$B84,"")</f>
        <v/>
      </c>
      <c r="T84">
        <f>IF(AND($B84&lt;&gt;"",$C84&lt;&gt;"Target state",$C84&lt;&gt;"Exception",$D84="Medium",$E84="High"),$A84&amp;"  "&amp;$B84,"")</f>
        <v/>
      </c>
      <c r="U84">
        <f>IF(AND($B84&lt;&gt;"",$C84&lt;&gt;"Target state",$C84&lt;&gt;"Exception",$D84="Low",$E84="Low"),$A84&amp;"  "&amp;$B84,"")</f>
        <v/>
      </c>
      <c r="V84">
        <f>IF(AND($B84&lt;&gt;"",$C84&lt;&gt;"Target state",$C84&lt;&gt;"Exception",$D84="Low",$E84="Medium"),$A84&amp;"  "&amp;$B84,"")</f>
        <v/>
      </c>
      <c r="W84">
        <f>IF(AND($B84&lt;&gt;"",$C84&lt;&gt;"Target state",$C84&lt;&gt;"Exception",$D84="Low",$E84="High"),$A84&amp;"  "&amp;$B84,"")</f>
        <v/>
      </c>
    </row>
    <row r="85" ht="30" customHeight="1" s="52">
      <c r="A85" s="93" t="inlineStr">
        <is>
          <t>⑪</t>
        </is>
      </c>
      <c r="B85" s="94" t="inlineStr">
        <is>
          <t>Amatl Digital Voucher Vault</t>
        </is>
      </c>
      <c r="C85" s="73" t="inlineStr">
        <is>
          <t>Non-target state</t>
        </is>
      </c>
      <c r="D85" s="73" t="n"/>
      <c r="E85" s="73" t="n"/>
      <c r="F85" s="72" t="inlineStr">
        <is>
          <t>Non-strategic merchant digital voucher service for EVO LATAM across 10K MIDs; hosting cost near $270K; confirmed for decommission</t>
        </is>
      </c>
      <c r="G85" s="95">
        <f>IF(OR($B85="",$D85="",$E85=""),"",IF(OR($C85="Target state",$C85="Exception"),"Out of scope",IF($D85="Low","No tranche",IF($E85="Low","Tranche 1",IF($E85="Medium","Tranche 2",IF($D85="High","Tranche 3","No tranche"))))))</f>
        <v/>
      </c>
      <c r="J85" s="97" t="inlineStr">
        <is>
          <t>Low</t>
        </is>
      </c>
      <c r="K85" s="103">
        <f>_xlfn.TEXTJOIN(CHAR(10),TRUE,U$75:U$89)</f>
        <v/>
      </c>
      <c r="L85" s="103">
        <f>_xlfn.TEXTJOIN(CHAR(10),TRUE,V$75:V$89)</f>
        <v/>
      </c>
      <c r="M85" s="103">
        <f>_xlfn.TEXTJOIN(CHAR(10),TRUE,W$75:W$89)</f>
        <v/>
      </c>
      <c r="O85">
        <f>IF(AND($B85&lt;&gt;"",$C85&lt;&gt;"Target state",$C85&lt;&gt;"Exception",$D85="High",$E85="Low"),$A85&amp;"  "&amp;$B85,"")</f>
        <v/>
      </c>
      <c r="P85">
        <f>IF(AND($B85&lt;&gt;"",$C85&lt;&gt;"Target state",$C85&lt;&gt;"Exception",$D85="High",$E85="Medium"),$A85&amp;"  "&amp;$B85,"")</f>
        <v/>
      </c>
      <c r="Q85">
        <f>IF(AND($B85&lt;&gt;"",$C85&lt;&gt;"Target state",$C85&lt;&gt;"Exception",$D85="High",$E85="High"),$A85&amp;"  "&amp;$B85,"")</f>
        <v/>
      </c>
      <c r="R85">
        <f>IF(AND($B85&lt;&gt;"",$C85&lt;&gt;"Target state",$C85&lt;&gt;"Exception",$D85="Medium",$E85="Low"),$A85&amp;"  "&amp;$B85,"")</f>
        <v/>
      </c>
      <c r="S85">
        <f>IF(AND($B85&lt;&gt;"",$C85&lt;&gt;"Target state",$C85&lt;&gt;"Exception",$D85="Medium",$E85="Medium"),$A85&amp;"  "&amp;$B85,"")</f>
        <v/>
      </c>
      <c r="T85">
        <f>IF(AND($B85&lt;&gt;"",$C85&lt;&gt;"Target state",$C85&lt;&gt;"Exception",$D85="Medium",$E85="High"),$A85&amp;"  "&amp;$B85,"")</f>
        <v/>
      </c>
      <c r="U85">
        <f>IF(AND($B85&lt;&gt;"",$C85&lt;&gt;"Target state",$C85&lt;&gt;"Exception",$D85="Low",$E85="Low"),$A85&amp;"  "&amp;$B85,"")</f>
        <v/>
      </c>
      <c r="V85">
        <f>IF(AND($B85&lt;&gt;"",$C85&lt;&gt;"Target state",$C85&lt;&gt;"Exception",$D85="Low",$E85="Medium"),$A85&amp;"  "&amp;$B85,"")</f>
        <v/>
      </c>
      <c r="W85">
        <f>IF(AND($B85&lt;&gt;"",$C85&lt;&gt;"Target state",$C85&lt;&gt;"Exception",$D85="Low",$E85="High"),$A85&amp;"  "&amp;$B85,"")</f>
        <v/>
      </c>
    </row>
    <row r="86" ht="20" customHeight="1" s="52">
      <c r="A86" s="93" t="inlineStr">
        <is>
          <t>⑫</t>
        </is>
      </c>
      <c r="B86" s="94" t="n"/>
      <c r="C86" s="73" t="n"/>
      <c r="D86" s="73" t="n"/>
      <c r="E86" s="73" t="n"/>
      <c r="F86" s="72" t="n"/>
      <c r="G86" s="95">
        <f>IF(OR($B86="",$D86="",$E86=""),"",IF(OR($C86="Target state",$C86="Exception"),"Out of scope",IF($D86="Low","No tranche",IF($E86="Low","Tranche 1",IF($E86="Medium","Tranche 2",IF($D86="High","Tranche 3","No tranche"))))))</f>
        <v/>
      </c>
      <c r="K86" s="101" t="n"/>
      <c r="L86" s="101" t="n"/>
      <c r="M86" s="101" t="n"/>
      <c r="O86">
        <f>IF(AND($B86&lt;&gt;"",$C86&lt;&gt;"Target state",$C86&lt;&gt;"Exception",$D86="High",$E86="Low"),$A86&amp;"  "&amp;$B86,"")</f>
        <v/>
      </c>
      <c r="P86">
        <f>IF(AND($B86&lt;&gt;"",$C86&lt;&gt;"Target state",$C86&lt;&gt;"Exception",$D86="High",$E86="Medium"),$A86&amp;"  "&amp;$B86,"")</f>
        <v/>
      </c>
      <c r="Q86">
        <f>IF(AND($B86&lt;&gt;"",$C86&lt;&gt;"Target state",$C86&lt;&gt;"Exception",$D86="High",$E86="High"),$A86&amp;"  "&amp;$B86,"")</f>
        <v/>
      </c>
      <c r="R86">
        <f>IF(AND($B86&lt;&gt;"",$C86&lt;&gt;"Target state",$C86&lt;&gt;"Exception",$D86="Medium",$E86="Low"),$A86&amp;"  "&amp;$B86,"")</f>
        <v/>
      </c>
      <c r="S86">
        <f>IF(AND($B86&lt;&gt;"",$C86&lt;&gt;"Target state",$C86&lt;&gt;"Exception",$D86="Medium",$E86="Medium"),$A86&amp;"  "&amp;$B86,"")</f>
        <v/>
      </c>
      <c r="T86">
        <f>IF(AND($B86&lt;&gt;"",$C86&lt;&gt;"Target state",$C86&lt;&gt;"Exception",$D86="Medium",$E86="High"),$A86&amp;"  "&amp;$B86,"")</f>
        <v/>
      </c>
      <c r="U86">
        <f>IF(AND($B86&lt;&gt;"",$C86&lt;&gt;"Target state",$C86&lt;&gt;"Exception",$D86="Low",$E86="Low"),$A86&amp;"  "&amp;$B86,"")</f>
        <v/>
      </c>
      <c r="V86">
        <f>IF(AND($B86&lt;&gt;"",$C86&lt;&gt;"Target state",$C86&lt;&gt;"Exception",$D86="Low",$E86="Medium"),$A86&amp;"  "&amp;$B86,"")</f>
        <v/>
      </c>
      <c r="W86">
        <f>IF(AND($B86&lt;&gt;"",$C86&lt;&gt;"Target state",$C86&lt;&gt;"Exception",$D86="Low",$E86="High"),$A86&amp;"  "&amp;$B86,"")</f>
        <v/>
      </c>
    </row>
    <row r="87" ht="20" customHeight="1" s="52">
      <c r="A87" s="93" t="inlineStr">
        <is>
          <t>⑬</t>
        </is>
      </c>
      <c r="B87" s="94" t="n"/>
      <c r="C87" s="73" t="n"/>
      <c r="D87" s="73" t="n"/>
      <c r="E87" s="73" t="n"/>
      <c r="F87" s="72" t="n"/>
      <c r="G87" s="95">
        <f>IF(OR($B87="",$D87="",$E87=""),"",IF(OR($C87="Target state",$C87="Exception"),"Out of scope",IF($D87="Low","No tranche",IF($E87="Low","Tranche 1",IF($E87="Medium","Tranche 2",IF($D87="High","Tranche 3","No tranche"))))))</f>
        <v/>
      </c>
      <c r="K87" s="101" t="n"/>
      <c r="L87" s="101" t="n"/>
      <c r="M87" s="101" t="n"/>
      <c r="O87">
        <f>IF(AND($B87&lt;&gt;"",$C87&lt;&gt;"Target state",$C87&lt;&gt;"Exception",$D87="High",$E87="Low"),$A87&amp;"  "&amp;$B87,"")</f>
        <v/>
      </c>
      <c r="P87">
        <f>IF(AND($B87&lt;&gt;"",$C87&lt;&gt;"Target state",$C87&lt;&gt;"Exception",$D87="High",$E87="Medium"),$A87&amp;"  "&amp;$B87,"")</f>
        <v/>
      </c>
      <c r="Q87">
        <f>IF(AND($B87&lt;&gt;"",$C87&lt;&gt;"Target state",$C87&lt;&gt;"Exception",$D87="High",$E87="High"),$A87&amp;"  "&amp;$B87,"")</f>
        <v/>
      </c>
      <c r="R87">
        <f>IF(AND($B87&lt;&gt;"",$C87&lt;&gt;"Target state",$C87&lt;&gt;"Exception",$D87="Medium",$E87="Low"),$A87&amp;"  "&amp;$B87,"")</f>
        <v/>
      </c>
      <c r="S87">
        <f>IF(AND($B87&lt;&gt;"",$C87&lt;&gt;"Target state",$C87&lt;&gt;"Exception",$D87="Medium",$E87="Medium"),$A87&amp;"  "&amp;$B87,"")</f>
        <v/>
      </c>
      <c r="T87">
        <f>IF(AND($B87&lt;&gt;"",$C87&lt;&gt;"Target state",$C87&lt;&gt;"Exception",$D87="Medium",$E87="High"),$A87&amp;"  "&amp;$B87,"")</f>
        <v/>
      </c>
      <c r="U87">
        <f>IF(AND($B87&lt;&gt;"",$C87&lt;&gt;"Target state",$C87&lt;&gt;"Exception",$D87="Low",$E87="Low"),$A87&amp;"  "&amp;$B87,"")</f>
        <v/>
      </c>
      <c r="V87">
        <f>IF(AND($B87&lt;&gt;"",$C87&lt;&gt;"Target state",$C87&lt;&gt;"Exception",$D87="Low",$E87="Medium"),$A87&amp;"  "&amp;$B87,"")</f>
        <v/>
      </c>
      <c r="W87">
        <f>IF(AND($B87&lt;&gt;"",$C87&lt;&gt;"Target state",$C87&lt;&gt;"Exception",$D87="Low",$E87="High"),$A87&amp;"  "&amp;$B87,"")</f>
        <v/>
      </c>
    </row>
    <row r="88" ht="20" customHeight="1" s="52">
      <c r="A88" s="93" t="inlineStr">
        <is>
          <t>⑭</t>
        </is>
      </c>
      <c r="B88" s="94" t="n"/>
      <c r="C88" s="73" t="n"/>
      <c r="D88" s="73" t="n"/>
      <c r="E88" s="73" t="n"/>
      <c r="F88" s="72" t="n"/>
      <c r="G88" s="95">
        <f>IF(OR($B88="",$D88="",$E88=""),"",IF(OR($C88="Target state",$C88="Exception"),"Out of scope",IF($D88="Low","No tranche",IF($E88="Low","Tranche 1",IF($E88="Medium","Tranche 2",IF($D88="High","Tranche 3","No tranche"))))))</f>
        <v/>
      </c>
      <c r="K88" s="101" t="n"/>
      <c r="L88" s="101" t="n"/>
      <c r="M88" s="101" t="n"/>
      <c r="O88">
        <f>IF(AND($B88&lt;&gt;"",$C88&lt;&gt;"Target state",$C88&lt;&gt;"Exception",$D88="High",$E88="Low"),$A88&amp;"  "&amp;$B88,"")</f>
        <v/>
      </c>
      <c r="P88">
        <f>IF(AND($B88&lt;&gt;"",$C88&lt;&gt;"Target state",$C88&lt;&gt;"Exception",$D88="High",$E88="Medium"),$A88&amp;"  "&amp;$B88,"")</f>
        <v/>
      </c>
      <c r="Q88">
        <f>IF(AND($B88&lt;&gt;"",$C88&lt;&gt;"Target state",$C88&lt;&gt;"Exception",$D88="High",$E88="High"),$A88&amp;"  "&amp;$B88,"")</f>
        <v/>
      </c>
      <c r="R88">
        <f>IF(AND($B88&lt;&gt;"",$C88&lt;&gt;"Target state",$C88&lt;&gt;"Exception",$D88="Medium",$E88="Low"),$A88&amp;"  "&amp;$B88,"")</f>
        <v/>
      </c>
      <c r="S88">
        <f>IF(AND($B88&lt;&gt;"",$C88&lt;&gt;"Target state",$C88&lt;&gt;"Exception",$D88="Medium",$E88="Medium"),$A88&amp;"  "&amp;$B88,"")</f>
        <v/>
      </c>
      <c r="T88">
        <f>IF(AND($B88&lt;&gt;"",$C88&lt;&gt;"Target state",$C88&lt;&gt;"Exception",$D88="Medium",$E88="High"),$A88&amp;"  "&amp;$B88,"")</f>
        <v/>
      </c>
      <c r="U88">
        <f>IF(AND($B88&lt;&gt;"",$C88&lt;&gt;"Target state",$C88&lt;&gt;"Exception",$D88="Low",$E88="Low"),$A88&amp;"  "&amp;$B88,"")</f>
        <v/>
      </c>
      <c r="V88">
        <f>IF(AND($B88&lt;&gt;"",$C88&lt;&gt;"Target state",$C88&lt;&gt;"Exception",$D88="Low",$E88="Medium"),$A88&amp;"  "&amp;$B88,"")</f>
        <v/>
      </c>
      <c r="W88">
        <f>IF(AND($B88&lt;&gt;"",$C88&lt;&gt;"Target state",$C88&lt;&gt;"Exception",$D88="Low",$E88="High"),$A88&amp;"  "&amp;$B88,"")</f>
        <v/>
      </c>
    </row>
    <row r="89" ht="20" customHeight="1" s="52">
      <c r="A89" s="93" t="inlineStr">
        <is>
          <t>⑮</t>
        </is>
      </c>
      <c r="B89" s="94" t="n"/>
      <c r="C89" s="73" t="n"/>
      <c r="D89" s="73" t="n"/>
      <c r="E89" s="73" t="n"/>
      <c r="F89" s="72" t="n"/>
      <c r="G89" s="95">
        <f>IF(OR($B89="",$D89="",$E89=""),"",IF(OR($C89="Target state",$C89="Exception"),"Out of scope",IF($D89="Low","No tranche",IF($E89="Low","Tranche 1",IF($E89="Medium","Tranche 2",IF($D89="High","Tranche 3","No tranche"))))))</f>
        <v/>
      </c>
      <c r="K89" s="102" t="n"/>
      <c r="L89" s="102" t="n"/>
      <c r="M89" s="102" t="n"/>
      <c r="O89">
        <f>IF(AND($B89&lt;&gt;"",$C89&lt;&gt;"Target state",$C89&lt;&gt;"Exception",$D89="High",$E89="Low"),$A89&amp;"  "&amp;$B89,"")</f>
        <v/>
      </c>
      <c r="P89">
        <f>IF(AND($B89&lt;&gt;"",$C89&lt;&gt;"Target state",$C89&lt;&gt;"Exception",$D89="High",$E89="Medium"),$A89&amp;"  "&amp;$B89,"")</f>
        <v/>
      </c>
      <c r="Q89">
        <f>IF(AND($B89&lt;&gt;"",$C89&lt;&gt;"Target state",$C89&lt;&gt;"Exception",$D89="High",$E89="High"),$A89&amp;"  "&amp;$B89,"")</f>
        <v/>
      </c>
      <c r="R89">
        <f>IF(AND($B89&lt;&gt;"",$C89&lt;&gt;"Target state",$C89&lt;&gt;"Exception",$D89="Medium",$E89="Low"),$A89&amp;"  "&amp;$B89,"")</f>
        <v/>
      </c>
      <c r="S89">
        <f>IF(AND($B89&lt;&gt;"",$C89&lt;&gt;"Target state",$C89&lt;&gt;"Exception",$D89="Medium",$E89="Medium"),$A89&amp;"  "&amp;$B89,"")</f>
        <v/>
      </c>
      <c r="T89">
        <f>IF(AND($B89&lt;&gt;"",$C89&lt;&gt;"Target state",$C89&lt;&gt;"Exception",$D89="Medium",$E89="High"),$A89&amp;"  "&amp;$B89,"")</f>
        <v/>
      </c>
      <c r="U89">
        <f>IF(AND($B89&lt;&gt;"",$C89&lt;&gt;"Target state",$C89&lt;&gt;"Exception",$D89="Low",$E89="Low"),$A89&amp;"  "&amp;$B89,"")</f>
        <v/>
      </c>
      <c r="V89">
        <f>IF(AND($B89&lt;&gt;"",$C89&lt;&gt;"Target state",$C89&lt;&gt;"Exception",$D89="Low",$E89="Medium"),$A89&amp;"  "&amp;$B89,"")</f>
        <v/>
      </c>
      <c r="W89">
        <f>IF(AND($B89&lt;&gt;"",$C89&lt;&gt;"Target state",$C89&lt;&gt;"Exception",$D89="Low",$E89="High"),$A89&amp;"  "&amp;$B89,"")</f>
        <v/>
      </c>
    </row>
    <row r="90">
      <c r="K90" s="97" t="inlineStr">
        <is>
          <t>Complexity</t>
        </is>
      </c>
    </row>
    <row r="94" ht="22" customHeight="1" s="52">
      <c r="A94" s="88" t="inlineStr">
        <is>
          <t>Authorization Host</t>
        </is>
      </c>
      <c r="G94" s="89">
        <f>HYPERLINK("#'Payment Processing'!A4","▲ tracker")</f>
        <v/>
      </c>
      <c r="K94" s="90" t="inlineStr">
        <is>
          <t>Assessment Outcome</t>
        </is>
      </c>
    </row>
    <row r="95" ht="18" customHeight="1" s="52">
      <c r="A95" s="91" t="inlineStr">
        <is>
          <t>#</t>
        </is>
      </c>
      <c r="B95" s="91" t="inlineStr">
        <is>
          <t>Platform</t>
        </is>
      </c>
      <c r="C95" s="91" t="inlineStr">
        <is>
          <t>State</t>
        </is>
      </c>
      <c r="D95" s="91" t="inlineStr">
        <is>
          <t>Imperative to exit</t>
        </is>
      </c>
      <c r="E95" s="91" t="inlineStr">
        <is>
          <t>Exit complexity</t>
        </is>
      </c>
      <c r="F95" s="91" t="inlineStr">
        <is>
          <t>Supporting facts</t>
        </is>
      </c>
      <c r="G95" s="91" t="inlineStr">
        <is>
          <t>Tranche (auto)</t>
        </is>
      </c>
      <c r="K95" s="92" t="inlineStr">
        <is>
          <t>Low</t>
        </is>
      </c>
      <c r="L95" s="92" t="inlineStr">
        <is>
          <t>Medium</t>
        </is>
      </c>
      <c r="M95" s="92" t="inlineStr">
        <is>
          <t>High</t>
        </is>
      </c>
    </row>
    <row r="96" ht="48" customHeight="1" s="52">
      <c r="A96" s="93" t="inlineStr">
        <is>
          <t>①</t>
        </is>
      </c>
      <c r="B96" s="94" t="inlineStr">
        <is>
          <t>GSAP</t>
        </is>
      </c>
      <c r="C96" s="73" t="inlineStr">
        <is>
          <t>Non-target state</t>
        </is>
      </c>
      <c r="D96" s="73" t="n"/>
      <c r="E96" s="73" t="n"/>
      <c r="F96" s="72" t="inlineStr">
        <is>
          <t>Strategic international authorization and draft-capture platform per the repository, with NA, EU and AP instances processing about 2.7B transactions and $190B annually at roughly $8M in engineering and support cost; flagged Keep &amp; Enhance, so confirm whether this row should be Target state</t>
        </is>
      </c>
      <c r="G96" s="95">
        <f>IF(OR($B96="",$D96="",$E96=""),"",IF(OR($C96="Target state",$C96="Exception"),"Out of scope",IF($D96="Low","No tranche",IF($E96="Low","Tranche 1",IF($E96="Medium","Tranche 2",IF($D96="High","Tranche 3","No tranche"))))))</f>
        <v/>
      </c>
      <c r="I96" s="96" t="inlineStr">
        <is>
          <t>Benefits</t>
        </is>
      </c>
      <c r="J96" s="97" t="inlineStr">
        <is>
          <t>High</t>
        </is>
      </c>
      <c r="K96" s="98">
        <f>"Tranche 1"&amp;CHAR(10)&amp;_xlfn.TEXTJOIN(CHAR(10),TRUE,O$96:O$112)</f>
        <v/>
      </c>
      <c r="L96" s="99">
        <f>"Tranche 2"&amp;CHAR(10)&amp;_xlfn.TEXTJOIN(CHAR(10),TRUE,P$96:P$112)</f>
        <v/>
      </c>
      <c r="M96" s="100">
        <f>"Tranche 3"&amp;CHAR(10)&amp;_xlfn.TEXTJOIN(CHAR(10),TRUE,Q$96:Q$112)</f>
        <v/>
      </c>
      <c r="O96">
        <f>IF(AND($B96&lt;&gt;"",$C96&lt;&gt;"Target state",$C96&lt;&gt;"Exception",$D96="High",$E96="Low"),$A96&amp;"  "&amp;$B96,"")</f>
        <v/>
      </c>
      <c r="P96">
        <f>IF(AND($B96&lt;&gt;"",$C96&lt;&gt;"Target state",$C96&lt;&gt;"Exception",$D96="High",$E96="Medium"),$A96&amp;"  "&amp;$B96,"")</f>
        <v/>
      </c>
      <c r="Q96">
        <f>IF(AND($B96&lt;&gt;"",$C96&lt;&gt;"Target state",$C96&lt;&gt;"Exception",$D96="High",$E96="High"),$A96&amp;"  "&amp;$B96,"")</f>
        <v/>
      </c>
      <c r="R96">
        <f>IF(AND($B96&lt;&gt;"",$C96&lt;&gt;"Target state",$C96&lt;&gt;"Exception",$D96="Medium",$E96="Low"),$A96&amp;"  "&amp;$B96,"")</f>
        <v/>
      </c>
      <c r="S96">
        <f>IF(AND($B96&lt;&gt;"",$C96&lt;&gt;"Target state",$C96&lt;&gt;"Exception",$D96="Medium",$E96="Medium"),$A96&amp;"  "&amp;$B96,"")</f>
        <v/>
      </c>
      <c r="T96">
        <f>IF(AND($B96&lt;&gt;"",$C96&lt;&gt;"Target state",$C96&lt;&gt;"Exception",$D96="Medium",$E96="High"),$A96&amp;"  "&amp;$B96,"")</f>
        <v/>
      </c>
      <c r="U96">
        <f>IF(AND($B96&lt;&gt;"",$C96&lt;&gt;"Target state",$C96&lt;&gt;"Exception",$D96="Low",$E96="Low"),$A96&amp;"  "&amp;$B96,"")</f>
        <v/>
      </c>
      <c r="V96">
        <f>IF(AND($B96&lt;&gt;"",$C96&lt;&gt;"Target state",$C96&lt;&gt;"Exception",$D96="Low",$E96="Medium"),$A96&amp;"  "&amp;$B96,"")</f>
        <v/>
      </c>
      <c r="W96">
        <f>IF(AND($B96&lt;&gt;"",$C96&lt;&gt;"Target state",$C96&lt;&gt;"Exception",$D96="Low",$E96="High"),$A96&amp;"  "&amp;$B96,"")</f>
        <v/>
      </c>
    </row>
    <row r="97" ht="36" customHeight="1" s="52">
      <c r="A97" s="93" t="inlineStr">
        <is>
          <t>②</t>
        </is>
      </c>
      <c r="B97" s="94" t="inlineStr">
        <is>
          <t>Exchange &amp; Exchange Lite</t>
        </is>
      </c>
      <c r="C97" s="73" t="inlineStr">
        <is>
          <t>Non-target state</t>
        </is>
      </c>
      <c r="D97" s="73" t="n"/>
      <c r="E97" s="73" t="n"/>
      <c r="F97" s="72" t="inlineStr">
        <is>
          <t>Described in the repository as a US go-forward frontend under the prior TAM; about 3.1B transactions and $108B processed across 150K MIDs; flagged Keep &amp; Enhance, so confirm whether this row should be Target state</t>
        </is>
      </c>
      <c r="G97" s="95">
        <f>IF(OR($B97="",$D97="",$E97=""),"",IF(OR($C97="Target state",$C97="Exception"),"Out of scope",IF($D97="Low","No tranche",IF($E97="Low","Tranche 1",IF($E97="Medium","Tranche 2",IF($D97="High","Tranche 3","No tranche"))))))</f>
        <v/>
      </c>
      <c r="K97" s="101" t="n"/>
      <c r="L97" s="101" t="n"/>
      <c r="M97" s="101" t="n"/>
      <c r="O97">
        <f>IF(AND($B97&lt;&gt;"",$C97&lt;&gt;"Target state",$C97&lt;&gt;"Exception",$D97="High",$E97="Low"),$A97&amp;"  "&amp;$B97,"")</f>
        <v/>
      </c>
      <c r="P97">
        <f>IF(AND($B97&lt;&gt;"",$C97&lt;&gt;"Target state",$C97&lt;&gt;"Exception",$D97="High",$E97="Medium"),$A97&amp;"  "&amp;$B97,"")</f>
        <v/>
      </c>
      <c r="Q97">
        <f>IF(AND($B97&lt;&gt;"",$C97&lt;&gt;"Target state",$C97&lt;&gt;"Exception",$D97="High",$E97="High"),$A97&amp;"  "&amp;$B97,"")</f>
        <v/>
      </c>
      <c r="R97">
        <f>IF(AND($B97&lt;&gt;"",$C97&lt;&gt;"Target state",$C97&lt;&gt;"Exception",$D97="Medium",$E97="Low"),$A97&amp;"  "&amp;$B97,"")</f>
        <v/>
      </c>
      <c r="S97">
        <f>IF(AND($B97&lt;&gt;"",$C97&lt;&gt;"Target state",$C97&lt;&gt;"Exception",$D97="Medium",$E97="Medium"),$A97&amp;"  "&amp;$B97,"")</f>
        <v/>
      </c>
      <c r="T97">
        <f>IF(AND($B97&lt;&gt;"",$C97&lt;&gt;"Target state",$C97&lt;&gt;"Exception",$D97="Medium",$E97="High"),$A97&amp;"  "&amp;$B97,"")</f>
        <v/>
      </c>
      <c r="U97">
        <f>IF(AND($B97&lt;&gt;"",$C97&lt;&gt;"Target state",$C97&lt;&gt;"Exception",$D97="Low",$E97="Low"),$A97&amp;"  "&amp;$B97,"")</f>
        <v/>
      </c>
      <c r="V97">
        <f>IF(AND($B97&lt;&gt;"",$C97&lt;&gt;"Target state",$C97&lt;&gt;"Exception",$D97="Low",$E97="Medium"),$A97&amp;"  "&amp;$B97,"")</f>
        <v/>
      </c>
      <c r="W97">
        <f>IF(AND($B97&lt;&gt;"",$C97&lt;&gt;"Target state",$C97&lt;&gt;"Exception",$D97="Low",$E97="High"),$A97&amp;"  "&amp;$B97,"")</f>
        <v/>
      </c>
    </row>
    <row r="98" ht="48" customHeight="1" s="52">
      <c r="A98" s="93" t="inlineStr">
        <is>
          <t>③</t>
        </is>
      </c>
      <c r="B98" s="94" t="inlineStr">
        <is>
          <t>GNAP</t>
        </is>
      </c>
      <c r="C98" s="73" t="inlineStr">
        <is>
          <t>Non-target state</t>
        </is>
      </c>
      <c r="D98" s="73" t="n"/>
      <c r="E98" s="73" t="n"/>
      <c r="F98" s="72" t="inlineStr">
        <is>
          <t>Non-strategic Canadian authorization host and the only host certified for Interac; about 2.6B transactions and $113B processed across 97K MIDs with annual cost near $7M; sunset depends on GSAP feature parity and the new Interac service</t>
        </is>
      </c>
      <c r="G98" s="95">
        <f>IF(OR($B98="",$D98="",$E98=""),"",IF(OR($C98="Target state",$C98="Exception"),"Out of scope",IF($D98="Low","No tranche",IF($E98="Low","Tranche 1",IF($E98="Medium","Tranche 2",IF($D98="High","Tranche 3","No tranche"))))))</f>
        <v/>
      </c>
      <c r="K98" s="101" t="n"/>
      <c r="L98" s="101" t="n"/>
      <c r="M98" s="101" t="n"/>
      <c r="O98">
        <f>IF(AND($B98&lt;&gt;"",$C98&lt;&gt;"Target state",$C98&lt;&gt;"Exception",$D98="High",$E98="Low"),$A98&amp;"  "&amp;$B98,"")</f>
        <v/>
      </c>
      <c r="P98">
        <f>IF(AND($B98&lt;&gt;"",$C98&lt;&gt;"Target state",$C98&lt;&gt;"Exception",$D98="High",$E98="Medium"),$A98&amp;"  "&amp;$B98,"")</f>
        <v/>
      </c>
      <c r="Q98">
        <f>IF(AND($B98&lt;&gt;"",$C98&lt;&gt;"Target state",$C98&lt;&gt;"Exception",$D98="High",$E98="High"),$A98&amp;"  "&amp;$B98,"")</f>
        <v/>
      </c>
      <c r="R98">
        <f>IF(AND($B98&lt;&gt;"",$C98&lt;&gt;"Target state",$C98&lt;&gt;"Exception",$D98="Medium",$E98="Low"),$A98&amp;"  "&amp;$B98,"")</f>
        <v/>
      </c>
      <c r="S98">
        <f>IF(AND($B98&lt;&gt;"",$C98&lt;&gt;"Target state",$C98&lt;&gt;"Exception",$D98="Medium",$E98="Medium"),$A98&amp;"  "&amp;$B98,"")</f>
        <v/>
      </c>
      <c r="T98">
        <f>IF(AND($B98&lt;&gt;"",$C98&lt;&gt;"Target state",$C98&lt;&gt;"Exception",$D98="Medium",$E98="High"),$A98&amp;"  "&amp;$B98,"")</f>
        <v/>
      </c>
      <c r="U98">
        <f>IF(AND($B98&lt;&gt;"",$C98&lt;&gt;"Target state",$C98&lt;&gt;"Exception",$D98="Low",$E98="Low"),$A98&amp;"  "&amp;$B98,"")</f>
        <v/>
      </c>
      <c r="V98">
        <f>IF(AND($B98&lt;&gt;"",$C98&lt;&gt;"Target state",$C98&lt;&gt;"Exception",$D98="Low",$E98="Medium"),$A98&amp;"  "&amp;$B98,"")</f>
        <v/>
      </c>
      <c r="W98">
        <f>IF(AND($B98&lt;&gt;"",$C98&lt;&gt;"Target state",$C98&lt;&gt;"Exception",$D98="Low",$E98="High"),$A98&amp;"  "&amp;$B98,"")</f>
        <v/>
      </c>
    </row>
    <row r="99" ht="36" customHeight="1" s="52">
      <c r="A99" s="93" t="inlineStr">
        <is>
          <t>④</t>
        </is>
      </c>
      <c r="B99" s="94" t="inlineStr">
        <is>
          <t>NGTrans</t>
        </is>
      </c>
      <c r="C99" s="73" t="inlineStr">
        <is>
          <t>Non-target state</t>
        </is>
      </c>
      <c r="D99" s="73" t="n"/>
      <c r="E99" s="73" t="n"/>
      <c r="F99" s="72" t="inlineStr">
        <is>
          <t>Non-strategic EVO frontend authorization platform in the US; about 232M transactions and $25B processed across 39K MIDs; repository flags Keep &amp; Enhance with selective migration — confirm with SPOC</t>
        </is>
      </c>
      <c r="G99" s="95">
        <f>IF(OR($B99="",$D99="",$E99=""),"",IF(OR($C99="Target state",$C99="Exception"),"Out of scope",IF($D99="Low","No tranche",IF($E99="Low","Tranche 1",IF($E99="Medium","Tranche 2",IF($D99="High","Tranche 3","No tranche"))))))</f>
        <v/>
      </c>
      <c r="K99" s="101" t="n"/>
      <c r="L99" s="101" t="n"/>
      <c r="M99" s="101" t="n"/>
      <c r="O99">
        <f>IF(AND($B99&lt;&gt;"",$C99&lt;&gt;"Target state",$C99&lt;&gt;"Exception",$D99="High",$E99="Low"),$A99&amp;"  "&amp;$B99,"")</f>
        <v/>
      </c>
      <c r="P99">
        <f>IF(AND($B99&lt;&gt;"",$C99&lt;&gt;"Target state",$C99&lt;&gt;"Exception",$D99="High",$E99="Medium"),$A99&amp;"  "&amp;$B99,"")</f>
        <v/>
      </c>
      <c r="Q99">
        <f>IF(AND($B99&lt;&gt;"",$C99&lt;&gt;"Target state",$C99&lt;&gt;"Exception",$D99="High",$E99="High"),$A99&amp;"  "&amp;$B99,"")</f>
        <v/>
      </c>
      <c r="R99">
        <f>IF(AND($B99&lt;&gt;"",$C99&lt;&gt;"Target state",$C99&lt;&gt;"Exception",$D99="Medium",$E99="Low"),$A99&amp;"  "&amp;$B99,"")</f>
        <v/>
      </c>
      <c r="S99">
        <f>IF(AND($B99&lt;&gt;"",$C99&lt;&gt;"Target state",$C99&lt;&gt;"Exception",$D99="Medium",$E99="Medium"),$A99&amp;"  "&amp;$B99,"")</f>
        <v/>
      </c>
      <c r="T99">
        <f>IF(AND($B99&lt;&gt;"",$C99&lt;&gt;"Target state",$C99&lt;&gt;"Exception",$D99="Medium",$E99="High"),$A99&amp;"  "&amp;$B99,"")</f>
        <v/>
      </c>
      <c r="U99">
        <f>IF(AND($B99&lt;&gt;"",$C99&lt;&gt;"Target state",$C99&lt;&gt;"Exception",$D99="Low",$E99="Low"),$A99&amp;"  "&amp;$B99,"")</f>
        <v/>
      </c>
      <c r="V99">
        <f>IF(AND($B99&lt;&gt;"",$C99&lt;&gt;"Target state",$C99&lt;&gt;"Exception",$D99="Low",$E99="Medium"),$A99&amp;"  "&amp;$B99,"")</f>
        <v/>
      </c>
      <c r="W99">
        <f>IF(AND($B99&lt;&gt;"",$C99&lt;&gt;"Target state",$C99&lt;&gt;"Exception",$D99="Low",$E99="High"),$A99&amp;"  "&amp;$B99,"")</f>
        <v/>
      </c>
    </row>
    <row r="100" ht="36" customHeight="1" s="52">
      <c r="A100" s="93" t="inlineStr">
        <is>
          <t>⑤</t>
        </is>
      </c>
      <c r="B100" s="94" t="inlineStr">
        <is>
          <t>NPP/MESA</t>
        </is>
      </c>
      <c r="C100" s="73" t="inlineStr">
        <is>
          <t>Non-target state</t>
        </is>
      </c>
      <c r="D100" s="73" t="n"/>
      <c r="E100" s="73" t="n"/>
      <c r="F100" s="72" t="inlineStr">
        <is>
          <t>Non-strategic processing host from the NCR acquisition being integrated to Sierra; about 210M transactions and $22B processed in the first half of 2024; around $1.6M in yearly engineering cost</t>
        </is>
      </c>
      <c r="G100" s="95">
        <f>IF(OR($B100="",$D100="",$E100=""),"",IF(OR($C100="Target state",$C100="Exception"),"Out of scope",IF($D100="Low","No tranche",IF($E100="Low","Tranche 1",IF($E100="Medium","Tranche 2",IF($D100="High","Tranche 3","No tranche"))))))</f>
        <v/>
      </c>
      <c r="K100" s="101" t="n"/>
      <c r="L100" s="101" t="n"/>
      <c r="M100" s="101" t="n"/>
      <c r="O100">
        <f>IF(AND($B100&lt;&gt;"",$C100&lt;&gt;"Target state",$C100&lt;&gt;"Exception",$D100="High",$E100="Low"),$A100&amp;"  "&amp;$B100,"")</f>
        <v/>
      </c>
      <c r="P100">
        <f>IF(AND($B100&lt;&gt;"",$C100&lt;&gt;"Target state",$C100&lt;&gt;"Exception",$D100="High",$E100="Medium"),$A100&amp;"  "&amp;$B100,"")</f>
        <v/>
      </c>
      <c r="Q100">
        <f>IF(AND($B100&lt;&gt;"",$C100&lt;&gt;"Target state",$C100&lt;&gt;"Exception",$D100="High",$E100="High"),$A100&amp;"  "&amp;$B100,"")</f>
        <v/>
      </c>
      <c r="R100">
        <f>IF(AND($B100&lt;&gt;"",$C100&lt;&gt;"Target state",$C100&lt;&gt;"Exception",$D100="Medium",$E100="Low"),$A100&amp;"  "&amp;$B100,"")</f>
        <v/>
      </c>
      <c r="S100">
        <f>IF(AND($B100&lt;&gt;"",$C100&lt;&gt;"Target state",$C100&lt;&gt;"Exception",$D100="Medium",$E100="Medium"),$A100&amp;"  "&amp;$B100,"")</f>
        <v/>
      </c>
      <c r="T100">
        <f>IF(AND($B100&lt;&gt;"",$C100&lt;&gt;"Target state",$C100&lt;&gt;"Exception",$D100="Medium",$E100="High"),$A100&amp;"  "&amp;$B100,"")</f>
        <v/>
      </c>
      <c r="U100">
        <f>IF(AND($B100&lt;&gt;"",$C100&lt;&gt;"Target state",$C100&lt;&gt;"Exception",$D100="Low",$E100="Low"),$A100&amp;"  "&amp;$B100,"")</f>
        <v/>
      </c>
      <c r="V100">
        <f>IF(AND($B100&lt;&gt;"",$C100&lt;&gt;"Target state",$C100&lt;&gt;"Exception",$D100="Low",$E100="Medium"),$A100&amp;"  "&amp;$B100,"")</f>
        <v/>
      </c>
      <c r="W100">
        <f>IF(AND($B100&lt;&gt;"",$C100&lt;&gt;"Target state",$C100&lt;&gt;"Exception",$D100="Low",$E100="High"),$A100&amp;"  "&amp;$B100,"")</f>
        <v/>
      </c>
    </row>
    <row r="101" ht="36" customHeight="1" s="52">
      <c r="A101" s="93" t="inlineStr">
        <is>
          <t>⑥</t>
        </is>
      </c>
      <c r="B101" s="94" t="inlineStr">
        <is>
          <t>NWS</t>
        </is>
      </c>
      <c r="C101" s="73" t="inlineStr">
        <is>
          <t>Non-target state</t>
        </is>
      </c>
      <c r="D101" s="73" t="n"/>
      <c r="E101" s="73" t="n"/>
      <c r="F101" s="72" t="inlineStr">
        <is>
          <t>Non-strategic petro frontend for network services; about 1.1B transactions and $68B processed across 22K MIDs; annual run cost near $2M on aging COBOL infrastructure; maintain-only under the prior TAM</t>
        </is>
      </c>
      <c r="G101" s="95">
        <f>IF(OR($B101="",$D101="",$E101=""),"",IF(OR($C101="Target state",$C101="Exception"),"Out of scope",IF($D101="Low","No tranche",IF($E101="Low","Tranche 1",IF($E101="Medium","Tranche 2",IF($D101="High","Tranche 3","No tranche"))))))</f>
        <v/>
      </c>
      <c r="K101" s="102" t="n"/>
      <c r="L101" s="102" t="n"/>
      <c r="M101" s="102" t="n"/>
      <c r="O101">
        <f>IF(AND($B101&lt;&gt;"",$C101&lt;&gt;"Target state",$C101&lt;&gt;"Exception",$D101="High",$E101="Low"),$A101&amp;"  "&amp;$B101,"")</f>
        <v/>
      </c>
      <c r="P101">
        <f>IF(AND($B101&lt;&gt;"",$C101&lt;&gt;"Target state",$C101&lt;&gt;"Exception",$D101="High",$E101="Medium"),$A101&amp;"  "&amp;$B101,"")</f>
        <v/>
      </c>
      <c r="Q101">
        <f>IF(AND($B101&lt;&gt;"",$C101&lt;&gt;"Target state",$C101&lt;&gt;"Exception",$D101="High",$E101="High"),$A101&amp;"  "&amp;$B101,"")</f>
        <v/>
      </c>
      <c r="R101">
        <f>IF(AND($B101&lt;&gt;"",$C101&lt;&gt;"Target state",$C101&lt;&gt;"Exception",$D101="Medium",$E101="Low"),$A101&amp;"  "&amp;$B101,"")</f>
        <v/>
      </c>
      <c r="S101">
        <f>IF(AND($B101&lt;&gt;"",$C101&lt;&gt;"Target state",$C101&lt;&gt;"Exception",$D101="Medium",$E101="Medium"),$A101&amp;"  "&amp;$B101,"")</f>
        <v/>
      </c>
      <c r="T101">
        <f>IF(AND($B101&lt;&gt;"",$C101&lt;&gt;"Target state",$C101&lt;&gt;"Exception",$D101="Medium",$E101="High"),$A101&amp;"  "&amp;$B101,"")</f>
        <v/>
      </c>
      <c r="U101">
        <f>IF(AND($B101&lt;&gt;"",$C101&lt;&gt;"Target state",$C101&lt;&gt;"Exception",$D101="Low",$E101="Low"),$A101&amp;"  "&amp;$B101,"")</f>
        <v/>
      </c>
      <c r="V101">
        <f>IF(AND($B101&lt;&gt;"",$C101&lt;&gt;"Target state",$C101&lt;&gt;"Exception",$D101="Low",$E101="Medium"),$A101&amp;"  "&amp;$B101,"")</f>
        <v/>
      </c>
      <c r="W101">
        <f>IF(AND($B101&lt;&gt;"",$C101&lt;&gt;"Target state",$C101&lt;&gt;"Exception",$D101="Low",$E101="High"),$A101&amp;"  "&amp;$B101,"")</f>
        <v/>
      </c>
    </row>
    <row r="102" ht="36" customHeight="1" s="52">
      <c r="A102" s="93" t="inlineStr">
        <is>
          <t>⑦</t>
        </is>
      </c>
      <c r="B102" s="94" t="inlineStr">
        <is>
          <t>VAPS</t>
        </is>
      </c>
      <c r="C102" s="73" t="inlineStr">
        <is>
          <t>Non-target state</t>
        </is>
      </c>
      <c r="D102" s="73" t="n"/>
      <c r="E102" s="73" t="n"/>
      <c r="F102" s="72" t="inlineStr">
        <is>
          <t>Non-strategic petro frontend for value-added processing; about 3.5B transactions and $129B processed across 26K MIDs; annual run cost near $1.9M on aging COBOL infrastructure; maintain-only under the prior TAM</t>
        </is>
      </c>
      <c r="G102" s="95">
        <f>IF(OR($B102="",$D102="",$E102=""),"",IF(OR($C102="Target state",$C102="Exception"),"Out of scope",IF($D102="Low","No tranche",IF($E102="Low","Tranche 1",IF($E102="Medium","Tranche 2",IF($D102="High","Tranche 3","No tranche"))))))</f>
        <v/>
      </c>
      <c r="J102" s="97" t="inlineStr">
        <is>
          <t>Medium</t>
        </is>
      </c>
      <c r="K102" s="98">
        <f>"Tranche 1"&amp;CHAR(10)&amp;_xlfn.TEXTJOIN(CHAR(10),TRUE,R$96:R$112)</f>
        <v/>
      </c>
      <c r="L102" s="99">
        <f>"Tranche 2"&amp;CHAR(10)&amp;_xlfn.TEXTJOIN(CHAR(10),TRUE,S$96:S$112)</f>
        <v/>
      </c>
      <c r="M102" s="103">
        <f>_xlfn.TEXTJOIN(CHAR(10),TRUE,T$96:T$112)</f>
        <v/>
      </c>
      <c r="O102">
        <f>IF(AND($B102&lt;&gt;"",$C102&lt;&gt;"Target state",$C102&lt;&gt;"Exception",$D102="High",$E102="Low"),$A102&amp;"  "&amp;$B102,"")</f>
        <v/>
      </c>
      <c r="P102">
        <f>IF(AND($B102&lt;&gt;"",$C102&lt;&gt;"Target state",$C102&lt;&gt;"Exception",$D102="High",$E102="Medium"),$A102&amp;"  "&amp;$B102,"")</f>
        <v/>
      </c>
      <c r="Q102">
        <f>IF(AND($B102&lt;&gt;"",$C102&lt;&gt;"Target state",$C102&lt;&gt;"Exception",$D102="High",$E102="High"),$A102&amp;"  "&amp;$B102,"")</f>
        <v/>
      </c>
      <c r="R102">
        <f>IF(AND($B102&lt;&gt;"",$C102&lt;&gt;"Target state",$C102&lt;&gt;"Exception",$D102="Medium",$E102="Low"),$A102&amp;"  "&amp;$B102,"")</f>
        <v/>
      </c>
      <c r="S102">
        <f>IF(AND($B102&lt;&gt;"",$C102&lt;&gt;"Target state",$C102&lt;&gt;"Exception",$D102="Medium",$E102="Medium"),$A102&amp;"  "&amp;$B102,"")</f>
        <v/>
      </c>
      <c r="T102">
        <f>IF(AND($B102&lt;&gt;"",$C102&lt;&gt;"Target state",$C102&lt;&gt;"Exception",$D102="Medium",$E102="High"),$A102&amp;"  "&amp;$B102,"")</f>
        <v/>
      </c>
      <c r="U102">
        <f>IF(AND($B102&lt;&gt;"",$C102&lt;&gt;"Target state",$C102&lt;&gt;"Exception",$D102="Low",$E102="Low"),$A102&amp;"  "&amp;$B102,"")</f>
        <v/>
      </c>
      <c r="V102">
        <f>IF(AND($B102&lt;&gt;"",$C102&lt;&gt;"Target state",$C102&lt;&gt;"Exception",$D102="Low",$E102="Medium"),$A102&amp;"  "&amp;$B102,"")</f>
        <v/>
      </c>
      <c r="W102">
        <f>IF(AND($B102&lt;&gt;"",$C102&lt;&gt;"Target state",$C102&lt;&gt;"Exception",$D102="Low",$E102="High"),$A102&amp;"  "&amp;$B102,"")</f>
        <v/>
      </c>
    </row>
    <row r="103" ht="48" customHeight="1" s="52">
      <c r="A103" s="93" t="inlineStr">
        <is>
          <t>⑧</t>
        </is>
      </c>
      <c r="B103" s="94" t="inlineStr">
        <is>
          <t>GPE ACI Base24</t>
        </is>
      </c>
      <c r="C103" s="73" t="inlineStr">
        <is>
          <t>Non-target state</t>
        </is>
      </c>
      <c r="D103" s="73" t="n"/>
      <c r="E103" s="73" t="n"/>
      <c r="F103" s="72" t="inlineStr">
        <is>
          <t>Non-strategic GPE authorization host in Prague serving CEE markets and significant indirect business; about 2.6B transactions and $82B processed; annual cost near $4.5M; repository flags initial disposition Keep &amp; Enhance — confirm with SPOC</t>
        </is>
      </c>
      <c r="G103" s="95">
        <f>IF(OR($B103="",$D103="",$E103=""),"",IF(OR($C103="Target state",$C103="Exception"),"Out of scope",IF($D103="Low","No tranche",IF($E103="Low","Tranche 1",IF($E103="Medium","Tranche 2",IF($D103="High","Tranche 3","No tranche"))))))</f>
        <v/>
      </c>
      <c r="K103" s="101" t="n"/>
      <c r="L103" s="101" t="n"/>
      <c r="M103" s="101" t="n"/>
      <c r="O103">
        <f>IF(AND($B103&lt;&gt;"",$C103&lt;&gt;"Target state",$C103&lt;&gt;"Exception",$D103="High",$E103="Low"),$A103&amp;"  "&amp;$B103,"")</f>
        <v/>
      </c>
      <c r="P103">
        <f>IF(AND($B103&lt;&gt;"",$C103&lt;&gt;"Target state",$C103&lt;&gt;"Exception",$D103="High",$E103="Medium"),$A103&amp;"  "&amp;$B103,"")</f>
        <v/>
      </c>
      <c r="Q103">
        <f>IF(AND($B103&lt;&gt;"",$C103&lt;&gt;"Target state",$C103&lt;&gt;"Exception",$D103="High",$E103="High"),$A103&amp;"  "&amp;$B103,"")</f>
        <v/>
      </c>
      <c r="R103">
        <f>IF(AND($B103&lt;&gt;"",$C103&lt;&gt;"Target state",$C103&lt;&gt;"Exception",$D103="Medium",$E103="Low"),$A103&amp;"  "&amp;$B103,"")</f>
        <v/>
      </c>
      <c r="S103">
        <f>IF(AND($B103&lt;&gt;"",$C103&lt;&gt;"Target state",$C103&lt;&gt;"Exception",$D103="Medium",$E103="Medium"),$A103&amp;"  "&amp;$B103,"")</f>
        <v/>
      </c>
      <c r="T103">
        <f>IF(AND($B103&lt;&gt;"",$C103&lt;&gt;"Target state",$C103&lt;&gt;"Exception",$D103="Medium",$E103="High"),$A103&amp;"  "&amp;$B103,"")</f>
        <v/>
      </c>
      <c r="U103">
        <f>IF(AND($B103&lt;&gt;"",$C103&lt;&gt;"Target state",$C103&lt;&gt;"Exception",$D103="Low",$E103="Low"),$A103&amp;"  "&amp;$B103,"")</f>
        <v/>
      </c>
      <c r="V103">
        <f>IF(AND($B103&lt;&gt;"",$C103&lt;&gt;"Target state",$C103&lt;&gt;"Exception",$D103="Low",$E103="Medium"),$A103&amp;"  "&amp;$B103,"")</f>
        <v/>
      </c>
      <c r="W103">
        <f>IF(AND($B103&lt;&gt;"",$C103&lt;&gt;"Target state",$C103&lt;&gt;"Exception",$D103="Low",$E103="High"),$A103&amp;"  "&amp;$B103,"")</f>
        <v/>
      </c>
    </row>
    <row r="104" ht="48" customHeight="1" s="52">
      <c r="A104" s="93" t="inlineStr">
        <is>
          <t>⑨</t>
        </is>
      </c>
      <c r="B104" s="94" t="inlineStr">
        <is>
          <t>eService ACI Postillion Real-Time</t>
        </is>
      </c>
      <c r="C104" s="73" t="inlineStr">
        <is>
          <t>Non-target state</t>
        </is>
      </c>
      <c r="D104" s="73" t="n"/>
      <c r="E104" s="73" t="n"/>
      <c r="F104" s="72" t="inlineStr">
        <is>
          <t>Non-strategic eService authorization platform covering Poland, UK, Ireland, Spain and Germany; about 3.6B transactions processed in 2022; annual run cost near $2.9M; repository flags initial disposition Keep &amp; Enhance — confirm with SPOC</t>
        </is>
      </c>
      <c r="G104" s="95">
        <f>IF(OR($B104="",$D104="",$E104=""),"",IF(OR($C104="Target state",$C104="Exception"),"Out of scope",IF($D104="Low","No tranche",IF($E104="Low","Tranche 1",IF($E104="Medium","Tranche 2",IF($D104="High","Tranche 3","No tranche"))))))</f>
        <v/>
      </c>
      <c r="K104" s="101" t="n"/>
      <c r="L104" s="101" t="n"/>
      <c r="M104" s="101" t="n"/>
      <c r="O104">
        <f>IF(AND($B104&lt;&gt;"",$C104&lt;&gt;"Target state",$C104&lt;&gt;"Exception",$D104="High",$E104="Low"),$A104&amp;"  "&amp;$B104,"")</f>
        <v/>
      </c>
      <c r="P104">
        <f>IF(AND($B104&lt;&gt;"",$C104&lt;&gt;"Target state",$C104&lt;&gt;"Exception",$D104="High",$E104="Medium"),$A104&amp;"  "&amp;$B104,"")</f>
        <v/>
      </c>
      <c r="Q104">
        <f>IF(AND($B104&lt;&gt;"",$C104&lt;&gt;"Target state",$C104&lt;&gt;"Exception",$D104="High",$E104="High"),$A104&amp;"  "&amp;$B104,"")</f>
        <v/>
      </c>
      <c r="R104">
        <f>IF(AND($B104&lt;&gt;"",$C104&lt;&gt;"Target state",$C104&lt;&gt;"Exception",$D104="Medium",$E104="Low"),$A104&amp;"  "&amp;$B104,"")</f>
        <v/>
      </c>
      <c r="S104">
        <f>IF(AND($B104&lt;&gt;"",$C104&lt;&gt;"Target state",$C104&lt;&gt;"Exception",$D104="Medium",$E104="Medium"),$A104&amp;"  "&amp;$B104,"")</f>
        <v/>
      </c>
      <c r="T104">
        <f>IF(AND($B104&lt;&gt;"",$C104&lt;&gt;"Target state",$C104&lt;&gt;"Exception",$D104="Medium",$E104="High"),$A104&amp;"  "&amp;$B104,"")</f>
        <v/>
      </c>
      <c r="U104">
        <f>IF(AND($B104&lt;&gt;"",$C104&lt;&gt;"Target state",$C104&lt;&gt;"Exception",$D104="Low",$E104="Low"),$A104&amp;"  "&amp;$B104,"")</f>
        <v/>
      </c>
      <c r="V104">
        <f>IF(AND($B104&lt;&gt;"",$C104&lt;&gt;"Target state",$C104&lt;&gt;"Exception",$D104="Low",$E104="Medium"),$A104&amp;"  "&amp;$B104,"")</f>
        <v/>
      </c>
      <c r="W104">
        <f>IF(AND($B104&lt;&gt;"",$C104&lt;&gt;"Target state",$C104&lt;&gt;"Exception",$D104="Low",$E104="High"),$A104&amp;"  "&amp;$B104,"")</f>
        <v/>
      </c>
    </row>
    <row r="105" ht="36" customHeight="1" s="52">
      <c r="A105" s="93" t="inlineStr">
        <is>
          <t>⑩</t>
        </is>
      </c>
      <c r="B105" s="94" t="inlineStr">
        <is>
          <t>WLP</t>
        </is>
      </c>
      <c r="C105" s="73" t="inlineStr">
        <is>
          <t>Non-target state</t>
        </is>
      </c>
      <c r="D105" s="73" t="n"/>
      <c r="E105" s="73" t="n"/>
      <c r="F105" s="72" t="inlineStr">
        <is>
          <t>Non-strategic legacy component processing PayOne traffic for the Germany business; about 24M transactions and $1.6B processed across 9.6K MIDs; on the decommission path</t>
        </is>
      </c>
      <c r="G105" s="95">
        <f>IF(OR($B105="",$D105="",$E105=""),"",IF(OR($C105="Target state",$C105="Exception"),"Out of scope",IF($D105="Low","No tranche",IF($E105="Low","Tranche 1",IF($E105="Medium","Tranche 2",IF($D105="High","Tranche 3","No tranche"))))))</f>
        <v/>
      </c>
      <c r="K105" s="101" t="n"/>
      <c r="L105" s="101" t="n"/>
      <c r="M105" s="101" t="n"/>
      <c r="O105">
        <f>IF(AND($B105&lt;&gt;"",$C105&lt;&gt;"Target state",$C105&lt;&gt;"Exception",$D105="High",$E105="Low"),$A105&amp;"  "&amp;$B105,"")</f>
        <v/>
      </c>
      <c r="P105">
        <f>IF(AND($B105&lt;&gt;"",$C105&lt;&gt;"Target state",$C105&lt;&gt;"Exception",$D105="High",$E105="Medium"),$A105&amp;"  "&amp;$B105,"")</f>
        <v/>
      </c>
      <c r="Q105">
        <f>IF(AND($B105&lt;&gt;"",$C105&lt;&gt;"Target state",$C105&lt;&gt;"Exception",$D105="High",$E105="High"),$A105&amp;"  "&amp;$B105,"")</f>
        <v/>
      </c>
      <c r="R105">
        <f>IF(AND($B105&lt;&gt;"",$C105&lt;&gt;"Target state",$C105&lt;&gt;"Exception",$D105="Medium",$E105="Low"),$A105&amp;"  "&amp;$B105,"")</f>
        <v/>
      </c>
      <c r="S105">
        <f>IF(AND($B105&lt;&gt;"",$C105&lt;&gt;"Target state",$C105&lt;&gt;"Exception",$D105="Medium",$E105="Medium"),$A105&amp;"  "&amp;$B105,"")</f>
        <v/>
      </c>
      <c r="T105">
        <f>IF(AND($B105&lt;&gt;"",$C105&lt;&gt;"Target state",$C105&lt;&gt;"Exception",$D105="Medium",$E105="High"),$A105&amp;"  "&amp;$B105,"")</f>
        <v/>
      </c>
      <c r="U105">
        <f>IF(AND($B105&lt;&gt;"",$C105&lt;&gt;"Target state",$C105&lt;&gt;"Exception",$D105="Low",$E105="Low"),$A105&amp;"  "&amp;$B105,"")</f>
        <v/>
      </c>
      <c r="V105">
        <f>IF(AND($B105&lt;&gt;"",$C105&lt;&gt;"Target state",$C105&lt;&gt;"Exception",$D105="Low",$E105="Medium"),$A105&amp;"  "&amp;$B105,"")</f>
        <v/>
      </c>
      <c r="W105">
        <f>IF(AND($B105&lt;&gt;"",$C105&lt;&gt;"Target state",$C105&lt;&gt;"Exception",$D105="Low",$E105="High"),$A105&amp;"  "&amp;$B105,"")</f>
        <v/>
      </c>
    </row>
    <row r="106" ht="30" customHeight="1" s="52">
      <c r="A106" s="93" t="inlineStr">
        <is>
          <t>⑪</t>
        </is>
      </c>
      <c r="B106" s="94" t="inlineStr">
        <is>
          <t>Way4</t>
        </is>
      </c>
      <c r="C106" s="73" t="inlineStr">
        <is>
          <t>Non-target state</t>
        </is>
      </c>
      <c r="D106" s="73" t="n"/>
      <c r="E106" s="73" t="n"/>
      <c r="F106" s="72" t="inlineStr">
        <is>
          <t>Non-strategic authorization and processing platform for NBG Pay in Greece; to be replaced by e-service systems after migration</t>
        </is>
      </c>
      <c r="G106" s="95">
        <f>IF(OR($B106="",$D106="",$E106=""),"",IF(OR($C106="Target state",$C106="Exception"),"Out of scope",IF($D106="Low","No tranche",IF($E106="Low","Tranche 1",IF($E106="Medium","Tranche 2",IF($D106="High","Tranche 3","No tranche"))))))</f>
        <v/>
      </c>
      <c r="K106" s="101" t="n"/>
      <c r="L106" s="101" t="n"/>
      <c r="M106" s="101" t="n"/>
      <c r="O106">
        <f>IF(AND($B106&lt;&gt;"",$C106&lt;&gt;"Target state",$C106&lt;&gt;"Exception",$D106="High",$E106="Low"),$A106&amp;"  "&amp;$B106,"")</f>
        <v/>
      </c>
      <c r="P106">
        <f>IF(AND($B106&lt;&gt;"",$C106&lt;&gt;"Target state",$C106&lt;&gt;"Exception",$D106="High",$E106="Medium"),$A106&amp;"  "&amp;$B106,"")</f>
        <v/>
      </c>
      <c r="Q106">
        <f>IF(AND($B106&lt;&gt;"",$C106&lt;&gt;"Target state",$C106&lt;&gt;"Exception",$D106="High",$E106="High"),$A106&amp;"  "&amp;$B106,"")</f>
        <v/>
      </c>
      <c r="R106">
        <f>IF(AND($B106&lt;&gt;"",$C106&lt;&gt;"Target state",$C106&lt;&gt;"Exception",$D106="Medium",$E106="Low"),$A106&amp;"  "&amp;$B106,"")</f>
        <v/>
      </c>
      <c r="S106">
        <f>IF(AND($B106&lt;&gt;"",$C106&lt;&gt;"Target state",$C106&lt;&gt;"Exception",$D106="Medium",$E106="Medium"),$A106&amp;"  "&amp;$B106,"")</f>
        <v/>
      </c>
      <c r="T106">
        <f>IF(AND($B106&lt;&gt;"",$C106&lt;&gt;"Target state",$C106&lt;&gt;"Exception",$D106="Medium",$E106="High"),$A106&amp;"  "&amp;$B106,"")</f>
        <v/>
      </c>
      <c r="U106">
        <f>IF(AND($B106&lt;&gt;"",$C106&lt;&gt;"Target state",$C106&lt;&gt;"Exception",$D106="Low",$E106="Low"),$A106&amp;"  "&amp;$B106,"")</f>
        <v/>
      </c>
      <c r="V106">
        <f>IF(AND($B106&lt;&gt;"",$C106&lt;&gt;"Target state",$C106&lt;&gt;"Exception",$D106="Low",$E106="Medium"),$A106&amp;"  "&amp;$B106,"")</f>
        <v/>
      </c>
      <c r="W106">
        <f>IF(AND($B106&lt;&gt;"",$C106&lt;&gt;"Target state",$C106&lt;&gt;"Exception",$D106="Low",$E106="High"),$A106&amp;"  "&amp;$B106,"")</f>
        <v/>
      </c>
    </row>
    <row r="107" ht="30" customHeight="1" s="52">
      <c r="A107" s="93" t="inlineStr">
        <is>
          <t>⑫</t>
        </is>
      </c>
      <c r="B107" s="94" t="inlineStr">
        <is>
          <t>Omnipay</t>
        </is>
      </c>
      <c r="C107" s="73" t="inlineStr">
        <is>
          <t>Non-target state</t>
        </is>
      </c>
      <c r="D107" s="73" t="n"/>
      <c r="E107" s="73" t="n"/>
      <c r="F107" s="72" t="inlineStr">
        <is>
          <t>Non-strategic third-party Fiserv platform with separate PayPal and GP instances covering Europe and Australia; migration project currently on hold</t>
        </is>
      </c>
      <c r="G107" s="95">
        <f>IF(OR($B107="",$D107="",$E107=""),"",IF(OR($C107="Target state",$C107="Exception"),"Out of scope",IF($D107="Low","No tranche",IF($E107="Low","Tranche 1",IF($E107="Medium","Tranche 2",IF($D107="High","Tranche 3","No tranche"))))))</f>
        <v/>
      </c>
      <c r="K107" s="102" t="n"/>
      <c r="L107" s="102" t="n"/>
      <c r="M107" s="102" t="n"/>
      <c r="O107">
        <f>IF(AND($B107&lt;&gt;"",$C107&lt;&gt;"Target state",$C107&lt;&gt;"Exception",$D107="High",$E107="Low"),$A107&amp;"  "&amp;$B107,"")</f>
        <v/>
      </c>
      <c r="P107">
        <f>IF(AND($B107&lt;&gt;"",$C107&lt;&gt;"Target state",$C107&lt;&gt;"Exception",$D107="High",$E107="Medium"),$A107&amp;"  "&amp;$B107,"")</f>
        <v/>
      </c>
      <c r="Q107">
        <f>IF(AND($B107&lt;&gt;"",$C107&lt;&gt;"Target state",$C107&lt;&gt;"Exception",$D107="High",$E107="High"),$A107&amp;"  "&amp;$B107,"")</f>
        <v/>
      </c>
      <c r="R107">
        <f>IF(AND($B107&lt;&gt;"",$C107&lt;&gt;"Target state",$C107&lt;&gt;"Exception",$D107="Medium",$E107="Low"),$A107&amp;"  "&amp;$B107,"")</f>
        <v/>
      </c>
      <c r="S107">
        <f>IF(AND($B107&lt;&gt;"",$C107&lt;&gt;"Target state",$C107&lt;&gt;"Exception",$D107="Medium",$E107="Medium"),$A107&amp;"  "&amp;$B107,"")</f>
        <v/>
      </c>
      <c r="T107">
        <f>IF(AND($B107&lt;&gt;"",$C107&lt;&gt;"Target state",$C107&lt;&gt;"Exception",$D107="Medium",$E107="High"),$A107&amp;"  "&amp;$B107,"")</f>
        <v/>
      </c>
      <c r="U107">
        <f>IF(AND($B107&lt;&gt;"",$C107&lt;&gt;"Target state",$C107&lt;&gt;"Exception",$D107="Low",$E107="Low"),$A107&amp;"  "&amp;$B107,"")</f>
        <v/>
      </c>
      <c r="V107">
        <f>IF(AND($B107&lt;&gt;"",$C107&lt;&gt;"Target state",$C107&lt;&gt;"Exception",$D107="Low",$E107="Medium"),$A107&amp;"  "&amp;$B107,"")</f>
        <v/>
      </c>
      <c r="W107">
        <f>IF(AND($B107&lt;&gt;"",$C107&lt;&gt;"Target state",$C107&lt;&gt;"Exception",$D107="Low",$E107="High"),$A107&amp;"  "&amp;$B107,"")</f>
        <v/>
      </c>
    </row>
    <row r="108" ht="36" customHeight="1" s="52">
      <c r="A108" s="93" t="inlineStr">
        <is>
          <t>⑬</t>
        </is>
      </c>
      <c r="B108" s="94" t="inlineStr">
        <is>
          <t>BAS</t>
        </is>
      </c>
      <c r="C108" s="73" t="inlineStr">
        <is>
          <t>Non-target state</t>
        </is>
      </c>
      <c r="D108" s="73" t="n"/>
      <c r="E108" s="73" t="n"/>
      <c r="F108" s="72" t="inlineStr">
        <is>
          <t>Non-strategic batch authorization platform for card-not-present and recurring portfolios; about 44M transactions and $10.5B processed across 11K merchants; annual cost near $500K</t>
        </is>
      </c>
      <c r="G108" s="95">
        <f>IF(OR($B108="",$D108="",$E108=""),"",IF(OR($C108="Target state",$C108="Exception"),"Out of scope",IF($D108="Low","No tranche",IF($E108="Low","Tranche 1",IF($E108="Medium","Tranche 2",IF($D108="High","Tranche 3","No tranche"))))))</f>
        <v/>
      </c>
      <c r="J108" s="97" t="inlineStr">
        <is>
          <t>Low</t>
        </is>
      </c>
      <c r="K108" s="103">
        <f>_xlfn.TEXTJOIN(CHAR(10),TRUE,U$96:U$112)</f>
        <v/>
      </c>
      <c r="L108" s="103">
        <f>_xlfn.TEXTJOIN(CHAR(10),TRUE,V$96:V$112)</f>
        <v/>
      </c>
      <c r="M108" s="103">
        <f>_xlfn.TEXTJOIN(CHAR(10),TRUE,W$96:W$112)</f>
        <v/>
      </c>
      <c r="O108">
        <f>IF(AND($B108&lt;&gt;"",$C108&lt;&gt;"Target state",$C108&lt;&gt;"Exception",$D108="High",$E108="Low"),$A108&amp;"  "&amp;$B108,"")</f>
        <v/>
      </c>
      <c r="P108">
        <f>IF(AND($B108&lt;&gt;"",$C108&lt;&gt;"Target state",$C108&lt;&gt;"Exception",$D108="High",$E108="Medium"),$A108&amp;"  "&amp;$B108,"")</f>
        <v/>
      </c>
      <c r="Q108">
        <f>IF(AND($B108&lt;&gt;"",$C108&lt;&gt;"Target state",$C108&lt;&gt;"Exception",$D108="High",$E108="High"),$A108&amp;"  "&amp;$B108,"")</f>
        <v/>
      </c>
      <c r="R108">
        <f>IF(AND($B108&lt;&gt;"",$C108&lt;&gt;"Target state",$C108&lt;&gt;"Exception",$D108="Medium",$E108="Low"),$A108&amp;"  "&amp;$B108,"")</f>
        <v/>
      </c>
      <c r="S108">
        <f>IF(AND($B108&lt;&gt;"",$C108&lt;&gt;"Target state",$C108&lt;&gt;"Exception",$D108="Medium",$E108="Medium"),$A108&amp;"  "&amp;$B108,"")</f>
        <v/>
      </c>
      <c r="T108">
        <f>IF(AND($B108&lt;&gt;"",$C108&lt;&gt;"Target state",$C108&lt;&gt;"Exception",$D108="Medium",$E108="High"),$A108&amp;"  "&amp;$B108,"")</f>
        <v/>
      </c>
      <c r="U108">
        <f>IF(AND($B108&lt;&gt;"",$C108&lt;&gt;"Target state",$C108&lt;&gt;"Exception",$D108="Low",$E108="Low"),$A108&amp;"  "&amp;$B108,"")</f>
        <v/>
      </c>
      <c r="V108">
        <f>IF(AND($B108&lt;&gt;"",$C108&lt;&gt;"Target state",$C108&lt;&gt;"Exception",$D108="Low",$E108="Medium"),$A108&amp;"  "&amp;$B108,"")</f>
        <v/>
      </c>
      <c r="W108">
        <f>IF(AND($B108&lt;&gt;"",$C108&lt;&gt;"Target state",$C108&lt;&gt;"Exception",$D108="Low",$E108="High"),$A108&amp;"  "&amp;$B108,"")</f>
        <v/>
      </c>
    </row>
    <row r="109" ht="20" customHeight="1" s="52">
      <c r="A109" s="93" t="inlineStr">
        <is>
          <t>⑭</t>
        </is>
      </c>
      <c r="B109" s="94" t="n"/>
      <c r="C109" s="73" t="n"/>
      <c r="D109" s="73" t="n"/>
      <c r="E109" s="73" t="n"/>
      <c r="F109" s="72" t="n"/>
      <c r="G109" s="95">
        <f>IF(OR($B109="",$D109="",$E109=""),"",IF(OR($C109="Target state",$C109="Exception"),"Out of scope",IF($D109="Low","No tranche",IF($E109="Low","Tranche 1",IF($E109="Medium","Tranche 2",IF($D109="High","Tranche 3","No tranche"))))))</f>
        <v/>
      </c>
      <c r="K109" s="101" t="n"/>
      <c r="L109" s="101" t="n"/>
      <c r="M109" s="101" t="n"/>
      <c r="O109">
        <f>IF(AND($B109&lt;&gt;"",$C109&lt;&gt;"Target state",$C109&lt;&gt;"Exception",$D109="High",$E109="Low"),$A109&amp;"  "&amp;$B109,"")</f>
        <v/>
      </c>
      <c r="P109">
        <f>IF(AND($B109&lt;&gt;"",$C109&lt;&gt;"Target state",$C109&lt;&gt;"Exception",$D109="High",$E109="Medium"),$A109&amp;"  "&amp;$B109,"")</f>
        <v/>
      </c>
      <c r="Q109">
        <f>IF(AND($B109&lt;&gt;"",$C109&lt;&gt;"Target state",$C109&lt;&gt;"Exception",$D109="High",$E109="High"),$A109&amp;"  "&amp;$B109,"")</f>
        <v/>
      </c>
      <c r="R109">
        <f>IF(AND($B109&lt;&gt;"",$C109&lt;&gt;"Target state",$C109&lt;&gt;"Exception",$D109="Medium",$E109="Low"),$A109&amp;"  "&amp;$B109,"")</f>
        <v/>
      </c>
      <c r="S109">
        <f>IF(AND($B109&lt;&gt;"",$C109&lt;&gt;"Target state",$C109&lt;&gt;"Exception",$D109="Medium",$E109="Medium"),$A109&amp;"  "&amp;$B109,"")</f>
        <v/>
      </c>
      <c r="T109">
        <f>IF(AND($B109&lt;&gt;"",$C109&lt;&gt;"Target state",$C109&lt;&gt;"Exception",$D109="Medium",$E109="High"),$A109&amp;"  "&amp;$B109,"")</f>
        <v/>
      </c>
      <c r="U109">
        <f>IF(AND($B109&lt;&gt;"",$C109&lt;&gt;"Target state",$C109&lt;&gt;"Exception",$D109="Low",$E109="Low"),$A109&amp;"  "&amp;$B109,"")</f>
        <v/>
      </c>
      <c r="V109">
        <f>IF(AND($B109&lt;&gt;"",$C109&lt;&gt;"Target state",$C109&lt;&gt;"Exception",$D109="Low",$E109="Medium"),$A109&amp;"  "&amp;$B109,"")</f>
        <v/>
      </c>
      <c r="W109">
        <f>IF(AND($B109&lt;&gt;"",$C109&lt;&gt;"Target state",$C109&lt;&gt;"Exception",$D109="Low",$E109="High"),$A109&amp;"  "&amp;$B109,"")</f>
        <v/>
      </c>
    </row>
    <row r="110" ht="20" customHeight="1" s="52">
      <c r="A110" s="93" t="inlineStr">
        <is>
          <t>⑮</t>
        </is>
      </c>
      <c r="B110" s="94" t="n"/>
      <c r="C110" s="73" t="n"/>
      <c r="D110" s="73" t="n"/>
      <c r="E110" s="73" t="n"/>
      <c r="F110" s="72" t="n"/>
      <c r="G110" s="95">
        <f>IF(OR($B110="",$D110="",$E110=""),"",IF(OR($C110="Target state",$C110="Exception"),"Out of scope",IF($D110="Low","No tranche",IF($E110="Low","Tranche 1",IF($E110="Medium","Tranche 2",IF($D110="High","Tranche 3","No tranche"))))))</f>
        <v/>
      </c>
      <c r="K110" s="101" t="n"/>
      <c r="L110" s="101" t="n"/>
      <c r="M110" s="101" t="n"/>
      <c r="O110">
        <f>IF(AND($B110&lt;&gt;"",$C110&lt;&gt;"Target state",$C110&lt;&gt;"Exception",$D110="High",$E110="Low"),$A110&amp;"  "&amp;$B110,"")</f>
        <v/>
      </c>
      <c r="P110">
        <f>IF(AND($B110&lt;&gt;"",$C110&lt;&gt;"Target state",$C110&lt;&gt;"Exception",$D110="High",$E110="Medium"),$A110&amp;"  "&amp;$B110,"")</f>
        <v/>
      </c>
      <c r="Q110">
        <f>IF(AND($B110&lt;&gt;"",$C110&lt;&gt;"Target state",$C110&lt;&gt;"Exception",$D110="High",$E110="High"),$A110&amp;"  "&amp;$B110,"")</f>
        <v/>
      </c>
      <c r="R110">
        <f>IF(AND($B110&lt;&gt;"",$C110&lt;&gt;"Target state",$C110&lt;&gt;"Exception",$D110="Medium",$E110="Low"),$A110&amp;"  "&amp;$B110,"")</f>
        <v/>
      </c>
      <c r="S110">
        <f>IF(AND($B110&lt;&gt;"",$C110&lt;&gt;"Target state",$C110&lt;&gt;"Exception",$D110="Medium",$E110="Medium"),$A110&amp;"  "&amp;$B110,"")</f>
        <v/>
      </c>
      <c r="T110">
        <f>IF(AND($B110&lt;&gt;"",$C110&lt;&gt;"Target state",$C110&lt;&gt;"Exception",$D110="Medium",$E110="High"),$A110&amp;"  "&amp;$B110,"")</f>
        <v/>
      </c>
      <c r="U110">
        <f>IF(AND($B110&lt;&gt;"",$C110&lt;&gt;"Target state",$C110&lt;&gt;"Exception",$D110="Low",$E110="Low"),$A110&amp;"  "&amp;$B110,"")</f>
        <v/>
      </c>
      <c r="V110">
        <f>IF(AND($B110&lt;&gt;"",$C110&lt;&gt;"Target state",$C110&lt;&gt;"Exception",$D110="Low",$E110="Medium"),$A110&amp;"  "&amp;$B110,"")</f>
        <v/>
      </c>
      <c r="W110">
        <f>IF(AND($B110&lt;&gt;"",$C110&lt;&gt;"Target state",$C110&lt;&gt;"Exception",$D110="Low",$E110="High"),$A110&amp;"  "&amp;$B110,"")</f>
        <v/>
      </c>
    </row>
    <row r="111" ht="20" customHeight="1" s="52">
      <c r="A111" s="93" t="inlineStr">
        <is>
          <t>⑯</t>
        </is>
      </c>
      <c r="B111" s="94" t="n"/>
      <c r="C111" s="73" t="n"/>
      <c r="D111" s="73" t="n"/>
      <c r="E111" s="73" t="n"/>
      <c r="F111" s="72" t="n"/>
      <c r="G111" s="95">
        <f>IF(OR($B111="",$D111="",$E111=""),"",IF(OR($C111="Target state",$C111="Exception"),"Out of scope",IF($D111="Low","No tranche",IF($E111="Low","Tranche 1",IF($E111="Medium","Tranche 2",IF($D111="High","Tranche 3","No tranche"))))))</f>
        <v/>
      </c>
      <c r="K111" s="101" t="n"/>
      <c r="L111" s="101" t="n"/>
      <c r="M111" s="101" t="n"/>
      <c r="O111">
        <f>IF(AND($B111&lt;&gt;"",$C111&lt;&gt;"Target state",$C111&lt;&gt;"Exception",$D111="High",$E111="Low"),$A111&amp;"  "&amp;$B111,"")</f>
        <v/>
      </c>
      <c r="P111">
        <f>IF(AND($B111&lt;&gt;"",$C111&lt;&gt;"Target state",$C111&lt;&gt;"Exception",$D111="High",$E111="Medium"),$A111&amp;"  "&amp;$B111,"")</f>
        <v/>
      </c>
      <c r="Q111">
        <f>IF(AND($B111&lt;&gt;"",$C111&lt;&gt;"Target state",$C111&lt;&gt;"Exception",$D111="High",$E111="High"),$A111&amp;"  "&amp;$B111,"")</f>
        <v/>
      </c>
      <c r="R111">
        <f>IF(AND($B111&lt;&gt;"",$C111&lt;&gt;"Target state",$C111&lt;&gt;"Exception",$D111="Medium",$E111="Low"),$A111&amp;"  "&amp;$B111,"")</f>
        <v/>
      </c>
      <c r="S111">
        <f>IF(AND($B111&lt;&gt;"",$C111&lt;&gt;"Target state",$C111&lt;&gt;"Exception",$D111="Medium",$E111="Medium"),$A111&amp;"  "&amp;$B111,"")</f>
        <v/>
      </c>
      <c r="T111">
        <f>IF(AND($B111&lt;&gt;"",$C111&lt;&gt;"Target state",$C111&lt;&gt;"Exception",$D111="Medium",$E111="High"),$A111&amp;"  "&amp;$B111,"")</f>
        <v/>
      </c>
      <c r="U111">
        <f>IF(AND($B111&lt;&gt;"",$C111&lt;&gt;"Target state",$C111&lt;&gt;"Exception",$D111="Low",$E111="Low"),$A111&amp;"  "&amp;$B111,"")</f>
        <v/>
      </c>
      <c r="V111">
        <f>IF(AND($B111&lt;&gt;"",$C111&lt;&gt;"Target state",$C111&lt;&gt;"Exception",$D111="Low",$E111="Medium"),$A111&amp;"  "&amp;$B111,"")</f>
        <v/>
      </c>
      <c r="W111">
        <f>IF(AND($B111&lt;&gt;"",$C111&lt;&gt;"Target state",$C111&lt;&gt;"Exception",$D111="Low",$E111="High"),$A111&amp;"  "&amp;$B111,"")</f>
        <v/>
      </c>
    </row>
    <row r="112" ht="20" customHeight="1" s="52">
      <c r="A112" s="93" t="inlineStr">
        <is>
          <t>⑰</t>
        </is>
      </c>
      <c r="B112" s="94" t="n"/>
      <c r="C112" s="73" t="n"/>
      <c r="D112" s="73" t="n"/>
      <c r="E112" s="73" t="n"/>
      <c r="F112" s="72" t="n"/>
      <c r="G112" s="95">
        <f>IF(OR($B112="",$D112="",$E112=""),"",IF(OR($C112="Target state",$C112="Exception"),"Out of scope",IF($D112="Low","No tranche",IF($E112="Low","Tranche 1",IF($E112="Medium","Tranche 2",IF($D112="High","Tranche 3","No tranche"))))))</f>
        <v/>
      </c>
      <c r="K112" s="102" t="n"/>
      <c r="L112" s="102" t="n"/>
      <c r="M112" s="102" t="n"/>
      <c r="O112">
        <f>IF(AND($B112&lt;&gt;"",$C112&lt;&gt;"Target state",$C112&lt;&gt;"Exception",$D112="High",$E112="Low"),$A112&amp;"  "&amp;$B112,"")</f>
        <v/>
      </c>
      <c r="P112">
        <f>IF(AND($B112&lt;&gt;"",$C112&lt;&gt;"Target state",$C112&lt;&gt;"Exception",$D112="High",$E112="Medium"),$A112&amp;"  "&amp;$B112,"")</f>
        <v/>
      </c>
      <c r="Q112">
        <f>IF(AND($B112&lt;&gt;"",$C112&lt;&gt;"Target state",$C112&lt;&gt;"Exception",$D112="High",$E112="High"),$A112&amp;"  "&amp;$B112,"")</f>
        <v/>
      </c>
      <c r="R112">
        <f>IF(AND($B112&lt;&gt;"",$C112&lt;&gt;"Target state",$C112&lt;&gt;"Exception",$D112="Medium",$E112="Low"),$A112&amp;"  "&amp;$B112,"")</f>
        <v/>
      </c>
      <c r="S112">
        <f>IF(AND($B112&lt;&gt;"",$C112&lt;&gt;"Target state",$C112&lt;&gt;"Exception",$D112="Medium",$E112="Medium"),$A112&amp;"  "&amp;$B112,"")</f>
        <v/>
      </c>
      <c r="T112">
        <f>IF(AND($B112&lt;&gt;"",$C112&lt;&gt;"Target state",$C112&lt;&gt;"Exception",$D112="Medium",$E112="High"),$A112&amp;"  "&amp;$B112,"")</f>
        <v/>
      </c>
      <c r="U112">
        <f>IF(AND($B112&lt;&gt;"",$C112&lt;&gt;"Target state",$C112&lt;&gt;"Exception",$D112="Low",$E112="Low"),$A112&amp;"  "&amp;$B112,"")</f>
        <v/>
      </c>
      <c r="V112">
        <f>IF(AND($B112&lt;&gt;"",$C112&lt;&gt;"Target state",$C112&lt;&gt;"Exception",$D112="Low",$E112="Medium"),$A112&amp;"  "&amp;$B112,"")</f>
        <v/>
      </c>
      <c r="W112">
        <f>IF(AND($B112&lt;&gt;"",$C112&lt;&gt;"Target state",$C112&lt;&gt;"Exception",$D112="Low",$E112="High"),$A112&amp;"  "&amp;$B112,"")</f>
        <v/>
      </c>
    </row>
    <row r="113">
      <c r="K113" s="97" t="inlineStr">
        <is>
          <t>Complexity</t>
        </is>
      </c>
    </row>
    <row r="117" ht="22" customHeight="1" s="52">
      <c r="A117" s="88" t="inlineStr">
        <is>
          <t>Transaction monitoring</t>
        </is>
      </c>
      <c r="G117" s="89">
        <f>HYPERLINK("#'Payment Processing'!A4","▲ tracker")</f>
        <v/>
      </c>
      <c r="K117" s="90" t="inlineStr">
        <is>
          <t>Assessment Outcome</t>
        </is>
      </c>
    </row>
    <row r="118" ht="18" customHeight="1" s="52">
      <c r="A118" s="91" t="inlineStr">
        <is>
          <t>#</t>
        </is>
      </c>
      <c r="B118" s="91" t="inlineStr">
        <is>
          <t>Platform</t>
        </is>
      </c>
      <c r="C118" s="91" t="inlineStr">
        <is>
          <t>State</t>
        </is>
      </c>
      <c r="D118" s="91" t="inlineStr">
        <is>
          <t>Imperative to exit</t>
        </is>
      </c>
      <c r="E118" s="91" t="inlineStr">
        <is>
          <t>Exit complexity</t>
        </is>
      </c>
      <c r="F118" s="91" t="inlineStr">
        <is>
          <t>Supporting facts</t>
        </is>
      </c>
      <c r="G118" s="91" t="inlineStr">
        <is>
          <t>Tranche (auto)</t>
        </is>
      </c>
      <c r="K118" s="92" t="inlineStr">
        <is>
          <t>Low</t>
        </is>
      </c>
      <c r="L118" s="92" t="inlineStr">
        <is>
          <t>Medium</t>
        </is>
      </c>
      <c r="M118" s="92" t="inlineStr">
        <is>
          <t>High</t>
        </is>
      </c>
    </row>
    <row r="119" ht="20" customHeight="1" s="52">
      <c r="A119" s="93" t="inlineStr">
        <is>
          <t>①</t>
        </is>
      </c>
      <c r="B119" s="94" t="n"/>
      <c r="C119" s="73" t="n"/>
      <c r="D119" s="73" t="n"/>
      <c r="E119" s="73" t="n"/>
      <c r="F119" s="72" t="n"/>
      <c r="G119" s="95">
        <f>IF(OR($B119="",$D119="",$E119=""),"",IF(OR($C119="Target state",$C119="Exception"),"Out of scope",IF($D119="Low","No tranche",IF($E119="Low","Tranche 1",IF($E119="Medium","Tranche 2",IF($D119="High","Tranche 3","No tranche"))))))</f>
        <v/>
      </c>
      <c r="I119" s="96" t="inlineStr">
        <is>
          <t>Benefits</t>
        </is>
      </c>
      <c r="J119" s="97" t="inlineStr">
        <is>
          <t>High</t>
        </is>
      </c>
      <c r="K119" s="98">
        <f>"Tranche 1"&amp;CHAR(10)&amp;_xlfn.TEXTJOIN(CHAR(10),TRUE,O$119:O$128)</f>
        <v/>
      </c>
      <c r="L119" s="99">
        <f>"Tranche 2"&amp;CHAR(10)&amp;_xlfn.TEXTJOIN(CHAR(10),TRUE,P$119:P$128)</f>
        <v/>
      </c>
      <c r="M119" s="100">
        <f>"Tranche 3"&amp;CHAR(10)&amp;_xlfn.TEXTJOIN(CHAR(10),TRUE,Q$119:Q$128)</f>
        <v/>
      </c>
      <c r="O119">
        <f>IF(AND($B119&lt;&gt;"",$C119&lt;&gt;"Target state",$C119&lt;&gt;"Exception",$D119="High",$E119="Low"),$A119&amp;"  "&amp;$B119,"")</f>
        <v/>
      </c>
      <c r="P119">
        <f>IF(AND($B119&lt;&gt;"",$C119&lt;&gt;"Target state",$C119&lt;&gt;"Exception",$D119="High",$E119="Medium"),$A119&amp;"  "&amp;$B119,"")</f>
        <v/>
      </c>
      <c r="Q119">
        <f>IF(AND($B119&lt;&gt;"",$C119&lt;&gt;"Target state",$C119&lt;&gt;"Exception",$D119="High",$E119="High"),$A119&amp;"  "&amp;$B119,"")</f>
        <v/>
      </c>
      <c r="R119">
        <f>IF(AND($B119&lt;&gt;"",$C119&lt;&gt;"Target state",$C119&lt;&gt;"Exception",$D119="Medium",$E119="Low"),$A119&amp;"  "&amp;$B119,"")</f>
        <v/>
      </c>
      <c r="S119">
        <f>IF(AND($B119&lt;&gt;"",$C119&lt;&gt;"Target state",$C119&lt;&gt;"Exception",$D119="Medium",$E119="Medium"),$A119&amp;"  "&amp;$B119,"")</f>
        <v/>
      </c>
      <c r="T119">
        <f>IF(AND($B119&lt;&gt;"",$C119&lt;&gt;"Target state",$C119&lt;&gt;"Exception",$D119="Medium",$E119="High"),$A119&amp;"  "&amp;$B119,"")</f>
        <v/>
      </c>
      <c r="U119">
        <f>IF(AND($B119&lt;&gt;"",$C119&lt;&gt;"Target state",$C119&lt;&gt;"Exception",$D119="Low",$E119="Low"),$A119&amp;"  "&amp;$B119,"")</f>
        <v/>
      </c>
      <c r="V119">
        <f>IF(AND($B119&lt;&gt;"",$C119&lt;&gt;"Target state",$C119&lt;&gt;"Exception",$D119="Low",$E119="Medium"),$A119&amp;"  "&amp;$B119,"")</f>
        <v/>
      </c>
      <c r="W119">
        <f>IF(AND($B119&lt;&gt;"",$C119&lt;&gt;"Target state",$C119&lt;&gt;"Exception",$D119="Low",$E119="High"),$A119&amp;"  "&amp;$B119,"")</f>
        <v/>
      </c>
    </row>
    <row r="120" ht="20" customHeight="1" s="52">
      <c r="A120" s="93" t="inlineStr">
        <is>
          <t>②</t>
        </is>
      </c>
      <c r="B120" s="94" t="n"/>
      <c r="C120" s="73" t="n"/>
      <c r="D120" s="73" t="n"/>
      <c r="E120" s="73" t="n"/>
      <c r="F120" s="72" t="n"/>
      <c r="G120" s="95">
        <f>IF(OR($B120="",$D120="",$E120=""),"",IF(OR($C120="Target state",$C120="Exception"),"Out of scope",IF($D120="Low","No tranche",IF($E120="Low","Tranche 1",IF($E120="Medium","Tranche 2",IF($D120="High","Tranche 3","No tranche"))))))</f>
        <v/>
      </c>
      <c r="K120" s="101" t="n"/>
      <c r="L120" s="101" t="n"/>
      <c r="M120" s="101" t="n"/>
      <c r="O120">
        <f>IF(AND($B120&lt;&gt;"",$C120&lt;&gt;"Target state",$C120&lt;&gt;"Exception",$D120="High",$E120="Low"),$A120&amp;"  "&amp;$B120,"")</f>
        <v/>
      </c>
      <c r="P120">
        <f>IF(AND($B120&lt;&gt;"",$C120&lt;&gt;"Target state",$C120&lt;&gt;"Exception",$D120="High",$E120="Medium"),$A120&amp;"  "&amp;$B120,"")</f>
        <v/>
      </c>
      <c r="Q120">
        <f>IF(AND($B120&lt;&gt;"",$C120&lt;&gt;"Target state",$C120&lt;&gt;"Exception",$D120="High",$E120="High"),$A120&amp;"  "&amp;$B120,"")</f>
        <v/>
      </c>
      <c r="R120">
        <f>IF(AND($B120&lt;&gt;"",$C120&lt;&gt;"Target state",$C120&lt;&gt;"Exception",$D120="Medium",$E120="Low"),$A120&amp;"  "&amp;$B120,"")</f>
        <v/>
      </c>
      <c r="S120">
        <f>IF(AND($B120&lt;&gt;"",$C120&lt;&gt;"Target state",$C120&lt;&gt;"Exception",$D120="Medium",$E120="Medium"),$A120&amp;"  "&amp;$B120,"")</f>
        <v/>
      </c>
      <c r="T120">
        <f>IF(AND($B120&lt;&gt;"",$C120&lt;&gt;"Target state",$C120&lt;&gt;"Exception",$D120="Medium",$E120="High"),$A120&amp;"  "&amp;$B120,"")</f>
        <v/>
      </c>
      <c r="U120">
        <f>IF(AND($B120&lt;&gt;"",$C120&lt;&gt;"Target state",$C120&lt;&gt;"Exception",$D120="Low",$E120="Low"),$A120&amp;"  "&amp;$B120,"")</f>
        <v/>
      </c>
      <c r="V120">
        <f>IF(AND($B120&lt;&gt;"",$C120&lt;&gt;"Target state",$C120&lt;&gt;"Exception",$D120="Low",$E120="Medium"),$A120&amp;"  "&amp;$B120,"")</f>
        <v/>
      </c>
      <c r="W120">
        <f>IF(AND($B120&lt;&gt;"",$C120&lt;&gt;"Target state",$C120&lt;&gt;"Exception",$D120="Low",$E120="High"),$A120&amp;"  "&amp;$B120,"")</f>
        <v/>
      </c>
    </row>
    <row r="121" ht="20" customHeight="1" s="52">
      <c r="A121" s="93" t="inlineStr">
        <is>
          <t>③</t>
        </is>
      </c>
      <c r="B121" s="94" t="n"/>
      <c r="C121" s="73" t="n"/>
      <c r="D121" s="73" t="n"/>
      <c r="E121" s="73" t="n"/>
      <c r="F121" s="72" t="n"/>
      <c r="G121" s="95">
        <f>IF(OR($B121="",$D121="",$E121=""),"",IF(OR($C121="Target state",$C121="Exception"),"Out of scope",IF($D121="Low","No tranche",IF($E121="Low","Tranche 1",IF($E121="Medium","Tranche 2",IF($D121="High","Tranche 3","No tranche"))))))</f>
        <v/>
      </c>
      <c r="K121" s="101" t="n"/>
      <c r="L121" s="101" t="n"/>
      <c r="M121" s="101" t="n"/>
      <c r="O121">
        <f>IF(AND($B121&lt;&gt;"",$C121&lt;&gt;"Target state",$C121&lt;&gt;"Exception",$D121="High",$E121="Low"),$A121&amp;"  "&amp;$B121,"")</f>
        <v/>
      </c>
      <c r="P121">
        <f>IF(AND($B121&lt;&gt;"",$C121&lt;&gt;"Target state",$C121&lt;&gt;"Exception",$D121="High",$E121="Medium"),$A121&amp;"  "&amp;$B121,"")</f>
        <v/>
      </c>
      <c r="Q121">
        <f>IF(AND($B121&lt;&gt;"",$C121&lt;&gt;"Target state",$C121&lt;&gt;"Exception",$D121="High",$E121="High"),$A121&amp;"  "&amp;$B121,"")</f>
        <v/>
      </c>
      <c r="R121">
        <f>IF(AND($B121&lt;&gt;"",$C121&lt;&gt;"Target state",$C121&lt;&gt;"Exception",$D121="Medium",$E121="Low"),$A121&amp;"  "&amp;$B121,"")</f>
        <v/>
      </c>
      <c r="S121">
        <f>IF(AND($B121&lt;&gt;"",$C121&lt;&gt;"Target state",$C121&lt;&gt;"Exception",$D121="Medium",$E121="Medium"),$A121&amp;"  "&amp;$B121,"")</f>
        <v/>
      </c>
      <c r="T121">
        <f>IF(AND($B121&lt;&gt;"",$C121&lt;&gt;"Target state",$C121&lt;&gt;"Exception",$D121="Medium",$E121="High"),$A121&amp;"  "&amp;$B121,"")</f>
        <v/>
      </c>
      <c r="U121">
        <f>IF(AND($B121&lt;&gt;"",$C121&lt;&gt;"Target state",$C121&lt;&gt;"Exception",$D121="Low",$E121="Low"),$A121&amp;"  "&amp;$B121,"")</f>
        <v/>
      </c>
      <c r="V121">
        <f>IF(AND($B121&lt;&gt;"",$C121&lt;&gt;"Target state",$C121&lt;&gt;"Exception",$D121="Low",$E121="Medium"),$A121&amp;"  "&amp;$B121,"")</f>
        <v/>
      </c>
      <c r="W121">
        <f>IF(AND($B121&lt;&gt;"",$C121&lt;&gt;"Target state",$C121&lt;&gt;"Exception",$D121="Low",$E121="High"),$A121&amp;"  "&amp;$B121,"")</f>
        <v/>
      </c>
    </row>
    <row r="122" ht="20" customHeight="1" s="52">
      <c r="A122" s="93" t="inlineStr">
        <is>
          <t>④</t>
        </is>
      </c>
      <c r="B122" s="94" t="n"/>
      <c r="C122" s="73" t="n"/>
      <c r="D122" s="73" t="n"/>
      <c r="E122" s="73" t="n"/>
      <c r="F122" s="72" t="n"/>
      <c r="G122" s="95">
        <f>IF(OR($B122="",$D122="",$E122=""),"",IF(OR($C122="Target state",$C122="Exception"),"Out of scope",IF($D122="Low","No tranche",IF($E122="Low","Tranche 1",IF($E122="Medium","Tranche 2",IF($D122="High","Tranche 3","No tranche"))))))</f>
        <v/>
      </c>
      <c r="K122" s="102" t="n"/>
      <c r="L122" s="102" t="n"/>
      <c r="M122" s="102" t="n"/>
      <c r="O122">
        <f>IF(AND($B122&lt;&gt;"",$C122&lt;&gt;"Target state",$C122&lt;&gt;"Exception",$D122="High",$E122="Low"),$A122&amp;"  "&amp;$B122,"")</f>
        <v/>
      </c>
      <c r="P122">
        <f>IF(AND($B122&lt;&gt;"",$C122&lt;&gt;"Target state",$C122&lt;&gt;"Exception",$D122="High",$E122="Medium"),$A122&amp;"  "&amp;$B122,"")</f>
        <v/>
      </c>
      <c r="Q122">
        <f>IF(AND($B122&lt;&gt;"",$C122&lt;&gt;"Target state",$C122&lt;&gt;"Exception",$D122="High",$E122="High"),$A122&amp;"  "&amp;$B122,"")</f>
        <v/>
      </c>
      <c r="R122">
        <f>IF(AND($B122&lt;&gt;"",$C122&lt;&gt;"Target state",$C122&lt;&gt;"Exception",$D122="Medium",$E122="Low"),$A122&amp;"  "&amp;$B122,"")</f>
        <v/>
      </c>
      <c r="S122">
        <f>IF(AND($B122&lt;&gt;"",$C122&lt;&gt;"Target state",$C122&lt;&gt;"Exception",$D122="Medium",$E122="Medium"),$A122&amp;"  "&amp;$B122,"")</f>
        <v/>
      </c>
      <c r="T122">
        <f>IF(AND($B122&lt;&gt;"",$C122&lt;&gt;"Target state",$C122&lt;&gt;"Exception",$D122="Medium",$E122="High"),$A122&amp;"  "&amp;$B122,"")</f>
        <v/>
      </c>
      <c r="U122">
        <f>IF(AND($B122&lt;&gt;"",$C122&lt;&gt;"Target state",$C122&lt;&gt;"Exception",$D122="Low",$E122="Low"),$A122&amp;"  "&amp;$B122,"")</f>
        <v/>
      </c>
      <c r="V122">
        <f>IF(AND($B122&lt;&gt;"",$C122&lt;&gt;"Target state",$C122&lt;&gt;"Exception",$D122="Low",$E122="Medium"),$A122&amp;"  "&amp;$B122,"")</f>
        <v/>
      </c>
      <c r="W122">
        <f>IF(AND($B122&lt;&gt;"",$C122&lt;&gt;"Target state",$C122&lt;&gt;"Exception",$D122="Low",$E122="High"),$A122&amp;"  "&amp;$B122,"")</f>
        <v/>
      </c>
    </row>
    <row r="123" ht="20" customHeight="1" s="52">
      <c r="A123" s="93" t="inlineStr">
        <is>
          <t>⑤</t>
        </is>
      </c>
      <c r="B123" s="94" t="n"/>
      <c r="C123" s="73" t="n"/>
      <c r="D123" s="73" t="n"/>
      <c r="E123" s="73" t="n"/>
      <c r="F123" s="72" t="n"/>
      <c r="G123" s="95">
        <f>IF(OR($B123="",$D123="",$E123=""),"",IF(OR($C123="Target state",$C123="Exception"),"Out of scope",IF($D123="Low","No tranche",IF($E123="Low","Tranche 1",IF($E123="Medium","Tranche 2",IF($D123="High","Tranche 3","No tranche"))))))</f>
        <v/>
      </c>
      <c r="J123" s="97" t="inlineStr">
        <is>
          <t>Medium</t>
        </is>
      </c>
      <c r="K123" s="98">
        <f>"Tranche 1"&amp;CHAR(10)&amp;_xlfn.TEXTJOIN(CHAR(10),TRUE,R$119:R$128)</f>
        <v/>
      </c>
      <c r="L123" s="99">
        <f>"Tranche 2"&amp;CHAR(10)&amp;_xlfn.TEXTJOIN(CHAR(10),TRUE,S$119:S$128)</f>
        <v/>
      </c>
      <c r="M123" s="103">
        <f>_xlfn.TEXTJOIN(CHAR(10),TRUE,T$119:T$128)</f>
        <v/>
      </c>
      <c r="O123">
        <f>IF(AND($B123&lt;&gt;"",$C123&lt;&gt;"Target state",$C123&lt;&gt;"Exception",$D123="High",$E123="Low"),$A123&amp;"  "&amp;$B123,"")</f>
        <v/>
      </c>
      <c r="P123">
        <f>IF(AND($B123&lt;&gt;"",$C123&lt;&gt;"Target state",$C123&lt;&gt;"Exception",$D123="High",$E123="Medium"),$A123&amp;"  "&amp;$B123,"")</f>
        <v/>
      </c>
      <c r="Q123">
        <f>IF(AND($B123&lt;&gt;"",$C123&lt;&gt;"Target state",$C123&lt;&gt;"Exception",$D123="High",$E123="High"),$A123&amp;"  "&amp;$B123,"")</f>
        <v/>
      </c>
      <c r="R123">
        <f>IF(AND($B123&lt;&gt;"",$C123&lt;&gt;"Target state",$C123&lt;&gt;"Exception",$D123="Medium",$E123="Low"),$A123&amp;"  "&amp;$B123,"")</f>
        <v/>
      </c>
      <c r="S123">
        <f>IF(AND($B123&lt;&gt;"",$C123&lt;&gt;"Target state",$C123&lt;&gt;"Exception",$D123="Medium",$E123="Medium"),$A123&amp;"  "&amp;$B123,"")</f>
        <v/>
      </c>
      <c r="T123">
        <f>IF(AND($B123&lt;&gt;"",$C123&lt;&gt;"Target state",$C123&lt;&gt;"Exception",$D123="Medium",$E123="High"),$A123&amp;"  "&amp;$B123,"")</f>
        <v/>
      </c>
      <c r="U123">
        <f>IF(AND($B123&lt;&gt;"",$C123&lt;&gt;"Target state",$C123&lt;&gt;"Exception",$D123="Low",$E123="Low"),$A123&amp;"  "&amp;$B123,"")</f>
        <v/>
      </c>
      <c r="V123">
        <f>IF(AND($B123&lt;&gt;"",$C123&lt;&gt;"Target state",$C123&lt;&gt;"Exception",$D123="Low",$E123="Medium"),$A123&amp;"  "&amp;$B123,"")</f>
        <v/>
      </c>
      <c r="W123">
        <f>IF(AND($B123&lt;&gt;"",$C123&lt;&gt;"Target state",$C123&lt;&gt;"Exception",$D123="Low",$E123="High"),$A123&amp;"  "&amp;$B123,"")</f>
        <v/>
      </c>
    </row>
    <row r="124" ht="20" customHeight="1" s="52">
      <c r="A124" s="93" t="inlineStr">
        <is>
          <t>⑥</t>
        </is>
      </c>
      <c r="B124" s="94" t="n"/>
      <c r="C124" s="73" t="n"/>
      <c r="D124" s="73" t="n"/>
      <c r="E124" s="73" t="n"/>
      <c r="F124" s="72" t="n"/>
      <c r="G124" s="95">
        <f>IF(OR($B124="",$D124="",$E124=""),"",IF(OR($C124="Target state",$C124="Exception"),"Out of scope",IF($D124="Low","No tranche",IF($E124="Low","Tranche 1",IF($E124="Medium","Tranche 2",IF($D124="High","Tranche 3","No tranche"))))))</f>
        <v/>
      </c>
      <c r="K124" s="101" t="n"/>
      <c r="L124" s="101" t="n"/>
      <c r="M124" s="101" t="n"/>
      <c r="O124">
        <f>IF(AND($B124&lt;&gt;"",$C124&lt;&gt;"Target state",$C124&lt;&gt;"Exception",$D124="High",$E124="Low"),$A124&amp;"  "&amp;$B124,"")</f>
        <v/>
      </c>
      <c r="P124">
        <f>IF(AND($B124&lt;&gt;"",$C124&lt;&gt;"Target state",$C124&lt;&gt;"Exception",$D124="High",$E124="Medium"),$A124&amp;"  "&amp;$B124,"")</f>
        <v/>
      </c>
      <c r="Q124">
        <f>IF(AND($B124&lt;&gt;"",$C124&lt;&gt;"Target state",$C124&lt;&gt;"Exception",$D124="High",$E124="High"),$A124&amp;"  "&amp;$B124,"")</f>
        <v/>
      </c>
      <c r="R124">
        <f>IF(AND($B124&lt;&gt;"",$C124&lt;&gt;"Target state",$C124&lt;&gt;"Exception",$D124="Medium",$E124="Low"),$A124&amp;"  "&amp;$B124,"")</f>
        <v/>
      </c>
      <c r="S124">
        <f>IF(AND($B124&lt;&gt;"",$C124&lt;&gt;"Target state",$C124&lt;&gt;"Exception",$D124="Medium",$E124="Medium"),$A124&amp;"  "&amp;$B124,"")</f>
        <v/>
      </c>
      <c r="T124">
        <f>IF(AND($B124&lt;&gt;"",$C124&lt;&gt;"Target state",$C124&lt;&gt;"Exception",$D124="Medium",$E124="High"),$A124&amp;"  "&amp;$B124,"")</f>
        <v/>
      </c>
      <c r="U124">
        <f>IF(AND($B124&lt;&gt;"",$C124&lt;&gt;"Target state",$C124&lt;&gt;"Exception",$D124="Low",$E124="Low"),$A124&amp;"  "&amp;$B124,"")</f>
        <v/>
      </c>
      <c r="V124">
        <f>IF(AND($B124&lt;&gt;"",$C124&lt;&gt;"Target state",$C124&lt;&gt;"Exception",$D124="Low",$E124="Medium"),$A124&amp;"  "&amp;$B124,"")</f>
        <v/>
      </c>
      <c r="W124">
        <f>IF(AND($B124&lt;&gt;"",$C124&lt;&gt;"Target state",$C124&lt;&gt;"Exception",$D124="Low",$E124="High"),$A124&amp;"  "&amp;$B124,"")</f>
        <v/>
      </c>
    </row>
    <row r="125" ht="20" customHeight="1" s="52">
      <c r="A125" s="93" t="inlineStr">
        <is>
          <t>⑦</t>
        </is>
      </c>
      <c r="B125" s="94" t="n"/>
      <c r="C125" s="73" t="n"/>
      <c r="D125" s="73" t="n"/>
      <c r="E125" s="73" t="n"/>
      <c r="F125" s="72" t="n"/>
      <c r="G125" s="95">
        <f>IF(OR($B125="",$D125="",$E125=""),"",IF(OR($C125="Target state",$C125="Exception"),"Out of scope",IF($D125="Low","No tranche",IF($E125="Low","Tranche 1",IF($E125="Medium","Tranche 2",IF($D125="High","Tranche 3","No tranche"))))))</f>
        <v/>
      </c>
      <c r="K125" s="102" t="n"/>
      <c r="L125" s="102" t="n"/>
      <c r="M125" s="102" t="n"/>
      <c r="O125">
        <f>IF(AND($B125&lt;&gt;"",$C125&lt;&gt;"Target state",$C125&lt;&gt;"Exception",$D125="High",$E125="Low"),$A125&amp;"  "&amp;$B125,"")</f>
        <v/>
      </c>
      <c r="P125">
        <f>IF(AND($B125&lt;&gt;"",$C125&lt;&gt;"Target state",$C125&lt;&gt;"Exception",$D125="High",$E125="Medium"),$A125&amp;"  "&amp;$B125,"")</f>
        <v/>
      </c>
      <c r="Q125">
        <f>IF(AND($B125&lt;&gt;"",$C125&lt;&gt;"Target state",$C125&lt;&gt;"Exception",$D125="High",$E125="High"),$A125&amp;"  "&amp;$B125,"")</f>
        <v/>
      </c>
      <c r="R125">
        <f>IF(AND($B125&lt;&gt;"",$C125&lt;&gt;"Target state",$C125&lt;&gt;"Exception",$D125="Medium",$E125="Low"),$A125&amp;"  "&amp;$B125,"")</f>
        <v/>
      </c>
      <c r="S125">
        <f>IF(AND($B125&lt;&gt;"",$C125&lt;&gt;"Target state",$C125&lt;&gt;"Exception",$D125="Medium",$E125="Medium"),$A125&amp;"  "&amp;$B125,"")</f>
        <v/>
      </c>
      <c r="T125">
        <f>IF(AND($B125&lt;&gt;"",$C125&lt;&gt;"Target state",$C125&lt;&gt;"Exception",$D125="Medium",$E125="High"),$A125&amp;"  "&amp;$B125,"")</f>
        <v/>
      </c>
      <c r="U125">
        <f>IF(AND($B125&lt;&gt;"",$C125&lt;&gt;"Target state",$C125&lt;&gt;"Exception",$D125="Low",$E125="Low"),$A125&amp;"  "&amp;$B125,"")</f>
        <v/>
      </c>
      <c r="V125">
        <f>IF(AND($B125&lt;&gt;"",$C125&lt;&gt;"Target state",$C125&lt;&gt;"Exception",$D125="Low",$E125="Medium"),$A125&amp;"  "&amp;$B125,"")</f>
        <v/>
      </c>
      <c r="W125">
        <f>IF(AND($B125&lt;&gt;"",$C125&lt;&gt;"Target state",$C125&lt;&gt;"Exception",$D125="Low",$E125="High"),$A125&amp;"  "&amp;$B125,"")</f>
        <v/>
      </c>
    </row>
    <row r="126" ht="20" customHeight="1" s="52">
      <c r="A126" s="93" t="inlineStr">
        <is>
          <t>⑧</t>
        </is>
      </c>
      <c r="B126" s="94" t="n"/>
      <c r="C126" s="73" t="n"/>
      <c r="D126" s="73" t="n"/>
      <c r="E126" s="73" t="n"/>
      <c r="F126" s="72" t="n"/>
      <c r="G126" s="95">
        <f>IF(OR($B126="",$D126="",$E126=""),"",IF(OR($C126="Target state",$C126="Exception"),"Out of scope",IF($D126="Low","No tranche",IF($E126="Low","Tranche 1",IF($E126="Medium","Tranche 2",IF($D126="High","Tranche 3","No tranche"))))))</f>
        <v/>
      </c>
      <c r="J126" s="97" t="inlineStr">
        <is>
          <t>Low</t>
        </is>
      </c>
      <c r="K126" s="103">
        <f>_xlfn.TEXTJOIN(CHAR(10),TRUE,U$119:U$128)</f>
        <v/>
      </c>
      <c r="L126" s="103">
        <f>_xlfn.TEXTJOIN(CHAR(10),TRUE,V$119:V$128)</f>
        <v/>
      </c>
      <c r="M126" s="103">
        <f>_xlfn.TEXTJOIN(CHAR(10),TRUE,W$119:W$128)</f>
        <v/>
      </c>
      <c r="O126">
        <f>IF(AND($B126&lt;&gt;"",$C126&lt;&gt;"Target state",$C126&lt;&gt;"Exception",$D126="High",$E126="Low"),$A126&amp;"  "&amp;$B126,"")</f>
        <v/>
      </c>
      <c r="P126">
        <f>IF(AND($B126&lt;&gt;"",$C126&lt;&gt;"Target state",$C126&lt;&gt;"Exception",$D126="High",$E126="Medium"),$A126&amp;"  "&amp;$B126,"")</f>
        <v/>
      </c>
      <c r="Q126">
        <f>IF(AND($B126&lt;&gt;"",$C126&lt;&gt;"Target state",$C126&lt;&gt;"Exception",$D126="High",$E126="High"),$A126&amp;"  "&amp;$B126,"")</f>
        <v/>
      </c>
      <c r="R126">
        <f>IF(AND($B126&lt;&gt;"",$C126&lt;&gt;"Target state",$C126&lt;&gt;"Exception",$D126="Medium",$E126="Low"),$A126&amp;"  "&amp;$B126,"")</f>
        <v/>
      </c>
      <c r="S126">
        <f>IF(AND($B126&lt;&gt;"",$C126&lt;&gt;"Target state",$C126&lt;&gt;"Exception",$D126="Medium",$E126="Medium"),$A126&amp;"  "&amp;$B126,"")</f>
        <v/>
      </c>
      <c r="T126">
        <f>IF(AND($B126&lt;&gt;"",$C126&lt;&gt;"Target state",$C126&lt;&gt;"Exception",$D126="Medium",$E126="High"),$A126&amp;"  "&amp;$B126,"")</f>
        <v/>
      </c>
      <c r="U126">
        <f>IF(AND($B126&lt;&gt;"",$C126&lt;&gt;"Target state",$C126&lt;&gt;"Exception",$D126="Low",$E126="Low"),$A126&amp;"  "&amp;$B126,"")</f>
        <v/>
      </c>
      <c r="V126">
        <f>IF(AND($B126&lt;&gt;"",$C126&lt;&gt;"Target state",$C126&lt;&gt;"Exception",$D126="Low",$E126="Medium"),$A126&amp;"  "&amp;$B126,"")</f>
        <v/>
      </c>
      <c r="W126">
        <f>IF(AND($B126&lt;&gt;"",$C126&lt;&gt;"Target state",$C126&lt;&gt;"Exception",$D126="Low",$E126="High"),$A126&amp;"  "&amp;$B126,"")</f>
        <v/>
      </c>
    </row>
    <row r="127" ht="20" customHeight="1" s="52">
      <c r="A127" s="93" t="inlineStr">
        <is>
          <t>⑨</t>
        </is>
      </c>
      <c r="B127" s="94" t="n"/>
      <c r="C127" s="73" t="n"/>
      <c r="D127" s="73" t="n"/>
      <c r="E127" s="73" t="n"/>
      <c r="F127" s="72" t="n"/>
      <c r="G127" s="95">
        <f>IF(OR($B127="",$D127="",$E127=""),"",IF(OR($C127="Target state",$C127="Exception"),"Out of scope",IF($D127="Low","No tranche",IF($E127="Low","Tranche 1",IF($E127="Medium","Tranche 2",IF($D127="High","Tranche 3","No tranche"))))))</f>
        <v/>
      </c>
      <c r="K127" s="101" t="n"/>
      <c r="L127" s="101" t="n"/>
      <c r="M127" s="101" t="n"/>
      <c r="O127">
        <f>IF(AND($B127&lt;&gt;"",$C127&lt;&gt;"Target state",$C127&lt;&gt;"Exception",$D127="High",$E127="Low"),$A127&amp;"  "&amp;$B127,"")</f>
        <v/>
      </c>
      <c r="P127">
        <f>IF(AND($B127&lt;&gt;"",$C127&lt;&gt;"Target state",$C127&lt;&gt;"Exception",$D127="High",$E127="Medium"),$A127&amp;"  "&amp;$B127,"")</f>
        <v/>
      </c>
      <c r="Q127">
        <f>IF(AND($B127&lt;&gt;"",$C127&lt;&gt;"Target state",$C127&lt;&gt;"Exception",$D127="High",$E127="High"),$A127&amp;"  "&amp;$B127,"")</f>
        <v/>
      </c>
      <c r="R127">
        <f>IF(AND($B127&lt;&gt;"",$C127&lt;&gt;"Target state",$C127&lt;&gt;"Exception",$D127="Medium",$E127="Low"),$A127&amp;"  "&amp;$B127,"")</f>
        <v/>
      </c>
      <c r="S127">
        <f>IF(AND($B127&lt;&gt;"",$C127&lt;&gt;"Target state",$C127&lt;&gt;"Exception",$D127="Medium",$E127="Medium"),$A127&amp;"  "&amp;$B127,"")</f>
        <v/>
      </c>
      <c r="T127">
        <f>IF(AND($B127&lt;&gt;"",$C127&lt;&gt;"Target state",$C127&lt;&gt;"Exception",$D127="Medium",$E127="High"),$A127&amp;"  "&amp;$B127,"")</f>
        <v/>
      </c>
      <c r="U127">
        <f>IF(AND($B127&lt;&gt;"",$C127&lt;&gt;"Target state",$C127&lt;&gt;"Exception",$D127="Low",$E127="Low"),$A127&amp;"  "&amp;$B127,"")</f>
        <v/>
      </c>
      <c r="V127">
        <f>IF(AND($B127&lt;&gt;"",$C127&lt;&gt;"Target state",$C127&lt;&gt;"Exception",$D127="Low",$E127="Medium"),$A127&amp;"  "&amp;$B127,"")</f>
        <v/>
      </c>
      <c r="W127">
        <f>IF(AND($B127&lt;&gt;"",$C127&lt;&gt;"Target state",$C127&lt;&gt;"Exception",$D127="Low",$E127="High"),$A127&amp;"  "&amp;$B127,"")</f>
        <v/>
      </c>
    </row>
    <row r="128" ht="20" customHeight="1" s="52">
      <c r="A128" s="93" t="inlineStr">
        <is>
          <t>⑩</t>
        </is>
      </c>
      <c r="B128" s="94" t="n"/>
      <c r="C128" s="73" t="n"/>
      <c r="D128" s="73" t="n"/>
      <c r="E128" s="73" t="n"/>
      <c r="F128" s="72" t="n"/>
      <c r="G128" s="95">
        <f>IF(OR($B128="",$D128="",$E128=""),"",IF(OR($C128="Target state",$C128="Exception"),"Out of scope",IF($D128="Low","No tranche",IF($E128="Low","Tranche 1",IF($E128="Medium","Tranche 2",IF($D128="High","Tranche 3","No tranche"))))))</f>
        <v/>
      </c>
      <c r="K128" s="102" t="n"/>
      <c r="L128" s="102" t="n"/>
      <c r="M128" s="102" t="n"/>
      <c r="O128">
        <f>IF(AND($B128&lt;&gt;"",$C128&lt;&gt;"Target state",$C128&lt;&gt;"Exception",$D128="High",$E128="Low"),$A128&amp;"  "&amp;$B128,"")</f>
        <v/>
      </c>
      <c r="P128">
        <f>IF(AND($B128&lt;&gt;"",$C128&lt;&gt;"Target state",$C128&lt;&gt;"Exception",$D128="High",$E128="Medium"),$A128&amp;"  "&amp;$B128,"")</f>
        <v/>
      </c>
      <c r="Q128">
        <f>IF(AND($B128&lt;&gt;"",$C128&lt;&gt;"Target state",$C128&lt;&gt;"Exception",$D128="High",$E128="High"),$A128&amp;"  "&amp;$B128,"")</f>
        <v/>
      </c>
      <c r="R128">
        <f>IF(AND($B128&lt;&gt;"",$C128&lt;&gt;"Target state",$C128&lt;&gt;"Exception",$D128="Medium",$E128="Low"),$A128&amp;"  "&amp;$B128,"")</f>
        <v/>
      </c>
      <c r="S128">
        <f>IF(AND($B128&lt;&gt;"",$C128&lt;&gt;"Target state",$C128&lt;&gt;"Exception",$D128="Medium",$E128="Medium"),$A128&amp;"  "&amp;$B128,"")</f>
        <v/>
      </c>
      <c r="T128">
        <f>IF(AND($B128&lt;&gt;"",$C128&lt;&gt;"Target state",$C128&lt;&gt;"Exception",$D128="Medium",$E128="High"),$A128&amp;"  "&amp;$B128,"")</f>
        <v/>
      </c>
      <c r="U128">
        <f>IF(AND($B128&lt;&gt;"",$C128&lt;&gt;"Target state",$C128&lt;&gt;"Exception",$D128="Low",$E128="Low"),$A128&amp;"  "&amp;$B128,"")</f>
        <v/>
      </c>
      <c r="V128">
        <f>IF(AND($B128&lt;&gt;"",$C128&lt;&gt;"Target state",$C128&lt;&gt;"Exception",$D128="Low",$E128="Medium"),$A128&amp;"  "&amp;$B128,"")</f>
        <v/>
      </c>
      <c r="W128">
        <f>IF(AND($B128&lt;&gt;"",$C128&lt;&gt;"Target state",$C128&lt;&gt;"Exception",$D128="Low",$E128="High"),$A128&amp;"  "&amp;$B128,"")</f>
        <v/>
      </c>
    </row>
    <row r="129">
      <c r="K129" s="97" t="inlineStr">
        <is>
          <t>Complexity</t>
        </is>
      </c>
    </row>
    <row r="133" ht="22" customHeight="1" s="52">
      <c r="A133" s="88" t="inlineStr">
        <is>
          <t>APMs/LPMs</t>
        </is>
      </c>
      <c r="G133" s="89">
        <f>HYPERLINK("#'Payment Processing'!A4","▲ tracker")</f>
        <v/>
      </c>
      <c r="K133" s="90" t="inlineStr">
        <is>
          <t>Assessment Outcome</t>
        </is>
      </c>
    </row>
    <row r="134" ht="18" customHeight="1" s="52">
      <c r="A134" s="91" t="inlineStr">
        <is>
          <t>#</t>
        </is>
      </c>
      <c r="B134" s="91" t="inlineStr">
        <is>
          <t>Platform</t>
        </is>
      </c>
      <c r="C134" s="91" t="inlineStr">
        <is>
          <t>State</t>
        </is>
      </c>
      <c r="D134" s="91" t="inlineStr">
        <is>
          <t>Imperative to exit</t>
        </is>
      </c>
      <c r="E134" s="91" t="inlineStr">
        <is>
          <t>Exit complexity</t>
        </is>
      </c>
      <c r="F134" s="91" t="inlineStr">
        <is>
          <t>Supporting facts</t>
        </is>
      </c>
      <c r="G134" s="91" t="inlineStr">
        <is>
          <t>Tranche (auto)</t>
        </is>
      </c>
      <c r="K134" s="92" t="inlineStr">
        <is>
          <t>Low</t>
        </is>
      </c>
      <c r="L134" s="92" t="inlineStr">
        <is>
          <t>Medium</t>
        </is>
      </c>
      <c r="M134" s="92" t="inlineStr">
        <is>
          <t>High</t>
        </is>
      </c>
    </row>
    <row r="135" ht="30" customHeight="1" s="52">
      <c r="A135" s="93" t="inlineStr">
        <is>
          <t>①</t>
        </is>
      </c>
      <c r="B135" s="94" t="inlineStr">
        <is>
          <t>DelayPay</t>
        </is>
      </c>
      <c r="C135" s="73" t="inlineStr">
        <is>
          <t>Non-target state</t>
        </is>
      </c>
      <c r="D135" s="73" t="n"/>
      <c r="E135" s="73" t="n"/>
      <c r="F135" s="72" t="inlineStr">
        <is>
          <t>Third-party BNPL and consumer financing service on the Edge gateway with negligible current usage; repository flags Further Input — confirm with SPOC</t>
        </is>
      </c>
      <c r="G135" s="95">
        <f>IF(OR($B135="",$D135="",$E135=""),"",IF(OR($C135="Target state",$C135="Exception"),"Out of scope",IF($D135="Low","No tranche",IF($E135="Low","Tranche 1",IF($E135="Medium","Tranche 2",IF($D135="High","Tranche 3","No tranche"))))))</f>
        <v/>
      </c>
      <c r="I135" s="96" t="inlineStr">
        <is>
          <t>Benefits</t>
        </is>
      </c>
      <c r="J135" s="97" t="inlineStr">
        <is>
          <t>High</t>
        </is>
      </c>
      <c r="K135" s="98">
        <f>"Tranche 1"&amp;CHAR(10)&amp;_xlfn.TEXTJOIN(CHAR(10),TRUE,O$135:O$144)</f>
        <v/>
      </c>
      <c r="L135" s="99">
        <f>"Tranche 2"&amp;CHAR(10)&amp;_xlfn.TEXTJOIN(CHAR(10),TRUE,P$135:P$144)</f>
        <v/>
      </c>
      <c r="M135" s="100">
        <f>"Tranche 3"&amp;CHAR(10)&amp;_xlfn.TEXTJOIN(CHAR(10),TRUE,Q$135:Q$144)</f>
        <v/>
      </c>
      <c r="O135">
        <f>IF(AND($B135&lt;&gt;"",$C135&lt;&gt;"Target state",$C135&lt;&gt;"Exception",$D135="High",$E135="Low"),$A135&amp;"  "&amp;$B135,"")</f>
        <v/>
      </c>
      <c r="P135">
        <f>IF(AND($B135&lt;&gt;"",$C135&lt;&gt;"Target state",$C135&lt;&gt;"Exception",$D135="High",$E135="Medium"),$A135&amp;"  "&amp;$B135,"")</f>
        <v/>
      </c>
      <c r="Q135">
        <f>IF(AND($B135&lt;&gt;"",$C135&lt;&gt;"Target state",$C135&lt;&gt;"Exception",$D135="High",$E135="High"),$A135&amp;"  "&amp;$B135,"")</f>
        <v/>
      </c>
      <c r="R135">
        <f>IF(AND($B135&lt;&gt;"",$C135&lt;&gt;"Target state",$C135&lt;&gt;"Exception",$D135="Medium",$E135="Low"),$A135&amp;"  "&amp;$B135,"")</f>
        <v/>
      </c>
      <c r="S135">
        <f>IF(AND($B135&lt;&gt;"",$C135&lt;&gt;"Target state",$C135&lt;&gt;"Exception",$D135="Medium",$E135="Medium"),$A135&amp;"  "&amp;$B135,"")</f>
        <v/>
      </c>
      <c r="T135">
        <f>IF(AND($B135&lt;&gt;"",$C135&lt;&gt;"Target state",$C135&lt;&gt;"Exception",$D135="Medium",$E135="High"),$A135&amp;"  "&amp;$B135,"")</f>
        <v/>
      </c>
      <c r="U135">
        <f>IF(AND($B135&lt;&gt;"",$C135&lt;&gt;"Target state",$C135&lt;&gt;"Exception",$D135="Low",$E135="Low"),$A135&amp;"  "&amp;$B135,"")</f>
        <v/>
      </c>
      <c r="V135">
        <f>IF(AND($B135&lt;&gt;"",$C135&lt;&gt;"Target state",$C135&lt;&gt;"Exception",$D135="Low",$E135="Medium"),$A135&amp;"  "&amp;$B135,"")</f>
        <v/>
      </c>
      <c r="W135">
        <f>IF(AND($B135&lt;&gt;"",$C135&lt;&gt;"Target state",$C135&lt;&gt;"Exception",$D135="Low",$E135="High"),$A135&amp;"  "&amp;$B135,"")</f>
        <v/>
      </c>
    </row>
    <row r="136" ht="30" customHeight="1" s="52">
      <c r="A136" s="93" t="inlineStr">
        <is>
          <t>②</t>
        </is>
      </c>
      <c r="B136" s="94" t="inlineStr">
        <is>
          <t>MTS</t>
        </is>
      </c>
      <c r="C136" s="73" t="inlineStr">
        <is>
          <t>Non-target state</t>
        </is>
      </c>
      <c r="D136" s="73" t="n"/>
      <c r="E136" s="73" t="n"/>
      <c r="F136" s="72" t="inlineStr">
        <is>
          <t>Non-strategic money transfer application down to a single customer with the contract already ended; confirmed for decommission</t>
        </is>
      </c>
      <c r="G136" s="95">
        <f>IF(OR($B136="",$D136="",$E136=""),"",IF(OR($C136="Target state",$C136="Exception"),"Out of scope",IF($D136="Low","No tranche",IF($E136="Low","Tranche 1",IF($E136="Medium","Tranche 2",IF($D136="High","Tranche 3","No tranche"))))))</f>
        <v/>
      </c>
      <c r="K136" s="101" t="n"/>
      <c r="L136" s="101" t="n"/>
      <c r="M136" s="101" t="n"/>
      <c r="O136">
        <f>IF(AND($B136&lt;&gt;"",$C136&lt;&gt;"Target state",$C136&lt;&gt;"Exception",$D136="High",$E136="Low"),$A136&amp;"  "&amp;$B136,"")</f>
        <v/>
      </c>
      <c r="P136">
        <f>IF(AND($B136&lt;&gt;"",$C136&lt;&gt;"Target state",$C136&lt;&gt;"Exception",$D136="High",$E136="Medium"),$A136&amp;"  "&amp;$B136,"")</f>
        <v/>
      </c>
      <c r="Q136">
        <f>IF(AND($B136&lt;&gt;"",$C136&lt;&gt;"Target state",$C136&lt;&gt;"Exception",$D136="High",$E136="High"),$A136&amp;"  "&amp;$B136,"")</f>
        <v/>
      </c>
      <c r="R136">
        <f>IF(AND($B136&lt;&gt;"",$C136&lt;&gt;"Target state",$C136&lt;&gt;"Exception",$D136="Medium",$E136="Low"),$A136&amp;"  "&amp;$B136,"")</f>
        <v/>
      </c>
      <c r="S136">
        <f>IF(AND($B136&lt;&gt;"",$C136&lt;&gt;"Target state",$C136&lt;&gt;"Exception",$D136="Medium",$E136="Medium"),$A136&amp;"  "&amp;$B136,"")</f>
        <v/>
      </c>
      <c r="T136">
        <f>IF(AND($B136&lt;&gt;"",$C136&lt;&gt;"Target state",$C136&lt;&gt;"Exception",$D136="Medium",$E136="High"),$A136&amp;"  "&amp;$B136,"")</f>
        <v/>
      </c>
      <c r="U136">
        <f>IF(AND($B136&lt;&gt;"",$C136&lt;&gt;"Target state",$C136&lt;&gt;"Exception",$D136="Low",$E136="Low"),$A136&amp;"  "&amp;$B136,"")</f>
        <v/>
      </c>
      <c r="V136">
        <f>IF(AND($B136&lt;&gt;"",$C136&lt;&gt;"Target state",$C136&lt;&gt;"Exception",$D136="Low",$E136="Medium"),$A136&amp;"  "&amp;$B136,"")</f>
        <v/>
      </c>
      <c r="W136">
        <f>IF(AND($B136&lt;&gt;"",$C136&lt;&gt;"Target state",$C136&lt;&gt;"Exception",$D136="Low",$E136="High"),$A136&amp;"  "&amp;$B136,"")</f>
        <v/>
      </c>
    </row>
    <row r="137" ht="20" customHeight="1" s="52">
      <c r="A137" s="93" t="inlineStr">
        <is>
          <t>③</t>
        </is>
      </c>
      <c r="B137" s="94" t="n"/>
      <c r="C137" s="73" t="n"/>
      <c r="D137" s="73" t="n"/>
      <c r="E137" s="73" t="n"/>
      <c r="F137" s="72" t="n"/>
      <c r="G137" s="95">
        <f>IF(OR($B137="",$D137="",$E137=""),"",IF(OR($C137="Target state",$C137="Exception"),"Out of scope",IF($D137="Low","No tranche",IF($E137="Low","Tranche 1",IF($E137="Medium","Tranche 2",IF($D137="High","Tranche 3","No tranche"))))))</f>
        <v/>
      </c>
      <c r="K137" s="101" t="n"/>
      <c r="L137" s="101" t="n"/>
      <c r="M137" s="101" t="n"/>
      <c r="O137">
        <f>IF(AND($B137&lt;&gt;"",$C137&lt;&gt;"Target state",$C137&lt;&gt;"Exception",$D137="High",$E137="Low"),$A137&amp;"  "&amp;$B137,"")</f>
        <v/>
      </c>
      <c r="P137">
        <f>IF(AND($B137&lt;&gt;"",$C137&lt;&gt;"Target state",$C137&lt;&gt;"Exception",$D137="High",$E137="Medium"),$A137&amp;"  "&amp;$B137,"")</f>
        <v/>
      </c>
      <c r="Q137">
        <f>IF(AND($B137&lt;&gt;"",$C137&lt;&gt;"Target state",$C137&lt;&gt;"Exception",$D137="High",$E137="High"),$A137&amp;"  "&amp;$B137,"")</f>
        <v/>
      </c>
      <c r="R137">
        <f>IF(AND($B137&lt;&gt;"",$C137&lt;&gt;"Target state",$C137&lt;&gt;"Exception",$D137="Medium",$E137="Low"),$A137&amp;"  "&amp;$B137,"")</f>
        <v/>
      </c>
      <c r="S137">
        <f>IF(AND($B137&lt;&gt;"",$C137&lt;&gt;"Target state",$C137&lt;&gt;"Exception",$D137="Medium",$E137="Medium"),$A137&amp;"  "&amp;$B137,"")</f>
        <v/>
      </c>
      <c r="T137">
        <f>IF(AND($B137&lt;&gt;"",$C137&lt;&gt;"Target state",$C137&lt;&gt;"Exception",$D137="Medium",$E137="High"),$A137&amp;"  "&amp;$B137,"")</f>
        <v/>
      </c>
      <c r="U137">
        <f>IF(AND($B137&lt;&gt;"",$C137&lt;&gt;"Target state",$C137&lt;&gt;"Exception",$D137="Low",$E137="Low"),$A137&amp;"  "&amp;$B137,"")</f>
        <v/>
      </c>
      <c r="V137">
        <f>IF(AND($B137&lt;&gt;"",$C137&lt;&gt;"Target state",$C137&lt;&gt;"Exception",$D137="Low",$E137="Medium"),$A137&amp;"  "&amp;$B137,"")</f>
        <v/>
      </c>
      <c r="W137">
        <f>IF(AND($B137&lt;&gt;"",$C137&lt;&gt;"Target state",$C137&lt;&gt;"Exception",$D137="Low",$E137="High"),$A137&amp;"  "&amp;$B137,"")</f>
        <v/>
      </c>
    </row>
    <row r="138" ht="20" customHeight="1" s="52">
      <c r="A138" s="93" t="inlineStr">
        <is>
          <t>④</t>
        </is>
      </c>
      <c r="B138" s="94" t="n"/>
      <c r="C138" s="73" t="n"/>
      <c r="D138" s="73" t="n"/>
      <c r="E138" s="73" t="n"/>
      <c r="F138" s="72" t="n"/>
      <c r="G138" s="95">
        <f>IF(OR($B138="",$D138="",$E138=""),"",IF(OR($C138="Target state",$C138="Exception"),"Out of scope",IF($D138="Low","No tranche",IF($E138="Low","Tranche 1",IF($E138="Medium","Tranche 2",IF($D138="High","Tranche 3","No tranche"))))))</f>
        <v/>
      </c>
      <c r="K138" s="102" t="n"/>
      <c r="L138" s="102" t="n"/>
      <c r="M138" s="102" t="n"/>
      <c r="O138">
        <f>IF(AND($B138&lt;&gt;"",$C138&lt;&gt;"Target state",$C138&lt;&gt;"Exception",$D138="High",$E138="Low"),$A138&amp;"  "&amp;$B138,"")</f>
        <v/>
      </c>
      <c r="P138">
        <f>IF(AND($B138&lt;&gt;"",$C138&lt;&gt;"Target state",$C138&lt;&gt;"Exception",$D138="High",$E138="Medium"),$A138&amp;"  "&amp;$B138,"")</f>
        <v/>
      </c>
      <c r="Q138">
        <f>IF(AND($B138&lt;&gt;"",$C138&lt;&gt;"Target state",$C138&lt;&gt;"Exception",$D138="High",$E138="High"),$A138&amp;"  "&amp;$B138,"")</f>
        <v/>
      </c>
      <c r="R138">
        <f>IF(AND($B138&lt;&gt;"",$C138&lt;&gt;"Target state",$C138&lt;&gt;"Exception",$D138="Medium",$E138="Low"),$A138&amp;"  "&amp;$B138,"")</f>
        <v/>
      </c>
      <c r="S138">
        <f>IF(AND($B138&lt;&gt;"",$C138&lt;&gt;"Target state",$C138&lt;&gt;"Exception",$D138="Medium",$E138="Medium"),$A138&amp;"  "&amp;$B138,"")</f>
        <v/>
      </c>
      <c r="T138">
        <f>IF(AND($B138&lt;&gt;"",$C138&lt;&gt;"Target state",$C138&lt;&gt;"Exception",$D138="Medium",$E138="High"),$A138&amp;"  "&amp;$B138,"")</f>
        <v/>
      </c>
      <c r="U138">
        <f>IF(AND($B138&lt;&gt;"",$C138&lt;&gt;"Target state",$C138&lt;&gt;"Exception",$D138="Low",$E138="Low"),$A138&amp;"  "&amp;$B138,"")</f>
        <v/>
      </c>
      <c r="V138">
        <f>IF(AND($B138&lt;&gt;"",$C138&lt;&gt;"Target state",$C138&lt;&gt;"Exception",$D138="Low",$E138="Medium"),$A138&amp;"  "&amp;$B138,"")</f>
        <v/>
      </c>
      <c r="W138">
        <f>IF(AND($B138&lt;&gt;"",$C138&lt;&gt;"Target state",$C138&lt;&gt;"Exception",$D138="Low",$E138="High"),$A138&amp;"  "&amp;$B138,"")</f>
        <v/>
      </c>
    </row>
    <row r="139" ht="20" customHeight="1" s="52">
      <c r="A139" s="93" t="inlineStr">
        <is>
          <t>⑤</t>
        </is>
      </c>
      <c r="B139" s="94" t="n"/>
      <c r="C139" s="73" t="n"/>
      <c r="D139" s="73" t="n"/>
      <c r="E139" s="73" t="n"/>
      <c r="F139" s="72" t="n"/>
      <c r="G139" s="95">
        <f>IF(OR($B139="",$D139="",$E139=""),"",IF(OR($C139="Target state",$C139="Exception"),"Out of scope",IF($D139="Low","No tranche",IF($E139="Low","Tranche 1",IF($E139="Medium","Tranche 2",IF($D139="High","Tranche 3","No tranche"))))))</f>
        <v/>
      </c>
      <c r="J139" s="97" t="inlineStr">
        <is>
          <t>Medium</t>
        </is>
      </c>
      <c r="K139" s="98">
        <f>"Tranche 1"&amp;CHAR(10)&amp;_xlfn.TEXTJOIN(CHAR(10),TRUE,R$135:R$144)</f>
        <v/>
      </c>
      <c r="L139" s="99">
        <f>"Tranche 2"&amp;CHAR(10)&amp;_xlfn.TEXTJOIN(CHAR(10),TRUE,S$135:S$144)</f>
        <v/>
      </c>
      <c r="M139" s="103">
        <f>_xlfn.TEXTJOIN(CHAR(10),TRUE,T$135:T$144)</f>
        <v/>
      </c>
      <c r="O139">
        <f>IF(AND($B139&lt;&gt;"",$C139&lt;&gt;"Target state",$C139&lt;&gt;"Exception",$D139="High",$E139="Low"),$A139&amp;"  "&amp;$B139,"")</f>
        <v/>
      </c>
      <c r="P139">
        <f>IF(AND($B139&lt;&gt;"",$C139&lt;&gt;"Target state",$C139&lt;&gt;"Exception",$D139="High",$E139="Medium"),$A139&amp;"  "&amp;$B139,"")</f>
        <v/>
      </c>
      <c r="Q139">
        <f>IF(AND($B139&lt;&gt;"",$C139&lt;&gt;"Target state",$C139&lt;&gt;"Exception",$D139="High",$E139="High"),$A139&amp;"  "&amp;$B139,"")</f>
        <v/>
      </c>
      <c r="R139">
        <f>IF(AND($B139&lt;&gt;"",$C139&lt;&gt;"Target state",$C139&lt;&gt;"Exception",$D139="Medium",$E139="Low"),$A139&amp;"  "&amp;$B139,"")</f>
        <v/>
      </c>
      <c r="S139">
        <f>IF(AND($B139&lt;&gt;"",$C139&lt;&gt;"Target state",$C139&lt;&gt;"Exception",$D139="Medium",$E139="Medium"),$A139&amp;"  "&amp;$B139,"")</f>
        <v/>
      </c>
      <c r="T139">
        <f>IF(AND($B139&lt;&gt;"",$C139&lt;&gt;"Target state",$C139&lt;&gt;"Exception",$D139="Medium",$E139="High"),$A139&amp;"  "&amp;$B139,"")</f>
        <v/>
      </c>
      <c r="U139">
        <f>IF(AND($B139&lt;&gt;"",$C139&lt;&gt;"Target state",$C139&lt;&gt;"Exception",$D139="Low",$E139="Low"),$A139&amp;"  "&amp;$B139,"")</f>
        <v/>
      </c>
      <c r="V139">
        <f>IF(AND($B139&lt;&gt;"",$C139&lt;&gt;"Target state",$C139&lt;&gt;"Exception",$D139="Low",$E139="Medium"),$A139&amp;"  "&amp;$B139,"")</f>
        <v/>
      </c>
      <c r="W139">
        <f>IF(AND($B139&lt;&gt;"",$C139&lt;&gt;"Target state",$C139&lt;&gt;"Exception",$D139="Low",$E139="High"),$A139&amp;"  "&amp;$B139,"")</f>
        <v/>
      </c>
    </row>
    <row r="140" ht="20" customHeight="1" s="52">
      <c r="A140" s="93" t="inlineStr">
        <is>
          <t>⑥</t>
        </is>
      </c>
      <c r="B140" s="94" t="n"/>
      <c r="C140" s="73" t="n"/>
      <c r="D140" s="73" t="n"/>
      <c r="E140" s="73" t="n"/>
      <c r="F140" s="72" t="n"/>
      <c r="G140" s="95">
        <f>IF(OR($B140="",$D140="",$E140=""),"",IF(OR($C140="Target state",$C140="Exception"),"Out of scope",IF($D140="Low","No tranche",IF($E140="Low","Tranche 1",IF($E140="Medium","Tranche 2",IF($D140="High","Tranche 3","No tranche"))))))</f>
        <v/>
      </c>
      <c r="K140" s="101" t="n"/>
      <c r="L140" s="101" t="n"/>
      <c r="M140" s="101" t="n"/>
      <c r="O140">
        <f>IF(AND($B140&lt;&gt;"",$C140&lt;&gt;"Target state",$C140&lt;&gt;"Exception",$D140="High",$E140="Low"),$A140&amp;"  "&amp;$B140,"")</f>
        <v/>
      </c>
      <c r="P140">
        <f>IF(AND($B140&lt;&gt;"",$C140&lt;&gt;"Target state",$C140&lt;&gt;"Exception",$D140="High",$E140="Medium"),$A140&amp;"  "&amp;$B140,"")</f>
        <v/>
      </c>
      <c r="Q140">
        <f>IF(AND($B140&lt;&gt;"",$C140&lt;&gt;"Target state",$C140&lt;&gt;"Exception",$D140="High",$E140="High"),$A140&amp;"  "&amp;$B140,"")</f>
        <v/>
      </c>
      <c r="R140">
        <f>IF(AND($B140&lt;&gt;"",$C140&lt;&gt;"Target state",$C140&lt;&gt;"Exception",$D140="Medium",$E140="Low"),$A140&amp;"  "&amp;$B140,"")</f>
        <v/>
      </c>
      <c r="S140">
        <f>IF(AND($B140&lt;&gt;"",$C140&lt;&gt;"Target state",$C140&lt;&gt;"Exception",$D140="Medium",$E140="Medium"),$A140&amp;"  "&amp;$B140,"")</f>
        <v/>
      </c>
      <c r="T140">
        <f>IF(AND($B140&lt;&gt;"",$C140&lt;&gt;"Target state",$C140&lt;&gt;"Exception",$D140="Medium",$E140="High"),$A140&amp;"  "&amp;$B140,"")</f>
        <v/>
      </c>
      <c r="U140">
        <f>IF(AND($B140&lt;&gt;"",$C140&lt;&gt;"Target state",$C140&lt;&gt;"Exception",$D140="Low",$E140="Low"),$A140&amp;"  "&amp;$B140,"")</f>
        <v/>
      </c>
      <c r="V140">
        <f>IF(AND($B140&lt;&gt;"",$C140&lt;&gt;"Target state",$C140&lt;&gt;"Exception",$D140="Low",$E140="Medium"),$A140&amp;"  "&amp;$B140,"")</f>
        <v/>
      </c>
      <c r="W140">
        <f>IF(AND($B140&lt;&gt;"",$C140&lt;&gt;"Target state",$C140&lt;&gt;"Exception",$D140="Low",$E140="High"),$A140&amp;"  "&amp;$B140,"")</f>
        <v/>
      </c>
    </row>
    <row r="141" ht="20" customHeight="1" s="52">
      <c r="A141" s="93" t="inlineStr">
        <is>
          <t>⑦</t>
        </is>
      </c>
      <c r="B141" s="94" t="n"/>
      <c r="C141" s="73" t="n"/>
      <c r="D141" s="73" t="n"/>
      <c r="E141" s="73" t="n"/>
      <c r="F141" s="72" t="n"/>
      <c r="G141" s="95">
        <f>IF(OR($B141="",$D141="",$E141=""),"",IF(OR($C141="Target state",$C141="Exception"),"Out of scope",IF($D141="Low","No tranche",IF($E141="Low","Tranche 1",IF($E141="Medium","Tranche 2",IF($D141="High","Tranche 3","No tranche"))))))</f>
        <v/>
      </c>
      <c r="K141" s="102" t="n"/>
      <c r="L141" s="102" t="n"/>
      <c r="M141" s="102" t="n"/>
      <c r="O141">
        <f>IF(AND($B141&lt;&gt;"",$C141&lt;&gt;"Target state",$C141&lt;&gt;"Exception",$D141="High",$E141="Low"),$A141&amp;"  "&amp;$B141,"")</f>
        <v/>
      </c>
      <c r="P141">
        <f>IF(AND($B141&lt;&gt;"",$C141&lt;&gt;"Target state",$C141&lt;&gt;"Exception",$D141="High",$E141="Medium"),$A141&amp;"  "&amp;$B141,"")</f>
        <v/>
      </c>
      <c r="Q141">
        <f>IF(AND($B141&lt;&gt;"",$C141&lt;&gt;"Target state",$C141&lt;&gt;"Exception",$D141="High",$E141="High"),$A141&amp;"  "&amp;$B141,"")</f>
        <v/>
      </c>
      <c r="R141">
        <f>IF(AND($B141&lt;&gt;"",$C141&lt;&gt;"Target state",$C141&lt;&gt;"Exception",$D141="Medium",$E141="Low"),$A141&amp;"  "&amp;$B141,"")</f>
        <v/>
      </c>
      <c r="S141">
        <f>IF(AND($B141&lt;&gt;"",$C141&lt;&gt;"Target state",$C141&lt;&gt;"Exception",$D141="Medium",$E141="Medium"),$A141&amp;"  "&amp;$B141,"")</f>
        <v/>
      </c>
      <c r="T141">
        <f>IF(AND($B141&lt;&gt;"",$C141&lt;&gt;"Target state",$C141&lt;&gt;"Exception",$D141="Medium",$E141="High"),$A141&amp;"  "&amp;$B141,"")</f>
        <v/>
      </c>
      <c r="U141">
        <f>IF(AND($B141&lt;&gt;"",$C141&lt;&gt;"Target state",$C141&lt;&gt;"Exception",$D141="Low",$E141="Low"),$A141&amp;"  "&amp;$B141,"")</f>
        <v/>
      </c>
      <c r="V141">
        <f>IF(AND($B141&lt;&gt;"",$C141&lt;&gt;"Target state",$C141&lt;&gt;"Exception",$D141="Low",$E141="Medium"),$A141&amp;"  "&amp;$B141,"")</f>
        <v/>
      </c>
      <c r="W141">
        <f>IF(AND($B141&lt;&gt;"",$C141&lt;&gt;"Target state",$C141&lt;&gt;"Exception",$D141="Low",$E141="High"),$A141&amp;"  "&amp;$B141,"")</f>
        <v/>
      </c>
    </row>
    <row r="142" ht="20" customHeight="1" s="52">
      <c r="A142" s="93" t="inlineStr">
        <is>
          <t>⑧</t>
        </is>
      </c>
      <c r="B142" s="94" t="n"/>
      <c r="C142" s="73" t="n"/>
      <c r="D142" s="73" t="n"/>
      <c r="E142" s="73" t="n"/>
      <c r="F142" s="72" t="n"/>
      <c r="G142" s="95">
        <f>IF(OR($B142="",$D142="",$E142=""),"",IF(OR($C142="Target state",$C142="Exception"),"Out of scope",IF($D142="Low","No tranche",IF($E142="Low","Tranche 1",IF($E142="Medium","Tranche 2",IF($D142="High","Tranche 3","No tranche"))))))</f>
        <v/>
      </c>
      <c r="J142" s="97" t="inlineStr">
        <is>
          <t>Low</t>
        </is>
      </c>
      <c r="K142" s="103">
        <f>_xlfn.TEXTJOIN(CHAR(10),TRUE,U$135:U$144)</f>
        <v/>
      </c>
      <c r="L142" s="103">
        <f>_xlfn.TEXTJOIN(CHAR(10),TRUE,V$135:V$144)</f>
        <v/>
      </c>
      <c r="M142" s="103">
        <f>_xlfn.TEXTJOIN(CHAR(10),TRUE,W$135:W$144)</f>
        <v/>
      </c>
      <c r="O142">
        <f>IF(AND($B142&lt;&gt;"",$C142&lt;&gt;"Target state",$C142&lt;&gt;"Exception",$D142="High",$E142="Low"),$A142&amp;"  "&amp;$B142,"")</f>
        <v/>
      </c>
      <c r="P142">
        <f>IF(AND($B142&lt;&gt;"",$C142&lt;&gt;"Target state",$C142&lt;&gt;"Exception",$D142="High",$E142="Medium"),$A142&amp;"  "&amp;$B142,"")</f>
        <v/>
      </c>
      <c r="Q142">
        <f>IF(AND($B142&lt;&gt;"",$C142&lt;&gt;"Target state",$C142&lt;&gt;"Exception",$D142="High",$E142="High"),$A142&amp;"  "&amp;$B142,"")</f>
        <v/>
      </c>
      <c r="R142">
        <f>IF(AND($B142&lt;&gt;"",$C142&lt;&gt;"Target state",$C142&lt;&gt;"Exception",$D142="Medium",$E142="Low"),$A142&amp;"  "&amp;$B142,"")</f>
        <v/>
      </c>
      <c r="S142">
        <f>IF(AND($B142&lt;&gt;"",$C142&lt;&gt;"Target state",$C142&lt;&gt;"Exception",$D142="Medium",$E142="Medium"),$A142&amp;"  "&amp;$B142,"")</f>
        <v/>
      </c>
      <c r="T142">
        <f>IF(AND($B142&lt;&gt;"",$C142&lt;&gt;"Target state",$C142&lt;&gt;"Exception",$D142="Medium",$E142="High"),$A142&amp;"  "&amp;$B142,"")</f>
        <v/>
      </c>
      <c r="U142">
        <f>IF(AND($B142&lt;&gt;"",$C142&lt;&gt;"Target state",$C142&lt;&gt;"Exception",$D142="Low",$E142="Low"),$A142&amp;"  "&amp;$B142,"")</f>
        <v/>
      </c>
      <c r="V142">
        <f>IF(AND($B142&lt;&gt;"",$C142&lt;&gt;"Target state",$C142&lt;&gt;"Exception",$D142="Low",$E142="Medium"),$A142&amp;"  "&amp;$B142,"")</f>
        <v/>
      </c>
      <c r="W142">
        <f>IF(AND($B142&lt;&gt;"",$C142&lt;&gt;"Target state",$C142&lt;&gt;"Exception",$D142="Low",$E142="High"),$A142&amp;"  "&amp;$B142,"")</f>
        <v/>
      </c>
    </row>
    <row r="143" ht="20" customHeight="1" s="52">
      <c r="A143" s="93" t="inlineStr">
        <is>
          <t>⑨</t>
        </is>
      </c>
      <c r="B143" s="94" t="n"/>
      <c r="C143" s="73" t="n"/>
      <c r="D143" s="73" t="n"/>
      <c r="E143" s="73" t="n"/>
      <c r="F143" s="72" t="n"/>
      <c r="G143" s="95">
        <f>IF(OR($B143="",$D143="",$E143=""),"",IF(OR($C143="Target state",$C143="Exception"),"Out of scope",IF($D143="Low","No tranche",IF($E143="Low","Tranche 1",IF($E143="Medium","Tranche 2",IF($D143="High","Tranche 3","No tranche"))))))</f>
        <v/>
      </c>
      <c r="K143" s="101" t="n"/>
      <c r="L143" s="101" t="n"/>
      <c r="M143" s="101" t="n"/>
      <c r="O143">
        <f>IF(AND($B143&lt;&gt;"",$C143&lt;&gt;"Target state",$C143&lt;&gt;"Exception",$D143="High",$E143="Low"),$A143&amp;"  "&amp;$B143,"")</f>
        <v/>
      </c>
      <c r="P143">
        <f>IF(AND($B143&lt;&gt;"",$C143&lt;&gt;"Target state",$C143&lt;&gt;"Exception",$D143="High",$E143="Medium"),$A143&amp;"  "&amp;$B143,"")</f>
        <v/>
      </c>
      <c r="Q143">
        <f>IF(AND($B143&lt;&gt;"",$C143&lt;&gt;"Target state",$C143&lt;&gt;"Exception",$D143="High",$E143="High"),$A143&amp;"  "&amp;$B143,"")</f>
        <v/>
      </c>
      <c r="R143">
        <f>IF(AND($B143&lt;&gt;"",$C143&lt;&gt;"Target state",$C143&lt;&gt;"Exception",$D143="Medium",$E143="Low"),$A143&amp;"  "&amp;$B143,"")</f>
        <v/>
      </c>
      <c r="S143">
        <f>IF(AND($B143&lt;&gt;"",$C143&lt;&gt;"Target state",$C143&lt;&gt;"Exception",$D143="Medium",$E143="Medium"),$A143&amp;"  "&amp;$B143,"")</f>
        <v/>
      </c>
      <c r="T143">
        <f>IF(AND($B143&lt;&gt;"",$C143&lt;&gt;"Target state",$C143&lt;&gt;"Exception",$D143="Medium",$E143="High"),$A143&amp;"  "&amp;$B143,"")</f>
        <v/>
      </c>
      <c r="U143">
        <f>IF(AND($B143&lt;&gt;"",$C143&lt;&gt;"Target state",$C143&lt;&gt;"Exception",$D143="Low",$E143="Low"),$A143&amp;"  "&amp;$B143,"")</f>
        <v/>
      </c>
      <c r="V143">
        <f>IF(AND($B143&lt;&gt;"",$C143&lt;&gt;"Target state",$C143&lt;&gt;"Exception",$D143="Low",$E143="Medium"),$A143&amp;"  "&amp;$B143,"")</f>
        <v/>
      </c>
      <c r="W143">
        <f>IF(AND($B143&lt;&gt;"",$C143&lt;&gt;"Target state",$C143&lt;&gt;"Exception",$D143="Low",$E143="High"),$A143&amp;"  "&amp;$B143,"")</f>
        <v/>
      </c>
    </row>
    <row r="144" ht="20" customHeight="1" s="52">
      <c r="A144" s="93" t="inlineStr">
        <is>
          <t>⑩</t>
        </is>
      </c>
      <c r="B144" s="94" t="n"/>
      <c r="C144" s="73" t="n"/>
      <c r="D144" s="73" t="n"/>
      <c r="E144" s="73" t="n"/>
      <c r="F144" s="72" t="n"/>
      <c r="G144" s="95">
        <f>IF(OR($B144="",$D144="",$E144=""),"",IF(OR($C144="Target state",$C144="Exception"),"Out of scope",IF($D144="Low","No tranche",IF($E144="Low","Tranche 1",IF($E144="Medium","Tranche 2",IF($D144="High","Tranche 3","No tranche"))))))</f>
        <v/>
      </c>
      <c r="K144" s="102" t="n"/>
      <c r="L144" s="102" t="n"/>
      <c r="M144" s="102" t="n"/>
      <c r="O144">
        <f>IF(AND($B144&lt;&gt;"",$C144&lt;&gt;"Target state",$C144&lt;&gt;"Exception",$D144="High",$E144="Low"),$A144&amp;"  "&amp;$B144,"")</f>
        <v/>
      </c>
      <c r="P144">
        <f>IF(AND($B144&lt;&gt;"",$C144&lt;&gt;"Target state",$C144&lt;&gt;"Exception",$D144="High",$E144="Medium"),$A144&amp;"  "&amp;$B144,"")</f>
        <v/>
      </c>
      <c r="Q144">
        <f>IF(AND($B144&lt;&gt;"",$C144&lt;&gt;"Target state",$C144&lt;&gt;"Exception",$D144="High",$E144="High"),$A144&amp;"  "&amp;$B144,"")</f>
        <v/>
      </c>
      <c r="R144">
        <f>IF(AND($B144&lt;&gt;"",$C144&lt;&gt;"Target state",$C144&lt;&gt;"Exception",$D144="Medium",$E144="Low"),$A144&amp;"  "&amp;$B144,"")</f>
        <v/>
      </c>
      <c r="S144">
        <f>IF(AND($B144&lt;&gt;"",$C144&lt;&gt;"Target state",$C144&lt;&gt;"Exception",$D144="Medium",$E144="Medium"),$A144&amp;"  "&amp;$B144,"")</f>
        <v/>
      </c>
      <c r="T144">
        <f>IF(AND($B144&lt;&gt;"",$C144&lt;&gt;"Target state",$C144&lt;&gt;"Exception",$D144="Medium",$E144="High"),$A144&amp;"  "&amp;$B144,"")</f>
        <v/>
      </c>
      <c r="U144">
        <f>IF(AND($B144&lt;&gt;"",$C144&lt;&gt;"Target state",$C144&lt;&gt;"Exception",$D144="Low",$E144="Low"),$A144&amp;"  "&amp;$B144,"")</f>
        <v/>
      </c>
      <c r="V144">
        <f>IF(AND($B144&lt;&gt;"",$C144&lt;&gt;"Target state",$C144&lt;&gt;"Exception",$D144="Low",$E144="Medium"),$A144&amp;"  "&amp;$B144,"")</f>
        <v/>
      </c>
      <c r="W144">
        <f>IF(AND($B144&lt;&gt;"",$C144&lt;&gt;"Target state",$C144&lt;&gt;"Exception",$D144="Low",$E144="High"),$A144&amp;"  "&amp;$B144,"")</f>
        <v/>
      </c>
    </row>
    <row r="145">
      <c r="K145" s="97" t="inlineStr">
        <is>
          <t>Complexity</t>
        </is>
      </c>
    </row>
  </sheetData>
  <mergeCells count="97">
    <mergeCell ref="M75:M79"/>
    <mergeCell ref="M96:M101"/>
    <mergeCell ref="A133:F133"/>
    <mergeCell ref="M80:M84"/>
    <mergeCell ref="J66:J68"/>
    <mergeCell ref="J102:J107"/>
    <mergeCell ref="L14:L26"/>
    <mergeCell ref="K145:M145"/>
    <mergeCell ref="L108:L112"/>
    <mergeCell ref="K73:M73"/>
    <mergeCell ref="J119:J122"/>
    <mergeCell ref="K57:M57"/>
    <mergeCell ref="I135:I144"/>
    <mergeCell ref="L40:L52"/>
    <mergeCell ref="K139:K141"/>
    <mergeCell ref="K126:K128"/>
    <mergeCell ref="K123:K125"/>
    <mergeCell ref="L119:L122"/>
    <mergeCell ref="L75:L79"/>
    <mergeCell ref="I14:I52"/>
    <mergeCell ref="A73:F73"/>
    <mergeCell ref="J123:J125"/>
    <mergeCell ref="K75:K79"/>
    <mergeCell ref="L142:L144"/>
    <mergeCell ref="K85:K89"/>
    <mergeCell ref="M108:M112"/>
    <mergeCell ref="K94:M94"/>
    <mergeCell ref="M102:M107"/>
    <mergeCell ref="L63:L65"/>
    <mergeCell ref="M59:M62"/>
    <mergeCell ref="K135:K138"/>
    <mergeCell ref="K12:M12"/>
    <mergeCell ref="M85:M89"/>
    <mergeCell ref="J126:J128"/>
    <mergeCell ref="I59:I68"/>
    <mergeCell ref="J27:J39"/>
    <mergeCell ref="K119:K122"/>
    <mergeCell ref="M119:M122"/>
    <mergeCell ref="L139:L141"/>
    <mergeCell ref="A4:C4"/>
    <mergeCell ref="K27:K39"/>
    <mergeCell ref="K142:K144"/>
    <mergeCell ref="M27:M39"/>
    <mergeCell ref="L66:L68"/>
    <mergeCell ref="M123:M125"/>
    <mergeCell ref="I96:I112"/>
    <mergeCell ref="K96:K101"/>
    <mergeCell ref="K80:K84"/>
    <mergeCell ref="K63:K65"/>
    <mergeCell ref="L59:L62"/>
    <mergeCell ref="K113:M113"/>
    <mergeCell ref="L135:L138"/>
    <mergeCell ref="J108:J112"/>
    <mergeCell ref="J40:J52"/>
    <mergeCell ref="M126:M128"/>
    <mergeCell ref="I75:I89"/>
    <mergeCell ref="K40:K52"/>
    <mergeCell ref="K117:M117"/>
    <mergeCell ref="M40:M52"/>
    <mergeCell ref="J139:J141"/>
    <mergeCell ref="K59:K62"/>
    <mergeCell ref="L80:L84"/>
    <mergeCell ref="L102:L107"/>
    <mergeCell ref="K102:K107"/>
    <mergeCell ref="A117:F117"/>
    <mergeCell ref="M135:M138"/>
    <mergeCell ref="M142:M144"/>
    <mergeCell ref="A94:F94"/>
    <mergeCell ref="J135:J138"/>
    <mergeCell ref="J14:J26"/>
    <mergeCell ref="L123:L125"/>
    <mergeCell ref="K129:M129"/>
    <mergeCell ref="I119:I128"/>
    <mergeCell ref="K90:M90"/>
    <mergeCell ref="M139:M141"/>
    <mergeCell ref="M66:M68"/>
    <mergeCell ref="J85:J89"/>
    <mergeCell ref="A12:F12"/>
    <mergeCell ref="L85:L89"/>
    <mergeCell ref="J142:J144"/>
    <mergeCell ref="J59:J62"/>
    <mergeCell ref="A57:F57"/>
    <mergeCell ref="J75:J79"/>
    <mergeCell ref="K66:K68"/>
    <mergeCell ref="M63:M65"/>
    <mergeCell ref="K53:M53"/>
    <mergeCell ref="K14:K26"/>
    <mergeCell ref="K108:K112"/>
    <mergeCell ref="K69:M69"/>
    <mergeCell ref="M14:M26"/>
    <mergeCell ref="L126:L128"/>
    <mergeCell ref="L27:L39"/>
    <mergeCell ref="K133:M133"/>
    <mergeCell ref="J96:J101"/>
    <mergeCell ref="L96:L101"/>
    <mergeCell ref="J80:J84"/>
    <mergeCell ref="J63:J65"/>
  </mergeCells>
  <conditionalFormatting sqref="A14:G52">
    <cfRule type="expression" priority="1" dxfId="43">
      <formula>OR($C14="Target state",$C14="Exception")</formula>
    </cfRule>
  </conditionalFormatting>
  <conditionalFormatting sqref="A59:G68">
    <cfRule type="expression" priority="2" dxfId="43">
      <formula>OR($C59="Target state",$C59="Exception")</formula>
    </cfRule>
  </conditionalFormatting>
  <conditionalFormatting sqref="A75:G89">
    <cfRule type="expression" priority="3" dxfId="43">
      <formula>OR($C75="Target state",$C75="Exception")</formula>
    </cfRule>
  </conditionalFormatting>
  <conditionalFormatting sqref="A96:G112">
    <cfRule type="expression" priority="4" dxfId="43">
      <formula>OR($C96="Target state",$C96="Exception")</formula>
    </cfRule>
  </conditionalFormatting>
  <conditionalFormatting sqref="A119:G128">
    <cfRule type="expression" priority="5" dxfId="43">
      <formula>OR($C119="Target state",$C119="Exception")</formula>
    </cfRule>
  </conditionalFormatting>
  <conditionalFormatting sqref="A135:G144">
    <cfRule type="expression" priority="6" dxfId="43">
      <formula>OR($C135="Target state",$C135="Exception")</formula>
    </cfRule>
  </conditionalFormatting>
  <dataValidations count="2">
    <dataValidation sqref="C14:C52 C59:C68 C75:C89 C96:C112 C119:C128 C135:C144" showDropDown="0" showInputMessage="0" showErrorMessage="0" allowBlank="1" type="list">
      <formula1>"Target state,Non-target state,Exception"</formula1>
    </dataValidation>
    <dataValidation sqref="D14:E52 D59:E68 D75:E89 D96:E112 D119:E128 D135:E14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W159"/>
  <sheetViews>
    <sheetView showGridLines="0" workbookViewId="0">
      <selection activeCell="A1" sqref="A1"/>
    </sheetView>
  </sheetViews>
  <sheetFormatPr baseColWidth="8" defaultRowHeight="15"/>
  <cols>
    <col width="5" customWidth="1" style="52" min="1" max="1"/>
    <col width="26" customWidth="1" style="52" min="2" max="2"/>
    <col width="17" customWidth="1" style="52" min="3" max="3"/>
    <col width="16" customWidth="1" style="52" min="4" max="4"/>
    <col width="15" customWidth="1" style="52" min="5" max="5"/>
    <col width="44" customWidth="1" style="52" min="6" max="6"/>
    <col width="14" customWidth="1" style="52" min="7" max="7"/>
    <col width="2" customWidth="1" style="52" min="8" max="8"/>
    <col width="4" customWidth="1" style="52" min="9" max="9"/>
    <col width="9" customWidth="1" style="52" min="10" max="10"/>
    <col width="26" customWidth="1" style="52" min="11" max="11"/>
    <col width="26" customWidth="1" style="52" min="12" max="12"/>
    <col width="26" customWidth="1" style="52" min="13" max="13"/>
    <col width="2" customWidth="1" style="52" min="14" max="14"/>
    <col hidden="1" width="13" customWidth="1" style="52" min="15" max="15"/>
    <col hidden="1" width="13" customWidth="1" style="52" min="16" max="16"/>
    <col hidden="1" width="13" customWidth="1" style="52" min="17" max="17"/>
    <col hidden="1" width="13" customWidth="1" style="52" min="18" max="18"/>
    <col hidden="1" width="13" customWidth="1" style="52" min="19" max="19"/>
    <col hidden="1" width="13" customWidth="1" style="52" min="20" max="20"/>
    <col hidden="1" width="13" customWidth="1" style="52" min="21" max="21"/>
    <col hidden="1" width="13" customWidth="1" style="52" min="22" max="22"/>
    <col hidden="1" width="13" customWidth="1" style="52" min="23" max="23"/>
  </cols>
  <sheetData>
    <row r="1">
      <c r="A1" s="83" t="inlineStr">
        <is>
          <t>VAS — Platform Assessment</t>
        </is>
      </c>
    </row>
    <row r="2">
      <c r="A2" s="84">
        <f>HYPERLINK("#'Summary'!A1","← Back to Summary")</f>
        <v/>
      </c>
      <c r="C2" s="85" t="inlineStr">
        <is>
          <t>Pick a State, score High / Medium / Low — the tranche, the matrix and the Summary update automatically.</t>
        </is>
      </c>
    </row>
    <row r="4">
      <c r="A4" s="86" t="inlineStr">
        <is>
          <t>Tracker — jump to a sub-capability:</t>
        </is>
      </c>
    </row>
    <row r="5">
      <c r="A5" s="87" t="inlineStr">
        <is>
          <t>1.</t>
        </is>
      </c>
      <c r="B5" s="84">
        <f>HYPERLINK("#'VAS'!A15","Routing")</f>
        <v/>
      </c>
    </row>
    <row r="6">
      <c r="A6" s="87" t="inlineStr">
        <is>
          <t>2.</t>
        </is>
      </c>
      <c r="B6" s="84">
        <f>HYPERLINK("#'VAS'!A31","Networking Payment Tokens")</f>
        <v/>
      </c>
    </row>
    <row r="7">
      <c r="A7" s="87" t="inlineStr">
        <is>
          <t>3.</t>
        </is>
      </c>
      <c r="B7" s="84">
        <f>HYPERLINK("#'VAS'!A47","DCC eDCC")</f>
        <v/>
      </c>
    </row>
    <row r="8">
      <c r="A8" s="87" t="inlineStr">
        <is>
          <t>4.</t>
        </is>
      </c>
      <c r="B8" s="84">
        <f>HYPERLINK("#'VAS'!A63","Fraud")</f>
        <v/>
      </c>
    </row>
    <row r="9">
      <c r="A9" s="87" t="inlineStr">
        <is>
          <t>5.</t>
        </is>
      </c>
      <c r="B9" s="84">
        <f>HYPERLINK("#'VAS'!A81","Credential Management")</f>
        <v/>
      </c>
    </row>
    <row r="10">
      <c r="A10" s="87" t="inlineStr">
        <is>
          <t>6.</t>
        </is>
      </c>
      <c r="B10" s="84">
        <f>HYPERLINK("#'VAS'!A97","Gifts")</f>
        <v/>
      </c>
    </row>
    <row r="11">
      <c r="A11" s="87" t="inlineStr">
        <is>
          <t>7.</t>
        </is>
      </c>
      <c r="B11" s="84">
        <f>HYPERLINK("#'VAS'!A115","Managed Optimization")</f>
        <v/>
      </c>
    </row>
    <row r="12">
      <c r="A12" s="87" t="inlineStr">
        <is>
          <t>8.</t>
        </is>
      </c>
      <c r="B12" s="84">
        <f>HYPERLINK("#'VAS'!A131","3DS / exemptions")</f>
        <v/>
      </c>
    </row>
    <row r="13">
      <c r="A13" s="87" t="inlineStr">
        <is>
          <t>9.</t>
        </is>
      </c>
      <c r="B13" s="84">
        <f>HYPERLINK("#'VAS'!A147","FX")</f>
        <v/>
      </c>
    </row>
    <row r="15" ht="22" customHeight="1" s="52">
      <c r="A15" s="88" t="inlineStr">
        <is>
          <t>Routing</t>
        </is>
      </c>
      <c r="G15" s="89">
        <f>HYPERLINK("#'VAS'!A4","▲ tracker")</f>
        <v/>
      </c>
      <c r="K15" s="90" t="inlineStr">
        <is>
          <t>Assessment Outcome</t>
        </is>
      </c>
    </row>
    <row r="16" ht="18" customHeight="1" s="52">
      <c r="A16" s="91" t="inlineStr">
        <is>
          <t>#</t>
        </is>
      </c>
      <c r="B16" s="91" t="inlineStr">
        <is>
          <t>Platform</t>
        </is>
      </c>
      <c r="C16" s="91" t="inlineStr">
        <is>
          <t>State</t>
        </is>
      </c>
      <c r="D16" s="91" t="inlineStr">
        <is>
          <t>Imperative to exit</t>
        </is>
      </c>
      <c r="E16" s="91" t="inlineStr">
        <is>
          <t>Exit complexity</t>
        </is>
      </c>
      <c r="F16" s="91" t="inlineStr">
        <is>
          <t>Supporting facts</t>
        </is>
      </c>
      <c r="G16" s="91" t="inlineStr">
        <is>
          <t>Tranche (auto)</t>
        </is>
      </c>
      <c r="K16" s="92" t="inlineStr">
        <is>
          <t>Low</t>
        </is>
      </c>
      <c r="L16" s="92" t="inlineStr">
        <is>
          <t>Medium</t>
        </is>
      </c>
      <c r="M16" s="92" t="inlineStr">
        <is>
          <t>High</t>
        </is>
      </c>
    </row>
    <row r="17" ht="20" customHeight="1" s="52">
      <c r="A17" s="93" t="inlineStr">
        <is>
          <t>①</t>
        </is>
      </c>
      <c r="B17" s="94" t="n"/>
      <c r="C17" s="73" t="n"/>
      <c r="D17" s="73" t="n"/>
      <c r="E17" s="73" t="n"/>
      <c r="F17" s="72" t="n"/>
      <c r="G17" s="95">
        <f>IF(OR($B17="",$D17="",$E17=""),"",IF(OR($C17="Target state",$C17="Exception"),"Out of scope",IF($D17="Low","No tranche",IF($E17="Low","Tranche 1",IF($E17="Medium","Tranche 2",IF($D17="High","Tranche 3","No tranche"))))))</f>
        <v/>
      </c>
      <c r="I17" s="96" t="inlineStr">
        <is>
          <t>Benefits</t>
        </is>
      </c>
      <c r="J17" s="97" t="inlineStr">
        <is>
          <t>High</t>
        </is>
      </c>
      <c r="K17" s="98">
        <f>"Tranche 1"&amp;CHAR(10)&amp;_xlfn.TEXTJOIN(CHAR(10),TRUE,O$17:O$26)</f>
        <v/>
      </c>
      <c r="L17" s="99">
        <f>"Tranche 2"&amp;CHAR(10)&amp;_xlfn.TEXTJOIN(CHAR(10),TRUE,P$17:P$26)</f>
        <v/>
      </c>
      <c r="M17" s="100">
        <f>"Tranche 3"&amp;CHAR(10)&amp;_xlfn.TEXTJOIN(CHAR(10),TRUE,Q$17:Q$26)</f>
        <v/>
      </c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 s="52">
      <c r="A18" s="93" t="inlineStr">
        <is>
          <t>②</t>
        </is>
      </c>
      <c r="B18" s="94" t="n"/>
      <c r="C18" s="73" t="n"/>
      <c r="D18" s="73" t="n"/>
      <c r="E18" s="73" t="n"/>
      <c r="F18" s="72" t="n"/>
      <c r="G18" s="95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101" t="n"/>
      <c r="L18" s="101" t="n"/>
      <c r="M18" s="101" t="n"/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20" customHeight="1" s="52">
      <c r="A19" s="93" t="inlineStr">
        <is>
          <t>③</t>
        </is>
      </c>
      <c r="B19" s="94" t="n"/>
      <c r="C19" s="73" t="n"/>
      <c r="D19" s="73" t="n"/>
      <c r="E19" s="73" t="n"/>
      <c r="F19" s="72" t="n"/>
      <c r="G19" s="95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101" t="n"/>
      <c r="L19" s="101" t="n"/>
      <c r="M19" s="101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20" customHeight="1" s="52">
      <c r="A20" s="93" t="inlineStr">
        <is>
          <t>④</t>
        </is>
      </c>
      <c r="B20" s="94" t="n"/>
      <c r="C20" s="73" t="n"/>
      <c r="D20" s="73" t="n"/>
      <c r="E20" s="73" t="n"/>
      <c r="F20" s="72" t="n"/>
      <c r="G20" s="95">
        <f>IF(OR($B20="",$D20="",$E20=""),"",IF(OR($C20="Target state",$C20="Exception"),"Out of scope",IF($D20="Low","No tranche",IF($E20="Low","Tranche 1",IF($E20="Medium","Tranche 2",IF($D20="High","Tranche 3","No tranche"))))))</f>
        <v/>
      </c>
      <c r="K20" s="102" t="n"/>
      <c r="L20" s="102" t="n"/>
      <c r="M20" s="102" t="n"/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20" customHeight="1" s="52">
      <c r="A21" s="93" t="inlineStr">
        <is>
          <t>⑤</t>
        </is>
      </c>
      <c r="B21" s="94" t="n"/>
      <c r="C21" s="73" t="n"/>
      <c r="D21" s="73" t="n"/>
      <c r="E21" s="73" t="n"/>
      <c r="F21" s="72" t="n"/>
      <c r="G21" s="95">
        <f>IF(OR($B21="",$D21="",$E21=""),"",IF(OR($C21="Target state",$C21="Exception"),"Out of scope",IF($D21="Low","No tranche",IF($E21="Low","Tranche 1",IF($E21="Medium","Tranche 2",IF($D21="High","Tranche 3","No tranche"))))))</f>
        <v/>
      </c>
      <c r="J21" s="97" t="inlineStr">
        <is>
          <t>Medium</t>
        </is>
      </c>
      <c r="K21" s="98">
        <f>"Tranche 1"&amp;CHAR(10)&amp;_xlfn.TEXTJOIN(CHAR(10),TRUE,R$17:R$26)</f>
        <v/>
      </c>
      <c r="L21" s="99">
        <f>"Tranche 2"&amp;CHAR(10)&amp;_xlfn.TEXTJOIN(CHAR(10),TRUE,S$17:S$26)</f>
        <v/>
      </c>
      <c r="M21" s="103">
        <f>_xlfn.TEXTJOIN(CHAR(10),TRUE,T$17:T$26)</f>
        <v/>
      </c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20" customHeight="1" s="52">
      <c r="A22" s="93" t="inlineStr">
        <is>
          <t>⑥</t>
        </is>
      </c>
      <c r="B22" s="94" t="n"/>
      <c r="C22" s="73" t="n"/>
      <c r="D22" s="73" t="n"/>
      <c r="E22" s="73" t="n"/>
      <c r="F22" s="72" t="n"/>
      <c r="G22" s="95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101" t="n"/>
      <c r="L22" s="101" t="n"/>
      <c r="M22" s="101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20" customHeight="1" s="52">
      <c r="A23" s="93" t="inlineStr">
        <is>
          <t>⑦</t>
        </is>
      </c>
      <c r="B23" s="94" t="n"/>
      <c r="C23" s="73" t="n"/>
      <c r="D23" s="73" t="n"/>
      <c r="E23" s="73" t="n"/>
      <c r="F23" s="72" t="n"/>
      <c r="G23" s="95">
        <f>IF(OR($B23="",$D23="",$E23=""),"",IF(OR($C23="Target state",$C23="Exception"),"Out of scope",IF($D23="Low","No tranche",IF($E23="Low","Tranche 1",IF($E23="Medium","Tranche 2",IF($D23="High","Tranche 3","No tranche"))))))</f>
        <v/>
      </c>
      <c r="K23" s="102" t="n"/>
      <c r="L23" s="102" t="n"/>
      <c r="M23" s="102" t="n"/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4" ht="20" customHeight="1" s="52">
      <c r="A24" s="93" t="inlineStr">
        <is>
          <t>⑧</t>
        </is>
      </c>
      <c r="B24" s="94" t="n"/>
      <c r="C24" s="73" t="n"/>
      <c r="D24" s="73" t="n"/>
      <c r="E24" s="73" t="n"/>
      <c r="F24" s="72" t="n"/>
      <c r="G24" s="95">
        <f>IF(OR($B24="",$D24="",$E24=""),"",IF(OR($C24="Target state",$C24="Exception"),"Out of scope",IF($D24="Low","No tranche",IF($E24="Low","Tranche 1",IF($E24="Medium","Tranche 2",IF($D24="High","Tranche 3","No tranche"))))))</f>
        <v/>
      </c>
      <c r="J24" s="97" t="inlineStr">
        <is>
          <t>Low</t>
        </is>
      </c>
      <c r="K24" s="103">
        <f>_xlfn.TEXTJOIN(CHAR(10),TRUE,U$17:U$26)</f>
        <v/>
      </c>
      <c r="L24" s="103">
        <f>_xlfn.TEXTJOIN(CHAR(10),TRUE,V$17:V$26)</f>
        <v/>
      </c>
      <c r="M24" s="103">
        <f>_xlfn.TEXTJOIN(CHAR(10),TRUE,W$17:W$26)</f>
        <v/>
      </c>
      <c r="O24">
        <f>IF(AND($B24&lt;&gt;"",$C24&lt;&gt;"Target state",$C24&lt;&gt;"Exception",$D24="High",$E24="Low"),$A24&amp;"  "&amp;$B24,"")</f>
        <v/>
      </c>
      <c r="P24">
        <f>IF(AND($B24&lt;&gt;"",$C24&lt;&gt;"Target state",$C24&lt;&gt;"Exception",$D24="High",$E24="Medium"),$A24&amp;"  "&amp;$B24,"")</f>
        <v/>
      </c>
      <c r="Q24">
        <f>IF(AND($B24&lt;&gt;"",$C24&lt;&gt;"Target state",$C24&lt;&gt;"Exception",$D24="High",$E24="High"),$A24&amp;"  "&amp;$B24,"")</f>
        <v/>
      </c>
      <c r="R24">
        <f>IF(AND($B24&lt;&gt;"",$C24&lt;&gt;"Target state",$C24&lt;&gt;"Exception",$D24="Medium",$E24="Low"),$A24&amp;"  "&amp;$B24,"")</f>
        <v/>
      </c>
      <c r="S24">
        <f>IF(AND($B24&lt;&gt;"",$C24&lt;&gt;"Target state",$C24&lt;&gt;"Exception",$D24="Medium",$E24="Medium"),$A24&amp;"  "&amp;$B24,"")</f>
        <v/>
      </c>
      <c r="T24">
        <f>IF(AND($B24&lt;&gt;"",$C24&lt;&gt;"Target state",$C24&lt;&gt;"Exception",$D24="Medium",$E24="High"),$A24&amp;"  "&amp;$B24,"")</f>
        <v/>
      </c>
      <c r="U24">
        <f>IF(AND($B24&lt;&gt;"",$C24&lt;&gt;"Target state",$C24&lt;&gt;"Exception",$D24="Low",$E24="Low"),$A24&amp;"  "&amp;$B24,"")</f>
        <v/>
      </c>
      <c r="V24">
        <f>IF(AND($B24&lt;&gt;"",$C24&lt;&gt;"Target state",$C24&lt;&gt;"Exception",$D24="Low",$E24="Medium"),$A24&amp;"  "&amp;$B24,"")</f>
        <v/>
      </c>
      <c r="W24">
        <f>IF(AND($B24&lt;&gt;"",$C24&lt;&gt;"Target state",$C24&lt;&gt;"Exception",$D24="Low",$E24="High"),$A24&amp;"  "&amp;$B24,"")</f>
        <v/>
      </c>
    </row>
    <row r="25" ht="20" customHeight="1" s="52">
      <c r="A25" s="93" t="inlineStr">
        <is>
          <t>⑨</t>
        </is>
      </c>
      <c r="B25" s="94" t="n"/>
      <c r="C25" s="73" t="n"/>
      <c r="D25" s="73" t="n"/>
      <c r="E25" s="73" t="n"/>
      <c r="F25" s="72" t="n"/>
      <c r="G25" s="95">
        <f>IF(OR($B25="",$D25="",$E25=""),"",IF(OR($C25="Target state",$C25="Exception"),"Out of scope",IF($D25="Low","No tranche",IF($E25="Low","Tranche 1",IF($E25="Medium","Tranche 2",IF($D25="High","Tranche 3","No tranche"))))))</f>
        <v/>
      </c>
      <c r="K25" s="101" t="n"/>
      <c r="L25" s="101" t="n"/>
      <c r="M25" s="101" t="n"/>
      <c r="O25">
        <f>IF(AND($B25&lt;&gt;"",$C25&lt;&gt;"Target state",$C25&lt;&gt;"Exception",$D25="High",$E25="Low"),$A25&amp;"  "&amp;$B25,"")</f>
        <v/>
      </c>
      <c r="P25">
        <f>IF(AND($B25&lt;&gt;"",$C25&lt;&gt;"Target state",$C25&lt;&gt;"Exception",$D25="High",$E25="Medium"),$A25&amp;"  "&amp;$B25,"")</f>
        <v/>
      </c>
      <c r="Q25">
        <f>IF(AND($B25&lt;&gt;"",$C25&lt;&gt;"Target state",$C25&lt;&gt;"Exception",$D25="High",$E25="High"),$A25&amp;"  "&amp;$B25,"")</f>
        <v/>
      </c>
      <c r="R25">
        <f>IF(AND($B25&lt;&gt;"",$C25&lt;&gt;"Target state",$C25&lt;&gt;"Exception",$D25="Medium",$E25="Low"),$A25&amp;"  "&amp;$B25,"")</f>
        <v/>
      </c>
      <c r="S25">
        <f>IF(AND($B25&lt;&gt;"",$C25&lt;&gt;"Target state",$C25&lt;&gt;"Exception",$D25="Medium",$E25="Medium"),$A25&amp;"  "&amp;$B25,"")</f>
        <v/>
      </c>
      <c r="T25">
        <f>IF(AND($B25&lt;&gt;"",$C25&lt;&gt;"Target state",$C25&lt;&gt;"Exception",$D25="Medium",$E25="High"),$A25&amp;"  "&amp;$B25,"")</f>
        <v/>
      </c>
      <c r="U25">
        <f>IF(AND($B25&lt;&gt;"",$C25&lt;&gt;"Target state",$C25&lt;&gt;"Exception",$D25="Low",$E25="Low"),$A25&amp;"  "&amp;$B25,"")</f>
        <v/>
      </c>
      <c r="V25">
        <f>IF(AND($B25&lt;&gt;"",$C25&lt;&gt;"Target state",$C25&lt;&gt;"Exception",$D25="Low",$E25="Medium"),$A25&amp;"  "&amp;$B25,"")</f>
        <v/>
      </c>
      <c r="W25">
        <f>IF(AND($B25&lt;&gt;"",$C25&lt;&gt;"Target state",$C25&lt;&gt;"Exception",$D25="Low",$E25="High"),$A25&amp;"  "&amp;$B25,"")</f>
        <v/>
      </c>
    </row>
    <row r="26" ht="20" customHeight="1" s="52">
      <c r="A26" s="93" t="inlineStr">
        <is>
          <t>⑩</t>
        </is>
      </c>
      <c r="B26" s="94" t="n"/>
      <c r="C26" s="73" t="n"/>
      <c r="D26" s="73" t="n"/>
      <c r="E26" s="73" t="n"/>
      <c r="F26" s="72" t="n"/>
      <c r="G26" s="95">
        <f>IF(OR($B26="",$D26="",$E26=""),"",IF(OR($C26="Target state",$C26="Exception"),"Out of scope",IF($D26="Low","No tranche",IF($E26="Low","Tranche 1",IF($E26="Medium","Tranche 2",IF($D26="High","Tranche 3","No tranche"))))))</f>
        <v/>
      </c>
      <c r="K26" s="102" t="n"/>
      <c r="L26" s="102" t="n"/>
      <c r="M26" s="102" t="n"/>
      <c r="O26">
        <f>IF(AND($B26&lt;&gt;"",$C26&lt;&gt;"Target state",$C26&lt;&gt;"Exception",$D26="High",$E26="Low"),$A26&amp;"  "&amp;$B26,"")</f>
        <v/>
      </c>
      <c r="P26">
        <f>IF(AND($B26&lt;&gt;"",$C26&lt;&gt;"Target state",$C26&lt;&gt;"Exception",$D26="High",$E26="Medium"),$A26&amp;"  "&amp;$B26,"")</f>
        <v/>
      </c>
      <c r="Q26">
        <f>IF(AND($B26&lt;&gt;"",$C26&lt;&gt;"Target state",$C26&lt;&gt;"Exception",$D26="High",$E26="High"),$A26&amp;"  "&amp;$B26,"")</f>
        <v/>
      </c>
      <c r="R26">
        <f>IF(AND($B26&lt;&gt;"",$C26&lt;&gt;"Target state",$C26&lt;&gt;"Exception",$D26="Medium",$E26="Low"),$A26&amp;"  "&amp;$B26,"")</f>
        <v/>
      </c>
      <c r="S26">
        <f>IF(AND($B26&lt;&gt;"",$C26&lt;&gt;"Target state",$C26&lt;&gt;"Exception",$D26="Medium",$E26="Medium"),$A26&amp;"  "&amp;$B26,"")</f>
        <v/>
      </c>
      <c r="T26">
        <f>IF(AND($B26&lt;&gt;"",$C26&lt;&gt;"Target state",$C26&lt;&gt;"Exception",$D26="Medium",$E26="High"),$A26&amp;"  "&amp;$B26,"")</f>
        <v/>
      </c>
      <c r="U26">
        <f>IF(AND($B26&lt;&gt;"",$C26&lt;&gt;"Target state",$C26&lt;&gt;"Exception",$D26="Low",$E26="Low"),$A26&amp;"  "&amp;$B26,"")</f>
        <v/>
      </c>
      <c r="V26">
        <f>IF(AND($B26&lt;&gt;"",$C26&lt;&gt;"Target state",$C26&lt;&gt;"Exception",$D26="Low",$E26="Medium"),$A26&amp;"  "&amp;$B26,"")</f>
        <v/>
      </c>
      <c r="W26">
        <f>IF(AND($B26&lt;&gt;"",$C26&lt;&gt;"Target state",$C26&lt;&gt;"Exception",$D26="Low",$E26="High"),$A26&amp;"  "&amp;$B26,"")</f>
        <v/>
      </c>
    </row>
    <row r="27">
      <c r="K27" s="97" t="inlineStr">
        <is>
          <t>Complexity</t>
        </is>
      </c>
    </row>
    <row r="31" ht="22" customHeight="1" s="52">
      <c r="A31" s="88" t="inlineStr">
        <is>
          <t>Networking Payment Tokens</t>
        </is>
      </c>
      <c r="G31" s="89">
        <f>HYPERLINK("#'VAS'!A4","▲ tracker")</f>
        <v/>
      </c>
      <c r="K31" s="90" t="inlineStr">
        <is>
          <t>Assessment Outcome</t>
        </is>
      </c>
    </row>
    <row r="32" ht="18" customHeight="1" s="52">
      <c r="A32" s="91" t="inlineStr">
        <is>
          <t>#</t>
        </is>
      </c>
      <c r="B32" s="91" t="inlineStr">
        <is>
          <t>Platform</t>
        </is>
      </c>
      <c r="C32" s="91" t="inlineStr">
        <is>
          <t>State</t>
        </is>
      </c>
      <c r="D32" s="91" t="inlineStr">
        <is>
          <t>Imperative to exit</t>
        </is>
      </c>
      <c r="E32" s="91" t="inlineStr">
        <is>
          <t>Exit complexity</t>
        </is>
      </c>
      <c r="F32" s="91" t="inlineStr">
        <is>
          <t>Supporting facts</t>
        </is>
      </c>
      <c r="G32" s="91" t="inlineStr">
        <is>
          <t>Tranche (auto)</t>
        </is>
      </c>
      <c r="K32" s="92" t="inlineStr">
        <is>
          <t>Low</t>
        </is>
      </c>
      <c r="L32" s="92" t="inlineStr">
        <is>
          <t>Medium</t>
        </is>
      </c>
      <c r="M32" s="92" t="inlineStr">
        <is>
          <t>High</t>
        </is>
      </c>
    </row>
    <row r="33" ht="20" customHeight="1" s="52">
      <c r="A33" s="93" t="inlineStr">
        <is>
          <t>①</t>
        </is>
      </c>
      <c r="B33" s="94" t="n"/>
      <c r="C33" s="73" t="n"/>
      <c r="D33" s="73" t="n"/>
      <c r="E33" s="73" t="n"/>
      <c r="F33" s="72" t="n"/>
      <c r="G33" s="95">
        <f>IF(OR($B33="",$D33="",$E33=""),"",IF(OR($C33="Target state",$C33="Exception"),"Out of scope",IF($D33="Low","No tranche",IF($E33="Low","Tranche 1",IF($E33="Medium","Tranche 2",IF($D33="High","Tranche 3","No tranche"))))))</f>
        <v/>
      </c>
      <c r="I33" s="96" t="inlineStr">
        <is>
          <t>Benefits</t>
        </is>
      </c>
      <c r="J33" s="97" t="inlineStr">
        <is>
          <t>High</t>
        </is>
      </c>
      <c r="K33" s="98">
        <f>"Tranche 1"&amp;CHAR(10)&amp;_xlfn.TEXTJOIN(CHAR(10),TRUE,O$33:O$42)</f>
        <v/>
      </c>
      <c r="L33" s="99">
        <f>"Tranche 2"&amp;CHAR(10)&amp;_xlfn.TEXTJOIN(CHAR(10),TRUE,P$33:P$42)</f>
        <v/>
      </c>
      <c r="M33" s="100">
        <f>"Tranche 3"&amp;CHAR(10)&amp;_xlfn.TEXTJOIN(CHAR(10),TRUE,Q$33:Q$42)</f>
        <v/>
      </c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20" customHeight="1" s="52">
      <c r="A34" s="93" t="inlineStr">
        <is>
          <t>②</t>
        </is>
      </c>
      <c r="B34" s="94" t="n"/>
      <c r="C34" s="73" t="n"/>
      <c r="D34" s="73" t="n"/>
      <c r="E34" s="73" t="n"/>
      <c r="F34" s="72" t="n"/>
      <c r="G34" s="95">
        <f>IF(OR($B34="",$D34="",$E34=""),"",IF(OR($C34="Target state",$C34="Exception"),"Out of scope",IF($D34="Low","No tranche",IF($E34="Low","Tranche 1",IF($E34="Medium","Tranche 2",IF($D34="High","Tranche 3","No tranche"))))))</f>
        <v/>
      </c>
      <c r="K34" s="101" t="n"/>
      <c r="L34" s="101" t="n"/>
      <c r="M34" s="101" t="n"/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20" customHeight="1" s="52">
      <c r="A35" s="93" t="inlineStr">
        <is>
          <t>③</t>
        </is>
      </c>
      <c r="B35" s="94" t="n"/>
      <c r="C35" s="73" t="n"/>
      <c r="D35" s="73" t="n"/>
      <c r="E35" s="73" t="n"/>
      <c r="F35" s="72" t="n"/>
      <c r="G35" s="95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101" t="n"/>
      <c r="L35" s="101" t="n"/>
      <c r="M35" s="101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20" customHeight="1" s="52">
      <c r="A36" s="93" t="inlineStr">
        <is>
          <t>④</t>
        </is>
      </c>
      <c r="B36" s="94" t="n"/>
      <c r="C36" s="73" t="n"/>
      <c r="D36" s="73" t="n"/>
      <c r="E36" s="73" t="n"/>
      <c r="F36" s="72" t="n"/>
      <c r="G36" s="95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102" t="n"/>
      <c r="L36" s="102" t="n"/>
      <c r="M36" s="102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 ht="20" customHeight="1" s="52">
      <c r="A37" s="93" t="inlineStr">
        <is>
          <t>⑤</t>
        </is>
      </c>
      <c r="B37" s="94" t="n"/>
      <c r="C37" s="73" t="n"/>
      <c r="D37" s="73" t="n"/>
      <c r="E37" s="73" t="n"/>
      <c r="F37" s="72" t="n"/>
      <c r="G37" s="95">
        <f>IF(OR($B37="",$D37="",$E37=""),"",IF(OR($C37="Target state",$C37="Exception"),"Out of scope",IF($D37="Low","No tranche",IF($E37="Low","Tranche 1",IF($E37="Medium","Tranche 2",IF($D37="High","Tranche 3","No tranche"))))))</f>
        <v/>
      </c>
      <c r="J37" s="97" t="inlineStr">
        <is>
          <t>Medium</t>
        </is>
      </c>
      <c r="K37" s="98">
        <f>"Tranche 1"&amp;CHAR(10)&amp;_xlfn.TEXTJOIN(CHAR(10),TRUE,R$33:R$42)</f>
        <v/>
      </c>
      <c r="L37" s="99">
        <f>"Tranche 2"&amp;CHAR(10)&amp;_xlfn.TEXTJOIN(CHAR(10),TRUE,S$33:S$42)</f>
        <v/>
      </c>
      <c r="M37" s="103">
        <f>_xlfn.TEXTJOIN(CHAR(10),TRUE,T$33:T$42)</f>
        <v/>
      </c>
      <c r="O37">
        <f>IF(AND($B37&lt;&gt;"",$C37&lt;&gt;"Target state",$C37&lt;&gt;"Exception",$D37="High",$E37="Low"),$A37&amp;"  "&amp;$B37,"")</f>
        <v/>
      </c>
      <c r="P37">
        <f>IF(AND($B37&lt;&gt;"",$C37&lt;&gt;"Target state",$C37&lt;&gt;"Exception",$D37="High",$E37="Medium"),$A37&amp;"  "&amp;$B37,"")</f>
        <v/>
      </c>
      <c r="Q37">
        <f>IF(AND($B37&lt;&gt;"",$C37&lt;&gt;"Target state",$C37&lt;&gt;"Exception",$D37="High",$E37="High"),$A37&amp;"  "&amp;$B37,"")</f>
        <v/>
      </c>
      <c r="R37">
        <f>IF(AND($B37&lt;&gt;"",$C37&lt;&gt;"Target state",$C37&lt;&gt;"Exception",$D37="Medium",$E37="Low"),$A37&amp;"  "&amp;$B37,"")</f>
        <v/>
      </c>
      <c r="S37">
        <f>IF(AND($B37&lt;&gt;"",$C37&lt;&gt;"Target state",$C37&lt;&gt;"Exception",$D37="Medium",$E37="Medium"),$A37&amp;"  "&amp;$B37,"")</f>
        <v/>
      </c>
      <c r="T37">
        <f>IF(AND($B37&lt;&gt;"",$C37&lt;&gt;"Target state",$C37&lt;&gt;"Exception",$D37="Medium",$E37="High"),$A37&amp;"  "&amp;$B37,"")</f>
        <v/>
      </c>
      <c r="U37">
        <f>IF(AND($B37&lt;&gt;"",$C37&lt;&gt;"Target state",$C37&lt;&gt;"Exception",$D37="Low",$E37="Low"),$A37&amp;"  "&amp;$B37,"")</f>
        <v/>
      </c>
      <c r="V37">
        <f>IF(AND($B37&lt;&gt;"",$C37&lt;&gt;"Target state",$C37&lt;&gt;"Exception",$D37="Low",$E37="Medium"),$A37&amp;"  "&amp;$B37,"")</f>
        <v/>
      </c>
      <c r="W37">
        <f>IF(AND($B37&lt;&gt;"",$C37&lt;&gt;"Target state",$C37&lt;&gt;"Exception",$D37="Low",$E37="High"),$A37&amp;"  "&amp;$B37,"")</f>
        <v/>
      </c>
    </row>
    <row r="38" ht="20" customHeight="1" s="52">
      <c r="A38" s="93" t="inlineStr">
        <is>
          <t>⑥</t>
        </is>
      </c>
      <c r="B38" s="94" t="n"/>
      <c r="C38" s="73" t="n"/>
      <c r="D38" s="73" t="n"/>
      <c r="E38" s="73" t="n"/>
      <c r="F38" s="72" t="n"/>
      <c r="G38" s="95">
        <f>IF(OR($B38="",$D38="",$E38=""),"",IF(OR($C38="Target state",$C38="Exception"),"Out of scope",IF($D38="Low","No tranche",IF($E38="Low","Tranche 1",IF($E38="Medium","Tranche 2",IF($D38="High","Tranche 3","No tranche"))))))</f>
        <v/>
      </c>
      <c r="K38" s="101" t="n"/>
      <c r="L38" s="101" t="n"/>
      <c r="M38" s="101" t="n"/>
      <c r="O38">
        <f>IF(AND($B38&lt;&gt;"",$C38&lt;&gt;"Target state",$C38&lt;&gt;"Exception",$D38="High",$E38="Low"),$A38&amp;"  "&amp;$B38,"")</f>
        <v/>
      </c>
      <c r="P38">
        <f>IF(AND($B38&lt;&gt;"",$C38&lt;&gt;"Target state",$C38&lt;&gt;"Exception",$D38="High",$E38="Medium"),$A38&amp;"  "&amp;$B38,"")</f>
        <v/>
      </c>
      <c r="Q38">
        <f>IF(AND($B38&lt;&gt;"",$C38&lt;&gt;"Target state",$C38&lt;&gt;"Exception",$D38="High",$E38="High"),$A38&amp;"  "&amp;$B38,"")</f>
        <v/>
      </c>
      <c r="R38">
        <f>IF(AND($B38&lt;&gt;"",$C38&lt;&gt;"Target state",$C38&lt;&gt;"Exception",$D38="Medium",$E38="Low"),$A38&amp;"  "&amp;$B38,"")</f>
        <v/>
      </c>
      <c r="S38">
        <f>IF(AND($B38&lt;&gt;"",$C38&lt;&gt;"Target state",$C38&lt;&gt;"Exception",$D38="Medium",$E38="Medium"),$A38&amp;"  "&amp;$B38,"")</f>
        <v/>
      </c>
      <c r="T38">
        <f>IF(AND($B38&lt;&gt;"",$C38&lt;&gt;"Target state",$C38&lt;&gt;"Exception",$D38="Medium",$E38="High"),$A38&amp;"  "&amp;$B38,"")</f>
        <v/>
      </c>
      <c r="U38">
        <f>IF(AND($B38&lt;&gt;"",$C38&lt;&gt;"Target state",$C38&lt;&gt;"Exception",$D38="Low",$E38="Low"),$A38&amp;"  "&amp;$B38,"")</f>
        <v/>
      </c>
      <c r="V38">
        <f>IF(AND($B38&lt;&gt;"",$C38&lt;&gt;"Target state",$C38&lt;&gt;"Exception",$D38="Low",$E38="Medium"),$A38&amp;"  "&amp;$B38,"")</f>
        <v/>
      </c>
      <c r="W38">
        <f>IF(AND($B38&lt;&gt;"",$C38&lt;&gt;"Target state",$C38&lt;&gt;"Exception",$D38="Low",$E38="High"),$A38&amp;"  "&amp;$B38,"")</f>
        <v/>
      </c>
    </row>
    <row r="39" ht="20" customHeight="1" s="52">
      <c r="A39" s="93" t="inlineStr">
        <is>
          <t>⑦</t>
        </is>
      </c>
      <c r="B39" s="94" t="n"/>
      <c r="C39" s="73" t="n"/>
      <c r="D39" s="73" t="n"/>
      <c r="E39" s="73" t="n"/>
      <c r="F39" s="72" t="n"/>
      <c r="G39" s="95">
        <f>IF(OR($B39="",$D39="",$E39=""),"",IF(OR($C39="Target state",$C39="Exception"),"Out of scope",IF($D39="Low","No tranche",IF($E39="Low","Tranche 1",IF($E39="Medium","Tranche 2",IF($D39="High","Tranche 3","No tranche"))))))</f>
        <v/>
      </c>
      <c r="K39" s="102" t="n"/>
      <c r="L39" s="102" t="n"/>
      <c r="M39" s="102" t="n"/>
      <c r="O39">
        <f>IF(AND($B39&lt;&gt;"",$C39&lt;&gt;"Target state",$C39&lt;&gt;"Exception",$D39="High",$E39="Low"),$A39&amp;"  "&amp;$B39,"")</f>
        <v/>
      </c>
      <c r="P39">
        <f>IF(AND($B39&lt;&gt;"",$C39&lt;&gt;"Target state",$C39&lt;&gt;"Exception",$D39="High",$E39="Medium"),$A39&amp;"  "&amp;$B39,"")</f>
        <v/>
      </c>
      <c r="Q39">
        <f>IF(AND($B39&lt;&gt;"",$C39&lt;&gt;"Target state",$C39&lt;&gt;"Exception",$D39="High",$E39="High"),$A39&amp;"  "&amp;$B39,"")</f>
        <v/>
      </c>
      <c r="R39">
        <f>IF(AND($B39&lt;&gt;"",$C39&lt;&gt;"Target state",$C39&lt;&gt;"Exception",$D39="Medium",$E39="Low"),$A39&amp;"  "&amp;$B39,"")</f>
        <v/>
      </c>
      <c r="S39">
        <f>IF(AND($B39&lt;&gt;"",$C39&lt;&gt;"Target state",$C39&lt;&gt;"Exception",$D39="Medium",$E39="Medium"),$A39&amp;"  "&amp;$B39,"")</f>
        <v/>
      </c>
      <c r="T39">
        <f>IF(AND($B39&lt;&gt;"",$C39&lt;&gt;"Target state",$C39&lt;&gt;"Exception",$D39="Medium",$E39="High"),$A39&amp;"  "&amp;$B39,"")</f>
        <v/>
      </c>
      <c r="U39">
        <f>IF(AND($B39&lt;&gt;"",$C39&lt;&gt;"Target state",$C39&lt;&gt;"Exception",$D39="Low",$E39="Low"),$A39&amp;"  "&amp;$B39,"")</f>
        <v/>
      </c>
      <c r="V39">
        <f>IF(AND($B39&lt;&gt;"",$C39&lt;&gt;"Target state",$C39&lt;&gt;"Exception",$D39="Low",$E39="Medium"),$A39&amp;"  "&amp;$B39,"")</f>
        <v/>
      </c>
      <c r="W39">
        <f>IF(AND($B39&lt;&gt;"",$C39&lt;&gt;"Target state",$C39&lt;&gt;"Exception",$D39="Low",$E39="High"),$A39&amp;"  "&amp;$B39,"")</f>
        <v/>
      </c>
    </row>
    <row r="40" ht="20" customHeight="1" s="52">
      <c r="A40" s="93" t="inlineStr">
        <is>
          <t>⑧</t>
        </is>
      </c>
      <c r="B40" s="94" t="n"/>
      <c r="C40" s="73" t="n"/>
      <c r="D40" s="73" t="n"/>
      <c r="E40" s="73" t="n"/>
      <c r="F40" s="72" t="n"/>
      <c r="G40" s="95">
        <f>IF(OR($B40="",$D40="",$E40=""),"",IF(OR($C40="Target state",$C40="Exception"),"Out of scope",IF($D40="Low","No tranche",IF($E40="Low","Tranche 1",IF($E40="Medium","Tranche 2",IF($D40="High","Tranche 3","No tranche"))))))</f>
        <v/>
      </c>
      <c r="J40" s="97" t="inlineStr">
        <is>
          <t>Low</t>
        </is>
      </c>
      <c r="K40" s="103">
        <f>_xlfn.TEXTJOIN(CHAR(10),TRUE,U$33:U$42)</f>
        <v/>
      </c>
      <c r="L40" s="103">
        <f>_xlfn.TEXTJOIN(CHAR(10),TRUE,V$33:V$42)</f>
        <v/>
      </c>
      <c r="M40" s="103">
        <f>_xlfn.TEXTJOIN(CHAR(10),TRUE,W$33:W$42)</f>
        <v/>
      </c>
      <c r="O40">
        <f>IF(AND($B40&lt;&gt;"",$C40&lt;&gt;"Target state",$C40&lt;&gt;"Exception",$D40="High",$E40="Low"),$A40&amp;"  "&amp;$B40,"")</f>
        <v/>
      </c>
      <c r="P40">
        <f>IF(AND($B40&lt;&gt;"",$C40&lt;&gt;"Target state",$C40&lt;&gt;"Exception",$D40="High",$E40="Medium"),$A40&amp;"  "&amp;$B40,"")</f>
        <v/>
      </c>
      <c r="Q40">
        <f>IF(AND($B40&lt;&gt;"",$C40&lt;&gt;"Target state",$C40&lt;&gt;"Exception",$D40="High",$E40="High"),$A40&amp;"  "&amp;$B40,"")</f>
        <v/>
      </c>
      <c r="R40">
        <f>IF(AND($B40&lt;&gt;"",$C40&lt;&gt;"Target state",$C40&lt;&gt;"Exception",$D40="Medium",$E40="Low"),$A40&amp;"  "&amp;$B40,"")</f>
        <v/>
      </c>
      <c r="S40">
        <f>IF(AND($B40&lt;&gt;"",$C40&lt;&gt;"Target state",$C40&lt;&gt;"Exception",$D40="Medium",$E40="Medium"),$A40&amp;"  "&amp;$B40,"")</f>
        <v/>
      </c>
      <c r="T40">
        <f>IF(AND($B40&lt;&gt;"",$C40&lt;&gt;"Target state",$C40&lt;&gt;"Exception",$D40="Medium",$E40="High"),$A40&amp;"  "&amp;$B40,"")</f>
        <v/>
      </c>
      <c r="U40">
        <f>IF(AND($B40&lt;&gt;"",$C40&lt;&gt;"Target state",$C40&lt;&gt;"Exception",$D40="Low",$E40="Low"),$A40&amp;"  "&amp;$B40,"")</f>
        <v/>
      </c>
      <c r="V40">
        <f>IF(AND($B40&lt;&gt;"",$C40&lt;&gt;"Target state",$C40&lt;&gt;"Exception",$D40="Low",$E40="Medium"),$A40&amp;"  "&amp;$B40,"")</f>
        <v/>
      </c>
      <c r="W40">
        <f>IF(AND($B40&lt;&gt;"",$C40&lt;&gt;"Target state",$C40&lt;&gt;"Exception",$D40="Low",$E40="High"),$A40&amp;"  "&amp;$B40,"")</f>
        <v/>
      </c>
    </row>
    <row r="41" ht="20" customHeight="1" s="52">
      <c r="A41" s="93" t="inlineStr">
        <is>
          <t>⑨</t>
        </is>
      </c>
      <c r="B41" s="94" t="n"/>
      <c r="C41" s="73" t="n"/>
      <c r="D41" s="73" t="n"/>
      <c r="E41" s="73" t="n"/>
      <c r="F41" s="72" t="n"/>
      <c r="G41" s="95">
        <f>IF(OR($B41="",$D41="",$E41=""),"",IF(OR($C41="Target state",$C41="Exception"),"Out of scope",IF($D41="Low","No tranche",IF($E41="Low","Tranche 1",IF($E41="Medium","Tranche 2",IF($D41="High","Tranche 3","No tranche"))))))</f>
        <v/>
      </c>
      <c r="K41" s="101" t="n"/>
      <c r="L41" s="101" t="n"/>
      <c r="M41" s="101" t="n"/>
      <c r="O41">
        <f>IF(AND($B41&lt;&gt;"",$C41&lt;&gt;"Target state",$C41&lt;&gt;"Exception",$D41="High",$E41="Low"),$A41&amp;"  "&amp;$B41,"")</f>
        <v/>
      </c>
      <c r="P41">
        <f>IF(AND($B41&lt;&gt;"",$C41&lt;&gt;"Target state",$C41&lt;&gt;"Exception",$D41="High",$E41="Medium"),$A41&amp;"  "&amp;$B41,"")</f>
        <v/>
      </c>
      <c r="Q41">
        <f>IF(AND($B41&lt;&gt;"",$C41&lt;&gt;"Target state",$C41&lt;&gt;"Exception",$D41="High",$E41="High"),$A41&amp;"  "&amp;$B41,"")</f>
        <v/>
      </c>
      <c r="R41">
        <f>IF(AND($B41&lt;&gt;"",$C41&lt;&gt;"Target state",$C41&lt;&gt;"Exception",$D41="Medium",$E41="Low"),$A41&amp;"  "&amp;$B41,"")</f>
        <v/>
      </c>
      <c r="S41">
        <f>IF(AND($B41&lt;&gt;"",$C41&lt;&gt;"Target state",$C41&lt;&gt;"Exception",$D41="Medium",$E41="Medium"),$A41&amp;"  "&amp;$B41,"")</f>
        <v/>
      </c>
      <c r="T41">
        <f>IF(AND($B41&lt;&gt;"",$C41&lt;&gt;"Target state",$C41&lt;&gt;"Exception",$D41="Medium",$E41="High"),$A41&amp;"  "&amp;$B41,"")</f>
        <v/>
      </c>
      <c r="U41">
        <f>IF(AND($B41&lt;&gt;"",$C41&lt;&gt;"Target state",$C41&lt;&gt;"Exception",$D41="Low",$E41="Low"),$A41&amp;"  "&amp;$B41,"")</f>
        <v/>
      </c>
      <c r="V41">
        <f>IF(AND($B41&lt;&gt;"",$C41&lt;&gt;"Target state",$C41&lt;&gt;"Exception",$D41="Low",$E41="Medium"),$A41&amp;"  "&amp;$B41,"")</f>
        <v/>
      </c>
      <c r="W41">
        <f>IF(AND($B41&lt;&gt;"",$C41&lt;&gt;"Target state",$C41&lt;&gt;"Exception",$D41="Low",$E41="High"),$A41&amp;"  "&amp;$B41,"")</f>
        <v/>
      </c>
    </row>
    <row r="42" ht="20" customHeight="1" s="52">
      <c r="A42" s="93" t="inlineStr">
        <is>
          <t>⑩</t>
        </is>
      </c>
      <c r="B42" s="94" t="n"/>
      <c r="C42" s="73" t="n"/>
      <c r="D42" s="73" t="n"/>
      <c r="E42" s="73" t="n"/>
      <c r="F42" s="72" t="n"/>
      <c r="G42" s="95">
        <f>IF(OR($B42="",$D42="",$E42=""),"",IF(OR($C42="Target state",$C42="Exception"),"Out of scope",IF($D42="Low","No tranche",IF($E42="Low","Tranche 1",IF($E42="Medium","Tranche 2",IF($D42="High","Tranche 3","No tranche"))))))</f>
        <v/>
      </c>
      <c r="K42" s="102" t="n"/>
      <c r="L42" s="102" t="n"/>
      <c r="M42" s="102" t="n"/>
      <c r="O42">
        <f>IF(AND($B42&lt;&gt;"",$C42&lt;&gt;"Target state",$C42&lt;&gt;"Exception",$D42="High",$E42="Low"),$A42&amp;"  "&amp;$B42,"")</f>
        <v/>
      </c>
      <c r="P42">
        <f>IF(AND($B42&lt;&gt;"",$C42&lt;&gt;"Target state",$C42&lt;&gt;"Exception",$D42="High",$E42="Medium"),$A42&amp;"  "&amp;$B42,"")</f>
        <v/>
      </c>
      <c r="Q42">
        <f>IF(AND($B42&lt;&gt;"",$C42&lt;&gt;"Target state",$C42&lt;&gt;"Exception",$D42="High",$E42="High"),$A42&amp;"  "&amp;$B42,"")</f>
        <v/>
      </c>
      <c r="R42">
        <f>IF(AND($B42&lt;&gt;"",$C42&lt;&gt;"Target state",$C42&lt;&gt;"Exception",$D42="Medium",$E42="Low"),$A42&amp;"  "&amp;$B42,"")</f>
        <v/>
      </c>
      <c r="S42">
        <f>IF(AND($B42&lt;&gt;"",$C42&lt;&gt;"Target state",$C42&lt;&gt;"Exception",$D42="Medium",$E42="Medium"),$A42&amp;"  "&amp;$B42,"")</f>
        <v/>
      </c>
      <c r="T42">
        <f>IF(AND($B42&lt;&gt;"",$C42&lt;&gt;"Target state",$C42&lt;&gt;"Exception",$D42="Medium",$E42="High"),$A42&amp;"  "&amp;$B42,"")</f>
        <v/>
      </c>
      <c r="U42">
        <f>IF(AND($B42&lt;&gt;"",$C42&lt;&gt;"Target state",$C42&lt;&gt;"Exception",$D42="Low",$E42="Low"),$A42&amp;"  "&amp;$B42,"")</f>
        <v/>
      </c>
      <c r="V42">
        <f>IF(AND($B42&lt;&gt;"",$C42&lt;&gt;"Target state",$C42&lt;&gt;"Exception",$D42="Low",$E42="Medium"),$A42&amp;"  "&amp;$B42,"")</f>
        <v/>
      </c>
      <c r="W42">
        <f>IF(AND($B42&lt;&gt;"",$C42&lt;&gt;"Target state",$C42&lt;&gt;"Exception",$D42="Low",$E42="High"),$A42&amp;"  "&amp;$B42,"")</f>
        <v/>
      </c>
    </row>
    <row r="43">
      <c r="K43" s="97" t="inlineStr">
        <is>
          <t>Complexity</t>
        </is>
      </c>
    </row>
    <row r="47" ht="22" customHeight="1" s="52">
      <c r="A47" s="88" t="inlineStr">
        <is>
          <t>DCC eDCC</t>
        </is>
      </c>
      <c r="G47" s="89">
        <f>HYPERLINK("#'VAS'!A4","▲ tracker")</f>
        <v/>
      </c>
      <c r="K47" s="90" t="inlineStr">
        <is>
          <t>Assessment Outcome</t>
        </is>
      </c>
    </row>
    <row r="48" ht="18" customHeight="1" s="52">
      <c r="A48" s="91" t="inlineStr">
        <is>
          <t>#</t>
        </is>
      </c>
      <c r="B48" s="91" t="inlineStr">
        <is>
          <t>Platform</t>
        </is>
      </c>
      <c r="C48" s="91" t="inlineStr">
        <is>
          <t>State</t>
        </is>
      </c>
      <c r="D48" s="91" t="inlineStr">
        <is>
          <t>Imperative to exit</t>
        </is>
      </c>
      <c r="E48" s="91" t="inlineStr">
        <is>
          <t>Exit complexity</t>
        </is>
      </c>
      <c r="F48" s="91" t="inlineStr">
        <is>
          <t>Supporting facts</t>
        </is>
      </c>
      <c r="G48" s="91" t="inlineStr">
        <is>
          <t>Tranche (auto)</t>
        </is>
      </c>
      <c r="K48" s="92" t="inlineStr">
        <is>
          <t>Low</t>
        </is>
      </c>
      <c r="L48" s="92" t="inlineStr">
        <is>
          <t>Medium</t>
        </is>
      </c>
      <c r="M48" s="92" t="inlineStr">
        <is>
          <t>High</t>
        </is>
      </c>
    </row>
    <row r="49" ht="20" customHeight="1" s="52">
      <c r="A49" s="93" t="inlineStr">
        <is>
          <t>①</t>
        </is>
      </c>
      <c r="B49" s="94" t="n"/>
      <c r="C49" s="73" t="n"/>
      <c r="D49" s="73" t="n"/>
      <c r="E49" s="73" t="n"/>
      <c r="F49" s="72" t="n"/>
      <c r="G49" s="95">
        <f>IF(OR($B49="",$D49="",$E49=""),"",IF(OR($C49="Target state",$C49="Exception"),"Out of scope",IF($D49="Low","No tranche",IF($E49="Low","Tranche 1",IF($E49="Medium","Tranche 2",IF($D49="High","Tranche 3","No tranche"))))))</f>
        <v/>
      </c>
      <c r="I49" s="96" t="inlineStr">
        <is>
          <t>Benefits</t>
        </is>
      </c>
      <c r="J49" s="97" t="inlineStr">
        <is>
          <t>High</t>
        </is>
      </c>
      <c r="K49" s="98">
        <f>"Tranche 1"&amp;CHAR(10)&amp;_xlfn.TEXTJOIN(CHAR(10),TRUE,O$49:O$58)</f>
        <v/>
      </c>
      <c r="L49" s="99">
        <f>"Tranche 2"&amp;CHAR(10)&amp;_xlfn.TEXTJOIN(CHAR(10),TRUE,P$49:P$58)</f>
        <v/>
      </c>
      <c r="M49" s="100">
        <f>"Tranche 3"&amp;CHAR(10)&amp;_xlfn.TEXTJOIN(CHAR(10),TRUE,Q$49:Q$58)</f>
        <v/>
      </c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20" customHeight="1" s="52">
      <c r="A50" s="93" t="inlineStr">
        <is>
          <t>②</t>
        </is>
      </c>
      <c r="B50" s="94" t="n"/>
      <c r="C50" s="73" t="n"/>
      <c r="D50" s="73" t="n"/>
      <c r="E50" s="73" t="n"/>
      <c r="F50" s="72" t="n"/>
      <c r="G50" s="95">
        <f>IF(OR($B50="",$D50="",$E50=""),"",IF(OR($C50="Target state",$C50="Exception"),"Out of scope",IF($D50="Low","No tranche",IF($E50="Low","Tranche 1",IF($E50="Medium","Tranche 2",IF($D50="High","Tranche 3","No tranche"))))))</f>
        <v/>
      </c>
      <c r="K50" s="101" t="n"/>
      <c r="L50" s="101" t="n"/>
      <c r="M50" s="101" t="n"/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1" ht="20" customHeight="1" s="52">
      <c r="A51" s="93" t="inlineStr">
        <is>
          <t>③</t>
        </is>
      </c>
      <c r="B51" s="94" t="n"/>
      <c r="C51" s="73" t="n"/>
      <c r="D51" s="73" t="n"/>
      <c r="E51" s="73" t="n"/>
      <c r="F51" s="72" t="n"/>
      <c r="G51" s="95">
        <f>IF(OR($B51="",$D51="",$E51=""),"",IF(OR($C51="Target state",$C51="Exception"),"Out of scope",IF($D51="Low","No tranche",IF($E51="Low","Tranche 1",IF($E51="Medium","Tranche 2",IF($D51="High","Tranche 3","No tranche"))))))</f>
        <v/>
      </c>
      <c r="K51" s="101" t="n"/>
      <c r="L51" s="101" t="n"/>
      <c r="M51" s="101" t="n"/>
      <c r="O51">
        <f>IF(AND($B51&lt;&gt;"",$C51&lt;&gt;"Target state",$C51&lt;&gt;"Exception",$D51="High",$E51="Low"),$A51&amp;"  "&amp;$B51,"")</f>
        <v/>
      </c>
      <c r="P51">
        <f>IF(AND($B51&lt;&gt;"",$C51&lt;&gt;"Target state",$C51&lt;&gt;"Exception",$D51="High",$E51="Medium"),$A51&amp;"  "&amp;$B51,"")</f>
        <v/>
      </c>
      <c r="Q51">
        <f>IF(AND($B51&lt;&gt;"",$C51&lt;&gt;"Target state",$C51&lt;&gt;"Exception",$D51="High",$E51="High"),$A51&amp;"  "&amp;$B51,"")</f>
        <v/>
      </c>
      <c r="R51">
        <f>IF(AND($B51&lt;&gt;"",$C51&lt;&gt;"Target state",$C51&lt;&gt;"Exception",$D51="Medium",$E51="Low"),$A51&amp;"  "&amp;$B51,"")</f>
        <v/>
      </c>
      <c r="S51">
        <f>IF(AND($B51&lt;&gt;"",$C51&lt;&gt;"Target state",$C51&lt;&gt;"Exception",$D51="Medium",$E51="Medium"),$A51&amp;"  "&amp;$B51,"")</f>
        <v/>
      </c>
      <c r="T51">
        <f>IF(AND($B51&lt;&gt;"",$C51&lt;&gt;"Target state",$C51&lt;&gt;"Exception",$D51="Medium",$E51="High"),$A51&amp;"  "&amp;$B51,"")</f>
        <v/>
      </c>
      <c r="U51">
        <f>IF(AND($B51&lt;&gt;"",$C51&lt;&gt;"Target state",$C51&lt;&gt;"Exception",$D51="Low",$E51="Low"),$A51&amp;"  "&amp;$B51,"")</f>
        <v/>
      </c>
      <c r="V51">
        <f>IF(AND($B51&lt;&gt;"",$C51&lt;&gt;"Target state",$C51&lt;&gt;"Exception",$D51="Low",$E51="Medium"),$A51&amp;"  "&amp;$B51,"")</f>
        <v/>
      </c>
      <c r="W51">
        <f>IF(AND($B51&lt;&gt;"",$C51&lt;&gt;"Target state",$C51&lt;&gt;"Exception",$D51="Low",$E51="High"),$A51&amp;"  "&amp;$B51,"")</f>
        <v/>
      </c>
    </row>
    <row r="52" ht="20" customHeight="1" s="52">
      <c r="A52" s="93" t="inlineStr">
        <is>
          <t>④</t>
        </is>
      </c>
      <c r="B52" s="94" t="n"/>
      <c r="C52" s="73" t="n"/>
      <c r="D52" s="73" t="n"/>
      <c r="E52" s="73" t="n"/>
      <c r="F52" s="72" t="n"/>
      <c r="G52" s="95">
        <f>IF(OR($B52="",$D52="",$E52=""),"",IF(OR($C52="Target state",$C52="Exception"),"Out of scope",IF($D52="Low","No tranche",IF($E52="Low","Tranche 1",IF($E52="Medium","Tranche 2",IF($D52="High","Tranche 3","No tranche"))))))</f>
        <v/>
      </c>
      <c r="K52" s="102" t="n"/>
      <c r="L52" s="102" t="n"/>
      <c r="M52" s="102" t="n"/>
      <c r="O52">
        <f>IF(AND($B52&lt;&gt;"",$C52&lt;&gt;"Target state",$C52&lt;&gt;"Exception",$D52="High",$E52="Low"),$A52&amp;"  "&amp;$B52,"")</f>
        <v/>
      </c>
      <c r="P52">
        <f>IF(AND($B52&lt;&gt;"",$C52&lt;&gt;"Target state",$C52&lt;&gt;"Exception",$D52="High",$E52="Medium"),$A52&amp;"  "&amp;$B52,"")</f>
        <v/>
      </c>
      <c r="Q52">
        <f>IF(AND($B52&lt;&gt;"",$C52&lt;&gt;"Target state",$C52&lt;&gt;"Exception",$D52="High",$E52="High"),$A52&amp;"  "&amp;$B52,"")</f>
        <v/>
      </c>
      <c r="R52">
        <f>IF(AND($B52&lt;&gt;"",$C52&lt;&gt;"Target state",$C52&lt;&gt;"Exception",$D52="Medium",$E52="Low"),$A52&amp;"  "&amp;$B52,"")</f>
        <v/>
      </c>
      <c r="S52">
        <f>IF(AND($B52&lt;&gt;"",$C52&lt;&gt;"Target state",$C52&lt;&gt;"Exception",$D52="Medium",$E52="Medium"),$A52&amp;"  "&amp;$B52,"")</f>
        <v/>
      </c>
      <c r="T52">
        <f>IF(AND($B52&lt;&gt;"",$C52&lt;&gt;"Target state",$C52&lt;&gt;"Exception",$D52="Medium",$E52="High"),$A52&amp;"  "&amp;$B52,"")</f>
        <v/>
      </c>
      <c r="U52">
        <f>IF(AND($B52&lt;&gt;"",$C52&lt;&gt;"Target state",$C52&lt;&gt;"Exception",$D52="Low",$E52="Low"),$A52&amp;"  "&amp;$B52,"")</f>
        <v/>
      </c>
      <c r="V52">
        <f>IF(AND($B52&lt;&gt;"",$C52&lt;&gt;"Target state",$C52&lt;&gt;"Exception",$D52="Low",$E52="Medium"),$A52&amp;"  "&amp;$B52,"")</f>
        <v/>
      </c>
      <c r="W52">
        <f>IF(AND($B52&lt;&gt;"",$C52&lt;&gt;"Target state",$C52&lt;&gt;"Exception",$D52="Low",$E52="High"),$A52&amp;"  "&amp;$B52,"")</f>
        <v/>
      </c>
    </row>
    <row r="53" ht="20" customHeight="1" s="52">
      <c r="A53" s="93" t="inlineStr">
        <is>
          <t>⑤</t>
        </is>
      </c>
      <c r="B53" s="94" t="n"/>
      <c r="C53" s="73" t="n"/>
      <c r="D53" s="73" t="n"/>
      <c r="E53" s="73" t="n"/>
      <c r="F53" s="72" t="n"/>
      <c r="G53" s="95">
        <f>IF(OR($B53="",$D53="",$E53=""),"",IF(OR($C53="Target state",$C53="Exception"),"Out of scope",IF($D53="Low","No tranche",IF($E53="Low","Tranche 1",IF($E53="Medium","Tranche 2",IF($D53="High","Tranche 3","No tranche"))))))</f>
        <v/>
      </c>
      <c r="J53" s="97" t="inlineStr">
        <is>
          <t>Medium</t>
        </is>
      </c>
      <c r="K53" s="98">
        <f>"Tranche 1"&amp;CHAR(10)&amp;_xlfn.TEXTJOIN(CHAR(10),TRUE,R$49:R$58)</f>
        <v/>
      </c>
      <c r="L53" s="99">
        <f>"Tranche 2"&amp;CHAR(10)&amp;_xlfn.TEXTJOIN(CHAR(10),TRUE,S$49:S$58)</f>
        <v/>
      </c>
      <c r="M53" s="103">
        <f>_xlfn.TEXTJOIN(CHAR(10),TRUE,T$49:T$58)</f>
        <v/>
      </c>
      <c r="O53">
        <f>IF(AND($B53&lt;&gt;"",$C53&lt;&gt;"Target state",$C53&lt;&gt;"Exception",$D53="High",$E53="Low"),$A53&amp;"  "&amp;$B53,"")</f>
        <v/>
      </c>
      <c r="P53">
        <f>IF(AND($B53&lt;&gt;"",$C53&lt;&gt;"Target state",$C53&lt;&gt;"Exception",$D53="High",$E53="Medium"),$A53&amp;"  "&amp;$B53,"")</f>
        <v/>
      </c>
      <c r="Q53">
        <f>IF(AND($B53&lt;&gt;"",$C53&lt;&gt;"Target state",$C53&lt;&gt;"Exception",$D53="High",$E53="High"),$A53&amp;"  "&amp;$B53,"")</f>
        <v/>
      </c>
      <c r="R53">
        <f>IF(AND($B53&lt;&gt;"",$C53&lt;&gt;"Target state",$C53&lt;&gt;"Exception",$D53="Medium",$E53="Low"),$A53&amp;"  "&amp;$B53,"")</f>
        <v/>
      </c>
      <c r="S53">
        <f>IF(AND($B53&lt;&gt;"",$C53&lt;&gt;"Target state",$C53&lt;&gt;"Exception",$D53="Medium",$E53="Medium"),$A53&amp;"  "&amp;$B53,"")</f>
        <v/>
      </c>
      <c r="T53">
        <f>IF(AND($B53&lt;&gt;"",$C53&lt;&gt;"Target state",$C53&lt;&gt;"Exception",$D53="Medium",$E53="High"),$A53&amp;"  "&amp;$B53,"")</f>
        <v/>
      </c>
      <c r="U53">
        <f>IF(AND($B53&lt;&gt;"",$C53&lt;&gt;"Target state",$C53&lt;&gt;"Exception",$D53="Low",$E53="Low"),$A53&amp;"  "&amp;$B53,"")</f>
        <v/>
      </c>
      <c r="V53">
        <f>IF(AND($B53&lt;&gt;"",$C53&lt;&gt;"Target state",$C53&lt;&gt;"Exception",$D53="Low",$E53="Medium"),$A53&amp;"  "&amp;$B53,"")</f>
        <v/>
      </c>
      <c r="W53">
        <f>IF(AND($B53&lt;&gt;"",$C53&lt;&gt;"Target state",$C53&lt;&gt;"Exception",$D53="Low",$E53="High"),$A53&amp;"  "&amp;$B53,"")</f>
        <v/>
      </c>
    </row>
    <row r="54" ht="20" customHeight="1" s="52">
      <c r="A54" s="93" t="inlineStr">
        <is>
          <t>⑥</t>
        </is>
      </c>
      <c r="B54" s="94" t="n"/>
      <c r="C54" s="73" t="n"/>
      <c r="D54" s="73" t="n"/>
      <c r="E54" s="73" t="n"/>
      <c r="F54" s="72" t="n"/>
      <c r="G54" s="95">
        <f>IF(OR($B54="",$D54="",$E54=""),"",IF(OR($C54="Target state",$C54="Exception"),"Out of scope",IF($D54="Low","No tranche",IF($E54="Low","Tranche 1",IF($E54="Medium","Tranche 2",IF($D54="High","Tranche 3","No tranche"))))))</f>
        <v/>
      </c>
      <c r="K54" s="101" t="n"/>
      <c r="L54" s="101" t="n"/>
      <c r="M54" s="101" t="n"/>
      <c r="O54">
        <f>IF(AND($B54&lt;&gt;"",$C54&lt;&gt;"Target state",$C54&lt;&gt;"Exception",$D54="High",$E54="Low"),$A54&amp;"  "&amp;$B54,"")</f>
        <v/>
      </c>
      <c r="P54">
        <f>IF(AND($B54&lt;&gt;"",$C54&lt;&gt;"Target state",$C54&lt;&gt;"Exception",$D54="High",$E54="Medium"),$A54&amp;"  "&amp;$B54,"")</f>
        <v/>
      </c>
      <c r="Q54">
        <f>IF(AND($B54&lt;&gt;"",$C54&lt;&gt;"Target state",$C54&lt;&gt;"Exception",$D54="High",$E54="High"),$A54&amp;"  "&amp;$B54,"")</f>
        <v/>
      </c>
      <c r="R54">
        <f>IF(AND($B54&lt;&gt;"",$C54&lt;&gt;"Target state",$C54&lt;&gt;"Exception",$D54="Medium",$E54="Low"),$A54&amp;"  "&amp;$B54,"")</f>
        <v/>
      </c>
      <c r="S54">
        <f>IF(AND($B54&lt;&gt;"",$C54&lt;&gt;"Target state",$C54&lt;&gt;"Exception",$D54="Medium",$E54="Medium"),$A54&amp;"  "&amp;$B54,"")</f>
        <v/>
      </c>
      <c r="T54">
        <f>IF(AND($B54&lt;&gt;"",$C54&lt;&gt;"Target state",$C54&lt;&gt;"Exception",$D54="Medium",$E54="High"),$A54&amp;"  "&amp;$B54,"")</f>
        <v/>
      </c>
      <c r="U54">
        <f>IF(AND($B54&lt;&gt;"",$C54&lt;&gt;"Target state",$C54&lt;&gt;"Exception",$D54="Low",$E54="Low"),$A54&amp;"  "&amp;$B54,"")</f>
        <v/>
      </c>
      <c r="V54">
        <f>IF(AND($B54&lt;&gt;"",$C54&lt;&gt;"Target state",$C54&lt;&gt;"Exception",$D54="Low",$E54="Medium"),$A54&amp;"  "&amp;$B54,"")</f>
        <v/>
      </c>
      <c r="W54">
        <f>IF(AND($B54&lt;&gt;"",$C54&lt;&gt;"Target state",$C54&lt;&gt;"Exception",$D54="Low",$E54="High"),$A54&amp;"  "&amp;$B54,"")</f>
        <v/>
      </c>
    </row>
    <row r="55" ht="20" customHeight="1" s="52">
      <c r="A55" s="93" t="inlineStr">
        <is>
          <t>⑦</t>
        </is>
      </c>
      <c r="B55" s="94" t="n"/>
      <c r="C55" s="73" t="n"/>
      <c r="D55" s="73" t="n"/>
      <c r="E55" s="73" t="n"/>
      <c r="F55" s="72" t="n"/>
      <c r="G55" s="95">
        <f>IF(OR($B55="",$D55="",$E55=""),"",IF(OR($C55="Target state",$C55="Exception"),"Out of scope",IF($D55="Low","No tranche",IF($E55="Low","Tranche 1",IF($E55="Medium","Tranche 2",IF($D55="High","Tranche 3","No tranche"))))))</f>
        <v/>
      </c>
      <c r="K55" s="102" t="n"/>
      <c r="L55" s="102" t="n"/>
      <c r="M55" s="102" t="n"/>
      <c r="O55">
        <f>IF(AND($B55&lt;&gt;"",$C55&lt;&gt;"Target state",$C55&lt;&gt;"Exception",$D55="High",$E55="Low"),$A55&amp;"  "&amp;$B55,"")</f>
        <v/>
      </c>
      <c r="P55">
        <f>IF(AND($B55&lt;&gt;"",$C55&lt;&gt;"Target state",$C55&lt;&gt;"Exception",$D55="High",$E55="Medium"),$A55&amp;"  "&amp;$B55,"")</f>
        <v/>
      </c>
      <c r="Q55">
        <f>IF(AND($B55&lt;&gt;"",$C55&lt;&gt;"Target state",$C55&lt;&gt;"Exception",$D55="High",$E55="High"),$A55&amp;"  "&amp;$B55,"")</f>
        <v/>
      </c>
      <c r="R55">
        <f>IF(AND($B55&lt;&gt;"",$C55&lt;&gt;"Target state",$C55&lt;&gt;"Exception",$D55="Medium",$E55="Low"),$A55&amp;"  "&amp;$B55,"")</f>
        <v/>
      </c>
      <c r="S55">
        <f>IF(AND($B55&lt;&gt;"",$C55&lt;&gt;"Target state",$C55&lt;&gt;"Exception",$D55="Medium",$E55="Medium"),$A55&amp;"  "&amp;$B55,"")</f>
        <v/>
      </c>
      <c r="T55">
        <f>IF(AND($B55&lt;&gt;"",$C55&lt;&gt;"Target state",$C55&lt;&gt;"Exception",$D55="Medium",$E55="High"),$A55&amp;"  "&amp;$B55,"")</f>
        <v/>
      </c>
      <c r="U55">
        <f>IF(AND($B55&lt;&gt;"",$C55&lt;&gt;"Target state",$C55&lt;&gt;"Exception",$D55="Low",$E55="Low"),$A55&amp;"  "&amp;$B55,"")</f>
        <v/>
      </c>
      <c r="V55">
        <f>IF(AND($B55&lt;&gt;"",$C55&lt;&gt;"Target state",$C55&lt;&gt;"Exception",$D55="Low",$E55="Medium"),$A55&amp;"  "&amp;$B55,"")</f>
        <v/>
      </c>
      <c r="W55">
        <f>IF(AND($B55&lt;&gt;"",$C55&lt;&gt;"Target state",$C55&lt;&gt;"Exception",$D55="Low",$E55="High"),$A55&amp;"  "&amp;$B55,"")</f>
        <v/>
      </c>
    </row>
    <row r="56" ht="20" customHeight="1" s="52">
      <c r="A56" s="93" t="inlineStr">
        <is>
          <t>⑧</t>
        </is>
      </c>
      <c r="B56" s="94" t="n"/>
      <c r="C56" s="73" t="n"/>
      <c r="D56" s="73" t="n"/>
      <c r="E56" s="73" t="n"/>
      <c r="F56" s="72" t="n"/>
      <c r="G56" s="95">
        <f>IF(OR($B56="",$D56="",$E56=""),"",IF(OR($C56="Target state",$C56="Exception"),"Out of scope",IF($D56="Low","No tranche",IF($E56="Low","Tranche 1",IF($E56="Medium","Tranche 2",IF($D56="High","Tranche 3","No tranche"))))))</f>
        <v/>
      </c>
      <c r="J56" s="97" t="inlineStr">
        <is>
          <t>Low</t>
        </is>
      </c>
      <c r="K56" s="103">
        <f>_xlfn.TEXTJOIN(CHAR(10),TRUE,U$49:U$58)</f>
        <v/>
      </c>
      <c r="L56" s="103">
        <f>_xlfn.TEXTJOIN(CHAR(10),TRUE,V$49:V$58)</f>
        <v/>
      </c>
      <c r="M56" s="103">
        <f>_xlfn.TEXTJOIN(CHAR(10),TRUE,W$49:W$58)</f>
        <v/>
      </c>
      <c r="O56">
        <f>IF(AND($B56&lt;&gt;"",$C56&lt;&gt;"Target state",$C56&lt;&gt;"Exception",$D56="High",$E56="Low"),$A56&amp;"  "&amp;$B56,"")</f>
        <v/>
      </c>
      <c r="P56">
        <f>IF(AND($B56&lt;&gt;"",$C56&lt;&gt;"Target state",$C56&lt;&gt;"Exception",$D56="High",$E56="Medium"),$A56&amp;"  "&amp;$B56,"")</f>
        <v/>
      </c>
      <c r="Q56">
        <f>IF(AND($B56&lt;&gt;"",$C56&lt;&gt;"Target state",$C56&lt;&gt;"Exception",$D56="High",$E56="High"),$A56&amp;"  "&amp;$B56,"")</f>
        <v/>
      </c>
      <c r="R56">
        <f>IF(AND($B56&lt;&gt;"",$C56&lt;&gt;"Target state",$C56&lt;&gt;"Exception",$D56="Medium",$E56="Low"),$A56&amp;"  "&amp;$B56,"")</f>
        <v/>
      </c>
      <c r="S56">
        <f>IF(AND($B56&lt;&gt;"",$C56&lt;&gt;"Target state",$C56&lt;&gt;"Exception",$D56="Medium",$E56="Medium"),$A56&amp;"  "&amp;$B56,"")</f>
        <v/>
      </c>
      <c r="T56">
        <f>IF(AND($B56&lt;&gt;"",$C56&lt;&gt;"Target state",$C56&lt;&gt;"Exception",$D56="Medium",$E56="High"),$A56&amp;"  "&amp;$B56,"")</f>
        <v/>
      </c>
      <c r="U56">
        <f>IF(AND($B56&lt;&gt;"",$C56&lt;&gt;"Target state",$C56&lt;&gt;"Exception",$D56="Low",$E56="Low"),$A56&amp;"  "&amp;$B56,"")</f>
        <v/>
      </c>
      <c r="V56">
        <f>IF(AND($B56&lt;&gt;"",$C56&lt;&gt;"Target state",$C56&lt;&gt;"Exception",$D56="Low",$E56="Medium"),$A56&amp;"  "&amp;$B56,"")</f>
        <v/>
      </c>
      <c r="W56">
        <f>IF(AND($B56&lt;&gt;"",$C56&lt;&gt;"Target state",$C56&lt;&gt;"Exception",$D56="Low",$E56="High"),$A56&amp;"  "&amp;$B56,"")</f>
        <v/>
      </c>
    </row>
    <row r="57" ht="20" customHeight="1" s="52">
      <c r="A57" s="93" t="inlineStr">
        <is>
          <t>⑨</t>
        </is>
      </c>
      <c r="B57" s="94" t="n"/>
      <c r="C57" s="73" t="n"/>
      <c r="D57" s="73" t="n"/>
      <c r="E57" s="73" t="n"/>
      <c r="F57" s="72" t="n"/>
      <c r="G57" s="95">
        <f>IF(OR($B57="",$D57="",$E57=""),"",IF(OR($C57="Target state",$C57="Exception"),"Out of scope",IF($D57="Low","No tranche",IF($E57="Low","Tranche 1",IF($E57="Medium","Tranche 2",IF($D57="High","Tranche 3","No tranche"))))))</f>
        <v/>
      </c>
      <c r="K57" s="101" t="n"/>
      <c r="L57" s="101" t="n"/>
      <c r="M57" s="101" t="n"/>
      <c r="O57">
        <f>IF(AND($B57&lt;&gt;"",$C57&lt;&gt;"Target state",$C57&lt;&gt;"Exception",$D57="High",$E57="Low"),$A57&amp;"  "&amp;$B57,"")</f>
        <v/>
      </c>
      <c r="P57">
        <f>IF(AND($B57&lt;&gt;"",$C57&lt;&gt;"Target state",$C57&lt;&gt;"Exception",$D57="High",$E57="Medium"),$A57&amp;"  "&amp;$B57,"")</f>
        <v/>
      </c>
      <c r="Q57">
        <f>IF(AND($B57&lt;&gt;"",$C57&lt;&gt;"Target state",$C57&lt;&gt;"Exception",$D57="High",$E57="High"),$A57&amp;"  "&amp;$B57,"")</f>
        <v/>
      </c>
      <c r="R57">
        <f>IF(AND($B57&lt;&gt;"",$C57&lt;&gt;"Target state",$C57&lt;&gt;"Exception",$D57="Medium",$E57="Low"),$A57&amp;"  "&amp;$B57,"")</f>
        <v/>
      </c>
      <c r="S57">
        <f>IF(AND($B57&lt;&gt;"",$C57&lt;&gt;"Target state",$C57&lt;&gt;"Exception",$D57="Medium",$E57="Medium"),$A57&amp;"  "&amp;$B57,"")</f>
        <v/>
      </c>
      <c r="T57">
        <f>IF(AND($B57&lt;&gt;"",$C57&lt;&gt;"Target state",$C57&lt;&gt;"Exception",$D57="Medium",$E57="High"),$A57&amp;"  "&amp;$B57,"")</f>
        <v/>
      </c>
      <c r="U57">
        <f>IF(AND($B57&lt;&gt;"",$C57&lt;&gt;"Target state",$C57&lt;&gt;"Exception",$D57="Low",$E57="Low"),$A57&amp;"  "&amp;$B57,"")</f>
        <v/>
      </c>
      <c r="V57">
        <f>IF(AND($B57&lt;&gt;"",$C57&lt;&gt;"Target state",$C57&lt;&gt;"Exception",$D57="Low",$E57="Medium"),$A57&amp;"  "&amp;$B57,"")</f>
        <v/>
      </c>
      <c r="W57">
        <f>IF(AND($B57&lt;&gt;"",$C57&lt;&gt;"Target state",$C57&lt;&gt;"Exception",$D57="Low",$E57="High"),$A57&amp;"  "&amp;$B57,"")</f>
        <v/>
      </c>
    </row>
    <row r="58" ht="20" customHeight="1" s="52">
      <c r="A58" s="93" t="inlineStr">
        <is>
          <t>⑩</t>
        </is>
      </c>
      <c r="B58" s="94" t="n"/>
      <c r="C58" s="73" t="n"/>
      <c r="D58" s="73" t="n"/>
      <c r="E58" s="73" t="n"/>
      <c r="F58" s="72" t="n"/>
      <c r="G58" s="95">
        <f>IF(OR($B58="",$D58="",$E58=""),"",IF(OR($C58="Target state",$C58="Exception"),"Out of scope",IF($D58="Low","No tranche",IF($E58="Low","Tranche 1",IF($E58="Medium","Tranche 2",IF($D58="High","Tranche 3","No tranche"))))))</f>
        <v/>
      </c>
      <c r="K58" s="102" t="n"/>
      <c r="L58" s="102" t="n"/>
      <c r="M58" s="102" t="n"/>
      <c r="O58">
        <f>IF(AND($B58&lt;&gt;"",$C58&lt;&gt;"Target state",$C58&lt;&gt;"Exception",$D58="High",$E58="Low"),$A58&amp;"  "&amp;$B58,"")</f>
        <v/>
      </c>
      <c r="P58">
        <f>IF(AND($B58&lt;&gt;"",$C58&lt;&gt;"Target state",$C58&lt;&gt;"Exception",$D58="High",$E58="Medium"),$A58&amp;"  "&amp;$B58,"")</f>
        <v/>
      </c>
      <c r="Q58">
        <f>IF(AND($B58&lt;&gt;"",$C58&lt;&gt;"Target state",$C58&lt;&gt;"Exception",$D58="High",$E58="High"),$A58&amp;"  "&amp;$B58,"")</f>
        <v/>
      </c>
      <c r="R58">
        <f>IF(AND($B58&lt;&gt;"",$C58&lt;&gt;"Target state",$C58&lt;&gt;"Exception",$D58="Medium",$E58="Low"),$A58&amp;"  "&amp;$B58,"")</f>
        <v/>
      </c>
      <c r="S58">
        <f>IF(AND($B58&lt;&gt;"",$C58&lt;&gt;"Target state",$C58&lt;&gt;"Exception",$D58="Medium",$E58="Medium"),$A58&amp;"  "&amp;$B58,"")</f>
        <v/>
      </c>
      <c r="T58">
        <f>IF(AND($B58&lt;&gt;"",$C58&lt;&gt;"Target state",$C58&lt;&gt;"Exception",$D58="Medium",$E58="High"),$A58&amp;"  "&amp;$B58,"")</f>
        <v/>
      </c>
      <c r="U58">
        <f>IF(AND($B58&lt;&gt;"",$C58&lt;&gt;"Target state",$C58&lt;&gt;"Exception",$D58="Low",$E58="Low"),$A58&amp;"  "&amp;$B58,"")</f>
        <v/>
      </c>
      <c r="V58">
        <f>IF(AND($B58&lt;&gt;"",$C58&lt;&gt;"Target state",$C58&lt;&gt;"Exception",$D58="Low",$E58="Medium"),$A58&amp;"  "&amp;$B58,"")</f>
        <v/>
      </c>
      <c r="W58">
        <f>IF(AND($B58&lt;&gt;"",$C58&lt;&gt;"Target state",$C58&lt;&gt;"Exception",$D58="Low",$E58="High"),$A58&amp;"  "&amp;$B58,"")</f>
        <v/>
      </c>
    </row>
    <row r="59">
      <c r="K59" s="97" t="inlineStr">
        <is>
          <t>Complexity</t>
        </is>
      </c>
    </row>
    <row r="63" ht="22" customHeight="1" s="52">
      <c r="A63" s="88" t="inlineStr">
        <is>
          <t>Fraud</t>
        </is>
      </c>
      <c r="G63" s="89">
        <f>HYPERLINK("#'VAS'!A4","▲ tracker")</f>
        <v/>
      </c>
      <c r="K63" s="90" t="inlineStr">
        <is>
          <t>Assessment Outcome</t>
        </is>
      </c>
    </row>
    <row r="64" ht="18" customHeight="1" s="52">
      <c r="A64" s="91" t="inlineStr">
        <is>
          <t>#</t>
        </is>
      </c>
      <c r="B64" s="91" t="inlineStr">
        <is>
          <t>Platform</t>
        </is>
      </c>
      <c r="C64" s="91" t="inlineStr">
        <is>
          <t>State</t>
        </is>
      </c>
      <c r="D64" s="91" t="inlineStr">
        <is>
          <t>Imperative to exit</t>
        </is>
      </c>
      <c r="E64" s="91" t="inlineStr">
        <is>
          <t>Exit complexity</t>
        </is>
      </c>
      <c r="F64" s="91" t="inlineStr">
        <is>
          <t>Supporting facts</t>
        </is>
      </c>
      <c r="G64" s="91" t="inlineStr">
        <is>
          <t>Tranche (auto)</t>
        </is>
      </c>
      <c r="K64" s="92" t="inlineStr">
        <is>
          <t>Low</t>
        </is>
      </c>
      <c r="L64" s="92" t="inlineStr">
        <is>
          <t>Medium</t>
        </is>
      </c>
      <c r="M64" s="92" t="inlineStr">
        <is>
          <t>High</t>
        </is>
      </c>
    </row>
    <row r="65" ht="36" customHeight="1" s="52">
      <c r="A65" s="93" t="inlineStr">
        <is>
          <t>①</t>
        </is>
      </c>
      <c r="B65" s="94" t="inlineStr">
        <is>
          <t>eSafe</t>
        </is>
      </c>
      <c r="C65" s="73" t="inlineStr">
        <is>
          <t>Non-target state</t>
        </is>
      </c>
      <c r="D65" s="73" t="n"/>
      <c r="E65" s="73" t="n"/>
      <c r="F65" s="72" t="inlineStr">
        <is>
          <t>Non-strategic post-authorization risk monitoring for EVO merchants across LATAM, EU and US with about $150B monitored across 550K MIDs; US portfolio already migrating to RiskNet V8; annual cost near $1.1M</t>
        </is>
      </c>
      <c r="G65" s="95">
        <f>IF(OR($B65="",$D65="",$E65=""),"",IF(OR($C65="Target state",$C65="Exception"),"Out of scope",IF($D65="Low","No tranche",IF($E65="Low","Tranche 1",IF($E65="Medium","Tranche 2",IF($D65="High","Tranche 3","No tranche"))))))</f>
        <v/>
      </c>
      <c r="I65" s="96" t="inlineStr">
        <is>
          <t>Benefits</t>
        </is>
      </c>
      <c r="J65" s="97" t="inlineStr">
        <is>
          <t>High</t>
        </is>
      </c>
      <c r="K65" s="98">
        <f>"Tranche 1"&amp;CHAR(10)&amp;_xlfn.TEXTJOIN(CHAR(10),TRUE,O$65:O$76)</f>
        <v/>
      </c>
      <c r="L65" s="99">
        <f>"Tranche 2"&amp;CHAR(10)&amp;_xlfn.TEXTJOIN(CHAR(10),TRUE,P$65:P$76)</f>
        <v/>
      </c>
      <c r="M65" s="100">
        <f>"Tranche 3"&amp;CHAR(10)&amp;_xlfn.TEXTJOIN(CHAR(10),TRUE,Q$65:Q$76)</f>
        <v/>
      </c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6" ht="36" customHeight="1" s="52">
      <c r="A66" s="93" t="inlineStr">
        <is>
          <t>②</t>
        </is>
      </c>
      <c r="B66" s="94" t="inlineStr">
        <is>
          <t>RiskNet</t>
        </is>
      </c>
      <c r="C66" s="73" t="inlineStr">
        <is>
          <t>Non-target state</t>
        </is>
      </c>
      <c r="D66" s="73" t="n"/>
      <c r="E66" s="73" t="n"/>
      <c r="F66" s="72" t="inlineStr">
        <is>
          <t>Third-party risk operations platform for NA and AP direct portfolios monitoring about $760B across 1.5M MIDs; annual cost near $4.4M including the ACI licence; repository flags Further Input — confirm with SPOC</t>
        </is>
      </c>
      <c r="G66" s="95">
        <f>IF(OR($B66="",$D66="",$E66=""),"",IF(OR($C66="Target state",$C66="Exception"),"Out of scope",IF($D66="Low","No tranche",IF($E66="Low","Tranche 1",IF($E66="Medium","Tranche 2",IF($D66="High","Tranche 3","No tranche"))))))</f>
        <v/>
      </c>
      <c r="K66" s="101" t="n"/>
      <c r="L66" s="101" t="n"/>
      <c r="M66" s="101" t="n"/>
      <c r="O66">
        <f>IF(AND($B66&lt;&gt;"",$C66&lt;&gt;"Target state",$C66&lt;&gt;"Exception",$D66="High",$E66="Low"),$A66&amp;"  "&amp;$B66,"")</f>
        <v/>
      </c>
      <c r="P66">
        <f>IF(AND($B66&lt;&gt;"",$C66&lt;&gt;"Target state",$C66&lt;&gt;"Exception",$D66="High",$E66="Medium"),$A66&amp;"  "&amp;$B66,"")</f>
        <v/>
      </c>
      <c r="Q66">
        <f>IF(AND($B66&lt;&gt;"",$C66&lt;&gt;"Target state",$C66&lt;&gt;"Exception",$D66="High",$E66="High"),$A66&amp;"  "&amp;$B66,"")</f>
        <v/>
      </c>
      <c r="R66">
        <f>IF(AND($B66&lt;&gt;"",$C66&lt;&gt;"Target state",$C66&lt;&gt;"Exception",$D66="Medium",$E66="Low"),$A66&amp;"  "&amp;$B66,"")</f>
        <v/>
      </c>
      <c r="S66">
        <f>IF(AND($B66&lt;&gt;"",$C66&lt;&gt;"Target state",$C66&lt;&gt;"Exception",$D66="Medium",$E66="Medium"),$A66&amp;"  "&amp;$B66,"")</f>
        <v/>
      </c>
      <c r="T66">
        <f>IF(AND($B66&lt;&gt;"",$C66&lt;&gt;"Target state",$C66&lt;&gt;"Exception",$D66="Medium",$E66="High"),$A66&amp;"  "&amp;$B66,"")</f>
        <v/>
      </c>
      <c r="U66">
        <f>IF(AND($B66&lt;&gt;"",$C66&lt;&gt;"Target state",$C66&lt;&gt;"Exception",$D66="Low",$E66="Low"),$A66&amp;"  "&amp;$B66,"")</f>
        <v/>
      </c>
      <c r="V66">
        <f>IF(AND($B66&lt;&gt;"",$C66&lt;&gt;"Target state",$C66&lt;&gt;"Exception",$D66="Low",$E66="Medium"),$A66&amp;"  "&amp;$B66,"")</f>
        <v/>
      </c>
      <c r="W66">
        <f>IF(AND($B66&lt;&gt;"",$C66&lt;&gt;"Target state",$C66&lt;&gt;"Exception",$D66="Low",$E66="High"),$A66&amp;"  "&amp;$B66,"")</f>
        <v/>
      </c>
    </row>
    <row r="67" ht="36" customHeight="1" s="52">
      <c r="A67" s="93" t="inlineStr">
        <is>
          <t>③</t>
        </is>
      </c>
      <c r="B67" s="94" t="inlineStr">
        <is>
          <t>GPE PRM</t>
        </is>
      </c>
      <c r="C67" s="73" t="inlineStr">
        <is>
          <t>Non-target state</t>
        </is>
      </c>
      <c r="D67" s="73" t="n"/>
      <c r="E67" s="73" t="n"/>
      <c r="F67" s="72" t="inlineStr">
        <is>
          <t>Non-strategic ACI fraud detection and prevention system for CEMA acquiring and issuing, also used by external institutions and for TRA exemptions; repository flags initial disposition Keep &amp; Enhance — confirm with SPOC</t>
        </is>
      </c>
      <c r="G67" s="95">
        <f>IF(OR($B67="",$D67="",$E67=""),"",IF(OR($C67="Target state",$C67="Exception"),"Out of scope",IF($D67="Low","No tranche",IF($E67="Low","Tranche 1",IF($E67="Medium","Tranche 2",IF($D67="High","Tranche 3","No tranche"))))))</f>
        <v/>
      </c>
      <c r="K67" s="101" t="n"/>
      <c r="L67" s="101" t="n"/>
      <c r="M67" s="101" t="n"/>
      <c r="O67">
        <f>IF(AND($B67&lt;&gt;"",$C67&lt;&gt;"Target state",$C67&lt;&gt;"Exception",$D67="High",$E67="Low"),$A67&amp;"  "&amp;$B67,"")</f>
        <v/>
      </c>
      <c r="P67">
        <f>IF(AND($B67&lt;&gt;"",$C67&lt;&gt;"Target state",$C67&lt;&gt;"Exception",$D67="High",$E67="Medium"),$A67&amp;"  "&amp;$B67,"")</f>
        <v/>
      </c>
      <c r="Q67">
        <f>IF(AND($B67&lt;&gt;"",$C67&lt;&gt;"Target state",$C67&lt;&gt;"Exception",$D67="High",$E67="High"),$A67&amp;"  "&amp;$B67,"")</f>
        <v/>
      </c>
      <c r="R67">
        <f>IF(AND($B67&lt;&gt;"",$C67&lt;&gt;"Target state",$C67&lt;&gt;"Exception",$D67="Medium",$E67="Low"),$A67&amp;"  "&amp;$B67,"")</f>
        <v/>
      </c>
      <c r="S67">
        <f>IF(AND($B67&lt;&gt;"",$C67&lt;&gt;"Target state",$C67&lt;&gt;"Exception",$D67="Medium",$E67="Medium"),$A67&amp;"  "&amp;$B67,"")</f>
        <v/>
      </c>
      <c r="T67">
        <f>IF(AND($B67&lt;&gt;"",$C67&lt;&gt;"Target state",$C67&lt;&gt;"Exception",$D67="Medium",$E67="High"),$A67&amp;"  "&amp;$B67,"")</f>
        <v/>
      </c>
      <c r="U67">
        <f>IF(AND($B67&lt;&gt;"",$C67&lt;&gt;"Target state",$C67&lt;&gt;"Exception",$D67="Low",$E67="Low"),$A67&amp;"  "&amp;$B67,"")</f>
        <v/>
      </c>
      <c r="V67">
        <f>IF(AND($B67&lt;&gt;"",$C67&lt;&gt;"Target state",$C67&lt;&gt;"Exception",$D67="Low",$E67="Medium"),$A67&amp;"  "&amp;$B67,"")</f>
        <v/>
      </c>
      <c r="W67">
        <f>IF(AND($B67&lt;&gt;"",$C67&lt;&gt;"Target state",$C67&lt;&gt;"Exception",$D67="Low",$E67="High"),$A67&amp;"  "&amp;$B67,"")</f>
        <v/>
      </c>
    </row>
    <row r="68" ht="30" customHeight="1" s="52">
      <c r="A68" s="93" t="inlineStr">
        <is>
          <t>④</t>
        </is>
      </c>
      <c r="B68" s="94" t="inlineStr">
        <is>
          <t>Riskshield</t>
        </is>
      </c>
      <c r="C68" s="73" t="inlineStr">
        <is>
          <t>Non-target state</t>
        </is>
      </c>
      <c r="D68" s="73" t="n"/>
      <c r="E68" s="73" t="n"/>
      <c r="F68" s="72" t="inlineStr">
        <is>
          <t>Non-strategic fraud management platform for NBG Pay in Greece; to be replaced by eSafe after migration</t>
        </is>
      </c>
      <c r="G68" s="95">
        <f>IF(OR($B68="",$D68="",$E68=""),"",IF(OR($C68="Target state",$C68="Exception"),"Out of scope",IF($D68="Low","No tranche",IF($E68="Low","Tranche 1",IF($E68="Medium","Tranche 2",IF($D68="High","Tranche 3","No tranche"))))))</f>
        <v/>
      </c>
      <c r="K68" s="102" t="n"/>
      <c r="L68" s="102" t="n"/>
      <c r="M68" s="102" t="n"/>
      <c r="O68">
        <f>IF(AND($B68&lt;&gt;"",$C68&lt;&gt;"Target state",$C68&lt;&gt;"Exception",$D68="High",$E68="Low"),$A68&amp;"  "&amp;$B68,"")</f>
        <v/>
      </c>
      <c r="P68">
        <f>IF(AND($B68&lt;&gt;"",$C68&lt;&gt;"Target state",$C68&lt;&gt;"Exception",$D68="High",$E68="Medium"),$A68&amp;"  "&amp;$B68,"")</f>
        <v/>
      </c>
      <c r="Q68">
        <f>IF(AND($B68&lt;&gt;"",$C68&lt;&gt;"Target state",$C68&lt;&gt;"Exception",$D68="High",$E68="High"),$A68&amp;"  "&amp;$B68,"")</f>
        <v/>
      </c>
      <c r="R68">
        <f>IF(AND($B68&lt;&gt;"",$C68&lt;&gt;"Target state",$C68&lt;&gt;"Exception",$D68="Medium",$E68="Low"),$A68&amp;"  "&amp;$B68,"")</f>
        <v/>
      </c>
      <c r="S68">
        <f>IF(AND($B68&lt;&gt;"",$C68&lt;&gt;"Target state",$C68&lt;&gt;"Exception",$D68="Medium",$E68="Medium"),$A68&amp;"  "&amp;$B68,"")</f>
        <v/>
      </c>
      <c r="T68">
        <f>IF(AND($B68&lt;&gt;"",$C68&lt;&gt;"Target state",$C68&lt;&gt;"Exception",$D68="Medium",$E68="High"),$A68&amp;"  "&amp;$B68,"")</f>
        <v/>
      </c>
      <c r="U68">
        <f>IF(AND($B68&lt;&gt;"",$C68&lt;&gt;"Target state",$C68&lt;&gt;"Exception",$D68="Low",$E68="Low"),$A68&amp;"  "&amp;$B68,"")</f>
        <v/>
      </c>
      <c r="V68">
        <f>IF(AND($B68&lt;&gt;"",$C68&lt;&gt;"Target state",$C68&lt;&gt;"Exception",$D68="Low",$E68="Medium"),$A68&amp;"  "&amp;$B68,"")</f>
        <v/>
      </c>
      <c r="W68">
        <f>IF(AND($B68&lt;&gt;"",$C68&lt;&gt;"Target state",$C68&lt;&gt;"Exception",$D68="Low",$E68="High"),$A68&amp;"  "&amp;$B68,"")</f>
        <v/>
      </c>
    </row>
    <row r="69" ht="36" customHeight="1" s="52">
      <c r="A69" s="93" t="inlineStr">
        <is>
          <t>⑤</t>
        </is>
      </c>
      <c r="B69" s="94" t="inlineStr">
        <is>
          <t>RiskLab</t>
        </is>
      </c>
      <c r="C69" s="73" t="inlineStr">
        <is>
          <t>Non-target state</t>
        </is>
      </c>
      <c r="D69" s="73" t="n"/>
      <c r="E69" s="73" t="n"/>
      <c r="F69" s="72" t="inlineStr">
        <is>
          <t>Non-strategic Heartland automated risk edits suspending transactions for review across roughly 165K active MIDs; costs bundled with Passport; repository flags initial disposition Keep &amp; Enhance — confirm with SPOC</t>
        </is>
      </c>
      <c r="G69" s="95">
        <f>IF(OR($B69="",$D69="",$E69=""),"",IF(OR($C69="Target state",$C69="Exception"),"Out of scope",IF($D69="Low","No tranche",IF($E69="Low","Tranche 1",IF($E69="Medium","Tranche 2",IF($D69="High","Tranche 3","No tranche"))))))</f>
        <v/>
      </c>
      <c r="J69" s="97" t="inlineStr">
        <is>
          <t>Medium</t>
        </is>
      </c>
      <c r="K69" s="98">
        <f>"Tranche 1"&amp;CHAR(10)&amp;_xlfn.TEXTJOIN(CHAR(10),TRUE,R$65:R$76)</f>
        <v/>
      </c>
      <c r="L69" s="99">
        <f>"Tranche 2"&amp;CHAR(10)&amp;_xlfn.TEXTJOIN(CHAR(10),TRUE,S$65:S$76)</f>
        <v/>
      </c>
      <c r="M69" s="103">
        <f>_xlfn.TEXTJOIN(CHAR(10),TRUE,T$65:T$76)</f>
        <v/>
      </c>
      <c r="O69">
        <f>IF(AND($B69&lt;&gt;"",$C69&lt;&gt;"Target state",$C69&lt;&gt;"Exception",$D69="High",$E69="Low"),$A69&amp;"  "&amp;$B69,"")</f>
        <v/>
      </c>
      <c r="P69">
        <f>IF(AND($B69&lt;&gt;"",$C69&lt;&gt;"Target state",$C69&lt;&gt;"Exception",$D69="High",$E69="Medium"),$A69&amp;"  "&amp;$B69,"")</f>
        <v/>
      </c>
      <c r="Q69">
        <f>IF(AND($B69&lt;&gt;"",$C69&lt;&gt;"Target state",$C69&lt;&gt;"Exception",$D69="High",$E69="High"),$A69&amp;"  "&amp;$B69,"")</f>
        <v/>
      </c>
      <c r="R69">
        <f>IF(AND($B69&lt;&gt;"",$C69&lt;&gt;"Target state",$C69&lt;&gt;"Exception",$D69="Medium",$E69="Low"),$A69&amp;"  "&amp;$B69,"")</f>
        <v/>
      </c>
      <c r="S69">
        <f>IF(AND($B69&lt;&gt;"",$C69&lt;&gt;"Target state",$C69&lt;&gt;"Exception",$D69="Medium",$E69="Medium"),$A69&amp;"  "&amp;$B69,"")</f>
        <v/>
      </c>
      <c r="T69">
        <f>IF(AND($B69&lt;&gt;"",$C69&lt;&gt;"Target state",$C69&lt;&gt;"Exception",$D69="Medium",$E69="High"),$A69&amp;"  "&amp;$B69,"")</f>
        <v/>
      </c>
      <c r="U69">
        <f>IF(AND($B69&lt;&gt;"",$C69&lt;&gt;"Target state",$C69&lt;&gt;"Exception",$D69="Low",$E69="Low"),$A69&amp;"  "&amp;$B69,"")</f>
        <v/>
      </c>
      <c r="V69">
        <f>IF(AND($B69&lt;&gt;"",$C69&lt;&gt;"Target state",$C69&lt;&gt;"Exception",$D69="Low",$E69="Medium"),$A69&amp;"  "&amp;$B69,"")</f>
        <v/>
      </c>
      <c r="W69">
        <f>IF(AND($B69&lt;&gt;"",$C69&lt;&gt;"Target state",$C69&lt;&gt;"Exception",$D69="Low",$E69="High"),$A69&amp;"  "&amp;$B69,"")</f>
        <v/>
      </c>
    </row>
    <row r="70" ht="30" customHeight="1" s="52">
      <c r="A70" s="93" t="inlineStr">
        <is>
          <t>⑥</t>
        </is>
      </c>
      <c r="B70" s="94" t="inlineStr">
        <is>
          <t>CyberSource Decision Manager</t>
        </is>
      </c>
      <c r="C70" s="73" t="inlineStr">
        <is>
          <t>Non-target state</t>
        </is>
      </c>
      <c r="D70" s="73" t="n"/>
      <c r="E70" s="73" t="n"/>
      <c r="F70" s="72" t="inlineStr">
        <is>
          <t>Resold Visa fraud decisioning used in UK and EU; sustain in KTLO per the repository</t>
        </is>
      </c>
      <c r="G70" s="95">
        <f>IF(OR($B70="",$D70="",$E70=""),"",IF(OR($C70="Target state",$C70="Exception"),"Out of scope",IF($D70="Low","No tranche",IF($E70="Low","Tranche 1",IF($E70="Medium","Tranche 2",IF($D70="High","Tranche 3","No tranche"))))))</f>
        <v/>
      </c>
      <c r="K70" s="101" t="n"/>
      <c r="L70" s="101" t="n"/>
      <c r="M70" s="101" t="n"/>
      <c r="O70">
        <f>IF(AND($B70&lt;&gt;"",$C70&lt;&gt;"Target state",$C70&lt;&gt;"Exception",$D70="High",$E70="Low"),$A70&amp;"  "&amp;$B70,"")</f>
        <v/>
      </c>
      <c r="P70">
        <f>IF(AND($B70&lt;&gt;"",$C70&lt;&gt;"Target state",$C70&lt;&gt;"Exception",$D70="High",$E70="Medium"),$A70&amp;"  "&amp;$B70,"")</f>
        <v/>
      </c>
      <c r="Q70">
        <f>IF(AND($B70&lt;&gt;"",$C70&lt;&gt;"Target state",$C70&lt;&gt;"Exception",$D70="High",$E70="High"),$A70&amp;"  "&amp;$B70,"")</f>
        <v/>
      </c>
      <c r="R70">
        <f>IF(AND($B70&lt;&gt;"",$C70&lt;&gt;"Target state",$C70&lt;&gt;"Exception",$D70="Medium",$E70="Low"),$A70&amp;"  "&amp;$B70,"")</f>
        <v/>
      </c>
      <c r="S70">
        <f>IF(AND($B70&lt;&gt;"",$C70&lt;&gt;"Target state",$C70&lt;&gt;"Exception",$D70="Medium",$E70="Medium"),$A70&amp;"  "&amp;$B70,"")</f>
        <v/>
      </c>
      <c r="T70">
        <f>IF(AND($B70&lt;&gt;"",$C70&lt;&gt;"Target state",$C70&lt;&gt;"Exception",$D70="Medium",$E70="High"),$A70&amp;"  "&amp;$B70,"")</f>
        <v/>
      </c>
      <c r="U70">
        <f>IF(AND($B70&lt;&gt;"",$C70&lt;&gt;"Target state",$C70&lt;&gt;"Exception",$D70="Low",$E70="Low"),$A70&amp;"  "&amp;$B70,"")</f>
        <v/>
      </c>
      <c r="V70">
        <f>IF(AND($B70&lt;&gt;"",$C70&lt;&gt;"Target state",$C70&lt;&gt;"Exception",$D70="Low",$E70="Medium"),$A70&amp;"  "&amp;$B70,"")</f>
        <v/>
      </c>
      <c r="W70">
        <f>IF(AND($B70&lt;&gt;"",$C70&lt;&gt;"Target state",$C70&lt;&gt;"Exception",$D70="Low",$E70="High"),$A70&amp;"  "&amp;$B70,"")</f>
        <v/>
      </c>
    </row>
    <row r="71" ht="30" customHeight="1" s="52">
      <c r="A71" s="93" t="inlineStr">
        <is>
          <t>⑦</t>
        </is>
      </c>
      <c r="B71" s="94" t="inlineStr">
        <is>
          <t>Heartland Secure</t>
        </is>
      </c>
      <c r="C71" s="73" t="inlineStr">
        <is>
          <t>Non-target state</t>
        </is>
      </c>
      <c r="D71" s="73" t="n"/>
      <c r="E71" s="73" t="n"/>
      <c r="F71" s="72" t="inlineStr">
        <is>
          <t>Encryption and breach-protection program for SMB merchants; overlaps with P2PE ownership and needs strategy validation per the repository</t>
        </is>
      </c>
      <c r="G71" s="95">
        <f>IF(OR($B71="",$D71="",$E71=""),"",IF(OR($C71="Target state",$C71="Exception"),"Out of scope",IF($D71="Low","No tranche",IF($E71="Low","Tranche 1",IF($E71="Medium","Tranche 2",IF($D71="High","Tranche 3","No tranche"))))))</f>
        <v/>
      </c>
      <c r="K71" s="101" t="n"/>
      <c r="L71" s="101" t="n"/>
      <c r="M71" s="101" t="n"/>
      <c r="O71">
        <f>IF(AND($B71&lt;&gt;"",$C71&lt;&gt;"Target state",$C71&lt;&gt;"Exception",$D71="High",$E71="Low"),$A71&amp;"  "&amp;$B71,"")</f>
        <v/>
      </c>
      <c r="P71">
        <f>IF(AND($B71&lt;&gt;"",$C71&lt;&gt;"Target state",$C71&lt;&gt;"Exception",$D71="High",$E71="Medium"),$A71&amp;"  "&amp;$B71,"")</f>
        <v/>
      </c>
      <c r="Q71">
        <f>IF(AND($B71&lt;&gt;"",$C71&lt;&gt;"Target state",$C71&lt;&gt;"Exception",$D71="High",$E71="High"),$A71&amp;"  "&amp;$B71,"")</f>
        <v/>
      </c>
      <c r="R71">
        <f>IF(AND($B71&lt;&gt;"",$C71&lt;&gt;"Target state",$C71&lt;&gt;"Exception",$D71="Medium",$E71="Low"),$A71&amp;"  "&amp;$B71,"")</f>
        <v/>
      </c>
      <c r="S71">
        <f>IF(AND($B71&lt;&gt;"",$C71&lt;&gt;"Target state",$C71&lt;&gt;"Exception",$D71="Medium",$E71="Medium"),$A71&amp;"  "&amp;$B71,"")</f>
        <v/>
      </c>
      <c r="T71">
        <f>IF(AND($B71&lt;&gt;"",$C71&lt;&gt;"Target state",$C71&lt;&gt;"Exception",$D71="Medium",$E71="High"),$A71&amp;"  "&amp;$B71,"")</f>
        <v/>
      </c>
      <c r="U71">
        <f>IF(AND($B71&lt;&gt;"",$C71&lt;&gt;"Target state",$C71&lt;&gt;"Exception",$D71="Low",$E71="Low"),$A71&amp;"  "&amp;$B71,"")</f>
        <v/>
      </c>
      <c r="V71">
        <f>IF(AND($B71&lt;&gt;"",$C71&lt;&gt;"Target state",$C71&lt;&gt;"Exception",$D71="Low",$E71="Medium"),$A71&amp;"  "&amp;$B71,"")</f>
        <v/>
      </c>
      <c r="W71">
        <f>IF(AND($B71&lt;&gt;"",$C71&lt;&gt;"Target state",$C71&lt;&gt;"Exception",$D71="Low",$E71="High"),$A71&amp;"  "&amp;$B71,"")</f>
        <v/>
      </c>
    </row>
    <row r="72" ht="36" customHeight="1" s="52">
      <c r="A72" s="93" t="inlineStr">
        <is>
          <t>⑧</t>
        </is>
      </c>
      <c r="B72" s="94" t="inlineStr">
        <is>
          <t>ProPay ARM (with Tableau)</t>
        </is>
      </c>
      <c r="C72" s="73" t="inlineStr">
        <is>
          <t>Non-target state</t>
        </is>
      </c>
      <c r="D72" s="73" t="n"/>
      <c r="E72" s="73" t="n"/>
      <c r="F72" s="72" t="inlineStr">
        <is>
          <t>Automated risk management deeply embedded in the ProPay payfac platform with Tableau reporting, non-extensible beyond ProPay; repository flags initial disposition Keep &amp; Enhance — confirm with SPOC</t>
        </is>
      </c>
      <c r="G72" s="95">
        <f>IF(OR($B72="",$D72="",$E72=""),"",IF(OR($C72="Target state",$C72="Exception"),"Out of scope",IF($D72="Low","No tranche",IF($E72="Low","Tranche 1",IF($E72="Medium","Tranche 2",IF($D72="High","Tranche 3","No tranche"))))))</f>
        <v/>
      </c>
      <c r="K72" s="102" t="n"/>
      <c r="L72" s="102" t="n"/>
      <c r="M72" s="102" t="n"/>
      <c r="O72">
        <f>IF(AND($B72&lt;&gt;"",$C72&lt;&gt;"Target state",$C72&lt;&gt;"Exception",$D72="High",$E72="Low"),$A72&amp;"  "&amp;$B72,"")</f>
        <v/>
      </c>
      <c r="P72">
        <f>IF(AND($B72&lt;&gt;"",$C72&lt;&gt;"Target state",$C72&lt;&gt;"Exception",$D72="High",$E72="Medium"),$A72&amp;"  "&amp;$B72,"")</f>
        <v/>
      </c>
      <c r="Q72">
        <f>IF(AND($B72&lt;&gt;"",$C72&lt;&gt;"Target state",$C72&lt;&gt;"Exception",$D72="High",$E72="High"),$A72&amp;"  "&amp;$B72,"")</f>
        <v/>
      </c>
      <c r="R72">
        <f>IF(AND($B72&lt;&gt;"",$C72&lt;&gt;"Target state",$C72&lt;&gt;"Exception",$D72="Medium",$E72="Low"),$A72&amp;"  "&amp;$B72,"")</f>
        <v/>
      </c>
      <c r="S72">
        <f>IF(AND($B72&lt;&gt;"",$C72&lt;&gt;"Target state",$C72&lt;&gt;"Exception",$D72="Medium",$E72="Medium"),$A72&amp;"  "&amp;$B72,"")</f>
        <v/>
      </c>
      <c r="T72">
        <f>IF(AND($B72&lt;&gt;"",$C72&lt;&gt;"Target state",$C72&lt;&gt;"Exception",$D72="Medium",$E72="High"),$A72&amp;"  "&amp;$B72,"")</f>
        <v/>
      </c>
      <c r="U72">
        <f>IF(AND($B72&lt;&gt;"",$C72&lt;&gt;"Target state",$C72&lt;&gt;"Exception",$D72="Low",$E72="Low"),$A72&amp;"  "&amp;$B72,"")</f>
        <v/>
      </c>
      <c r="V72">
        <f>IF(AND($B72&lt;&gt;"",$C72&lt;&gt;"Target state",$C72&lt;&gt;"Exception",$D72="Low",$E72="Medium"),$A72&amp;"  "&amp;$B72,"")</f>
        <v/>
      </c>
      <c r="W72">
        <f>IF(AND($B72&lt;&gt;"",$C72&lt;&gt;"Target state",$C72&lt;&gt;"Exception",$D72="Low",$E72="High"),$A72&amp;"  "&amp;$B72,"")</f>
        <v/>
      </c>
    </row>
    <row r="73" ht="20" customHeight="1" s="52">
      <c r="A73" s="93" t="inlineStr">
        <is>
          <t>⑨</t>
        </is>
      </c>
      <c r="B73" s="94" t="n"/>
      <c r="C73" s="73" t="n"/>
      <c r="D73" s="73" t="n"/>
      <c r="E73" s="73" t="n"/>
      <c r="F73" s="72" t="n"/>
      <c r="G73" s="95">
        <f>IF(OR($B73="",$D73="",$E73=""),"",IF(OR($C73="Target state",$C73="Exception"),"Out of scope",IF($D73="Low","No tranche",IF($E73="Low","Tranche 1",IF($E73="Medium","Tranche 2",IF($D73="High","Tranche 3","No tranche"))))))</f>
        <v/>
      </c>
      <c r="J73" s="97" t="inlineStr">
        <is>
          <t>Low</t>
        </is>
      </c>
      <c r="K73" s="103">
        <f>_xlfn.TEXTJOIN(CHAR(10),TRUE,U$65:U$76)</f>
        <v/>
      </c>
      <c r="L73" s="103">
        <f>_xlfn.TEXTJOIN(CHAR(10),TRUE,V$65:V$76)</f>
        <v/>
      </c>
      <c r="M73" s="103">
        <f>_xlfn.TEXTJOIN(CHAR(10),TRUE,W$65:W$76)</f>
        <v/>
      </c>
      <c r="O73">
        <f>IF(AND($B73&lt;&gt;"",$C73&lt;&gt;"Target state",$C73&lt;&gt;"Exception",$D73="High",$E73="Low"),$A73&amp;"  "&amp;$B73,"")</f>
        <v/>
      </c>
      <c r="P73">
        <f>IF(AND($B73&lt;&gt;"",$C73&lt;&gt;"Target state",$C73&lt;&gt;"Exception",$D73="High",$E73="Medium"),$A73&amp;"  "&amp;$B73,"")</f>
        <v/>
      </c>
      <c r="Q73">
        <f>IF(AND($B73&lt;&gt;"",$C73&lt;&gt;"Target state",$C73&lt;&gt;"Exception",$D73="High",$E73="High"),$A73&amp;"  "&amp;$B73,"")</f>
        <v/>
      </c>
      <c r="R73">
        <f>IF(AND($B73&lt;&gt;"",$C73&lt;&gt;"Target state",$C73&lt;&gt;"Exception",$D73="Medium",$E73="Low"),$A73&amp;"  "&amp;$B73,"")</f>
        <v/>
      </c>
      <c r="S73">
        <f>IF(AND($B73&lt;&gt;"",$C73&lt;&gt;"Target state",$C73&lt;&gt;"Exception",$D73="Medium",$E73="Medium"),$A73&amp;"  "&amp;$B73,"")</f>
        <v/>
      </c>
      <c r="T73">
        <f>IF(AND($B73&lt;&gt;"",$C73&lt;&gt;"Target state",$C73&lt;&gt;"Exception",$D73="Medium",$E73="High"),$A73&amp;"  "&amp;$B73,"")</f>
        <v/>
      </c>
      <c r="U73">
        <f>IF(AND($B73&lt;&gt;"",$C73&lt;&gt;"Target state",$C73&lt;&gt;"Exception",$D73="Low",$E73="Low"),$A73&amp;"  "&amp;$B73,"")</f>
        <v/>
      </c>
      <c r="V73">
        <f>IF(AND($B73&lt;&gt;"",$C73&lt;&gt;"Target state",$C73&lt;&gt;"Exception",$D73="Low",$E73="Medium"),$A73&amp;"  "&amp;$B73,"")</f>
        <v/>
      </c>
      <c r="W73">
        <f>IF(AND($B73&lt;&gt;"",$C73&lt;&gt;"Target state",$C73&lt;&gt;"Exception",$D73="Low",$E73="High"),$A73&amp;"  "&amp;$B73,"")</f>
        <v/>
      </c>
    </row>
    <row r="74" ht="20" customHeight="1" s="52">
      <c r="A74" s="93" t="inlineStr">
        <is>
          <t>⑩</t>
        </is>
      </c>
      <c r="B74" s="94" t="n"/>
      <c r="C74" s="73" t="n"/>
      <c r="D74" s="73" t="n"/>
      <c r="E74" s="73" t="n"/>
      <c r="F74" s="72" t="n"/>
      <c r="G74" s="95">
        <f>IF(OR($B74="",$D74="",$E74=""),"",IF(OR($C74="Target state",$C74="Exception"),"Out of scope",IF($D74="Low","No tranche",IF($E74="Low","Tranche 1",IF($E74="Medium","Tranche 2",IF($D74="High","Tranche 3","No tranche"))))))</f>
        <v/>
      </c>
      <c r="K74" s="101" t="n"/>
      <c r="L74" s="101" t="n"/>
      <c r="M74" s="101" t="n"/>
      <c r="O74">
        <f>IF(AND($B74&lt;&gt;"",$C74&lt;&gt;"Target state",$C74&lt;&gt;"Exception",$D74="High",$E74="Low"),$A74&amp;"  "&amp;$B74,"")</f>
        <v/>
      </c>
      <c r="P74">
        <f>IF(AND($B74&lt;&gt;"",$C74&lt;&gt;"Target state",$C74&lt;&gt;"Exception",$D74="High",$E74="Medium"),$A74&amp;"  "&amp;$B74,"")</f>
        <v/>
      </c>
      <c r="Q74">
        <f>IF(AND($B74&lt;&gt;"",$C74&lt;&gt;"Target state",$C74&lt;&gt;"Exception",$D74="High",$E74="High"),$A74&amp;"  "&amp;$B74,"")</f>
        <v/>
      </c>
      <c r="R74">
        <f>IF(AND($B74&lt;&gt;"",$C74&lt;&gt;"Target state",$C74&lt;&gt;"Exception",$D74="Medium",$E74="Low"),$A74&amp;"  "&amp;$B74,"")</f>
        <v/>
      </c>
      <c r="S74">
        <f>IF(AND($B74&lt;&gt;"",$C74&lt;&gt;"Target state",$C74&lt;&gt;"Exception",$D74="Medium",$E74="Medium"),$A74&amp;"  "&amp;$B74,"")</f>
        <v/>
      </c>
      <c r="T74">
        <f>IF(AND($B74&lt;&gt;"",$C74&lt;&gt;"Target state",$C74&lt;&gt;"Exception",$D74="Medium",$E74="High"),$A74&amp;"  "&amp;$B74,"")</f>
        <v/>
      </c>
      <c r="U74">
        <f>IF(AND($B74&lt;&gt;"",$C74&lt;&gt;"Target state",$C74&lt;&gt;"Exception",$D74="Low",$E74="Low"),$A74&amp;"  "&amp;$B74,"")</f>
        <v/>
      </c>
      <c r="V74">
        <f>IF(AND($B74&lt;&gt;"",$C74&lt;&gt;"Target state",$C74&lt;&gt;"Exception",$D74="Low",$E74="Medium"),$A74&amp;"  "&amp;$B74,"")</f>
        <v/>
      </c>
      <c r="W74">
        <f>IF(AND($B74&lt;&gt;"",$C74&lt;&gt;"Target state",$C74&lt;&gt;"Exception",$D74="Low",$E74="High"),$A74&amp;"  "&amp;$B74,"")</f>
        <v/>
      </c>
    </row>
    <row r="75" ht="20" customHeight="1" s="52">
      <c r="A75" s="93" t="inlineStr">
        <is>
          <t>⑪</t>
        </is>
      </c>
      <c r="B75" s="94" t="n"/>
      <c r="C75" s="73" t="n"/>
      <c r="D75" s="73" t="n"/>
      <c r="E75" s="73" t="n"/>
      <c r="F75" s="72" t="n"/>
      <c r="G75" s="95">
        <f>IF(OR($B75="",$D75="",$E75=""),"",IF(OR($C75="Target state",$C75="Exception"),"Out of scope",IF($D75="Low","No tranche",IF($E75="Low","Tranche 1",IF($E75="Medium","Tranche 2",IF($D75="High","Tranche 3","No tranche"))))))</f>
        <v/>
      </c>
      <c r="K75" s="101" t="n"/>
      <c r="L75" s="101" t="n"/>
      <c r="M75" s="101" t="n"/>
      <c r="O75">
        <f>IF(AND($B75&lt;&gt;"",$C75&lt;&gt;"Target state",$C75&lt;&gt;"Exception",$D75="High",$E75="Low"),$A75&amp;"  "&amp;$B75,"")</f>
        <v/>
      </c>
      <c r="P75">
        <f>IF(AND($B75&lt;&gt;"",$C75&lt;&gt;"Target state",$C75&lt;&gt;"Exception",$D75="High",$E75="Medium"),$A75&amp;"  "&amp;$B75,"")</f>
        <v/>
      </c>
      <c r="Q75">
        <f>IF(AND($B75&lt;&gt;"",$C75&lt;&gt;"Target state",$C75&lt;&gt;"Exception",$D75="High",$E75="High"),$A75&amp;"  "&amp;$B75,"")</f>
        <v/>
      </c>
      <c r="R75">
        <f>IF(AND($B75&lt;&gt;"",$C75&lt;&gt;"Target state",$C75&lt;&gt;"Exception",$D75="Medium",$E75="Low"),$A75&amp;"  "&amp;$B75,"")</f>
        <v/>
      </c>
      <c r="S75">
        <f>IF(AND($B75&lt;&gt;"",$C75&lt;&gt;"Target state",$C75&lt;&gt;"Exception",$D75="Medium",$E75="Medium"),$A75&amp;"  "&amp;$B75,"")</f>
        <v/>
      </c>
      <c r="T75">
        <f>IF(AND($B75&lt;&gt;"",$C75&lt;&gt;"Target state",$C75&lt;&gt;"Exception",$D75="Medium",$E75="High"),$A75&amp;"  "&amp;$B75,"")</f>
        <v/>
      </c>
      <c r="U75">
        <f>IF(AND($B75&lt;&gt;"",$C75&lt;&gt;"Target state",$C75&lt;&gt;"Exception",$D75="Low",$E75="Low"),$A75&amp;"  "&amp;$B75,"")</f>
        <v/>
      </c>
      <c r="V75">
        <f>IF(AND($B75&lt;&gt;"",$C75&lt;&gt;"Target state",$C75&lt;&gt;"Exception",$D75="Low",$E75="Medium"),$A75&amp;"  "&amp;$B75,"")</f>
        <v/>
      </c>
      <c r="W75">
        <f>IF(AND($B75&lt;&gt;"",$C75&lt;&gt;"Target state",$C75&lt;&gt;"Exception",$D75="Low",$E75="High"),$A75&amp;"  "&amp;$B75,"")</f>
        <v/>
      </c>
    </row>
    <row r="76" ht="20" customHeight="1" s="52">
      <c r="A76" s="93" t="inlineStr">
        <is>
          <t>⑫</t>
        </is>
      </c>
      <c r="B76" s="94" t="n"/>
      <c r="C76" s="73" t="n"/>
      <c r="D76" s="73" t="n"/>
      <c r="E76" s="73" t="n"/>
      <c r="F76" s="72" t="n"/>
      <c r="G76" s="95">
        <f>IF(OR($B76="",$D76="",$E76=""),"",IF(OR($C76="Target state",$C76="Exception"),"Out of scope",IF($D76="Low","No tranche",IF($E76="Low","Tranche 1",IF($E76="Medium","Tranche 2",IF($D76="High","Tranche 3","No tranche"))))))</f>
        <v/>
      </c>
      <c r="K76" s="102" t="n"/>
      <c r="L76" s="102" t="n"/>
      <c r="M76" s="102" t="n"/>
      <c r="O76">
        <f>IF(AND($B76&lt;&gt;"",$C76&lt;&gt;"Target state",$C76&lt;&gt;"Exception",$D76="High",$E76="Low"),$A76&amp;"  "&amp;$B76,"")</f>
        <v/>
      </c>
      <c r="P76">
        <f>IF(AND($B76&lt;&gt;"",$C76&lt;&gt;"Target state",$C76&lt;&gt;"Exception",$D76="High",$E76="Medium"),$A76&amp;"  "&amp;$B76,"")</f>
        <v/>
      </c>
      <c r="Q76">
        <f>IF(AND($B76&lt;&gt;"",$C76&lt;&gt;"Target state",$C76&lt;&gt;"Exception",$D76="High",$E76="High"),$A76&amp;"  "&amp;$B76,"")</f>
        <v/>
      </c>
      <c r="R76">
        <f>IF(AND($B76&lt;&gt;"",$C76&lt;&gt;"Target state",$C76&lt;&gt;"Exception",$D76="Medium",$E76="Low"),$A76&amp;"  "&amp;$B76,"")</f>
        <v/>
      </c>
      <c r="S76">
        <f>IF(AND($B76&lt;&gt;"",$C76&lt;&gt;"Target state",$C76&lt;&gt;"Exception",$D76="Medium",$E76="Medium"),$A76&amp;"  "&amp;$B76,"")</f>
        <v/>
      </c>
      <c r="T76">
        <f>IF(AND($B76&lt;&gt;"",$C76&lt;&gt;"Target state",$C76&lt;&gt;"Exception",$D76="Medium",$E76="High"),$A76&amp;"  "&amp;$B76,"")</f>
        <v/>
      </c>
      <c r="U76">
        <f>IF(AND($B76&lt;&gt;"",$C76&lt;&gt;"Target state",$C76&lt;&gt;"Exception",$D76="Low",$E76="Low"),$A76&amp;"  "&amp;$B76,"")</f>
        <v/>
      </c>
      <c r="V76">
        <f>IF(AND($B76&lt;&gt;"",$C76&lt;&gt;"Target state",$C76&lt;&gt;"Exception",$D76="Low",$E76="Medium"),$A76&amp;"  "&amp;$B76,"")</f>
        <v/>
      </c>
      <c r="W76">
        <f>IF(AND($B76&lt;&gt;"",$C76&lt;&gt;"Target state",$C76&lt;&gt;"Exception",$D76="Low",$E76="High"),$A76&amp;"  "&amp;$B76,"")</f>
        <v/>
      </c>
    </row>
    <row r="77">
      <c r="K77" s="97" t="inlineStr">
        <is>
          <t>Complexity</t>
        </is>
      </c>
    </row>
    <row r="81" ht="22" customHeight="1" s="52">
      <c r="A81" s="88" t="inlineStr">
        <is>
          <t>Credential Management</t>
        </is>
      </c>
      <c r="G81" s="89">
        <f>HYPERLINK("#'VAS'!A4","▲ tracker")</f>
        <v/>
      </c>
      <c r="K81" s="90" t="inlineStr">
        <is>
          <t>Assessment Outcome</t>
        </is>
      </c>
    </row>
    <row r="82" ht="18" customHeight="1" s="52">
      <c r="A82" s="91" t="inlineStr">
        <is>
          <t>#</t>
        </is>
      </c>
      <c r="B82" s="91" t="inlineStr">
        <is>
          <t>Platform</t>
        </is>
      </c>
      <c r="C82" s="91" t="inlineStr">
        <is>
          <t>State</t>
        </is>
      </c>
      <c r="D82" s="91" t="inlineStr">
        <is>
          <t>Imperative to exit</t>
        </is>
      </c>
      <c r="E82" s="91" t="inlineStr">
        <is>
          <t>Exit complexity</t>
        </is>
      </c>
      <c r="F82" s="91" t="inlineStr">
        <is>
          <t>Supporting facts</t>
        </is>
      </c>
      <c r="G82" s="91" t="inlineStr">
        <is>
          <t>Tranche (auto)</t>
        </is>
      </c>
      <c r="K82" s="92" t="inlineStr">
        <is>
          <t>Low</t>
        </is>
      </c>
      <c r="L82" s="92" t="inlineStr">
        <is>
          <t>Medium</t>
        </is>
      </c>
      <c r="M82" s="92" t="inlineStr">
        <is>
          <t>High</t>
        </is>
      </c>
    </row>
    <row r="83" ht="20" customHeight="1" s="52">
      <c r="A83" s="93" t="inlineStr">
        <is>
          <t>①</t>
        </is>
      </c>
      <c r="B83" s="94" t="n"/>
      <c r="C83" s="73" t="n"/>
      <c r="D83" s="73" t="n"/>
      <c r="E83" s="73" t="n"/>
      <c r="F83" s="72" t="n"/>
      <c r="G83" s="95">
        <f>IF(OR($B83="",$D83="",$E83=""),"",IF(OR($C83="Target state",$C83="Exception"),"Out of scope",IF($D83="Low","No tranche",IF($E83="Low","Tranche 1",IF($E83="Medium","Tranche 2",IF($D83="High","Tranche 3","No tranche"))))))</f>
        <v/>
      </c>
      <c r="I83" s="96" t="inlineStr">
        <is>
          <t>Benefits</t>
        </is>
      </c>
      <c r="J83" s="97" t="inlineStr">
        <is>
          <t>High</t>
        </is>
      </c>
      <c r="K83" s="98">
        <f>"Tranche 1"&amp;CHAR(10)&amp;_xlfn.TEXTJOIN(CHAR(10),TRUE,O$83:O$92)</f>
        <v/>
      </c>
      <c r="L83" s="99">
        <f>"Tranche 2"&amp;CHAR(10)&amp;_xlfn.TEXTJOIN(CHAR(10),TRUE,P$83:P$92)</f>
        <v/>
      </c>
      <c r="M83" s="100">
        <f>"Tranche 3"&amp;CHAR(10)&amp;_xlfn.TEXTJOIN(CHAR(10),TRUE,Q$83:Q$92)</f>
        <v/>
      </c>
      <c r="O83">
        <f>IF(AND($B83&lt;&gt;"",$C83&lt;&gt;"Target state",$C83&lt;&gt;"Exception",$D83="High",$E83="Low"),$A83&amp;"  "&amp;$B83,"")</f>
        <v/>
      </c>
      <c r="P83">
        <f>IF(AND($B83&lt;&gt;"",$C83&lt;&gt;"Target state",$C83&lt;&gt;"Exception",$D83="High",$E83="Medium"),$A83&amp;"  "&amp;$B83,"")</f>
        <v/>
      </c>
      <c r="Q83">
        <f>IF(AND($B83&lt;&gt;"",$C83&lt;&gt;"Target state",$C83&lt;&gt;"Exception",$D83="High",$E83="High"),$A83&amp;"  "&amp;$B83,"")</f>
        <v/>
      </c>
      <c r="R83">
        <f>IF(AND($B83&lt;&gt;"",$C83&lt;&gt;"Target state",$C83&lt;&gt;"Exception",$D83="Medium",$E83="Low"),$A83&amp;"  "&amp;$B83,"")</f>
        <v/>
      </c>
      <c r="S83">
        <f>IF(AND($B83&lt;&gt;"",$C83&lt;&gt;"Target state",$C83&lt;&gt;"Exception",$D83="Medium",$E83="Medium"),$A83&amp;"  "&amp;$B83,"")</f>
        <v/>
      </c>
      <c r="T83">
        <f>IF(AND($B83&lt;&gt;"",$C83&lt;&gt;"Target state",$C83&lt;&gt;"Exception",$D83="Medium",$E83="High"),$A83&amp;"  "&amp;$B83,"")</f>
        <v/>
      </c>
      <c r="U83">
        <f>IF(AND($B83&lt;&gt;"",$C83&lt;&gt;"Target state",$C83&lt;&gt;"Exception",$D83="Low",$E83="Low"),$A83&amp;"  "&amp;$B83,"")</f>
        <v/>
      </c>
      <c r="V83">
        <f>IF(AND($B83&lt;&gt;"",$C83&lt;&gt;"Target state",$C83&lt;&gt;"Exception",$D83="Low",$E83="Medium"),$A83&amp;"  "&amp;$B83,"")</f>
        <v/>
      </c>
      <c r="W83">
        <f>IF(AND($B83&lt;&gt;"",$C83&lt;&gt;"Target state",$C83&lt;&gt;"Exception",$D83="Low",$E83="High"),$A83&amp;"  "&amp;$B83,"")</f>
        <v/>
      </c>
    </row>
    <row r="84" ht="20" customHeight="1" s="52">
      <c r="A84" s="93" t="inlineStr">
        <is>
          <t>②</t>
        </is>
      </c>
      <c r="B84" s="94" t="n"/>
      <c r="C84" s="73" t="n"/>
      <c r="D84" s="73" t="n"/>
      <c r="E84" s="73" t="n"/>
      <c r="F84" s="72" t="n"/>
      <c r="G84" s="95">
        <f>IF(OR($B84="",$D84="",$E84=""),"",IF(OR($C84="Target state",$C84="Exception"),"Out of scope",IF($D84="Low","No tranche",IF($E84="Low","Tranche 1",IF($E84="Medium","Tranche 2",IF($D84="High","Tranche 3","No tranche"))))))</f>
        <v/>
      </c>
      <c r="K84" s="101" t="n"/>
      <c r="L84" s="101" t="n"/>
      <c r="M84" s="101" t="n"/>
      <c r="O84">
        <f>IF(AND($B84&lt;&gt;"",$C84&lt;&gt;"Target state",$C84&lt;&gt;"Exception",$D84="High",$E84="Low"),$A84&amp;"  "&amp;$B84,"")</f>
        <v/>
      </c>
      <c r="P84">
        <f>IF(AND($B84&lt;&gt;"",$C84&lt;&gt;"Target state",$C84&lt;&gt;"Exception",$D84="High",$E84="Medium"),$A84&amp;"  "&amp;$B84,"")</f>
        <v/>
      </c>
      <c r="Q84">
        <f>IF(AND($B84&lt;&gt;"",$C84&lt;&gt;"Target state",$C84&lt;&gt;"Exception",$D84="High",$E84="High"),$A84&amp;"  "&amp;$B84,"")</f>
        <v/>
      </c>
      <c r="R84">
        <f>IF(AND($B84&lt;&gt;"",$C84&lt;&gt;"Target state",$C84&lt;&gt;"Exception",$D84="Medium",$E84="Low"),$A84&amp;"  "&amp;$B84,"")</f>
        <v/>
      </c>
      <c r="S84">
        <f>IF(AND($B84&lt;&gt;"",$C84&lt;&gt;"Target state",$C84&lt;&gt;"Exception",$D84="Medium",$E84="Medium"),$A84&amp;"  "&amp;$B84,"")</f>
        <v/>
      </c>
      <c r="T84">
        <f>IF(AND($B84&lt;&gt;"",$C84&lt;&gt;"Target state",$C84&lt;&gt;"Exception",$D84="Medium",$E84="High"),$A84&amp;"  "&amp;$B84,"")</f>
        <v/>
      </c>
      <c r="U84">
        <f>IF(AND($B84&lt;&gt;"",$C84&lt;&gt;"Target state",$C84&lt;&gt;"Exception",$D84="Low",$E84="Low"),$A84&amp;"  "&amp;$B84,"")</f>
        <v/>
      </c>
      <c r="V84">
        <f>IF(AND($B84&lt;&gt;"",$C84&lt;&gt;"Target state",$C84&lt;&gt;"Exception",$D84="Low",$E84="Medium"),$A84&amp;"  "&amp;$B84,"")</f>
        <v/>
      </c>
      <c r="W84">
        <f>IF(AND($B84&lt;&gt;"",$C84&lt;&gt;"Target state",$C84&lt;&gt;"Exception",$D84="Low",$E84="High"),$A84&amp;"  "&amp;$B84,"")</f>
        <v/>
      </c>
    </row>
    <row r="85" ht="20" customHeight="1" s="52">
      <c r="A85" s="93" t="inlineStr">
        <is>
          <t>③</t>
        </is>
      </c>
      <c r="B85" s="94" t="n"/>
      <c r="C85" s="73" t="n"/>
      <c r="D85" s="73" t="n"/>
      <c r="E85" s="73" t="n"/>
      <c r="F85" s="72" t="n"/>
      <c r="G85" s="95">
        <f>IF(OR($B85="",$D85="",$E85=""),"",IF(OR($C85="Target state",$C85="Exception"),"Out of scope",IF($D85="Low","No tranche",IF($E85="Low","Tranche 1",IF($E85="Medium","Tranche 2",IF($D85="High","Tranche 3","No tranche"))))))</f>
        <v/>
      </c>
      <c r="K85" s="101" t="n"/>
      <c r="L85" s="101" t="n"/>
      <c r="M85" s="101" t="n"/>
      <c r="O85">
        <f>IF(AND($B85&lt;&gt;"",$C85&lt;&gt;"Target state",$C85&lt;&gt;"Exception",$D85="High",$E85="Low"),$A85&amp;"  "&amp;$B85,"")</f>
        <v/>
      </c>
      <c r="P85">
        <f>IF(AND($B85&lt;&gt;"",$C85&lt;&gt;"Target state",$C85&lt;&gt;"Exception",$D85="High",$E85="Medium"),$A85&amp;"  "&amp;$B85,"")</f>
        <v/>
      </c>
      <c r="Q85">
        <f>IF(AND($B85&lt;&gt;"",$C85&lt;&gt;"Target state",$C85&lt;&gt;"Exception",$D85="High",$E85="High"),$A85&amp;"  "&amp;$B85,"")</f>
        <v/>
      </c>
      <c r="R85">
        <f>IF(AND($B85&lt;&gt;"",$C85&lt;&gt;"Target state",$C85&lt;&gt;"Exception",$D85="Medium",$E85="Low"),$A85&amp;"  "&amp;$B85,"")</f>
        <v/>
      </c>
      <c r="S85">
        <f>IF(AND($B85&lt;&gt;"",$C85&lt;&gt;"Target state",$C85&lt;&gt;"Exception",$D85="Medium",$E85="Medium"),$A85&amp;"  "&amp;$B85,"")</f>
        <v/>
      </c>
      <c r="T85">
        <f>IF(AND($B85&lt;&gt;"",$C85&lt;&gt;"Target state",$C85&lt;&gt;"Exception",$D85="Medium",$E85="High"),$A85&amp;"  "&amp;$B85,"")</f>
        <v/>
      </c>
      <c r="U85">
        <f>IF(AND($B85&lt;&gt;"",$C85&lt;&gt;"Target state",$C85&lt;&gt;"Exception",$D85="Low",$E85="Low"),$A85&amp;"  "&amp;$B85,"")</f>
        <v/>
      </c>
      <c r="V85">
        <f>IF(AND($B85&lt;&gt;"",$C85&lt;&gt;"Target state",$C85&lt;&gt;"Exception",$D85="Low",$E85="Medium"),$A85&amp;"  "&amp;$B85,"")</f>
        <v/>
      </c>
      <c r="W85">
        <f>IF(AND($B85&lt;&gt;"",$C85&lt;&gt;"Target state",$C85&lt;&gt;"Exception",$D85="Low",$E85="High"),$A85&amp;"  "&amp;$B85,"")</f>
        <v/>
      </c>
    </row>
    <row r="86" ht="20" customHeight="1" s="52">
      <c r="A86" s="93" t="inlineStr">
        <is>
          <t>④</t>
        </is>
      </c>
      <c r="B86" s="94" t="n"/>
      <c r="C86" s="73" t="n"/>
      <c r="D86" s="73" t="n"/>
      <c r="E86" s="73" t="n"/>
      <c r="F86" s="72" t="n"/>
      <c r="G86" s="95">
        <f>IF(OR($B86="",$D86="",$E86=""),"",IF(OR($C86="Target state",$C86="Exception"),"Out of scope",IF($D86="Low","No tranche",IF($E86="Low","Tranche 1",IF($E86="Medium","Tranche 2",IF($D86="High","Tranche 3","No tranche"))))))</f>
        <v/>
      </c>
      <c r="K86" s="102" t="n"/>
      <c r="L86" s="102" t="n"/>
      <c r="M86" s="102" t="n"/>
      <c r="O86">
        <f>IF(AND($B86&lt;&gt;"",$C86&lt;&gt;"Target state",$C86&lt;&gt;"Exception",$D86="High",$E86="Low"),$A86&amp;"  "&amp;$B86,"")</f>
        <v/>
      </c>
      <c r="P86">
        <f>IF(AND($B86&lt;&gt;"",$C86&lt;&gt;"Target state",$C86&lt;&gt;"Exception",$D86="High",$E86="Medium"),$A86&amp;"  "&amp;$B86,"")</f>
        <v/>
      </c>
      <c r="Q86">
        <f>IF(AND($B86&lt;&gt;"",$C86&lt;&gt;"Target state",$C86&lt;&gt;"Exception",$D86="High",$E86="High"),$A86&amp;"  "&amp;$B86,"")</f>
        <v/>
      </c>
      <c r="R86">
        <f>IF(AND($B86&lt;&gt;"",$C86&lt;&gt;"Target state",$C86&lt;&gt;"Exception",$D86="Medium",$E86="Low"),$A86&amp;"  "&amp;$B86,"")</f>
        <v/>
      </c>
      <c r="S86">
        <f>IF(AND($B86&lt;&gt;"",$C86&lt;&gt;"Target state",$C86&lt;&gt;"Exception",$D86="Medium",$E86="Medium"),$A86&amp;"  "&amp;$B86,"")</f>
        <v/>
      </c>
      <c r="T86">
        <f>IF(AND($B86&lt;&gt;"",$C86&lt;&gt;"Target state",$C86&lt;&gt;"Exception",$D86="Medium",$E86="High"),$A86&amp;"  "&amp;$B86,"")</f>
        <v/>
      </c>
      <c r="U86">
        <f>IF(AND($B86&lt;&gt;"",$C86&lt;&gt;"Target state",$C86&lt;&gt;"Exception",$D86="Low",$E86="Low"),$A86&amp;"  "&amp;$B86,"")</f>
        <v/>
      </c>
      <c r="V86">
        <f>IF(AND($B86&lt;&gt;"",$C86&lt;&gt;"Target state",$C86&lt;&gt;"Exception",$D86="Low",$E86="Medium"),$A86&amp;"  "&amp;$B86,"")</f>
        <v/>
      </c>
      <c r="W86">
        <f>IF(AND($B86&lt;&gt;"",$C86&lt;&gt;"Target state",$C86&lt;&gt;"Exception",$D86="Low",$E86="High"),$A86&amp;"  "&amp;$B86,"")</f>
        <v/>
      </c>
    </row>
    <row r="87" ht="20" customHeight="1" s="52">
      <c r="A87" s="93" t="inlineStr">
        <is>
          <t>⑤</t>
        </is>
      </c>
      <c r="B87" s="94" t="n"/>
      <c r="C87" s="73" t="n"/>
      <c r="D87" s="73" t="n"/>
      <c r="E87" s="73" t="n"/>
      <c r="F87" s="72" t="n"/>
      <c r="G87" s="95">
        <f>IF(OR($B87="",$D87="",$E87=""),"",IF(OR($C87="Target state",$C87="Exception"),"Out of scope",IF($D87="Low","No tranche",IF($E87="Low","Tranche 1",IF($E87="Medium","Tranche 2",IF($D87="High","Tranche 3","No tranche"))))))</f>
        <v/>
      </c>
      <c r="J87" s="97" t="inlineStr">
        <is>
          <t>Medium</t>
        </is>
      </c>
      <c r="K87" s="98">
        <f>"Tranche 1"&amp;CHAR(10)&amp;_xlfn.TEXTJOIN(CHAR(10),TRUE,R$83:R$92)</f>
        <v/>
      </c>
      <c r="L87" s="99">
        <f>"Tranche 2"&amp;CHAR(10)&amp;_xlfn.TEXTJOIN(CHAR(10),TRUE,S$83:S$92)</f>
        <v/>
      </c>
      <c r="M87" s="103">
        <f>_xlfn.TEXTJOIN(CHAR(10),TRUE,T$83:T$92)</f>
        <v/>
      </c>
      <c r="O87">
        <f>IF(AND($B87&lt;&gt;"",$C87&lt;&gt;"Target state",$C87&lt;&gt;"Exception",$D87="High",$E87="Low"),$A87&amp;"  "&amp;$B87,"")</f>
        <v/>
      </c>
      <c r="P87">
        <f>IF(AND($B87&lt;&gt;"",$C87&lt;&gt;"Target state",$C87&lt;&gt;"Exception",$D87="High",$E87="Medium"),$A87&amp;"  "&amp;$B87,"")</f>
        <v/>
      </c>
      <c r="Q87">
        <f>IF(AND($B87&lt;&gt;"",$C87&lt;&gt;"Target state",$C87&lt;&gt;"Exception",$D87="High",$E87="High"),$A87&amp;"  "&amp;$B87,"")</f>
        <v/>
      </c>
      <c r="R87">
        <f>IF(AND($B87&lt;&gt;"",$C87&lt;&gt;"Target state",$C87&lt;&gt;"Exception",$D87="Medium",$E87="Low"),$A87&amp;"  "&amp;$B87,"")</f>
        <v/>
      </c>
      <c r="S87">
        <f>IF(AND($B87&lt;&gt;"",$C87&lt;&gt;"Target state",$C87&lt;&gt;"Exception",$D87="Medium",$E87="Medium"),$A87&amp;"  "&amp;$B87,"")</f>
        <v/>
      </c>
      <c r="T87">
        <f>IF(AND($B87&lt;&gt;"",$C87&lt;&gt;"Target state",$C87&lt;&gt;"Exception",$D87="Medium",$E87="High"),$A87&amp;"  "&amp;$B87,"")</f>
        <v/>
      </c>
      <c r="U87">
        <f>IF(AND($B87&lt;&gt;"",$C87&lt;&gt;"Target state",$C87&lt;&gt;"Exception",$D87="Low",$E87="Low"),$A87&amp;"  "&amp;$B87,"")</f>
        <v/>
      </c>
      <c r="V87">
        <f>IF(AND($B87&lt;&gt;"",$C87&lt;&gt;"Target state",$C87&lt;&gt;"Exception",$D87="Low",$E87="Medium"),$A87&amp;"  "&amp;$B87,"")</f>
        <v/>
      </c>
      <c r="W87">
        <f>IF(AND($B87&lt;&gt;"",$C87&lt;&gt;"Target state",$C87&lt;&gt;"Exception",$D87="Low",$E87="High"),$A87&amp;"  "&amp;$B87,"")</f>
        <v/>
      </c>
    </row>
    <row r="88" ht="20" customHeight="1" s="52">
      <c r="A88" s="93" t="inlineStr">
        <is>
          <t>⑥</t>
        </is>
      </c>
      <c r="B88" s="94" t="n"/>
      <c r="C88" s="73" t="n"/>
      <c r="D88" s="73" t="n"/>
      <c r="E88" s="73" t="n"/>
      <c r="F88" s="72" t="n"/>
      <c r="G88" s="95">
        <f>IF(OR($B88="",$D88="",$E88=""),"",IF(OR($C88="Target state",$C88="Exception"),"Out of scope",IF($D88="Low","No tranche",IF($E88="Low","Tranche 1",IF($E88="Medium","Tranche 2",IF($D88="High","Tranche 3","No tranche"))))))</f>
        <v/>
      </c>
      <c r="K88" s="101" t="n"/>
      <c r="L88" s="101" t="n"/>
      <c r="M88" s="101" t="n"/>
      <c r="O88">
        <f>IF(AND($B88&lt;&gt;"",$C88&lt;&gt;"Target state",$C88&lt;&gt;"Exception",$D88="High",$E88="Low"),$A88&amp;"  "&amp;$B88,"")</f>
        <v/>
      </c>
      <c r="P88">
        <f>IF(AND($B88&lt;&gt;"",$C88&lt;&gt;"Target state",$C88&lt;&gt;"Exception",$D88="High",$E88="Medium"),$A88&amp;"  "&amp;$B88,"")</f>
        <v/>
      </c>
      <c r="Q88">
        <f>IF(AND($B88&lt;&gt;"",$C88&lt;&gt;"Target state",$C88&lt;&gt;"Exception",$D88="High",$E88="High"),$A88&amp;"  "&amp;$B88,"")</f>
        <v/>
      </c>
      <c r="R88">
        <f>IF(AND($B88&lt;&gt;"",$C88&lt;&gt;"Target state",$C88&lt;&gt;"Exception",$D88="Medium",$E88="Low"),$A88&amp;"  "&amp;$B88,"")</f>
        <v/>
      </c>
      <c r="S88">
        <f>IF(AND($B88&lt;&gt;"",$C88&lt;&gt;"Target state",$C88&lt;&gt;"Exception",$D88="Medium",$E88="Medium"),$A88&amp;"  "&amp;$B88,"")</f>
        <v/>
      </c>
      <c r="T88">
        <f>IF(AND($B88&lt;&gt;"",$C88&lt;&gt;"Target state",$C88&lt;&gt;"Exception",$D88="Medium",$E88="High"),$A88&amp;"  "&amp;$B88,"")</f>
        <v/>
      </c>
      <c r="U88">
        <f>IF(AND($B88&lt;&gt;"",$C88&lt;&gt;"Target state",$C88&lt;&gt;"Exception",$D88="Low",$E88="Low"),$A88&amp;"  "&amp;$B88,"")</f>
        <v/>
      </c>
      <c r="V88">
        <f>IF(AND($B88&lt;&gt;"",$C88&lt;&gt;"Target state",$C88&lt;&gt;"Exception",$D88="Low",$E88="Medium"),$A88&amp;"  "&amp;$B88,"")</f>
        <v/>
      </c>
      <c r="W88">
        <f>IF(AND($B88&lt;&gt;"",$C88&lt;&gt;"Target state",$C88&lt;&gt;"Exception",$D88="Low",$E88="High"),$A88&amp;"  "&amp;$B88,"")</f>
        <v/>
      </c>
    </row>
    <row r="89" ht="20" customHeight="1" s="52">
      <c r="A89" s="93" t="inlineStr">
        <is>
          <t>⑦</t>
        </is>
      </c>
      <c r="B89" s="94" t="n"/>
      <c r="C89" s="73" t="n"/>
      <c r="D89" s="73" t="n"/>
      <c r="E89" s="73" t="n"/>
      <c r="F89" s="72" t="n"/>
      <c r="G89" s="95">
        <f>IF(OR($B89="",$D89="",$E89=""),"",IF(OR($C89="Target state",$C89="Exception"),"Out of scope",IF($D89="Low","No tranche",IF($E89="Low","Tranche 1",IF($E89="Medium","Tranche 2",IF($D89="High","Tranche 3","No tranche"))))))</f>
        <v/>
      </c>
      <c r="K89" s="102" t="n"/>
      <c r="L89" s="102" t="n"/>
      <c r="M89" s="102" t="n"/>
      <c r="O89">
        <f>IF(AND($B89&lt;&gt;"",$C89&lt;&gt;"Target state",$C89&lt;&gt;"Exception",$D89="High",$E89="Low"),$A89&amp;"  "&amp;$B89,"")</f>
        <v/>
      </c>
      <c r="P89">
        <f>IF(AND($B89&lt;&gt;"",$C89&lt;&gt;"Target state",$C89&lt;&gt;"Exception",$D89="High",$E89="Medium"),$A89&amp;"  "&amp;$B89,"")</f>
        <v/>
      </c>
      <c r="Q89">
        <f>IF(AND($B89&lt;&gt;"",$C89&lt;&gt;"Target state",$C89&lt;&gt;"Exception",$D89="High",$E89="High"),$A89&amp;"  "&amp;$B89,"")</f>
        <v/>
      </c>
      <c r="R89">
        <f>IF(AND($B89&lt;&gt;"",$C89&lt;&gt;"Target state",$C89&lt;&gt;"Exception",$D89="Medium",$E89="Low"),$A89&amp;"  "&amp;$B89,"")</f>
        <v/>
      </c>
      <c r="S89">
        <f>IF(AND($B89&lt;&gt;"",$C89&lt;&gt;"Target state",$C89&lt;&gt;"Exception",$D89="Medium",$E89="Medium"),$A89&amp;"  "&amp;$B89,"")</f>
        <v/>
      </c>
      <c r="T89">
        <f>IF(AND($B89&lt;&gt;"",$C89&lt;&gt;"Target state",$C89&lt;&gt;"Exception",$D89="Medium",$E89="High"),$A89&amp;"  "&amp;$B89,"")</f>
        <v/>
      </c>
      <c r="U89">
        <f>IF(AND($B89&lt;&gt;"",$C89&lt;&gt;"Target state",$C89&lt;&gt;"Exception",$D89="Low",$E89="Low"),$A89&amp;"  "&amp;$B89,"")</f>
        <v/>
      </c>
      <c r="V89">
        <f>IF(AND($B89&lt;&gt;"",$C89&lt;&gt;"Target state",$C89&lt;&gt;"Exception",$D89="Low",$E89="Medium"),$A89&amp;"  "&amp;$B89,"")</f>
        <v/>
      </c>
      <c r="W89">
        <f>IF(AND($B89&lt;&gt;"",$C89&lt;&gt;"Target state",$C89&lt;&gt;"Exception",$D89="Low",$E89="High"),$A89&amp;"  "&amp;$B89,"")</f>
        <v/>
      </c>
    </row>
    <row r="90" ht="20" customHeight="1" s="52">
      <c r="A90" s="93" t="inlineStr">
        <is>
          <t>⑧</t>
        </is>
      </c>
      <c r="B90" s="94" t="n"/>
      <c r="C90" s="73" t="n"/>
      <c r="D90" s="73" t="n"/>
      <c r="E90" s="73" t="n"/>
      <c r="F90" s="72" t="n"/>
      <c r="G90" s="95">
        <f>IF(OR($B90="",$D90="",$E90=""),"",IF(OR($C90="Target state",$C90="Exception"),"Out of scope",IF($D90="Low","No tranche",IF($E90="Low","Tranche 1",IF($E90="Medium","Tranche 2",IF($D90="High","Tranche 3","No tranche"))))))</f>
        <v/>
      </c>
      <c r="J90" s="97" t="inlineStr">
        <is>
          <t>Low</t>
        </is>
      </c>
      <c r="K90" s="103">
        <f>_xlfn.TEXTJOIN(CHAR(10),TRUE,U$83:U$92)</f>
        <v/>
      </c>
      <c r="L90" s="103">
        <f>_xlfn.TEXTJOIN(CHAR(10),TRUE,V$83:V$92)</f>
        <v/>
      </c>
      <c r="M90" s="103">
        <f>_xlfn.TEXTJOIN(CHAR(10),TRUE,W$83:W$92)</f>
        <v/>
      </c>
      <c r="O90">
        <f>IF(AND($B90&lt;&gt;"",$C90&lt;&gt;"Target state",$C90&lt;&gt;"Exception",$D90="High",$E90="Low"),$A90&amp;"  "&amp;$B90,"")</f>
        <v/>
      </c>
      <c r="P90">
        <f>IF(AND($B90&lt;&gt;"",$C90&lt;&gt;"Target state",$C90&lt;&gt;"Exception",$D90="High",$E90="Medium"),$A90&amp;"  "&amp;$B90,"")</f>
        <v/>
      </c>
      <c r="Q90">
        <f>IF(AND($B90&lt;&gt;"",$C90&lt;&gt;"Target state",$C90&lt;&gt;"Exception",$D90="High",$E90="High"),$A90&amp;"  "&amp;$B90,"")</f>
        <v/>
      </c>
      <c r="R90">
        <f>IF(AND($B90&lt;&gt;"",$C90&lt;&gt;"Target state",$C90&lt;&gt;"Exception",$D90="Medium",$E90="Low"),$A90&amp;"  "&amp;$B90,"")</f>
        <v/>
      </c>
      <c r="S90">
        <f>IF(AND($B90&lt;&gt;"",$C90&lt;&gt;"Target state",$C90&lt;&gt;"Exception",$D90="Medium",$E90="Medium"),$A90&amp;"  "&amp;$B90,"")</f>
        <v/>
      </c>
      <c r="T90">
        <f>IF(AND($B90&lt;&gt;"",$C90&lt;&gt;"Target state",$C90&lt;&gt;"Exception",$D90="Medium",$E90="High"),$A90&amp;"  "&amp;$B90,"")</f>
        <v/>
      </c>
      <c r="U90">
        <f>IF(AND($B90&lt;&gt;"",$C90&lt;&gt;"Target state",$C90&lt;&gt;"Exception",$D90="Low",$E90="Low"),$A90&amp;"  "&amp;$B90,"")</f>
        <v/>
      </c>
      <c r="V90">
        <f>IF(AND($B90&lt;&gt;"",$C90&lt;&gt;"Target state",$C90&lt;&gt;"Exception",$D90="Low",$E90="Medium"),$A90&amp;"  "&amp;$B90,"")</f>
        <v/>
      </c>
      <c r="W90">
        <f>IF(AND($B90&lt;&gt;"",$C90&lt;&gt;"Target state",$C90&lt;&gt;"Exception",$D90="Low",$E90="High"),$A90&amp;"  "&amp;$B90,"")</f>
        <v/>
      </c>
    </row>
    <row r="91" ht="20" customHeight="1" s="52">
      <c r="A91" s="93" t="inlineStr">
        <is>
          <t>⑨</t>
        </is>
      </c>
      <c r="B91" s="94" t="n"/>
      <c r="C91" s="73" t="n"/>
      <c r="D91" s="73" t="n"/>
      <c r="E91" s="73" t="n"/>
      <c r="F91" s="72" t="n"/>
      <c r="G91" s="95">
        <f>IF(OR($B91="",$D91="",$E91=""),"",IF(OR($C91="Target state",$C91="Exception"),"Out of scope",IF($D91="Low","No tranche",IF($E91="Low","Tranche 1",IF($E91="Medium","Tranche 2",IF($D91="High","Tranche 3","No tranche"))))))</f>
        <v/>
      </c>
      <c r="K91" s="101" t="n"/>
      <c r="L91" s="101" t="n"/>
      <c r="M91" s="101" t="n"/>
      <c r="O91">
        <f>IF(AND($B91&lt;&gt;"",$C91&lt;&gt;"Target state",$C91&lt;&gt;"Exception",$D91="High",$E91="Low"),$A91&amp;"  "&amp;$B91,"")</f>
        <v/>
      </c>
      <c r="P91">
        <f>IF(AND($B91&lt;&gt;"",$C91&lt;&gt;"Target state",$C91&lt;&gt;"Exception",$D91="High",$E91="Medium"),$A91&amp;"  "&amp;$B91,"")</f>
        <v/>
      </c>
      <c r="Q91">
        <f>IF(AND($B91&lt;&gt;"",$C91&lt;&gt;"Target state",$C91&lt;&gt;"Exception",$D91="High",$E91="High"),$A91&amp;"  "&amp;$B91,"")</f>
        <v/>
      </c>
      <c r="R91">
        <f>IF(AND($B91&lt;&gt;"",$C91&lt;&gt;"Target state",$C91&lt;&gt;"Exception",$D91="Medium",$E91="Low"),$A91&amp;"  "&amp;$B91,"")</f>
        <v/>
      </c>
      <c r="S91">
        <f>IF(AND($B91&lt;&gt;"",$C91&lt;&gt;"Target state",$C91&lt;&gt;"Exception",$D91="Medium",$E91="Medium"),$A91&amp;"  "&amp;$B91,"")</f>
        <v/>
      </c>
      <c r="T91">
        <f>IF(AND($B91&lt;&gt;"",$C91&lt;&gt;"Target state",$C91&lt;&gt;"Exception",$D91="Medium",$E91="High"),$A91&amp;"  "&amp;$B91,"")</f>
        <v/>
      </c>
      <c r="U91">
        <f>IF(AND($B91&lt;&gt;"",$C91&lt;&gt;"Target state",$C91&lt;&gt;"Exception",$D91="Low",$E91="Low"),$A91&amp;"  "&amp;$B91,"")</f>
        <v/>
      </c>
      <c r="V91">
        <f>IF(AND($B91&lt;&gt;"",$C91&lt;&gt;"Target state",$C91&lt;&gt;"Exception",$D91="Low",$E91="Medium"),$A91&amp;"  "&amp;$B91,"")</f>
        <v/>
      </c>
      <c r="W91">
        <f>IF(AND($B91&lt;&gt;"",$C91&lt;&gt;"Target state",$C91&lt;&gt;"Exception",$D91="Low",$E91="High"),$A91&amp;"  "&amp;$B91,"")</f>
        <v/>
      </c>
    </row>
    <row r="92" ht="20" customHeight="1" s="52">
      <c r="A92" s="93" t="inlineStr">
        <is>
          <t>⑩</t>
        </is>
      </c>
      <c r="B92" s="94" t="n"/>
      <c r="C92" s="73" t="n"/>
      <c r="D92" s="73" t="n"/>
      <c r="E92" s="73" t="n"/>
      <c r="F92" s="72" t="n"/>
      <c r="G92" s="95">
        <f>IF(OR($B92="",$D92="",$E92=""),"",IF(OR($C92="Target state",$C92="Exception"),"Out of scope",IF($D92="Low","No tranche",IF($E92="Low","Tranche 1",IF($E92="Medium","Tranche 2",IF($D92="High","Tranche 3","No tranche"))))))</f>
        <v/>
      </c>
      <c r="K92" s="102" t="n"/>
      <c r="L92" s="102" t="n"/>
      <c r="M92" s="102" t="n"/>
      <c r="O92">
        <f>IF(AND($B92&lt;&gt;"",$C92&lt;&gt;"Target state",$C92&lt;&gt;"Exception",$D92="High",$E92="Low"),$A92&amp;"  "&amp;$B92,"")</f>
        <v/>
      </c>
      <c r="P92">
        <f>IF(AND($B92&lt;&gt;"",$C92&lt;&gt;"Target state",$C92&lt;&gt;"Exception",$D92="High",$E92="Medium"),$A92&amp;"  "&amp;$B92,"")</f>
        <v/>
      </c>
      <c r="Q92">
        <f>IF(AND($B92&lt;&gt;"",$C92&lt;&gt;"Target state",$C92&lt;&gt;"Exception",$D92="High",$E92="High"),$A92&amp;"  "&amp;$B92,"")</f>
        <v/>
      </c>
      <c r="R92">
        <f>IF(AND($B92&lt;&gt;"",$C92&lt;&gt;"Target state",$C92&lt;&gt;"Exception",$D92="Medium",$E92="Low"),$A92&amp;"  "&amp;$B92,"")</f>
        <v/>
      </c>
      <c r="S92">
        <f>IF(AND($B92&lt;&gt;"",$C92&lt;&gt;"Target state",$C92&lt;&gt;"Exception",$D92="Medium",$E92="Medium"),$A92&amp;"  "&amp;$B92,"")</f>
        <v/>
      </c>
      <c r="T92">
        <f>IF(AND($B92&lt;&gt;"",$C92&lt;&gt;"Target state",$C92&lt;&gt;"Exception",$D92="Medium",$E92="High"),$A92&amp;"  "&amp;$B92,"")</f>
        <v/>
      </c>
      <c r="U92">
        <f>IF(AND($B92&lt;&gt;"",$C92&lt;&gt;"Target state",$C92&lt;&gt;"Exception",$D92="Low",$E92="Low"),$A92&amp;"  "&amp;$B92,"")</f>
        <v/>
      </c>
      <c r="V92">
        <f>IF(AND($B92&lt;&gt;"",$C92&lt;&gt;"Target state",$C92&lt;&gt;"Exception",$D92="Low",$E92="Medium"),$A92&amp;"  "&amp;$B92,"")</f>
        <v/>
      </c>
      <c r="W92">
        <f>IF(AND($B92&lt;&gt;"",$C92&lt;&gt;"Target state",$C92&lt;&gt;"Exception",$D92="Low",$E92="High"),$A92&amp;"  "&amp;$B92,"")</f>
        <v/>
      </c>
    </row>
    <row r="93">
      <c r="K93" s="97" t="inlineStr">
        <is>
          <t>Complexity</t>
        </is>
      </c>
    </row>
    <row r="97" ht="22" customHeight="1" s="52">
      <c r="A97" s="88" t="inlineStr">
        <is>
          <t>Gifts</t>
        </is>
      </c>
      <c r="G97" s="89">
        <f>HYPERLINK("#'VAS'!A4","▲ tracker")</f>
        <v/>
      </c>
      <c r="K97" s="90" t="inlineStr">
        <is>
          <t>Assessment Outcome</t>
        </is>
      </c>
    </row>
    <row r="98" ht="18" customHeight="1" s="52">
      <c r="A98" s="91" t="inlineStr">
        <is>
          <t>#</t>
        </is>
      </c>
      <c r="B98" s="91" t="inlineStr">
        <is>
          <t>Platform</t>
        </is>
      </c>
      <c r="C98" s="91" t="inlineStr">
        <is>
          <t>State</t>
        </is>
      </c>
      <c r="D98" s="91" t="inlineStr">
        <is>
          <t>Imperative to exit</t>
        </is>
      </c>
      <c r="E98" s="91" t="inlineStr">
        <is>
          <t>Exit complexity</t>
        </is>
      </c>
      <c r="F98" s="91" t="inlineStr">
        <is>
          <t>Supporting facts</t>
        </is>
      </c>
      <c r="G98" s="91" t="inlineStr">
        <is>
          <t>Tranche (auto)</t>
        </is>
      </c>
      <c r="K98" s="92" t="inlineStr">
        <is>
          <t>Low</t>
        </is>
      </c>
      <c r="L98" s="92" t="inlineStr">
        <is>
          <t>Medium</t>
        </is>
      </c>
      <c r="M98" s="92" t="inlineStr">
        <is>
          <t>High</t>
        </is>
      </c>
    </row>
    <row r="99" ht="30" customHeight="1" s="52">
      <c r="A99" s="93" t="inlineStr">
        <is>
          <t>①</t>
        </is>
      </c>
      <c r="B99" s="94" t="inlineStr">
        <is>
          <t>Opticard / EVO Gift / Chockview</t>
        </is>
      </c>
      <c r="C99" s="73" t="inlineStr">
        <is>
          <t>Non-target state</t>
        </is>
      </c>
      <c r="D99" s="73" t="n"/>
      <c r="E99" s="73" t="n"/>
      <c r="F99" s="72" t="inlineStr">
        <is>
          <t>Non-strategic closed-loop gift platforms with gateway functionality to third-party processors; on the decommission path</t>
        </is>
      </c>
      <c r="G99" s="95">
        <f>IF(OR($B99="",$D99="",$E99=""),"",IF(OR($C99="Target state",$C99="Exception"),"Out of scope",IF($D99="Low","No tranche",IF($E99="Low","Tranche 1",IF($E99="Medium","Tranche 2",IF($D99="High","Tranche 3","No tranche"))))))</f>
        <v/>
      </c>
      <c r="I99" s="96" t="inlineStr">
        <is>
          <t>Benefits</t>
        </is>
      </c>
      <c r="J99" s="97" t="inlineStr">
        <is>
          <t>High</t>
        </is>
      </c>
      <c r="K99" s="98">
        <f>"Tranche 1"&amp;CHAR(10)&amp;_xlfn.TEXTJOIN(CHAR(10),TRUE,O$99:O$110)</f>
        <v/>
      </c>
      <c r="L99" s="99">
        <f>"Tranche 2"&amp;CHAR(10)&amp;_xlfn.TEXTJOIN(CHAR(10),TRUE,P$99:P$110)</f>
        <v/>
      </c>
      <c r="M99" s="100">
        <f>"Tranche 3"&amp;CHAR(10)&amp;_xlfn.TEXTJOIN(CHAR(10),TRUE,Q$99:Q$110)</f>
        <v/>
      </c>
      <c r="O99">
        <f>IF(AND($B99&lt;&gt;"",$C99&lt;&gt;"Target state",$C99&lt;&gt;"Exception",$D99="High",$E99="Low"),$A99&amp;"  "&amp;$B99,"")</f>
        <v/>
      </c>
      <c r="P99">
        <f>IF(AND($B99&lt;&gt;"",$C99&lt;&gt;"Target state",$C99&lt;&gt;"Exception",$D99="High",$E99="Medium"),$A99&amp;"  "&amp;$B99,"")</f>
        <v/>
      </c>
      <c r="Q99">
        <f>IF(AND($B99&lt;&gt;"",$C99&lt;&gt;"Target state",$C99&lt;&gt;"Exception",$D99="High",$E99="High"),$A99&amp;"  "&amp;$B99,"")</f>
        <v/>
      </c>
      <c r="R99">
        <f>IF(AND($B99&lt;&gt;"",$C99&lt;&gt;"Target state",$C99&lt;&gt;"Exception",$D99="Medium",$E99="Low"),$A99&amp;"  "&amp;$B99,"")</f>
        <v/>
      </c>
      <c r="S99">
        <f>IF(AND($B99&lt;&gt;"",$C99&lt;&gt;"Target state",$C99&lt;&gt;"Exception",$D99="Medium",$E99="Medium"),$A99&amp;"  "&amp;$B99,"")</f>
        <v/>
      </c>
      <c r="T99">
        <f>IF(AND($B99&lt;&gt;"",$C99&lt;&gt;"Target state",$C99&lt;&gt;"Exception",$D99="Medium",$E99="High"),$A99&amp;"  "&amp;$B99,"")</f>
        <v/>
      </c>
      <c r="U99">
        <f>IF(AND($B99&lt;&gt;"",$C99&lt;&gt;"Target state",$C99&lt;&gt;"Exception",$D99="Low",$E99="Low"),$A99&amp;"  "&amp;$B99,"")</f>
        <v/>
      </c>
      <c r="V99">
        <f>IF(AND($B99&lt;&gt;"",$C99&lt;&gt;"Target state",$C99&lt;&gt;"Exception",$D99="Low",$E99="Medium"),$A99&amp;"  "&amp;$B99,"")</f>
        <v/>
      </c>
      <c r="W99">
        <f>IF(AND($B99&lt;&gt;"",$C99&lt;&gt;"Target state",$C99&lt;&gt;"Exception",$D99="Low",$E99="High"),$A99&amp;"  "&amp;$B99,"")</f>
        <v/>
      </c>
    </row>
    <row r="100" ht="30" customHeight="1" s="52">
      <c r="A100" s="93" t="inlineStr">
        <is>
          <t>②</t>
        </is>
      </c>
      <c r="B100" s="94" t="inlineStr">
        <is>
          <t>Global Gift App (Ingenico TETRA)</t>
        </is>
      </c>
      <c r="C100" s="73" t="inlineStr">
        <is>
          <t>Non-target state</t>
        </is>
      </c>
      <c r="D100" s="73" t="n"/>
      <c r="E100" s="73" t="n"/>
      <c r="F100" s="72" t="inlineStr">
        <is>
          <t>Non-strategic Ingenico-based Heartland gift payment application for Broomfield wholesale merchants; migration path agreed</t>
        </is>
      </c>
      <c r="G100" s="95">
        <f>IF(OR($B100="",$D100="",$E100=""),"",IF(OR($C100="Target state",$C100="Exception"),"Out of scope",IF($D100="Low","No tranche",IF($E100="Low","Tranche 1",IF($E100="Medium","Tranche 2",IF($D100="High","Tranche 3","No tranche"))))))</f>
        <v/>
      </c>
      <c r="K100" s="101" t="n"/>
      <c r="L100" s="101" t="n"/>
      <c r="M100" s="101" t="n"/>
      <c r="O100">
        <f>IF(AND($B100&lt;&gt;"",$C100&lt;&gt;"Target state",$C100&lt;&gt;"Exception",$D100="High",$E100="Low"),$A100&amp;"  "&amp;$B100,"")</f>
        <v/>
      </c>
      <c r="P100">
        <f>IF(AND($B100&lt;&gt;"",$C100&lt;&gt;"Target state",$C100&lt;&gt;"Exception",$D100="High",$E100="Medium"),$A100&amp;"  "&amp;$B100,"")</f>
        <v/>
      </c>
      <c r="Q100">
        <f>IF(AND($B100&lt;&gt;"",$C100&lt;&gt;"Target state",$C100&lt;&gt;"Exception",$D100="High",$E100="High"),$A100&amp;"  "&amp;$B100,"")</f>
        <v/>
      </c>
      <c r="R100">
        <f>IF(AND($B100&lt;&gt;"",$C100&lt;&gt;"Target state",$C100&lt;&gt;"Exception",$D100="Medium",$E100="Low"),$A100&amp;"  "&amp;$B100,"")</f>
        <v/>
      </c>
      <c r="S100">
        <f>IF(AND($B100&lt;&gt;"",$C100&lt;&gt;"Target state",$C100&lt;&gt;"Exception",$D100="Medium",$E100="Medium"),$A100&amp;"  "&amp;$B100,"")</f>
        <v/>
      </c>
      <c r="T100">
        <f>IF(AND($B100&lt;&gt;"",$C100&lt;&gt;"Target state",$C100&lt;&gt;"Exception",$D100="Medium",$E100="High"),$A100&amp;"  "&amp;$B100,"")</f>
        <v/>
      </c>
      <c r="U100">
        <f>IF(AND($B100&lt;&gt;"",$C100&lt;&gt;"Target state",$C100&lt;&gt;"Exception",$D100="Low",$E100="Low"),$A100&amp;"  "&amp;$B100,"")</f>
        <v/>
      </c>
      <c r="V100">
        <f>IF(AND($B100&lt;&gt;"",$C100&lt;&gt;"Target state",$C100&lt;&gt;"Exception",$D100="Low",$E100="Medium"),$A100&amp;"  "&amp;$B100,"")</f>
        <v/>
      </c>
      <c r="W100">
        <f>IF(AND($B100&lt;&gt;"",$C100&lt;&gt;"Target state",$C100&lt;&gt;"Exception",$D100="Low",$E100="High"),$A100&amp;"  "&amp;$B100,"")</f>
        <v/>
      </c>
    </row>
    <row r="101" ht="30" customHeight="1" s="52">
      <c r="A101" s="93" t="inlineStr">
        <is>
          <t>③</t>
        </is>
      </c>
      <c r="B101" s="94" t="inlineStr">
        <is>
          <t>GPI: XGift Online Portal &amp; Balance Check</t>
        </is>
      </c>
      <c r="C101" s="73" t="inlineStr">
        <is>
          <t>Non-target state</t>
        </is>
      </c>
      <c r="D101" s="73" t="n"/>
      <c r="E101" s="73" t="n"/>
      <c r="F101" s="72" t="inlineStr">
        <is>
          <t>Non-strategic merchant gift-card management and consumer balance-check web apps; already in maintenance mode</t>
        </is>
      </c>
      <c r="G101" s="95">
        <f>IF(OR($B101="",$D101="",$E101=""),"",IF(OR($C101="Target state",$C101="Exception"),"Out of scope",IF($D101="Low","No tranche",IF($E101="Low","Tranche 1",IF($E101="Medium","Tranche 2",IF($D101="High","Tranche 3","No tranche"))))))</f>
        <v/>
      </c>
      <c r="K101" s="101" t="n"/>
      <c r="L101" s="101" t="n"/>
      <c r="M101" s="101" t="n"/>
      <c r="O101">
        <f>IF(AND($B101&lt;&gt;"",$C101&lt;&gt;"Target state",$C101&lt;&gt;"Exception",$D101="High",$E101="Low"),$A101&amp;"  "&amp;$B101,"")</f>
        <v/>
      </c>
      <c r="P101">
        <f>IF(AND($B101&lt;&gt;"",$C101&lt;&gt;"Target state",$C101&lt;&gt;"Exception",$D101="High",$E101="Medium"),$A101&amp;"  "&amp;$B101,"")</f>
        <v/>
      </c>
      <c r="Q101">
        <f>IF(AND($B101&lt;&gt;"",$C101&lt;&gt;"Target state",$C101&lt;&gt;"Exception",$D101="High",$E101="High"),$A101&amp;"  "&amp;$B101,"")</f>
        <v/>
      </c>
      <c r="R101">
        <f>IF(AND($B101&lt;&gt;"",$C101&lt;&gt;"Target state",$C101&lt;&gt;"Exception",$D101="Medium",$E101="Low"),$A101&amp;"  "&amp;$B101,"")</f>
        <v/>
      </c>
      <c r="S101">
        <f>IF(AND($B101&lt;&gt;"",$C101&lt;&gt;"Target state",$C101&lt;&gt;"Exception",$D101="Medium",$E101="Medium"),$A101&amp;"  "&amp;$B101,"")</f>
        <v/>
      </c>
      <c r="T101">
        <f>IF(AND($B101&lt;&gt;"",$C101&lt;&gt;"Target state",$C101&lt;&gt;"Exception",$D101="Medium",$E101="High"),$A101&amp;"  "&amp;$B101,"")</f>
        <v/>
      </c>
      <c r="U101">
        <f>IF(AND($B101&lt;&gt;"",$C101&lt;&gt;"Target state",$C101&lt;&gt;"Exception",$D101="Low",$E101="Low"),$A101&amp;"  "&amp;$B101,"")</f>
        <v/>
      </c>
      <c r="V101">
        <f>IF(AND($B101&lt;&gt;"",$C101&lt;&gt;"Target state",$C101&lt;&gt;"Exception",$D101="Low",$E101="Medium"),$A101&amp;"  "&amp;$B101,"")</f>
        <v/>
      </c>
      <c r="W101">
        <f>IF(AND($B101&lt;&gt;"",$C101&lt;&gt;"Target state",$C101&lt;&gt;"Exception",$D101="Low",$E101="High"),$A101&amp;"  "&amp;$B101,"")</f>
        <v/>
      </c>
    </row>
    <row r="102" ht="30" customHeight="1" s="52">
      <c r="A102" s="93" t="inlineStr">
        <is>
          <t>④</t>
        </is>
      </c>
      <c r="B102" s="94" t="inlineStr">
        <is>
          <t>HGM Tool</t>
        </is>
      </c>
      <c r="C102" s="73" t="inlineStr">
        <is>
          <t>Non-target state</t>
        </is>
      </c>
      <c r="D102" s="73" t="n"/>
      <c r="E102" s="73" t="n"/>
      <c r="F102" s="72" t="inlineStr">
        <is>
          <t>Non-strategic Windows module managing gift card products and SKUs with about 580 users; modest annual cost; migration path agreed</t>
        </is>
      </c>
      <c r="G102" s="95">
        <f>IF(OR($B102="",$D102="",$E102=""),"",IF(OR($C102="Target state",$C102="Exception"),"Out of scope",IF($D102="Low","No tranche",IF($E102="Low","Tranche 1",IF($E102="Medium","Tranche 2",IF($D102="High","Tranche 3","No tranche"))))))</f>
        <v/>
      </c>
      <c r="K102" s="102" t="n"/>
      <c r="L102" s="102" t="n"/>
      <c r="M102" s="102" t="n"/>
      <c r="O102">
        <f>IF(AND($B102&lt;&gt;"",$C102&lt;&gt;"Target state",$C102&lt;&gt;"Exception",$D102="High",$E102="Low"),$A102&amp;"  "&amp;$B102,"")</f>
        <v/>
      </c>
      <c r="P102">
        <f>IF(AND($B102&lt;&gt;"",$C102&lt;&gt;"Target state",$C102&lt;&gt;"Exception",$D102="High",$E102="Medium"),$A102&amp;"  "&amp;$B102,"")</f>
        <v/>
      </c>
      <c r="Q102">
        <f>IF(AND($B102&lt;&gt;"",$C102&lt;&gt;"Target state",$C102&lt;&gt;"Exception",$D102="High",$E102="High"),$A102&amp;"  "&amp;$B102,"")</f>
        <v/>
      </c>
      <c r="R102">
        <f>IF(AND($B102&lt;&gt;"",$C102&lt;&gt;"Target state",$C102&lt;&gt;"Exception",$D102="Medium",$E102="Low"),$A102&amp;"  "&amp;$B102,"")</f>
        <v/>
      </c>
      <c r="S102">
        <f>IF(AND($B102&lt;&gt;"",$C102&lt;&gt;"Target state",$C102&lt;&gt;"Exception",$D102="Medium",$E102="Medium"),$A102&amp;"  "&amp;$B102,"")</f>
        <v/>
      </c>
      <c r="T102">
        <f>IF(AND($B102&lt;&gt;"",$C102&lt;&gt;"Target state",$C102&lt;&gt;"Exception",$D102="Medium",$E102="High"),$A102&amp;"  "&amp;$B102,"")</f>
        <v/>
      </c>
      <c r="U102">
        <f>IF(AND($B102&lt;&gt;"",$C102&lt;&gt;"Target state",$C102&lt;&gt;"Exception",$D102="Low",$E102="Low"),$A102&amp;"  "&amp;$B102,"")</f>
        <v/>
      </c>
      <c r="V102">
        <f>IF(AND($B102&lt;&gt;"",$C102&lt;&gt;"Target state",$C102&lt;&gt;"Exception",$D102="Low",$E102="Medium"),$A102&amp;"  "&amp;$B102,"")</f>
        <v/>
      </c>
      <c r="W102">
        <f>IF(AND($B102&lt;&gt;"",$C102&lt;&gt;"Target state",$C102&lt;&gt;"Exception",$D102="Low",$E102="High"),$A102&amp;"  "&amp;$B102,"")</f>
        <v/>
      </c>
    </row>
    <row r="103" ht="36" customHeight="1" s="52">
      <c r="A103" s="93" t="inlineStr">
        <is>
          <t>⑤</t>
        </is>
      </c>
      <c r="B103" s="94" t="inlineStr">
        <is>
          <t>Engage Loyalty Platform</t>
        </is>
      </c>
      <c r="C103" s="73" t="inlineStr">
        <is>
          <t>Non-target state</t>
        </is>
      </c>
      <c r="D103" s="73" t="n"/>
      <c r="E103" s="73" t="n"/>
      <c r="F103" s="72" t="inlineStr">
        <is>
          <t>Non-strategic loyalty platform powering ACE SMB, GP Marketplace and enterprise POS loyalty; around $1.5M in yearly cost across the Engage estate; migration path agreed</t>
        </is>
      </c>
      <c r="G103" s="95">
        <f>IF(OR($B103="",$D103="",$E103=""),"",IF(OR($C103="Target state",$C103="Exception"),"Out of scope",IF($D103="Low","No tranche",IF($E103="Low","Tranche 1",IF($E103="Medium","Tranche 2",IF($D103="High","Tranche 3","No tranche"))))))</f>
        <v/>
      </c>
      <c r="J103" s="97" t="inlineStr">
        <is>
          <t>Medium</t>
        </is>
      </c>
      <c r="K103" s="98">
        <f>"Tranche 1"&amp;CHAR(10)&amp;_xlfn.TEXTJOIN(CHAR(10),TRUE,R$99:R$110)</f>
        <v/>
      </c>
      <c r="L103" s="99">
        <f>"Tranche 2"&amp;CHAR(10)&amp;_xlfn.TEXTJOIN(CHAR(10),TRUE,S$99:S$110)</f>
        <v/>
      </c>
      <c r="M103" s="103">
        <f>_xlfn.TEXTJOIN(CHAR(10),TRUE,T$99:T$110)</f>
        <v/>
      </c>
      <c r="O103">
        <f>IF(AND($B103&lt;&gt;"",$C103&lt;&gt;"Target state",$C103&lt;&gt;"Exception",$D103="High",$E103="Low"),$A103&amp;"  "&amp;$B103,"")</f>
        <v/>
      </c>
      <c r="P103">
        <f>IF(AND($B103&lt;&gt;"",$C103&lt;&gt;"Target state",$C103&lt;&gt;"Exception",$D103="High",$E103="Medium"),$A103&amp;"  "&amp;$B103,"")</f>
        <v/>
      </c>
      <c r="Q103">
        <f>IF(AND($B103&lt;&gt;"",$C103&lt;&gt;"Target state",$C103&lt;&gt;"Exception",$D103="High",$E103="High"),$A103&amp;"  "&amp;$B103,"")</f>
        <v/>
      </c>
      <c r="R103">
        <f>IF(AND($B103&lt;&gt;"",$C103&lt;&gt;"Target state",$C103&lt;&gt;"Exception",$D103="Medium",$E103="Low"),$A103&amp;"  "&amp;$B103,"")</f>
        <v/>
      </c>
      <c r="S103">
        <f>IF(AND($B103&lt;&gt;"",$C103&lt;&gt;"Target state",$C103&lt;&gt;"Exception",$D103="Medium",$E103="Medium"),$A103&amp;"  "&amp;$B103,"")</f>
        <v/>
      </c>
      <c r="T103">
        <f>IF(AND($B103&lt;&gt;"",$C103&lt;&gt;"Target state",$C103&lt;&gt;"Exception",$D103="Medium",$E103="High"),$A103&amp;"  "&amp;$B103,"")</f>
        <v/>
      </c>
      <c r="U103">
        <f>IF(AND($B103&lt;&gt;"",$C103&lt;&gt;"Target state",$C103&lt;&gt;"Exception",$D103="Low",$E103="Low"),$A103&amp;"  "&amp;$B103,"")</f>
        <v/>
      </c>
      <c r="V103">
        <f>IF(AND($B103&lt;&gt;"",$C103&lt;&gt;"Target state",$C103&lt;&gt;"Exception",$D103="Low",$E103="Medium"),$A103&amp;"  "&amp;$B103,"")</f>
        <v/>
      </c>
      <c r="W103">
        <f>IF(AND($B103&lt;&gt;"",$C103&lt;&gt;"Target state",$C103&lt;&gt;"Exception",$D103="Low",$E103="High"),$A103&amp;"  "&amp;$B103,"")</f>
        <v/>
      </c>
    </row>
    <row r="104" ht="36" customHeight="1" s="52">
      <c r="A104" s="93" t="inlineStr">
        <is>
          <t>⑥</t>
        </is>
      </c>
      <c r="B104" s="94" t="inlineStr">
        <is>
          <t>Beanstalk (CRM + Loyalty)</t>
        </is>
      </c>
      <c r="C104" s="73" t="inlineStr">
        <is>
          <t>Non-target state</t>
        </is>
      </c>
      <c r="D104" s="73" t="n"/>
      <c r="E104" s="73" t="n"/>
      <c r="F104" s="72" t="inlineStr">
        <is>
          <t>Non-strategic customer engagement and loyalty cloud powering Whataburger and enterprise Xenial clients with about 15M end users; around $1.7M in yearly cost; migration path agreed</t>
        </is>
      </c>
      <c r="G104" s="95">
        <f>IF(OR($B104="",$D104="",$E104=""),"",IF(OR($C104="Target state",$C104="Exception"),"Out of scope",IF($D104="Low","No tranche",IF($E104="Low","Tranche 1",IF($E104="Medium","Tranche 2",IF($D104="High","Tranche 3","No tranche"))))))</f>
        <v/>
      </c>
      <c r="K104" s="101" t="n"/>
      <c r="L104" s="101" t="n"/>
      <c r="M104" s="101" t="n"/>
      <c r="O104">
        <f>IF(AND($B104&lt;&gt;"",$C104&lt;&gt;"Target state",$C104&lt;&gt;"Exception",$D104="High",$E104="Low"),$A104&amp;"  "&amp;$B104,"")</f>
        <v/>
      </c>
      <c r="P104">
        <f>IF(AND($B104&lt;&gt;"",$C104&lt;&gt;"Target state",$C104&lt;&gt;"Exception",$D104="High",$E104="Medium"),$A104&amp;"  "&amp;$B104,"")</f>
        <v/>
      </c>
      <c r="Q104">
        <f>IF(AND($B104&lt;&gt;"",$C104&lt;&gt;"Target state",$C104&lt;&gt;"Exception",$D104="High",$E104="High"),$A104&amp;"  "&amp;$B104,"")</f>
        <v/>
      </c>
      <c r="R104">
        <f>IF(AND($B104&lt;&gt;"",$C104&lt;&gt;"Target state",$C104&lt;&gt;"Exception",$D104="Medium",$E104="Low"),$A104&amp;"  "&amp;$B104,"")</f>
        <v/>
      </c>
      <c r="S104">
        <f>IF(AND($B104&lt;&gt;"",$C104&lt;&gt;"Target state",$C104&lt;&gt;"Exception",$D104="Medium",$E104="Medium"),$A104&amp;"  "&amp;$B104,"")</f>
        <v/>
      </c>
      <c r="T104">
        <f>IF(AND($B104&lt;&gt;"",$C104&lt;&gt;"Target state",$C104&lt;&gt;"Exception",$D104="Medium",$E104="High"),$A104&amp;"  "&amp;$B104,"")</f>
        <v/>
      </c>
      <c r="U104">
        <f>IF(AND($B104&lt;&gt;"",$C104&lt;&gt;"Target state",$C104&lt;&gt;"Exception",$D104="Low",$E104="Low"),$A104&amp;"  "&amp;$B104,"")</f>
        <v/>
      </c>
      <c r="V104">
        <f>IF(AND($B104&lt;&gt;"",$C104&lt;&gt;"Target state",$C104&lt;&gt;"Exception",$D104="Low",$E104="Medium"),$A104&amp;"  "&amp;$B104,"")</f>
        <v/>
      </c>
      <c r="W104">
        <f>IF(AND($B104&lt;&gt;"",$C104&lt;&gt;"Target state",$C104&lt;&gt;"Exception",$D104="Low",$E104="High"),$A104&amp;"  "&amp;$B104,"")</f>
        <v/>
      </c>
    </row>
    <row r="105" ht="30" customHeight="1" s="52">
      <c r="A105" s="93" t="inlineStr">
        <is>
          <t>⑦</t>
        </is>
      </c>
      <c r="B105" s="94" t="inlineStr">
        <is>
          <t>GRS</t>
        </is>
      </c>
      <c r="C105" s="73" t="inlineStr">
        <is>
          <t>Non-target state</t>
        </is>
      </c>
      <c r="D105" s="73" t="n"/>
      <c r="E105" s="73" t="n"/>
      <c r="F105" s="72" t="inlineStr">
        <is>
          <t>Non-strategic legacy merchant loyalty platform on the NA frontend estate; kept lights-on under the prior TAM</t>
        </is>
      </c>
      <c r="G105" s="95">
        <f>IF(OR($B105="",$D105="",$E105=""),"",IF(OR($C105="Target state",$C105="Exception"),"Out of scope",IF($D105="Low","No tranche",IF($E105="Low","Tranche 1",IF($E105="Medium","Tranche 2",IF($D105="High","Tranche 3","No tranche"))))))</f>
        <v/>
      </c>
      <c r="K105" s="101" t="n"/>
      <c r="L105" s="101" t="n"/>
      <c r="M105" s="101" t="n"/>
      <c r="O105">
        <f>IF(AND($B105&lt;&gt;"",$C105&lt;&gt;"Target state",$C105&lt;&gt;"Exception",$D105="High",$E105="Low"),$A105&amp;"  "&amp;$B105,"")</f>
        <v/>
      </c>
      <c r="P105">
        <f>IF(AND($B105&lt;&gt;"",$C105&lt;&gt;"Target state",$C105&lt;&gt;"Exception",$D105="High",$E105="Medium"),$A105&amp;"  "&amp;$B105,"")</f>
        <v/>
      </c>
      <c r="Q105">
        <f>IF(AND($B105&lt;&gt;"",$C105&lt;&gt;"Target state",$C105&lt;&gt;"Exception",$D105="High",$E105="High"),$A105&amp;"  "&amp;$B105,"")</f>
        <v/>
      </c>
      <c r="R105">
        <f>IF(AND($B105&lt;&gt;"",$C105&lt;&gt;"Target state",$C105&lt;&gt;"Exception",$D105="Medium",$E105="Low"),$A105&amp;"  "&amp;$B105,"")</f>
        <v/>
      </c>
      <c r="S105">
        <f>IF(AND($B105&lt;&gt;"",$C105&lt;&gt;"Target state",$C105&lt;&gt;"Exception",$D105="Medium",$E105="Medium"),$A105&amp;"  "&amp;$B105,"")</f>
        <v/>
      </c>
      <c r="T105">
        <f>IF(AND($B105&lt;&gt;"",$C105&lt;&gt;"Target state",$C105&lt;&gt;"Exception",$D105="Medium",$E105="High"),$A105&amp;"  "&amp;$B105,"")</f>
        <v/>
      </c>
      <c r="U105">
        <f>IF(AND($B105&lt;&gt;"",$C105&lt;&gt;"Target state",$C105&lt;&gt;"Exception",$D105="Low",$E105="Low"),$A105&amp;"  "&amp;$B105,"")</f>
        <v/>
      </c>
      <c r="V105">
        <f>IF(AND($B105&lt;&gt;"",$C105&lt;&gt;"Target state",$C105&lt;&gt;"Exception",$D105="Low",$E105="Medium"),$A105&amp;"  "&amp;$B105,"")</f>
        <v/>
      </c>
      <c r="W105">
        <f>IF(AND($B105&lt;&gt;"",$C105&lt;&gt;"Target state",$C105&lt;&gt;"Exception",$D105="Low",$E105="High"),$A105&amp;"  "&amp;$B105,"")</f>
        <v/>
      </c>
    </row>
    <row r="106" ht="30" customHeight="1" s="52">
      <c r="A106" s="93" t="inlineStr">
        <is>
          <t>⑧</t>
        </is>
      </c>
      <c r="B106" s="94" t="inlineStr">
        <is>
          <t>Micropayments Wave Rider</t>
        </is>
      </c>
      <c r="C106" s="73" t="inlineStr">
        <is>
          <t>Non-target state</t>
        </is>
      </c>
      <c r="D106" s="73" t="n"/>
      <c r="E106" s="73" t="n"/>
      <c r="F106" s="72" t="inlineStr">
        <is>
          <t>Non-strategic prepaid paydown front end for the gift platform in laundromat settings; sustain in KTLO per the repository</t>
        </is>
      </c>
      <c r="G106" s="95">
        <f>IF(OR($B106="",$D106="",$E106=""),"",IF(OR($C106="Target state",$C106="Exception"),"Out of scope",IF($D106="Low","No tranche",IF($E106="Low","Tranche 1",IF($E106="Medium","Tranche 2",IF($D106="High","Tranche 3","No tranche"))))))</f>
        <v/>
      </c>
      <c r="K106" s="102" t="n"/>
      <c r="L106" s="102" t="n"/>
      <c r="M106" s="102" t="n"/>
      <c r="O106">
        <f>IF(AND($B106&lt;&gt;"",$C106&lt;&gt;"Target state",$C106&lt;&gt;"Exception",$D106="High",$E106="Low"),$A106&amp;"  "&amp;$B106,"")</f>
        <v/>
      </c>
      <c r="P106">
        <f>IF(AND($B106&lt;&gt;"",$C106&lt;&gt;"Target state",$C106&lt;&gt;"Exception",$D106="High",$E106="Medium"),$A106&amp;"  "&amp;$B106,"")</f>
        <v/>
      </c>
      <c r="Q106">
        <f>IF(AND($B106&lt;&gt;"",$C106&lt;&gt;"Target state",$C106&lt;&gt;"Exception",$D106="High",$E106="High"),$A106&amp;"  "&amp;$B106,"")</f>
        <v/>
      </c>
      <c r="R106">
        <f>IF(AND($B106&lt;&gt;"",$C106&lt;&gt;"Target state",$C106&lt;&gt;"Exception",$D106="Medium",$E106="Low"),$A106&amp;"  "&amp;$B106,"")</f>
        <v/>
      </c>
      <c r="S106">
        <f>IF(AND($B106&lt;&gt;"",$C106&lt;&gt;"Target state",$C106&lt;&gt;"Exception",$D106="Medium",$E106="Medium"),$A106&amp;"  "&amp;$B106,"")</f>
        <v/>
      </c>
      <c r="T106">
        <f>IF(AND($B106&lt;&gt;"",$C106&lt;&gt;"Target state",$C106&lt;&gt;"Exception",$D106="Medium",$E106="High"),$A106&amp;"  "&amp;$B106,"")</f>
        <v/>
      </c>
      <c r="U106">
        <f>IF(AND($B106&lt;&gt;"",$C106&lt;&gt;"Target state",$C106&lt;&gt;"Exception",$D106="Low",$E106="Low"),$A106&amp;"  "&amp;$B106,"")</f>
        <v/>
      </c>
      <c r="V106">
        <f>IF(AND($B106&lt;&gt;"",$C106&lt;&gt;"Target state",$C106&lt;&gt;"Exception",$D106="Low",$E106="Medium"),$A106&amp;"  "&amp;$B106,"")</f>
        <v/>
      </c>
      <c r="W106">
        <f>IF(AND($B106&lt;&gt;"",$C106&lt;&gt;"Target state",$C106&lt;&gt;"Exception",$D106="Low",$E106="High"),$A106&amp;"  "&amp;$B106,"")</f>
        <v/>
      </c>
    </row>
    <row r="107" ht="20" customHeight="1" s="52">
      <c r="A107" s="93" t="inlineStr">
        <is>
          <t>⑨</t>
        </is>
      </c>
      <c r="B107" s="94" t="n"/>
      <c r="C107" s="73" t="n"/>
      <c r="D107" s="73" t="n"/>
      <c r="E107" s="73" t="n"/>
      <c r="F107" s="72" t="n"/>
      <c r="G107" s="95">
        <f>IF(OR($B107="",$D107="",$E107=""),"",IF(OR($C107="Target state",$C107="Exception"),"Out of scope",IF($D107="Low","No tranche",IF($E107="Low","Tranche 1",IF($E107="Medium","Tranche 2",IF($D107="High","Tranche 3","No tranche"))))))</f>
        <v/>
      </c>
      <c r="J107" s="97" t="inlineStr">
        <is>
          <t>Low</t>
        </is>
      </c>
      <c r="K107" s="103">
        <f>_xlfn.TEXTJOIN(CHAR(10),TRUE,U$99:U$110)</f>
        <v/>
      </c>
      <c r="L107" s="103">
        <f>_xlfn.TEXTJOIN(CHAR(10),TRUE,V$99:V$110)</f>
        <v/>
      </c>
      <c r="M107" s="103">
        <f>_xlfn.TEXTJOIN(CHAR(10),TRUE,W$99:W$110)</f>
        <v/>
      </c>
      <c r="O107">
        <f>IF(AND($B107&lt;&gt;"",$C107&lt;&gt;"Target state",$C107&lt;&gt;"Exception",$D107="High",$E107="Low"),$A107&amp;"  "&amp;$B107,"")</f>
        <v/>
      </c>
      <c r="P107">
        <f>IF(AND($B107&lt;&gt;"",$C107&lt;&gt;"Target state",$C107&lt;&gt;"Exception",$D107="High",$E107="Medium"),$A107&amp;"  "&amp;$B107,"")</f>
        <v/>
      </c>
      <c r="Q107">
        <f>IF(AND($B107&lt;&gt;"",$C107&lt;&gt;"Target state",$C107&lt;&gt;"Exception",$D107="High",$E107="High"),$A107&amp;"  "&amp;$B107,"")</f>
        <v/>
      </c>
      <c r="R107">
        <f>IF(AND($B107&lt;&gt;"",$C107&lt;&gt;"Target state",$C107&lt;&gt;"Exception",$D107="Medium",$E107="Low"),$A107&amp;"  "&amp;$B107,"")</f>
        <v/>
      </c>
      <c r="S107">
        <f>IF(AND($B107&lt;&gt;"",$C107&lt;&gt;"Target state",$C107&lt;&gt;"Exception",$D107="Medium",$E107="Medium"),$A107&amp;"  "&amp;$B107,"")</f>
        <v/>
      </c>
      <c r="T107">
        <f>IF(AND($B107&lt;&gt;"",$C107&lt;&gt;"Target state",$C107&lt;&gt;"Exception",$D107="Medium",$E107="High"),$A107&amp;"  "&amp;$B107,"")</f>
        <v/>
      </c>
      <c r="U107">
        <f>IF(AND($B107&lt;&gt;"",$C107&lt;&gt;"Target state",$C107&lt;&gt;"Exception",$D107="Low",$E107="Low"),$A107&amp;"  "&amp;$B107,"")</f>
        <v/>
      </c>
      <c r="V107">
        <f>IF(AND($B107&lt;&gt;"",$C107&lt;&gt;"Target state",$C107&lt;&gt;"Exception",$D107="Low",$E107="Medium"),$A107&amp;"  "&amp;$B107,"")</f>
        <v/>
      </c>
      <c r="W107">
        <f>IF(AND($B107&lt;&gt;"",$C107&lt;&gt;"Target state",$C107&lt;&gt;"Exception",$D107="Low",$E107="High"),$A107&amp;"  "&amp;$B107,"")</f>
        <v/>
      </c>
    </row>
    <row r="108" ht="20" customHeight="1" s="52">
      <c r="A108" s="93" t="inlineStr">
        <is>
          <t>⑩</t>
        </is>
      </c>
      <c r="B108" s="94" t="n"/>
      <c r="C108" s="73" t="n"/>
      <c r="D108" s="73" t="n"/>
      <c r="E108" s="73" t="n"/>
      <c r="F108" s="72" t="n"/>
      <c r="G108" s="95">
        <f>IF(OR($B108="",$D108="",$E108=""),"",IF(OR($C108="Target state",$C108="Exception"),"Out of scope",IF($D108="Low","No tranche",IF($E108="Low","Tranche 1",IF($E108="Medium","Tranche 2",IF($D108="High","Tranche 3","No tranche"))))))</f>
        <v/>
      </c>
      <c r="K108" s="101" t="n"/>
      <c r="L108" s="101" t="n"/>
      <c r="M108" s="101" t="n"/>
      <c r="O108">
        <f>IF(AND($B108&lt;&gt;"",$C108&lt;&gt;"Target state",$C108&lt;&gt;"Exception",$D108="High",$E108="Low"),$A108&amp;"  "&amp;$B108,"")</f>
        <v/>
      </c>
      <c r="P108">
        <f>IF(AND($B108&lt;&gt;"",$C108&lt;&gt;"Target state",$C108&lt;&gt;"Exception",$D108="High",$E108="Medium"),$A108&amp;"  "&amp;$B108,"")</f>
        <v/>
      </c>
      <c r="Q108">
        <f>IF(AND($B108&lt;&gt;"",$C108&lt;&gt;"Target state",$C108&lt;&gt;"Exception",$D108="High",$E108="High"),$A108&amp;"  "&amp;$B108,"")</f>
        <v/>
      </c>
      <c r="R108">
        <f>IF(AND($B108&lt;&gt;"",$C108&lt;&gt;"Target state",$C108&lt;&gt;"Exception",$D108="Medium",$E108="Low"),$A108&amp;"  "&amp;$B108,"")</f>
        <v/>
      </c>
      <c r="S108">
        <f>IF(AND($B108&lt;&gt;"",$C108&lt;&gt;"Target state",$C108&lt;&gt;"Exception",$D108="Medium",$E108="Medium"),$A108&amp;"  "&amp;$B108,"")</f>
        <v/>
      </c>
      <c r="T108">
        <f>IF(AND($B108&lt;&gt;"",$C108&lt;&gt;"Target state",$C108&lt;&gt;"Exception",$D108="Medium",$E108="High"),$A108&amp;"  "&amp;$B108,"")</f>
        <v/>
      </c>
      <c r="U108">
        <f>IF(AND($B108&lt;&gt;"",$C108&lt;&gt;"Target state",$C108&lt;&gt;"Exception",$D108="Low",$E108="Low"),$A108&amp;"  "&amp;$B108,"")</f>
        <v/>
      </c>
      <c r="V108">
        <f>IF(AND($B108&lt;&gt;"",$C108&lt;&gt;"Target state",$C108&lt;&gt;"Exception",$D108="Low",$E108="Medium"),$A108&amp;"  "&amp;$B108,"")</f>
        <v/>
      </c>
      <c r="W108">
        <f>IF(AND($B108&lt;&gt;"",$C108&lt;&gt;"Target state",$C108&lt;&gt;"Exception",$D108="Low",$E108="High"),$A108&amp;"  "&amp;$B108,"")</f>
        <v/>
      </c>
    </row>
    <row r="109" ht="20" customHeight="1" s="52">
      <c r="A109" s="93" t="inlineStr">
        <is>
          <t>⑪</t>
        </is>
      </c>
      <c r="B109" s="94" t="n"/>
      <c r="C109" s="73" t="n"/>
      <c r="D109" s="73" t="n"/>
      <c r="E109" s="73" t="n"/>
      <c r="F109" s="72" t="n"/>
      <c r="G109" s="95">
        <f>IF(OR($B109="",$D109="",$E109=""),"",IF(OR($C109="Target state",$C109="Exception"),"Out of scope",IF($D109="Low","No tranche",IF($E109="Low","Tranche 1",IF($E109="Medium","Tranche 2",IF($D109="High","Tranche 3","No tranche"))))))</f>
        <v/>
      </c>
      <c r="K109" s="101" t="n"/>
      <c r="L109" s="101" t="n"/>
      <c r="M109" s="101" t="n"/>
      <c r="O109">
        <f>IF(AND($B109&lt;&gt;"",$C109&lt;&gt;"Target state",$C109&lt;&gt;"Exception",$D109="High",$E109="Low"),$A109&amp;"  "&amp;$B109,"")</f>
        <v/>
      </c>
      <c r="P109">
        <f>IF(AND($B109&lt;&gt;"",$C109&lt;&gt;"Target state",$C109&lt;&gt;"Exception",$D109="High",$E109="Medium"),$A109&amp;"  "&amp;$B109,"")</f>
        <v/>
      </c>
      <c r="Q109">
        <f>IF(AND($B109&lt;&gt;"",$C109&lt;&gt;"Target state",$C109&lt;&gt;"Exception",$D109="High",$E109="High"),$A109&amp;"  "&amp;$B109,"")</f>
        <v/>
      </c>
      <c r="R109">
        <f>IF(AND($B109&lt;&gt;"",$C109&lt;&gt;"Target state",$C109&lt;&gt;"Exception",$D109="Medium",$E109="Low"),$A109&amp;"  "&amp;$B109,"")</f>
        <v/>
      </c>
      <c r="S109">
        <f>IF(AND($B109&lt;&gt;"",$C109&lt;&gt;"Target state",$C109&lt;&gt;"Exception",$D109="Medium",$E109="Medium"),$A109&amp;"  "&amp;$B109,"")</f>
        <v/>
      </c>
      <c r="T109">
        <f>IF(AND($B109&lt;&gt;"",$C109&lt;&gt;"Target state",$C109&lt;&gt;"Exception",$D109="Medium",$E109="High"),$A109&amp;"  "&amp;$B109,"")</f>
        <v/>
      </c>
      <c r="U109">
        <f>IF(AND($B109&lt;&gt;"",$C109&lt;&gt;"Target state",$C109&lt;&gt;"Exception",$D109="Low",$E109="Low"),$A109&amp;"  "&amp;$B109,"")</f>
        <v/>
      </c>
      <c r="V109">
        <f>IF(AND($B109&lt;&gt;"",$C109&lt;&gt;"Target state",$C109&lt;&gt;"Exception",$D109="Low",$E109="Medium"),$A109&amp;"  "&amp;$B109,"")</f>
        <v/>
      </c>
      <c r="W109">
        <f>IF(AND($B109&lt;&gt;"",$C109&lt;&gt;"Target state",$C109&lt;&gt;"Exception",$D109="Low",$E109="High"),$A109&amp;"  "&amp;$B109,"")</f>
        <v/>
      </c>
    </row>
    <row r="110" ht="20" customHeight="1" s="52">
      <c r="A110" s="93" t="inlineStr">
        <is>
          <t>⑫</t>
        </is>
      </c>
      <c r="B110" s="94" t="n"/>
      <c r="C110" s="73" t="n"/>
      <c r="D110" s="73" t="n"/>
      <c r="E110" s="73" t="n"/>
      <c r="F110" s="72" t="n"/>
      <c r="G110" s="95">
        <f>IF(OR($B110="",$D110="",$E110=""),"",IF(OR($C110="Target state",$C110="Exception"),"Out of scope",IF($D110="Low","No tranche",IF($E110="Low","Tranche 1",IF($E110="Medium","Tranche 2",IF($D110="High","Tranche 3","No tranche"))))))</f>
        <v/>
      </c>
      <c r="K110" s="102" t="n"/>
      <c r="L110" s="102" t="n"/>
      <c r="M110" s="102" t="n"/>
      <c r="O110">
        <f>IF(AND($B110&lt;&gt;"",$C110&lt;&gt;"Target state",$C110&lt;&gt;"Exception",$D110="High",$E110="Low"),$A110&amp;"  "&amp;$B110,"")</f>
        <v/>
      </c>
      <c r="P110">
        <f>IF(AND($B110&lt;&gt;"",$C110&lt;&gt;"Target state",$C110&lt;&gt;"Exception",$D110="High",$E110="Medium"),$A110&amp;"  "&amp;$B110,"")</f>
        <v/>
      </c>
      <c r="Q110">
        <f>IF(AND($B110&lt;&gt;"",$C110&lt;&gt;"Target state",$C110&lt;&gt;"Exception",$D110="High",$E110="High"),$A110&amp;"  "&amp;$B110,"")</f>
        <v/>
      </c>
      <c r="R110">
        <f>IF(AND($B110&lt;&gt;"",$C110&lt;&gt;"Target state",$C110&lt;&gt;"Exception",$D110="Medium",$E110="Low"),$A110&amp;"  "&amp;$B110,"")</f>
        <v/>
      </c>
      <c r="S110">
        <f>IF(AND($B110&lt;&gt;"",$C110&lt;&gt;"Target state",$C110&lt;&gt;"Exception",$D110="Medium",$E110="Medium"),$A110&amp;"  "&amp;$B110,"")</f>
        <v/>
      </c>
      <c r="T110">
        <f>IF(AND($B110&lt;&gt;"",$C110&lt;&gt;"Target state",$C110&lt;&gt;"Exception",$D110="Medium",$E110="High"),$A110&amp;"  "&amp;$B110,"")</f>
        <v/>
      </c>
      <c r="U110">
        <f>IF(AND($B110&lt;&gt;"",$C110&lt;&gt;"Target state",$C110&lt;&gt;"Exception",$D110="Low",$E110="Low"),$A110&amp;"  "&amp;$B110,"")</f>
        <v/>
      </c>
      <c r="V110">
        <f>IF(AND($B110&lt;&gt;"",$C110&lt;&gt;"Target state",$C110&lt;&gt;"Exception",$D110="Low",$E110="Medium"),$A110&amp;"  "&amp;$B110,"")</f>
        <v/>
      </c>
      <c r="W110">
        <f>IF(AND($B110&lt;&gt;"",$C110&lt;&gt;"Target state",$C110&lt;&gt;"Exception",$D110="Low",$E110="High"),$A110&amp;"  "&amp;$B110,"")</f>
        <v/>
      </c>
    </row>
    <row r="111">
      <c r="K111" s="97" t="inlineStr">
        <is>
          <t>Complexity</t>
        </is>
      </c>
    </row>
    <row r="115" ht="22" customHeight="1" s="52">
      <c r="A115" s="88" t="inlineStr">
        <is>
          <t>Managed Optimization</t>
        </is>
      </c>
      <c r="G115" s="89">
        <f>HYPERLINK("#'VAS'!A4","▲ tracker")</f>
        <v/>
      </c>
      <c r="K115" s="90" t="inlineStr">
        <is>
          <t>Assessment Outcome</t>
        </is>
      </c>
    </row>
    <row r="116" ht="18" customHeight="1" s="52">
      <c r="A116" s="91" t="inlineStr">
        <is>
          <t>#</t>
        </is>
      </c>
      <c r="B116" s="91" t="inlineStr">
        <is>
          <t>Platform</t>
        </is>
      </c>
      <c r="C116" s="91" t="inlineStr">
        <is>
          <t>State</t>
        </is>
      </c>
      <c r="D116" s="91" t="inlineStr">
        <is>
          <t>Imperative to exit</t>
        </is>
      </c>
      <c r="E116" s="91" t="inlineStr">
        <is>
          <t>Exit complexity</t>
        </is>
      </c>
      <c r="F116" s="91" t="inlineStr">
        <is>
          <t>Supporting facts</t>
        </is>
      </c>
      <c r="G116" s="91" t="inlineStr">
        <is>
          <t>Tranche (auto)</t>
        </is>
      </c>
      <c r="K116" s="92" t="inlineStr">
        <is>
          <t>Low</t>
        </is>
      </c>
      <c r="L116" s="92" t="inlineStr">
        <is>
          <t>Medium</t>
        </is>
      </c>
      <c r="M116" s="92" t="inlineStr">
        <is>
          <t>High</t>
        </is>
      </c>
    </row>
    <row r="117" ht="20" customHeight="1" s="52">
      <c r="A117" s="93" t="inlineStr">
        <is>
          <t>①</t>
        </is>
      </c>
      <c r="B117" s="94" t="n"/>
      <c r="C117" s="73" t="n"/>
      <c r="D117" s="73" t="n"/>
      <c r="E117" s="73" t="n"/>
      <c r="F117" s="72" t="n"/>
      <c r="G117" s="95">
        <f>IF(OR($B117="",$D117="",$E117=""),"",IF(OR($C117="Target state",$C117="Exception"),"Out of scope",IF($D117="Low","No tranche",IF($E117="Low","Tranche 1",IF($E117="Medium","Tranche 2",IF($D117="High","Tranche 3","No tranche"))))))</f>
        <v/>
      </c>
      <c r="I117" s="96" t="inlineStr">
        <is>
          <t>Benefits</t>
        </is>
      </c>
      <c r="J117" s="97" t="inlineStr">
        <is>
          <t>High</t>
        </is>
      </c>
      <c r="K117" s="98">
        <f>"Tranche 1"&amp;CHAR(10)&amp;_xlfn.TEXTJOIN(CHAR(10),TRUE,O$117:O$126)</f>
        <v/>
      </c>
      <c r="L117" s="99">
        <f>"Tranche 2"&amp;CHAR(10)&amp;_xlfn.TEXTJOIN(CHAR(10),TRUE,P$117:P$126)</f>
        <v/>
      </c>
      <c r="M117" s="100">
        <f>"Tranche 3"&amp;CHAR(10)&amp;_xlfn.TEXTJOIN(CHAR(10),TRUE,Q$117:Q$126)</f>
        <v/>
      </c>
      <c r="O117">
        <f>IF(AND($B117&lt;&gt;"",$C117&lt;&gt;"Target state",$C117&lt;&gt;"Exception",$D117="High",$E117="Low"),$A117&amp;"  "&amp;$B117,"")</f>
        <v/>
      </c>
      <c r="P117">
        <f>IF(AND($B117&lt;&gt;"",$C117&lt;&gt;"Target state",$C117&lt;&gt;"Exception",$D117="High",$E117="Medium"),$A117&amp;"  "&amp;$B117,"")</f>
        <v/>
      </c>
      <c r="Q117">
        <f>IF(AND($B117&lt;&gt;"",$C117&lt;&gt;"Target state",$C117&lt;&gt;"Exception",$D117="High",$E117="High"),$A117&amp;"  "&amp;$B117,"")</f>
        <v/>
      </c>
      <c r="R117">
        <f>IF(AND($B117&lt;&gt;"",$C117&lt;&gt;"Target state",$C117&lt;&gt;"Exception",$D117="Medium",$E117="Low"),$A117&amp;"  "&amp;$B117,"")</f>
        <v/>
      </c>
      <c r="S117">
        <f>IF(AND($B117&lt;&gt;"",$C117&lt;&gt;"Target state",$C117&lt;&gt;"Exception",$D117="Medium",$E117="Medium"),$A117&amp;"  "&amp;$B117,"")</f>
        <v/>
      </c>
      <c r="T117">
        <f>IF(AND($B117&lt;&gt;"",$C117&lt;&gt;"Target state",$C117&lt;&gt;"Exception",$D117="Medium",$E117="High"),$A117&amp;"  "&amp;$B117,"")</f>
        <v/>
      </c>
      <c r="U117">
        <f>IF(AND($B117&lt;&gt;"",$C117&lt;&gt;"Target state",$C117&lt;&gt;"Exception",$D117="Low",$E117="Low"),$A117&amp;"  "&amp;$B117,"")</f>
        <v/>
      </c>
      <c r="V117">
        <f>IF(AND($B117&lt;&gt;"",$C117&lt;&gt;"Target state",$C117&lt;&gt;"Exception",$D117="Low",$E117="Medium"),$A117&amp;"  "&amp;$B117,"")</f>
        <v/>
      </c>
      <c r="W117">
        <f>IF(AND($B117&lt;&gt;"",$C117&lt;&gt;"Target state",$C117&lt;&gt;"Exception",$D117="Low",$E117="High"),$A117&amp;"  "&amp;$B117,"")</f>
        <v/>
      </c>
    </row>
    <row r="118" ht="20" customHeight="1" s="52">
      <c r="A118" s="93" t="inlineStr">
        <is>
          <t>②</t>
        </is>
      </c>
      <c r="B118" s="94" t="n"/>
      <c r="C118" s="73" t="n"/>
      <c r="D118" s="73" t="n"/>
      <c r="E118" s="73" t="n"/>
      <c r="F118" s="72" t="n"/>
      <c r="G118" s="95">
        <f>IF(OR($B118="",$D118="",$E118=""),"",IF(OR($C118="Target state",$C118="Exception"),"Out of scope",IF($D118="Low","No tranche",IF($E118="Low","Tranche 1",IF($E118="Medium","Tranche 2",IF($D118="High","Tranche 3","No tranche"))))))</f>
        <v/>
      </c>
      <c r="K118" s="101" t="n"/>
      <c r="L118" s="101" t="n"/>
      <c r="M118" s="101" t="n"/>
      <c r="O118">
        <f>IF(AND($B118&lt;&gt;"",$C118&lt;&gt;"Target state",$C118&lt;&gt;"Exception",$D118="High",$E118="Low"),$A118&amp;"  "&amp;$B118,"")</f>
        <v/>
      </c>
      <c r="P118">
        <f>IF(AND($B118&lt;&gt;"",$C118&lt;&gt;"Target state",$C118&lt;&gt;"Exception",$D118="High",$E118="Medium"),$A118&amp;"  "&amp;$B118,"")</f>
        <v/>
      </c>
      <c r="Q118">
        <f>IF(AND($B118&lt;&gt;"",$C118&lt;&gt;"Target state",$C118&lt;&gt;"Exception",$D118="High",$E118="High"),$A118&amp;"  "&amp;$B118,"")</f>
        <v/>
      </c>
      <c r="R118">
        <f>IF(AND($B118&lt;&gt;"",$C118&lt;&gt;"Target state",$C118&lt;&gt;"Exception",$D118="Medium",$E118="Low"),$A118&amp;"  "&amp;$B118,"")</f>
        <v/>
      </c>
      <c r="S118">
        <f>IF(AND($B118&lt;&gt;"",$C118&lt;&gt;"Target state",$C118&lt;&gt;"Exception",$D118="Medium",$E118="Medium"),$A118&amp;"  "&amp;$B118,"")</f>
        <v/>
      </c>
      <c r="T118">
        <f>IF(AND($B118&lt;&gt;"",$C118&lt;&gt;"Target state",$C118&lt;&gt;"Exception",$D118="Medium",$E118="High"),$A118&amp;"  "&amp;$B118,"")</f>
        <v/>
      </c>
      <c r="U118">
        <f>IF(AND($B118&lt;&gt;"",$C118&lt;&gt;"Target state",$C118&lt;&gt;"Exception",$D118="Low",$E118="Low"),$A118&amp;"  "&amp;$B118,"")</f>
        <v/>
      </c>
      <c r="V118">
        <f>IF(AND($B118&lt;&gt;"",$C118&lt;&gt;"Target state",$C118&lt;&gt;"Exception",$D118="Low",$E118="Medium"),$A118&amp;"  "&amp;$B118,"")</f>
        <v/>
      </c>
      <c r="W118">
        <f>IF(AND($B118&lt;&gt;"",$C118&lt;&gt;"Target state",$C118&lt;&gt;"Exception",$D118="Low",$E118="High"),$A118&amp;"  "&amp;$B118,"")</f>
        <v/>
      </c>
    </row>
    <row r="119" ht="20" customHeight="1" s="52">
      <c r="A119" s="93" t="inlineStr">
        <is>
          <t>③</t>
        </is>
      </c>
      <c r="B119" s="94" t="n"/>
      <c r="C119" s="73" t="n"/>
      <c r="D119" s="73" t="n"/>
      <c r="E119" s="73" t="n"/>
      <c r="F119" s="72" t="n"/>
      <c r="G119" s="95">
        <f>IF(OR($B119="",$D119="",$E119=""),"",IF(OR($C119="Target state",$C119="Exception"),"Out of scope",IF($D119="Low","No tranche",IF($E119="Low","Tranche 1",IF($E119="Medium","Tranche 2",IF($D119="High","Tranche 3","No tranche"))))))</f>
        <v/>
      </c>
      <c r="K119" s="101" t="n"/>
      <c r="L119" s="101" t="n"/>
      <c r="M119" s="101" t="n"/>
      <c r="O119">
        <f>IF(AND($B119&lt;&gt;"",$C119&lt;&gt;"Target state",$C119&lt;&gt;"Exception",$D119="High",$E119="Low"),$A119&amp;"  "&amp;$B119,"")</f>
        <v/>
      </c>
      <c r="P119">
        <f>IF(AND($B119&lt;&gt;"",$C119&lt;&gt;"Target state",$C119&lt;&gt;"Exception",$D119="High",$E119="Medium"),$A119&amp;"  "&amp;$B119,"")</f>
        <v/>
      </c>
      <c r="Q119">
        <f>IF(AND($B119&lt;&gt;"",$C119&lt;&gt;"Target state",$C119&lt;&gt;"Exception",$D119="High",$E119="High"),$A119&amp;"  "&amp;$B119,"")</f>
        <v/>
      </c>
      <c r="R119">
        <f>IF(AND($B119&lt;&gt;"",$C119&lt;&gt;"Target state",$C119&lt;&gt;"Exception",$D119="Medium",$E119="Low"),$A119&amp;"  "&amp;$B119,"")</f>
        <v/>
      </c>
      <c r="S119">
        <f>IF(AND($B119&lt;&gt;"",$C119&lt;&gt;"Target state",$C119&lt;&gt;"Exception",$D119="Medium",$E119="Medium"),$A119&amp;"  "&amp;$B119,"")</f>
        <v/>
      </c>
      <c r="T119">
        <f>IF(AND($B119&lt;&gt;"",$C119&lt;&gt;"Target state",$C119&lt;&gt;"Exception",$D119="Medium",$E119="High"),$A119&amp;"  "&amp;$B119,"")</f>
        <v/>
      </c>
      <c r="U119">
        <f>IF(AND($B119&lt;&gt;"",$C119&lt;&gt;"Target state",$C119&lt;&gt;"Exception",$D119="Low",$E119="Low"),$A119&amp;"  "&amp;$B119,"")</f>
        <v/>
      </c>
      <c r="V119">
        <f>IF(AND($B119&lt;&gt;"",$C119&lt;&gt;"Target state",$C119&lt;&gt;"Exception",$D119="Low",$E119="Medium"),$A119&amp;"  "&amp;$B119,"")</f>
        <v/>
      </c>
      <c r="W119">
        <f>IF(AND($B119&lt;&gt;"",$C119&lt;&gt;"Target state",$C119&lt;&gt;"Exception",$D119="Low",$E119="High"),$A119&amp;"  "&amp;$B119,"")</f>
        <v/>
      </c>
    </row>
    <row r="120" ht="20" customHeight="1" s="52">
      <c r="A120" s="93" t="inlineStr">
        <is>
          <t>④</t>
        </is>
      </c>
      <c r="B120" s="94" t="n"/>
      <c r="C120" s="73" t="n"/>
      <c r="D120" s="73" t="n"/>
      <c r="E120" s="73" t="n"/>
      <c r="F120" s="72" t="n"/>
      <c r="G120" s="95">
        <f>IF(OR($B120="",$D120="",$E120=""),"",IF(OR($C120="Target state",$C120="Exception"),"Out of scope",IF($D120="Low","No tranche",IF($E120="Low","Tranche 1",IF($E120="Medium","Tranche 2",IF($D120="High","Tranche 3","No tranche"))))))</f>
        <v/>
      </c>
      <c r="K120" s="102" t="n"/>
      <c r="L120" s="102" t="n"/>
      <c r="M120" s="102" t="n"/>
      <c r="O120">
        <f>IF(AND($B120&lt;&gt;"",$C120&lt;&gt;"Target state",$C120&lt;&gt;"Exception",$D120="High",$E120="Low"),$A120&amp;"  "&amp;$B120,"")</f>
        <v/>
      </c>
      <c r="P120">
        <f>IF(AND($B120&lt;&gt;"",$C120&lt;&gt;"Target state",$C120&lt;&gt;"Exception",$D120="High",$E120="Medium"),$A120&amp;"  "&amp;$B120,"")</f>
        <v/>
      </c>
      <c r="Q120">
        <f>IF(AND($B120&lt;&gt;"",$C120&lt;&gt;"Target state",$C120&lt;&gt;"Exception",$D120="High",$E120="High"),$A120&amp;"  "&amp;$B120,"")</f>
        <v/>
      </c>
      <c r="R120">
        <f>IF(AND($B120&lt;&gt;"",$C120&lt;&gt;"Target state",$C120&lt;&gt;"Exception",$D120="Medium",$E120="Low"),$A120&amp;"  "&amp;$B120,"")</f>
        <v/>
      </c>
      <c r="S120">
        <f>IF(AND($B120&lt;&gt;"",$C120&lt;&gt;"Target state",$C120&lt;&gt;"Exception",$D120="Medium",$E120="Medium"),$A120&amp;"  "&amp;$B120,"")</f>
        <v/>
      </c>
      <c r="T120">
        <f>IF(AND($B120&lt;&gt;"",$C120&lt;&gt;"Target state",$C120&lt;&gt;"Exception",$D120="Medium",$E120="High"),$A120&amp;"  "&amp;$B120,"")</f>
        <v/>
      </c>
      <c r="U120">
        <f>IF(AND($B120&lt;&gt;"",$C120&lt;&gt;"Target state",$C120&lt;&gt;"Exception",$D120="Low",$E120="Low"),$A120&amp;"  "&amp;$B120,"")</f>
        <v/>
      </c>
      <c r="V120">
        <f>IF(AND($B120&lt;&gt;"",$C120&lt;&gt;"Target state",$C120&lt;&gt;"Exception",$D120="Low",$E120="Medium"),$A120&amp;"  "&amp;$B120,"")</f>
        <v/>
      </c>
      <c r="W120">
        <f>IF(AND($B120&lt;&gt;"",$C120&lt;&gt;"Target state",$C120&lt;&gt;"Exception",$D120="Low",$E120="High"),$A120&amp;"  "&amp;$B120,"")</f>
        <v/>
      </c>
    </row>
    <row r="121" ht="20" customHeight="1" s="52">
      <c r="A121" s="93" t="inlineStr">
        <is>
          <t>⑤</t>
        </is>
      </c>
      <c r="B121" s="94" t="n"/>
      <c r="C121" s="73" t="n"/>
      <c r="D121" s="73" t="n"/>
      <c r="E121" s="73" t="n"/>
      <c r="F121" s="72" t="n"/>
      <c r="G121" s="95">
        <f>IF(OR($B121="",$D121="",$E121=""),"",IF(OR($C121="Target state",$C121="Exception"),"Out of scope",IF($D121="Low","No tranche",IF($E121="Low","Tranche 1",IF($E121="Medium","Tranche 2",IF($D121="High","Tranche 3","No tranche"))))))</f>
        <v/>
      </c>
      <c r="J121" s="97" t="inlineStr">
        <is>
          <t>Medium</t>
        </is>
      </c>
      <c r="K121" s="98">
        <f>"Tranche 1"&amp;CHAR(10)&amp;_xlfn.TEXTJOIN(CHAR(10),TRUE,R$117:R$126)</f>
        <v/>
      </c>
      <c r="L121" s="99">
        <f>"Tranche 2"&amp;CHAR(10)&amp;_xlfn.TEXTJOIN(CHAR(10),TRUE,S$117:S$126)</f>
        <v/>
      </c>
      <c r="M121" s="103">
        <f>_xlfn.TEXTJOIN(CHAR(10),TRUE,T$117:T$126)</f>
        <v/>
      </c>
      <c r="O121">
        <f>IF(AND($B121&lt;&gt;"",$C121&lt;&gt;"Target state",$C121&lt;&gt;"Exception",$D121="High",$E121="Low"),$A121&amp;"  "&amp;$B121,"")</f>
        <v/>
      </c>
      <c r="P121">
        <f>IF(AND($B121&lt;&gt;"",$C121&lt;&gt;"Target state",$C121&lt;&gt;"Exception",$D121="High",$E121="Medium"),$A121&amp;"  "&amp;$B121,"")</f>
        <v/>
      </c>
      <c r="Q121">
        <f>IF(AND($B121&lt;&gt;"",$C121&lt;&gt;"Target state",$C121&lt;&gt;"Exception",$D121="High",$E121="High"),$A121&amp;"  "&amp;$B121,"")</f>
        <v/>
      </c>
      <c r="R121">
        <f>IF(AND($B121&lt;&gt;"",$C121&lt;&gt;"Target state",$C121&lt;&gt;"Exception",$D121="Medium",$E121="Low"),$A121&amp;"  "&amp;$B121,"")</f>
        <v/>
      </c>
      <c r="S121">
        <f>IF(AND($B121&lt;&gt;"",$C121&lt;&gt;"Target state",$C121&lt;&gt;"Exception",$D121="Medium",$E121="Medium"),$A121&amp;"  "&amp;$B121,"")</f>
        <v/>
      </c>
      <c r="T121">
        <f>IF(AND($B121&lt;&gt;"",$C121&lt;&gt;"Target state",$C121&lt;&gt;"Exception",$D121="Medium",$E121="High"),$A121&amp;"  "&amp;$B121,"")</f>
        <v/>
      </c>
      <c r="U121">
        <f>IF(AND($B121&lt;&gt;"",$C121&lt;&gt;"Target state",$C121&lt;&gt;"Exception",$D121="Low",$E121="Low"),$A121&amp;"  "&amp;$B121,"")</f>
        <v/>
      </c>
      <c r="V121">
        <f>IF(AND($B121&lt;&gt;"",$C121&lt;&gt;"Target state",$C121&lt;&gt;"Exception",$D121="Low",$E121="Medium"),$A121&amp;"  "&amp;$B121,"")</f>
        <v/>
      </c>
      <c r="W121">
        <f>IF(AND($B121&lt;&gt;"",$C121&lt;&gt;"Target state",$C121&lt;&gt;"Exception",$D121="Low",$E121="High"),$A121&amp;"  "&amp;$B121,"")</f>
        <v/>
      </c>
    </row>
    <row r="122" ht="20" customHeight="1" s="52">
      <c r="A122" s="93" t="inlineStr">
        <is>
          <t>⑥</t>
        </is>
      </c>
      <c r="B122" s="94" t="n"/>
      <c r="C122" s="73" t="n"/>
      <c r="D122" s="73" t="n"/>
      <c r="E122" s="73" t="n"/>
      <c r="F122" s="72" t="n"/>
      <c r="G122" s="95">
        <f>IF(OR($B122="",$D122="",$E122=""),"",IF(OR($C122="Target state",$C122="Exception"),"Out of scope",IF($D122="Low","No tranche",IF($E122="Low","Tranche 1",IF($E122="Medium","Tranche 2",IF($D122="High","Tranche 3","No tranche"))))))</f>
        <v/>
      </c>
      <c r="K122" s="101" t="n"/>
      <c r="L122" s="101" t="n"/>
      <c r="M122" s="101" t="n"/>
      <c r="O122">
        <f>IF(AND($B122&lt;&gt;"",$C122&lt;&gt;"Target state",$C122&lt;&gt;"Exception",$D122="High",$E122="Low"),$A122&amp;"  "&amp;$B122,"")</f>
        <v/>
      </c>
      <c r="P122">
        <f>IF(AND($B122&lt;&gt;"",$C122&lt;&gt;"Target state",$C122&lt;&gt;"Exception",$D122="High",$E122="Medium"),$A122&amp;"  "&amp;$B122,"")</f>
        <v/>
      </c>
      <c r="Q122">
        <f>IF(AND($B122&lt;&gt;"",$C122&lt;&gt;"Target state",$C122&lt;&gt;"Exception",$D122="High",$E122="High"),$A122&amp;"  "&amp;$B122,"")</f>
        <v/>
      </c>
      <c r="R122">
        <f>IF(AND($B122&lt;&gt;"",$C122&lt;&gt;"Target state",$C122&lt;&gt;"Exception",$D122="Medium",$E122="Low"),$A122&amp;"  "&amp;$B122,"")</f>
        <v/>
      </c>
      <c r="S122">
        <f>IF(AND($B122&lt;&gt;"",$C122&lt;&gt;"Target state",$C122&lt;&gt;"Exception",$D122="Medium",$E122="Medium"),$A122&amp;"  "&amp;$B122,"")</f>
        <v/>
      </c>
      <c r="T122">
        <f>IF(AND($B122&lt;&gt;"",$C122&lt;&gt;"Target state",$C122&lt;&gt;"Exception",$D122="Medium",$E122="High"),$A122&amp;"  "&amp;$B122,"")</f>
        <v/>
      </c>
      <c r="U122">
        <f>IF(AND($B122&lt;&gt;"",$C122&lt;&gt;"Target state",$C122&lt;&gt;"Exception",$D122="Low",$E122="Low"),$A122&amp;"  "&amp;$B122,"")</f>
        <v/>
      </c>
      <c r="V122">
        <f>IF(AND($B122&lt;&gt;"",$C122&lt;&gt;"Target state",$C122&lt;&gt;"Exception",$D122="Low",$E122="Medium"),$A122&amp;"  "&amp;$B122,"")</f>
        <v/>
      </c>
      <c r="W122">
        <f>IF(AND($B122&lt;&gt;"",$C122&lt;&gt;"Target state",$C122&lt;&gt;"Exception",$D122="Low",$E122="High"),$A122&amp;"  "&amp;$B122,"")</f>
        <v/>
      </c>
    </row>
    <row r="123" ht="20" customHeight="1" s="52">
      <c r="A123" s="93" t="inlineStr">
        <is>
          <t>⑦</t>
        </is>
      </c>
      <c r="B123" s="94" t="n"/>
      <c r="C123" s="73" t="n"/>
      <c r="D123" s="73" t="n"/>
      <c r="E123" s="73" t="n"/>
      <c r="F123" s="72" t="n"/>
      <c r="G123" s="95">
        <f>IF(OR($B123="",$D123="",$E123=""),"",IF(OR($C123="Target state",$C123="Exception"),"Out of scope",IF($D123="Low","No tranche",IF($E123="Low","Tranche 1",IF($E123="Medium","Tranche 2",IF($D123="High","Tranche 3","No tranche"))))))</f>
        <v/>
      </c>
      <c r="K123" s="102" t="n"/>
      <c r="L123" s="102" t="n"/>
      <c r="M123" s="102" t="n"/>
      <c r="O123">
        <f>IF(AND($B123&lt;&gt;"",$C123&lt;&gt;"Target state",$C123&lt;&gt;"Exception",$D123="High",$E123="Low"),$A123&amp;"  "&amp;$B123,"")</f>
        <v/>
      </c>
      <c r="P123">
        <f>IF(AND($B123&lt;&gt;"",$C123&lt;&gt;"Target state",$C123&lt;&gt;"Exception",$D123="High",$E123="Medium"),$A123&amp;"  "&amp;$B123,"")</f>
        <v/>
      </c>
      <c r="Q123">
        <f>IF(AND($B123&lt;&gt;"",$C123&lt;&gt;"Target state",$C123&lt;&gt;"Exception",$D123="High",$E123="High"),$A123&amp;"  "&amp;$B123,"")</f>
        <v/>
      </c>
      <c r="R123">
        <f>IF(AND($B123&lt;&gt;"",$C123&lt;&gt;"Target state",$C123&lt;&gt;"Exception",$D123="Medium",$E123="Low"),$A123&amp;"  "&amp;$B123,"")</f>
        <v/>
      </c>
      <c r="S123">
        <f>IF(AND($B123&lt;&gt;"",$C123&lt;&gt;"Target state",$C123&lt;&gt;"Exception",$D123="Medium",$E123="Medium"),$A123&amp;"  "&amp;$B123,"")</f>
        <v/>
      </c>
      <c r="T123">
        <f>IF(AND($B123&lt;&gt;"",$C123&lt;&gt;"Target state",$C123&lt;&gt;"Exception",$D123="Medium",$E123="High"),$A123&amp;"  "&amp;$B123,"")</f>
        <v/>
      </c>
      <c r="U123">
        <f>IF(AND($B123&lt;&gt;"",$C123&lt;&gt;"Target state",$C123&lt;&gt;"Exception",$D123="Low",$E123="Low"),$A123&amp;"  "&amp;$B123,"")</f>
        <v/>
      </c>
      <c r="V123">
        <f>IF(AND($B123&lt;&gt;"",$C123&lt;&gt;"Target state",$C123&lt;&gt;"Exception",$D123="Low",$E123="Medium"),$A123&amp;"  "&amp;$B123,"")</f>
        <v/>
      </c>
      <c r="W123">
        <f>IF(AND($B123&lt;&gt;"",$C123&lt;&gt;"Target state",$C123&lt;&gt;"Exception",$D123="Low",$E123="High"),$A123&amp;"  "&amp;$B123,"")</f>
        <v/>
      </c>
    </row>
    <row r="124" ht="20" customHeight="1" s="52">
      <c r="A124" s="93" t="inlineStr">
        <is>
          <t>⑧</t>
        </is>
      </c>
      <c r="B124" s="94" t="n"/>
      <c r="C124" s="73" t="n"/>
      <c r="D124" s="73" t="n"/>
      <c r="E124" s="73" t="n"/>
      <c r="F124" s="72" t="n"/>
      <c r="G124" s="95">
        <f>IF(OR($B124="",$D124="",$E124=""),"",IF(OR($C124="Target state",$C124="Exception"),"Out of scope",IF($D124="Low","No tranche",IF($E124="Low","Tranche 1",IF($E124="Medium","Tranche 2",IF($D124="High","Tranche 3","No tranche"))))))</f>
        <v/>
      </c>
      <c r="J124" s="97" t="inlineStr">
        <is>
          <t>Low</t>
        </is>
      </c>
      <c r="K124" s="103">
        <f>_xlfn.TEXTJOIN(CHAR(10),TRUE,U$117:U$126)</f>
        <v/>
      </c>
      <c r="L124" s="103">
        <f>_xlfn.TEXTJOIN(CHAR(10),TRUE,V$117:V$126)</f>
        <v/>
      </c>
      <c r="M124" s="103">
        <f>_xlfn.TEXTJOIN(CHAR(10),TRUE,W$117:W$126)</f>
        <v/>
      </c>
      <c r="O124">
        <f>IF(AND($B124&lt;&gt;"",$C124&lt;&gt;"Target state",$C124&lt;&gt;"Exception",$D124="High",$E124="Low"),$A124&amp;"  "&amp;$B124,"")</f>
        <v/>
      </c>
      <c r="P124">
        <f>IF(AND($B124&lt;&gt;"",$C124&lt;&gt;"Target state",$C124&lt;&gt;"Exception",$D124="High",$E124="Medium"),$A124&amp;"  "&amp;$B124,"")</f>
        <v/>
      </c>
      <c r="Q124">
        <f>IF(AND($B124&lt;&gt;"",$C124&lt;&gt;"Target state",$C124&lt;&gt;"Exception",$D124="High",$E124="High"),$A124&amp;"  "&amp;$B124,"")</f>
        <v/>
      </c>
      <c r="R124">
        <f>IF(AND($B124&lt;&gt;"",$C124&lt;&gt;"Target state",$C124&lt;&gt;"Exception",$D124="Medium",$E124="Low"),$A124&amp;"  "&amp;$B124,"")</f>
        <v/>
      </c>
      <c r="S124">
        <f>IF(AND($B124&lt;&gt;"",$C124&lt;&gt;"Target state",$C124&lt;&gt;"Exception",$D124="Medium",$E124="Medium"),$A124&amp;"  "&amp;$B124,"")</f>
        <v/>
      </c>
      <c r="T124">
        <f>IF(AND($B124&lt;&gt;"",$C124&lt;&gt;"Target state",$C124&lt;&gt;"Exception",$D124="Medium",$E124="High"),$A124&amp;"  "&amp;$B124,"")</f>
        <v/>
      </c>
      <c r="U124">
        <f>IF(AND($B124&lt;&gt;"",$C124&lt;&gt;"Target state",$C124&lt;&gt;"Exception",$D124="Low",$E124="Low"),$A124&amp;"  "&amp;$B124,"")</f>
        <v/>
      </c>
      <c r="V124">
        <f>IF(AND($B124&lt;&gt;"",$C124&lt;&gt;"Target state",$C124&lt;&gt;"Exception",$D124="Low",$E124="Medium"),$A124&amp;"  "&amp;$B124,"")</f>
        <v/>
      </c>
      <c r="W124">
        <f>IF(AND($B124&lt;&gt;"",$C124&lt;&gt;"Target state",$C124&lt;&gt;"Exception",$D124="Low",$E124="High"),$A124&amp;"  "&amp;$B124,"")</f>
        <v/>
      </c>
    </row>
    <row r="125" ht="20" customHeight="1" s="52">
      <c r="A125" s="93" t="inlineStr">
        <is>
          <t>⑨</t>
        </is>
      </c>
      <c r="B125" s="94" t="n"/>
      <c r="C125" s="73" t="n"/>
      <c r="D125" s="73" t="n"/>
      <c r="E125" s="73" t="n"/>
      <c r="F125" s="72" t="n"/>
      <c r="G125" s="95">
        <f>IF(OR($B125="",$D125="",$E125=""),"",IF(OR($C125="Target state",$C125="Exception"),"Out of scope",IF($D125="Low","No tranche",IF($E125="Low","Tranche 1",IF($E125="Medium","Tranche 2",IF($D125="High","Tranche 3","No tranche"))))))</f>
        <v/>
      </c>
      <c r="K125" s="101" t="n"/>
      <c r="L125" s="101" t="n"/>
      <c r="M125" s="101" t="n"/>
      <c r="O125">
        <f>IF(AND($B125&lt;&gt;"",$C125&lt;&gt;"Target state",$C125&lt;&gt;"Exception",$D125="High",$E125="Low"),$A125&amp;"  "&amp;$B125,"")</f>
        <v/>
      </c>
      <c r="P125">
        <f>IF(AND($B125&lt;&gt;"",$C125&lt;&gt;"Target state",$C125&lt;&gt;"Exception",$D125="High",$E125="Medium"),$A125&amp;"  "&amp;$B125,"")</f>
        <v/>
      </c>
      <c r="Q125">
        <f>IF(AND($B125&lt;&gt;"",$C125&lt;&gt;"Target state",$C125&lt;&gt;"Exception",$D125="High",$E125="High"),$A125&amp;"  "&amp;$B125,"")</f>
        <v/>
      </c>
      <c r="R125">
        <f>IF(AND($B125&lt;&gt;"",$C125&lt;&gt;"Target state",$C125&lt;&gt;"Exception",$D125="Medium",$E125="Low"),$A125&amp;"  "&amp;$B125,"")</f>
        <v/>
      </c>
      <c r="S125">
        <f>IF(AND($B125&lt;&gt;"",$C125&lt;&gt;"Target state",$C125&lt;&gt;"Exception",$D125="Medium",$E125="Medium"),$A125&amp;"  "&amp;$B125,"")</f>
        <v/>
      </c>
      <c r="T125">
        <f>IF(AND($B125&lt;&gt;"",$C125&lt;&gt;"Target state",$C125&lt;&gt;"Exception",$D125="Medium",$E125="High"),$A125&amp;"  "&amp;$B125,"")</f>
        <v/>
      </c>
      <c r="U125">
        <f>IF(AND($B125&lt;&gt;"",$C125&lt;&gt;"Target state",$C125&lt;&gt;"Exception",$D125="Low",$E125="Low"),$A125&amp;"  "&amp;$B125,"")</f>
        <v/>
      </c>
      <c r="V125">
        <f>IF(AND($B125&lt;&gt;"",$C125&lt;&gt;"Target state",$C125&lt;&gt;"Exception",$D125="Low",$E125="Medium"),$A125&amp;"  "&amp;$B125,"")</f>
        <v/>
      </c>
      <c r="W125">
        <f>IF(AND($B125&lt;&gt;"",$C125&lt;&gt;"Target state",$C125&lt;&gt;"Exception",$D125="Low",$E125="High"),$A125&amp;"  "&amp;$B125,"")</f>
        <v/>
      </c>
    </row>
    <row r="126" ht="20" customHeight="1" s="52">
      <c r="A126" s="93" t="inlineStr">
        <is>
          <t>⑩</t>
        </is>
      </c>
      <c r="B126" s="94" t="n"/>
      <c r="C126" s="73" t="n"/>
      <c r="D126" s="73" t="n"/>
      <c r="E126" s="73" t="n"/>
      <c r="F126" s="72" t="n"/>
      <c r="G126" s="95">
        <f>IF(OR($B126="",$D126="",$E126=""),"",IF(OR($C126="Target state",$C126="Exception"),"Out of scope",IF($D126="Low","No tranche",IF($E126="Low","Tranche 1",IF($E126="Medium","Tranche 2",IF($D126="High","Tranche 3","No tranche"))))))</f>
        <v/>
      </c>
      <c r="K126" s="102" t="n"/>
      <c r="L126" s="102" t="n"/>
      <c r="M126" s="102" t="n"/>
      <c r="O126">
        <f>IF(AND($B126&lt;&gt;"",$C126&lt;&gt;"Target state",$C126&lt;&gt;"Exception",$D126="High",$E126="Low"),$A126&amp;"  "&amp;$B126,"")</f>
        <v/>
      </c>
      <c r="P126">
        <f>IF(AND($B126&lt;&gt;"",$C126&lt;&gt;"Target state",$C126&lt;&gt;"Exception",$D126="High",$E126="Medium"),$A126&amp;"  "&amp;$B126,"")</f>
        <v/>
      </c>
      <c r="Q126">
        <f>IF(AND($B126&lt;&gt;"",$C126&lt;&gt;"Target state",$C126&lt;&gt;"Exception",$D126="High",$E126="High"),$A126&amp;"  "&amp;$B126,"")</f>
        <v/>
      </c>
      <c r="R126">
        <f>IF(AND($B126&lt;&gt;"",$C126&lt;&gt;"Target state",$C126&lt;&gt;"Exception",$D126="Medium",$E126="Low"),$A126&amp;"  "&amp;$B126,"")</f>
        <v/>
      </c>
      <c r="S126">
        <f>IF(AND($B126&lt;&gt;"",$C126&lt;&gt;"Target state",$C126&lt;&gt;"Exception",$D126="Medium",$E126="Medium"),$A126&amp;"  "&amp;$B126,"")</f>
        <v/>
      </c>
      <c r="T126">
        <f>IF(AND($B126&lt;&gt;"",$C126&lt;&gt;"Target state",$C126&lt;&gt;"Exception",$D126="Medium",$E126="High"),$A126&amp;"  "&amp;$B126,"")</f>
        <v/>
      </c>
      <c r="U126">
        <f>IF(AND($B126&lt;&gt;"",$C126&lt;&gt;"Target state",$C126&lt;&gt;"Exception",$D126="Low",$E126="Low"),$A126&amp;"  "&amp;$B126,"")</f>
        <v/>
      </c>
      <c r="V126">
        <f>IF(AND($B126&lt;&gt;"",$C126&lt;&gt;"Target state",$C126&lt;&gt;"Exception",$D126="Low",$E126="Medium"),$A126&amp;"  "&amp;$B126,"")</f>
        <v/>
      </c>
      <c r="W126">
        <f>IF(AND($B126&lt;&gt;"",$C126&lt;&gt;"Target state",$C126&lt;&gt;"Exception",$D126="Low",$E126="High"),$A126&amp;"  "&amp;$B126,"")</f>
        <v/>
      </c>
    </row>
    <row r="127">
      <c r="K127" s="97" t="inlineStr">
        <is>
          <t>Complexity</t>
        </is>
      </c>
    </row>
    <row r="131" ht="22" customHeight="1" s="52">
      <c r="A131" s="88" t="inlineStr">
        <is>
          <t>3DS / exemptions</t>
        </is>
      </c>
      <c r="G131" s="89">
        <f>HYPERLINK("#'VAS'!A4","▲ tracker")</f>
        <v/>
      </c>
      <c r="K131" s="90" t="inlineStr">
        <is>
          <t>Assessment Outcome</t>
        </is>
      </c>
    </row>
    <row r="132" ht="18" customHeight="1" s="52">
      <c r="A132" s="91" t="inlineStr">
        <is>
          <t>#</t>
        </is>
      </c>
      <c r="B132" s="91" t="inlineStr">
        <is>
          <t>Platform</t>
        </is>
      </c>
      <c r="C132" s="91" t="inlineStr">
        <is>
          <t>State</t>
        </is>
      </c>
      <c r="D132" s="91" t="inlineStr">
        <is>
          <t>Imperative to exit</t>
        </is>
      </c>
      <c r="E132" s="91" t="inlineStr">
        <is>
          <t>Exit complexity</t>
        </is>
      </c>
      <c r="F132" s="91" t="inlineStr">
        <is>
          <t>Supporting facts</t>
        </is>
      </c>
      <c r="G132" s="91" t="inlineStr">
        <is>
          <t>Tranche (auto)</t>
        </is>
      </c>
      <c r="K132" s="92" t="inlineStr">
        <is>
          <t>Low</t>
        </is>
      </c>
      <c r="L132" s="92" t="inlineStr">
        <is>
          <t>Medium</t>
        </is>
      </c>
      <c r="M132" s="92" t="inlineStr">
        <is>
          <t>High</t>
        </is>
      </c>
    </row>
    <row r="133" ht="20" customHeight="1" s="52">
      <c r="A133" s="93" t="inlineStr">
        <is>
          <t>①</t>
        </is>
      </c>
      <c r="B133" s="94" t="n"/>
      <c r="C133" s="73" t="n"/>
      <c r="D133" s="73" t="n"/>
      <c r="E133" s="73" t="n"/>
      <c r="F133" s="72" t="n"/>
      <c r="G133" s="95">
        <f>IF(OR($B133="",$D133="",$E133=""),"",IF(OR($C133="Target state",$C133="Exception"),"Out of scope",IF($D133="Low","No tranche",IF($E133="Low","Tranche 1",IF($E133="Medium","Tranche 2",IF($D133="High","Tranche 3","No tranche"))))))</f>
        <v/>
      </c>
      <c r="I133" s="96" t="inlineStr">
        <is>
          <t>Benefits</t>
        </is>
      </c>
      <c r="J133" s="97" t="inlineStr">
        <is>
          <t>High</t>
        </is>
      </c>
      <c r="K133" s="98">
        <f>"Tranche 1"&amp;CHAR(10)&amp;_xlfn.TEXTJOIN(CHAR(10),TRUE,O$133:O$142)</f>
        <v/>
      </c>
      <c r="L133" s="99">
        <f>"Tranche 2"&amp;CHAR(10)&amp;_xlfn.TEXTJOIN(CHAR(10),TRUE,P$133:P$142)</f>
        <v/>
      </c>
      <c r="M133" s="100">
        <f>"Tranche 3"&amp;CHAR(10)&amp;_xlfn.TEXTJOIN(CHAR(10),TRUE,Q$133:Q$142)</f>
        <v/>
      </c>
      <c r="O133">
        <f>IF(AND($B133&lt;&gt;"",$C133&lt;&gt;"Target state",$C133&lt;&gt;"Exception",$D133="High",$E133="Low"),$A133&amp;"  "&amp;$B133,"")</f>
        <v/>
      </c>
      <c r="P133">
        <f>IF(AND($B133&lt;&gt;"",$C133&lt;&gt;"Target state",$C133&lt;&gt;"Exception",$D133="High",$E133="Medium"),$A133&amp;"  "&amp;$B133,"")</f>
        <v/>
      </c>
      <c r="Q133">
        <f>IF(AND($B133&lt;&gt;"",$C133&lt;&gt;"Target state",$C133&lt;&gt;"Exception",$D133="High",$E133="High"),$A133&amp;"  "&amp;$B133,"")</f>
        <v/>
      </c>
      <c r="R133">
        <f>IF(AND($B133&lt;&gt;"",$C133&lt;&gt;"Target state",$C133&lt;&gt;"Exception",$D133="Medium",$E133="Low"),$A133&amp;"  "&amp;$B133,"")</f>
        <v/>
      </c>
      <c r="S133">
        <f>IF(AND($B133&lt;&gt;"",$C133&lt;&gt;"Target state",$C133&lt;&gt;"Exception",$D133="Medium",$E133="Medium"),$A133&amp;"  "&amp;$B133,"")</f>
        <v/>
      </c>
      <c r="T133">
        <f>IF(AND($B133&lt;&gt;"",$C133&lt;&gt;"Target state",$C133&lt;&gt;"Exception",$D133="Medium",$E133="High"),$A133&amp;"  "&amp;$B133,"")</f>
        <v/>
      </c>
      <c r="U133">
        <f>IF(AND($B133&lt;&gt;"",$C133&lt;&gt;"Target state",$C133&lt;&gt;"Exception",$D133="Low",$E133="Low"),$A133&amp;"  "&amp;$B133,"")</f>
        <v/>
      </c>
      <c r="V133">
        <f>IF(AND($B133&lt;&gt;"",$C133&lt;&gt;"Target state",$C133&lt;&gt;"Exception",$D133="Low",$E133="Medium"),$A133&amp;"  "&amp;$B133,"")</f>
        <v/>
      </c>
      <c r="W133">
        <f>IF(AND($B133&lt;&gt;"",$C133&lt;&gt;"Target state",$C133&lt;&gt;"Exception",$D133="Low",$E133="High"),$A133&amp;"  "&amp;$B133,"")</f>
        <v/>
      </c>
    </row>
    <row r="134" ht="20" customHeight="1" s="52">
      <c r="A134" s="93" t="inlineStr">
        <is>
          <t>②</t>
        </is>
      </c>
      <c r="B134" s="94" t="n"/>
      <c r="C134" s="73" t="n"/>
      <c r="D134" s="73" t="n"/>
      <c r="E134" s="73" t="n"/>
      <c r="F134" s="72" t="n"/>
      <c r="G134" s="95">
        <f>IF(OR($B134="",$D134="",$E134=""),"",IF(OR($C134="Target state",$C134="Exception"),"Out of scope",IF($D134="Low","No tranche",IF($E134="Low","Tranche 1",IF($E134="Medium","Tranche 2",IF($D134="High","Tranche 3","No tranche"))))))</f>
        <v/>
      </c>
      <c r="K134" s="101" t="n"/>
      <c r="L134" s="101" t="n"/>
      <c r="M134" s="101" t="n"/>
      <c r="O134">
        <f>IF(AND($B134&lt;&gt;"",$C134&lt;&gt;"Target state",$C134&lt;&gt;"Exception",$D134="High",$E134="Low"),$A134&amp;"  "&amp;$B134,"")</f>
        <v/>
      </c>
      <c r="P134">
        <f>IF(AND($B134&lt;&gt;"",$C134&lt;&gt;"Target state",$C134&lt;&gt;"Exception",$D134="High",$E134="Medium"),$A134&amp;"  "&amp;$B134,"")</f>
        <v/>
      </c>
      <c r="Q134">
        <f>IF(AND($B134&lt;&gt;"",$C134&lt;&gt;"Target state",$C134&lt;&gt;"Exception",$D134="High",$E134="High"),$A134&amp;"  "&amp;$B134,"")</f>
        <v/>
      </c>
      <c r="R134">
        <f>IF(AND($B134&lt;&gt;"",$C134&lt;&gt;"Target state",$C134&lt;&gt;"Exception",$D134="Medium",$E134="Low"),$A134&amp;"  "&amp;$B134,"")</f>
        <v/>
      </c>
      <c r="S134">
        <f>IF(AND($B134&lt;&gt;"",$C134&lt;&gt;"Target state",$C134&lt;&gt;"Exception",$D134="Medium",$E134="Medium"),$A134&amp;"  "&amp;$B134,"")</f>
        <v/>
      </c>
      <c r="T134">
        <f>IF(AND($B134&lt;&gt;"",$C134&lt;&gt;"Target state",$C134&lt;&gt;"Exception",$D134="Medium",$E134="High"),$A134&amp;"  "&amp;$B134,"")</f>
        <v/>
      </c>
      <c r="U134">
        <f>IF(AND($B134&lt;&gt;"",$C134&lt;&gt;"Target state",$C134&lt;&gt;"Exception",$D134="Low",$E134="Low"),$A134&amp;"  "&amp;$B134,"")</f>
        <v/>
      </c>
      <c r="V134">
        <f>IF(AND($B134&lt;&gt;"",$C134&lt;&gt;"Target state",$C134&lt;&gt;"Exception",$D134="Low",$E134="Medium"),$A134&amp;"  "&amp;$B134,"")</f>
        <v/>
      </c>
      <c r="W134">
        <f>IF(AND($B134&lt;&gt;"",$C134&lt;&gt;"Target state",$C134&lt;&gt;"Exception",$D134="Low",$E134="High"),$A134&amp;"  "&amp;$B134,"")</f>
        <v/>
      </c>
    </row>
    <row r="135" ht="20" customHeight="1" s="52">
      <c r="A135" s="93" t="inlineStr">
        <is>
          <t>③</t>
        </is>
      </c>
      <c r="B135" s="94" t="n"/>
      <c r="C135" s="73" t="n"/>
      <c r="D135" s="73" t="n"/>
      <c r="E135" s="73" t="n"/>
      <c r="F135" s="72" t="n"/>
      <c r="G135" s="95">
        <f>IF(OR($B135="",$D135="",$E135=""),"",IF(OR($C135="Target state",$C135="Exception"),"Out of scope",IF($D135="Low","No tranche",IF($E135="Low","Tranche 1",IF($E135="Medium","Tranche 2",IF($D135="High","Tranche 3","No tranche"))))))</f>
        <v/>
      </c>
      <c r="K135" s="101" t="n"/>
      <c r="L135" s="101" t="n"/>
      <c r="M135" s="101" t="n"/>
      <c r="O135">
        <f>IF(AND($B135&lt;&gt;"",$C135&lt;&gt;"Target state",$C135&lt;&gt;"Exception",$D135="High",$E135="Low"),$A135&amp;"  "&amp;$B135,"")</f>
        <v/>
      </c>
      <c r="P135">
        <f>IF(AND($B135&lt;&gt;"",$C135&lt;&gt;"Target state",$C135&lt;&gt;"Exception",$D135="High",$E135="Medium"),$A135&amp;"  "&amp;$B135,"")</f>
        <v/>
      </c>
      <c r="Q135">
        <f>IF(AND($B135&lt;&gt;"",$C135&lt;&gt;"Target state",$C135&lt;&gt;"Exception",$D135="High",$E135="High"),$A135&amp;"  "&amp;$B135,"")</f>
        <v/>
      </c>
      <c r="R135">
        <f>IF(AND($B135&lt;&gt;"",$C135&lt;&gt;"Target state",$C135&lt;&gt;"Exception",$D135="Medium",$E135="Low"),$A135&amp;"  "&amp;$B135,"")</f>
        <v/>
      </c>
      <c r="S135">
        <f>IF(AND($B135&lt;&gt;"",$C135&lt;&gt;"Target state",$C135&lt;&gt;"Exception",$D135="Medium",$E135="Medium"),$A135&amp;"  "&amp;$B135,"")</f>
        <v/>
      </c>
      <c r="T135">
        <f>IF(AND($B135&lt;&gt;"",$C135&lt;&gt;"Target state",$C135&lt;&gt;"Exception",$D135="Medium",$E135="High"),$A135&amp;"  "&amp;$B135,"")</f>
        <v/>
      </c>
      <c r="U135">
        <f>IF(AND($B135&lt;&gt;"",$C135&lt;&gt;"Target state",$C135&lt;&gt;"Exception",$D135="Low",$E135="Low"),$A135&amp;"  "&amp;$B135,"")</f>
        <v/>
      </c>
      <c r="V135">
        <f>IF(AND($B135&lt;&gt;"",$C135&lt;&gt;"Target state",$C135&lt;&gt;"Exception",$D135="Low",$E135="Medium"),$A135&amp;"  "&amp;$B135,"")</f>
        <v/>
      </c>
      <c r="W135">
        <f>IF(AND($B135&lt;&gt;"",$C135&lt;&gt;"Target state",$C135&lt;&gt;"Exception",$D135="Low",$E135="High"),$A135&amp;"  "&amp;$B135,"")</f>
        <v/>
      </c>
    </row>
    <row r="136" ht="20" customHeight="1" s="52">
      <c r="A136" s="93" t="inlineStr">
        <is>
          <t>④</t>
        </is>
      </c>
      <c r="B136" s="94" t="n"/>
      <c r="C136" s="73" t="n"/>
      <c r="D136" s="73" t="n"/>
      <c r="E136" s="73" t="n"/>
      <c r="F136" s="72" t="n"/>
      <c r="G136" s="95">
        <f>IF(OR($B136="",$D136="",$E136=""),"",IF(OR($C136="Target state",$C136="Exception"),"Out of scope",IF($D136="Low","No tranche",IF($E136="Low","Tranche 1",IF($E136="Medium","Tranche 2",IF($D136="High","Tranche 3","No tranche"))))))</f>
        <v/>
      </c>
      <c r="K136" s="102" t="n"/>
      <c r="L136" s="102" t="n"/>
      <c r="M136" s="102" t="n"/>
      <c r="O136">
        <f>IF(AND($B136&lt;&gt;"",$C136&lt;&gt;"Target state",$C136&lt;&gt;"Exception",$D136="High",$E136="Low"),$A136&amp;"  "&amp;$B136,"")</f>
        <v/>
      </c>
      <c r="P136">
        <f>IF(AND($B136&lt;&gt;"",$C136&lt;&gt;"Target state",$C136&lt;&gt;"Exception",$D136="High",$E136="Medium"),$A136&amp;"  "&amp;$B136,"")</f>
        <v/>
      </c>
      <c r="Q136">
        <f>IF(AND($B136&lt;&gt;"",$C136&lt;&gt;"Target state",$C136&lt;&gt;"Exception",$D136="High",$E136="High"),$A136&amp;"  "&amp;$B136,"")</f>
        <v/>
      </c>
      <c r="R136">
        <f>IF(AND($B136&lt;&gt;"",$C136&lt;&gt;"Target state",$C136&lt;&gt;"Exception",$D136="Medium",$E136="Low"),$A136&amp;"  "&amp;$B136,"")</f>
        <v/>
      </c>
      <c r="S136">
        <f>IF(AND($B136&lt;&gt;"",$C136&lt;&gt;"Target state",$C136&lt;&gt;"Exception",$D136="Medium",$E136="Medium"),$A136&amp;"  "&amp;$B136,"")</f>
        <v/>
      </c>
      <c r="T136">
        <f>IF(AND($B136&lt;&gt;"",$C136&lt;&gt;"Target state",$C136&lt;&gt;"Exception",$D136="Medium",$E136="High"),$A136&amp;"  "&amp;$B136,"")</f>
        <v/>
      </c>
      <c r="U136">
        <f>IF(AND($B136&lt;&gt;"",$C136&lt;&gt;"Target state",$C136&lt;&gt;"Exception",$D136="Low",$E136="Low"),$A136&amp;"  "&amp;$B136,"")</f>
        <v/>
      </c>
      <c r="V136">
        <f>IF(AND($B136&lt;&gt;"",$C136&lt;&gt;"Target state",$C136&lt;&gt;"Exception",$D136="Low",$E136="Medium"),$A136&amp;"  "&amp;$B136,"")</f>
        <v/>
      </c>
      <c r="W136">
        <f>IF(AND($B136&lt;&gt;"",$C136&lt;&gt;"Target state",$C136&lt;&gt;"Exception",$D136="Low",$E136="High"),$A136&amp;"  "&amp;$B136,"")</f>
        <v/>
      </c>
    </row>
    <row r="137" ht="20" customHeight="1" s="52">
      <c r="A137" s="93" t="inlineStr">
        <is>
          <t>⑤</t>
        </is>
      </c>
      <c r="B137" s="94" t="n"/>
      <c r="C137" s="73" t="n"/>
      <c r="D137" s="73" t="n"/>
      <c r="E137" s="73" t="n"/>
      <c r="F137" s="72" t="n"/>
      <c r="G137" s="95">
        <f>IF(OR($B137="",$D137="",$E137=""),"",IF(OR($C137="Target state",$C137="Exception"),"Out of scope",IF($D137="Low","No tranche",IF($E137="Low","Tranche 1",IF($E137="Medium","Tranche 2",IF($D137="High","Tranche 3","No tranche"))))))</f>
        <v/>
      </c>
      <c r="J137" s="97" t="inlineStr">
        <is>
          <t>Medium</t>
        </is>
      </c>
      <c r="K137" s="98">
        <f>"Tranche 1"&amp;CHAR(10)&amp;_xlfn.TEXTJOIN(CHAR(10),TRUE,R$133:R$142)</f>
        <v/>
      </c>
      <c r="L137" s="99">
        <f>"Tranche 2"&amp;CHAR(10)&amp;_xlfn.TEXTJOIN(CHAR(10),TRUE,S$133:S$142)</f>
        <v/>
      </c>
      <c r="M137" s="103">
        <f>_xlfn.TEXTJOIN(CHAR(10),TRUE,T$133:T$142)</f>
        <v/>
      </c>
      <c r="O137">
        <f>IF(AND($B137&lt;&gt;"",$C137&lt;&gt;"Target state",$C137&lt;&gt;"Exception",$D137="High",$E137="Low"),$A137&amp;"  "&amp;$B137,"")</f>
        <v/>
      </c>
      <c r="P137">
        <f>IF(AND($B137&lt;&gt;"",$C137&lt;&gt;"Target state",$C137&lt;&gt;"Exception",$D137="High",$E137="Medium"),$A137&amp;"  "&amp;$B137,"")</f>
        <v/>
      </c>
      <c r="Q137">
        <f>IF(AND($B137&lt;&gt;"",$C137&lt;&gt;"Target state",$C137&lt;&gt;"Exception",$D137="High",$E137="High"),$A137&amp;"  "&amp;$B137,"")</f>
        <v/>
      </c>
      <c r="R137">
        <f>IF(AND($B137&lt;&gt;"",$C137&lt;&gt;"Target state",$C137&lt;&gt;"Exception",$D137="Medium",$E137="Low"),$A137&amp;"  "&amp;$B137,"")</f>
        <v/>
      </c>
      <c r="S137">
        <f>IF(AND($B137&lt;&gt;"",$C137&lt;&gt;"Target state",$C137&lt;&gt;"Exception",$D137="Medium",$E137="Medium"),$A137&amp;"  "&amp;$B137,"")</f>
        <v/>
      </c>
      <c r="T137">
        <f>IF(AND($B137&lt;&gt;"",$C137&lt;&gt;"Target state",$C137&lt;&gt;"Exception",$D137="Medium",$E137="High"),$A137&amp;"  "&amp;$B137,"")</f>
        <v/>
      </c>
      <c r="U137">
        <f>IF(AND($B137&lt;&gt;"",$C137&lt;&gt;"Target state",$C137&lt;&gt;"Exception",$D137="Low",$E137="Low"),$A137&amp;"  "&amp;$B137,"")</f>
        <v/>
      </c>
      <c r="V137">
        <f>IF(AND($B137&lt;&gt;"",$C137&lt;&gt;"Target state",$C137&lt;&gt;"Exception",$D137="Low",$E137="Medium"),$A137&amp;"  "&amp;$B137,"")</f>
        <v/>
      </c>
      <c r="W137">
        <f>IF(AND($B137&lt;&gt;"",$C137&lt;&gt;"Target state",$C137&lt;&gt;"Exception",$D137="Low",$E137="High"),$A137&amp;"  "&amp;$B137,"")</f>
        <v/>
      </c>
    </row>
    <row r="138" ht="20" customHeight="1" s="52">
      <c r="A138" s="93" t="inlineStr">
        <is>
          <t>⑥</t>
        </is>
      </c>
      <c r="B138" s="94" t="n"/>
      <c r="C138" s="73" t="n"/>
      <c r="D138" s="73" t="n"/>
      <c r="E138" s="73" t="n"/>
      <c r="F138" s="72" t="n"/>
      <c r="G138" s="95">
        <f>IF(OR($B138="",$D138="",$E138=""),"",IF(OR($C138="Target state",$C138="Exception"),"Out of scope",IF($D138="Low","No tranche",IF($E138="Low","Tranche 1",IF($E138="Medium","Tranche 2",IF($D138="High","Tranche 3","No tranche"))))))</f>
        <v/>
      </c>
      <c r="K138" s="101" t="n"/>
      <c r="L138" s="101" t="n"/>
      <c r="M138" s="101" t="n"/>
      <c r="O138">
        <f>IF(AND($B138&lt;&gt;"",$C138&lt;&gt;"Target state",$C138&lt;&gt;"Exception",$D138="High",$E138="Low"),$A138&amp;"  "&amp;$B138,"")</f>
        <v/>
      </c>
      <c r="P138">
        <f>IF(AND($B138&lt;&gt;"",$C138&lt;&gt;"Target state",$C138&lt;&gt;"Exception",$D138="High",$E138="Medium"),$A138&amp;"  "&amp;$B138,"")</f>
        <v/>
      </c>
      <c r="Q138">
        <f>IF(AND($B138&lt;&gt;"",$C138&lt;&gt;"Target state",$C138&lt;&gt;"Exception",$D138="High",$E138="High"),$A138&amp;"  "&amp;$B138,"")</f>
        <v/>
      </c>
      <c r="R138">
        <f>IF(AND($B138&lt;&gt;"",$C138&lt;&gt;"Target state",$C138&lt;&gt;"Exception",$D138="Medium",$E138="Low"),$A138&amp;"  "&amp;$B138,"")</f>
        <v/>
      </c>
      <c r="S138">
        <f>IF(AND($B138&lt;&gt;"",$C138&lt;&gt;"Target state",$C138&lt;&gt;"Exception",$D138="Medium",$E138="Medium"),$A138&amp;"  "&amp;$B138,"")</f>
        <v/>
      </c>
      <c r="T138">
        <f>IF(AND($B138&lt;&gt;"",$C138&lt;&gt;"Target state",$C138&lt;&gt;"Exception",$D138="Medium",$E138="High"),$A138&amp;"  "&amp;$B138,"")</f>
        <v/>
      </c>
      <c r="U138">
        <f>IF(AND($B138&lt;&gt;"",$C138&lt;&gt;"Target state",$C138&lt;&gt;"Exception",$D138="Low",$E138="Low"),$A138&amp;"  "&amp;$B138,"")</f>
        <v/>
      </c>
      <c r="V138">
        <f>IF(AND($B138&lt;&gt;"",$C138&lt;&gt;"Target state",$C138&lt;&gt;"Exception",$D138="Low",$E138="Medium"),$A138&amp;"  "&amp;$B138,"")</f>
        <v/>
      </c>
      <c r="W138">
        <f>IF(AND($B138&lt;&gt;"",$C138&lt;&gt;"Target state",$C138&lt;&gt;"Exception",$D138="Low",$E138="High"),$A138&amp;"  "&amp;$B138,"")</f>
        <v/>
      </c>
    </row>
    <row r="139" ht="20" customHeight="1" s="52">
      <c r="A139" s="93" t="inlineStr">
        <is>
          <t>⑦</t>
        </is>
      </c>
      <c r="B139" s="94" t="n"/>
      <c r="C139" s="73" t="n"/>
      <c r="D139" s="73" t="n"/>
      <c r="E139" s="73" t="n"/>
      <c r="F139" s="72" t="n"/>
      <c r="G139" s="95">
        <f>IF(OR($B139="",$D139="",$E139=""),"",IF(OR($C139="Target state",$C139="Exception"),"Out of scope",IF($D139="Low","No tranche",IF($E139="Low","Tranche 1",IF($E139="Medium","Tranche 2",IF($D139="High","Tranche 3","No tranche"))))))</f>
        <v/>
      </c>
      <c r="K139" s="102" t="n"/>
      <c r="L139" s="102" t="n"/>
      <c r="M139" s="102" t="n"/>
      <c r="O139">
        <f>IF(AND($B139&lt;&gt;"",$C139&lt;&gt;"Target state",$C139&lt;&gt;"Exception",$D139="High",$E139="Low"),$A139&amp;"  "&amp;$B139,"")</f>
        <v/>
      </c>
      <c r="P139">
        <f>IF(AND($B139&lt;&gt;"",$C139&lt;&gt;"Target state",$C139&lt;&gt;"Exception",$D139="High",$E139="Medium"),$A139&amp;"  "&amp;$B139,"")</f>
        <v/>
      </c>
      <c r="Q139">
        <f>IF(AND($B139&lt;&gt;"",$C139&lt;&gt;"Target state",$C139&lt;&gt;"Exception",$D139="High",$E139="High"),$A139&amp;"  "&amp;$B139,"")</f>
        <v/>
      </c>
      <c r="R139">
        <f>IF(AND($B139&lt;&gt;"",$C139&lt;&gt;"Target state",$C139&lt;&gt;"Exception",$D139="Medium",$E139="Low"),$A139&amp;"  "&amp;$B139,"")</f>
        <v/>
      </c>
      <c r="S139">
        <f>IF(AND($B139&lt;&gt;"",$C139&lt;&gt;"Target state",$C139&lt;&gt;"Exception",$D139="Medium",$E139="Medium"),$A139&amp;"  "&amp;$B139,"")</f>
        <v/>
      </c>
      <c r="T139">
        <f>IF(AND($B139&lt;&gt;"",$C139&lt;&gt;"Target state",$C139&lt;&gt;"Exception",$D139="Medium",$E139="High"),$A139&amp;"  "&amp;$B139,"")</f>
        <v/>
      </c>
      <c r="U139">
        <f>IF(AND($B139&lt;&gt;"",$C139&lt;&gt;"Target state",$C139&lt;&gt;"Exception",$D139="Low",$E139="Low"),$A139&amp;"  "&amp;$B139,"")</f>
        <v/>
      </c>
      <c r="V139">
        <f>IF(AND($B139&lt;&gt;"",$C139&lt;&gt;"Target state",$C139&lt;&gt;"Exception",$D139="Low",$E139="Medium"),$A139&amp;"  "&amp;$B139,"")</f>
        <v/>
      </c>
      <c r="W139">
        <f>IF(AND($B139&lt;&gt;"",$C139&lt;&gt;"Target state",$C139&lt;&gt;"Exception",$D139="Low",$E139="High"),$A139&amp;"  "&amp;$B139,"")</f>
        <v/>
      </c>
    </row>
    <row r="140" ht="20" customHeight="1" s="52">
      <c r="A140" s="93" t="inlineStr">
        <is>
          <t>⑧</t>
        </is>
      </c>
      <c r="B140" s="94" t="n"/>
      <c r="C140" s="73" t="n"/>
      <c r="D140" s="73" t="n"/>
      <c r="E140" s="73" t="n"/>
      <c r="F140" s="72" t="n"/>
      <c r="G140" s="95">
        <f>IF(OR($B140="",$D140="",$E140=""),"",IF(OR($C140="Target state",$C140="Exception"),"Out of scope",IF($D140="Low","No tranche",IF($E140="Low","Tranche 1",IF($E140="Medium","Tranche 2",IF($D140="High","Tranche 3","No tranche"))))))</f>
        <v/>
      </c>
      <c r="J140" s="97" t="inlineStr">
        <is>
          <t>Low</t>
        </is>
      </c>
      <c r="K140" s="103">
        <f>_xlfn.TEXTJOIN(CHAR(10),TRUE,U$133:U$142)</f>
        <v/>
      </c>
      <c r="L140" s="103">
        <f>_xlfn.TEXTJOIN(CHAR(10),TRUE,V$133:V$142)</f>
        <v/>
      </c>
      <c r="M140" s="103">
        <f>_xlfn.TEXTJOIN(CHAR(10),TRUE,W$133:W$142)</f>
        <v/>
      </c>
      <c r="O140">
        <f>IF(AND($B140&lt;&gt;"",$C140&lt;&gt;"Target state",$C140&lt;&gt;"Exception",$D140="High",$E140="Low"),$A140&amp;"  "&amp;$B140,"")</f>
        <v/>
      </c>
      <c r="P140">
        <f>IF(AND($B140&lt;&gt;"",$C140&lt;&gt;"Target state",$C140&lt;&gt;"Exception",$D140="High",$E140="Medium"),$A140&amp;"  "&amp;$B140,"")</f>
        <v/>
      </c>
      <c r="Q140">
        <f>IF(AND($B140&lt;&gt;"",$C140&lt;&gt;"Target state",$C140&lt;&gt;"Exception",$D140="High",$E140="High"),$A140&amp;"  "&amp;$B140,"")</f>
        <v/>
      </c>
      <c r="R140">
        <f>IF(AND($B140&lt;&gt;"",$C140&lt;&gt;"Target state",$C140&lt;&gt;"Exception",$D140="Medium",$E140="Low"),$A140&amp;"  "&amp;$B140,"")</f>
        <v/>
      </c>
      <c r="S140">
        <f>IF(AND($B140&lt;&gt;"",$C140&lt;&gt;"Target state",$C140&lt;&gt;"Exception",$D140="Medium",$E140="Medium"),$A140&amp;"  "&amp;$B140,"")</f>
        <v/>
      </c>
      <c r="T140">
        <f>IF(AND($B140&lt;&gt;"",$C140&lt;&gt;"Target state",$C140&lt;&gt;"Exception",$D140="Medium",$E140="High"),$A140&amp;"  "&amp;$B140,"")</f>
        <v/>
      </c>
      <c r="U140">
        <f>IF(AND($B140&lt;&gt;"",$C140&lt;&gt;"Target state",$C140&lt;&gt;"Exception",$D140="Low",$E140="Low"),$A140&amp;"  "&amp;$B140,"")</f>
        <v/>
      </c>
      <c r="V140">
        <f>IF(AND($B140&lt;&gt;"",$C140&lt;&gt;"Target state",$C140&lt;&gt;"Exception",$D140="Low",$E140="Medium"),$A140&amp;"  "&amp;$B140,"")</f>
        <v/>
      </c>
      <c r="W140">
        <f>IF(AND($B140&lt;&gt;"",$C140&lt;&gt;"Target state",$C140&lt;&gt;"Exception",$D140="Low",$E140="High"),$A140&amp;"  "&amp;$B140,"")</f>
        <v/>
      </c>
    </row>
    <row r="141" ht="20" customHeight="1" s="52">
      <c r="A141" s="93" t="inlineStr">
        <is>
          <t>⑨</t>
        </is>
      </c>
      <c r="B141" s="94" t="n"/>
      <c r="C141" s="73" t="n"/>
      <c r="D141" s="73" t="n"/>
      <c r="E141" s="73" t="n"/>
      <c r="F141" s="72" t="n"/>
      <c r="G141" s="95">
        <f>IF(OR($B141="",$D141="",$E141=""),"",IF(OR($C141="Target state",$C141="Exception"),"Out of scope",IF($D141="Low","No tranche",IF($E141="Low","Tranche 1",IF($E141="Medium","Tranche 2",IF($D141="High","Tranche 3","No tranche"))))))</f>
        <v/>
      </c>
      <c r="K141" s="101" t="n"/>
      <c r="L141" s="101" t="n"/>
      <c r="M141" s="101" t="n"/>
      <c r="O141">
        <f>IF(AND($B141&lt;&gt;"",$C141&lt;&gt;"Target state",$C141&lt;&gt;"Exception",$D141="High",$E141="Low"),$A141&amp;"  "&amp;$B141,"")</f>
        <v/>
      </c>
      <c r="P141">
        <f>IF(AND($B141&lt;&gt;"",$C141&lt;&gt;"Target state",$C141&lt;&gt;"Exception",$D141="High",$E141="Medium"),$A141&amp;"  "&amp;$B141,"")</f>
        <v/>
      </c>
      <c r="Q141">
        <f>IF(AND($B141&lt;&gt;"",$C141&lt;&gt;"Target state",$C141&lt;&gt;"Exception",$D141="High",$E141="High"),$A141&amp;"  "&amp;$B141,"")</f>
        <v/>
      </c>
      <c r="R141">
        <f>IF(AND($B141&lt;&gt;"",$C141&lt;&gt;"Target state",$C141&lt;&gt;"Exception",$D141="Medium",$E141="Low"),$A141&amp;"  "&amp;$B141,"")</f>
        <v/>
      </c>
      <c r="S141">
        <f>IF(AND($B141&lt;&gt;"",$C141&lt;&gt;"Target state",$C141&lt;&gt;"Exception",$D141="Medium",$E141="Medium"),$A141&amp;"  "&amp;$B141,"")</f>
        <v/>
      </c>
      <c r="T141">
        <f>IF(AND($B141&lt;&gt;"",$C141&lt;&gt;"Target state",$C141&lt;&gt;"Exception",$D141="Medium",$E141="High"),$A141&amp;"  "&amp;$B141,"")</f>
        <v/>
      </c>
      <c r="U141">
        <f>IF(AND($B141&lt;&gt;"",$C141&lt;&gt;"Target state",$C141&lt;&gt;"Exception",$D141="Low",$E141="Low"),$A141&amp;"  "&amp;$B141,"")</f>
        <v/>
      </c>
      <c r="V141">
        <f>IF(AND($B141&lt;&gt;"",$C141&lt;&gt;"Target state",$C141&lt;&gt;"Exception",$D141="Low",$E141="Medium"),$A141&amp;"  "&amp;$B141,"")</f>
        <v/>
      </c>
      <c r="W141">
        <f>IF(AND($B141&lt;&gt;"",$C141&lt;&gt;"Target state",$C141&lt;&gt;"Exception",$D141="Low",$E141="High"),$A141&amp;"  "&amp;$B141,"")</f>
        <v/>
      </c>
    </row>
    <row r="142" ht="20" customHeight="1" s="52">
      <c r="A142" s="93" t="inlineStr">
        <is>
          <t>⑩</t>
        </is>
      </c>
      <c r="B142" s="94" t="n"/>
      <c r="C142" s="73" t="n"/>
      <c r="D142" s="73" t="n"/>
      <c r="E142" s="73" t="n"/>
      <c r="F142" s="72" t="n"/>
      <c r="G142" s="95">
        <f>IF(OR($B142="",$D142="",$E142=""),"",IF(OR($C142="Target state",$C142="Exception"),"Out of scope",IF($D142="Low","No tranche",IF($E142="Low","Tranche 1",IF($E142="Medium","Tranche 2",IF($D142="High","Tranche 3","No tranche"))))))</f>
        <v/>
      </c>
      <c r="K142" s="102" t="n"/>
      <c r="L142" s="102" t="n"/>
      <c r="M142" s="102" t="n"/>
      <c r="O142">
        <f>IF(AND($B142&lt;&gt;"",$C142&lt;&gt;"Target state",$C142&lt;&gt;"Exception",$D142="High",$E142="Low"),$A142&amp;"  "&amp;$B142,"")</f>
        <v/>
      </c>
      <c r="P142">
        <f>IF(AND($B142&lt;&gt;"",$C142&lt;&gt;"Target state",$C142&lt;&gt;"Exception",$D142="High",$E142="Medium"),$A142&amp;"  "&amp;$B142,"")</f>
        <v/>
      </c>
      <c r="Q142">
        <f>IF(AND($B142&lt;&gt;"",$C142&lt;&gt;"Target state",$C142&lt;&gt;"Exception",$D142="High",$E142="High"),$A142&amp;"  "&amp;$B142,"")</f>
        <v/>
      </c>
      <c r="R142">
        <f>IF(AND($B142&lt;&gt;"",$C142&lt;&gt;"Target state",$C142&lt;&gt;"Exception",$D142="Medium",$E142="Low"),$A142&amp;"  "&amp;$B142,"")</f>
        <v/>
      </c>
      <c r="S142">
        <f>IF(AND($B142&lt;&gt;"",$C142&lt;&gt;"Target state",$C142&lt;&gt;"Exception",$D142="Medium",$E142="Medium"),$A142&amp;"  "&amp;$B142,"")</f>
        <v/>
      </c>
      <c r="T142">
        <f>IF(AND($B142&lt;&gt;"",$C142&lt;&gt;"Target state",$C142&lt;&gt;"Exception",$D142="Medium",$E142="High"),$A142&amp;"  "&amp;$B142,"")</f>
        <v/>
      </c>
      <c r="U142">
        <f>IF(AND($B142&lt;&gt;"",$C142&lt;&gt;"Target state",$C142&lt;&gt;"Exception",$D142="Low",$E142="Low"),$A142&amp;"  "&amp;$B142,"")</f>
        <v/>
      </c>
      <c r="V142">
        <f>IF(AND($B142&lt;&gt;"",$C142&lt;&gt;"Target state",$C142&lt;&gt;"Exception",$D142="Low",$E142="Medium"),$A142&amp;"  "&amp;$B142,"")</f>
        <v/>
      </c>
      <c r="W142">
        <f>IF(AND($B142&lt;&gt;"",$C142&lt;&gt;"Target state",$C142&lt;&gt;"Exception",$D142="Low",$E142="High"),$A142&amp;"  "&amp;$B142,"")</f>
        <v/>
      </c>
    </row>
    <row r="143">
      <c r="K143" s="97" t="inlineStr">
        <is>
          <t>Complexity</t>
        </is>
      </c>
    </row>
    <row r="147" ht="22" customHeight="1" s="52">
      <c r="A147" s="88" t="inlineStr">
        <is>
          <t>FX</t>
        </is>
      </c>
      <c r="G147" s="89">
        <f>HYPERLINK("#'VAS'!A4","▲ tracker")</f>
        <v/>
      </c>
      <c r="K147" s="90" t="inlineStr">
        <is>
          <t>Assessment Outcome</t>
        </is>
      </c>
    </row>
    <row r="148" ht="18" customHeight="1" s="52">
      <c r="A148" s="91" t="inlineStr">
        <is>
          <t>#</t>
        </is>
      </c>
      <c r="B148" s="91" t="inlineStr">
        <is>
          <t>Platform</t>
        </is>
      </c>
      <c r="C148" s="91" t="inlineStr">
        <is>
          <t>State</t>
        </is>
      </c>
      <c r="D148" s="91" t="inlineStr">
        <is>
          <t>Imperative to exit</t>
        </is>
      </c>
      <c r="E148" s="91" t="inlineStr">
        <is>
          <t>Exit complexity</t>
        </is>
      </c>
      <c r="F148" s="91" t="inlineStr">
        <is>
          <t>Supporting facts</t>
        </is>
      </c>
      <c r="G148" s="91" t="inlineStr">
        <is>
          <t>Tranche (auto)</t>
        </is>
      </c>
      <c r="K148" s="92" t="inlineStr">
        <is>
          <t>Low</t>
        </is>
      </c>
      <c r="L148" s="92" t="inlineStr">
        <is>
          <t>Medium</t>
        </is>
      </c>
      <c r="M148" s="92" t="inlineStr">
        <is>
          <t>High</t>
        </is>
      </c>
    </row>
    <row r="149" ht="20" customHeight="1" s="52">
      <c r="A149" s="93" t="inlineStr">
        <is>
          <t>①</t>
        </is>
      </c>
      <c r="B149" s="94" t="n"/>
      <c r="C149" s="73" t="n"/>
      <c r="D149" s="73" t="n"/>
      <c r="E149" s="73" t="n"/>
      <c r="F149" s="72" t="n"/>
      <c r="G149" s="95">
        <f>IF(OR($B149="",$D149="",$E149=""),"",IF(OR($C149="Target state",$C149="Exception"),"Out of scope",IF($D149="Low","No tranche",IF($E149="Low","Tranche 1",IF($E149="Medium","Tranche 2",IF($D149="High","Tranche 3","No tranche"))))))</f>
        <v/>
      </c>
      <c r="I149" s="96" t="inlineStr">
        <is>
          <t>Benefits</t>
        </is>
      </c>
      <c r="J149" s="97" t="inlineStr">
        <is>
          <t>High</t>
        </is>
      </c>
      <c r="K149" s="98">
        <f>"Tranche 1"&amp;CHAR(10)&amp;_xlfn.TEXTJOIN(CHAR(10),TRUE,O$149:O$158)</f>
        <v/>
      </c>
      <c r="L149" s="99">
        <f>"Tranche 2"&amp;CHAR(10)&amp;_xlfn.TEXTJOIN(CHAR(10),TRUE,P$149:P$158)</f>
        <v/>
      </c>
      <c r="M149" s="100">
        <f>"Tranche 3"&amp;CHAR(10)&amp;_xlfn.TEXTJOIN(CHAR(10),TRUE,Q$149:Q$158)</f>
        <v/>
      </c>
      <c r="O149">
        <f>IF(AND($B149&lt;&gt;"",$C149&lt;&gt;"Target state",$C149&lt;&gt;"Exception",$D149="High",$E149="Low"),$A149&amp;"  "&amp;$B149,"")</f>
        <v/>
      </c>
      <c r="P149">
        <f>IF(AND($B149&lt;&gt;"",$C149&lt;&gt;"Target state",$C149&lt;&gt;"Exception",$D149="High",$E149="Medium"),$A149&amp;"  "&amp;$B149,"")</f>
        <v/>
      </c>
      <c r="Q149">
        <f>IF(AND($B149&lt;&gt;"",$C149&lt;&gt;"Target state",$C149&lt;&gt;"Exception",$D149="High",$E149="High"),$A149&amp;"  "&amp;$B149,"")</f>
        <v/>
      </c>
      <c r="R149">
        <f>IF(AND($B149&lt;&gt;"",$C149&lt;&gt;"Target state",$C149&lt;&gt;"Exception",$D149="Medium",$E149="Low"),$A149&amp;"  "&amp;$B149,"")</f>
        <v/>
      </c>
      <c r="S149">
        <f>IF(AND($B149&lt;&gt;"",$C149&lt;&gt;"Target state",$C149&lt;&gt;"Exception",$D149="Medium",$E149="Medium"),$A149&amp;"  "&amp;$B149,"")</f>
        <v/>
      </c>
      <c r="T149">
        <f>IF(AND($B149&lt;&gt;"",$C149&lt;&gt;"Target state",$C149&lt;&gt;"Exception",$D149="Medium",$E149="High"),$A149&amp;"  "&amp;$B149,"")</f>
        <v/>
      </c>
      <c r="U149">
        <f>IF(AND($B149&lt;&gt;"",$C149&lt;&gt;"Target state",$C149&lt;&gt;"Exception",$D149="Low",$E149="Low"),$A149&amp;"  "&amp;$B149,"")</f>
        <v/>
      </c>
      <c r="V149">
        <f>IF(AND($B149&lt;&gt;"",$C149&lt;&gt;"Target state",$C149&lt;&gt;"Exception",$D149="Low",$E149="Medium"),$A149&amp;"  "&amp;$B149,"")</f>
        <v/>
      </c>
      <c r="W149">
        <f>IF(AND($B149&lt;&gt;"",$C149&lt;&gt;"Target state",$C149&lt;&gt;"Exception",$D149="Low",$E149="High"),$A149&amp;"  "&amp;$B149,"")</f>
        <v/>
      </c>
    </row>
    <row r="150" ht="20" customHeight="1" s="52">
      <c r="A150" s="93" t="inlineStr">
        <is>
          <t>②</t>
        </is>
      </c>
      <c r="B150" s="94" t="n"/>
      <c r="C150" s="73" t="n"/>
      <c r="D150" s="73" t="n"/>
      <c r="E150" s="73" t="n"/>
      <c r="F150" s="72" t="n"/>
      <c r="G150" s="95">
        <f>IF(OR($B150="",$D150="",$E150=""),"",IF(OR($C150="Target state",$C150="Exception"),"Out of scope",IF($D150="Low","No tranche",IF($E150="Low","Tranche 1",IF($E150="Medium","Tranche 2",IF($D150="High","Tranche 3","No tranche"))))))</f>
        <v/>
      </c>
      <c r="K150" s="101" t="n"/>
      <c r="L150" s="101" t="n"/>
      <c r="M150" s="101" t="n"/>
      <c r="O150">
        <f>IF(AND($B150&lt;&gt;"",$C150&lt;&gt;"Target state",$C150&lt;&gt;"Exception",$D150="High",$E150="Low"),$A150&amp;"  "&amp;$B150,"")</f>
        <v/>
      </c>
      <c r="P150">
        <f>IF(AND($B150&lt;&gt;"",$C150&lt;&gt;"Target state",$C150&lt;&gt;"Exception",$D150="High",$E150="Medium"),$A150&amp;"  "&amp;$B150,"")</f>
        <v/>
      </c>
      <c r="Q150">
        <f>IF(AND($B150&lt;&gt;"",$C150&lt;&gt;"Target state",$C150&lt;&gt;"Exception",$D150="High",$E150="High"),$A150&amp;"  "&amp;$B150,"")</f>
        <v/>
      </c>
      <c r="R150">
        <f>IF(AND($B150&lt;&gt;"",$C150&lt;&gt;"Target state",$C150&lt;&gt;"Exception",$D150="Medium",$E150="Low"),$A150&amp;"  "&amp;$B150,"")</f>
        <v/>
      </c>
      <c r="S150">
        <f>IF(AND($B150&lt;&gt;"",$C150&lt;&gt;"Target state",$C150&lt;&gt;"Exception",$D150="Medium",$E150="Medium"),$A150&amp;"  "&amp;$B150,"")</f>
        <v/>
      </c>
      <c r="T150">
        <f>IF(AND($B150&lt;&gt;"",$C150&lt;&gt;"Target state",$C150&lt;&gt;"Exception",$D150="Medium",$E150="High"),$A150&amp;"  "&amp;$B150,"")</f>
        <v/>
      </c>
      <c r="U150">
        <f>IF(AND($B150&lt;&gt;"",$C150&lt;&gt;"Target state",$C150&lt;&gt;"Exception",$D150="Low",$E150="Low"),$A150&amp;"  "&amp;$B150,"")</f>
        <v/>
      </c>
      <c r="V150">
        <f>IF(AND($B150&lt;&gt;"",$C150&lt;&gt;"Target state",$C150&lt;&gt;"Exception",$D150="Low",$E150="Medium"),$A150&amp;"  "&amp;$B150,"")</f>
        <v/>
      </c>
      <c r="W150">
        <f>IF(AND($B150&lt;&gt;"",$C150&lt;&gt;"Target state",$C150&lt;&gt;"Exception",$D150="Low",$E150="High"),$A150&amp;"  "&amp;$B150,"")</f>
        <v/>
      </c>
    </row>
    <row r="151" ht="20" customHeight="1" s="52">
      <c r="A151" s="93" t="inlineStr">
        <is>
          <t>③</t>
        </is>
      </c>
      <c r="B151" s="94" t="n"/>
      <c r="C151" s="73" t="n"/>
      <c r="D151" s="73" t="n"/>
      <c r="E151" s="73" t="n"/>
      <c r="F151" s="72" t="n"/>
      <c r="G151" s="95">
        <f>IF(OR($B151="",$D151="",$E151=""),"",IF(OR($C151="Target state",$C151="Exception"),"Out of scope",IF($D151="Low","No tranche",IF($E151="Low","Tranche 1",IF($E151="Medium","Tranche 2",IF($D151="High","Tranche 3","No tranche"))))))</f>
        <v/>
      </c>
      <c r="K151" s="101" t="n"/>
      <c r="L151" s="101" t="n"/>
      <c r="M151" s="101" t="n"/>
      <c r="O151">
        <f>IF(AND($B151&lt;&gt;"",$C151&lt;&gt;"Target state",$C151&lt;&gt;"Exception",$D151="High",$E151="Low"),$A151&amp;"  "&amp;$B151,"")</f>
        <v/>
      </c>
      <c r="P151">
        <f>IF(AND($B151&lt;&gt;"",$C151&lt;&gt;"Target state",$C151&lt;&gt;"Exception",$D151="High",$E151="Medium"),$A151&amp;"  "&amp;$B151,"")</f>
        <v/>
      </c>
      <c r="Q151">
        <f>IF(AND($B151&lt;&gt;"",$C151&lt;&gt;"Target state",$C151&lt;&gt;"Exception",$D151="High",$E151="High"),$A151&amp;"  "&amp;$B151,"")</f>
        <v/>
      </c>
      <c r="R151">
        <f>IF(AND($B151&lt;&gt;"",$C151&lt;&gt;"Target state",$C151&lt;&gt;"Exception",$D151="Medium",$E151="Low"),$A151&amp;"  "&amp;$B151,"")</f>
        <v/>
      </c>
      <c r="S151">
        <f>IF(AND($B151&lt;&gt;"",$C151&lt;&gt;"Target state",$C151&lt;&gt;"Exception",$D151="Medium",$E151="Medium"),$A151&amp;"  "&amp;$B151,"")</f>
        <v/>
      </c>
      <c r="T151">
        <f>IF(AND($B151&lt;&gt;"",$C151&lt;&gt;"Target state",$C151&lt;&gt;"Exception",$D151="Medium",$E151="High"),$A151&amp;"  "&amp;$B151,"")</f>
        <v/>
      </c>
      <c r="U151">
        <f>IF(AND($B151&lt;&gt;"",$C151&lt;&gt;"Target state",$C151&lt;&gt;"Exception",$D151="Low",$E151="Low"),$A151&amp;"  "&amp;$B151,"")</f>
        <v/>
      </c>
      <c r="V151">
        <f>IF(AND($B151&lt;&gt;"",$C151&lt;&gt;"Target state",$C151&lt;&gt;"Exception",$D151="Low",$E151="Medium"),$A151&amp;"  "&amp;$B151,"")</f>
        <v/>
      </c>
      <c r="W151">
        <f>IF(AND($B151&lt;&gt;"",$C151&lt;&gt;"Target state",$C151&lt;&gt;"Exception",$D151="Low",$E151="High"),$A151&amp;"  "&amp;$B151,"")</f>
        <v/>
      </c>
    </row>
    <row r="152" ht="20" customHeight="1" s="52">
      <c r="A152" s="93" t="inlineStr">
        <is>
          <t>④</t>
        </is>
      </c>
      <c r="B152" s="94" t="n"/>
      <c r="C152" s="73" t="n"/>
      <c r="D152" s="73" t="n"/>
      <c r="E152" s="73" t="n"/>
      <c r="F152" s="72" t="n"/>
      <c r="G152" s="95">
        <f>IF(OR($B152="",$D152="",$E152=""),"",IF(OR($C152="Target state",$C152="Exception"),"Out of scope",IF($D152="Low","No tranche",IF($E152="Low","Tranche 1",IF($E152="Medium","Tranche 2",IF($D152="High","Tranche 3","No tranche"))))))</f>
        <v/>
      </c>
      <c r="K152" s="102" t="n"/>
      <c r="L152" s="102" t="n"/>
      <c r="M152" s="102" t="n"/>
      <c r="O152">
        <f>IF(AND($B152&lt;&gt;"",$C152&lt;&gt;"Target state",$C152&lt;&gt;"Exception",$D152="High",$E152="Low"),$A152&amp;"  "&amp;$B152,"")</f>
        <v/>
      </c>
      <c r="P152">
        <f>IF(AND($B152&lt;&gt;"",$C152&lt;&gt;"Target state",$C152&lt;&gt;"Exception",$D152="High",$E152="Medium"),$A152&amp;"  "&amp;$B152,"")</f>
        <v/>
      </c>
      <c r="Q152">
        <f>IF(AND($B152&lt;&gt;"",$C152&lt;&gt;"Target state",$C152&lt;&gt;"Exception",$D152="High",$E152="High"),$A152&amp;"  "&amp;$B152,"")</f>
        <v/>
      </c>
      <c r="R152">
        <f>IF(AND($B152&lt;&gt;"",$C152&lt;&gt;"Target state",$C152&lt;&gt;"Exception",$D152="Medium",$E152="Low"),$A152&amp;"  "&amp;$B152,"")</f>
        <v/>
      </c>
      <c r="S152">
        <f>IF(AND($B152&lt;&gt;"",$C152&lt;&gt;"Target state",$C152&lt;&gt;"Exception",$D152="Medium",$E152="Medium"),$A152&amp;"  "&amp;$B152,"")</f>
        <v/>
      </c>
      <c r="T152">
        <f>IF(AND($B152&lt;&gt;"",$C152&lt;&gt;"Target state",$C152&lt;&gt;"Exception",$D152="Medium",$E152="High"),$A152&amp;"  "&amp;$B152,"")</f>
        <v/>
      </c>
      <c r="U152">
        <f>IF(AND($B152&lt;&gt;"",$C152&lt;&gt;"Target state",$C152&lt;&gt;"Exception",$D152="Low",$E152="Low"),$A152&amp;"  "&amp;$B152,"")</f>
        <v/>
      </c>
      <c r="V152">
        <f>IF(AND($B152&lt;&gt;"",$C152&lt;&gt;"Target state",$C152&lt;&gt;"Exception",$D152="Low",$E152="Medium"),$A152&amp;"  "&amp;$B152,"")</f>
        <v/>
      </c>
      <c r="W152">
        <f>IF(AND($B152&lt;&gt;"",$C152&lt;&gt;"Target state",$C152&lt;&gt;"Exception",$D152="Low",$E152="High"),$A152&amp;"  "&amp;$B152,"")</f>
        <v/>
      </c>
    </row>
    <row r="153" ht="20" customHeight="1" s="52">
      <c r="A153" s="93" t="inlineStr">
        <is>
          <t>⑤</t>
        </is>
      </c>
      <c r="B153" s="94" t="n"/>
      <c r="C153" s="73" t="n"/>
      <c r="D153" s="73" t="n"/>
      <c r="E153" s="73" t="n"/>
      <c r="F153" s="72" t="n"/>
      <c r="G153" s="95">
        <f>IF(OR($B153="",$D153="",$E153=""),"",IF(OR($C153="Target state",$C153="Exception"),"Out of scope",IF($D153="Low","No tranche",IF($E153="Low","Tranche 1",IF($E153="Medium","Tranche 2",IF($D153="High","Tranche 3","No tranche"))))))</f>
        <v/>
      </c>
      <c r="J153" s="97" t="inlineStr">
        <is>
          <t>Medium</t>
        </is>
      </c>
      <c r="K153" s="98">
        <f>"Tranche 1"&amp;CHAR(10)&amp;_xlfn.TEXTJOIN(CHAR(10),TRUE,R$149:R$158)</f>
        <v/>
      </c>
      <c r="L153" s="99">
        <f>"Tranche 2"&amp;CHAR(10)&amp;_xlfn.TEXTJOIN(CHAR(10),TRUE,S$149:S$158)</f>
        <v/>
      </c>
      <c r="M153" s="103">
        <f>_xlfn.TEXTJOIN(CHAR(10),TRUE,T$149:T$158)</f>
        <v/>
      </c>
      <c r="O153">
        <f>IF(AND($B153&lt;&gt;"",$C153&lt;&gt;"Target state",$C153&lt;&gt;"Exception",$D153="High",$E153="Low"),$A153&amp;"  "&amp;$B153,"")</f>
        <v/>
      </c>
      <c r="P153">
        <f>IF(AND($B153&lt;&gt;"",$C153&lt;&gt;"Target state",$C153&lt;&gt;"Exception",$D153="High",$E153="Medium"),$A153&amp;"  "&amp;$B153,"")</f>
        <v/>
      </c>
      <c r="Q153">
        <f>IF(AND($B153&lt;&gt;"",$C153&lt;&gt;"Target state",$C153&lt;&gt;"Exception",$D153="High",$E153="High"),$A153&amp;"  "&amp;$B153,"")</f>
        <v/>
      </c>
      <c r="R153">
        <f>IF(AND($B153&lt;&gt;"",$C153&lt;&gt;"Target state",$C153&lt;&gt;"Exception",$D153="Medium",$E153="Low"),$A153&amp;"  "&amp;$B153,"")</f>
        <v/>
      </c>
      <c r="S153">
        <f>IF(AND($B153&lt;&gt;"",$C153&lt;&gt;"Target state",$C153&lt;&gt;"Exception",$D153="Medium",$E153="Medium"),$A153&amp;"  "&amp;$B153,"")</f>
        <v/>
      </c>
      <c r="T153">
        <f>IF(AND($B153&lt;&gt;"",$C153&lt;&gt;"Target state",$C153&lt;&gt;"Exception",$D153="Medium",$E153="High"),$A153&amp;"  "&amp;$B153,"")</f>
        <v/>
      </c>
      <c r="U153">
        <f>IF(AND($B153&lt;&gt;"",$C153&lt;&gt;"Target state",$C153&lt;&gt;"Exception",$D153="Low",$E153="Low"),$A153&amp;"  "&amp;$B153,"")</f>
        <v/>
      </c>
      <c r="V153">
        <f>IF(AND($B153&lt;&gt;"",$C153&lt;&gt;"Target state",$C153&lt;&gt;"Exception",$D153="Low",$E153="Medium"),$A153&amp;"  "&amp;$B153,"")</f>
        <v/>
      </c>
      <c r="W153">
        <f>IF(AND($B153&lt;&gt;"",$C153&lt;&gt;"Target state",$C153&lt;&gt;"Exception",$D153="Low",$E153="High"),$A153&amp;"  "&amp;$B153,"")</f>
        <v/>
      </c>
    </row>
    <row r="154" ht="20" customHeight="1" s="52">
      <c r="A154" s="93" t="inlineStr">
        <is>
          <t>⑥</t>
        </is>
      </c>
      <c r="B154" s="94" t="n"/>
      <c r="C154" s="73" t="n"/>
      <c r="D154" s="73" t="n"/>
      <c r="E154" s="73" t="n"/>
      <c r="F154" s="72" t="n"/>
      <c r="G154" s="95">
        <f>IF(OR($B154="",$D154="",$E154=""),"",IF(OR($C154="Target state",$C154="Exception"),"Out of scope",IF($D154="Low","No tranche",IF($E154="Low","Tranche 1",IF($E154="Medium","Tranche 2",IF($D154="High","Tranche 3","No tranche"))))))</f>
        <v/>
      </c>
      <c r="K154" s="101" t="n"/>
      <c r="L154" s="101" t="n"/>
      <c r="M154" s="101" t="n"/>
      <c r="O154">
        <f>IF(AND($B154&lt;&gt;"",$C154&lt;&gt;"Target state",$C154&lt;&gt;"Exception",$D154="High",$E154="Low"),$A154&amp;"  "&amp;$B154,"")</f>
        <v/>
      </c>
      <c r="P154">
        <f>IF(AND($B154&lt;&gt;"",$C154&lt;&gt;"Target state",$C154&lt;&gt;"Exception",$D154="High",$E154="Medium"),$A154&amp;"  "&amp;$B154,"")</f>
        <v/>
      </c>
      <c r="Q154">
        <f>IF(AND($B154&lt;&gt;"",$C154&lt;&gt;"Target state",$C154&lt;&gt;"Exception",$D154="High",$E154="High"),$A154&amp;"  "&amp;$B154,"")</f>
        <v/>
      </c>
      <c r="R154">
        <f>IF(AND($B154&lt;&gt;"",$C154&lt;&gt;"Target state",$C154&lt;&gt;"Exception",$D154="Medium",$E154="Low"),$A154&amp;"  "&amp;$B154,"")</f>
        <v/>
      </c>
      <c r="S154">
        <f>IF(AND($B154&lt;&gt;"",$C154&lt;&gt;"Target state",$C154&lt;&gt;"Exception",$D154="Medium",$E154="Medium"),$A154&amp;"  "&amp;$B154,"")</f>
        <v/>
      </c>
      <c r="T154">
        <f>IF(AND($B154&lt;&gt;"",$C154&lt;&gt;"Target state",$C154&lt;&gt;"Exception",$D154="Medium",$E154="High"),$A154&amp;"  "&amp;$B154,"")</f>
        <v/>
      </c>
      <c r="U154">
        <f>IF(AND($B154&lt;&gt;"",$C154&lt;&gt;"Target state",$C154&lt;&gt;"Exception",$D154="Low",$E154="Low"),$A154&amp;"  "&amp;$B154,"")</f>
        <v/>
      </c>
      <c r="V154">
        <f>IF(AND($B154&lt;&gt;"",$C154&lt;&gt;"Target state",$C154&lt;&gt;"Exception",$D154="Low",$E154="Medium"),$A154&amp;"  "&amp;$B154,"")</f>
        <v/>
      </c>
      <c r="W154">
        <f>IF(AND($B154&lt;&gt;"",$C154&lt;&gt;"Target state",$C154&lt;&gt;"Exception",$D154="Low",$E154="High"),$A154&amp;"  "&amp;$B154,"")</f>
        <v/>
      </c>
    </row>
    <row r="155" ht="20" customHeight="1" s="52">
      <c r="A155" s="93" t="inlineStr">
        <is>
          <t>⑦</t>
        </is>
      </c>
      <c r="B155" s="94" t="n"/>
      <c r="C155" s="73" t="n"/>
      <c r="D155" s="73" t="n"/>
      <c r="E155" s="73" t="n"/>
      <c r="F155" s="72" t="n"/>
      <c r="G155" s="95">
        <f>IF(OR($B155="",$D155="",$E155=""),"",IF(OR($C155="Target state",$C155="Exception"),"Out of scope",IF($D155="Low","No tranche",IF($E155="Low","Tranche 1",IF($E155="Medium","Tranche 2",IF($D155="High","Tranche 3","No tranche"))))))</f>
        <v/>
      </c>
      <c r="K155" s="102" t="n"/>
      <c r="L155" s="102" t="n"/>
      <c r="M155" s="102" t="n"/>
      <c r="O155">
        <f>IF(AND($B155&lt;&gt;"",$C155&lt;&gt;"Target state",$C155&lt;&gt;"Exception",$D155="High",$E155="Low"),$A155&amp;"  "&amp;$B155,"")</f>
        <v/>
      </c>
      <c r="P155">
        <f>IF(AND($B155&lt;&gt;"",$C155&lt;&gt;"Target state",$C155&lt;&gt;"Exception",$D155="High",$E155="Medium"),$A155&amp;"  "&amp;$B155,"")</f>
        <v/>
      </c>
      <c r="Q155">
        <f>IF(AND($B155&lt;&gt;"",$C155&lt;&gt;"Target state",$C155&lt;&gt;"Exception",$D155="High",$E155="High"),$A155&amp;"  "&amp;$B155,"")</f>
        <v/>
      </c>
      <c r="R155">
        <f>IF(AND($B155&lt;&gt;"",$C155&lt;&gt;"Target state",$C155&lt;&gt;"Exception",$D155="Medium",$E155="Low"),$A155&amp;"  "&amp;$B155,"")</f>
        <v/>
      </c>
      <c r="S155">
        <f>IF(AND($B155&lt;&gt;"",$C155&lt;&gt;"Target state",$C155&lt;&gt;"Exception",$D155="Medium",$E155="Medium"),$A155&amp;"  "&amp;$B155,"")</f>
        <v/>
      </c>
      <c r="T155">
        <f>IF(AND($B155&lt;&gt;"",$C155&lt;&gt;"Target state",$C155&lt;&gt;"Exception",$D155="Medium",$E155="High"),$A155&amp;"  "&amp;$B155,"")</f>
        <v/>
      </c>
      <c r="U155">
        <f>IF(AND($B155&lt;&gt;"",$C155&lt;&gt;"Target state",$C155&lt;&gt;"Exception",$D155="Low",$E155="Low"),$A155&amp;"  "&amp;$B155,"")</f>
        <v/>
      </c>
      <c r="V155">
        <f>IF(AND($B155&lt;&gt;"",$C155&lt;&gt;"Target state",$C155&lt;&gt;"Exception",$D155="Low",$E155="Medium"),$A155&amp;"  "&amp;$B155,"")</f>
        <v/>
      </c>
      <c r="W155">
        <f>IF(AND($B155&lt;&gt;"",$C155&lt;&gt;"Target state",$C155&lt;&gt;"Exception",$D155="Low",$E155="High"),$A155&amp;"  "&amp;$B155,"")</f>
        <v/>
      </c>
    </row>
    <row r="156" ht="20" customHeight="1" s="52">
      <c r="A156" s="93" t="inlineStr">
        <is>
          <t>⑧</t>
        </is>
      </c>
      <c r="B156" s="94" t="n"/>
      <c r="C156" s="73" t="n"/>
      <c r="D156" s="73" t="n"/>
      <c r="E156" s="73" t="n"/>
      <c r="F156" s="72" t="n"/>
      <c r="G156" s="95">
        <f>IF(OR($B156="",$D156="",$E156=""),"",IF(OR($C156="Target state",$C156="Exception"),"Out of scope",IF($D156="Low","No tranche",IF($E156="Low","Tranche 1",IF($E156="Medium","Tranche 2",IF($D156="High","Tranche 3","No tranche"))))))</f>
        <v/>
      </c>
      <c r="J156" s="97" t="inlineStr">
        <is>
          <t>Low</t>
        </is>
      </c>
      <c r="K156" s="103">
        <f>_xlfn.TEXTJOIN(CHAR(10),TRUE,U$149:U$158)</f>
        <v/>
      </c>
      <c r="L156" s="103">
        <f>_xlfn.TEXTJOIN(CHAR(10),TRUE,V$149:V$158)</f>
        <v/>
      </c>
      <c r="M156" s="103">
        <f>_xlfn.TEXTJOIN(CHAR(10),TRUE,W$149:W$158)</f>
        <v/>
      </c>
      <c r="O156">
        <f>IF(AND($B156&lt;&gt;"",$C156&lt;&gt;"Target state",$C156&lt;&gt;"Exception",$D156="High",$E156="Low"),$A156&amp;"  "&amp;$B156,"")</f>
        <v/>
      </c>
      <c r="P156">
        <f>IF(AND($B156&lt;&gt;"",$C156&lt;&gt;"Target state",$C156&lt;&gt;"Exception",$D156="High",$E156="Medium"),$A156&amp;"  "&amp;$B156,"")</f>
        <v/>
      </c>
      <c r="Q156">
        <f>IF(AND($B156&lt;&gt;"",$C156&lt;&gt;"Target state",$C156&lt;&gt;"Exception",$D156="High",$E156="High"),$A156&amp;"  "&amp;$B156,"")</f>
        <v/>
      </c>
      <c r="R156">
        <f>IF(AND($B156&lt;&gt;"",$C156&lt;&gt;"Target state",$C156&lt;&gt;"Exception",$D156="Medium",$E156="Low"),$A156&amp;"  "&amp;$B156,"")</f>
        <v/>
      </c>
      <c r="S156">
        <f>IF(AND($B156&lt;&gt;"",$C156&lt;&gt;"Target state",$C156&lt;&gt;"Exception",$D156="Medium",$E156="Medium"),$A156&amp;"  "&amp;$B156,"")</f>
        <v/>
      </c>
      <c r="T156">
        <f>IF(AND($B156&lt;&gt;"",$C156&lt;&gt;"Target state",$C156&lt;&gt;"Exception",$D156="Medium",$E156="High"),$A156&amp;"  "&amp;$B156,"")</f>
        <v/>
      </c>
      <c r="U156">
        <f>IF(AND($B156&lt;&gt;"",$C156&lt;&gt;"Target state",$C156&lt;&gt;"Exception",$D156="Low",$E156="Low"),$A156&amp;"  "&amp;$B156,"")</f>
        <v/>
      </c>
      <c r="V156">
        <f>IF(AND($B156&lt;&gt;"",$C156&lt;&gt;"Target state",$C156&lt;&gt;"Exception",$D156="Low",$E156="Medium"),$A156&amp;"  "&amp;$B156,"")</f>
        <v/>
      </c>
      <c r="W156">
        <f>IF(AND($B156&lt;&gt;"",$C156&lt;&gt;"Target state",$C156&lt;&gt;"Exception",$D156="Low",$E156="High"),$A156&amp;"  "&amp;$B156,"")</f>
        <v/>
      </c>
    </row>
    <row r="157" ht="20" customHeight="1" s="52">
      <c r="A157" s="93" t="inlineStr">
        <is>
          <t>⑨</t>
        </is>
      </c>
      <c r="B157" s="94" t="n"/>
      <c r="C157" s="73" t="n"/>
      <c r="D157" s="73" t="n"/>
      <c r="E157" s="73" t="n"/>
      <c r="F157" s="72" t="n"/>
      <c r="G157" s="95">
        <f>IF(OR($B157="",$D157="",$E157=""),"",IF(OR($C157="Target state",$C157="Exception"),"Out of scope",IF($D157="Low","No tranche",IF($E157="Low","Tranche 1",IF($E157="Medium","Tranche 2",IF($D157="High","Tranche 3","No tranche"))))))</f>
        <v/>
      </c>
      <c r="K157" s="101" t="n"/>
      <c r="L157" s="101" t="n"/>
      <c r="M157" s="101" t="n"/>
      <c r="O157">
        <f>IF(AND($B157&lt;&gt;"",$C157&lt;&gt;"Target state",$C157&lt;&gt;"Exception",$D157="High",$E157="Low"),$A157&amp;"  "&amp;$B157,"")</f>
        <v/>
      </c>
      <c r="P157">
        <f>IF(AND($B157&lt;&gt;"",$C157&lt;&gt;"Target state",$C157&lt;&gt;"Exception",$D157="High",$E157="Medium"),$A157&amp;"  "&amp;$B157,"")</f>
        <v/>
      </c>
      <c r="Q157">
        <f>IF(AND($B157&lt;&gt;"",$C157&lt;&gt;"Target state",$C157&lt;&gt;"Exception",$D157="High",$E157="High"),$A157&amp;"  "&amp;$B157,"")</f>
        <v/>
      </c>
      <c r="R157">
        <f>IF(AND($B157&lt;&gt;"",$C157&lt;&gt;"Target state",$C157&lt;&gt;"Exception",$D157="Medium",$E157="Low"),$A157&amp;"  "&amp;$B157,"")</f>
        <v/>
      </c>
      <c r="S157">
        <f>IF(AND($B157&lt;&gt;"",$C157&lt;&gt;"Target state",$C157&lt;&gt;"Exception",$D157="Medium",$E157="Medium"),$A157&amp;"  "&amp;$B157,"")</f>
        <v/>
      </c>
      <c r="T157">
        <f>IF(AND($B157&lt;&gt;"",$C157&lt;&gt;"Target state",$C157&lt;&gt;"Exception",$D157="Medium",$E157="High"),$A157&amp;"  "&amp;$B157,"")</f>
        <v/>
      </c>
      <c r="U157">
        <f>IF(AND($B157&lt;&gt;"",$C157&lt;&gt;"Target state",$C157&lt;&gt;"Exception",$D157="Low",$E157="Low"),$A157&amp;"  "&amp;$B157,"")</f>
        <v/>
      </c>
      <c r="V157">
        <f>IF(AND($B157&lt;&gt;"",$C157&lt;&gt;"Target state",$C157&lt;&gt;"Exception",$D157="Low",$E157="Medium"),$A157&amp;"  "&amp;$B157,"")</f>
        <v/>
      </c>
      <c r="W157">
        <f>IF(AND($B157&lt;&gt;"",$C157&lt;&gt;"Target state",$C157&lt;&gt;"Exception",$D157="Low",$E157="High"),$A157&amp;"  "&amp;$B157,"")</f>
        <v/>
      </c>
    </row>
    <row r="158" ht="20" customHeight="1" s="52">
      <c r="A158" s="93" t="inlineStr">
        <is>
          <t>⑩</t>
        </is>
      </c>
      <c r="B158" s="94" t="n"/>
      <c r="C158" s="73" t="n"/>
      <c r="D158" s="73" t="n"/>
      <c r="E158" s="73" t="n"/>
      <c r="F158" s="72" t="n"/>
      <c r="G158" s="95">
        <f>IF(OR($B158="",$D158="",$E158=""),"",IF(OR($C158="Target state",$C158="Exception"),"Out of scope",IF($D158="Low","No tranche",IF($E158="Low","Tranche 1",IF($E158="Medium","Tranche 2",IF($D158="High","Tranche 3","No tranche"))))))</f>
        <v/>
      </c>
      <c r="K158" s="102" t="n"/>
      <c r="L158" s="102" t="n"/>
      <c r="M158" s="102" t="n"/>
      <c r="O158">
        <f>IF(AND($B158&lt;&gt;"",$C158&lt;&gt;"Target state",$C158&lt;&gt;"Exception",$D158="High",$E158="Low"),$A158&amp;"  "&amp;$B158,"")</f>
        <v/>
      </c>
      <c r="P158">
        <f>IF(AND($B158&lt;&gt;"",$C158&lt;&gt;"Target state",$C158&lt;&gt;"Exception",$D158="High",$E158="Medium"),$A158&amp;"  "&amp;$B158,"")</f>
        <v/>
      </c>
      <c r="Q158">
        <f>IF(AND($B158&lt;&gt;"",$C158&lt;&gt;"Target state",$C158&lt;&gt;"Exception",$D158="High",$E158="High"),$A158&amp;"  "&amp;$B158,"")</f>
        <v/>
      </c>
      <c r="R158">
        <f>IF(AND($B158&lt;&gt;"",$C158&lt;&gt;"Target state",$C158&lt;&gt;"Exception",$D158="Medium",$E158="Low"),$A158&amp;"  "&amp;$B158,"")</f>
        <v/>
      </c>
      <c r="S158">
        <f>IF(AND($B158&lt;&gt;"",$C158&lt;&gt;"Target state",$C158&lt;&gt;"Exception",$D158="Medium",$E158="Medium"),$A158&amp;"  "&amp;$B158,"")</f>
        <v/>
      </c>
      <c r="T158">
        <f>IF(AND($B158&lt;&gt;"",$C158&lt;&gt;"Target state",$C158&lt;&gt;"Exception",$D158="Medium",$E158="High"),$A158&amp;"  "&amp;$B158,"")</f>
        <v/>
      </c>
      <c r="U158">
        <f>IF(AND($B158&lt;&gt;"",$C158&lt;&gt;"Target state",$C158&lt;&gt;"Exception",$D158="Low",$E158="Low"),$A158&amp;"  "&amp;$B158,"")</f>
        <v/>
      </c>
      <c r="V158">
        <f>IF(AND($B158&lt;&gt;"",$C158&lt;&gt;"Target state",$C158&lt;&gt;"Exception",$D158="Low",$E158="Medium"),$A158&amp;"  "&amp;$B158,"")</f>
        <v/>
      </c>
      <c r="W158">
        <f>IF(AND($B158&lt;&gt;"",$C158&lt;&gt;"Target state",$C158&lt;&gt;"Exception",$D158="Low",$E158="High"),$A158&amp;"  "&amp;$B158,"")</f>
        <v/>
      </c>
    </row>
    <row r="159">
      <c r="K159" s="97" t="inlineStr">
        <is>
          <t>Complexity</t>
        </is>
      </c>
    </row>
  </sheetData>
  <mergeCells count="145">
    <mergeCell ref="K159:M159"/>
    <mergeCell ref="M21:M23"/>
    <mergeCell ref="L107:L110"/>
    <mergeCell ref="M73:M76"/>
    <mergeCell ref="K121:K123"/>
    <mergeCell ref="J49:J52"/>
    <mergeCell ref="A47:F47"/>
    <mergeCell ref="J83:J86"/>
    <mergeCell ref="I149:I158"/>
    <mergeCell ref="L83:L86"/>
    <mergeCell ref="K27:M27"/>
    <mergeCell ref="M56:M58"/>
    <mergeCell ref="L124:L126"/>
    <mergeCell ref="I99:I110"/>
    <mergeCell ref="M156:M158"/>
    <mergeCell ref="J99:J102"/>
    <mergeCell ref="I133:I142"/>
    <mergeCell ref="A97:F97"/>
    <mergeCell ref="K24:K26"/>
    <mergeCell ref="L133:L136"/>
    <mergeCell ref="K137:K139"/>
    <mergeCell ref="K124:K126"/>
    <mergeCell ref="K147:M147"/>
    <mergeCell ref="A81:F81"/>
    <mergeCell ref="K17:K20"/>
    <mergeCell ref="A31:F31"/>
    <mergeCell ref="A15:F15"/>
    <mergeCell ref="M17:M20"/>
    <mergeCell ref="J40:J42"/>
    <mergeCell ref="M33:M36"/>
    <mergeCell ref="J24:J26"/>
    <mergeCell ref="K69:K72"/>
    <mergeCell ref="L24:L26"/>
    <mergeCell ref="L156:L158"/>
    <mergeCell ref="J137:J139"/>
    <mergeCell ref="K133:K136"/>
    <mergeCell ref="K47:M47"/>
    <mergeCell ref="J124:J126"/>
    <mergeCell ref="L153:L155"/>
    <mergeCell ref="K31:M31"/>
    <mergeCell ref="M117:M120"/>
    <mergeCell ref="J90:J92"/>
    <mergeCell ref="K111:M111"/>
    <mergeCell ref="J121:J123"/>
    <mergeCell ref="L90:L92"/>
    <mergeCell ref="J117:J120"/>
    <mergeCell ref="K37:K39"/>
    <mergeCell ref="L33:L36"/>
    <mergeCell ref="J65:J68"/>
    <mergeCell ref="K87:K89"/>
    <mergeCell ref="M87:M89"/>
    <mergeCell ref="J107:J110"/>
    <mergeCell ref="K97:M97"/>
    <mergeCell ref="M121:M123"/>
    <mergeCell ref="A4:C4"/>
    <mergeCell ref="J103:J106"/>
    <mergeCell ref="M65:M68"/>
    <mergeCell ref="J53:J55"/>
    <mergeCell ref="K21:K23"/>
    <mergeCell ref="L53:L55"/>
    <mergeCell ref="J149:J152"/>
    <mergeCell ref="L69:L72"/>
    <mergeCell ref="K73:K76"/>
    <mergeCell ref="J37:J39"/>
    <mergeCell ref="L37:L39"/>
    <mergeCell ref="I83:I92"/>
    <mergeCell ref="L99:L102"/>
    <mergeCell ref="M124:M126"/>
    <mergeCell ref="K140:K142"/>
    <mergeCell ref="M140:M142"/>
    <mergeCell ref="K49:K52"/>
    <mergeCell ref="K83:K86"/>
    <mergeCell ref="M83:M86"/>
    <mergeCell ref="K131:M131"/>
    <mergeCell ref="L56:L58"/>
    <mergeCell ref="M49:M52"/>
    <mergeCell ref="M107:M110"/>
    <mergeCell ref="L40:L42"/>
    <mergeCell ref="K59:M59"/>
    <mergeCell ref="K77:M77"/>
    <mergeCell ref="I49:I58"/>
    <mergeCell ref="J56:J58"/>
    <mergeCell ref="M69:M72"/>
    <mergeCell ref="I65:I76"/>
    <mergeCell ref="K149:K152"/>
    <mergeCell ref="M149:M152"/>
    <mergeCell ref="L73:L76"/>
    <mergeCell ref="A131:F131"/>
    <mergeCell ref="M133:M136"/>
    <mergeCell ref="J156:J158"/>
    <mergeCell ref="A63:F63"/>
    <mergeCell ref="A115:F115"/>
    <mergeCell ref="J140:J142"/>
    <mergeCell ref="L140:L142"/>
    <mergeCell ref="K117:K120"/>
    <mergeCell ref="K127:M127"/>
    <mergeCell ref="L137:L139"/>
    <mergeCell ref="K56:K58"/>
    <mergeCell ref="K15:M15"/>
    <mergeCell ref="J133:J136"/>
    <mergeCell ref="L49:L52"/>
    <mergeCell ref="L121:L123"/>
    <mergeCell ref="K40:K42"/>
    <mergeCell ref="L149:L152"/>
    <mergeCell ref="K153:K155"/>
    <mergeCell ref="M40:M42"/>
    <mergeCell ref="M153:M155"/>
    <mergeCell ref="J17:J20"/>
    <mergeCell ref="L17:L20"/>
    <mergeCell ref="I117:I126"/>
    <mergeCell ref="K90:K92"/>
    <mergeCell ref="M137:M139"/>
    <mergeCell ref="M90:M92"/>
    <mergeCell ref="K33:K36"/>
    <mergeCell ref="K63:M63"/>
    <mergeCell ref="K65:K68"/>
    <mergeCell ref="K81:M81"/>
    <mergeCell ref="J69:J72"/>
    <mergeCell ref="M24:M26"/>
    <mergeCell ref="L103:L106"/>
    <mergeCell ref="K43:M43"/>
    <mergeCell ref="K156:K158"/>
    <mergeCell ref="K115:M115"/>
    <mergeCell ref="J21:J23"/>
    <mergeCell ref="K53:K55"/>
    <mergeCell ref="L21:L23"/>
    <mergeCell ref="M53:M55"/>
    <mergeCell ref="L117:L120"/>
    <mergeCell ref="J153:J155"/>
    <mergeCell ref="A147:F147"/>
    <mergeCell ref="K99:K102"/>
    <mergeCell ref="K93:M93"/>
    <mergeCell ref="M99:M102"/>
    <mergeCell ref="J87:J89"/>
    <mergeCell ref="L87:L89"/>
    <mergeCell ref="K107:K110"/>
    <mergeCell ref="K143:M143"/>
    <mergeCell ref="K103:K106"/>
    <mergeCell ref="L65:L68"/>
    <mergeCell ref="M103:M106"/>
    <mergeCell ref="I33:I42"/>
    <mergeCell ref="J33:J36"/>
    <mergeCell ref="J73:J76"/>
    <mergeCell ref="I17:I26"/>
    <mergeCell ref="M37:M39"/>
  </mergeCells>
  <conditionalFormatting sqref="A17:G26">
    <cfRule type="expression" priority="1" dxfId="43">
      <formula>OR($C17="Target state",$C17="Exception")</formula>
    </cfRule>
  </conditionalFormatting>
  <conditionalFormatting sqref="A33:G42">
    <cfRule type="expression" priority="2" dxfId="43">
      <formula>OR($C33="Target state",$C33="Exception")</formula>
    </cfRule>
  </conditionalFormatting>
  <conditionalFormatting sqref="A49:G58">
    <cfRule type="expression" priority="3" dxfId="43">
      <formula>OR($C49="Target state",$C49="Exception")</formula>
    </cfRule>
  </conditionalFormatting>
  <conditionalFormatting sqref="A65:G76">
    <cfRule type="expression" priority="4" dxfId="43">
      <formula>OR($C65="Target state",$C65="Exception")</formula>
    </cfRule>
  </conditionalFormatting>
  <conditionalFormatting sqref="A83:G92">
    <cfRule type="expression" priority="5" dxfId="43">
      <formula>OR($C83="Target state",$C83="Exception")</formula>
    </cfRule>
  </conditionalFormatting>
  <conditionalFormatting sqref="A99:G110">
    <cfRule type="expression" priority="6" dxfId="43">
      <formula>OR($C99="Target state",$C99="Exception")</formula>
    </cfRule>
  </conditionalFormatting>
  <conditionalFormatting sqref="A117:G126">
    <cfRule type="expression" priority="7" dxfId="43">
      <formula>OR($C117="Target state",$C117="Exception")</formula>
    </cfRule>
  </conditionalFormatting>
  <conditionalFormatting sqref="A133:G142">
    <cfRule type="expression" priority="8" dxfId="43">
      <formula>OR($C133="Target state",$C133="Exception")</formula>
    </cfRule>
  </conditionalFormatting>
  <conditionalFormatting sqref="A149:G158">
    <cfRule type="expression" priority="9" dxfId="43">
      <formula>OR($C149="Target state",$C149="Exception")</formula>
    </cfRule>
  </conditionalFormatting>
  <dataValidations count="2">
    <dataValidation sqref="C17:C26 C33:C42 C49:C58 C65:C76 C83:C92 C99:C110 C117:C126 C133:C142 C149:C158" showDropDown="0" showInputMessage="0" showErrorMessage="0" allowBlank="1" type="list">
      <formula1>"Target state,Non-target state,Exception"</formula1>
    </dataValidation>
    <dataValidation sqref="D17:E26 D33:E42 D49:E58 D65:E76 D83:E92 D99:E110 D117:E126 D133:E142 D149:E15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W22"/>
  <sheetViews>
    <sheetView showGridLines="0" workbookViewId="0">
      <selection activeCell="A1" sqref="A1"/>
    </sheetView>
  </sheetViews>
  <sheetFormatPr baseColWidth="8" defaultRowHeight="15"/>
  <cols>
    <col width="5" customWidth="1" style="52" min="1" max="1"/>
    <col width="26" customWidth="1" style="52" min="2" max="2"/>
    <col width="17" customWidth="1" style="52" min="3" max="3"/>
    <col width="16" customWidth="1" style="52" min="4" max="4"/>
    <col width="15" customWidth="1" style="52" min="5" max="5"/>
    <col width="44" customWidth="1" style="52" min="6" max="6"/>
    <col width="14" customWidth="1" style="52" min="7" max="7"/>
    <col width="2" customWidth="1" style="52" min="8" max="8"/>
    <col width="4" customWidth="1" style="52" min="9" max="9"/>
    <col width="9" customWidth="1" style="52" min="10" max="10"/>
    <col width="26" customWidth="1" style="52" min="11" max="11"/>
    <col width="26" customWidth="1" style="52" min="12" max="12"/>
    <col width="26" customWidth="1" style="52" min="13" max="13"/>
    <col width="2" customWidth="1" style="52" min="14" max="14"/>
    <col hidden="1" width="13" customWidth="1" style="52" min="15" max="15"/>
    <col hidden="1" width="13" customWidth="1" style="52" min="16" max="16"/>
    <col hidden="1" width="13" customWidth="1" style="52" min="17" max="17"/>
    <col hidden="1" width="13" customWidth="1" style="52" min="18" max="18"/>
    <col hidden="1" width="13" customWidth="1" style="52" min="19" max="19"/>
    <col hidden="1" width="13" customWidth="1" style="52" min="20" max="20"/>
    <col hidden="1" width="13" customWidth="1" style="52" min="21" max="21"/>
    <col hidden="1" width="13" customWidth="1" style="52" min="22" max="22"/>
    <col hidden="1" width="13" customWidth="1" style="52" min="23" max="23"/>
  </cols>
  <sheetData>
    <row r="1">
      <c r="A1" s="83" t="inlineStr">
        <is>
          <t>Unified Data and AI — Platform Assessment</t>
        </is>
      </c>
    </row>
    <row r="2">
      <c r="A2" s="84">
        <f>HYPERLINK("#'Summary'!A1","← Back to Summary")</f>
        <v/>
      </c>
      <c r="C2" s="85" t="inlineStr">
        <is>
          <t>Pick a State, score High / Medium / Low — the tranche, the matrix and the Summary update automatically.</t>
        </is>
      </c>
    </row>
    <row r="4">
      <c r="A4" s="86" t="inlineStr">
        <is>
          <t>Tracker — jump to a sub-capability:</t>
        </is>
      </c>
    </row>
    <row r="5">
      <c r="A5" s="87" t="inlineStr">
        <is>
          <t>1.</t>
        </is>
      </c>
      <c r="B5" s="84">
        <f>HYPERLINK("#'Unified Data and AI'!A7","Overall")</f>
        <v/>
      </c>
    </row>
    <row r="7" ht="22" customHeight="1" s="52">
      <c r="A7" s="88" t="inlineStr">
        <is>
          <t>Overall</t>
        </is>
      </c>
      <c r="G7" s="89">
        <f>HYPERLINK("#'Unified Data and AI'!A4","▲ tracker")</f>
        <v/>
      </c>
      <c r="K7" s="90" t="inlineStr">
        <is>
          <t>Assessment Outcome</t>
        </is>
      </c>
    </row>
    <row r="8" ht="18" customHeight="1" s="52">
      <c r="A8" s="91" t="inlineStr">
        <is>
          <t>#</t>
        </is>
      </c>
      <c r="B8" s="91" t="inlineStr">
        <is>
          <t>Platform</t>
        </is>
      </c>
      <c r="C8" s="91" t="inlineStr">
        <is>
          <t>State</t>
        </is>
      </c>
      <c r="D8" s="91" t="inlineStr">
        <is>
          <t>Imperative to exit</t>
        </is>
      </c>
      <c r="E8" s="91" t="inlineStr">
        <is>
          <t>Exit complexity</t>
        </is>
      </c>
      <c r="F8" s="91" t="inlineStr">
        <is>
          <t>Supporting facts</t>
        </is>
      </c>
      <c r="G8" s="91" t="inlineStr">
        <is>
          <t>Tranche (auto)</t>
        </is>
      </c>
      <c r="K8" s="92" t="inlineStr">
        <is>
          <t>Low</t>
        </is>
      </c>
      <c r="L8" s="92" t="inlineStr">
        <is>
          <t>Medium</t>
        </is>
      </c>
      <c r="M8" s="92" t="inlineStr">
        <is>
          <t>High</t>
        </is>
      </c>
    </row>
    <row r="9" ht="36" customHeight="1" s="52">
      <c r="A9" s="93" t="inlineStr">
        <is>
          <t>①</t>
        </is>
      </c>
      <c r="B9" s="94" t="inlineStr">
        <is>
          <t>TMS Data Warehouse</t>
        </is>
      </c>
      <c r="C9" s="73" t="inlineStr">
        <is>
          <t>Non-target state</t>
        </is>
      </c>
      <c r="D9" s="73" t="n"/>
      <c r="E9" s="73" t="n"/>
      <c r="F9" s="72" t="inlineStr">
        <is>
          <t>Non-strategic primary warehouse for Sierra and TMAS merchant data powering internal TSYS reporting; around $490K in yearly cost; migration path agreed</t>
        </is>
      </c>
      <c r="G9" s="95">
        <f>IF(OR($B9="",$D9="",$E9=""),"",IF(OR($C9="Target state",$C9="Exception"),"Out of scope",IF($D9="Low","No tranche",IF($E9="Low","Tranche 1",IF($E9="Medium","Tranche 2",IF($D9="High","Tranche 3","No tranche"))))))</f>
        <v/>
      </c>
      <c r="I9" s="96" t="inlineStr">
        <is>
          <t>Benefits</t>
        </is>
      </c>
      <c r="J9" s="97" t="inlineStr">
        <is>
          <t>High</t>
        </is>
      </c>
      <c r="K9" s="98">
        <f>"Tranche 1"&amp;CHAR(10)&amp;_xlfn.TEXTJOIN(CHAR(10),TRUE,O$9:O$21)</f>
        <v/>
      </c>
      <c r="L9" s="99">
        <f>"Tranche 2"&amp;CHAR(10)&amp;_xlfn.TEXTJOIN(CHAR(10),TRUE,P$9:P$21)</f>
        <v/>
      </c>
      <c r="M9" s="100">
        <f>"Tranche 3"&amp;CHAR(10)&amp;_xlfn.TEXTJOIN(CHAR(10),TRUE,Q$9:Q$21)</f>
        <v/>
      </c>
      <c r="O9">
        <f>IF(AND($B9&lt;&gt;"",$C9&lt;&gt;"Target state",$C9&lt;&gt;"Exception",$D9="High",$E9="Low"),$A9&amp;"  "&amp;$B9,"")</f>
        <v/>
      </c>
      <c r="P9">
        <f>IF(AND($B9&lt;&gt;"",$C9&lt;&gt;"Target state",$C9&lt;&gt;"Exception",$D9="High",$E9="Medium"),$A9&amp;"  "&amp;$B9,"")</f>
        <v/>
      </c>
      <c r="Q9">
        <f>IF(AND($B9&lt;&gt;"",$C9&lt;&gt;"Target state",$C9&lt;&gt;"Exception",$D9="High",$E9="High"),$A9&amp;"  "&amp;$B9,"")</f>
        <v/>
      </c>
      <c r="R9">
        <f>IF(AND($B9&lt;&gt;"",$C9&lt;&gt;"Target state",$C9&lt;&gt;"Exception",$D9="Medium",$E9="Low"),$A9&amp;"  "&amp;$B9,"")</f>
        <v/>
      </c>
      <c r="S9">
        <f>IF(AND($B9&lt;&gt;"",$C9&lt;&gt;"Target state",$C9&lt;&gt;"Exception",$D9="Medium",$E9="Medium"),$A9&amp;"  "&amp;$B9,"")</f>
        <v/>
      </c>
      <c r="T9">
        <f>IF(AND($B9&lt;&gt;"",$C9&lt;&gt;"Target state",$C9&lt;&gt;"Exception",$D9="Medium",$E9="High"),$A9&amp;"  "&amp;$B9,"")</f>
        <v/>
      </c>
      <c r="U9">
        <f>IF(AND($B9&lt;&gt;"",$C9&lt;&gt;"Target state",$C9&lt;&gt;"Exception",$D9="Low",$E9="Low"),$A9&amp;"  "&amp;$B9,"")</f>
        <v/>
      </c>
      <c r="V9">
        <f>IF(AND($B9&lt;&gt;"",$C9&lt;&gt;"Target state",$C9&lt;&gt;"Exception",$D9="Low",$E9="Medium"),$A9&amp;"  "&amp;$B9,"")</f>
        <v/>
      </c>
      <c r="W9">
        <f>IF(AND($B9&lt;&gt;"",$C9&lt;&gt;"Target state",$C9&lt;&gt;"Exception",$D9="Low",$E9="High"),$A9&amp;"  "&amp;$B9,"")</f>
        <v/>
      </c>
    </row>
    <row r="10" ht="36" customHeight="1" s="52">
      <c r="A10" s="93" t="inlineStr">
        <is>
          <t>②</t>
        </is>
      </c>
      <c r="B10" s="94" t="inlineStr">
        <is>
          <t>Broomfield DataWarehouse</t>
        </is>
      </c>
      <c r="C10" s="73" t="inlineStr">
        <is>
          <t>Non-target state</t>
        </is>
      </c>
      <c r="D10" s="73" t="n"/>
      <c r="E10" s="73" t="n"/>
      <c r="F10" s="72" t="inlineStr">
        <is>
          <t>Non-strategic legacy reporting repository for Broomfield portfolios, gateways and OnTrak; around $450K in yearly cost; future direction is the Caspian datalake</t>
        </is>
      </c>
      <c r="G10" s="95">
        <f>IF(OR($B10="",$D10="",$E10=""),"",IF(OR($C10="Target state",$C10="Exception"),"Out of scope",IF($D10="Low","No tranche",IF($E10="Low","Tranche 1",IF($E10="Medium","Tranche 2",IF($D10="High","Tranche 3","No tranche"))))))</f>
        <v/>
      </c>
      <c r="K10" s="101" t="n"/>
      <c r="L10" s="101" t="n"/>
      <c r="M10" s="101" t="n"/>
      <c r="O10">
        <f>IF(AND($B10&lt;&gt;"",$C10&lt;&gt;"Target state",$C10&lt;&gt;"Exception",$D10="High",$E10="Low"),$A10&amp;"  "&amp;$B10,"")</f>
        <v/>
      </c>
      <c r="P10">
        <f>IF(AND($B10&lt;&gt;"",$C10&lt;&gt;"Target state",$C10&lt;&gt;"Exception",$D10="High",$E10="Medium"),$A10&amp;"  "&amp;$B10,"")</f>
        <v/>
      </c>
      <c r="Q10">
        <f>IF(AND($B10&lt;&gt;"",$C10&lt;&gt;"Target state",$C10&lt;&gt;"Exception",$D10="High",$E10="High"),$A10&amp;"  "&amp;$B10,"")</f>
        <v/>
      </c>
      <c r="R10">
        <f>IF(AND($B10&lt;&gt;"",$C10&lt;&gt;"Target state",$C10&lt;&gt;"Exception",$D10="Medium",$E10="Low"),$A10&amp;"  "&amp;$B10,"")</f>
        <v/>
      </c>
      <c r="S10">
        <f>IF(AND($B10&lt;&gt;"",$C10&lt;&gt;"Target state",$C10&lt;&gt;"Exception",$D10="Medium",$E10="Medium"),$A10&amp;"  "&amp;$B10,"")</f>
        <v/>
      </c>
      <c r="T10">
        <f>IF(AND($B10&lt;&gt;"",$C10&lt;&gt;"Target state",$C10&lt;&gt;"Exception",$D10="Medium",$E10="High"),$A10&amp;"  "&amp;$B10,"")</f>
        <v/>
      </c>
      <c r="U10">
        <f>IF(AND($B10&lt;&gt;"",$C10&lt;&gt;"Target state",$C10&lt;&gt;"Exception",$D10="Low",$E10="Low"),$A10&amp;"  "&amp;$B10,"")</f>
        <v/>
      </c>
      <c r="V10">
        <f>IF(AND($B10&lt;&gt;"",$C10&lt;&gt;"Target state",$C10&lt;&gt;"Exception",$D10="Low",$E10="Medium"),$A10&amp;"  "&amp;$B10,"")</f>
        <v/>
      </c>
      <c r="W10">
        <f>IF(AND($B10&lt;&gt;"",$C10&lt;&gt;"Target state",$C10&lt;&gt;"Exception",$D10="Low",$E10="High"),$A10&amp;"  "&amp;$B10,"")</f>
        <v/>
      </c>
    </row>
    <row r="11" ht="30" customHeight="1" s="52">
      <c r="A11" s="93" t="inlineStr">
        <is>
          <t>③</t>
        </is>
      </c>
      <c r="B11" s="94" t="inlineStr">
        <is>
          <t>IBM Netezza Data Warehouse</t>
        </is>
      </c>
      <c r="C11" s="73" t="inlineStr">
        <is>
          <t>Non-target state</t>
        </is>
      </c>
      <c r="D11" s="73" t="n"/>
      <c r="E11" s="73" t="n"/>
      <c r="F11" s="72" t="inlineStr">
        <is>
          <t>Non-strategic data store for EVO LATAM supporting about 300K active MIDs; around $240K in yearly development cost; migration path agreed</t>
        </is>
      </c>
      <c r="G11" s="95">
        <f>IF(OR($B11="",$D11="",$E11=""),"",IF(OR($C11="Target state",$C11="Exception"),"Out of scope",IF($D11="Low","No tranche",IF($E11="Low","Tranche 1",IF($E11="Medium","Tranche 2",IF($D11="High","Tranche 3","No tranche"))))))</f>
        <v/>
      </c>
      <c r="K11" s="101" t="n"/>
      <c r="L11" s="101" t="n"/>
      <c r="M11" s="101" t="n"/>
      <c r="O11">
        <f>IF(AND($B11&lt;&gt;"",$C11&lt;&gt;"Target state",$C11&lt;&gt;"Exception",$D11="High",$E11="Low"),$A11&amp;"  "&amp;$B11,"")</f>
        <v/>
      </c>
      <c r="P11">
        <f>IF(AND($B11&lt;&gt;"",$C11&lt;&gt;"Target state",$C11&lt;&gt;"Exception",$D11="High",$E11="Medium"),$A11&amp;"  "&amp;$B11,"")</f>
        <v/>
      </c>
      <c r="Q11">
        <f>IF(AND($B11&lt;&gt;"",$C11&lt;&gt;"Target state",$C11&lt;&gt;"Exception",$D11="High",$E11="High"),$A11&amp;"  "&amp;$B11,"")</f>
        <v/>
      </c>
      <c r="R11">
        <f>IF(AND($B11&lt;&gt;"",$C11&lt;&gt;"Target state",$C11&lt;&gt;"Exception",$D11="Medium",$E11="Low"),$A11&amp;"  "&amp;$B11,"")</f>
        <v/>
      </c>
      <c r="S11">
        <f>IF(AND($B11&lt;&gt;"",$C11&lt;&gt;"Target state",$C11&lt;&gt;"Exception",$D11="Medium",$E11="Medium"),$A11&amp;"  "&amp;$B11,"")</f>
        <v/>
      </c>
      <c r="T11">
        <f>IF(AND($B11&lt;&gt;"",$C11&lt;&gt;"Target state",$C11&lt;&gt;"Exception",$D11="Medium",$E11="High"),$A11&amp;"  "&amp;$B11,"")</f>
        <v/>
      </c>
      <c r="U11">
        <f>IF(AND($B11&lt;&gt;"",$C11&lt;&gt;"Target state",$C11&lt;&gt;"Exception",$D11="Low",$E11="Low"),$A11&amp;"  "&amp;$B11,"")</f>
        <v/>
      </c>
      <c r="V11">
        <f>IF(AND($B11&lt;&gt;"",$C11&lt;&gt;"Target state",$C11&lt;&gt;"Exception",$D11="Low",$E11="Medium"),$A11&amp;"  "&amp;$B11,"")</f>
        <v/>
      </c>
      <c r="W11">
        <f>IF(AND($B11&lt;&gt;"",$C11&lt;&gt;"Target state",$C11&lt;&gt;"Exception",$D11="Low",$E11="High"),$A11&amp;"  "&amp;$B11,"")</f>
        <v/>
      </c>
    </row>
    <row r="12" ht="36" customHeight="1" s="52">
      <c r="A12" s="93" t="inlineStr">
        <is>
          <t>④</t>
        </is>
      </c>
      <c r="B12" s="94" t="inlineStr">
        <is>
          <t>ETL implementation</t>
        </is>
      </c>
      <c r="C12" s="73" t="inlineStr">
        <is>
          <t>Non-target state</t>
        </is>
      </c>
      <c r="D12" s="73" t="n"/>
      <c r="E12" s="73" t="n"/>
      <c r="F12" s="72" t="inlineStr">
        <is>
          <t>Non-strategic home-grown transformation layer feeding internal and partner systems for Mexico and Chile; about 1.2B transactions and $64B flowing through; migration path agreed</t>
        </is>
      </c>
      <c r="G12" s="95">
        <f>IF(OR($B12="",$D12="",$E12=""),"",IF(OR($C12="Target state",$C12="Exception"),"Out of scope",IF($D12="Low","No tranche",IF($E12="Low","Tranche 1",IF($E12="Medium","Tranche 2",IF($D12="High","Tranche 3","No tranche"))))))</f>
        <v/>
      </c>
      <c r="K12" s="101" t="n"/>
      <c r="L12" s="101" t="n"/>
      <c r="M12" s="101" t="n"/>
      <c r="O12">
        <f>IF(AND($B12&lt;&gt;"",$C12&lt;&gt;"Target state",$C12&lt;&gt;"Exception",$D12="High",$E12="Low"),$A12&amp;"  "&amp;$B12,"")</f>
        <v/>
      </c>
      <c r="P12">
        <f>IF(AND($B12&lt;&gt;"",$C12&lt;&gt;"Target state",$C12&lt;&gt;"Exception",$D12="High",$E12="Medium"),$A12&amp;"  "&amp;$B12,"")</f>
        <v/>
      </c>
      <c r="Q12">
        <f>IF(AND($B12&lt;&gt;"",$C12&lt;&gt;"Target state",$C12&lt;&gt;"Exception",$D12="High",$E12="High"),$A12&amp;"  "&amp;$B12,"")</f>
        <v/>
      </c>
      <c r="R12">
        <f>IF(AND($B12&lt;&gt;"",$C12&lt;&gt;"Target state",$C12&lt;&gt;"Exception",$D12="Medium",$E12="Low"),$A12&amp;"  "&amp;$B12,"")</f>
        <v/>
      </c>
      <c r="S12">
        <f>IF(AND($B12&lt;&gt;"",$C12&lt;&gt;"Target state",$C12&lt;&gt;"Exception",$D12="Medium",$E12="Medium"),$A12&amp;"  "&amp;$B12,"")</f>
        <v/>
      </c>
      <c r="T12">
        <f>IF(AND($B12&lt;&gt;"",$C12&lt;&gt;"Target state",$C12&lt;&gt;"Exception",$D12="Medium",$E12="High"),$A12&amp;"  "&amp;$B12,"")</f>
        <v/>
      </c>
      <c r="U12">
        <f>IF(AND($B12&lt;&gt;"",$C12&lt;&gt;"Target state",$C12&lt;&gt;"Exception",$D12="Low",$E12="Low"),$A12&amp;"  "&amp;$B12,"")</f>
        <v/>
      </c>
      <c r="V12">
        <f>IF(AND($B12&lt;&gt;"",$C12&lt;&gt;"Target state",$C12&lt;&gt;"Exception",$D12="Low",$E12="Medium"),$A12&amp;"  "&amp;$B12,"")</f>
        <v/>
      </c>
      <c r="W12">
        <f>IF(AND($B12&lt;&gt;"",$C12&lt;&gt;"Target state",$C12&lt;&gt;"Exception",$D12="Low",$E12="High"),$A12&amp;"  "&amp;$B12,"")</f>
        <v/>
      </c>
    </row>
    <row r="13" ht="30" customHeight="1" s="52">
      <c r="A13" s="93" t="inlineStr">
        <is>
          <t>⑤</t>
        </is>
      </c>
      <c r="B13" s="94" t="inlineStr">
        <is>
          <t>Big Data + HUE</t>
        </is>
      </c>
      <c r="C13" s="73" t="inlineStr">
        <is>
          <t>Non-target state</t>
        </is>
      </c>
      <c r="D13" s="73" t="n"/>
      <c r="E13" s="73" t="n"/>
      <c r="F13" s="72" t="inlineStr">
        <is>
          <t>Non-strategic NBG Pay data warehouse recalculating merchant service fees with HUE reporting; replaced after migration</t>
        </is>
      </c>
      <c r="G13" s="95">
        <f>IF(OR($B13="",$D13="",$E13=""),"",IF(OR($C13="Target state",$C13="Exception"),"Out of scope",IF($D13="Low","No tranche",IF($E13="Low","Tranche 1",IF($E13="Medium","Tranche 2",IF($D13="High","Tranche 3","No tranche"))))))</f>
        <v/>
      </c>
      <c r="K13" s="102" t="n"/>
      <c r="L13" s="102" t="n"/>
      <c r="M13" s="102" t="n"/>
      <c r="O13">
        <f>IF(AND($B13&lt;&gt;"",$C13&lt;&gt;"Target state",$C13&lt;&gt;"Exception",$D13="High",$E13="Low"),$A13&amp;"  "&amp;$B13,"")</f>
        <v/>
      </c>
      <c r="P13">
        <f>IF(AND($B13&lt;&gt;"",$C13&lt;&gt;"Target state",$C13&lt;&gt;"Exception",$D13="High",$E13="Medium"),$A13&amp;"  "&amp;$B13,"")</f>
        <v/>
      </c>
      <c r="Q13">
        <f>IF(AND($B13&lt;&gt;"",$C13&lt;&gt;"Target state",$C13&lt;&gt;"Exception",$D13="High",$E13="High"),$A13&amp;"  "&amp;$B13,"")</f>
        <v/>
      </c>
      <c r="R13">
        <f>IF(AND($B13&lt;&gt;"",$C13&lt;&gt;"Target state",$C13&lt;&gt;"Exception",$D13="Medium",$E13="Low"),$A13&amp;"  "&amp;$B13,"")</f>
        <v/>
      </c>
      <c r="S13">
        <f>IF(AND($B13&lt;&gt;"",$C13&lt;&gt;"Target state",$C13&lt;&gt;"Exception",$D13="Medium",$E13="Medium"),$A13&amp;"  "&amp;$B13,"")</f>
        <v/>
      </c>
      <c r="T13">
        <f>IF(AND($B13&lt;&gt;"",$C13&lt;&gt;"Target state",$C13&lt;&gt;"Exception",$D13="Medium",$E13="High"),$A13&amp;"  "&amp;$B13,"")</f>
        <v/>
      </c>
      <c r="U13">
        <f>IF(AND($B13&lt;&gt;"",$C13&lt;&gt;"Target state",$C13&lt;&gt;"Exception",$D13="Low",$E13="Low"),$A13&amp;"  "&amp;$B13,"")</f>
        <v/>
      </c>
      <c r="V13">
        <f>IF(AND($B13&lt;&gt;"",$C13&lt;&gt;"Target state",$C13&lt;&gt;"Exception",$D13="Low",$E13="Medium"),$A13&amp;"  "&amp;$B13,"")</f>
        <v/>
      </c>
      <c r="W13">
        <f>IF(AND($B13&lt;&gt;"",$C13&lt;&gt;"Target state",$C13&lt;&gt;"Exception",$D13="Low",$E13="High"),$A13&amp;"  "&amp;$B13,"")</f>
        <v/>
      </c>
    </row>
    <row r="14" ht="30" customHeight="1" s="52">
      <c r="A14" s="93" t="inlineStr">
        <is>
          <t>⑥</t>
        </is>
      </c>
      <c r="B14" s="94" t="inlineStr">
        <is>
          <t>EDW</t>
        </is>
      </c>
      <c r="C14" s="73" t="inlineStr">
        <is>
          <t>Non-target state</t>
        </is>
      </c>
      <c r="D14" s="73" t="n"/>
      <c r="E14" s="73" t="n"/>
      <c r="F14" s="72" t="inlineStr">
        <is>
          <t>Non-strategic data warehouse and reporting system for NBG Pay; replaced after migration</t>
        </is>
      </c>
      <c r="G14" s="95">
        <f>IF(OR($B14="",$D14="",$E14=""),"",IF(OR($C14="Target state",$C14="Exception"),"Out of scope",IF($D14="Low","No tranche",IF($E14="Low","Tranche 1",IF($E14="Medium","Tranche 2",IF($D14="High","Tranche 3","No tranche"))))))</f>
        <v/>
      </c>
      <c r="J14" s="97" t="inlineStr">
        <is>
          <t>Medium</t>
        </is>
      </c>
      <c r="K14" s="98">
        <f>"Tranche 1"&amp;CHAR(10)&amp;_xlfn.TEXTJOIN(CHAR(10),TRUE,R$9:R$21)</f>
        <v/>
      </c>
      <c r="L14" s="99">
        <f>"Tranche 2"&amp;CHAR(10)&amp;_xlfn.TEXTJOIN(CHAR(10),TRUE,S$9:S$21)</f>
        <v/>
      </c>
      <c r="M14" s="103">
        <f>_xlfn.TEXTJOIN(CHAR(10),TRUE,T$9:T$21)</f>
        <v/>
      </c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30" customHeight="1" s="52">
      <c r="A15" s="93" t="inlineStr">
        <is>
          <t>⑦</t>
        </is>
      </c>
      <c r="B15" s="94" t="inlineStr">
        <is>
          <t>MNAC</t>
        </is>
      </c>
      <c r="C15" s="73" t="inlineStr">
        <is>
          <t>Non-target state</t>
        </is>
      </c>
      <c r="D15" s="73" t="n"/>
      <c r="E15" s="73" t="n"/>
      <c r="F15" s="72" t="inlineStr">
        <is>
          <t>Non-strategic data warehouse and reporting for internal Spanish management with about 10 direct users; confirmed for decommission</t>
        </is>
      </c>
      <c r="G15" s="95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101" t="n"/>
      <c r="L15" s="101" t="n"/>
      <c r="M15" s="101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30" customHeight="1" s="52">
      <c r="A16" s="93" t="inlineStr">
        <is>
          <t>⑧</t>
        </is>
      </c>
      <c r="B16" s="94" t="inlineStr">
        <is>
          <t>Data Warehouse (Oceania)</t>
        </is>
      </c>
      <c r="C16" s="73" t="inlineStr">
        <is>
          <t>Non-target state</t>
        </is>
      </c>
      <c r="D16" s="73" t="n"/>
      <c r="E16" s="73" t="n"/>
      <c r="F16" s="72" t="inlineStr">
        <is>
          <t>Non-strategic local Oceania warehouse for internal and limited external use; migration path agreed</t>
        </is>
      </c>
      <c r="G16" s="95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101" t="n"/>
      <c r="L16" s="101" t="n"/>
      <c r="M16" s="101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30" customHeight="1" s="52">
      <c r="A17" s="93" t="inlineStr">
        <is>
          <t>⑨</t>
        </is>
      </c>
      <c r="B17" s="94" t="inlineStr">
        <is>
          <t>Profisee (MDM)</t>
        </is>
      </c>
      <c r="C17" s="73" t="inlineStr">
        <is>
          <t>Non-target state</t>
        </is>
      </c>
      <c r="D17" s="73" t="n"/>
      <c r="E17" s="73" t="n"/>
      <c r="F17" s="72" t="inlineStr">
        <is>
          <t>Non-strategic MDM tool enabling real-time prospecting lookups for NA merchant sales; about $85K in yearly cost; migration path agreed</t>
        </is>
      </c>
      <c r="G17" s="95">
        <f>IF(OR($B17="",$D17="",$E17=""),"",IF(OR($C17="Target state",$C17="Exception"),"Out of scope",IF($D17="Low","No tranche",IF($E17="Low","Tranche 1",IF($E17="Medium","Tranche 2",IF($D17="High","Tranche 3","No tranche"))))))</f>
        <v/>
      </c>
      <c r="K17" s="102" t="n"/>
      <c r="L17" s="102" t="n"/>
      <c r="M17" s="102" t="n"/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 s="52">
      <c r="A18" s="93" t="inlineStr">
        <is>
          <t>⑩</t>
        </is>
      </c>
      <c r="B18" s="94" t="n"/>
      <c r="C18" s="73" t="n"/>
      <c r="D18" s="73" t="n"/>
      <c r="E18" s="73" t="n"/>
      <c r="F18" s="72" t="n"/>
      <c r="G18" s="95">
        <f>IF(OR($B18="",$D18="",$E18=""),"",IF(OR($C18="Target state",$C18="Exception"),"Out of scope",IF($D18="Low","No tranche",IF($E18="Low","Tranche 1",IF($E18="Medium","Tranche 2",IF($D18="High","Tranche 3","No tranche"))))))</f>
        <v/>
      </c>
      <c r="J18" s="97" t="inlineStr">
        <is>
          <t>Low</t>
        </is>
      </c>
      <c r="K18" s="103">
        <f>_xlfn.TEXTJOIN(CHAR(10),TRUE,U$9:U$21)</f>
        <v/>
      </c>
      <c r="L18" s="103">
        <f>_xlfn.TEXTJOIN(CHAR(10),TRUE,V$9:V$21)</f>
        <v/>
      </c>
      <c r="M18" s="103">
        <f>_xlfn.TEXTJOIN(CHAR(10),TRUE,W$9:W$21)</f>
        <v/>
      </c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20" customHeight="1" s="52">
      <c r="A19" s="93" t="inlineStr">
        <is>
          <t>⑪</t>
        </is>
      </c>
      <c r="B19" s="94" t="n"/>
      <c r="C19" s="73" t="n"/>
      <c r="D19" s="73" t="n"/>
      <c r="E19" s="73" t="n"/>
      <c r="F19" s="72" t="n"/>
      <c r="G19" s="95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101" t="n"/>
      <c r="L19" s="101" t="n"/>
      <c r="M19" s="101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20" customHeight="1" s="52">
      <c r="A20" s="93" t="inlineStr">
        <is>
          <t>⑫</t>
        </is>
      </c>
      <c r="B20" s="94" t="n"/>
      <c r="C20" s="73" t="n"/>
      <c r="D20" s="73" t="n"/>
      <c r="E20" s="73" t="n"/>
      <c r="F20" s="72" t="n"/>
      <c r="G20" s="95">
        <f>IF(OR($B20="",$D20="",$E20=""),"",IF(OR($C20="Target state",$C20="Exception"),"Out of scope",IF($D20="Low","No tranche",IF($E20="Low","Tranche 1",IF($E20="Medium","Tranche 2",IF($D20="High","Tranche 3","No tranche"))))))</f>
        <v/>
      </c>
      <c r="K20" s="101" t="n"/>
      <c r="L20" s="101" t="n"/>
      <c r="M20" s="101" t="n"/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20" customHeight="1" s="52">
      <c r="A21" s="93" t="inlineStr">
        <is>
          <t>⑬</t>
        </is>
      </c>
      <c r="B21" s="94" t="n"/>
      <c r="C21" s="73" t="n"/>
      <c r="D21" s="73" t="n"/>
      <c r="E21" s="73" t="n"/>
      <c r="F21" s="72" t="n"/>
      <c r="G21" s="95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102" t="n"/>
      <c r="L21" s="102" t="n"/>
      <c r="M21" s="102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>
      <c r="K22" s="97" t="inlineStr">
        <is>
          <t>Complexity</t>
        </is>
      </c>
    </row>
  </sheetData>
  <mergeCells count="17">
    <mergeCell ref="L9:L13"/>
    <mergeCell ref="L14:L17"/>
    <mergeCell ref="K14:K17"/>
    <mergeCell ref="J18:J21"/>
    <mergeCell ref="I9:I21"/>
    <mergeCell ref="M18:M21"/>
    <mergeCell ref="K18:K21"/>
    <mergeCell ref="K22:M22"/>
    <mergeCell ref="M14:M17"/>
    <mergeCell ref="M9:M13"/>
    <mergeCell ref="J9:J13"/>
    <mergeCell ref="A4:C4"/>
    <mergeCell ref="K9:K13"/>
    <mergeCell ref="J14:J17"/>
    <mergeCell ref="K7:M7"/>
    <mergeCell ref="A7:F7"/>
    <mergeCell ref="L18:L21"/>
  </mergeCells>
  <conditionalFormatting sqref="A9:G21">
    <cfRule type="expression" priority="1" dxfId="43">
      <formula>OR($C9="Target state",$C9="Exception")</formula>
    </cfRule>
  </conditionalFormatting>
  <dataValidations count="2">
    <dataValidation sqref="C9:C21" showDropDown="0" showInputMessage="0" showErrorMessage="0" allowBlank="1" type="list">
      <formula1>"Target state,Non-target state,Exception"</formula1>
    </dataValidation>
    <dataValidation sqref="D9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W104"/>
  <sheetViews>
    <sheetView showGridLines="0" workbookViewId="0">
      <selection activeCell="A1" sqref="A1"/>
    </sheetView>
  </sheetViews>
  <sheetFormatPr baseColWidth="8" defaultRowHeight="15"/>
  <cols>
    <col width="5" customWidth="1" style="52" min="1" max="1"/>
    <col width="26" customWidth="1" style="52" min="2" max="2"/>
    <col width="17" customWidth="1" style="52" min="3" max="3"/>
    <col width="16" customWidth="1" style="52" min="4" max="4"/>
    <col width="15" customWidth="1" style="52" min="5" max="5"/>
    <col width="44" customWidth="1" style="52" min="6" max="6"/>
    <col width="14" customWidth="1" style="52" min="7" max="7"/>
    <col width="2" customWidth="1" style="52" min="8" max="8"/>
    <col width="4" customWidth="1" style="52" min="9" max="9"/>
    <col width="9" customWidth="1" style="52" min="10" max="10"/>
    <col width="26" customWidth="1" style="52" min="11" max="11"/>
    <col width="26" customWidth="1" style="52" min="12" max="12"/>
    <col width="26" customWidth="1" style="52" min="13" max="13"/>
    <col width="2" customWidth="1" style="52" min="14" max="14"/>
    <col hidden="1" width="13" customWidth="1" style="52" min="15" max="15"/>
    <col hidden="1" width="13" customWidth="1" style="52" min="16" max="16"/>
    <col hidden="1" width="13" customWidth="1" style="52" min="17" max="17"/>
    <col hidden="1" width="13" customWidth="1" style="52" min="18" max="18"/>
    <col hidden="1" width="13" customWidth="1" style="52" min="19" max="19"/>
    <col hidden="1" width="13" customWidth="1" style="52" min="20" max="20"/>
    <col hidden="1" width="13" customWidth="1" style="52" min="21" max="21"/>
    <col hidden="1" width="13" customWidth="1" style="52" min="22" max="22"/>
    <col hidden="1" width="13" customWidth="1" style="52" min="23" max="23"/>
  </cols>
  <sheetData>
    <row r="1">
      <c r="A1" s="83" t="inlineStr">
        <is>
          <t>Global Infrastructure — Platform Assessment</t>
        </is>
      </c>
    </row>
    <row r="2">
      <c r="A2" s="84">
        <f>HYPERLINK("#'Summary'!A1","← Back to Summary")</f>
        <v/>
      </c>
      <c r="C2" s="85" t="inlineStr">
        <is>
          <t>Pick a State, score High / Medium / Low — the tranche, the matrix and the Summary update automatically.</t>
        </is>
      </c>
    </row>
    <row r="4">
      <c r="A4" s="86" t="inlineStr">
        <is>
          <t>Tracker — jump to a sub-capability:</t>
        </is>
      </c>
    </row>
    <row r="5">
      <c r="A5" s="87" t="inlineStr">
        <is>
          <t>1.</t>
        </is>
      </c>
      <c r="B5" s="84">
        <f>HYPERLINK("#'Global Infrastructure'!A12","Data Centers")</f>
        <v/>
      </c>
    </row>
    <row r="6">
      <c r="A6" s="87" t="inlineStr">
        <is>
          <t>2.</t>
        </is>
      </c>
      <c r="B6" s="84">
        <f>HYPERLINK("#'Global Infrastructure'!A28","Cloud")</f>
        <v/>
      </c>
    </row>
    <row r="7">
      <c r="A7" s="87" t="inlineStr">
        <is>
          <t>3.</t>
        </is>
      </c>
      <c r="B7" s="84">
        <f>HYPERLINK("#'Global Infrastructure'!A44","Observability")</f>
        <v/>
      </c>
    </row>
    <row r="8">
      <c r="A8" s="87" t="inlineStr">
        <is>
          <t>4.</t>
        </is>
      </c>
      <c r="B8" s="84">
        <f>HYPERLINK("#'Global Infrastructure'!A60","Security")</f>
        <v/>
      </c>
    </row>
    <row r="9">
      <c r="A9" s="87" t="inlineStr">
        <is>
          <t>5.</t>
        </is>
      </c>
      <c r="B9" s="84">
        <f>HYPERLINK("#'Global Infrastructure'!A76","AI Tools")</f>
        <v/>
      </c>
    </row>
    <row r="10">
      <c r="A10" s="87" t="inlineStr">
        <is>
          <t>6.</t>
        </is>
      </c>
      <c r="B10" s="84">
        <f>HYPERLINK("#'Global Infrastructure'!A92","Design Systems")</f>
        <v/>
      </c>
    </row>
    <row r="12" ht="22" customHeight="1" s="52">
      <c r="A12" s="88" t="inlineStr">
        <is>
          <t>Data Centers</t>
        </is>
      </c>
      <c r="G12" s="89">
        <f>HYPERLINK("#'Global Infrastructure'!A4","▲ tracker")</f>
        <v/>
      </c>
      <c r="K12" s="90" t="inlineStr">
        <is>
          <t>Assessment Outcome</t>
        </is>
      </c>
    </row>
    <row r="13" ht="18" customHeight="1" s="52">
      <c r="A13" s="91" t="inlineStr">
        <is>
          <t>#</t>
        </is>
      </c>
      <c r="B13" s="91" t="inlineStr">
        <is>
          <t>Platform</t>
        </is>
      </c>
      <c r="C13" s="91" t="inlineStr">
        <is>
          <t>State</t>
        </is>
      </c>
      <c r="D13" s="91" t="inlineStr">
        <is>
          <t>Imperative to exit</t>
        </is>
      </c>
      <c r="E13" s="91" t="inlineStr">
        <is>
          <t>Exit complexity</t>
        </is>
      </c>
      <c r="F13" s="91" t="inlineStr">
        <is>
          <t>Supporting facts</t>
        </is>
      </c>
      <c r="G13" s="91" t="inlineStr">
        <is>
          <t>Tranche (auto)</t>
        </is>
      </c>
      <c r="K13" s="92" t="inlineStr">
        <is>
          <t>Low</t>
        </is>
      </c>
      <c r="L13" s="92" t="inlineStr">
        <is>
          <t>Medium</t>
        </is>
      </c>
      <c r="M13" s="92" t="inlineStr">
        <is>
          <t>High</t>
        </is>
      </c>
    </row>
    <row r="14" ht="20" customHeight="1" s="52">
      <c r="A14" s="93" t="inlineStr">
        <is>
          <t>①</t>
        </is>
      </c>
      <c r="B14" s="94" t="n"/>
      <c r="C14" s="73" t="n"/>
      <c r="D14" s="73" t="n"/>
      <c r="E14" s="73" t="n"/>
      <c r="F14" s="72" t="n"/>
      <c r="G14" s="95">
        <f>IF(OR($B14="",$D14="",$E14=""),"",IF(OR($C14="Target state",$C14="Exception"),"Out of scope",IF($D14="Low","No tranche",IF($E14="Low","Tranche 1",IF($E14="Medium","Tranche 2",IF($D14="High","Tranche 3","No tranche"))))))</f>
        <v/>
      </c>
      <c r="I14" s="96" t="inlineStr">
        <is>
          <t>Benefits</t>
        </is>
      </c>
      <c r="J14" s="97" t="inlineStr">
        <is>
          <t>High</t>
        </is>
      </c>
      <c r="K14" s="98">
        <f>"Tranche 1"&amp;CHAR(10)&amp;_xlfn.TEXTJOIN(CHAR(10),TRUE,O$14:O$23)</f>
        <v/>
      </c>
      <c r="L14" s="99">
        <f>"Tranche 2"&amp;CHAR(10)&amp;_xlfn.TEXTJOIN(CHAR(10),TRUE,P$14:P$23)</f>
        <v/>
      </c>
      <c r="M14" s="100">
        <f>"Tranche 3"&amp;CHAR(10)&amp;_xlfn.TEXTJOIN(CHAR(10),TRUE,Q$14:Q$23)</f>
        <v/>
      </c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20" customHeight="1" s="52">
      <c r="A15" s="93" t="inlineStr">
        <is>
          <t>②</t>
        </is>
      </c>
      <c r="B15" s="94" t="n"/>
      <c r="C15" s="73" t="n"/>
      <c r="D15" s="73" t="n"/>
      <c r="E15" s="73" t="n"/>
      <c r="F15" s="72" t="n"/>
      <c r="G15" s="95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101" t="n"/>
      <c r="L15" s="101" t="n"/>
      <c r="M15" s="101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20" customHeight="1" s="52">
      <c r="A16" s="93" t="inlineStr">
        <is>
          <t>③</t>
        </is>
      </c>
      <c r="B16" s="94" t="n"/>
      <c r="C16" s="73" t="n"/>
      <c r="D16" s="73" t="n"/>
      <c r="E16" s="73" t="n"/>
      <c r="F16" s="72" t="n"/>
      <c r="G16" s="95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101" t="n"/>
      <c r="L16" s="101" t="n"/>
      <c r="M16" s="101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20" customHeight="1" s="52">
      <c r="A17" s="93" t="inlineStr">
        <is>
          <t>④</t>
        </is>
      </c>
      <c r="B17" s="94" t="n"/>
      <c r="C17" s="73" t="n"/>
      <c r="D17" s="73" t="n"/>
      <c r="E17" s="73" t="n"/>
      <c r="F17" s="72" t="n"/>
      <c r="G17" s="95">
        <f>IF(OR($B17="",$D17="",$E17=""),"",IF(OR($C17="Target state",$C17="Exception"),"Out of scope",IF($D17="Low","No tranche",IF($E17="Low","Tranche 1",IF($E17="Medium","Tranche 2",IF($D17="High","Tranche 3","No tranche"))))))</f>
        <v/>
      </c>
      <c r="K17" s="102" t="n"/>
      <c r="L17" s="102" t="n"/>
      <c r="M17" s="102" t="n"/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20" customHeight="1" s="52">
      <c r="A18" s="93" t="inlineStr">
        <is>
          <t>⑤</t>
        </is>
      </c>
      <c r="B18" s="94" t="n"/>
      <c r="C18" s="73" t="n"/>
      <c r="D18" s="73" t="n"/>
      <c r="E18" s="73" t="n"/>
      <c r="F18" s="72" t="n"/>
      <c r="G18" s="95">
        <f>IF(OR($B18="",$D18="",$E18=""),"",IF(OR($C18="Target state",$C18="Exception"),"Out of scope",IF($D18="Low","No tranche",IF($E18="Low","Tranche 1",IF($E18="Medium","Tranche 2",IF($D18="High","Tranche 3","No tranche"))))))</f>
        <v/>
      </c>
      <c r="J18" s="97" t="inlineStr">
        <is>
          <t>Medium</t>
        </is>
      </c>
      <c r="K18" s="98">
        <f>"Tranche 1"&amp;CHAR(10)&amp;_xlfn.TEXTJOIN(CHAR(10),TRUE,R$14:R$23)</f>
        <v/>
      </c>
      <c r="L18" s="99">
        <f>"Tranche 2"&amp;CHAR(10)&amp;_xlfn.TEXTJOIN(CHAR(10),TRUE,S$14:S$23)</f>
        <v/>
      </c>
      <c r="M18" s="103">
        <f>_xlfn.TEXTJOIN(CHAR(10),TRUE,T$14:T$23)</f>
        <v/>
      </c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20" customHeight="1" s="52">
      <c r="A19" s="93" t="inlineStr">
        <is>
          <t>⑥</t>
        </is>
      </c>
      <c r="B19" s="94" t="n"/>
      <c r="C19" s="73" t="n"/>
      <c r="D19" s="73" t="n"/>
      <c r="E19" s="73" t="n"/>
      <c r="F19" s="72" t="n"/>
      <c r="G19" s="95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101" t="n"/>
      <c r="L19" s="101" t="n"/>
      <c r="M19" s="101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20" customHeight="1" s="52">
      <c r="A20" s="93" t="inlineStr">
        <is>
          <t>⑦</t>
        </is>
      </c>
      <c r="B20" s="94" t="n"/>
      <c r="C20" s="73" t="n"/>
      <c r="D20" s="73" t="n"/>
      <c r="E20" s="73" t="n"/>
      <c r="F20" s="72" t="n"/>
      <c r="G20" s="95">
        <f>IF(OR($B20="",$D20="",$E20=""),"",IF(OR($C20="Target state",$C20="Exception"),"Out of scope",IF($D20="Low","No tranche",IF($E20="Low","Tranche 1",IF($E20="Medium","Tranche 2",IF($D20="High","Tranche 3","No tranche"))))))</f>
        <v/>
      </c>
      <c r="K20" s="102" t="n"/>
      <c r="L20" s="102" t="n"/>
      <c r="M20" s="102" t="n"/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20" customHeight="1" s="52">
      <c r="A21" s="93" t="inlineStr">
        <is>
          <t>⑧</t>
        </is>
      </c>
      <c r="B21" s="94" t="n"/>
      <c r="C21" s="73" t="n"/>
      <c r="D21" s="73" t="n"/>
      <c r="E21" s="73" t="n"/>
      <c r="F21" s="72" t="n"/>
      <c r="G21" s="95">
        <f>IF(OR($B21="",$D21="",$E21=""),"",IF(OR($C21="Target state",$C21="Exception"),"Out of scope",IF($D21="Low","No tranche",IF($E21="Low","Tranche 1",IF($E21="Medium","Tranche 2",IF($D21="High","Tranche 3","No tranche"))))))</f>
        <v/>
      </c>
      <c r="J21" s="97" t="inlineStr">
        <is>
          <t>Low</t>
        </is>
      </c>
      <c r="K21" s="103">
        <f>_xlfn.TEXTJOIN(CHAR(10),TRUE,U$14:U$23)</f>
        <v/>
      </c>
      <c r="L21" s="103">
        <f>_xlfn.TEXTJOIN(CHAR(10),TRUE,V$14:V$23)</f>
        <v/>
      </c>
      <c r="M21" s="103">
        <f>_xlfn.TEXTJOIN(CHAR(10),TRUE,W$14:W$23)</f>
        <v/>
      </c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20" customHeight="1" s="52">
      <c r="A22" s="93" t="inlineStr">
        <is>
          <t>⑨</t>
        </is>
      </c>
      <c r="B22" s="94" t="n"/>
      <c r="C22" s="73" t="n"/>
      <c r="D22" s="73" t="n"/>
      <c r="E22" s="73" t="n"/>
      <c r="F22" s="72" t="n"/>
      <c r="G22" s="95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101" t="n"/>
      <c r="L22" s="101" t="n"/>
      <c r="M22" s="101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20" customHeight="1" s="52">
      <c r="A23" s="93" t="inlineStr">
        <is>
          <t>⑩</t>
        </is>
      </c>
      <c r="B23" s="94" t="n"/>
      <c r="C23" s="73" t="n"/>
      <c r="D23" s="73" t="n"/>
      <c r="E23" s="73" t="n"/>
      <c r="F23" s="72" t="n"/>
      <c r="G23" s="95">
        <f>IF(OR($B23="",$D23="",$E23=""),"",IF(OR($C23="Target state",$C23="Exception"),"Out of scope",IF($D23="Low","No tranche",IF($E23="Low","Tranche 1",IF($E23="Medium","Tranche 2",IF($D23="High","Tranche 3","No tranche"))))))</f>
        <v/>
      </c>
      <c r="K23" s="102" t="n"/>
      <c r="L23" s="102" t="n"/>
      <c r="M23" s="102" t="n"/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4">
      <c r="K24" s="97" t="inlineStr">
        <is>
          <t>Complexity</t>
        </is>
      </c>
    </row>
    <row r="28" ht="22" customHeight="1" s="52">
      <c r="A28" s="88" t="inlineStr">
        <is>
          <t>Cloud</t>
        </is>
      </c>
      <c r="G28" s="89">
        <f>HYPERLINK("#'Global Infrastructure'!A4","▲ tracker")</f>
        <v/>
      </c>
      <c r="K28" s="90" t="inlineStr">
        <is>
          <t>Assessment Outcome</t>
        </is>
      </c>
    </row>
    <row r="29" ht="18" customHeight="1" s="52">
      <c r="A29" s="91" t="inlineStr">
        <is>
          <t>#</t>
        </is>
      </c>
      <c r="B29" s="91" t="inlineStr">
        <is>
          <t>Platform</t>
        </is>
      </c>
      <c r="C29" s="91" t="inlineStr">
        <is>
          <t>State</t>
        </is>
      </c>
      <c r="D29" s="91" t="inlineStr">
        <is>
          <t>Imperative to exit</t>
        </is>
      </c>
      <c r="E29" s="91" t="inlineStr">
        <is>
          <t>Exit complexity</t>
        </is>
      </c>
      <c r="F29" s="91" t="inlineStr">
        <is>
          <t>Supporting facts</t>
        </is>
      </c>
      <c r="G29" s="91" t="inlineStr">
        <is>
          <t>Tranche (auto)</t>
        </is>
      </c>
      <c r="K29" s="92" t="inlineStr">
        <is>
          <t>Low</t>
        </is>
      </c>
      <c r="L29" s="92" t="inlineStr">
        <is>
          <t>Medium</t>
        </is>
      </c>
      <c r="M29" s="92" t="inlineStr">
        <is>
          <t>High</t>
        </is>
      </c>
    </row>
    <row r="30" ht="20" customHeight="1" s="52">
      <c r="A30" s="93" t="inlineStr">
        <is>
          <t>①</t>
        </is>
      </c>
      <c r="B30" s="94" t="n"/>
      <c r="C30" s="73" t="n"/>
      <c r="D30" s="73" t="n"/>
      <c r="E30" s="73" t="n"/>
      <c r="F30" s="72" t="n"/>
      <c r="G30" s="95">
        <f>IF(OR($B30="",$D30="",$E30=""),"",IF(OR($C30="Target state",$C30="Exception"),"Out of scope",IF($D30="Low","No tranche",IF($E30="Low","Tranche 1",IF($E30="Medium","Tranche 2",IF($D30="High","Tranche 3","No tranche"))))))</f>
        <v/>
      </c>
      <c r="I30" s="96" t="inlineStr">
        <is>
          <t>Benefits</t>
        </is>
      </c>
      <c r="J30" s="97" t="inlineStr">
        <is>
          <t>High</t>
        </is>
      </c>
      <c r="K30" s="98">
        <f>"Tranche 1"&amp;CHAR(10)&amp;_xlfn.TEXTJOIN(CHAR(10),TRUE,O$30:O$39)</f>
        <v/>
      </c>
      <c r="L30" s="99">
        <f>"Tranche 2"&amp;CHAR(10)&amp;_xlfn.TEXTJOIN(CHAR(10),TRUE,P$30:P$39)</f>
        <v/>
      </c>
      <c r="M30" s="100">
        <f>"Tranche 3"&amp;CHAR(10)&amp;_xlfn.TEXTJOIN(CHAR(10),TRUE,Q$30:Q$39)</f>
        <v/>
      </c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20" customHeight="1" s="52">
      <c r="A31" s="93" t="inlineStr">
        <is>
          <t>②</t>
        </is>
      </c>
      <c r="B31" s="94" t="n"/>
      <c r="C31" s="73" t="n"/>
      <c r="D31" s="73" t="n"/>
      <c r="E31" s="73" t="n"/>
      <c r="F31" s="72" t="n"/>
      <c r="G31" s="95">
        <f>IF(OR($B31="",$D31="",$E31=""),"",IF(OR($C31="Target state",$C31="Exception"),"Out of scope",IF($D31="Low","No tranche",IF($E31="Low","Tranche 1",IF($E31="Medium","Tranche 2",IF($D31="High","Tranche 3","No tranche"))))))</f>
        <v/>
      </c>
      <c r="K31" s="101" t="n"/>
      <c r="L31" s="101" t="n"/>
      <c r="M31" s="101" t="n"/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20" customHeight="1" s="52">
      <c r="A32" s="93" t="inlineStr">
        <is>
          <t>③</t>
        </is>
      </c>
      <c r="B32" s="94" t="n"/>
      <c r="C32" s="73" t="n"/>
      <c r="D32" s="73" t="n"/>
      <c r="E32" s="73" t="n"/>
      <c r="F32" s="72" t="n"/>
      <c r="G32" s="95">
        <f>IF(OR($B32="",$D32="",$E32=""),"",IF(OR($C32="Target state",$C32="Exception"),"Out of scope",IF($D32="Low","No tranche",IF($E32="Low","Tranche 1",IF($E32="Medium","Tranche 2",IF($D32="High","Tranche 3","No tranche"))))))</f>
        <v/>
      </c>
      <c r="K32" s="101" t="n"/>
      <c r="L32" s="101" t="n"/>
      <c r="M32" s="101" t="n"/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20" customHeight="1" s="52">
      <c r="A33" s="93" t="inlineStr">
        <is>
          <t>④</t>
        </is>
      </c>
      <c r="B33" s="94" t="n"/>
      <c r="C33" s="73" t="n"/>
      <c r="D33" s="73" t="n"/>
      <c r="E33" s="73" t="n"/>
      <c r="F33" s="72" t="n"/>
      <c r="G33" s="95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102" t="n"/>
      <c r="L33" s="102" t="n"/>
      <c r="M33" s="102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20" customHeight="1" s="52">
      <c r="A34" s="93" t="inlineStr">
        <is>
          <t>⑤</t>
        </is>
      </c>
      <c r="B34" s="94" t="n"/>
      <c r="C34" s="73" t="n"/>
      <c r="D34" s="73" t="n"/>
      <c r="E34" s="73" t="n"/>
      <c r="F34" s="72" t="n"/>
      <c r="G34" s="95">
        <f>IF(OR($B34="",$D34="",$E34=""),"",IF(OR($C34="Target state",$C34="Exception"),"Out of scope",IF($D34="Low","No tranche",IF($E34="Low","Tranche 1",IF($E34="Medium","Tranche 2",IF($D34="High","Tranche 3","No tranche"))))))</f>
        <v/>
      </c>
      <c r="J34" s="97" t="inlineStr">
        <is>
          <t>Medium</t>
        </is>
      </c>
      <c r="K34" s="98">
        <f>"Tranche 1"&amp;CHAR(10)&amp;_xlfn.TEXTJOIN(CHAR(10),TRUE,R$30:R$39)</f>
        <v/>
      </c>
      <c r="L34" s="99">
        <f>"Tranche 2"&amp;CHAR(10)&amp;_xlfn.TEXTJOIN(CHAR(10),TRUE,S$30:S$39)</f>
        <v/>
      </c>
      <c r="M34" s="103">
        <f>_xlfn.TEXTJOIN(CHAR(10),TRUE,T$30:T$39)</f>
        <v/>
      </c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20" customHeight="1" s="52">
      <c r="A35" s="93" t="inlineStr">
        <is>
          <t>⑥</t>
        </is>
      </c>
      <c r="B35" s="94" t="n"/>
      <c r="C35" s="73" t="n"/>
      <c r="D35" s="73" t="n"/>
      <c r="E35" s="73" t="n"/>
      <c r="F35" s="72" t="n"/>
      <c r="G35" s="95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101" t="n"/>
      <c r="L35" s="101" t="n"/>
      <c r="M35" s="101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20" customHeight="1" s="52">
      <c r="A36" s="93" t="inlineStr">
        <is>
          <t>⑦</t>
        </is>
      </c>
      <c r="B36" s="94" t="n"/>
      <c r="C36" s="73" t="n"/>
      <c r="D36" s="73" t="n"/>
      <c r="E36" s="73" t="n"/>
      <c r="F36" s="72" t="n"/>
      <c r="G36" s="95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102" t="n"/>
      <c r="L36" s="102" t="n"/>
      <c r="M36" s="102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 ht="20" customHeight="1" s="52">
      <c r="A37" s="93" t="inlineStr">
        <is>
          <t>⑧</t>
        </is>
      </c>
      <c r="B37" s="94" t="n"/>
      <c r="C37" s="73" t="n"/>
      <c r="D37" s="73" t="n"/>
      <c r="E37" s="73" t="n"/>
      <c r="F37" s="72" t="n"/>
      <c r="G37" s="95">
        <f>IF(OR($B37="",$D37="",$E37=""),"",IF(OR($C37="Target state",$C37="Exception"),"Out of scope",IF($D37="Low","No tranche",IF($E37="Low","Tranche 1",IF($E37="Medium","Tranche 2",IF($D37="High","Tranche 3","No tranche"))))))</f>
        <v/>
      </c>
      <c r="J37" s="97" t="inlineStr">
        <is>
          <t>Low</t>
        </is>
      </c>
      <c r="K37" s="103">
        <f>_xlfn.TEXTJOIN(CHAR(10),TRUE,U$30:U$39)</f>
        <v/>
      </c>
      <c r="L37" s="103">
        <f>_xlfn.TEXTJOIN(CHAR(10),TRUE,V$30:V$39)</f>
        <v/>
      </c>
      <c r="M37" s="103">
        <f>_xlfn.TEXTJOIN(CHAR(10),TRUE,W$30:W$39)</f>
        <v/>
      </c>
      <c r="O37">
        <f>IF(AND($B37&lt;&gt;"",$C37&lt;&gt;"Target state",$C37&lt;&gt;"Exception",$D37="High",$E37="Low"),$A37&amp;"  "&amp;$B37,"")</f>
        <v/>
      </c>
      <c r="P37">
        <f>IF(AND($B37&lt;&gt;"",$C37&lt;&gt;"Target state",$C37&lt;&gt;"Exception",$D37="High",$E37="Medium"),$A37&amp;"  "&amp;$B37,"")</f>
        <v/>
      </c>
      <c r="Q37">
        <f>IF(AND($B37&lt;&gt;"",$C37&lt;&gt;"Target state",$C37&lt;&gt;"Exception",$D37="High",$E37="High"),$A37&amp;"  "&amp;$B37,"")</f>
        <v/>
      </c>
      <c r="R37">
        <f>IF(AND($B37&lt;&gt;"",$C37&lt;&gt;"Target state",$C37&lt;&gt;"Exception",$D37="Medium",$E37="Low"),$A37&amp;"  "&amp;$B37,"")</f>
        <v/>
      </c>
      <c r="S37">
        <f>IF(AND($B37&lt;&gt;"",$C37&lt;&gt;"Target state",$C37&lt;&gt;"Exception",$D37="Medium",$E37="Medium"),$A37&amp;"  "&amp;$B37,"")</f>
        <v/>
      </c>
      <c r="T37">
        <f>IF(AND($B37&lt;&gt;"",$C37&lt;&gt;"Target state",$C37&lt;&gt;"Exception",$D37="Medium",$E37="High"),$A37&amp;"  "&amp;$B37,"")</f>
        <v/>
      </c>
      <c r="U37">
        <f>IF(AND($B37&lt;&gt;"",$C37&lt;&gt;"Target state",$C37&lt;&gt;"Exception",$D37="Low",$E37="Low"),$A37&amp;"  "&amp;$B37,"")</f>
        <v/>
      </c>
      <c r="V37">
        <f>IF(AND($B37&lt;&gt;"",$C37&lt;&gt;"Target state",$C37&lt;&gt;"Exception",$D37="Low",$E37="Medium"),$A37&amp;"  "&amp;$B37,"")</f>
        <v/>
      </c>
      <c r="W37">
        <f>IF(AND($B37&lt;&gt;"",$C37&lt;&gt;"Target state",$C37&lt;&gt;"Exception",$D37="Low",$E37="High"),$A37&amp;"  "&amp;$B37,"")</f>
        <v/>
      </c>
    </row>
    <row r="38" ht="20" customHeight="1" s="52">
      <c r="A38" s="93" t="inlineStr">
        <is>
          <t>⑨</t>
        </is>
      </c>
      <c r="B38" s="94" t="n"/>
      <c r="C38" s="73" t="n"/>
      <c r="D38" s="73" t="n"/>
      <c r="E38" s="73" t="n"/>
      <c r="F38" s="72" t="n"/>
      <c r="G38" s="95">
        <f>IF(OR($B38="",$D38="",$E38=""),"",IF(OR($C38="Target state",$C38="Exception"),"Out of scope",IF($D38="Low","No tranche",IF($E38="Low","Tranche 1",IF($E38="Medium","Tranche 2",IF($D38="High","Tranche 3","No tranche"))))))</f>
        <v/>
      </c>
      <c r="K38" s="101" t="n"/>
      <c r="L38" s="101" t="n"/>
      <c r="M38" s="101" t="n"/>
      <c r="O38">
        <f>IF(AND($B38&lt;&gt;"",$C38&lt;&gt;"Target state",$C38&lt;&gt;"Exception",$D38="High",$E38="Low"),$A38&amp;"  "&amp;$B38,"")</f>
        <v/>
      </c>
      <c r="P38">
        <f>IF(AND($B38&lt;&gt;"",$C38&lt;&gt;"Target state",$C38&lt;&gt;"Exception",$D38="High",$E38="Medium"),$A38&amp;"  "&amp;$B38,"")</f>
        <v/>
      </c>
      <c r="Q38">
        <f>IF(AND($B38&lt;&gt;"",$C38&lt;&gt;"Target state",$C38&lt;&gt;"Exception",$D38="High",$E38="High"),$A38&amp;"  "&amp;$B38,"")</f>
        <v/>
      </c>
      <c r="R38">
        <f>IF(AND($B38&lt;&gt;"",$C38&lt;&gt;"Target state",$C38&lt;&gt;"Exception",$D38="Medium",$E38="Low"),$A38&amp;"  "&amp;$B38,"")</f>
        <v/>
      </c>
      <c r="S38">
        <f>IF(AND($B38&lt;&gt;"",$C38&lt;&gt;"Target state",$C38&lt;&gt;"Exception",$D38="Medium",$E38="Medium"),$A38&amp;"  "&amp;$B38,"")</f>
        <v/>
      </c>
      <c r="T38">
        <f>IF(AND($B38&lt;&gt;"",$C38&lt;&gt;"Target state",$C38&lt;&gt;"Exception",$D38="Medium",$E38="High"),$A38&amp;"  "&amp;$B38,"")</f>
        <v/>
      </c>
      <c r="U38">
        <f>IF(AND($B38&lt;&gt;"",$C38&lt;&gt;"Target state",$C38&lt;&gt;"Exception",$D38="Low",$E38="Low"),$A38&amp;"  "&amp;$B38,"")</f>
        <v/>
      </c>
      <c r="V38">
        <f>IF(AND($B38&lt;&gt;"",$C38&lt;&gt;"Target state",$C38&lt;&gt;"Exception",$D38="Low",$E38="Medium"),$A38&amp;"  "&amp;$B38,"")</f>
        <v/>
      </c>
      <c r="W38">
        <f>IF(AND($B38&lt;&gt;"",$C38&lt;&gt;"Target state",$C38&lt;&gt;"Exception",$D38="Low",$E38="High"),$A38&amp;"  "&amp;$B38,"")</f>
        <v/>
      </c>
    </row>
    <row r="39" ht="20" customHeight="1" s="52">
      <c r="A39" s="93" t="inlineStr">
        <is>
          <t>⑩</t>
        </is>
      </c>
      <c r="B39" s="94" t="n"/>
      <c r="C39" s="73" t="n"/>
      <c r="D39" s="73" t="n"/>
      <c r="E39" s="73" t="n"/>
      <c r="F39" s="72" t="n"/>
      <c r="G39" s="95">
        <f>IF(OR($B39="",$D39="",$E39=""),"",IF(OR($C39="Target state",$C39="Exception"),"Out of scope",IF($D39="Low","No tranche",IF($E39="Low","Tranche 1",IF($E39="Medium","Tranche 2",IF($D39="High","Tranche 3","No tranche"))))))</f>
        <v/>
      </c>
      <c r="K39" s="102" t="n"/>
      <c r="L39" s="102" t="n"/>
      <c r="M39" s="102" t="n"/>
      <c r="O39">
        <f>IF(AND($B39&lt;&gt;"",$C39&lt;&gt;"Target state",$C39&lt;&gt;"Exception",$D39="High",$E39="Low"),$A39&amp;"  "&amp;$B39,"")</f>
        <v/>
      </c>
      <c r="P39">
        <f>IF(AND($B39&lt;&gt;"",$C39&lt;&gt;"Target state",$C39&lt;&gt;"Exception",$D39="High",$E39="Medium"),$A39&amp;"  "&amp;$B39,"")</f>
        <v/>
      </c>
      <c r="Q39">
        <f>IF(AND($B39&lt;&gt;"",$C39&lt;&gt;"Target state",$C39&lt;&gt;"Exception",$D39="High",$E39="High"),$A39&amp;"  "&amp;$B39,"")</f>
        <v/>
      </c>
      <c r="R39">
        <f>IF(AND($B39&lt;&gt;"",$C39&lt;&gt;"Target state",$C39&lt;&gt;"Exception",$D39="Medium",$E39="Low"),$A39&amp;"  "&amp;$B39,"")</f>
        <v/>
      </c>
      <c r="S39">
        <f>IF(AND($B39&lt;&gt;"",$C39&lt;&gt;"Target state",$C39&lt;&gt;"Exception",$D39="Medium",$E39="Medium"),$A39&amp;"  "&amp;$B39,"")</f>
        <v/>
      </c>
      <c r="T39">
        <f>IF(AND($B39&lt;&gt;"",$C39&lt;&gt;"Target state",$C39&lt;&gt;"Exception",$D39="Medium",$E39="High"),$A39&amp;"  "&amp;$B39,"")</f>
        <v/>
      </c>
      <c r="U39">
        <f>IF(AND($B39&lt;&gt;"",$C39&lt;&gt;"Target state",$C39&lt;&gt;"Exception",$D39="Low",$E39="Low"),$A39&amp;"  "&amp;$B39,"")</f>
        <v/>
      </c>
      <c r="V39">
        <f>IF(AND($B39&lt;&gt;"",$C39&lt;&gt;"Target state",$C39&lt;&gt;"Exception",$D39="Low",$E39="Medium"),$A39&amp;"  "&amp;$B39,"")</f>
        <v/>
      </c>
      <c r="W39">
        <f>IF(AND($B39&lt;&gt;"",$C39&lt;&gt;"Target state",$C39&lt;&gt;"Exception",$D39="Low",$E39="High"),$A39&amp;"  "&amp;$B39,"")</f>
        <v/>
      </c>
    </row>
    <row r="40">
      <c r="K40" s="97" t="inlineStr">
        <is>
          <t>Complexity</t>
        </is>
      </c>
    </row>
    <row r="44" ht="22" customHeight="1" s="52">
      <c r="A44" s="88" t="inlineStr">
        <is>
          <t>Observability</t>
        </is>
      </c>
      <c r="G44" s="89">
        <f>HYPERLINK("#'Global Infrastructure'!A4","▲ tracker")</f>
        <v/>
      </c>
      <c r="K44" s="90" t="inlineStr">
        <is>
          <t>Assessment Outcome</t>
        </is>
      </c>
    </row>
    <row r="45" ht="18" customHeight="1" s="52">
      <c r="A45" s="91" t="inlineStr">
        <is>
          <t>#</t>
        </is>
      </c>
      <c r="B45" s="91" t="inlineStr">
        <is>
          <t>Platform</t>
        </is>
      </c>
      <c r="C45" s="91" t="inlineStr">
        <is>
          <t>State</t>
        </is>
      </c>
      <c r="D45" s="91" t="inlineStr">
        <is>
          <t>Imperative to exit</t>
        </is>
      </c>
      <c r="E45" s="91" t="inlineStr">
        <is>
          <t>Exit complexity</t>
        </is>
      </c>
      <c r="F45" s="91" t="inlineStr">
        <is>
          <t>Supporting facts</t>
        </is>
      </c>
      <c r="G45" s="91" t="inlineStr">
        <is>
          <t>Tranche (auto)</t>
        </is>
      </c>
      <c r="K45" s="92" t="inlineStr">
        <is>
          <t>Low</t>
        </is>
      </c>
      <c r="L45" s="92" t="inlineStr">
        <is>
          <t>Medium</t>
        </is>
      </c>
      <c r="M45" s="92" t="inlineStr">
        <is>
          <t>High</t>
        </is>
      </c>
    </row>
    <row r="46" ht="20" customHeight="1" s="52">
      <c r="A46" s="93" t="inlineStr">
        <is>
          <t>①</t>
        </is>
      </c>
      <c r="B46" s="94" t="n"/>
      <c r="C46" s="73" t="n"/>
      <c r="D46" s="73" t="n"/>
      <c r="E46" s="73" t="n"/>
      <c r="F46" s="72" t="n"/>
      <c r="G46" s="95">
        <f>IF(OR($B46="",$D46="",$E46=""),"",IF(OR($C46="Target state",$C46="Exception"),"Out of scope",IF($D46="Low","No tranche",IF($E46="Low","Tranche 1",IF($E46="Medium","Tranche 2",IF($D46="High","Tranche 3","No tranche"))))))</f>
        <v/>
      </c>
      <c r="I46" s="96" t="inlineStr">
        <is>
          <t>Benefits</t>
        </is>
      </c>
      <c r="J46" s="97" t="inlineStr">
        <is>
          <t>High</t>
        </is>
      </c>
      <c r="K46" s="98">
        <f>"Tranche 1"&amp;CHAR(10)&amp;_xlfn.TEXTJOIN(CHAR(10),TRUE,O$46:O$55)</f>
        <v/>
      </c>
      <c r="L46" s="99">
        <f>"Tranche 2"&amp;CHAR(10)&amp;_xlfn.TEXTJOIN(CHAR(10),TRUE,P$46:P$55)</f>
        <v/>
      </c>
      <c r="M46" s="100">
        <f>"Tranche 3"&amp;CHAR(10)&amp;_xlfn.TEXTJOIN(CHAR(10),TRUE,Q$46:Q$55)</f>
        <v/>
      </c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20" customHeight="1" s="52">
      <c r="A47" s="93" t="inlineStr">
        <is>
          <t>②</t>
        </is>
      </c>
      <c r="B47" s="94" t="n"/>
      <c r="C47" s="73" t="n"/>
      <c r="D47" s="73" t="n"/>
      <c r="E47" s="73" t="n"/>
      <c r="F47" s="72" t="n"/>
      <c r="G47" s="95">
        <f>IF(OR($B47="",$D47="",$E47=""),"",IF(OR($C47="Target state",$C47="Exception"),"Out of scope",IF($D47="Low","No tranche",IF($E47="Low","Tranche 1",IF($E47="Medium","Tranche 2",IF($D47="High","Tranche 3","No tranche"))))))</f>
        <v/>
      </c>
      <c r="K47" s="101" t="n"/>
      <c r="L47" s="101" t="n"/>
      <c r="M47" s="101" t="n"/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20" customHeight="1" s="52">
      <c r="A48" s="93" t="inlineStr">
        <is>
          <t>③</t>
        </is>
      </c>
      <c r="B48" s="94" t="n"/>
      <c r="C48" s="73" t="n"/>
      <c r="D48" s="73" t="n"/>
      <c r="E48" s="73" t="n"/>
      <c r="F48" s="72" t="n"/>
      <c r="G48" s="95">
        <f>IF(OR($B48="",$D48="",$E48=""),"",IF(OR($C48="Target state",$C48="Exception"),"Out of scope",IF($D48="Low","No tranche",IF($E48="Low","Tranche 1",IF($E48="Medium","Tranche 2",IF($D48="High","Tranche 3","No tranche"))))))</f>
        <v/>
      </c>
      <c r="K48" s="101" t="n"/>
      <c r="L48" s="101" t="n"/>
      <c r="M48" s="101" t="n"/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20" customHeight="1" s="52">
      <c r="A49" s="93" t="inlineStr">
        <is>
          <t>④</t>
        </is>
      </c>
      <c r="B49" s="94" t="n"/>
      <c r="C49" s="73" t="n"/>
      <c r="D49" s="73" t="n"/>
      <c r="E49" s="73" t="n"/>
      <c r="F49" s="72" t="n"/>
      <c r="G49" s="95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102" t="n"/>
      <c r="L49" s="102" t="n"/>
      <c r="M49" s="102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20" customHeight="1" s="52">
      <c r="A50" s="93" t="inlineStr">
        <is>
          <t>⑤</t>
        </is>
      </c>
      <c r="B50" s="94" t="n"/>
      <c r="C50" s="73" t="n"/>
      <c r="D50" s="73" t="n"/>
      <c r="E50" s="73" t="n"/>
      <c r="F50" s="72" t="n"/>
      <c r="G50" s="95">
        <f>IF(OR($B50="",$D50="",$E50=""),"",IF(OR($C50="Target state",$C50="Exception"),"Out of scope",IF($D50="Low","No tranche",IF($E50="Low","Tranche 1",IF($E50="Medium","Tranche 2",IF($D50="High","Tranche 3","No tranche"))))))</f>
        <v/>
      </c>
      <c r="J50" s="97" t="inlineStr">
        <is>
          <t>Medium</t>
        </is>
      </c>
      <c r="K50" s="98">
        <f>"Tranche 1"&amp;CHAR(10)&amp;_xlfn.TEXTJOIN(CHAR(10),TRUE,R$46:R$55)</f>
        <v/>
      </c>
      <c r="L50" s="99">
        <f>"Tranche 2"&amp;CHAR(10)&amp;_xlfn.TEXTJOIN(CHAR(10),TRUE,S$46:S$55)</f>
        <v/>
      </c>
      <c r="M50" s="103">
        <f>_xlfn.TEXTJOIN(CHAR(10),TRUE,T$46:T$55)</f>
        <v/>
      </c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1" ht="20" customHeight="1" s="52">
      <c r="A51" s="93" t="inlineStr">
        <is>
          <t>⑥</t>
        </is>
      </c>
      <c r="B51" s="94" t="n"/>
      <c r="C51" s="73" t="n"/>
      <c r="D51" s="73" t="n"/>
      <c r="E51" s="73" t="n"/>
      <c r="F51" s="72" t="n"/>
      <c r="G51" s="95">
        <f>IF(OR($B51="",$D51="",$E51=""),"",IF(OR($C51="Target state",$C51="Exception"),"Out of scope",IF($D51="Low","No tranche",IF($E51="Low","Tranche 1",IF($E51="Medium","Tranche 2",IF($D51="High","Tranche 3","No tranche"))))))</f>
        <v/>
      </c>
      <c r="K51" s="101" t="n"/>
      <c r="L51" s="101" t="n"/>
      <c r="M51" s="101" t="n"/>
      <c r="O51">
        <f>IF(AND($B51&lt;&gt;"",$C51&lt;&gt;"Target state",$C51&lt;&gt;"Exception",$D51="High",$E51="Low"),$A51&amp;"  "&amp;$B51,"")</f>
        <v/>
      </c>
      <c r="P51">
        <f>IF(AND($B51&lt;&gt;"",$C51&lt;&gt;"Target state",$C51&lt;&gt;"Exception",$D51="High",$E51="Medium"),$A51&amp;"  "&amp;$B51,"")</f>
        <v/>
      </c>
      <c r="Q51">
        <f>IF(AND($B51&lt;&gt;"",$C51&lt;&gt;"Target state",$C51&lt;&gt;"Exception",$D51="High",$E51="High"),$A51&amp;"  "&amp;$B51,"")</f>
        <v/>
      </c>
      <c r="R51">
        <f>IF(AND($B51&lt;&gt;"",$C51&lt;&gt;"Target state",$C51&lt;&gt;"Exception",$D51="Medium",$E51="Low"),$A51&amp;"  "&amp;$B51,"")</f>
        <v/>
      </c>
      <c r="S51">
        <f>IF(AND($B51&lt;&gt;"",$C51&lt;&gt;"Target state",$C51&lt;&gt;"Exception",$D51="Medium",$E51="Medium"),$A51&amp;"  "&amp;$B51,"")</f>
        <v/>
      </c>
      <c r="T51">
        <f>IF(AND($B51&lt;&gt;"",$C51&lt;&gt;"Target state",$C51&lt;&gt;"Exception",$D51="Medium",$E51="High"),$A51&amp;"  "&amp;$B51,"")</f>
        <v/>
      </c>
      <c r="U51">
        <f>IF(AND($B51&lt;&gt;"",$C51&lt;&gt;"Target state",$C51&lt;&gt;"Exception",$D51="Low",$E51="Low"),$A51&amp;"  "&amp;$B51,"")</f>
        <v/>
      </c>
      <c r="V51">
        <f>IF(AND($B51&lt;&gt;"",$C51&lt;&gt;"Target state",$C51&lt;&gt;"Exception",$D51="Low",$E51="Medium"),$A51&amp;"  "&amp;$B51,"")</f>
        <v/>
      </c>
      <c r="W51">
        <f>IF(AND($B51&lt;&gt;"",$C51&lt;&gt;"Target state",$C51&lt;&gt;"Exception",$D51="Low",$E51="High"),$A51&amp;"  "&amp;$B51,"")</f>
        <v/>
      </c>
    </row>
    <row r="52" ht="20" customHeight="1" s="52">
      <c r="A52" s="93" t="inlineStr">
        <is>
          <t>⑦</t>
        </is>
      </c>
      <c r="B52" s="94" t="n"/>
      <c r="C52" s="73" t="n"/>
      <c r="D52" s="73" t="n"/>
      <c r="E52" s="73" t="n"/>
      <c r="F52" s="72" t="n"/>
      <c r="G52" s="95">
        <f>IF(OR($B52="",$D52="",$E52=""),"",IF(OR($C52="Target state",$C52="Exception"),"Out of scope",IF($D52="Low","No tranche",IF($E52="Low","Tranche 1",IF($E52="Medium","Tranche 2",IF($D52="High","Tranche 3","No tranche"))))))</f>
        <v/>
      </c>
      <c r="K52" s="102" t="n"/>
      <c r="L52" s="102" t="n"/>
      <c r="M52" s="102" t="n"/>
      <c r="O52">
        <f>IF(AND($B52&lt;&gt;"",$C52&lt;&gt;"Target state",$C52&lt;&gt;"Exception",$D52="High",$E52="Low"),$A52&amp;"  "&amp;$B52,"")</f>
        <v/>
      </c>
      <c r="P52">
        <f>IF(AND($B52&lt;&gt;"",$C52&lt;&gt;"Target state",$C52&lt;&gt;"Exception",$D52="High",$E52="Medium"),$A52&amp;"  "&amp;$B52,"")</f>
        <v/>
      </c>
      <c r="Q52">
        <f>IF(AND($B52&lt;&gt;"",$C52&lt;&gt;"Target state",$C52&lt;&gt;"Exception",$D52="High",$E52="High"),$A52&amp;"  "&amp;$B52,"")</f>
        <v/>
      </c>
      <c r="R52">
        <f>IF(AND($B52&lt;&gt;"",$C52&lt;&gt;"Target state",$C52&lt;&gt;"Exception",$D52="Medium",$E52="Low"),$A52&amp;"  "&amp;$B52,"")</f>
        <v/>
      </c>
      <c r="S52">
        <f>IF(AND($B52&lt;&gt;"",$C52&lt;&gt;"Target state",$C52&lt;&gt;"Exception",$D52="Medium",$E52="Medium"),$A52&amp;"  "&amp;$B52,"")</f>
        <v/>
      </c>
      <c r="T52">
        <f>IF(AND($B52&lt;&gt;"",$C52&lt;&gt;"Target state",$C52&lt;&gt;"Exception",$D52="Medium",$E52="High"),$A52&amp;"  "&amp;$B52,"")</f>
        <v/>
      </c>
      <c r="U52">
        <f>IF(AND($B52&lt;&gt;"",$C52&lt;&gt;"Target state",$C52&lt;&gt;"Exception",$D52="Low",$E52="Low"),$A52&amp;"  "&amp;$B52,"")</f>
        <v/>
      </c>
      <c r="V52">
        <f>IF(AND($B52&lt;&gt;"",$C52&lt;&gt;"Target state",$C52&lt;&gt;"Exception",$D52="Low",$E52="Medium"),$A52&amp;"  "&amp;$B52,"")</f>
        <v/>
      </c>
      <c r="W52">
        <f>IF(AND($B52&lt;&gt;"",$C52&lt;&gt;"Target state",$C52&lt;&gt;"Exception",$D52="Low",$E52="High"),$A52&amp;"  "&amp;$B52,"")</f>
        <v/>
      </c>
    </row>
    <row r="53" ht="20" customHeight="1" s="52">
      <c r="A53" s="93" t="inlineStr">
        <is>
          <t>⑧</t>
        </is>
      </c>
      <c r="B53" s="94" t="n"/>
      <c r="C53" s="73" t="n"/>
      <c r="D53" s="73" t="n"/>
      <c r="E53" s="73" t="n"/>
      <c r="F53" s="72" t="n"/>
      <c r="G53" s="95">
        <f>IF(OR($B53="",$D53="",$E53=""),"",IF(OR($C53="Target state",$C53="Exception"),"Out of scope",IF($D53="Low","No tranche",IF($E53="Low","Tranche 1",IF($E53="Medium","Tranche 2",IF($D53="High","Tranche 3","No tranche"))))))</f>
        <v/>
      </c>
      <c r="J53" s="97" t="inlineStr">
        <is>
          <t>Low</t>
        </is>
      </c>
      <c r="K53" s="103">
        <f>_xlfn.TEXTJOIN(CHAR(10),TRUE,U$46:U$55)</f>
        <v/>
      </c>
      <c r="L53" s="103">
        <f>_xlfn.TEXTJOIN(CHAR(10),TRUE,V$46:V$55)</f>
        <v/>
      </c>
      <c r="M53" s="103">
        <f>_xlfn.TEXTJOIN(CHAR(10),TRUE,W$46:W$55)</f>
        <v/>
      </c>
      <c r="O53">
        <f>IF(AND($B53&lt;&gt;"",$C53&lt;&gt;"Target state",$C53&lt;&gt;"Exception",$D53="High",$E53="Low"),$A53&amp;"  "&amp;$B53,"")</f>
        <v/>
      </c>
      <c r="P53">
        <f>IF(AND($B53&lt;&gt;"",$C53&lt;&gt;"Target state",$C53&lt;&gt;"Exception",$D53="High",$E53="Medium"),$A53&amp;"  "&amp;$B53,"")</f>
        <v/>
      </c>
      <c r="Q53">
        <f>IF(AND($B53&lt;&gt;"",$C53&lt;&gt;"Target state",$C53&lt;&gt;"Exception",$D53="High",$E53="High"),$A53&amp;"  "&amp;$B53,"")</f>
        <v/>
      </c>
      <c r="R53">
        <f>IF(AND($B53&lt;&gt;"",$C53&lt;&gt;"Target state",$C53&lt;&gt;"Exception",$D53="Medium",$E53="Low"),$A53&amp;"  "&amp;$B53,"")</f>
        <v/>
      </c>
      <c r="S53">
        <f>IF(AND($B53&lt;&gt;"",$C53&lt;&gt;"Target state",$C53&lt;&gt;"Exception",$D53="Medium",$E53="Medium"),$A53&amp;"  "&amp;$B53,"")</f>
        <v/>
      </c>
      <c r="T53">
        <f>IF(AND($B53&lt;&gt;"",$C53&lt;&gt;"Target state",$C53&lt;&gt;"Exception",$D53="Medium",$E53="High"),$A53&amp;"  "&amp;$B53,"")</f>
        <v/>
      </c>
      <c r="U53">
        <f>IF(AND($B53&lt;&gt;"",$C53&lt;&gt;"Target state",$C53&lt;&gt;"Exception",$D53="Low",$E53="Low"),$A53&amp;"  "&amp;$B53,"")</f>
        <v/>
      </c>
      <c r="V53">
        <f>IF(AND($B53&lt;&gt;"",$C53&lt;&gt;"Target state",$C53&lt;&gt;"Exception",$D53="Low",$E53="Medium"),$A53&amp;"  "&amp;$B53,"")</f>
        <v/>
      </c>
      <c r="W53">
        <f>IF(AND($B53&lt;&gt;"",$C53&lt;&gt;"Target state",$C53&lt;&gt;"Exception",$D53="Low",$E53="High"),$A53&amp;"  "&amp;$B53,"")</f>
        <v/>
      </c>
    </row>
    <row r="54" ht="20" customHeight="1" s="52">
      <c r="A54" s="93" t="inlineStr">
        <is>
          <t>⑨</t>
        </is>
      </c>
      <c r="B54" s="94" t="n"/>
      <c r="C54" s="73" t="n"/>
      <c r="D54" s="73" t="n"/>
      <c r="E54" s="73" t="n"/>
      <c r="F54" s="72" t="n"/>
      <c r="G54" s="95">
        <f>IF(OR($B54="",$D54="",$E54=""),"",IF(OR($C54="Target state",$C54="Exception"),"Out of scope",IF($D54="Low","No tranche",IF($E54="Low","Tranche 1",IF($E54="Medium","Tranche 2",IF($D54="High","Tranche 3","No tranche"))))))</f>
        <v/>
      </c>
      <c r="K54" s="101" t="n"/>
      <c r="L54" s="101" t="n"/>
      <c r="M54" s="101" t="n"/>
      <c r="O54">
        <f>IF(AND($B54&lt;&gt;"",$C54&lt;&gt;"Target state",$C54&lt;&gt;"Exception",$D54="High",$E54="Low"),$A54&amp;"  "&amp;$B54,"")</f>
        <v/>
      </c>
      <c r="P54">
        <f>IF(AND($B54&lt;&gt;"",$C54&lt;&gt;"Target state",$C54&lt;&gt;"Exception",$D54="High",$E54="Medium"),$A54&amp;"  "&amp;$B54,"")</f>
        <v/>
      </c>
      <c r="Q54">
        <f>IF(AND($B54&lt;&gt;"",$C54&lt;&gt;"Target state",$C54&lt;&gt;"Exception",$D54="High",$E54="High"),$A54&amp;"  "&amp;$B54,"")</f>
        <v/>
      </c>
      <c r="R54">
        <f>IF(AND($B54&lt;&gt;"",$C54&lt;&gt;"Target state",$C54&lt;&gt;"Exception",$D54="Medium",$E54="Low"),$A54&amp;"  "&amp;$B54,"")</f>
        <v/>
      </c>
      <c r="S54">
        <f>IF(AND($B54&lt;&gt;"",$C54&lt;&gt;"Target state",$C54&lt;&gt;"Exception",$D54="Medium",$E54="Medium"),$A54&amp;"  "&amp;$B54,"")</f>
        <v/>
      </c>
      <c r="T54">
        <f>IF(AND($B54&lt;&gt;"",$C54&lt;&gt;"Target state",$C54&lt;&gt;"Exception",$D54="Medium",$E54="High"),$A54&amp;"  "&amp;$B54,"")</f>
        <v/>
      </c>
      <c r="U54">
        <f>IF(AND($B54&lt;&gt;"",$C54&lt;&gt;"Target state",$C54&lt;&gt;"Exception",$D54="Low",$E54="Low"),$A54&amp;"  "&amp;$B54,"")</f>
        <v/>
      </c>
      <c r="V54">
        <f>IF(AND($B54&lt;&gt;"",$C54&lt;&gt;"Target state",$C54&lt;&gt;"Exception",$D54="Low",$E54="Medium"),$A54&amp;"  "&amp;$B54,"")</f>
        <v/>
      </c>
      <c r="W54">
        <f>IF(AND($B54&lt;&gt;"",$C54&lt;&gt;"Target state",$C54&lt;&gt;"Exception",$D54="Low",$E54="High"),$A54&amp;"  "&amp;$B54,"")</f>
        <v/>
      </c>
    </row>
    <row r="55" ht="20" customHeight="1" s="52">
      <c r="A55" s="93" t="inlineStr">
        <is>
          <t>⑩</t>
        </is>
      </c>
      <c r="B55" s="94" t="n"/>
      <c r="C55" s="73" t="n"/>
      <c r="D55" s="73" t="n"/>
      <c r="E55" s="73" t="n"/>
      <c r="F55" s="72" t="n"/>
      <c r="G55" s="95">
        <f>IF(OR($B55="",$D55="",$E55=""),"",IF(OR($C55="Target state",$C55="Exception"),"Out of scope",IF($D55="Low","No tranche",IF($E55="Low","Tranche 1",IF($E55="Medium","Tranche 2",IF($D55="High","Tranche 3","No tranche"))))))</f>
        <v/>
      </c>
      <c r="K55" s="102" t="n"/>
      <c r="L55" s="102" t="n"/>
      <c r="M55" s="102" t="n"/>
      <c r="O55">
        <f>IF(AND($B55&lt;&gt;"",$C55&lt;&gt;"Target state",$C55&lt;&gt;"Exception",$D55="High",$E55="Low"),$A55&amp;"  "&amp;$B55,"")</f>
        <v/>
      </c>
      <c r="P55">
        <f>IF(AND($B55&lt;&gt;"",$C55&lt;&gt;"Target state",$C55&lt;&gt;"Exception",$D55="High",$E55="Medium"),$A55&amp;"  "&amp;$B55,"")</f>
        <v/>
      </c>
      <c r="Q55">
        <f>IF(AND($B55&lt;&gt;"",$C55&lt;&gt;"Target state",$C55&lt;&gt;"Exception",$D55="High",$E55="High"),$A55&amp;"  "&amp;$B55,"")</f>
        <v/>
      </c>
      <c r="R55">
        <f>IF(AND($B55&lt;&gt;"",$C55&lt;&gt;"Target state",$C55&lt;&gt;"Exception",$D55="Medium",$E55="Low"),$A55&amp;"  "&amp;$B55,"")</f>
        <v/>
      </c>
      <c r="S55">
        <f>IF(AND($B55&lt;&gt;"",$C55&lt;&gt;"Target state",$C55&lt;&gt;"Exception",$D55="Medium",$E55="Medium"),$A55&amp;"  "&amp;$B55,"")</f>
        <v/>
      </c>
      <c r="T55">
        <f>IF(AND($B55&lt;&gt;"",$C55&lt;&gt;"Target state",$C55&lt;&gt;"Exception",$D55="Medium",$E55="High"),$A55&amp;"  "&amp;$B55,"")</f>
        <v/>
      </c>
      <c r="U55">
        <f>IF(AND($B55&lt;&gt;"",$C55&lt;&gt;"Target state",$C55&lt;&gt;"Exception",$D55="Low",$E55="Low"),$A55&amp;"  "&amp;$B55,"")</f>
        <v/>
      </c>
      <c r="V55">
        <f>IF(AND($B55&lt;&gt;"",$C55&lt;&gt;"Target state",$C55&lt;&gt;"Exception",$D55="Low",$E55="Medium"),$A55&amp;"  "&amp;$B55,"")</f>
        <v/>
      </c>
      <c r="W55">
        <f>IF(AND($B55&lt;&gt;"",$C55&lt;&gt;"Target state",$C55&lt;&gt;"Exception",$D55="Low",$E55="High"),$A55&amp;"  "&amp;$B55,"")</f>
        <v/>
      </c>
    </row>
    <row r="56">
      <c r="K56" s="97" t="inlineStr">
        <is>
          <t>Complexity</t>
        </is>
      </c>
    </row>
    <row r="60" ht="22" customHeight="1" s="52">
      <c r="A60" s="88" t="inlineStr">
        <is>
          <t>Security</t>
        </is>
      </c>
      <c r="G60" s="89">
        <f>HYPERLINK("#'Global Infrastructure'!A4","▲ tracker")</f>
        <v/>
      </c>
      <c r="K60" s="90" t="inlineStr">
        <is>
          <t>Assessment Outcome</t>
        </is>
      </c>
    </row>
    <row r="61" ht="18" customHeight="1" s="52">
      <c r="A61" s="91" t="inlineStr">
        <is>
          <t>#</t>
        </is>
      </c>
      <c r="B61" s="91" t="inlineStr">
        <is>
          <t>Platform</t>
        </is>
      </c>
      <c r="C61" s="91" t="inlineStr">
        <is>
          <t>State</t>
        </is>
      </c>
      <c r="D61" s="91" t="inlineStr">
        <is>
          <t>Imperative to exit</t>
        </is>
      </c>
      <c r="E61" s="91" t="inlineStr">
        <is>
          <t>Exit complexity</t>
        </is>
      </c>
      <c r="F61" s="91" t="inlineStr">
        <is>
          <t>Supporting facts</t>
        </is>
      </c>
      <c r="G61" s="91" t="inlineStr">
        <is>
          <t>Tranche (auto)</t>
        </is>
      </c>
      <c r="K61" s="92" t="inlineStr">
        <is>
          <t>Low</t>
        </is>
      </c>
      <c r="L61" s="92" t="inlineStr">
        <is>
          <t>Medium</t>
        </is>
      </c>
      <c r="M61" s="92" t="inlineStr">
        <is>
          <t>High</t>
        </is>
      </c>
    </row>
    <row r="62" ht="20" customHeight="1" s="52">
      <c r="A62" s="93" t="inlineStr">
        <is>
          <t>①</t>
        </is>
      </c>
      <c r="B62" s="94" t="n"/>
      <c r="C62" s="73" t="n"/>
      <c r="D62" s="73" t="n"/>
      <c r="E62" s="73" t="n"/>
      <c r="F62" s="72" t="n"/>
      <c r="G62" s="95">
        <f>IF(OR($B62="",$D62="",$E62=""),"",IF(OR($C62="Target state",$C62="Exception"),"Out of scope",IF($D62="Low","No tranche",IF($E62="Low","Tranche 1",IF($E62="Medium","Tranche 2",IF($D62="High","Tranche 3","No tranche"))))))</f>
        <v/>
      </c>
      <c r="I62" s="96" t="inlineStr">
        <is>
          <t>Benefits</t>
        </is>
      </c>
      <c r="J62" s="97" t="inlineStr">
        <is>
          <t>High</t>
        </is>
      </c>
      <c r="K62" s="98">
        <f>"Tranche 1"&amp;CHAR(10)&amp;_xlfn.TEXTJOIN(CHAR(10),TRUE,O$62:O$71)</f>
        <v/>
      </c>
      <c r="L62" s="99">
        <f>"Tranche 2"&amp;CHAR(10)&amp;_xlfn.TEXTJOIN(CHAR(10),TRUE,P$62:P$71)</f>
        <v/>
      </c>
      <c r="M62" s="100">
        <f>"Tranche 3"&amp;CHAR(10)&amp;_xlfn.TEXTJOIN(CHAR(10),TRUE,Q$62:Q$71)</f>
        <v/>
      </c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 s="52">
      <c r="A63" s="93" t="inlineStr">
        <is>
          <t>②</t>
        </is>
      </c>
      <c r="B63" s="94" t="n"/>
      <c r="C63" s="73" t="n"/>
      <c r="D63" s="73" t="n"/>
      <c r="E63" s="73" t="n"/>
      <c r="F63" s="72" t="n"/>
      <c r="G63" s="95">
        <f>IF(OR($B63="",$D63="",$E63=""),"",IF(OR($C63="Target state",$C63="Exception"),"Out of scope",IF($D63="Low","No tranche",IF($E63="Low","Tranche 1",IF($E63="Medium","Tranche 2",IF($D63="High","Tranche 3","No tranche"))))))</f>
        <v/>
      </c>
      <c r="K63" s="101" t="n"/>
      <c r="L63" s="101" t="n"/>
      <c r="M63" s="101" t="n"/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20" customHeight="1" s="52">
      <c r="A64" s="93" t="inlineStr">
        <is>
          <t>③</t>
        </is>
      </c>
      <c r="B64" s="94" t="n"/>
      <c r="C64" s="73" t="n"/>
      <c r="D64" s="73" t="n"/>
      <c r="E64" s="73" t="n"/>
      <c r="F64" s="72" t="n"/>
      <c r="G64" s="95">
        <f>IF(OR($B64="",$D64="",$E64=""),"",IF(OR($C64="Target state",$C64="Exception"),"Out of scope",IF($D64="Low","No tranche",IF($E64="Low","Tranche 1",IF($E64="Medium","Tranche 2",IF($D64="High","Tranche 3","No tranche"))))))</f>
        <v/>
      </c>
      <c r="K64" s="101" t="n"/>
      <c r="L64" s="101" t="n"/>
      <c r="M64" s="101" t="n"/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5" ht="20" customHeight="1" s="52">
      <c r="A65" s="93" t="inlineStr">
        <is>
          <t>④</t>
        </is>
      </c>
      <c r="B65" s="94" t="n"/>
      <c r="C65" s="73" t="n"/>
      <c r="D65" s="73" t="n"/>
      <c r="E65" s="73" t="n"/>
      <c r="F65" s="72" t="n"/>
      <c r="G65" s="95">
        <f>IF(OR($B65="",$D65="",$E65=""),"",IF(OR($C65="Target state",$C65="Exception"),"Out of scope",IF($D65="Low","No tranche",IF($E65="Low","Tranche 1",IF($E65="Medium","Tranche 2",IF($D65="High","Tranche 3","No tranche"))))))</f>
        <v/>
      </c>
      <c r="K65" s="102" t="n"/>
      <c r="L65" s="102" t="n"/>
      <c r="M65" s="102" t="n"/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6" ht="20" customHeight="1" s="52">
      <c r="A66" s="93" t="inlineStr">
        <is>
          <t>⑤</t>
        </is>
      </c>
      <c r="B66" s="94" t="n"/>
      <c r="C66" s="73" t="n"/>
      <c r="D66" s="73" t="n"/>
      <c r="E66" s="73" t="n"/>
      <c r="F66" s="72" t="n"/>
      <c r="G66" s="95">
        <f>IF(OR($B66="",$D66="",$E66=""),"",IF(OR($C66="Target state",$C66="Exception"),"Out of scope",IF($D66="Low","No tranche",IF($E66="Low","Tranche 1",IF($E66="Medium","Tranche 2",IF($D66="High","Tranche 3","No tranche"))))))</f>
        <v/>
      </c>
      <c r="J66" s="97" t="inlineStr">
        <is>
          <t>Medium</t>
        </is>
      </c>
      <c r="K66" s="98">
        <f>"Tranche 1"&amp;CHAR(10)&amp;_xlfn.TEXTJOIN(CHAR(10),TRUE,R$62:R$71)</f>
        <v/>
      </c>
      <c r="L66" s="99">
        <f>"Tranche 2"&amp;CHAR(10)&amp;_xlfn.TEXTJOIN(CHAR(10),TRUE,S$62:S$71)</f>
        <v/>
      </c>
      <c r="M66" s="103">
        <f>_xlfn.TEXTJOIN(CHAR(10),TRUE,T$62:T$71)</f>
        <v/>
      </c>
      <c r="O66">
        <f>IF(AND($B66&lt;&gt;"",$C66&lt;&gt;"Target state",$C66&lt;&gt;"Exception",$D66="High",$E66="Low"),$A66&amp;"  "&amp;$B66,"")</f>
        <v/>
      </c>
      <c r="P66">
        <f>IF(AND($B66&lt;&gt;"",$C66&lt;&gt;"Target state",$C66&lt;&gt;"Exception",$D66="High",$E66="Medium"),$A66&amp;"  "&amp;$B66,"")</f>
        <v/>
      </c>
      <c r="Q66">
        <f>IF(AND($B66&lt;&gt;"",$C66&lt;&gt;"Target state",$C66&lt;&gt;"Exception",$D66="High",$E66="High"),$A66&amp;"  "&amp;$B66,"")</f>
        <v/>
      </c>
      <c r="R66">
        <f>IF(AND($B66&lt;&gt;"",$C66&lt;&gt;"Target state",$C66&lt;&gt;"Exception",$D66="Medium",$E66="Low"),$A66&amp;"  "&amp;$B66,"")</f>
        <v/>
      </c>
      <c r="S66">
        <f>IF(AND($B66&lt;&gt;"",$C66&lt;&gt;"Target state",$C66&lt;&gt;"Exception",$D66="Medium",$E66="Medium"),$A66&amp;"  "&amp;$B66,"")</f>
        <v/>
      </c>
      <c r="T66">
        <f>IF(AND($B66&lt;&gt;"",$C66&lt;&gt;"Target state",$C66&lt;&gt;"Exception",$D66="Medium",$E66="High"),$A66&amp;"  "&amp;$B66,"")</f>
        <v/>
      </c>
      <c r="U66">
        <f>IF(AND($B66&lt;&gt;"",$C66&lt;&gt;"Target state",$C66&lt;&gt;"Exception",$D66="Low",$E66="Low"),$A66&amp;"  "&amp;$B66,"")</f>
        <v/>
      </c>
      <c r="V66">
        <f>IF(AND($B66&lt;&gt;"",$C66&lt;&gt;"Target state",$C66&lt;&gt;"Exception",$D66="Low",$E66="Medium"),$A66&amp;"  "&amp;$B66,"")</f>
        <v/>
      </c>
      <c r="W66">
        <f>IF(AND($B66&lt;&gt;"",$C66&lt;&gt;"Target state",$C66&lt;&gt;"Exception",$D66="Low",$E66="High"),$A66&amp;"  "&amp;$B66,"")</f>
        <v/>
      </c>
    </row>
    <row r="67" ht="20" customHeight="1" s="52">
      <c r="A67" s="93" t="inlineStr">
        <is>
          <t>⑥</t>
        </is>
      </c>
      <c r="B67" s="94" t="n"/>
      <c r="C67" s="73" t="n"/>
      <c r="D67" s="73" t="n"/>
      <c r="E67" s="73" t="n"/>
      <c r="F67" s="72" t="n"/>
      <c r="G67" s="95">
        <f>IF(OR($B67="",$D67="",$E67=""),"",IF(OR($C67="Target state",$C67="Exception"),"Out of scope",IF($D67="Low","No tranche",IF($E67="Low","Tranche 1",IF($E67="Medium","Tranche 2",IF($D67="High","Tranche 3","No tranche"))))))</f>
        <v/>
      </c>
      <c r="K67" s="101" t="n"/>
      <c r="L67" s="101" t="n"/>
      <c r="M67" s="101" t="n"/>
      <c r="O67">
        <f>IF(AND($B67&lt;&gt;"",$C67&lt;&gt;"Target state",$C67&lt;&gt;"Exception",$D67="High",$E67="Low"),$A67&amp;"  "&amp;$B67,"")</f>
        <v/>
      </c>
      <c r="P67">
        <f>IF(AND($B67&lt;&gt;"",$C67&lt;&gt;"Target state",$C67&lt;&gt;"Exception",$D67="High",$E67="Medium"),$A67&amp;"  "&amp;$B67,"")</f>
        <v/>
      </c>
      <c r="Q67">
        <f>IF(AND($B67&lt;&gt;"",$C67&lt;&gt;"Target state",$C67&lt;&gt;"Exception",$D67="High",$E67="High"),$A67&amp;"  "&amp;$B67,"")</f>
        <v/>
      </c>
      <c r="R67">
        <f>IF(AND($B67&lt;&gt;"",$C67&lt;&gt;"Target state",$C67&lt;&gt;"Exception",$D67="Medium",$E67="Low"),$A67&amp;"  "&amp;$B67,"")</f>
        <v/>
      </c>
      <c r="S67">
        <f>IF(AND($B67&lt;&gt;"",$C67&lt;&gt;"Target state",$C67&lt;&gt;"Exception",$D67="Medium",$E67="Medium"),$A67&amp;"  "&amp;$B67,"")</f>
        <v/>
      </c>
      <c r="T67">
        <f>IF(AND($B67&lt;&gt;"",$C67&lt;&gt;"Target state",$C67&lt;&gt;"Exception",$D67="Medium",$E67="High"),$A67&amp;"  "&amp;$B67,"")</f>
        <v/>
      </c>
      <c r="U67">
        <f>IF(AND($B67&lt;&gt;"",$C67&lt;&gt;"Target state",$C67&lt;&gt;"Exception",$D67="Low",$E67="Low"),$A67&amp;"  "&amp;$B67,"")</f>
        <v/>
      </c>
      <c r="V67">
        <f>IF(AND($B67&lt;&gt;"",$C67&lt;&gt;"Target state",$C67&lt;&gt;"Exception",$D67="Low",$E67="Medium"),$A67&amp;"  "&amp;$B67,"")</f>
        <v/>
      </c>
      <c r="W67">
        <f>IF(AND($B67&lt;&gt;"",$C67&lt;&gt;"Target state",$C67&lt;&gt;"Exception",$D67="Low",$E67="High"),$A67&amp;"  "&amp;$B67,"")</f>
        <v/>
      </c>
    </row>
    <row r="68" ht="20" customHeight="1" s="52">
      <c r="A68" s="93" t="inlineStr">
        <is>
          <t>⑦</t>
        </is>
      </c>
      <c r="B68" s="94" t="n"/>
      <c r="C68" s="73" t="n"/>
      <c r="D68" s="73" t="n"/>
      <c r="E68" s="73" t="n"/>
      <c r="F68" s="72" t="n"/>
      <c r="G68" s="95">
        <f>IF(OR($B68="",$D68="",$E68=""),"",IF(OR($C68="Target state",$C68="Exception"),"Out of scope",IF($D68="Low","No tranche",IF($E68="Low","Tranche 1",IF($E68="Medium","Tranche 2",IF($D68="High","Tranche 3","No tranche"))))))</f>
        <v/>
      </c>
      <c r="K68" s="102" t="n"/>
      <c r="L68" s="102" t="n"/>
      <c r="M68" s="102" t="n"/>
      <c r="O68">
        <f>IF(AND($B68&lt;&gt;"",$C68&lt;&gt;"Target state",$C68&lt;&gt;"Exception",$D68="High",$E68="Low"),$A68&amp;"  "&amp;$B68,"")</f>
        <v/>
      </c>
      <c r="P68">
        <f>IF(AND($B68&lt;&gt;"",$C68&lt;&gt;"Target state",$C68&lt;&gt;"Exception",$D68="High",$E68="Medium"),$A68&amp;"  "&amp;$B68,"")</f>
        <v/>
      </c>
      <c r="Q68">
        <f>IF(AND($B68&lt;&gt;"",$C68&lt;&gt;"Target state",$C68&lt;&gt;"Exception",$D68="High",$E68="High"),$A68&amp;"  "&amp;$B68,"")</f>
        <v/>
      </c>
      <c r="R68">
        <f>IF(AND($B68&lt;&gt;"",$C68&lt;&gt;"Target state",$C68&lt;&gt;"Exception",$D68="Medium",$E68="Low"),$A68&amp;"  "&amp;$B68,"")</f>
        <v/>
      </c>
      <c r="S68">
        <f>IF(AND($B68&lt;&gt;"",$C68&lt;&gt;"Target state",$C68&lt;&gt;"Exception",$D68="Medium",$E68="Medium"),$A68&amp;"  "&amp;$B68,"")</f>
        <v/>
      </c>
      <c r="T68">
        <f>IF(AND($B68&lt;&gt;"",$C68&lt;&gt;"Target state",$C68&lt;&gt;"Exception",$D68="Medium",$E68="High"),$A68&amp;"  "&amp;$B68,"")</f>
        <v/>
      </c>
      <c r="U68">
        <f>IF(AND($B68&lt;&gt;"",$C68&lt;&gt;"Target state",$C68&lt;&gt;"Exception",$D68="Low",$E68="Low"),$A68&amp;"  "&amp;$B68,"")</f>
        <v/>
      </c>
      <c r="V68">
        <f>IF(AND($B68&lt;&gt;"",$C68&lt;&gt;"Target state",$C68&lt;&gt;"Exception",$D68="Low",$E68="Medium"),$A68&amp;"  "&amp;$B68,"")</f>
        <v/>
      </c>
      <c r="W68">
        <f>IF(AND($B68&lt;&gt;"",$C68&lt;&gt;"Target state",$C68&lt;&gt;"Exception",$D68="Low",$E68="High"),$A68&amp;"  "&amp;$B68,"")</f>
        <v/>
      </c>
    </row>
    <row r="69" ht="20" customHeight="1" s="52">
      <c r="A69" s="93" t="inlineStr">
        <is>
          <t>⑧</t>
        </is>
      </c>
      <c r="B69" s="94" t="n"/>
      <c r="C69" s="73" t="n"/>
      <c r="D69" s="73" t="n"/>
      <c r="E69" s="73" t="n"/>
      <c r="F69" s="72" t="n"/>
      <c r="G69" s="95">
        <f>IF(OR($B69="",$D69="",$E69=""),"",IF(OR($C69="Target state",$C69="Exception"),"Out of scope",IF($D69="Low","No tranche",IF($E69="Low","Tranche 1",IF($E69="Medium","Tranche 2",IF($D69="High","Tranche 3","No tranche"))))))</f>
        <v/>
      </c>
      <c r="J69" s="97" t="inlineStr">
        <is>
          <t>Low</t>
        </is>
      </c>
      <c r="K69" s="103">
        <f>_xlfn.TEXTJOIN(CHAR(10),TRUE,U$62:U$71)</f>
        <v/>
      </c>
      <c r="L69" s="103">
        <f>_xlfn.TEXTJOIN(CHAR(10),TRUE,V$62:V$71)</f>
        <v/>
      </c>
      <c r="M69" s="103">
        <f>_xlfn.TEXTJOIN(CHAR(10),TRUE,W$62:W$71)</f>
        <v/>
      </c>
      <c r="O69">
        <f>IF(AND($B69&lt;&gt;"",$C69&lt;&gt;"Target state",$C69&lt;&gt;"Exception",$D69="High",$E69="Low"),$A69&amp;"  "&amp;$B69,"")</f>
        <v/>
      </c>
      <c r="P69">
        <f>IF(AND($B69&lt;&gt;"",$C69&lt;&gt;"Target state",$C69&lt;&gt;"Exception",$D69="High",$E69="Medium"),$A69&amp;"  "&amp;$B69,"")</f>
        <v/>
      </c>
      <c r="Q69">
        <f>IF(AND($B69&lt;&gt;"",$C69&lt;&gt;"Target state",$C69&lt;&gt;"Exception",$D69="High",$E69="High"),$A69&amp;"  "&amp;$B69,"")</f>
        <v/>
      </c>
      <c r="R69">
        <f>IF(AND($B69&lt;&gt;"",$C69&lt;&gt;"Target state",$C69&lt;&gt;"Exception",$D69="Medium",$E69="Low"),$A69&amp;"  "&amp;$B69,"")</f>
        <v/>
      </c>
      <c r="S69">
        <f>IF(AND($B69&lt;&gt;"",$C69&lt;&gt;"Target state",$C69&lt;&gt;"Exception",$D69="Medium",$E69="Medium"),$A69&amp;"  "&amp;$B69,"")</f>
        <v/>
      </c>
      <c r="T69">
        <f>IF(AND($B69&lt;&gt;"",$C69&lt;&gt;"Target state",$C69&lt;&gt;"Exception",$D69="Medium",$E69="High"),$A69&amp;"  "&amp;$B69,"")</f>
        <v/>
      </c>
      <c r="U69">
        <f>IF(AND($B69&lt;&gt;"",$C69&lt;&gt;"Target state",$C69&lt;&gt;"Exception",$D69="Low",$E69="Low"),$A69&amp;"  "&amp;$B69,"")</f>
        <v/>
      </c>
      <c r="V69">
        <f>IF(AND($B69&lt;&gt;"",$C69&lt;&gt;"Target state",$C69&lt;&gt;"Exception",$D69="Low",$E69="Medium"),$A69&amp;"  "&amp;$B69,"")</f>
        <v/>
      </c>
      <c r="W69">
        <f>IF(AND($B69&lt;&gt;"",$C69&lt;&gt;"Target state",$C69&lt;&gt;"Exception",$D69="Low",$E69="High"),$A69&amp;"  "&amp;$B69,"")</f>
        <v/>
      </c>
    </row>
    <row r="70" ht="20" customHeight="1" s="52">
      <c r="A70" s="93" t="inlineStr">
        <is>
          <t>⑨</t>
        </is>
      </c>
      <c r="B70" s="94" t="n"/>
      <c r="C70" s="73" t="n"/>
      <c r="D70" s="73" t="n"/>
      <c r="E70" s="73" t="n"/>
      <c r="F70" s="72" t="n"/>
      <c r="G70" s="95">
        <f>IF(OR($B70="",$D70="",$E70=""),"",IF(OR($C70="Target state",$C70="Exception"),"Out of scope",IF($D70="Low","No tranche",IF($E70="Low","Tranche 1",IF($E70="Medium","Tranche 2",IF($D70="High","Tranche 3","No tranche"))))))</f>
        <v/>
      </c>
      <c r="K70" s="101" t="n"/>
      <c r="L70" s="101" t="n"/>
      <c r="M70" s="101" t="n"/>
      <c r="O70">
        <f>IF(AND($B70&lt;&gt;"",$C70&lt;&gt;"Target state",$C70&lt;&gt;"Exception",$D70="High",$E70="Low"),$A70&amp;"  "&amp;$B70,"")</f>
        <v/>
      </c>
      <c r="P70">
        <f>IF(AND($B70&lt;&gt;"",$C70&lt;&gt;"Target state",$C70&lt;&gt;"Exception",$D70="High",$E70="Medium"),$A70&amp;"  "&amp;$B70,"")</f>
        <v/>
      </c>
      <c r="Q70">
        <f>IF(AND($B70&lt;&gt;"",$C70&lt;&gt;"Target state",$C70&lt;&gt;"Exception",$D70="High",$E70="High"),$A70&amp;"  "&amp;$B70,"")</f>
        <v/>
      </c>
      <c r="R70">
        <f>IF(AND($B70&lt;&gt;"",$C70&lt;&gt;"Target state",$C70&lt;&gt;"Exception",$D70="Medium",$E70="Low"),$A70&amp;"  "&amp;$B70,"")</f>
        <v/>
      </c>
      <c r="S70">
        <f>IF(AND($B70&lt;&gt;"",$C70&lt;&gt;"Target state",$C70&lt;&gt;"Exception",$D70="Medium",$E70="Medium"),$A70&amp;"  "&amp;$B70,"")</f>
        <v/>
      </c>
      <c r="T70">
        <f>IF(AND($B70&lt;&gt;"",$C70&lt;&gt;"Target state",$C70&lt;&gt;"Exception",$D70="Medium",$E70="High"),$A70&amp;"  "&amp;$B70,"")</f>
        <v/>
      </c>
      <c r="U70">
        <f>IF(AND($B70&lt;&gt;"",$C70&lt;&gt;"Target state",$C70&lt;&gt;"Exception",$D70="Low",$E70="Low"),$A70&amp;"  "&amp;$B70,"")</f>
        <v/>
      </c>
      <c r="V70">
        <f>IF(AND($B70&lt;&gt;"",$C70&lt;&gt;"Target state",$C70&lt;&gt;"Exception",$D70="Low",$E70="Medium"),$A70&amp;"  "&amp;$B70,"")</f>
        <v/>
      </c>
      <c r="W70">
        <f>IF(AND($B70&lt;&gt;"",$C70&lt;&gt;"Target state",$C70&lt;&gt;"Exception",$D70="Low",$E70="High"),$A70&amp;"  "&amp;$B70,"")</f>
        <v/>
      </c>
    </row>
    <row r="71" ht="20" customHeight="1" s="52">
      <c r="A71" s="93" t="inlineStr">
        <is>
          <t>⑩</t>
        </is>
      </c>
      <c r="B71" s="94" t="n"/>
      <c r="C71" s="73" t="n"/>
      <c r="D71" s="73" t="n"/>
      <c r="E71" s="73" t="n"/>
      <c r="F71" s="72" t="n"/>
      <c r="G71" s="95">
        <f>IF(OR($B71="",$D71="",$E71=""),"",IF(OR($C71="Target state",$C71="Exception"),"Out of scope",IF($D71="Low","No tranche",IF($E71="Low","Tranche 1",IF($E71="Medium","Tranche 2",IF($D71="High","Tranche 3","No tranche"))))))</f>
        <v/>
      </c>
      <c r="K71" s="102" t="n"/>
      <c r="L71" s="102" t="n"/>
      <c r="M71" s="102" t="n"/>
      <c r="O71">
        <f>IF(AND($B71&lt;&gt;"",$C71&lt;&gt;"Target state",$C71&lt;&gt;"Exception",$D71="High",$E71="Low"),$A71&amp;"  "&amp;$B71,"")</f>
        <v/>
      </c>
      <c r="P71">
        <f>IF(AND($B71&lt;&gt;"",$C71&lt;&gt;"Target state",$C71&lt;&gt;"Exception",$D71="High",$E71="Medium"),$A71&amp;"  "&amp;$B71,"")</f>
        <v/>
      </c>
      <c r="Q71">
        <f>IF(AND($B71&lt;&gt;"",$C71&lt;&gt;"Target state",$C71&lt;&gt;"Exception",$D71="High",$E71="High"),$A71&amp;"  "&amp;$B71,"")</f>
        <v/>
      </c>
      <c r="R71">
        <f>IF(AND($B71&lt;&gt;"",$C71&lt;&gt;"Target state",$C71&lt;&gt;"Exception",$D71="Medium",$E71="Low"),$A71&amp;"  "&amp;$B71,"")</f>
        <v/>
      </c>
      <c r="S71">
        <f>IF(AND($B71&lt;&gt;"",$C71&lt;&gt;"Target state",$C71&lt;&gt;"Exception",$D71="Medium",$E71="Medium"),$A71&amp;"  "&amp;$B71,"")</f>
        <v/>
      </c>
      <c r="T71">
        <f>IF(AND($B71&lt;&gt;"",$C71&lt;&gt;"Target state",$C71&lt;&gt;"Exception",$D71="Medium",$E71="High"),$A71&amp;"  "&amp;$B71,"")</f>
        <v/>
      </c>
      <c r="U71">
        <f>IF(AND($B71&lt;&gt;"",$C71&lt;&gt;"Target state",$C71&lt;&gt;"Exception",$D71="Low",$E71="Low"),$A71&amp;"  "&amp;$B71,"")</f>
        <v/>
      </c>
      <c r="V71">
        <f>IF(AND($B71&lt;&gt;"",$C71&lt;&gt;"Target state",$C71&lt;&gt;"Exception",$D71="Low",$E71="Medium"),$A71&amp;"  "&amp;$B71,"")</f>
        <v/>
      </c>
      <c r="W71">
        <f>IF(AND($B71&lt;&gt;"",$C71&lt;&gt;"Target state",$C71&lt;&gt;"Exception",$D71="Low",$E71="High"),$A71&amp;"  "&amp;$B71,"")</f>
        <v/>
      </c>
    </row>
    <row r="72">
      <c r="K72" s="97" t="inlineStr">
        <is>
          <t>Complexity</t>
        </is>
      </c>
    </row>
    <row r="76" ht="22" customHeight="1" s="52">
      <c r="A76" s="88" t="inlineStr">
        <is>
          <t>AI Tools</t>
        </is>
      </c>
      <c r="G76" s="89">
        <f>HYPERLINK("#'Global Infrastructure'!A4","▲ tracker")</f>
        <v/>
      </c>
      <c r="K76" s="90" t="inlineStr">
        <is>
          <t>Assessment Outcome</t>
        </is>
      </c>
    </row>
    <row r="77" ht="18" customHeight="1" s="52">
      <c r="A77" s="91" t="inlineStr">
        <is>
          <t>#</t>
        </is>
      </c>
      <c r="B77" s="91" t="inlineStr">
        <is>
          <t>Platform</t>
        </is>
      </c>
      <c r="C77" s="91" t="inlineStr">
        <is>
          <t>State</t>
        </is>
      </c>
      <c r="D77" s="91" t="inlineStr">
        <is>
          <t>Imperative to exit</t>
        </is>
      </c>
      <c r="E77" s="91" t="inlineStr">
        <is>
          <t>Exit complexity</t>
        </is>
      </c>
      <c r="F77" s="91" t="inlineStr">
        <is>
          <t>Supporting facts</t>
        </is>
      </c>
      <c r="G77" s="91" t="inlineStr">
        <is>
          <t>Tranche (auto)</t>
        </is>
      </c>
      <c r="K77" s="92" t="inlineStr">
        <is>
          <t>Low</t>
        </is>
      </c>
      <c r="L77" s="92" t="inlineStr">
        <is>
          <t>Medium</t>
        </is>
      </c>
      <c r="M77" s="92" t="inlineStr">
        <is>
          <t>High</t>
        </is>
      </c>
    </row>
    <row r="78" ht="20" customHeight="1" s="52">
      <c r="A78" s="93" t="inlineStr">
        <is>
          <t>①</t>
        </is>
      </c>
      <c r="B78" s="94" t="n"/>
      <c r="C78" s="73" t="n"/>
      <c r="D78" s="73" t="n"/>
      <c r="E78" s="73" t="n"/>
      <c r="F78" s="72" t="n"/>
      <c r="G78" s="95">
        <f>IF(OR($B78="",$D78="",$E78=""),"",IF(OR($C78="Target state",$C78="Exception"),"Out of scope",IF($D78="Low","No tranche",IF($E78="Low","Tranche 1",IF($E78="Medium","Tranche 2",IF($D78="High","Tranche 3","No tranche"))))))</f>
        <v/>
      </c>
      <c r="I78" s="96" t="inlineStr">
        <is>
          <t>Benefits</t>
        </is>
      </c>
      <c r="J78" s="97" t="inlineStr">
        <is>
          <t>High</t>
        </is>
      </c>
      <c r="K78" s="98">
        <f>"Tranche 1"&amp;CHAR(10)&amp;_xlfn.TEXTJOIN(CHAR(10),TRUE,O$78:O$87)</f>
        <v/>
      </c>
      <c r="L78" s="99">
        <f>"Tranche 2"&amp;CHAR(10)&amp;_xlfn.TEXTJOIN(CHAR(10),TRUE,P$78:P$87)</f>
        <v/>
      </c>
      <c r="M78" s="100">
        <f>"Tranche 3"&amp;CHAR(10)&amp;_xlfn.TEXTJOIN(CHAR(10),TRUE,Q$78:Q$87)</f>
        <v/>
      </c>
      <c r="O78">
        <f>IF(AND($B78&lt;&gt;"",$C78&lt;&gt;"Target state",$C78&lt;&gt;"Exception",$D78="High",$E78="Low"),$A78&amp;"  "&amp;$B78,"")</f>
        <v/>
      </c>
      <c r="P78">
        <f>IF(AND($B78&lt;&gt;"",$C78&lt;&gt;"Target state",$C78&lt;&gt;"Exception",$D78="High",$E78="Medium"),$A78&amp;"  "&amp;$B78,"")</f>
        <v/>
      </c>
      <c r="Q78">
        <f>IF(AND($B78&lt;&gt;"",$C78&lt;&gt;"Target state",$C78&lt;&gt;"Exception",$D78="High",$E78="High"),$A78&amp;"  "&amp;$B78,"")</f>
        <v/>
      </c>
      <c r="R78">
        <f>IF(AND($B78&lt;&gt;"",$C78&lt;&gt;"Target state",$C78&lt;&gt;"Exception",$D78="Medium",$E78="Low"),$A78&amp;"  "&amp;$B78,"")</f>
        <v/>
      </c>
      <c r="S78">
        <f>IF(AND($B78&lt;&gt;"",$C78&lt;&gt;"Target state",$C78&lt;&gt;"Exception",$D78="Medium",$E78="Medium"),$A78&amp;"  "&amp;$B78,"")</f>
        <v/>
      </c>
      <c r="T78">
        <f>IF(AND($B78&lt;&gt;"",$C78&lt;&gt;"Target state",$C78&lt;&gt;"Exception",$D78="Medium",$E78="High"),$A78&amp;"  "&amp;$B78,"")</f>
        <v/>
      </c>
      <c r="U78">
        <f>IF(AND($B78&lt;&gt;"",$C78&lt;&gt;"Target state",$C78&lt;&gt;"Exception",$D78="Low",$E78="Low"),$A78&amp;"  "&amp;$B78,"")</f>
        <v/>
      </c>
      <c r="V78">
        <f>IF(AND($B78&lt;&gt;"",$C78&lt;&gt;"Target state",$C78&lt;&gt;"Exception",$D78="Low",$E78="Medium"),$A78&amp;"  "&amp;$B78,"")</f>
        <v/>
      </c>
      <c r="W78">
        <f>IF(AND($B78&lt;&gt;"",$C78&lt;&gt;"Target state",$C78&lt;&gt;"Exception",$D78="Low",$E78="High"),$A78&amp;"  "&amp;$B78,"")</f>
        <v/>
      </c>
    </row>
    <row r="79" ht="20" customHeight="1" s="52">
      <c r="A79" s="93" t="inlineStr">
        <is>
          <t>②</t>
        </is>
      </c>
      <c r="B79" s="94" t="n"/>
      <c r="C79" s="73" t="n"/>
      <c r="D79" s="73" t="n"/>
      <c r="E79" s="73" t="n"/>
      <c r="F79" s="72" t="n"/>
      <c r="G79" s="95">
        <f>IF(OR($B79="",$D79="",$E79=""),"",IF(OR($C79="Target state",$C79="Exception"),"Out of scope",IF($D79="Low","No tranche",IF($E79="Low","Tranche 1",IF($E79="Medium","Tranche 2",IF($D79="High","Tranche 3","No tranche"))))))</f>
        <v/>
      </c>
      <c r="K79" s="101" t="n"/>
      <c r="L79" s="101" t="n"/>
      <c r="M79" s="101" t="n"/>
      <c r="O79">
        <f>IF(AND($B79&lt;&gt;"",$C79&lt;&gt;"Target state",$C79&lt;&gt;"Exception",$D79="High",$E79="Low"),$A79&amp;"  "&amp;$B79,"")</f>
        <v/>
      </c>
      <c r="P79">
        <f>IF(AND($B79&lt;&gt;"",$C79&lt;&gt;"Target state",$C79&lt;&gt;"Exception",$D79="High",$E79="Medium"),$A79&amp;"  "&amp;$B79,"")</f>
        <v/>
      </c>
      <c r="Q79">
        <f>IF(AND($B79&lt;&gt;"",$C79&lt;&gt;"Target state",$C79&lt;&gt;"Exception",$D79="High",$E79="High"),$A79&amp;"  "&amp;$B79,"")</f>
        <v/>
      </c>
      <c r="R79">
        <f>IF(AND($B79&lt;&gt;"",$C79&lt;&gt;"Target state",$C79&lt;&gt;"Exception",$D79="Medium",$E79="Low"),$A79&amp;"  "&amp;$B79,"")</f>
        <v/>
      </c>
      <c r="S79">
        <f>IF(AND($B79&lt;&gt;"",$C79&lt;&gt;"Target state",$C79&lt;&gt;"Exception",$D79="Medium",$E79="Medium"),$A79&amp;"  "&amp;$B79,"")</f>
        <v/>
      </c>
      <c r="T79">
        <f>IF(AND($B79&lt;&gt;"",$C79&lt;&gt;"Target state",$C79&lt;&gt;"Exception",$D79="Medium",$E79="High"),$A79&amp;"  "&amp;$B79,"")</f>
        <v/>
      </c>
      <c r="U79">
        <f>IF(AND($B79&lt;&gt;"",$C79&lt;&gt;"Target state",$C79&lt;&gt;"Exception",$D79="Low",$E79="Low"),$A79&amp;"  "&amp;$B79,"")</f>
        <v/>
      </c>
      <c r="V79">
        <f>IF(AND($B79&lt;&gt;"",$C79&lt;&gt;"Target state",$C79&lt;&gt;"Exception",$D79="Low",$E79="Medium"),$A79&amp;"  "&amp;$B79,"")</f>
        <v/>
      </c>
      <c r="W79">
        <f>IF(AND($B79&lt;&gt;"",$C79&lt;&gt;"Target state",$C79&lt;&gt;"Exception",$D79="Low",$E79="High"),$A79&amp;"  "&amp;$B79,"")</f>
        <v/>
      </c>
    </row>
    <row r="80" ht="20" customHeight="1" s="52">
      <c r="A80" s="93" t="inlineStr">
        <is>
          <t>③</t>
        </is>
      </c>
      <c r="B80" s="94" t="n"/>
      <c r="C80" s="73" t="n"/>
      <c r="D80" s="73" t="n"/>
      <c r="E80" s="73" t="n"/>
      <c r="F80" s="72" t="n"/>
      <c r="G80" s="95">
        <f>IF(OR($B80="",$D80="",$E80=""),"",IF(OR($C80="Target state",$C80="Exception"),"Out of scope",IF($D80="Low","No tranche",IF($E80="Low","Tranche 1",IF($E80="Medium","Tranche 2",IF($D80="High","Tranche 3","No tranche"))))))</f>
        <v/>
      </c>
      <c r="K80" s="101" t="n"/>
      <c r="L80" s="101" t="n"/>
      <c r="M80" s="101" t="n"/>
      <c r="O80">
        <f>IF(AND($B80&lt;&gt;"",$C80&lt;&gt;"Target state",$C80&lt;&gt;"Exception",$D80="High",$E80="Low"),$A80&amp;"  "&amp;$B80,"")</f>
        <v/>
      </c>
      <c r="P80">
        <f>IF(AND($B80&lt;&gt;"",$C80&lt;&gt;"Target state",$C80&lt;&gt;"Exception",$D80="High",$E80="Medium"),$A80&amp;"  "&amp;$B80,"")</f>
        <v/>
      </c>
      <c r="Q80">
        <f>IF(AND($B80&lt;&gt;"",$C80&lt;&gt;"Target state",$C80&lt;&gt;"Exception",$D80="High",$E80="High"),$A80&amp;"  "&amp;$B80,"")</f>
        <v/>
      </c>
      <c r="R80">
        <f>IF(AND($B80&lt;&gt;"",$C80&lt;&gt;"Target state",$C80&lt;&gt;"Exception",$D80="Medium",$E80="Low"),$A80&amp;"  "&amp;$B80,"")</f>
        <v/>
      </c>
      <c r="S80">
        <f>IF(AND($B80&lt;&gt;"",$C80&lt;&gt;"Target state",$C80&lt;&gt;"Exception",$D80="Medium",$E80="Medium"),$A80&amp;"  "&amp;$B80,"")</f>
        <v/>
      </c>
      <c r="T80">
        <f>IF(AND($B80&lt;&gt;"",$C80&lt;&gt;"Target state",$C80&lt;&gt;"Exception",$D80="Medium",$E80="High"),$A80&amp;"  "&amp;$B80,"")</f>
        <v/>
      </c>
      <c r="U80">
        <f>IF(AND($B80&lt;&gt;"",$C80&lt;&gt;"Target state",$C80&lt;&gt;"Exception",$D80="Low",$E80="Low"),$A80&amp;"  "&amp;$B80,"")</f>
        <v/>
      </c>
      <c r="V80">
        <f>IF(AND($B80&lt;&gt;"",$C80&lt;&gt;"Target state",$C80&lt;&gt;"Exception",$D80="Low",$E80="Medium"),$A80&amp;"  "&amp;$B80,"")</f>
        <v/>
      </c>
      <c r="W80">
        <f>IF(AND($B80&lt;&gt;"",$C80&lt;&gt;"Target state",$C80&lt;&gt;"Exception",$D80="Low",$E80="High"),$A80&amp;"  "&amp;$B80,"")</f>
        <v/>
      </c>
    </row>
    <row r="81" ht="20" customHeight="1" s="52">
      <c r="A81" s="93" t="inlineStr">
        <is>
          <t>④</t>
        </is>
      </c>
      <c r="B81" s="94" t="n"/>
      <c r="C81" s="73" t="n"/>
      <c r="D81" s="73" t="n"/>
      <c r="E81" s="73" t="n"/>
      <c r="F81" s="72" t="n"/>
      <c r="G81" s="95">
        <f>IF(OR($B81="",$D81="",$E81=""),"",IF(OR($C81="Target state",$C81="Exception"),"Out of scope",IF($D81="Low","No tranche",IF($E81="Low","Tranche 1",IF($E81="Medium","Tranche 2",IF($D81="High","Tranche 3","No tranche"))))))</f>
        <v/>
      </c>
      <c r="K81" s="102" t="n"/>
      <c r="L81" s="102" t="n"/>
      <c r="M81" s="102" t="n"/>
      <c r="O81">
        <f>IF(AND($B81&lt;&gt;"",$C81&lt;&gt;"Target state",$C81&lt;&gt;"Exception",$D81="High",$E81="Low"),$A81&amp;"  "&amp;$B81,"")</f>
        <v/>
      </c>
      <c r="P81">
        <f>IF(AND($B81&lt;&gt;"",$C81&lt;&gt;"Target state",$C81&lt;&gt;"Exception",$D81="High",$E81="Medium"),$A81&amp;"  "&amp;$B81,"")</f>
        <v/>
      </c>
      <c r="Q81">
        <f>IF(AND($B81&lt;&gt;"",$C81&lt;&gt;"Target state",$C81&lt;&gt;"Exception",$D81="High",$E81="High"),$A81&amp;"  "&amp;$B81,"")</f>
        <v/>
      </c>
      <c r="R81">
        <f>IF(AND($B81&lt;&gt;"",$C81&lt;&gt;"Target state",$C81&lt;&gt;"Exception",$D81="Medium",$E81="Low"),$A81&amp;"  "&amp;$B81,"")</f>
        <v/>
      </c>
      <c r="S81">
        <f>IF(AND($B81&lt;&gt;"",$C81&lt;&gt;"Target state",$C81&lt;&gt;"Exception",$D81="Medium",$E81="Medium"),$A81&amp;"  "&amp;$B81,"")</f>
        <v/>
      </c>
      <c r="T81">
        <f>IF(AND($B81&lt;&gt;"",$C81&lt;&gt;"Target state",$C81&lt;&gt;"Exception",$D81="Medium",$E81="High"),$A81&amp;"  "&amp;$B81,"")</f>
        <v/>
      </c>
      <c r="U81">
        <f>IF(AND($B81&lt;&gt;"",$C81&lt;&gt;"Target state",$C81&lt;&gt;"Exception",$D81="Low",$E81="Low"),$A81&amp;"  "&amp;$B81,"")</f>
        <v/>
      </c>
      <c r="V81">
        <f>IF(AND($B81&lt;&gt;"",$C81&lt;&gt;"Target state",$C81&lt;&gt;"Exception",$D81="Low",$E81="Medium"),$A81&amp;"  "&amp;$B81,"")</f>
        <v/>
      </c>
      <c r="W81">
        <f>IF(AND($B81&lt;&gt;"",$C81&lt;&gt;"Target state",$C81&lt;&gt;"Exception",$D81="Low",$E81="High"),$A81&amp;"  "&amp;$B81,"")</f>
        <v/>
      </c>
    </row>
    <row r="82" ht="20" customHeight="1" s="52">
      <c r="A82" s="93" t="inlineStr">
        <is>
          <t>⑤</t>
        </is>
      </c>
      <c r="B82" s="94" t="n"/>
      <c r="C82" s="73" t="n"/>
      <c r="D82" s="73" t="n"/>
      <c r="E82" s="73" t="n"/>
      <c r="F82" s="72" t="n"/>
      <c r="G82" s="95">
        <f>IF(OR($B82="",$D82="",$E82=""),"",IF(OR($C82="Target state",$C82="Exception"),"Out of scope",IF($D82="Low","No tranche",IF($E82="Low","Tranche 1",IF($E82="Medium","Tranche 2",IF($D82="High","Tranche 3","No tranche"))))))</f>
        <v/>
      </c>
      <c r="J82" s="97" t="inlineStr">
        <is>
          <t>Medium</t>
        </is>
      </c>
      <c r="K82" s="98">
        <f>"Tranche 1"&amp;CHAR(10)&amp;_xlfn.TEXTJOIN(CHAR(10),TRUE,R$78:R$87)</f>
        <v/>
      </c>
      <c r="L82" s="99">
        <f>"Tranche 2"&amp;CHAR(10)&amp;_xlfn.TEXTJOIN(CHAR(10),TRUE,S$78:S$87)</f>
        <v/>
      </c>
      <c r="M82" s="103">
        <f>_xlfn.TEXTJOIN(CHAR(10),TRUE,T$78:T$87)</f>
        <v/>
      </c>
      <c r="O82">
        <f>IF(AND($B82&lt;&gt;"",$C82&lt;&gt;"Target state",$C82&lt;&gt;"Exception",$D82="High",$E82="Low"),$A82&amp;"  "&amp;$B82,"")</f>
        <v/>
      </c>
      <c r="P82">
        <f>IF(AND($B82&lt;&gt;"",$C82&lt;&gt;"Target state",$C82&lt;&gt;"Exception",$D82="High",$E82="Medium"),$A82&amp;"  "&amp;$B82,"")</f>
        <v/>
      </c>
      <c r="Q82">
        <f>IF(AND($B82&lt;&gt;"",$C82&lt;&gt;"Target state",$C82&lt;&gt;"Exception",$D82="High",$E82="High"),$A82&amp;"  "&amp;$B82,"")</f>
        <v/>
      </c>
      <c r="R82">
        <f>IF(AND($B82&lt;&gt;"",$C82&lt;&gt;"Target state",$C82&lt;&gt;"Exception",$D82="Medium",$E82="Low"),$A82&amp;"  "&amp;$B82,"")</f>
        <v/>
      </c>
      <c r="S82">
        <f>IF(AND($B82&lt;&gt;"",$C82&lt;&gt;"Target state",$C82&lt;&gt;"Exception",$D82="Medium",$E82="Medium"),$A82&amp;"  "&amp;$B82,"")</f>
        <v/>
      </c>
      <c r="T82">
        <f>IF(AND($B82&lt;&gt;"",$C82&lt;&gt;"Target state",$C82&lt;&gt;"Exception",$D82="Medium",$E82="High"),$A82&amp;"  "&amp;$B82,"")</f>
        <v/>
      </c>
      <c r="U82">
        <f>IF(AND($B82&lt;&gt;"",$C82&lt;&gt;"Target state",$C82&lt;&gt;"Exception",$D82="Low",$E82="Low"),$A82&amp;"  "&amp;$B82,"")</f>
        <v/>
      </c>
      <c r="V82">
        <f>IF(AND($B82&lt;&gt;"",$C82&lt;&gt;"Target state",$C82&lt;&gt;"Exception",$D82="Low",$E82="Medium"),$A82&amp;"  "&amp;$B82,"")</f>
        <v/>
      </c>
      <c r="W82">
        <f>IF(AND($B82&lt;&gt;"",$C82&lt;&gt;"Target state",$C82&lt;&gt;"Exception",$D82="Low",$E82="High"),$A82&amp;"  "&amp;$B82,"")</f>
        <v/>
      </c>
    </row>
    <row r="83" ht="20" customHeight="1" s="52">
      <c r="A83" s="93" t="inlineStr">
        <is>
          <t>⑥</t>
        </is>
      </c>
      <c r="B83" s="94" t="n"/>
      <c r="C83" s="73" t="n"/>
      <c r="D83" s="73" t="n"/>
      <c r="E83" s="73" t="n"/>
      <c r="F83" s="72" t="n"/>
      <c r="G83" s="95">
        <f>IF(OR($B83="",$D83="",$E83=""),"",IF(OR($C83="Target state",$C83="Exception"),"Out of scope",IF($D83="Low","No tranche",IF($E83="Low","Tranche 1",IF($E83="Medium","Tranche 2",IF($D83="High","Tranche 3","No tranche"))))))</f>
        <v/>
      </c>
      <c r="K83" s="101" t="n"/>
      <c r="L83" s="101" t="n"/>
      <c r="M83" s="101" t="n"/>
      <c r="O83">
        <f>IF(AND($B83&lt;&gt;"",$C83&lt;&gt;"Target state",$C83&lt;&gt;"Exception",$D83="High",$E83="Low"),$A83&amp;"  "&amp;$B83,"")</f>
        <v/>
      </c>
      <c r="P83">
        <f>IF(AND($B83&lt;&gt;"",$C83&lt;&gt;"Target state",$C83&lt;&gt;"Exception",$D83="High",$E83="Medium"),$A83&amp;"  "&amp;$B83,"")</f>
        <v/>
      </c>
      <c r="Q83">
        <f>IF(AND($B83&lt;&gt;"",$C83&lt;&gt;"Target state",$C83&lt;&gt;"Exception",$D83="High",$E83="High"),$A83&amp;"  "&amp;$B83,"")</f>
        <v/>
      </c>
      <c r="R83">
        <f>IF(AND($B83&lt;&gt;"",$C83&lt;&gt;"Target state",$C83&lt;&gt;"Exception",$D83="Medium",$E83="Low"),$A83&amp;"  "&amp;$B83,"")</f>
        <v/>
      </c>
      <c r="S83">
        <f>IF(AND($B83&lt;&gt;"",$C83&lt;&gt;"Target state",$C83&lt;&gt;"Exception",$D83="Medium",$E83="Medium"),$A83&amp;"  "&amp;$B83,"")</f>
        <v/>
      </c>
      <c r="T83">
        <f>IF(AND($B83&lt;&gt;"",$C83&lt;&gt;"Target state",$C83&lt;&gt;"Exception",$D83="Medium",$E83="High"),$A83&amp;"  "&amp;$B83,"")</f>
        <v/>
      </c>
      <c r="U83">
        <f>IF(AND($B83&lt;&gt;"",$C83&lt;&gt;"Target state",$C83&lt;&gt;"Exception",$D83="Low",$E83="Low"),$A83&amp;"  "&amp;$B83,"")</f>
        <v/>
      </c>
      <c r="V83">
        <f>IF(AND($B83&lt;&gt;"",$C83&lt;&gt;"Target state",$C83&lt;&gt;"Exception",$D83="Low",$E83="Medium"),$A83&amp;"  "&amp;$B83,"")</f>
        <v/>
      </c>
      <c r="W83">
        <f>IF(AND($B83&lt;&gt;"",$C83&lt;&gt;"Target state",$C83&lt;&gt;"Exception",$D83="Low",$E83="High"),$A83&amp;"  "&amp;$B83,"")</f>
        <v/>
      </c>
    </row>
    <row r="84" ht="20" customHeight="1" s="52">
      <c r="A84" s="93" t="inlineStr">
        <is>
          <t>⑦</t>
        </is>
      </c>
      <c r="B84" s="94" t="n"/>
      <c r="C84" s="73" t="n"/>
      <c r="D84" s="73" t="n"/>
      <c r="E84" s="73" t="n"/>
      <c r="F84" s="72" t="n"/>
      <c r="G84" s="95">
        <f>IF(OR($B84="",$D84="",$E84=""),"",IF(OR($C84="Target state",$C84="Exception"),"Out of scope",IF($D84="Low","No tranche",IF($E84="Low","Tranche 1",IF($E84="Medium","Tranche 2",IF($D84="High","Tranche 3","No tranche"))))))</f>
        <v/>
      </c>
      <c r="K84" s="102" t="n"/>
      <c r="L84" s="102" t="n"/>
      <c r="M84" s="102" t="n"/>
      <c r="O84">
        <f>IF(AND($B84&lt;&gt;"",$C84&lt;&gt;"Target state",$C84&lt;&gt;"Exception",$D84="High",$E84="Low"),$A84&amp;"  "&amp;$B84,"")</f>
        <v/>
      </c>
      <c r="P84">
        <f>IF(AND($B84&lt;&gt;"",$C84&lt;&gt;"Target state",$C84&lt;&gt;"Exception",$D84="High",$E84="Medium"),$A84&amp;"  "&amp;$B84,"")</f>
        <v/>
      </c>
      <c r="Q84">
        <f>IF(AND($B84&lt;&gt;"",$C84&lt;&gt;"Target state",$C84&lt;&gt;"Exception",$D84="High",$E84="High"),$A84&amp;"  "&amp;$B84,"")</f>
        <v/>
      </c>
      <c r="R84">
        <f>IF(AND($B84&lt;&gt;"",$C84&lt;&gt;"Target state",$C84&lt;&gt;"Exception",$D84="Medium",$E84="Low"),$A84&amp;"  "&amp;$B84,"")</f>
        <v/>
      </c>
      <c r="S84">
        <f>IF(AND($B84&lt;&gt;"",$C84&lt;&gt;"Target state",$C84&lt;&gt;"Exception",$D84="Medium",$E84="Medium"),$A84&amp;"  "&amp;$B84,"")</f>
        <v/>
      </c>
      <c r="T84">
        <f>IF(AND($B84&lt;&gt;"",$C84&lt;&gt;"Target state",$C84&lt;&gt;"Exception",$D84="Medium",$E84="High"),$A84&amp;"  "&amp;$B84,"")</f>
        <v/>
      </c>
      <c r="U84">
        <f>IF(AND($B84&lt;&gt;"",$C84&lt;&gt;"Target state",$C84&lt;&gt;"Exception",$D84="Low",$E84="Low"),$A84&amp;"  "&amp;$B84,"")</f>
        <v/>
      </c>
      <c r="V84">
        <f>IF(AND($B84&lt;&gt;"",$C84&lt;&gt;"Target state",$C84&lt;&gt;"Exception",$D84="Low",$E84="Medium"),$A84&amp;"  "&amp;$B84,"")</f>
        <v/>
      </c>
      <c r="W84">
        <f>IF(AND($B84&lt;&gt;"",$C84&lt;&gt;"Target state",$C84&lt;&gt;"Exception",$D84="Low",$E84="High"),$A84&amp;"  "&amp;$B84,"")</f>
        <v/>
      </c>
    </row>
    <row r="85" ht="20" customHeight="1" s="52">
      <c r="A85" s="93" t="inlineStr">
        <is>
          <t>⑧</t>
        </is>
      </c>
      <c r="B85" s="94" t="n"/>
      <c r="C85" s="73" t="n"/>
      <c r="D85" s="73" t="n"/>
      <c r="E85" s="73" t="n"/>
      <c r="F85" s="72" t="n"/>
      <c r="G85" s="95">
        <f>IF(OR($B85="",$D85="",$E85=""),"",IF(OR($C85="Target state",$C85="Exception"),"Out of scope",IF($D85="Low","No tranche",IF($E85="Low","Tranche 1",IF($E85="Medium","Tranche 2",IF($D85="High","Tranche 3","No tranche"))))))</f>
        <v/>
      </c>
      <c r="J85" s="97" t="inlineStr">
        <is>
          <t>Low</t>
        </is>
      </c>
      <c r="K85" s="103">
        <f>_xlfn.TEXTJOIN(CHAR(10),TRUE,U$78:U$87)</f>
        <v/>
      </c>
      <c r="L85" s="103">
        <f>_xlfn.TEXTJOIN(CHAR(10),TRUE,V$78:V$87)</f>
        <v/>
      </c>
      <c r="M85" s="103">
        <f>_xlfn.TEXTJOIN(CHAR(10),TRUE,W$78:W$87)</f>
        <v/>
      </c>
      <c r="O85">
        <f>IF(AND($B85&lt;&gt;"",$C85&lt;&gt;"Target state",$C85&lt;&gt;"Exception",$D85="High",$E85="Low"),$A85&amp;"  "&amp;$B85,"")</f>
        <v/>
      </c>
      <c r="P85">
        <f>IF(AND($B85&lt;&gt;"",$C85&lt;&gt;"Target state",$C85&lt;&gt;"Exception",$D85="High",$E85="Medium"),$A85&amp;"  "&amp;$B85,"")</f>
        <v/>
      </c>
      <c r="Q85">
        <f>IF(AND($B85&lt;&gt;"",$C85&lt;&gt;"Target state",$C85&lt;&gt;"Exception",$D85="High",$E85="High"),$A85&amp;"  "&amp;$B85,"")</f>
        <v/>
      </c>
      <c r="R85">
        <f>IF(AND($B85&lt;&gt;"",$C85&lt;&gt;"Target state",$C85&lt;&gt;"Exception",$D85="Medium",$E85="Low"),$A85&amp;"  "&amp;$B85,"")</f>
        <v/>
      </c>
      <c r="S85">
        <f>IF(AND($B85&lt;&gt;"",$C85&lt;&gt;"Target state",$C85&lt;&gt;"Exception",$D85="Medium",$E85="Medium"),$A85&amp;"  "&amp;$B85,"")</f>
        <v/>
      </c>
      <c r="T85">
        <f>IF(AND($B85&lt;&gt;"",$C85&lt;&gt;"Target state",$C85&lt;&gt;"Exception",$D85="Medium",$E85="High"),$A85&amp;"  "&amp;$B85,"")</f>
        <v/>
      </c>
      <c r="U85">
        <f>IF(AND($B85&lt;&gt;"",$C85&lt;&gt;"Target state",$C85&lt;&gt;"Exception",$D85="Low",$E85="Low"),$A85&amp;"  "&amp;$B85,"")</f>
        <v/>
      </c>
      <c r="V85">
        <f>IF(AND($B85&lt;&gt;"",$C85&lt;&gt;"Target state",$C85&lt;&gt;"Exception",$D85="Low",$E85="Medium"),$A85&amp;"  "&amp;$B85,"")</f>
        <v/>
      </c>
      <c r="W85">
        <f>IF(AND($B85&lt;&gt;"",$C85&lt;&gt;"Target state",$C85&lt;&gt;"Exception",$D85="Low",$E85="High"),$A85&amp;"  "&amp;$B85,"")</f>
        <v/>
      </c>
    </row>
    <row r="86" ht="20" customHeight="1" s="52">
      <c r="A86" s="93" t="inlineStr">
        <is>
          <t>⑨</t>
        </is>
      </c>
      <c r="B86" s="94" t="n"/>
      <c r="C86" s="73" t="n"/>
      <c r="D86" s="73" t="n"/>
      <c r="E86" s="73" t="n"/>
      <c r="F86" s="72" t="n"/>
      <c r="G86" s="95">
        <f>IF(OR($B86="",$D86="",$E86=""),"",IF(OR($C86="Target state",$C86="Exception"),"Out of scope",IF($D86="Low","No tranche",IF($E86="Low","Tranche 1",IF($E86="Medium","Tranche 2",IF($D86="High","Tranche 3","No tranche"))))))</f>
        <v/>
      </c>
      <c r="K86" s="101" t="n"/>
      <c r="L86" s="101" t="n"/>
      <c r="M86" s="101" t="n"/>
      <c r="O86">
        <f>IF(AND($B86&lt;&gt;"",$C86&lt;&gt;"Target state",$C86&lt;&gt;"Exception",$D86="High",$E86="Low"),$A86&amp;"  "&amp;$B86,"")</f>
        <v/>
      </c>
      <c r="P86">
        <f>IF(AND($B86&lt;&gt;"",$C86&lt;&gt;"Target state",$C86&lt;&gt;"Exception",$D86="High",$E86="Medium"),$A86&amp;"  "&amp;$B86,"")</f>
        <v/>
      </c>
      <c r="Q86">
        <f>IF(AND($B86&lt;&gt;"",$C86&lt;&gt;"Target state",$C86&lt;&gt;"Exception",$D86="High",$E86="High"),$A86&amp;"  "&amp;$B86,"")</f>
        <v/>
      </c>
      <c r="R86">
        <f>IF(AND($B86&lt;&gt;"",$C86&lt;&gt;"Target state",$C86&lt;&gt;"Exception",$D86="Medium",$E86="Low"),$A86&amp;"  "&amp;$B86,"")</f>
        <v/>
      </c>
      <c r="S86">
        <f>IF(AND($B86&lt;&gt;"",$C86&lt;&gt;"Target state",$C86&lt;&gt;"Exception",$D86="Medium",$E86="Medium"),$A86&amp;"  "&amp;$B86,"")</f>
        <v/>
      </c>
      <c r="T86">
        <f>IF(AND($B86&lt;&gt;"",$C86&lt;&gt;"Target state",$C86&lt;&gt;"Exception",$D86="Medium",$E86="High"),$A86&amp;"  "&amp;$B86,"")</f>
        <v/>
      </c>
      <c r="U86">
        <f>IF(AND($B86&lt;&gt;"",$C86&lt;&gt;"Target state",$C86&lt;&gt;"Exception",$D86="Low",$E86="Low"),$A86&amp;"  "&amp;$B86,"")</f>
        <v/>
      </c>
      <c r="V86">
        <f>IF(AND($B86&lt;&gt;"",$C86&lt;&gt;"Target state",$C86&lt;&gt;"Exception",$D86="Low",$E86="Medium"),$A86&amp;"  "&amp;$B86,"")</f>
        <v/>
      </c>
      <c r="W86">
        <f>IF(AND($B86&lt;&gt;"",$C86&lt;&gt;"Target state",$C86&lt;&gt;"Exception",$D86="Low",$E86="High"),$A86&amp;"  "&amp;$B86,"")</f>
        <v/>
      </c>
    </row>
    <row r="87" ht="20" customHeight="1" s="52">
      <c r="A87" s="93" t="inlineStr">
        <is>
          <t>⑩</t>
        </is>
      </c>
      <c r="B87" s="94" t="n"/>
      <c r="C87" s="73" t="n"/>
      <c r="D87" s="73" t="n"/>
      <c r="E87" s="73" t="n"/>
      <c r="F87" s="72" t="n"/>
      <c r="G87" s="95">
        <f>IF(OR($B87="",$D87="",$E87=""),"",IF(OR($C87="Target state",$C87="Exception"),"Out of scope",IF($D87="Low","No tranche",IF($E87="Low","Tranche 1",IF($E87="Medium","Tranche 2",IF($D87="High","Tranche 3","No tranche"))))))</f>
        <v/>
      </c>
      <c r="K87" s="102" t="n"/>
      <c r="L87" s="102" t="n"/>
      <c r="M87" s="102" t="n"/>
      <c r="O87">
        <f>IF(AND($B87&lt;&gt;"",$C87&lt;&gt;"Target state",$C87&lt;&gt;"Exception",$D87="High",$E87="Low"),$A87&amp;"  "&amp;$B87,"")</f>
        <v/>
      </c>
      <c r="P87">
        <f>IF(AND($B87&lt;&gt;"",$C87&lt;&gt;"Target state",$C87&lt;&gt;"Exception",$D87="High",$E87="Medium"),$A87&amp;"  "&amp;$B87,"")</f>
        <v/>
      </c>
      <c r="Q87">
        <f>IF(AND($B87&lt;&gt;"",$C87&lt;&gt;"Target state",$C87&lt;&gt;"Exception",$D87="High",$E87="High"),$A87&amp;"  "&amp;$B87,"")</f>
        <v/>
      </c>
      <c r="R87">
        <f>IF(AND($B87&lt;&gt;"",$C87&lt;&gt;"Target state",$C87&lt;&gt;"Exception",$D87="Medium",$E87="Low"),$A87&amp;"  "&amp;$B87,"")</f>
        <v/>
      </c>
      <c r="S87">
        <f>IF(AND($B87&lt;&gt;"",$C87&lt;&gt;"Target state",$C87&lt;&gt;"Exception",$D87="Medium",$E87="Medium"),$A87&amp;"  "&amp;$B87,"")</f>
        <v/>
      </c>
      <c r="T87">
        <f>IF(AND($B87&lt;&gt;"",$C87&lt;&gt;"Target state",$C87&lt;&gt;"Exception",$D87="Medium",$E87="High"),$A87&amp;"  "&amp;$B87,"")</f>
        <v/>
      </c>
      <c r="U87">
        <f>IF(AND($B87&lt;&gt;"",$C87&lt;&gt;"Target state",$C87&lt;&gt;"Exception",$D87="Low",$E87="Low"),$A87&amp;"  "&amp;$B87,"")</f>
        <v/>
      </c>
      <c r="V87">
        <f>IF(AND($B87&lt;&gt;"",$C87&lt;&gt;"Target state",$C87&lt;&gt;"Exception",$D87="Low",$E87="Medium"),$A87&amp;"  "&amp;$B87,"")</f>
        <v/>
      </c>
      <c r="W87">
        <f>IF(AND($B87&lt;&gt;"",$C87&lt;&gt;"Target state",$C87&lt;&gt;"Exception",$D87="Low",$E87="High"),$A87&amp;"  "&amp;$B87,"")</f>
        <v/>
      </c>
    </row>
    <row r="88">
      <c r="K88" s="97" t="inlineStr">
        <is>
          <t>Complexity</t>
        </is>
      </c>
    </row>
    <row r="92" ht="22" customHeight="1" s="52">
      <c r="A92" s="88" t="inlineStr">
        <is>
          <t>Design Systems</t>
        </is>
      </c>
      <c r="G92" s="89">
        <f>HYPERLINK("#'Global Infrastructure'!A4","▲ tracker")</f>
        <v/>
      </c>
      <c r="K92" s="90" t="inlineStr">
        <is>
          <t>Assessment Outcome</t>
        </is>
      </c>
    </row>
    <row r="93" ht="18" customHeight="1" s="52">
      <c r="A93" s="91" t="inlineStr">
        <is>
          <t>#</t>
        </is>
      </c>
      <c r="B93" s="91" t="inlineStr">
        <is>
          <t>Platform</t>
        </is>
      </c>
      <c r="C93" s="91" t="inlineStr">
        <is>
          <t>State</t>
        </is>
      </c>
      <c r="D93" s="91" t="inlineStr">
        <is>
          <t>Imperative to exit</t>
        </is>
      </c>
      <c r="E93" s="91" t="inlineStr">
        <is>
          <t>Exit complexity</t>
        </is>
      </c>
      <c r="F93" s="91" t="inlineStr">
        <is>
          <t>Supporting facts</t>
        </is>
      </c>
      <c r="G93" s="91" t="inlineStr">
        <is>
          <t>Tranche (auto)</t>
        </is>
      </c>
      <c r="K93" s="92" t="inlineStr">
        <is>
          <t>Low</t>
        </is>
      </c>
      <c r="L93" s="92" t="inlineStr">
        <is>
          <t>Medium</t>
        </is>
      </c>
      <c r="M93" s="92" t="inlineStr">
        <is>
          <t>High</t>
        </is>
      </c>
    </row>
    <row r="94" ht="20" customHeight="1" s="52">
      <c r="A94" s="93" t="inlineStr">
        <is>
          <t>①</t>
        </is>
      </c>
      <c r="B94" s="94" t="n"/>
      <c r="C94" s="73" t="n"/>
      <c r="D94" s="73" t="n"/>
      <c r="E94" s="73" t="n"/>
      <c r="F94" s="72" t="n"/>
      <c r="G94" s="95">
        <f>IF(OR($B94="",$D94="",$E94=""),"",IF(OR($C94="Target state",$C94="Exception"),"Out of scope",IF($D94="Low","No tranche",IF($E94="Low","Tranche 1",IF($E94="Medium","Tranche 2",IF($D94="High","Tranche 3","No tranche"))))))</f>
        <v/>
      </c>
      <c r="I94" s="96" t="inlineStr">
        <is>
          <t>Benefits</t>
        </is>
      </c>
      <c r="J94" s="97" t="inlineStr">
        <is>
          <t>High</t>
        </is>
      </c>
      <c r="K94" s="98">
        <f>"Tranche 1"&amp;CHAR(10)&amp;_xlfn.TEXTJOIN(CHAR(10),TRUE,O$94:O$103)</f>
        <v/>
      </c>
      <c r="L94" s="99">
        <f>"Tranche 2"&amp;CHAR(10)&amp;_xlfn.TEXTJOIN(CHAR(10),TRUE,P$94:P$103)</f>
        <v/>
      </c>
      <c r="M94" s="100">
        <f>"Tranche 3"&amp;CHAR(10)&amp;_xlfn.TEXTJOIN(CHAR(10),TRUE,Q$94:Q$103)</f>
        <v/>
      </c>
      <c r="O94">
        <f>IF(AND($B94&lt;&gt;"",$C94&lt;&gt;"Target state",$C94&lt;&gt;"Exception",$D94="High",$E94="Low"),$A94&amp;"  "&amp;$B94,"")</f>
        <v/>
      </c>
      <c r="P94">
        <f>IF(AND($B94&lt;&gt;"",$C94&lt;&gt;"Target state",$C94&lt;&gt;"Exception",$D94="High",$E94="Medium"),$A94&amp;"  "&amp;$B94,"")</f>
        <v/>
      </c>
      <c r="Q94">
        <f>IF(AND($B94&lt;&gt;"",$C94&lt;&gt;"Target state",$C94&lt;&gt;"Exception",$D94="High",$E94="High"),$A94&amp;"  "&amp;$B94,"")</f>
        <v/>
      </c>
      <c r="R94">
        <f>IF(AND($B94&lt;&gt;"",$C94&lt;&gt;"Target state",$C94&lt;&gt;"Exception",$D94="Medium",$E94="Low"),$A94&amp;"  "&amp;$B94,"")</f>
        <v/>
      </c>
      <c r="S94">
        <f>IF(AND($B94&lt;&gt;"",$C94&lt;&gt;"Target state",$C94&lt;&gt;"Exception",$D94="Medium",$E94="Medium"),$A94&amp;"  "&amp;$B94,"")</f>
        <v/>
      </c>
      <c r="T94">
        <f>IF(AND($B94&lt;&gt;"",$C94&lt;&gt;"Target state",$C94&lt;&gt;"Exception",$D94="Medium",$E94="High"),$A94&amp;"  "&amp;$B94,"")</f>
        <v/>
      </c>
      <c r="U94">
        <f>IF(AND($B94&lt;&gt;"",$C94&lt;&gt;"Target state",$C94&lt;&gt;"Exception",$D94="Low",$E94="Low"),$A94&amp;"  "&amp;$B94,"")</f>
        <v/>
      </c>
      <c r="V94">
        <f>IF(AND($B94&lt;&gt;"",$C94&lt;&gt;"Target state",$C94&lt;&gt;"Exception",$D94="Low",$E94="Medium"),$A94&amp;"  "&amp;$B94,"")</f>
        <v/>
      </c>
      <c r="W94">
        <f>IF(AND($B94&lt;&gt;"",$C94&lt;&gt;"Target state",$C94&lt;&gt;"Exception",$D94="Low",$E94="High"),$A94&amp;"  "&amp;$B94,"")</f>
        <v/>
      </c>
    </row>
    <row r="95" ht="20" customHeight="1" s="52">
      <c r="A95" s="93" t="inlineStr">
        <is>
          <t>②</t>
        </is>
      </c>
      <c r="B95" s="94" t="n"/>
      <c r="C95" s="73" t="n"/>
      <c r="D95" s="73" t="n"/>
      <c r="E95" s="73" t="n"/>
      <c r="F95" s="72" t="n"/>
      <c r="G95" s="95">
        <f>IF(OR($B95="",$D95="",$E95=""),"",IF(OR($C95="Target state",$C95="Exception"),"Out of scope",IF($D95="Low","No tranche",IF($E95="Low","Tranche 1",IF($E95="Medium","Tranche 2",IF($D95="High","Tranche 3","No tranche"))))))</f>
        <v/>
      </c>
      <c r="K95" s="101" t="n"/>
      <c r="L95" s="101" t="n"/>
      <c r="M95" s="101" t="n"/>
      <c r="O95">
        <f>IF(AND($B95&lt;&gt;"",$C95&lt;&gt;"Target state",$C95&lt;&gt;"Exception",$D95="High",$E95="Low"),$A95&amp;"  "&amp;$B95,"")</f>
        <v/>
      </c>
      <c r="P95">
        <f>IF(AND($B95&lt;&gt;"",$C95&lt;&gt;"Target state",$C95&lt;&gt;"Exception",$D95="High",$E95="Medium"),$A95&amp;"  "&amp;$B95,"")</f>
        <v/>
      </c>
      <c r="Q95">
        <f>IF(AND($B95&lt;&gt;"",$C95&lt;&gt;"Target state",$C95&lt;&gt;"Exception",$D95="High",$E95="High"),$A95&amp;"  "&amp;$B95,"")</f>
        <v/>
      </c>
      <c r="R95">
        <f>IF(AND($B95&lt;&gt;"",$C95&lt;&gt;"Target state",$C95&lt;&gt;"Exception",$D95="Medium",$E95="Low"),$A95&amp;"  "&amp;$B95,"")</f>
        <v/>
      </c>
      <c r="S95">
        <f>IF(AND($B95&lt;&gt;"",$C95&lt;&gt;"Target state",$C95&lt;&gt;"Exception",$D95="Medium",$E95="Medium"),$A95&amp;"  "&amp;$B95,"")</f>
        <v/>
      </c>
      <c r="T95">
        <f>IF(AND($B95&lt;&gt;"",$C95&lt;&gt;"Target state",$C95&lt;&gt;"Exception",$D95="Medium",$E95="High"),$A95&amp;"  "&amp;$B95,"")</f>
        <v/>
      </c>
      <c r="U95">
        <f>IF(AND($B95&lt;&gt;"",$C95&lt;&gt;"Target state",$C95&lt;&gt;"Exception",$D95="Low",$E95="Low"),$A95&amp;"  "&amp;$B95,"")</f>
        <v/>
      </c>
      <c r="V95">
        <f>IF(AND($B95&lt;&gt;"",$C95&lt;&gt;"Target state",$C95&lt;&gt;"Exception",$D95="Low",$E95="Medium"),$A95&amp;"  "&amp;$B95,"")</f>
        <v/>
      </c>
      <c r="W95">
        <f>IF(AND($B95&lt;&gt;"",$C95&lt;&gt;"Target state",$C95&lt;&gt;"Exception",$D95="Low",$E95="High"),$A95&amp;"  "&amp;$B95,"")</f>
        <v/>
      </c>
    </row>
    <row r="96" ht="20" customHeight="1" s="52">
      <c r="A96" s="93" t="inlineStr">
        <is>
          <t>③</t>
        </is>
      </c>
      <c r="B96" s="94" t="n"/>
      <c r="C96" s="73" t="n"/>
      <c r="D96" s="73" t="n"/>
      <c r="E96" s="73" t="n"/>
      <c r="F96" s="72" t="n"/>
      <c r="G96" s="95">
        <f>IF(OR($B96="",$D96="",$E96=""),"",IF(OR($C96="Target state",$C96="Exception"),"Out of scope",IF($D96="Low","No tranche",IF($E96="Low","Tranche 1",IF($E96="Medium","Tranche 2",IF($D96="High","Tranche 3","No tranche"))))))</f>
        <v/>
      </c>
      <c r="K96" s="101" t="n"/>
      <c r="L96" s="101" t="n"/>
      <c r="M96" s="101" t="n"/>
      <c r="O96">
        <f>IF(AND($B96&lt;&gt;"",$C96&lt;&gt;"Target state",$C96&lt;&gt;"Exception",$D96="High",$E96="Low"),$A96&amp;"  "&amp;$B96,"")</f>
        <v/>
      </c>
      <c r="P96">
        <f>IF(AND($B96&lt;&gt;"",$C96&lt;&gt;"Target state",$C96&lt;&gt;"Exception",$D96="High",$E96="Medium"),$A96&amp;"  "&amp;$B96,"")</f>
        <v/>
      </c>
      <c r="Q96">
        <f>IF(AND($B96&lt;&gt;"",$C96&lt;&gt;"Target state",$C96&lt;&gt;"Exception",$D96="High",$E96="High"),$A96&amp;"  "&amp;$B96,"")</f>
        <v/>
      </c>
      <c r="R96">
        <f>IF(AND($B96&lt;&gt;"",$C96&lt;&gt;"Target state",$C96&lt;&gt;"Exception",$D96="Medium",$E96="Low"),$A96&amp;"  "&amp;$B96,"")</f>
        <v/>
      </c>
      <c r="S96">
        <f>IF(AND($B96&lt;&gt;"",$C96&lt;&gt;"Target state",$C96&lt;&gt;"Exception",$D96="Medium",$E96="Medium"),$A96&amp;"  "&amp;$B96,"")</f>
        <v/>
      </c>
      <c r="T96">
        <f>IF(AND($B96&lt;&gt;"",$C96&lt;&gt;"Target state",$C96&lt;&gt;"Exception",$D96="Medium",$E96="High"),$A96&amp;"  "&amp;$B96,"")</f>
        <v/>
      </c>
      <c r="U96">
        <f>IF(AND($B96&lt;&gt;"",$C96&lt;&gt;"Target state",$C96&lt;&gt;"Exception",$D96="Low",$E96="Low"),$A96&amp;"  "&amp;$B96,"")</f>
        <v/>
      </c>
      <c r="V96">
        <f>IF(AND($B96&lt;&gt;"",$C96&lt;&gt;"Target state",$C96&lt;&gt;"Exception",$D96="Low",$E96="Medium"),$A96&amp;"  "&amp;$B96,"")</f>
        <v/>
      </c>
      <c r="W96">
        <f>IF(AND($B96&lt;&gt;"",$C96&lt;&gt;"Target state",$C96&lt;&gt;"Exception",$D96="Low",$E96="High"),$A96&amp;"  "&amp;$B96,"")</f>
        <v/>
      </c>
    </row>
    <row r="97" ht="20" customHeight="1" s="52">
      <c r="A97" s="93" t="inlineStr">
        <is>
          <t>④</t>
        </is>
      </c>
      <c r="B97" s="94" t="n"/>
      <c r="C97" s="73" t="n"/>
      <c r="D97" s="73" t="n"/>
      <c r="E97" s="73" t="n"/>
      <c r="F97" s="72" t="n"/>
      <c r="G97" s="95">
        <f>IF(OR($B97="",$D97="",$E97=""),"",IF(OR($C97="Target state",$C97="Exception"),"Out of scope",IF($D97="Low","No tranche",IF($E97="Low","Tranche 1",IF($E97="Medium","Tranche 2",IF($D97="High","Tranche 3","No tranche"))))))</f>
        <v/>
      </c>
      <c r="K97" s="102" t="n"/>
      <c r="L97" s="102" t="n"/>
      <c r="M97" s="102" t="n"/>
      <c r="O97">
        <f>IF(AND($B97&lt;&gt;"",$C97&lt;&gt;"Target state",$C97&lt;&gt;"Exception",$D97="High",$E97="Low"),$A97&amp;"  "&amp;$B97,"")</f>
        <v/>
      </c>
      <c r="P97">
        <f>IF(AND($B97&lt;&gt;"",$C97&lt;&gt;"Target state",$C97&lt;&gt;"Exception",$D97="High",$E97="Medium"),$A97&amp;"  "&amp;$B97,"")</f>
        <v/>
      </c>
      <c r="Q97">
        <f>IF(AND($B97&lt;&gt;"",$C97&lt;&gt;"Target state",$C97&lt;&gt;"Exception",$D97="High",$E97="High"),$A97&amp;"  "&amp;$B97,"")</f>
        <v/>
      </c>
      <c r="R97">
        <f>IF(AND($B97&lt;&gt;"",$C97&lt;&gt;"Target state",$C97&lt;&gt;"Exception",$D97="Medium",$E97="Low"),$A97&amp;"  "&amp;$B97,"")</f>
        <v/>
      </c>
      <c r="S97">
        <f>IF(AND($B97&lt;&gt;"",$C97&lt;&gt;"Target state",$C97&lt;&gt;"Exception",$D97="Medium",$E97="Medium"),$A97&amp;"  "&amp;$B97,"")</f>
        <v/>
      </c>
      <c r="T97">
        <f>IF(AND($B97&lt;&gt;"",$C97&lt;&gt;"Target state",$C97&lt;&gt;"Exception",$D97="Medium",$E97="High"),$A97&amp;"  "&amp;$B97,"")</f>
        <v/>
      </c>
      <c r="U97">
        <f>IF(AND($B97&lt;&gt;"",$C97&lt;&gt;"Target state",$C97&lt;&gt;"Exception",$D97="Low",$E97="Low"),$A97&amp;"  "&amp;$B97,"")</f>
        <v/>
      </c>
      <c r="V97">
        <f>IF(AND($B97&lt;&gt;"",$C97&lt;&gt;"Target state",$C97&lt;&gt;"Exception",$D97="Low",$E97="Medium"),$A97&amp;"  "&amp;$B97,"")</f>
        <v/>
      </c>
      <c r="W97">
        <f>IF(AND($B97&lt;&gt;"",$C97&lt;&gt;"Target state",$C97&lt;&gt;"Exception",$D97="Low",$E97="High"),$A97&amp;"  "&amp;$B97,"")</f>
        <v/>
      </c>
    </row>
    <row r="98" ht="20" customHeight="1" s="52">
      <c r="A98" s="93" t="inlineStr">
        <is>
          <t>⑤</t>
        </is>
      </c>
      <c r="B98" s="94" t="n"/>
      <c r="C98" s="73" t="n"/>
      <c r="D98" s="73" t="n"/>
      <c r="E98" s="73" t="n"/>
      <c r="F98" s="72" t="n"/>
      <c r="G98" s="95">
        <f>IF(OR($B98="",$D98="",$E98=""),"",IF(OR($C98="Target state",$C98="Exception"),"Out of scope",IF($D98="Low","No tranche",IF($E98="Low","Tranche 1",IF($E98="Medium","Tranche 2",IF($D98="High","Tranche 3","No tranche"))))))</f>
        <v/>
      </c>
      <c r="J98" s="97" t="inlineStr">
        <is>
          <t>Medium</t>
        </is>
      </c>
      <c r="K98" s="98">
        <f>"Tranche 1"&amp;CHAR(10)&amp;_xlfn.TEXTJOIN(CHAR(10),TRUE,R$94:R$103)</f>
        <v/>
      </c>
      <c r="L98" s="99">
        <f>"Tranche 2"&amp;CHAR(10)&amp;_xlfn.TEXTJOIN(CHAR(10),TRUE,S$94:S$103)</f>
        <v/>
      </c>
      <c r="M98" s="103">
        <f>_xlfn.TEXTJOIN(CHAR(10),TRUE,T$94:T$103)</f>
        <v/>
      </c>
      <c r="O98">
        <f>IF(AND($B98&lt;&gt;"",$C98&lt;&gt;"Target state",$C98&lt;&gt;"Exception",$D98="High",$E98="Low"),$A98&amp;"  "&amp;$B98,"")</f>
        <v/>
      </c>
      <c r="P98">
        <f>IF(AND($B98&lt;&gt;"",$C98&lt;&gt;"Target state",$C98&lt;&gt;"Exception",$D98="High",$E98="Medium"),$A98&amp;"  "&amp;$B98,"")</f>
        <v/>
      </c>
      <c r="Q98">
        <f>IF(AND($B98&lt;&gt;"",$C98&lt;&gt;"Target state",$C98&lt;&gt;"Exception",$D98="High",$E98="High"),$A98&amp;"  "&amp;$B98,"")</f>
        <v/>
      </c>
      <c r="R98">
        <f>IF(AND($B98&lt;&gt;"",$C98&lt;&gt;"Target state",$C98&lt;&gt;"Exception",$D98="Medium",$E98="Low"),$A98&amp;"  "&amp;$B98,"")</f>
        <v/>
      </c>
      <c r="S98">
        <f>IF(AND($B98&lt;&gt;"",$C98&lt;&gt;"Target state",$C98&lt;&gt;"Exception",$D98="Medium",$E98="Medium"),$A98&amp;"  "&amp;$B98,"")</f>
        <v/>
      </c>
      <c r="T98">
        <f>IF(AND($B98&lt;&gt;"",$C98&lt;&gt;"Target state",$C98&lt;&gt;"Exception",$D98="Medium",$E98="High"),$A98&amp;"  "&amp;$B98,"")</f>
        <v/>
      </c>
      <c r="U98">
        <f>IF(AND($B98&lt;&gt;"",$C98&lt;&gt;"Target state",$C98&lt;&gt;"Exception",$D98="Low",$E98="Low"),$A98&amp;"  "&amp;$B98,"")</f>
        <v/>
      </c>
      <c r="V98">
        <f>IF(AND($B98&lt;&gt;"",$C98&lt;&gt;"Target state",$C98&lt;&gt;"Exception",$D98="Low",$E98="Medium"),$A98&amp;"  "&amp;$B98,"")</f>
        <v/>
      </c>
      <c r="W98">
        <f>IF(AND($B98&lt;&gt;"",$C98&lt;&gt;"Target state",$C98&lt;&gt;"Exception",$D98="Low",$E98="High"),$A98&amp;"  "&amp;$B98,"")</f>
        <v/>
      </c>
    </row>
    <row r="99" ht="20" customHeight="1" s="52">
      <c r="A99" s="93" t="inlineStr">
        <is>
          <t>⑥</t>
        </is>
      </c>
      <c r="B99" s="94" t="n"/>
      <c r="C99" s="73" t="n"/>
      <c r="D99" s="73" t="n"/>
      <c r="E99" s="73" t="n"/>
      <c r="F99" s="72" t="n"/>
      <c r="G99" s="95">
        <f>IF(OR($B99="",$D99="",$E99=""),"",IF(OR($C99="Target state",$C99="Exception"),"Out of scope",IF($D99="Low","No tranche",IF($E99="Low","Tranche 1",IF($E99="Medium","Tranche 2",IF($D99="High","Tranche 3","No tranche"))))))</f>
        <v/>
      </c>
      <c r="K99" s="101" t="n"/>
      <c r="L99" s="101" t="n"/>
      <c r="M99" s="101" t="n"/>
      <c r="O99">
        <f>IF(AND($B99&lt;&gt;"",$C99&lt;&gt;"Target state",$C99&lt;&gt;"Exception",$D99="High",$E99="Low"),$A99&amp;"  "&amp;$B99,"")</f>
        <v/>
      </c>
      <c r="P99">
        <f>IF(AND($B99&lt;&gt;"",$C99&lt;&gt;"Target state",$C99&lt;&gt;"Exception",$D99="High",$E99="Medium"),$A99&amp;"  "&amp;$B99,"")</f>
        <v/>
      </c>
      <c r="Q99">
        <f>IF(AND($B99&lt;&gt;"",$C99&lt;&gt;"Target state",$C99&lt;&gt;"Exception",$D99="High",$E99="High"),$A99&amp;"  "&amp;$B99,"")</f>
        <v/>
      </c>
      <c r="R99">
        <f>IF(AND($B99&lt;&gt;"",$C99&lt;&gt;"Target state",$C99&lt;&gt;"Exception",$D99="Medium",$E99="Low"),$A99&amp;"  "&amp;$B99,"")</f>
        <v/>
      </c>
      <c r="S99">
        <f>IF(AND($B99&lt;&gt;"",$C99&lt;&gt;"Target state",$C99&lt;&gt;"Exception",$D99="Medium",$E99="Medium"),$A99&amp;"  "&amp;$B99,"")</f>
        <v/>
      </c>
      <c r="T99">
        <f>IF(AND($B99&lt;&gt;"",$C99&lt;&gt;"Target state",$C99&lt;&gt;"Exception",$D99="Medium",$E99="High"),$A99&amp;"  "&amp;$B99,"")</f>
        <v/>
      </c>
      <c r="U99">
        <f>IF(AND($B99&lt;&gt;"",$C99&lt;&gt;"Target state",$C99&lt;&gt;"Exception",$D99="Low",$E99="Low"),$A99&amp;"  "&amp;$B99,"")</f>
        <v/>
      </c>
      <c r="V99">
        <f>IF(AND($B99&lt;&gt;"",$C99&lt;&gt;"Target state",$C99&lt;&gt;"Exception",$D99="Low",$E99="Medium"),$A99&amp;"  "&amp;$B99,"")</f>
        <v/>
      </c>
      <c r="W99">
        <f>IF(AND($B99&lt;&gt;"",$C99&lt;&gt;"Target state",$C99&lt;&gt;"Exception",$D99="Low",$E99="High"),$A99&amp;"  "&amp;$B99,"")</f>
        <v/>
      </c>
    </row>
    <row r="100" ht="20" customHeight="1" s="52">
      <c r="A100" s="93" t="inlineStr">
        <is>
          <t>⑦</t>
        </is>
      </c>
      <c r="B100" s="94" t="n"/>
      <c r="C100" s="73" t="n"/>
      <c r="D100" s="73" t="n"/>
      <c r="E100" s="73" t="n"/>
      <c r="F100" s="72" t="n"/>
      <c r="G100" s="95">
        <f>IF(OR($B100="",$D100="",$E100=""),"",IF(OR($C100="Target state",$C100="Exception"),"Out of scope",IF($D100="Low","No tranche",IF($E100="Low","Tranche 1",IF($E100="Medium","Tranche 2",IF($D100="High","Tranche 3","No tranche"))))))</f>
        <v/>
      </c>
      <c r="K100" s="102" t="n"/>
      <c r="L100" s="102" t="n"/>
      <c r="M100" s="102" t="n"/>
      <c r="O100">
        <f>IF(AND($B100&lt;&gt;"",$C100&lt;&gt;"Target state",$C100&lt;&gt;"Exception",$D100="High",$E100="Low"),$A100&amp;"  "&amp;$B100,"")</f>
        <v/>
      </c>
      <c r="P100">
        <f>IF(AND($B100&lt;&gt;"",$C100&lt;&gt;"Target state",$C100&lt;&gt;"Exception",$D100="High",$E100="Medium"),$A100&amp;"  "&amp;$B100,"")</f>
        <v/>
      </c>
      <c r="Q100">
        <f>IF(AND($B100&lt;&gt;"",$C100&lt;&gt;"Target state",$C100&lt;&gt;"Exception",$D100="High",$E100="High"),$A100&amp;"  "&amp;$B100,"")</f>
        <v/>
      </c>
      <c r="R100">
        <f>IF(AND($B100&lt;&gt;"",$C100&lt;&gt;"Target state",$C100&lt;&gt;"Exception",$D100="Medium",$E100="Low"),$A100&amp;"  "&amp;$B100,"")</f>
        <v/>
      </c>
      <c r="S100">
        <f>IF(AND($B100&lt;&gt;"",$C100&lt;&gt;"Target state",$C100&lt;&gt;"Exception",$D100="Medium",$E100="Medium"),$A100&amp;"  "&amp;$B100,"")</f>
        <v/>
      </c>
      <c r="T100">
        <f>IF(AND($B100&lt;&gt;"",$C100&lt;&gt;"Target state",$C100&lt;&gt;"Exception",$D100="Medium",$E100="High"),$A100&amp;"  "&amp;$B100,"")</f>
        <v/>
      </c>
      <c r="U100">
        <f>IF(AND($B100&lt;&gt;"",$C100&lt;&gt;"Target state",$C100&lt;&gt;"Exception",$D100="Low",$E100="Low"),$A100&amp;"  "&amp;$B100,"")</f>
        <v/>
      </c>
      <c r="V100">
        <f>IF(AND($B100&lt;&gt;"",$C100&lt;&gt;"Target state",$C100&lt;&gt;"Exception",$D100="Low",$E100="Medium"),$A100&amp;"  "&amp;$B100,"")</f>
        <v/>
      </c>
      <c r="W100">
        <f>IF(AND($B100&lt;&gt;"",$C100&lt;&gt;"Target state",$C100&lt;&gt;"Exception",$D100="Low",$E100="High"),$A100&amp;"  "&amp;$B100,"")</f>
        <v/>
      </c>
    </row>
    <row r="101" ht="20" customHeight="1" s="52">
      <c r="A101" s="93" t="inlineStr">
        <is>
          <t>⑧</t>
        </is>
      </c>
      <c r="B101" s="94" t="n"/>
      <c r="C101" s="73" t="n"/>
      <c r="D101" s="73" t="n"/>
      <c r="E101" s="73" t="n"/>
      <c r="F101" s="72" t="n"/>
      <c r="G101" s="95">
        <f>IF(OR($B101="",$D101="",$E101=""),"",IF(OR($C101="Target state",$C101="Exception"),"Out of scope",IF($D101="Low","No tranche",IF($E101="Low","Tranche 1",IF($E101="Medium","Tranche 2",IF($D101="High","Tranche 3","No tranche"))))))</f>
        <v/>
      </c>
      <c r="J101" s="97" t="inlineStr">
        <is>
          <t>Low</t>
        </is>
      </c>
      <c r="K101" s="103">
        <f>_xlfn.TEXTJOIN(CHAR(10),TRUE,U$94:U$103)</f>
        <v/>
      </c>
      <c r="L101" s="103">
        <f>_xlfn.TEXTJOIN(CHAR(10),TRUE,V$94:V$103)</f>
        <v/>
      </c>
      <c r="M101" s="103">
        <f>_xlfn.TEXTJOIN(CHAR(10),TRUE,W$94:W$103)</f>
        <v/>
      </c>
      <c r="O101">
        <f>IF(AND($B101&lt;&gt;"",$C101&lt;&gt;"Target state",$C101&lt;&gt;"Exception",$D101="High",$E101="Low"),$A101&amp;"  "&amp;$B101,"")</f>
        <v/>
      </c>
      <c r="P101">
        <f>IF(AND($B101&lt;&gt;"",$C101&lt;&gt;"Target state",$C101&lt;&gt;"Exception",$D101="High",$E101="Medium"),$A101&amp;"  "&amp;$B101,"")</f>
        <v/>
      </c>
      <c r="Q101">
        <f>IF(AND($B101&lt;&gt;"",$C101&lt;&gt;"Target state",$C101&lt;&gt;"Exception",$D101="High",$E101="High"),$A101&amp;"  "&amp;$B101,"")</f>
        <v/>
      </c>
      <c r="R101">
        <f>IF(AND($B101&lt;&gt;"",$C101&lt;&gt;"Target state",$C101&lt;&gt;"Exception",$D101="Medium",$E101="Low"),$A101&amp;"  "&amp;$B101,"")</f>
        <v/>
      </c>
      <c r="S101">
        <f>IF(AND($B101&lt;&gt;"",$C101&lt;&gt;"Target state",$C101&lt;&gt;"Exception",$D101="Medium",$E101="Medium"),$A101&amp;"  "&amp;$B101,"")</f>
        <v/>
      </c>
      <c r="T101">
        <f>IF(AND($B101&lt;&gt;"",$C101&lt;&gt;"Target state",$C101&lt;&gt;"Exception",$D101="Medium",$E101="High"),$A101&amp;"  "&amp;$B101,"")</f>
        <v/>
      </c>
      <c r="U101">
        <f>IF(AND($B101&lt;&gt;"",$C101&lt;&gt;"Target state",$C101&lt;&gt;"Exception",$D101="Low",$E101="Low"),$A101&amp;"  "&amp;$B101,"")</f>
        <v/>
      </c>
      <c r="V101">
        <f>IF(AND($B101&lt;&gt;"",$C101&lt;&gt;"Target state",$C101&lt;&gt;"Exception",$D101="Low",$E101="Medium"),$A101&amp;"  "&amp;$B101,"")</f>
        <v/>
      </c>
      <c r="W101">
        <f>IF(AND($B101&lt;&gt;"",$C101&lt;&gt;"Target state",$C101&lt;&gt;"Exception",$D101="Low",$E101="High"),$A101&amp;"  "&amp;$B101,"")</f>
        <v/>
      </c>
    </row>
    <row r="102" ht="20" customHeight="1" s="52">
      <c r="A102" s="93" t="inlineStr">
        <is>
          <t>⑨</t>
        </is>
      </c>
      <c r="B102" s="94" t="n"/>
      <c r="C102" s="73" t="n"/>
      <c r="D102" s="73" t="n"/>
      <c r="E102" s="73" t="n"/>
      <c r="F102" s="72" t="n"/>
      <c r="G102" s="95">
        <f>IF(OR($B102="",$D102="",$E102=""),"",IF(OR($C102="Target state",$C102="Exception"),"Out of scope",IF($D102="Low","No tranche",IF($E102="Low","Tranche 1",IF($E102="Medium","Tranche 2",IF($D102="High","Tranche 3","No tranche"))))))</f>
        <v/>
      </c>
      <c r="K102" s="101" t="n"/>
      <c r="L102" s="101" t="n"/>
      <c r="M102" s="101" t="n"/>
      <c r="O102">
        <f>IF(AND($B102&lt;&gt;"",$C102&lt;&gt;"Target state",$C102&lt;&gt;"Exception",$D102="High",$E102="Low"),$A102&amp;"  "&amp;$B102,"")</f>
        <v/>
      </c>
      <c r="P102">
        <f>IF(AND($B102&lt;&gt;"",$C102&lt;&gt;"Target state",$C102&lt;&gt;"Exception",$D102="High",$E102="Medium"),$A102&amp;"  "&amp;$B102,"")</f>
        <v/>
      </c>
      <c r="Q102">
        <f>IF(AND($B102&lt;&gt;"",$C102&lt;&gt;"Target state",$C102&lt;&gt;"Exception",$D102="High",$E102="High"),$A102&amp;"  "&amp;$B102,"")</f>
        <v/>
      </c>
      <c r="R102">
        <f>IF(AND($B102&lt;&gt;"",$C102&lt;&gt;"Target state",$C102&lt;&gt;"Exception",$D102="Medium",$E102="Low"),$A102&amp;"  "&amp;$B102,"")</f>
        <v/>
      </c>
      <c r="S102">
        <f>IF(AND($B102&lt;&gt;"",$C102&lt;&gt;"Target state",$C102&lt;&gt;"Exception",$D102="Medium",$E102="Medium"),$A102&amp;"  "&amp;$B102,"")</f>
        <v/>
      </c>
      <c r="T102">
        <f>IF(AND($B102&lt;&gt;"",$C102&lt;&gt;"Target state",$C102&lt;&gt;"Exception",$D102="Medium",$E102="High"),$A102&amp;"  "&amp;$B102,"")</f>
        <v/>
      </c>
      <c r="U102">
        <f>IF(AND($B102&lt;&gt;"",$C102&lt;&gt;"Target state",$C102&lt;&gt;"Exception",$D102="Low",$E102="Low"),$A102&amp;"  "&amp;$B102,"")</f>
        <v/>
      </c>
      <c r="V102">
        <f>IF(AND($B102&lt;&gt;"",$C102&lt;&gt;"Target state",$C102&lt;&gt;"Exception",$D102="Low",$E102="Medium"),$A102&amp;"  "&amp;$B102,"")</f>
        <v/>
      </c>
      <c r="W102">
        <f>IF(AND($B102&lt;&gt;"",$C102&lt;&gt;"Target state",$C102&lt;&gt;"Exception",$D102="Low",$E102="High"),$A102&amp;"  "&amp;$B102,"")</f>
        <v/>
      </c>
    </row>
    <row r="103" ht="20" customHeight="1" s="52">
      <c r="A103" s="93" t="inlineStr">
        <is>
          <t>⑩</t>
        </is>
      </c>
      <c r="B103" s="94" t="n"/>
      <c r="C103" s="73" t="n"/>
      <c r="D103" s="73" t="n"/>
      <c r="E103" s="73" t="n"/>
      <c r="F103" s="72" t="n"/>
      <c r="G103" s="95">
        <f>IF(OR($B103="",$D103="",$E103=""),"",IF(OR($C103="Target state",$C103="Exception"),"Out of scope",IF($D103="Low","No tranche",IF($E103="Low","Tranche 1",IF($E103="Medium","Tranche 2",IF($D103="High","Tranche 3","No tranche"))))))</f>
        <v/>
      </c>
      <c r="K103" s="102" t="n"/>
      <c r="L103" s="102" t="n"/>
      <c r="M103" s="102" t="n"/>
      <c r="O103">
        <f>IF(AND($B103&lt;&gt;"",$C103&lt;&gt;"Target state",$C103&lt;&gt;"Exception",$D103="High",$E103="Low"),$A103&amp;"  "&amp;$B103,"")</f>
        <v/>
      </c>
      <c r="P103">
        <f>IF(AND($B103&lt;&gt;"",$C103&lt;&gt;"Target state",$C103&lt;&gt;"Exception",$D103="High",$E103="Medium"),$A103&amp;"  "&amp;$B103,"")</f>
        <v/>
      </c>
      <c r="Q103">
        <f>IF(AND($B103&lt;&gt;"",$C103&lt;&gt;"Target state",$C103&lt;&gt;"Exception",$D103="High",$E103="High"),$A103&amp;"  "&amp;$B103,"")</f>
        <v/>
      </c>
      <c r="R103">
        <f>IF(AND($B103&lt;&gt;"",$C103&lt;&gt;"Target state",$C103&lt;&gt;"Exception",$D103="Medium",$E103="Low"),$A103&amp;"  "&amp;$B103,"")</f>
        <v/>
      </c>
      <c r="S103">
        <f>IF(AND($B103&lt;&gt;"",$C103&lt;&gt;"Target state",$C103&lt;&gt;"Exception",$D103="Medium",$E103="Medium"),$A103&amp;"  "&amp;$B103,"")</f>
        <v/>
      </c>
      <c r="T103">
        <f>IF(AND($B103&lt;&gt;"",$C103&lt;&gt;"Target state",$C103&lt;&gt;"Exception",$D103="Medium",$E103="High"),$A103&amp;"  "&amp;$B103,"")</f>
        <v/>
      </c>
      <c r="U103">
        <f>IF(AND($B103&lt;&gt;"",$C103&lt;&gt;"Target state",$C103&lt;&gt;"Exception",$D103="Low",$E103="Low"),$A103&amp;"  "&amp;$B103,"")</f>
        <v/>
      </c>
      <c r="V103">
        <f>IF(AND($B103&lt;&gt;"",$C103&lt;&gt;"Target state",$C103&lt;&gt;"Exception",$D103="Low",$E103="Medium"),$A103&amp;"  "&amp;$B103,"")</f>
        <v/>
      </c>
      <c r="W103">
        <f>IF(AND($B103&lt;&gt;"",$C103&lt;&gt;"Target state",$C103&lt;&gt;"Exception",$D103="Low",$E103="High"),$A103&amp;"  "&amp;$B103,"")</f>
        <v/>
      </c>
    </row>
    <row r="104">
      <c r="K104" s="97" t="inlineStr">
        <is>
          <t>Complexity</t>
        </is>
      </c>
    </row>
  </sheetData>
  <mergeCells count="97">
    <mergeCell ref="J50:J52"/>
    <mergeCell ref="J101:J103"/>
    <mergeCell ref="L50:L52"/>
    <mergeCell ref="M21:M23"/>
    <mergeCell ref="K40:M40"/>
    <mergeCell ref="L34:L36"/>
    <mergeCell ref="K56:M56"/>
    <mergeCell ref="J66:J68"/>
    <mergeCell ref="K98:K100"/>
    <mergeCell ref="I30:I39"/>
    <mergeCell ref="L101:L103"/>
    <mergeCell ref="L30:L33"/>
    <mergeCell ref="L14:L17"/>
    <mergeCell ref="A44:F44"/>
    <mergeCell ref="I62:I71"/>
    <mergeCell ref="J69:J71"/>
    <mergeCell ref="M82:M84"/>
    <mergeCell ref="L46:L49"/>
    <mergeCell ref="A60:F60"/>
    <mergeCell ref="M69:M71"/>
    <mergeCell ref="J46:J49"/>
    <mergeCell ref="K30:K33"/>
    <mergeCell ref="K60:M60"/>
    <mergeCell ref="K44:M44"/>
    <mergeCell ref="K12:M12"/>
    <mergeCell ref="K37:K39"/>
    <mergeCell ref="J18:J20"/>
    <mergeCell ref="K94:K97"/>
    <mergeCell ref="A4:C4"/>
    <mergeCell ref="K18:K20"/>
    <mergeCell ref="A28:F28"/>
    <mergeCell ref="L66:L68"/>
    <mergeCell ref="J53:J55"/>
    <mergeCell ref="K21:K23"/>
    <mergeCell ref="L53:L55"/>
    <mergeCell ref="J34:J36"/>
    <mergeCell ref="J37:J39"/>
    <mergeCell ref="L37:L39"/>
    <mergeCell ref="K50:K52"/>
    <mergeCell ref="J85:J87"/>
    <mergeCell ref="I14:I23"/>
    <mergeCell ref="L85:L87"/>
    <mergeCell ref="J14:J17"/>
    <mergeCell ref="K76:M76"/>
    <mergeCell ref="M18:M20"/>
    <mergeCell ref="K101:K103"/>
    <mergeCell ref="M101:M103"/>
    <mergeCell ref="I78:I87"/>
    <mergeCell ref="J78:J81"/>
    <mergeCell ref="L78:L81"/>
    <mergeCell ref="K69:K71"/>
    <mergeCell ref="M85:M87"/>
    <mergeCell ref="I46:I55"/>
    <mergeCell ref="L62:L65"/>
    <mergeCell ref="M94:M97"/>
    <mergeCell ref="A76:F76"/>
    <mergeCell ref="M78:M81"/>
    <mergeCell ref="K46:K49"/>
    <mergeCell ref="M46:M49"/>
    <mergeCell ref="L98:L100"/>
    <mergeCell ref="J82:J84"/>
    <mergeCell ref="M30:M33"/>
    <mergeCell ref="L82:L84"/>
    <mergeCell ref="M98:M100"/>
    <mergeCell ref="A92:F92"/>
    <mergeCell ref="M14:M17"/>
    <mergeCell ref="K24:M24"/>
    <mergeCell ref="K104:M104"/>
    <mergeCell ref="K88:M88"/>
    <mergeCell ref="K72:M72"/>
    <mergeCell ref="L69:L71"/>
    <mergeCell ref="M66:M68"/>
    <mergeCell ref="I94:I103"/>
    <mergeCell ref="A12:F12"/>
    <mergeCell ref="K82:K84"/>
    <mergeCell ref="K66:K68"/>
    <mergeCell ref="J21:J23"/>
    <mergeCell ref="K53:K55"/>
    <mergeCell ref="L21:L23"/>
    <mergeCell ref="M53:M55"/>
    <mergeCell ref="K34:K36"/>
    <mergeCell ref="M50:M52"/>
    <mergeCell ref="J30:J33"/>
    <mergeCell ref="M34:M36"/>
    <mergeCell ref="K28:M28"/>
    <mergeCell ref="J94:J97"/>
    <mergeCell ref="L94:L97"/>
    <mergeCell ref="K85:K87"/>
    <mergeCell ref="K92:M92"/>
    <mergeCell ref="K14:K17"/>
    <mergeCell ref="J98:J100"/>
    <mergeCell ref="J62:J65"/>
    <mergeCell ref="L18:L20"/>
    <mergeCell ref="K78:K81"/>
    <mergeCell ref="K62:K65"/>
    <mergeCell ref="M62:M65"/>
    <mergeCell ref="M37:M39"/>
  </mergeCells>
  <conditionalFormatting sqref="A14:G23">
    <cfRule type="expression" priority="1" dxfId="43">
      <formula>OR($C14="Target state",$C14="Exception")</formula>
    </cfRule>
  </conditionalFormatting>
  <conditionalFormatting sqref="A30:G39">
    <cfRule type="expression" priority="2" dxfId="43">
      <formula>OR($C30="Target state",$C30="Exception")</formula>
    </cfRule>
  </conditionalFormatting>
  <conditionalFormatting sqref="A46:G55">
    <cfRule type="expression" priority="3" dxfId="43">
      <formula>OR($C46="Target state",$C46="Exception")</formula>
    </cfRule>
  </conditionalFormatting>
  <conditionalFormatting sqref="A62:G71">
    <cfRule type="expression" priority="4" dxfId="43">
      <formula>OR($C62="Target state",$C62="Exception")</formula>
    </cfRule>
  </conditionalFormatting>
  <conditionalFormatting sqref="A78:G87">
    <cfRule type="expression" priority="5" dxfId="43">
      <formula>OR($C78="Target state",$C78="Exception")</formula>
    </cfRule>
  </conditionalFormatting>
  <conditionalFormatting sqref="A94:G103">
    <cfRule type="expression" priority="6" dxfId="43">
      <formula>OR($C94="Target state",$C94="Exception")</formula>
    </cfRule>
  </conditionalFormatting>
  <dataValidations count="2">
    <dataValidation sqref="C14:C23 C30:C39 C46:C55 C62:C71 C78:C87 C94:C103" showDropDown="0" showInputMessage="0" showErrorMessage="0" allowBlank="1" type="list">
      <formula1>"Target state,Non-target state,Exception"</formula1>
    </dataValidation>
    <dataValidation sqref="D14:E23 D30:E39 D46:E55 D62:E71 D78:E87 D94:E10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/>
  </sheetPr>
  <dimension ref="A1:W118"/>
  <sheetViews>
    <sheetView showGridLines="0" workbookViewId="0">
      <selection activeCell="A1" sqref="A1"/>
    </sheetView>
  </sheetViews>
  <sheetFormatPr baseColWidth="8" defaultRowHeight="15"/>
  <cols>
    <col width="5" customWidth="1" style="52" min="1" max="1"/>
    <col width="26" customWidth="1" style="52" min="2" max="2"/>
    <col width="17" customWidth="1" style="52" min="3" max="3"/>
    <col width="16" customWidth="1" style="52" min="4" max="4"/>
    <col width="15" customWidth="1" style="52" min="5" max="5"/>
    <col width="44" customWidth="1" style="52" min="6" max="6"/>
    <col width="14" customWidth="1" style="52" min="7" max="7"/>
    <col width="2" customWidth="1" style="52" min="8" max="8"/>
    <col width="4" customWidth="1" style="52" min="9" max="9"/>
    <col width="9" customWidth="1" style="52" min="10" max="10"/>
    <col width="26" customWidth="1" style="52" min="11" max="11"/>
    <col width="26" customWidth="1" style="52" min="12" max="12"/>
    <col width="26" customWidth="1" style="52" min="13" max="13"/>
    <col width="2" customWidth="1" style="52" min="14" max="14"/>
    <col hidden="1" width="13" customWidth="1" style="52" min="15" max="15"/>
    <col hidden="1" width="13" customWidth="1" style="52" min="16" max="16"/>
    <col hidden="1" width="13" customWidth="1" style="52" min="17" max="17"/>
    <col hidden="1" width="13" customWidth="1" style="52" min="18" max="18"/>
    <col hidden="1" width="13" customWidth="1" style="52" min="19" max="19"/>
    <col hidden="1" width="13" customWidth="1" style="52" min="20" max="20"/>
    <col hidden="1" width="13" customWidth="1" style="52" min="21" max="21"/>
    <col hidden="1" width="13" customWidth="1" style="52" min="22" max="22"/>
    <col hidden="1" width="13" customWidth="1" style="52" min="23" max="23"/>
  </cols>
  <sheetData>
    <row r="1">
      <c r="A1" s="83" t="inlineStr">
        <is>
          <t>Single-out — Platform Assessment</t>
        </is>
      </c>
    </row>
    <row r="2">
      <c r="A2" s="84">
        <f>HYPERLINK("#'Summary'!A1","← Back to Summary")</f>
        <v/>
      </c>
      <c r="C2" s="85" t="inlineStr">
        <is>
          <t>Pick a State, score High / Medium / Low — the tranche, the matrix and the Summary update automatically.</t>
        </is>
      </c>
    </row>
    <row r="4">
      <c r="A4" s="86" t="inlineStr">
        <is>
          <t>Tracker — jump to a sub-capability:</t>
        </is>
      </c>
    </row>
    <row r="5">
      <c r="A5" s="87" t="inlineStr">
        <is>
          <t>1.</t>
        </is>
      </c>
      <c r="B5" s="84">
        <f>HYPERLINK("#'Single-out'!A12","Portal")</f>
        <v/>
      </c>
    </row>
    <row r="6">
      <c r="A6" s="87" t="inlineStr">
        <is>
          <t>2.</t>
        </is>
      </c>
      <c r="B6" s="84">
        <f>HYPERLINK("#'Single-out'!A41","Reporting")</f>
        <v/>
      </c>
    </row>
    <row r="7">
      <c r="A7" s="87" t="inlineStr">
        <is>
          <t>3.</t>
        </is>
      </c>
      <c r="B7" s="84">
        <f>HYPERLINK("#'Single-out'!A58","Billing")</f>
        <v/>
      </c>
    </row>
    <row r="8">
      <c r="A8" s="87" t="inlineStr">
        <is>
          <t>4.</t>
        </is>
      </c>
      <c r="B8" s="84">
        <f>HYPERLINK("#'Single-out'!A74","Disputes")</f>
        <v/>
      </c>
    </row>
    <row r="9">
      <c r="A9" s="87" t="inlineStr">
        <is>
          <t>5.</t>
        </is>
      </c>
      <c r="B9" s="84">
        <f>HYPERLINK("#'Single-out'!A90","Payouts")</f>
        <v/>
      </c>
    </row>
    <row r="10">
      <c r="A10" s="87" t="inlineStr">
        <is>
          <t>6.</t>
        </is>
      </c>
      <c r="B10" s="84">
        <f>HYPERLINK("#'Single-out'!A106","PFaaS Products")</f>
        <v/>
      </c>
    </row>
    <row r="12" ht="22" customHeight="1" s="52">
      <c r="A12" s="88" t="inlineStr">
        <is>
          <t>Portal</t>
        </is>
      </c>
      <c r="G12" s="89">
        <f>HYPERLINK("#'Single-out'!A4","▲ tracker")</f>
        <v/>
      </c>
      <c r="K12" s="90" t="inlineStr">
        <is>
          <t>Assessment Outcome</t>
        </is>
      </c>
    </row>
    <row r="13" ht="18" customHeight="1" s="52">
      <c r="A13" s="91" t="inlineStr">
        <is>
          <t>#</t>
        </is>
      </c>
      <c r="B13" s="91" t="inlineStr">
        <is>
          <t>Platform</t>
        </is>
      </c>
      <c r="C13" s="91" t="inlineStr">
        <is>
          <t>State</t>
        </is>
      </c>
      <c r="D13" s="91" t="inlineStr">
        <is>
          <t>Imperative to exit</t>
        </is>
      </c>
      <c r="E13" s="91" t="inlineStr">
        <is>
          <t>Exit complexity</t>
        </is>
      </c>
      <c r="F13" s="91" t="inlineStr">
        <is>
          <t>Supporting facts</t>
        </is>
      </c>
      <c r="G13" s="91" t="inlineStr">
        <is>
          <t>Tranche (auto)</t>
        </is>
      </c>
      <c r="K13" s="92" t="inlineStr">
        <is>
          <t>Low</t>
        </is>
      </c>
      <c r="L13" s="92" t="inlineStr">
        <is>
          <t>Medium</t>
        </is>
      </c>
      <c r="M13" s="92" t="inlineStr">
        <is>
          <t>High</t>
        </is>
      </c>
    </row>
    <row r="14" ht="30" customHeight="1" s="52">
      <c r="A14" s="93" t="inlineStr">
        <is>
          <t>①</t>
        </is>
      </c>
      <c r="B14" s="94" t="inlineStr">
        <is>
          <t>Heartland InfoCentral</t>
        </is>
      </c>
      <c r="C14" s="73" t="inlineStr">
        <is>
          <t>Non-target state</t>
        </is>
      </c>
      <c r="D14" s="73" t="n"/>
      <c r="E14" s="73" t="n"/>
      <c r="F14" s="72" t="inlineStr">
        <is>
          <t>Non-strategic main reporting platform for US merchants with about 19K monthly active users; functionality moves to My Account</t>
        </is>
      </c>
      <c r="G14" s="95">
        <f>IF(OR($B14="",$D14="",$E14=""),"",IF(OR($C14="Target state",$C14="Exception"),"Out of scope",IF($D14="Low","No tranche",IF($E14="Low","Tranche 1",IF($E14="Medium","Tranche 2",IF($D14="High","Tranche 3","No tranche"))))))</f>
        <v/>
      </c>
      <c r="I14" s="96" t="inlineStr">
        <is>
          <t>Benefits</t>
        </is>
      </c>
      <c r="J14" s="97" t="inlineStr">
        <is>
          <t>High</t>
        </is>
      </c>
      <c r="K14" s="98">
        <f>"Tranche 1"&amp;CHAR(10)&amp;_xlfn.TEXTJOIN(CHAR(10),TRUE,O$14:O$36)</f>
        <v/>
      </c>
      <c r="L14" s="99">
        <f>"Tranche 2"&amp;CHAR(10)&amp;_xlfn.TEXTJOIN(CHAR(10),TRUE,P$14:P$36)</f>
        <v/>
      </c>
      <c r="M14" s="100">
        <f>"Tranche 3"&amp;CHAR(10)&amp;_xlfn.TEXTJOIN(CHAR(10),TRUE,Q$14:Q$36)</f>
        <v/>
      </c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36" customHeight="1" s="52">
      <c r="A15" s="93" t="inlineStr">
        <is>
          <t>②</t>
        </is>
      </c>
      <c r="B15" s="94" t="inlineStr">
        <is>
          <t>Open Edge View (OEV)</t>
        </is>
      </c>
      <c r="C15" s="73" t="inlineStr">
        <is>
          <t>Non-target state</t>
        </is>
      </c>
      <c r="D15" s="73" t="n"/>
      <c r="E15" s="73" t="n"/>
      <c r="F15" s="72" t="inlineStr">
        <is>
          <t>Non-strategic reporting portal for the Edge gateway with about 35K unique monthly users; around $650K in yearly cost; functionality moves to My Account</t>
        </is>
      </c>
      <c r="G15" s="95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101" t="n"/>
      <c r="L15" s="101" t="n"/>
      <c r="M15" s="101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30" customHeight="1" s="52">
      <c r="A16" s="93" t="inlineStr">
        <is>
          <t>③</t>
        </is>
      </c>
      <c r="B16" s="94" t="inlineStr">
        <is>
          <t>Merchant Success Hub</t>
        </is>
      </c>
      <c r="C16" s="73" t="inlineStr">
        <is>
          <t>Non-target state</t>
        </is>
      </c>
      <c r="D16" s="73" t="n"/>
      <c r="E16" s="73" t="n"/>
      <c r="F16" s="72" t="inlineStr">
        <is>
          <t>Non-strategic reporting portal for the Edge gateway with about 14K unique monthly users; functionality moves to My Account</t>
        </is>
      </c>
      <c r="G16" s="95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101" t="n"/>
      <c r="L16" s="101" t="n"/>
      <c r="M16" s="101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30" customHeight="1" s="52">
      <c r="A17" s="93" t="inlineStr">
        <is>
          <t>④</t>
        </is>
      </c>
      <c r="B17" s="94" t="inlineStr">
        <is>
          <t>Merchantware Portal</t>
        </is>
      </c>
      <c r="C17" s="73" t="inlineStr">
        <is>
          <t>Non-target state</t>
        </is>
      </c>
      <c r="D17" s="73" t="n"/>
      <c r="E17" s="73" t="n"/>
      <c r="F17" s="72" t="inlineStr">
        <is>
          <t>Non-strategic reporting portal for the Merchantware gateway; functionality moves to My Account alongside the other legacy portals</t>
        </is>
      </c>
      <c r="G17" s="95">
        <f>IF(OR($B17="",$D17="",$E17=""),"",IF(OR($C17="Target state",$C17="Exception"),"Out of scope",IF($D17="Low","No tranche",IF($E17="Low","Tranche 1",IF($E17="Medium","Tranche 2",IF($D17="High","Tranche 3","No tranche"))))))</f>
        <v/>
      </c>
      <c r="K17" s="101" t="n"/>
      <c r="L17" s="101" t="n"/>
      <c r="M17" s="101" t="n"/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36" customHeight="1" s="52">
      <c r="A18" s="93" t="inlineStr">
        <is>
          <t>⑤</t>
        </is>
      </c>
      <c r="B18" s="94" t="inlineStr">
        <is>
          <t>Translink</t>
        </is>
      </c>
      <c r="C18" s="73" t="inlineStr">
        <is>
          <t>Non-target state</t>
        </is>
      </c>
      <c r="D18" s="73" t="n"/>
      <c r="E18" s="73" t="n"/>
      <c r="F18" s="72" t="inlineStr">
        <is>
          <t>Non-strategic reporting and servicing portal for legacy TSYS merchants with about 225K external users; around $370K in yearly cost; replaced by Base CRM under ECHO</t>
        </is>
      </c>
      <c r="G18" s="95">
        <f>IF(OR($B18="",$D18="",$E18=""),"",IF(OR($C18="Target state",$C18="Exception"),"Out of scope",IF($D18="Low","No tranche",IF($E18="Low","Tranche 1",IF($E18="Medium","Tranche 2",IF($D18="High","Tranche 3","No tranche"))))))</f>
        <v/>
      </c>
      <c r="K18" s="101" t="n"/>
      <c r="L18" s="101" t="n"/>
      <c r="M18" s="101" t="n"/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30" customHeight="1" s="52">
      <c r="A19" s="93" t="inlineStr">
        <is>
          <t>⑥</t>
        </is>
      </c>
      <c r="B19" s="94" t="inlineStr">
        <is>
          <t>GPE Merchant Portal</t>
        </is>
      </c>
      <c r="C19" s="73" t="inlineStr">
        <is>
          <t>Non-target state</t>
        </is>
      </c>
      <c r="D19" s="73" t="n"/>
      <c r="E19" s="73" t="n"/>
      <c r="F19" s="72" t="inlineStr">
        <is>
          <t>Non-strategic main reporting platform for GPE merchants with about 89K external users; around $130K in yearly cost; replaced by Marketplace</t>
        </is>
      </c>
      <c r="G19" s="95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101" t="n"/>
      <c r="L19" s="101" t="n"/>
      <c r="M19" s="101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36" customHeight="1" s="52">
      <c r="A20" s="93" t="inlineStr">
        <is>
          <t>⑦</t>
        </is>
      </c>
      <c r="B20" s="94" t="inlineStr">
        <is>
          <t>eService Client Portal</t>
        </is>
      </c>
      <c r="C20" s="73" t="inlineStr">
        <is>
          <t>Non-target state</t>
        </is>
      </c>
      <c r="D20" s="73" t="n"/>
      <c r="E20" s="73" t="n"/>
      <c r="F20" s="72" t="inlineStr">
        <is>
          <t>Non-strategic web portal for EVO merchants in Poland, Czechia and Hungary with about 180K users across multiple branded instances; migration path agreed</t>
        </is>
      </c>
      <c r="G20" s="95">
        <f>IF(OR($B20="",$D20="",$E20=""),"",IF(OR($C20="Target state",$C20="Exception"),"Out of scope",IF($D20="Low","No tranche",IF($E20="Low","Tranche 1",IF($E20="Medium","Tranche 2",IF($D20="High","Tranche 3","No tranche"))))))</f>
        <v/>
      </c>
      <c r="K20" s="101" t="n"/>
      <c r="L20" s="101" t="n"/>
      <c r="M20" s="101" t="n"/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30" customHeight="1" s="52">
      <c r="A21" s="93" t="inlineStr">
        <is>
          <t>⑧</t>
        </is>
      </c>
      <c r="B21" s="94" t="inlineStr">
        <is>
          <t>BIS</t>
        </is>
      </c>
      <c r="C21" s="73" t="inlineStr">
        <is>
          <t>Non-target state</t>
        </is>
      </c>
      <c r="D21" s="73" t="n"/>
      <c r="E21" s="73" t="n"/>
      <c r="F21" s="72" t="inlineStr">
        <is>
          <t>Non-strategic main portal for EVO staff and merchants in Germany with about 5K users; under $50K in yearly cost; migration path agreed</t>
        </is>
      </c>
      <c r="G21" s="95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102" t="n"/>
      <c r="L21" s="102" t="n"/>
      <c r="M21" s="102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36" customHeight="1" s="52">
      <c r="A22" s="93" t="inlineStr">
        <is>
          <t>⑨</t>
        </is>
      </c>
      <c r="B22" s="94" t="inlineStr">
        <is>
          <t>BRC</t>
        </is>
      </c>
      <c r="C22" s="73" t="inlineStr">
        <is>
          <t>Non-target state</t>
        </is>
      </c>
      <c r="D22" s="73" t="n"/>
      <c r="E22" s="73" t="n"/>
      <c r="F22" s="72" t="inlineStr">
        <is>
          <t>Non-strategic customer portal for EVO merchants in Spain, Ireland and UK with about 78K merchant accounts and limited ongoing development; migration path agreed</t>
        </is>
      </c>
      <c r="G22" s="95">
        <f>IF(OR($B22="",$D22="",$E22=""),"",IF(OR($C22="Target state",$C22="Exception"),"Out of scope",IF($D22="Low","No tranche",IF($E22="Low","Tranche 1",IF($E22="Medium","Tranche 2",IF($D22="High","Tranche 3","No tranche"))))))</f>
        <v/>
      </c>
      <c r="J22" s="97" t="inlineStr">
        <is>
          <t>Medium</t>
        </is>
      </c>
      <c r="K22" s="98">
        <f>"Tranche 1"&amp;CHAR(10)&amp;_xlfn.TEXTJOIN(CHAR(10),TRUE,R$14:R$36)</f>
        <v/>
      </c>
      <c r="L22" s="99">
        <f>"Tranche 2"&amp;CHAR(10)&amp;_xlfn.TEXTJOIN(CHAR(10),TRUE,S$14:S$36)</f>
        <v/>
      </c>
      <c r="M22" s="103">
        <f>_xlfn.TEXTJOIN(CHAR(10),TRUE,T$14:T$36)</f>
        <v/>
      </c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36" customHeight="1" s="52">
      <c r="A23" s="93" t="inlineStr">
        <is>
          <t>⑩</t>
        </is>
      </c>
      <c r="B23" s="94" t="inlineStr">
        <is>
          <t>MyEVO</t>
        </is>
      </c>
      <c r="C23" s="73" t="inlineStr">
        <is>
          <t>Non-target state</t>
        </is>
      </c>
      <c r="D23" s="73" t="n"/>
      <c r="E23" s="73" t="n"/>
      <c r="F23" s="72" t="inlineStr">
        <is>
          <t>Non-strategic merchant portal noted for low experience quality and high third-party build cost; about $150K in yearly cost; replaced by EVO in Control</t>
        </is>
      </c>
      <c r="G23" s="95">
        <f>IF(OR($B23="",$D23="",$E23=""),"",IF(OR($C23="Target state",$C23="Exception"),"Out of scope",IF($D23="Low","No tranche",IF($E23="Low","Tranche 1",IF($E23="Medium","Tranche 2",IF($D23="High","Tranche 3","No tranche"))))))</f>
        <v/>
      </c>
      <c r="K23" s="101" t="n"/>
      <c r="L23" s="101" t="n"/>
      <c r="M23" s="101" t="n"/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4" ht="36" customHeight="1" s="52">
      <c r="A24" s="93" t="inlineStr">
        <is>
          <t>⑪</t>
        </is>
      </c>
      <c r="B24" s="94" t="inlineStr">
        <is>
          <t>EVO Connect</t>
        </is>
      </c>
      <c r="C24" s="73" t="inlineStr">
        <is>
          <t>Non-target state</t>
        </is>
      </c>
      <c r="D24" s="73" t="n"/>
      <c r="E24" s="73" t="n"/>
      <c r="F24" s="72" t="inlineStr">
        <is>
          <t>Non-strategic EVO in Control portal due to be replaced by the partner portal; about $150K in yearly cost; repository flags Further Input — confirm with SPOC</t>
        </is>
      </c>
      <c r="G24" s="95">
        <f>IF(OR($B24="",$D24="",$E24=""),"",IF(OR($C24="Target state",$C24="Exception"),"Out of scope",IF($D24="Low","No tranche",IF($E24="Low","Tranche 1",IF($E24="Medium","Tranche 2",IF($D24="High","Tranche 3","No tranche"))))))</f>
        <v/>
      </c>
      <c r="K24" s="101" t="n"/>
      <c r="L24" s="101" t="n"/>
      <c r="M24" s="101" t="n"/>
      <c r="O24">
        <f>IF(AND($B24&lt;&gt;"",$C24&lt;&gt;"Target state",$C24&lt;&gt;"Exception",$D24="High",$E24="Low"),$A24&amp;"  "&amp;$B24,"")</f>
        <v/>
      </c>
      <c r="P24">
        <f>IF(AND($B24&lt;&gt;"",$C24&lt;&gt;"Target state",$C24&lt;&gt;"Exception",$D24="High",$E24="Medium"),$A24&amp;"  "&amp;$B24,"")</f>
        <v/>
      </c>
      <c r="Q24">
        <f>IF(AND($B24&lt;&gt;"",$C24&lt;&gt;"Target state",$C24&lt;&gt;"Exception",$D24="High",$E24="High"),$A24&amp;"  "&amp;$B24,"")</f>
        <v/>
      </c>
      <c r="R24">
        <f>IF(AND($B24&lt;&gt;"",$C24&lt;&gt;"Target state",$C24&lt;&gt;"Exception",$D24="Medium",$E24="Low"),$A24&amp;"  "&amp;$B24,"")</f>
        <v/>
      </c>
      <c r="S24">
        <f>IF(AND($B24&lt;&gt;"",$C24&lt;&gt;"Target state",$C24&lt;&gt;"Exception",$D24="Medium",$E24="Medium"),$A24&amp;"  "&amp;$B24,"")</f>
        <v/>
      </c>
      <c r="T24">
        <f>IF(AND($B24&lt;&gt;"",$C24&lt;&gt;"Target state",$C24&lt;&gt;"Exception",$D24="Medium",$E24="High"),$A24&amp;"  "&amp;$B24,"")</f>
        <v/>
      </c>
      <c r="U24">
        <f>IF(AND($B24&lt;&gt;"",$C24&lt;&gt;"Target state",$C24&lt;&gt;"Exception",$D24="Low",$E24="Low"),$A24&amp;"  "&amp;$B24,"")</f>
        <v/>
      </c>
      <c r="V24">
        <f>IF(AND($B24&lt;&gt;"",$C24&lt;&gt;"Target state",$C24&lt;&gt;"Exception",$D24="Low",$E24="Medium"),$A24&amp;"  "&amp;$B24,"")</f>
        <v/>
      </c>
      <c r="W24">
        <f>IF(AND($B24&lt;&gt;"",$C24&lt;&gt;"Target state",$C24&lt;&gt;"Exception",$D24="Low",$E24="High"),$A24&amp;"  "&amp;$B24,"")</f>
        <v/>
      </c>
    </row>
    <row r="25" ht="30" customHeight="1" s="52">
      <c r="A25" s="93" t="inlineStr">
        <is>
          <t>⑫</t>
        </is>
      </c>
      <c r="B25" s="94" t="inlineStr">
        <is>
          <t>IPG Portal</t>
        </is>
      </c>
      <c r="C25" s="73" t="inlineStr">
        <is>
          <t>Non-target state</t>
        </is>
      </c>
      <c r="D25" s="73" t="n"/>
      <c r="E25" s="73" t="n"/>
      <c r="F25" s="72" t="inlineStr">
        <is>
          <t>Non-strategic gateway-level merchant portal for IPG; follows the IPG decommission path</t>
        </is>
      </c>
      <c r="G25" s="95">
        <f>IF(OR($B25="",$D25="",$E25=""),"",IF(OR($C25="Target state",$C25="Exception"),"Out of scope",IF($D25="Low","No tranche",IF($E25="Low","Tranche 1",IF($E25="Medium","Tranche 2",IF($D25="High","Tranche 3","No tranche"))))))</f>
        <v/>
      </c>
      <c r="K25" s="101" t="n"/>
      <c r="L25" s="101" t="n"/>
      <c r="M25" s="101" t="n"/>
      <c r="O25">
        <f>IF(AND($B25&lt;&gt;"",$C25&lt;&gt;"Target state",$C25&lt;&gt;"Exception",$D25="High",$E25="Low"),$A25&amp;"  "&amp;$B25,"")</f>
        <v/>
      </c>
      <c r="P25">
        <f>IF(AND($B25&lt;&gt;"",$C25&lt;&gt;"Target state",$C25&lt;&gt;"Exception",$D25="High",$E25="Medium"),$A25&amp;"  "&amp;$B25,"")</f>
        <v/>
      </c>
      <c r="Q25">
        <f>IF(AND($B25&lt;&gt;"",$C25&lt;&gt;"Target state",$C25&lt;&gt;"Exception",$D25="High",$E25="High"),$A25&amp;"  "&amp;$B25,"")</f>
        <v/>
      </c>
      <c r="R25">
        <f>IF(AND($B25&lt;&gt;"",$C25&lt;&gt;"Target state",$C25&lt;&gt;"Exception",$D25="Medium",$E25="Low"),$A25&amp;"  "&amp;$B25,"")</f>
        <v/>
      </c>
      <c r="S25">
        <f>IF(AND($B25&lt;&gt;"",$C25&lt;&gt;"Target state",$C25&lt;&gt;"Exception",$D25="Medium",$E25="Medium"),$A25&amp;"  "&amp;$B25,"")</f>
        <v/>
      </c>
      <c r="T25">
        <f>IF(AND($B25&lt;&gt;"",$C25&lt;&gt;"Target state",$C25&lt;&gt;"Exception",$D25="Medium",$E25="High"),$A25&amp;"  "&amp;$B25,"")</f>
        <v/>
      </c>
      <c r="U25">
        <f>IF(AND($B25&lt;&gt;"",$C25&lt;&gt;"Target state",$C25&lt;&gt;"Exception",$D25="Low",$E25="Low"),$A25&amp;"  "&amp;$B25,"")</f>
        <v/>
      </c>
      <c r="V25">
        <f>IF(AND($B25&lt;&gt;"",$C25&lt;&gt;"Target state",$C25&lt;&gt;"Exception",$D25="Low",$E25="Medium"),$A25&amp;"  "&amp;$B25,"")</f>
        <v/>
      </c>
      <c r="W25">
        <f>IF(AND($B25&lt;&gt;"",$C25&lt;&gt;"Target state",$C25&lt;&gt;"Exception",$D25="Low",$E25="High"),$A25&amp;"  "&amp;$B25,"")</f>
        <v/>
      </c>
    </row>
    <row r="26" ht="30" customHeight="1" s="52">
      <c r="A26" s="93" t="inlineStr">
        <is>
          <t>⑬</t>
        </is>
      </c>
      <c r="B26" s="94" t="inlineStr">
        <is>
          <t>MyEway</t>
        </is>
      </c>
      <c r="C26" s="73" t="inlineStr">
        <is>
          <t>Non-target state</t>
        </is>
      </c>
      <c r="D26" s="73" t="n"/>
      <c r="E26" s="73" t="n"/>
      <c r="F26" s="72" t="inlineStr">
        <is>
          <t>Non-strategic main reporting platform for Eway clients in Oceania; sustain in KTLO per the repository</t>
        </is>
      </c>
      <c r="G26" s="95">
        <f>IF(OR($B26="",$D26="",$E26=""),"",IF(OR($C26="Target state",$C26="Exception"),"Out of scope",IF($D26="Low","No tranche",IF($E26="Low","Tranche 1",IF($E26="Medium","Tranche 2",IF($D26="High","Tranche 3","No tranche"))))))</f>
        <v/>
      </c>
      <c r="K26" s="101" t="n"/>
      <c r="L26" s="101" t="n"/>
      <c r="M26" s="101" t="n"/>
      <c r="O26">
        <f>IF(AND($B26&lt;&gt;"",$C26&lt;&gt;"Target state",$C26&lt;&gt;"Exception",$D26="High",$E26="Low"),$A26&amp;"  "&amp;$B26,"")</f>
        <v/>
      </c>
      <c r="P26">
        <f>IF(AND($B26&lt;&gt;"",$C26&lt;&gt;"Target state",$C26&lt;&gt;"Exception",$D26="High",$E26="Medium"),$A26&amp;"  "&amp;$B26,"")</f>
        <v/>
      </c>
      <c r="Q26">
        <f>IF(AND($B26&lt;&gt;"",$C26&lt;&gt;"Target state",$C26&lt;&gt;"Exception",$D26="High",$E26="High"),$A26&amp;"  "&amp;$B26,"")</f>
        <v/>
      </c>
      <c r="R26">
        <f>IF(AND($B26&lt;&gt;"",$C26&lt;&gt;"Target state",$C26&lt;&gt;"Exception",$D26="Medium",$E26="Low"),$A26&amp;"  "&amp;$B26,"")</f>
        <v/>
      </c>
      <c r="S26">
        <f>IF(AND($B26&lt;&gt;"",$C26&lt;&gt;"Target state",$C26&lt;&gt;"Exception",$D26="Medium",$E26="Medium"),$A26&amp;"  "&amp;$B26,"")</f>
        <v/>
      </c>
      <c r="T26">
        <f>IF(AND($B26&lt;&gt;"",$C26&lt;&gt;"Target state",$C26&lt;&gt;"Exception",$D26="Medium",$E26="High"),$A26&amp;"  "&amp;$B26,"")</f>
        <v/>
      </c>
      <c r="U26">
        <f>IF(AND($B26&lt;&gt;"",$C26&lt;&gt;"Target state",$C26&lt;&gt;"Exception",$D26="Low",$E26="Low"),$A26&amp;"  "&amp;$B26,"")</f>
        <v/>
      </c>
      <c r="V26">
        <f>IF(AND($B26&lt;&gt;"",$C26&lt;&gt;"Target state",$C26&lt;&gt;"Exception",$D26="Low",$E26="Medium"),$A26&amp;"  "&amp;$B26,"")</f>
        <v/>
      </c>
      <c r="W26">
        <f>IF(AND($B26&lt;&gt;"",$C26&lt;&gt;"Target state",$C26&lt;&gt;"Exception",$D26="Low",$E26="High"),$A26&amp;"  "&amp;$B26,"")</f>
        <v/>
      </c>
    </row>
    <row r="27" ht="30" customHeight="1" s="52">
      <c r="A27" s="93" t="inlineStr">
        <is>
          <t>⑭</t>
        </is>
      </c>
      <c r="B27" s="94" t="inlineStr">
        <is>
          <t>EziOnline</t>
        </is>
      </c>
      <c r="C27" s="73" t="inlineStr">
        <is>
          <t>Non-target state</t>
        </is>
      </c>
      <c r="D27" s="73" t="n"/>
      <c r="E27" s="73" t="n"/>
      <c r="F27" s="72" t="inlineStr">
        <is>
          <t>Non-strategic main reporting platform for Ezidebit clients fronting Highlander; sustain in KTLO per the repository</t>
        </is>
      </c>
      <c r="G27" s="95">
        <f>IF(OR($B27="",$D27="",$E27=""),"",IF(OR($C27="Target state",$C27="Exception"),"Out of scope",IF($D27="Low","No tranche",IF($E27="Low","Tranche 1",IF($E27="Medium","Tranche 2",IF($D27="High","Tranche 3","No tranche"))))))</f>
        <v/>
      </c>
      <c r="K27" s="101" t="n"/>
      <c r="L27" s="101" t="n"/>
      <c r="M27" s="101" t="n"/>
      <c r="O27">
        <f>IF(AND($B27&lt;&gt;"",$C27&lt;&gt;"Target state",$C27&lt;&gt;"Exception",$D27="High",$E27="Low"),$A27&amp;"  "&amp;$B27,"")</f>
        <v/>
      </c>
      <c r="P27">
        <f>IF(AND($B27&lt;&gt;"",$C27&lt;&gt;"Target state",$C27&lt;&gt;"Exception",$D27="High",$E27="Medium"),$A27&amp;"  "&amp;$B27,"")</f>
        <v/>
      </c>
      <c r="Q27">
        <f>IF(AND($B27&lt;&gt;"",$C27&lt;&gt;"Target state",$C27&lt;&gt;"Exception",$D27="High",$E27="High"),$A27&amp;"  "&amp;$B27,"")</f>
        <v/>
      </c>
      <c r="R27">
        <f>IF(AND($B27&lt;&gt;"",$C27&lt;&gt;"Target state",$C27&lt;&gt;"Exception",$D27="Medium",$E27="Low"),$A27&amp;"  "&amp;$B27,"")</f>
        <v/>
      </c>
      <c r="S27">
        <f>IF(AND($B27&lt;&gt;"",$C27&lt;&gt;"Target state",$C27&lt;&gt;"Exception",$D27="Medium",$E27="Medium"),$A27&amp;"  "&amp;$B27,"")</f>
        <v/>
      </c>
      <c r="T27">
        <f>IF(AND($B27&lt;&gt;"",$C27&lt;&gt;"Target state",$C27&lt;&gt;"Exception",$D27="Medium",$E27="High"),$A27&amp;"  "&amp;$B27,"")</f>
        <v/>
      </c>
      <c r="U27">
        <f>IF(AND($B27&lt;&gt;"",$C27&lt;&gt;"Target state",$C27&lt;&gt;"Exception",$D27="Low",$E27="Low"),$A27&amp;"  "&amp;$B27,"")</f>
        <v/>
      </c>
      <c r="V27">
        <f>IF(AND($B27&lt;&gt;"",$C27&lt;&gt;"Target state",$C27&lt;&gt;"Exception",$D27="Low",$E27="Medium"),$A27&amp;"  "&amp;$B27,"")</f>
        <v/>
      </c>
      <c r="W27">
        <f>IF(AND($B27&lt;&gt;"",$C27&lt;&gt;"Target state",$C27&lt;&gt;"Exception",$D27="Low",$E27="High"),$A27&amp;"  "&amp;$B27,"")</f>
        <v/>
      </c>
    </row>
    <row r="28" ht="30" customHeight="1" s="52">
      <c r="A28" s="93" t="inlineStr">
        <is>
          <t>⑮</t>
        </is>
      </c>
      <c r="B28" s="94" t="inlineStr">
        <is>
          <t>Partner Success Hub</t>
        </is>
      </c>
      <c r="C28" s="73" t="inlineStr">
        <is>
          <t>Non-target state</t>
        </is>
      </c>
      <c r="D28" s="73" t="n"/>
      <c r="E28" s="73" t="n"/>
      <c r="F28" s="72" t="inlineStr">
        <is>
          <t>Non-strategic Salesforce-communities partner portal for integrated partners; sustain in KTLO per the repository</t>
        </is>
      </c>
      <c r="G28" s="95">
        <f>IF(OR($B28="",$D28="",$E28=""),"",IF(OR($C28="Target state",$C28="Exception"),"Out of scope",IF($D28="Low","No tranche",IF($E28="Low","Tranche 1",IF($E28="Medium","Tranche 2",IF($D28="High","Tranche 3","No tranche"))))))</f>
        <v/>
      </c>
      <c r="K28" s="101" t="n"/>
      <c r="L28" s="101" t="n"/>
      <c r="M28" s="101" t="n"/>
      <c r="O28">
        <f>IF(AND($B28&lt;&gt;"",$C28&lt;&gt;"Target state",$C28&lt;&gt;"Exception",$D28="High",$E28="Low"),$A28&amp;"  "&amp;$B28,"")</f>
        <v/>
      </c>
      <c r="P28">
        <f>IF(AND($B28&lt;&gt;"",$C28&lt;&gt;"Target state",$C28&lt;&gt;"Exception",$D28="High",$E28="Medium"),$A28&amp;"  "&amp;$B28,"")</f>
        <v/>
      </c>
      <c r="Q28">
        <f>IF(AND($B28&lt;&gt;"",$C28&lt;&gt;"Target state",$C28&lt;&gt;"Exception",$D28="High",$E28="High"),$A28&amp;"  "&amp;$B28,"")</f>
        <v/>
      </c>
      <c r="R28">
        <f>IF(AND($B28&lt;&gt;"",$C28&lt;&gt;"Target state",$C28&lt;&gt;"Exception",$D28="Medium",$E28="Low"),$A28&amp;"  "&amp;$B28,"")</f>
        <v/>
      </c>
      <c r="S28">
        <f>IF(AND($B28&lt;&gt;"",$C28&lt;&gt;"Target state",$C28&lt;&gt;"Exception",$D28="Medium",$E28="Medium"),$A28&amp;"  "&amp;$B28,"")</f>
        <v/>
      </c>
      <c r="T28">
        <f>IF(AND($B28&lt;&gt;"",$C28&lt;&gt;"Target state",$C28&lt;&gt;"Exception",$D28="Medium",$E28="High"),$A28&amp;"  "&amp;$B28,"")</f>
        <v/>
      </c>
      <c r="U28">
        <f>IF(AND($B28&lt;&gt;"",$C28&lt;&gt;"Target state",$C28&lt;&gt;"Exception",$D28="Low",$E28="Low"),$A28&amp;"  "&amp;$B28,"")</f>
        <v/>
      </c>
      <c r="V28">
        <f>IF(AND($B28&lt;&gt;"",$C28&lt;&gt;"Target state",$C28&lt;&gt;"Exception",$D28="Low",$E28="Medium"),$A28&amp;"  "&amp;$B28,"")</f>
        <v/>
      </c>
      <c r="W28">
        <f>IF(AND($B28&lt;&gt;"",$C28&lt;&gt;"Target state",$C28&lt;&gt;"Exception",$D28="Low",$E28="High"),$A28&amp;"  "&amp;$B28,"")</f>
        <v/>
      </c>
    </row>
    <row r="29" ht="36" customHeight="1" s="52">
      <c r="A29" s="93" t="inlineStr">
        <is>
          <t>⑯</t>
        </is>
      </c>
      <c r="B29" s="94" t="inlineStr">
        <is>
          <t>Heartland Partner Portal</t>
        </is>
      </c>
      <c r="C29" s="73" t="inlineStr">
        <is>
          <t>Non-target state</t>
        </is>
      </c>
      <c r="D29" s="73" t="n"/>
      <c r="E29" s="73" t="n"/>
      <c r="F29" s="72" t="inlineStr">
        <is>
          <t>Partner-facing portal for lead progression, referrals and residuals on a Snowflake source; repository flags Keep &amp; Enhance with selective migration — confirm with SPOC</t>
        </is>
      </c>
      <c r="G29" s="95">
        <f>IF(OR($B29="",$D29="",$E29=""),"",IF(OR($C29="Target state",$C29="Exception"),"Out of scope",IF($D29="Low","No tranche",IF($E29="Low","Tranche 1",IF($E29="Medium","Tranche 2",IF($D29="High","Tranche 3","No tranche"))))))</f>
        <v/>
      </c>
      <c r="K29" s="102" t="n"/>
      <c r="L29" s="102" t="n"/>
      <c r="M29" s="102" t="n"/>
      <c r="O29">
        <f>IF(AND($B29&lt;&gt;"",$C29&lt;&gt;"Target state",$C29&lt;&gt;"Exception",$D29="High",$E29="Low"),$A29&amp;"  "&amp;$B29,"")</f>
        <v/>
      </c>
      <c r="P29">
        <f>IF(AND($B29&lt;&gt;"",$C29&lt;&gt;"Target state",$C29&lt;&gt;"Exception",$D29="High",$E29="Medium"),$A29&amp;"  "&amp;$B29,"")</f>
        <v/>
      </c>
      <c r="Q29">
        <f>IF(AND($B29&lt;&gt;"",$C29&lt;&gt;"Target state",$C29&lt;&gt;"Exception",$D29="High",$E29="High"),$A29&amp;"  "&amp;$B29,"")</f>
        <v/>
      </c>
      <c r="R29">
        <f>IF(AND($B29&lt;&gt;"",$C29&lt;&gt;"Target state",$C29&lt;&gt;"Exception",$D29="Medium",$E29="Low"),$A29&amp;"  "&amp;$B29,"")</f>
        <v/>
      </c>
      <c r="S29">
        <f>IF(AND($B29&lt;&gt;"",$C29&lt;&gt;"Target state",$C29&lt;&gt;"Exception",$D29="Medium",$E29="Medium"),$A29&amp;"  "&amp;$B29,"")</f>
        <v/>
      </c>
      <c r="T29">
        <f>IF(AND($B29&lt;&gt;"",$C29&lt;&gt;"Target state",$C29&lt;&gt;"Exception",$D29="Medium",$E29="High"),$A29&amp;"  "&amp;$B29,"")</f>
        <v/>
      </c>
      <c r="U29">
        <f>IF(AND($B29&lt;&gt;"",$C29&lt;&gt;"Target state",$C29&lt;&gt;"Exception",$D29="Low",$E29="Low"),$A29&amp;"  "&amp;$B29,"")</f>
        <v/>
      </c>
      <c r="V29">
        <f>IF(AND($B29&lt;&gt;"",$C29&lt;&gt;"Target state",$C29&lt;&gt;"Exception",$D29="Low",$E29="Medium"),$A29&amp;"  "&amp;$B29,"")</f>
        <v/>
      </c>
      <c r="W29">
        <f>IF(AND($B29&lt;&gt;"",$C29&lt;&gt;"Target state",$C29&lt;&gt;"Exception",$D29="Low",$E29="High"),$A29&amp;"  "&amp;$B29,"")</f>
        <v/>
      </c>
    </row>
    <row r="30" ht="30" customHeight="1" s="52">
      <c r="A30" s="93" t="inlineStr">
        <is>
          <t>⑰</t>
        </is>
      </c>
      <c r="B30" s="94" t="inlineStr">
        <is>
          <t>PayPortal (Chargezoom)</t>
        </is>
      </c>
      <c r="C30" s="73" t="inlineStr">
        <is>
          <t>Non-target state</t>
        </is>
      </c>
      <c r="D30" s="73" t="n"/>
      <c r="E30" s="73" t="n"/>
      <c r="F30" s="72" t="inlineStr">
        <is>
          <t>Third-party B2B software with level 2 and 3 processing, invoicing and QuickBooks syncing for about 500 US SMBs; sustain in KTLO per the repository</t>
        </is>
      </c>
      <c r="G30" s="95">
        <f>IF(OR($B30="",$D30="",$E30=""),"",IF(OR($C30="Target state",$C30="Exception"),"Out of scope",IF($D30="Low","No tranche",IF($E30="Low","Tranche 1",IF($E30="Medium","Tranche 2",IF($D30="High","Tranche 3","No tranche"))))))</f>
        <v/>
      </c>
      <c r="J30" s="97" t="inlineStr">
        <is>
          <t>Low</t>
        </is>
      </c>
      <c r="K30" s="103">
        <f>_xlfn.TEXTJOIN(CHAR(10),TRUE,U$14:U$36)</f>
        <v/>
      </c>
      <c r="L30" s="103">
        <f>_xlfn.TEXTJOIN(CHAR(10),TRUE,V$14:V$36)</f>
        <v/>
      </c>
      <c r="M30" s="103">
        <f>_xlfn.TEXTJOIN(CHAR(10),TRUE,W$14:W$36)</f>
        <v/>
      </c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36" customHeight="1" s="52">
      <c r="A31" s="93" t="inlineStr">
        <is>
          <t>⑱</t>
        </is>
      </c>
      <c r="B31" s="94" t="inlineStr">
        <is>
          <t>Beyond One</t>
        </is>
      </c>
      <c r="C31" s="73" t="inlineStr">
        <is>
          <t>Non-target state</t>
        </is>
      </c>
      <c r="D31" s="73" t="n"/>
      <c r="E31" s="73" t="n"/>
      <c r="F31" s="72" t="inlineStr">
        <is>
          <t>Non-strategic Get Beyond platform hosting the Sellers, Payments and Commerce apps for about 12.5K MIDs; around $285K in yearly cost; on the decommission path</t>
        </is>
      </c>
      <c r="G31" s="95">
        <f>IF(OR($B31="",$D31="",$E31=""),"",IF(OR($C31="Target state",$C31="Exception"),"Out of scope",IF($D31="Low","No tranche",IF($E31="Low","Tranche 1",IF($E31="Medium","Tranche 2",IF($D31="High","Tranche 3","No tranche"))))))</f>
        <v/>
      </c>
      <c r="K31" s="101" t="n"/>
      <c r="L31" s="101" t="n"/>
      <c r="M31" s="101" t="n"/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30" customHeight="1" s="52">
      <c r="A32" s="93" t="inlineStr">
        <is>
          <t>⑲</t>
        </is>
      </c>
      <c r="B32" s="94" t="inlineStr">
        <is>
          <t>WinCOINS</t>
        </is>
      </c>
      <c r="C32" s="73" t="inlineStr">
        <is>
          <t>Non-target state</t>
        </is>
      </c>
      <c r="D32" s="73" t="n"/>
      <c r="E32" s="73" t="n"/>
      <c r="F32" s="72" t="inlineStr">
        <is>
          <t>Non-strategic legacy portal with limited repository detail; migration path agreed</t>
        </is>
      </c>
      <c r="G32" s="95">
        <f>IF(OR($B32="",$D32="",$E32=""),"",IF(OR($C32="Target state",$C32="Exception"),"Out of scope",IF($D32="Low","No tranche",IF($E32="Low","Tranche 1",IF($E32="Medium","Tranche 2",IF($D32="High","Tranche 3","No tranche"))))))</f>
        <v/>
      </c>
      <c r="K32" s="101" t="n"/>
      <c r="L32" s="101" t="n"/>
      <c r="M32" s="101" t="n"/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20" customHeight="1" s="52">
      <c r="A33" s="93" t="inlineStr">
        <is>
          <t>⑳</t>
        </is>
      </c>
      <c r="B33" s="94" t="n"/>
      <c r="C33" s="73" t="n"/>
      <c r="D33" s="73" t="n"/>
      <c r="E33" s="73" t="n"/>
      <c r="F33" s="72" t="n"/>
      <c r="G33" s="95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101" t="n"/>
      <c r="L33" s="101" t="n"/>
      <c r="M33" s="101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 ht="20" customHeight="1" s="52">
      <c r="A34" s="93" t="inlineStr">
        <is>
          <t>㉑</t>
        </is>
      </c>
      <c r="B34" s="94" t="n"/>
      <c r="C34" s="73" t="n"/>
      <c r="D34" s="73" t="n"/>
      <c r="E34" s="73" t="n"/>
      <c r="F34" s="72" t="n"/>
      <c r="G34" s="95">
        <f>IF(OR($B34="",$D34="",$E34=""),"",IF(OR($C34="Target state",$C34="Exception"),"Out of scope",IF($D34="Low","No tranche",IF($E34="Low","Tranche 1",IF($E34="Medium","Tranche 2",IF($D34="High","Tranche 3","No tranche"))))))</f>
        <v/>
      </c>
      <c r="K34" s="101" t="n"/>
      <c r="L34" s="101" t="n"/>
      <c r="M34" s="101" t="n"/>
      <c r="O34">
        <f>IF(AND($B34&lt;&gt;"",$C34&lt;&gt;"Target state",$C34&lt;&gt;"Exception",$D34="High",$E34="Low"),$A34&amp;"  "&amp;$B34,"")</f>
        <v/>
      </c>
      <c r="P34">
        <f>IF(AND($B34&lt;&gt;"",$C34&lt;&gt;"Target state",$C34&lt;&gt;"Exception",$D34="High",$E34="Medium"),$A34&amp;"  "&amp;$B34,"")</f>
        <v/>
      </c>
      <c r="Q34">
        <f>IF(AND($B34&lt;&gt;"",$C34&lt;&gt;"Target state",$C34&lt;&gt;"Exception",$D34="High",$E34="High"),$A34&amp;"  "&amp;$B34,"")</f>
        <v/>
      </c>
      <c r="R34">
        <f>IF(AND($B34&lt;&gt;"",$C34&lt;&gt;"Target state",$C34&lt;&gt;"Exception",$D34="Medium",$E34="Low"),$A34&amp;"  "&amp;$B34,"")</f>
        <v/>
      </c>
      <c r="S34">
        <f>IF(AND($B34&lt;&gt;"",$C34&lt;&gt;"Target state",$C34&lt;&gt;"Exception",$D34="Medium",$E34="Medium"),$A34&amp;"  "&amp;$B34,"")</f>
        <v/>
      </c>
      <c r="T34">
        <f>IF(AND($B34&lt;&gt;"",$C34&lt;&gt;"Target state",$C34&lt;&gt;"Exception",$D34="Medium",$E34="High"),$A34&amp;"  "&amp;$B34,"")</f>
        <v/>
      </c>
      <c r="U34">
        <f>IF(AND($B34&lt;&gt;"",$C34&lt;&gt;"Target state",$C34&lt;&gt;"Exception",$D34="Low",$E34="Low"),$A34&amp;"  "&amp;$B34,"")</f>
        <v/>
      </c>
      <c r="V34">
        <f>IF(AND($B34&lt;&gt;"",$C34&lt;&gt;"Target state",$C34&lt;&gt;"Exception",$D34="Low",$E34="Medium"),$A34&amp;"  "&amp;$B34,"")</f>
        <v/>
      </c>
      <c r="W34">
        <f>IF(AND($B34&lt;&gt;"",$C34&lt;&gt;"Target state",$C34&lt;&gt;"Exception",$D34="Low",$E34="High"),$A34&amp;"  "&amp;$B34,"")</f>
        <v/>
      </c>
    </row>
    <row r="35" ht="20" customHeight="1" s="52">
      <c r="A35" s="93" t="inlineStr">
        <is>
          <t>㉒</t>
        </is>
      </c>
      <c r="B35" s="94" t="n"/>
      <c r="C35" s="73" t="n"/>
      <c r="D35" s="73" t="n"/>
      <c r="E35" s="73" t="n"/>
      <c r="F35" s="72" t="n"/>
      <c r="G35" s="95">
        <f>IF(OR($B35="",$D35="",$E35=""),"",IF(OR($C35="Target state",$C35="Exception"),"Out of scope",IF($D35="Low","No tranche",IF($E35="Low","Tranche 1",IF($E35="Medium","Tranche 2",IF($D35="High","Tranche 3","No tranche"))))))</f>
        <v/>
      </c>
      <c r="K35" s="101" t="n"/>
      <c r="L35" s="101" t="n"/>
      <c r="M35" s="101" t="n"/>
      <c r="O35">
        <f>IF(AND($B35&lt;&gt;"",$C35&lt;&gt;"Target state",$C35&lt;&gt;"Exception",$D35="High",$E35="Low"),$A35&amp;"  "&amp;$B35,"")</f>
        <v/>
      </c>
      <c r="P35">
        <f>IF(AND($B35&lt;&gt;"",$C35&lt;&gt;"Target state",$C35&lt;&gt;"Exception",$D35="High",$E35="Medium"),$A35&amp;"  "&amp;$B35,"")</f>
        <v/>
      </c>
      <c r="Q35">
        <f>IF(AND($B35&lt;&gt;"",$C35&lt;&gt;"Target state",$C35&lt;&gt;"Exception",$D35="High",$E35="High"),$A35&amp;"  "&amp;$B35,"")</f>
        <v/>
      </c>
      <c r="R35">
        <f>IF(AND($B35&lt;&gt;"",$C35&lt;&gt;"Target state",$C35&lt;&gt;"Exception",$D35="Medium",$E35="Low"),$A35&amp;"  "&amp;$B35,"")</f>
        <v/>
      </c>
      <c r="S35">
        <f>IF(AND($B35&lt;&gt;"",$C35&lt;&gt;"Target state",$C35&lt;&gt;"Exception",$D35="Medium",$E35="Medium"),$A35&amp;"  "&amp;$B35,"")</f>
        <v/>
      </c>
      <c r="T35">
        <f>IF(AND($B35&lt;&gt;"",$C35&lt;&gt;"Target state",$C35&lt;&gt;"Exception",$D35="Medium",$E35="High"),$A35&amp;"  "&amp;$B35,"")</f>
        <v/>
      </c>
      <c r="U35">
        <f>IF(AND($B35&lt;&gt;"",$C35&lt;&gt;"Target state",$C35&lt;&gt;"Exception",$D35="Low",$E35="Low"),$A35&amp;"  "&amp;$B35,"")</f>
        <v/>
      </c>
      <c r="V35">
        <f>IF(AND($B35&lt;&gt;"",$C35&lt;&gt;"Target state",$C35&lt;&gt;"Exception",$D35="Low",$E35="Medium"),$A35&amp;"  "&amp;$B35,"")</f>
        <v/>
      </c>
      <c r="W35">
        <f>IF(AND($B35&lt;&gt;"",$C35&lt;&gt;"Target state",$C35&lt;&gt;"Exception",$D35="Low",$E35="High"),$A35&amp;"  "&amp;$B35,"")</f>
        <v/>
      </c>
    </row>
    <row r="36" ht="20" customHeight="1" s="52">
      <c r="A36" s="93" t="inlineStr">
        <is>
          <t>㉓</t>
        </is>
      </c>
      <c r="B36" s="94" t="n"/>
      <c r="C36" s="73" t="n"/>
      <c r="D36" s="73" t="n"/>
      <c r="E36" s="73" t="n"/>
      <c r="F36" s="72" t="n"/>
      <c r="G36" s="95">
        <f>IF(OR($B36="",$D36="",$E36=""),"",IF(OR($C36="Target state",$C36="Exception"),"Out of scope",IF($D36="Low","No tranche",IF($E36="Low","Tranche 1",IF($E36="Medium","Tranche 2",IF($D36="High","Tranche 3","No tranche"))))))</f>
        <v/>
      </c>
      <c r="K36" s="102" t="n"/>
      <c r="L36" s="102" t="n"/>
      <c r="M36" s="102" t="n"/>
      <c r="O36">
        <f>IF(AND($B36&lt;&gt;"",$C36&lt;&gt;"Target state",$C36&lt;&gt;"Exception",$D36="High",$E36="Low"),$A36&amp;"  "&amp;$B36,"")</f>
        <v/>
      </c>
      <c r="P36">
        <f>IF(AND($B36&lt;&gt;"",$C36&lt;&gt;"Target state",$C36&lt;&gt;"Exception",$D36="High",$E36="Medium"),$A36&amp;"  "&amp;$B36,"")</f>
        <v/>
      </c>
      <c r="Q36">
        <f>IF(AND($B36&lt;&gt;"",$C36&lt;&gt;"Target state",$C36&lt;&gt;"Exception",$D36="High",$E36="High"),$A36&amp;"  "&amp;$B36,"")</f>
        <v/>
      </c>
      <c r="R36">
        <f>IF(AND($B36&lt;&gt;"",$C36&lt;&gt;"Target state",$C36&lt;&gt;"Exception",$D36="Medium",$E36="Low"),$A36&amp;"  "&amp;$B36,"")</f>
        <v/>
      </c>
      <c r="S36">
        <f>IF(AND($B36&lt;&gt;"",$C36&lt;&gt;"Target state",$C36&lt;&gt;"Exception",$D36="Medium",$E36="Medium"),$A36&amp;"  "&amp;$B36,"")</f>
        <v/>
      </c>
      <c r="T36">
        <f>IF(AND($B36&lt;&gt;"",$C36&lt;&gt;"Target state",$C36&lt;&gt;"Exception",$D36="Medium",$E36="High"),$A36&amp;"  "&amp;$B36,"")</f>
        <v/>
      </c>
      <c r="U36">
        <f>IF(AND($B36&lt;&gt;"",$C36&lt;&gt;"Target state",$C36&lt;&gt;"Exception",$D36="Low",$E36="Low"),$A36&amp;"  "&amp;$B36,"")</f>
        <v/>
      </c>
      <c r="V36">
        <f>IF(AND($B36&lt;&gt;"",$C36&lt;&gt;"Target state",$C36&lt;&gt;"Exception",$D36="Low",$E36="Medium"),$A36&amp;"  "&amp;$B36,"")</f>
        <v/>
      </c>
      <c r="W36">
        <f>IF(AND($B36&lt;&gt;"",$C36&lt;&gt;"Target state",$C36&lt;&gt;"Exception",$D36="Low",$E36="High"),$A36&amp;"  "&amp;$B36,"")</f>
        <v/>
      </c>
    </row>
    <row r="37">
      <c r="K37" s="97" t="inlineStr">
        <is>
          <t>Complexity</t>
        </is>
      </c>
    </row>
    <row r="41" ht="22" customHeight="1" s="52">
      <c r="A41" s="88" t="inlineStr">
        <is>
          <t>Reporting</t>
        </is>
      </c>
      <c r="G41" s="89">
        <f>HYPERLINK("#'Single-out'!A4","▲ tracker")</f>
        <v/>
      </c>
      <c r="K41" s="90" t="inlineStr">
        <is>
          <t>Assessment Outcome</t>
        </is>
      </c>
    </row>
    <row r="42" ht="18" customHeight="1" s="52">
      <c r="A42" s="91" t="inlineStr">
        <is>
          <t>#</t>
        </is>
      </c>
      <c r="B42" s="91" t="inlineStr">
        <is>
          <t>Platform</t>
        </is>
      </c>
      <c r="C42" s="91" t="inlineStr">
        <is>
          <t>State</t>
        </is>
      </c>
      <c r="D42" s="91" t="inlineStr">
        <is>
          <t>Imperative to exit</t>
        </is>
      </c>
      <c r="E42" s="91" t="inlineStr">
        <is>
          <t>Exit complexity</t>
        </is>
      </c>
      <c r="F42" s="91" t="inlineStr">
        <is>
          <t>Supporting facts</t>
        </is>
      </c>
      <c r="G42" s="91" t="inlineStr">
        <is>
          <t>Tranche (auto)</t>
        </is>
      </c>
      <c r="K42" s="92" t="inlineStr">
        <is>
          <t>Low</t>
        </is>
      </c>
      <c r="L42" s="92" t="inlineStr">
        <is>
          <t>Medium</t>
        </is>
      </c>
      <c r="M42" s="92" t="inlineStr">
        <is>
          <t>High</t>
        </is>
      </c>
    </row>
    <row r="43" ht="30" customHeight="1" s="52">
      <c r="A43" s="93" t="inlineStr">
        <is>
          <t>①</t>
        </is>
      </c>
      <c r="B43" s="94" t="inlineStr">
        <is>
          <t>Business Objects (SAP)</t>
        </is>
      </c>
      <c r="C43" s="73" t="inlineStr">
        <is>
          <t>Non-target state</t>
        </is>
      </c>
      <c r="D43" s="73" t="n"/>
      <c r="E43" s="73" t="n"/>
      <c r="F43" s="72" t="inlineStr">
        <is>
          <t>Non-strategic on-premise BI suite for Omaha partners covering about 242K MIDs; around $200K in yearly cost; migration path agreed</t>
        </is>
      </c>
      <c r="G43" s="95">
        <f>IF(OR($B43="",$D43="",$E43=""),"",IF(OR($C43="Target state",$C43="Exception"),"Out of scope",IF($D43="Low","No tranche",IF($E43="Low","Tranche 1",IF($E43="Medium","Tranche 2",IF($D43="High","Tranche 3","No tranche"))))))</f>
        <v/>
      </c>
      <c r="I43" s="96" t="inlineStr">
        <is>
          <t>Benefits</t>
        </is>
      </c>
      <c r="J43" s="97" t="inlineStr">
        <is>
          <t>High</t>
        </is>
      </c>
      <c r="K43" s="98">
        <f>"Tranche 1"&amp;CHAR(10)&amp;_xlfn.TEXTJOIN(CHAR(10),TRUE,O$43:O$53)</f>
        <v/>
      </c>
      <c r="L43" s="99">
        <f>"Tranche 2"&amp;CHAR(10)&amp;_xlfn.TEXTJOIN(CHAR(10),TRUE,P$43:P$53)</f>
        <v/>
      </c>
      <c r="M43" s="100">
        <f>"Tranche 3"&amp;CHAR(10)&amp;_xlfn.TEXTJOIN(CHAR(10),TRUE,Q$43:Q$53)</f>
        <v/>
      </c>
      <c r="O43">
        <f>IF(AND($B43&lt;&gt;"",$C43&lt;&gt;"Target state",$C43&lt;&gt;"Exception",$D43="High",$E43="Low"),$A43&amp;"  "&amp;$B43,"")</f>
        <v/>
      </c>
      <c r="P43">
        <f>IF(AND($B43&lt;&gt;"",$C43&lt;&gt;"Target state",$C43&lt;&gt;"Exception",$D43="High",$E43="Medium"),$A43&amp;"  "&amp;$B43,"")</f>
        <v/>
      </c>
      <c r="Q43">
        <f>IF(AND($B43&lt;&gt;"",$C43&lt;&gt;"Target state",$C43&lt;&gt;"Exception",$D43="High",$E43="High"),$A43&amp;"  "&amp;$B43,"")</f>
        <v/>
      </c>
      <c r="R43">
        <f>IF(AND($B43&lt;&gt;"",$C43&lt;&gt;"Target state",$C43&lt;&gt;"Exception",$D43="Medium",$E43="Low"),$A43&amp;"  "&amp;$B43,"")</f>
        <v/>
      </c>
      <c r="S43">
        <f>IF(AND($B43&lt;&gt;"",$C43&lt;&gt;"Target state",$C43&lt;&gt;"Exception",$D43="Medium",$E43="Medium"),$A43&amp;"  "&amp;$B43,"")</f>
        <v/>
      </c>
      <c r="T43">
        <f>IF(AND($B43&lt;&gt;"",$C43&lt;&gt;"Target state",$C43&lt;&gt;"Exception",$D43="Medium",$E43="High"),$A43&amp;"  "&amp;$B43,"")</f>
        <v/>
      </c>
      <c r="U43">
        <f>IF(AND($B43&lt;&gt;"",$C43&lt;&gt;"Target state",$C43&lt;&gt;"Exception",$D43="Low",$E43="Low"),$A43&amp;"  "&amp;$B43,"")</f>
        <v/>
      </c>
      <c r="V43">
        <f>IF(AND($B43&lt;&gt;"",$C43&lt;&gt;"Target state",$C43&lt;&gt;"Exception",$D43="Low",$E43="Medium"),$A43&amp;"  "&amp;$B43,"")</f>
        <v/>
      </c>
      <c r="W43">
        <f>IF(AND($B43&lt;&gt;"",$C43&lt;&gt;"Target state",$C43&lt;&gt;"Exception",$D43="Low",$E43="High"),$A43&amp;"  "&amp;$B43,"")</f>
        <v/>
      </c>
    </row>
    <row r="44" ht="30" customHeight="1" s="52">
      <c r="A44" s="93" t="inlineStr">
        <is>
          <t>②</t>
        </is>
      </c>
      <c r="B44" s="94" t="inlineStr">
        <is>
          <t>Cognos (IBM)</t>
        </is>
      </c>
      <c r="C44" s="73" t="inlineStr">
        <is>
          <t>Non-target state</t>
        </is>
      </c>
      <c r="D44" s="73" t="n"/>
      <c r="E44" s="73" t="n"/>
      <c r="F44" s="72" t="inlineStr">
        <is>
          <t>Non-strategic on-premise BI suite for TSYS partners covering about 104K MIDs; around $690K in yearly licence cost; migration path agreed</t>
        </is>
      </c>
      <c r="G44" s="95">
        <f>IF(OR($B44="",$D44="",$E44=""),"",IF(OR($C44="Target state",$C44="Exception"),"Out of scope",IF($D44="Low","No tranche",IF($E44="Low","Tranche 1",IF($E44="Medium","Tranche 2",IF($D44="High","Tranche 3","No tranche"))))))</f>
        <v/>
      </c>
      <c r="K44" s="101" t="n"/>
      <c r="L44" s="101" t="n"/>
      <c r="M44" s="101" t="n"/>
      <c r="O44">
        <f>IF(AND($B44&lt;&gt;"",$C44&lt;&gt;"Target state",$C44&lt;&gt;"Exception",$D44="High",$E44="Low"),$A44&amp;"  "&amp;$B44,"")</f>
        <v/>
      </c>
      <c r="P44">
        <f>IF(AND($B44&lt;&gt;"",$C44&lt;&gt;"Target state",$C44&lt;&gt;"Exception",$D44="High",$E44="Medium"),$A44&amp;"  "&amp;$B44,"")</f>
        <v/>
      </c>
      <c r="Q44">
        <f>IF(AND($B44&lt;&gt;"",$C44&lt;&gt;"Target state",$C44&lt;&gt;"Exception",$D44="High",$E44="High"),$A44&amp;"  "&amp;$B44,"")</f>
        <v/>
      </c>
      <c r="R44">
        <f>IF(AND($B44&lt;&gt;"",$C44&lt;&gt;"Target state",$C44&lt;&gt;"Exception",$D44="Medium",$E44="Low"),$A44&amp;"  "&amp;$B44,"")</f>
        <v/>
      </c>
      <c r="S44">
        <f>IF(AND($B44&lt;&gt;"",$C44&lt;&gt;"Target state",$C44&lt;&gt;"Exception",$D44="Medium",$E44="Medium"),$A44&amp;"  "&amp;$B44,"")</f>
        <v/>
      </c>
      <c r="T44">
        <f>IF(AND($B44&lt;&gt;"",$C44&lt;&gt;"Target state",$C44&lt;&gt;"Exception",$D44="Medium",$E44="High"),$A44&amp;"  "&amp;$B44,"")</f>
        <v/>
      </c>
      <c r="U44">
        <f>IF(AND($B44&lt;&gt;"",$C44&lt;&gt;"Target state",$C44&lt;&gt;"Exception",$D44="Low",$E44="Low"),$A44&amp;"  "&amp;$B44,"")</f>
        <v/>
      </c>
      <c r="V44">
        <f>IF(AND($B44&lt;&gt;"",$C44&lt;&gt;"Target state",$C44&lt;&gt;"Exception",$D44="Low",$E44="Medium"),$A44&amp;"  "&amp;$B44,"")</f>
        <v/>
      </c>
      <c r="W44">
        <f>IF(AND($B44&lt;&gt;"",$C44&lt;&gt;"Target state",$C44&lt;&gt;"Exception",$D44="Low",$E44="High"),$A44&amp;"  "&amp;$B44,"")</f>
        <v/>
      </c>
    </row>
    <row r="45" ht="30" customHeight="1" s="52">
      <c r="A45" s="93" t="inlineStr">
        <is>
          <t>③</t>
        </is>
      </c>
      <c r="B45" s="94" t="inlineStr">
        <is>
          <t>SSRS</t>
        </is>
      </c>
      <c r="C45" s="73" t="inlineStr">
        <is>
          <t>Non-target state</t>
        </is>
      </c>
      <c r="D45" s="73" t="n"/>
      <c r="E45" s="73" t="n"/>
      <c r="F45" s="72" t="inlineStr">
        <is>
          <t>Non-strategic server-based reporting for Heartland data sources with about 3.4K users; bundled with SQL Server licensing; migration path agreed</t>
        </is>
      </c>
      <c r="G45" s="95">
        <f>IF(OR($B45="",$D45="",$E45=""),"",IF(OR($C45="Target state",$C45="Exception"),"Out of scope",IF($D45="Low","No tranche",IF($E45="Low","Tranche 1",IF($E45="Medium","Tranche 2",IF($D45="High","Tranche 3","No tranche"))))))</f>
        <v/>
      </c>
      <c r="K45" s="101" t="n"/>
      <c r="L45" s="101" t="n"/>
      <c r="M45" s="101" t="n"/>
      <c r="O45">
        <f>IF(AND($B45&lt;&gt;"",$C45&lt;&gt;"Target state",$C45&lt;&gt;"Exception",$D45="High",$E45="Low"),$A45&amp;"  "&amp;$B45,"")</f>
        <v/>
      </c>
      <c r="P45">
        <f>IF(AND($B45&lt;&gt;"",$C45&lt;&gt;"Target state",$C45&lt;&gt;"Exception",$D45="High",$E45="Medium"),$A45&amp;"  "&amp;$B45,"")</f>
        <v/>
      </c>
      <c r="Q45">
        <f>IF(AND($B45&lt;&gt;"",$C45&lt;&gt;"Target state",$C45&lt;&gt;"Exception",$D45="High",$E45="High"),$A45&amp;"  "&amp;$B45,"")</f>
        <v/>
      </c>
      <c r="R45">
        <f>IF(AND($B45&lt;&gt;"",$C45&lt;&gt;"Target state",$C45&lt;&gt;"Exception",$D45="Medium",$E45="Low"),$A45&amp;"  "&amp;$B45,"")</f>
        <v/>
      </c>
      <c r="S45">
        <f>IF(AND($B45&lt;&gt;"",$C45&lt;&gt;"Target state",$C45&lt;&gt;"Exception",$D45="Medium",$E45="Medium"),$A45&amp;"  "&amp;$B45,"")</f>
        <v/>
      </c>
      <c r="T45">
        <f>IF(AND($B45&lt;&gt;"",$C45&lt;&gt;"Target state",$C45&lt;&gt;"Exception",$D45="Medium",$E45="High"),$A45&amp;"  "&amp;$B45,"")</f>
        <v/>
      </c>
      <c r="U45">
        <f>IF(AND($B45&lt;&gt;"",$C45&lt;&gt;"Target state",$C45&lt;&gt;"Exception",$D45="Low",$E45="Low"),$A45&amp;"  "&amp;$B45,"")</f>
        <v/>
      </c>
      <c r="V45">
        <f>IF(AND($B45&lt;&gt;"",$C45&lt;&gt;"Target state",$C45&lt;&gt;"Exception",$D45="Low",$E45="Medium"),$A45&amp;"  "&amp;$B45,"")</f>
        <v/>
      </c>
      <c r="W45">
        <f>IF(AND($B45&lt;&gt;"",$C45&lt;&gt;"Target state",$C45&lt;&gt;"Exception",$D45="Low",$E45="High"),$A45&amp;"  "&amp;$B45,"")</f>
        <v/>
      </c>
    </row>
    <row r="46" ht="30" customHeight="1" s="52">
      <c r="A46" s="93" t="inlineStr">
        <is>
          <t>④</t>
        </is>
      </c>
      <c r="B46" s="94" t="inlineStr">
        <is>
          <t>Kepler</t>
        </is>
      </c>
      <c r="C46" s="73" t="inlineStr">
        <is>
          <t>Non-target state</t>
        </is>
      </c>
      <c r="D46" s="73" t="n"/>
      <c r="E46" s="73" t="n"/>
      <c r="F46" s="72" t="inlineStr">
        <is>
          <t>Non-strategic internal reporting for the Postillion authorization estate with about 500 users; modest annual cost; migration path agreed</t>
        </is>
      </c>
      <c r="G46" s="95">
        <f>IF(OR($B46="",$D46="",$E46=""),"",IF(OR($C46="Target state",$C46="Exception"),"Out of scope",IF($D46="Low","No tranche",IF($E46="Low","Tranche 1",IF($E46="Medium","Tranche 2",IF($D46="High","Tranche 3","No tranche"))))))</f>
        <v/>
      </c>
      <c r="K46" s="102" t="n"/>
      <c r="L46" s="102" t="n"/>
      <c r="M46" s="102" t="n"/>
      <c r="O46">
        <f>IF(AND($B46&lt;&gt;"",$C46&lt;&gt;"Target state",$C46&lt;&gt;"Exception",$D46="High",$E46="Low"),$A46&amp;"  "&amp;$B46,"")</f>
        <v/>
      </c>
      <c r="P46">
        <f>IF(AND($B46&lt;&gt;"",$C46&lt;&gt;"Target state",$C46&lt;&gt;"Exception",$D46="High",$E46="Medium"),$A46&amp;"  "&amp;$B46,"")</f>
        <v/>
      </c>
      <c r="Q46">
        <f>IF(AND($B46&lt;&gt;"",$C46&lt;&gt;"Target state",$C46&lt;&gt;"Exception",$D46="High",$E46="High"),$A46&amp;"  "&amp;$B46,"")</f>
        <v/>
      </c>
      <c r="R46">
        <f>IF(AND($B46&lt;&gt;"",$C46&lt;&gt;"Target state",$C46&lt;&gt;"Exception",$D46="Medium",$E46="Low"),$A46&amp;"  "&amp;$B46,"")</f>
        <v/>
      </c>
      <c r="S46">
        <f>IF(AND($B46&lt;&gt;"",$C46&lt;&gt;"Target state",$C46&lt;&gt;"Exception",$D46="Medium",$E46="Medium"),$A46&amp;"  "&amp;$B46,"")</f>
        <v/>
      </c>
      <c r="T46">
        <f>IF(AND($B46&lt;&gt;"",$C46&lt;&gt;"Target state",$C46&lt;&gt;"Exception",$D46="Medium",$E46="High"),$A46&amp;"  "&amp;$B46,"")</f>
        <v/>
      </c>
      <c r="U46">
        <f>IF(AND($B46&lt;&gt;"",$C46&lt;&gt;"Target state",$C46&lt;&gt;"Exception",$D46="Low",$E46="Low"),$A46&amp;"  "&amp;$B46,"")</f>
        <v/>
      </c>
      <c r="V46">
        <f>IF(AND($B46&lt;&gt;"",$C46&lt;&gt;"Target state",$C46&lt;&gt;"Exception",$D46="Low",$E46="Medium"),$A46&amp;"  "&amp;$B46,"")</f>
        <v/>
      </c>
      <c r="W46">
        <f>IF(AND($B46&lt;&gt;"",$C46&lt;&gt;"Target state",$C46&lt;&gt;"Exception",$D46="Low",$E46="High"),$A46&amp;"  "&amp;$B46,"")</f>
        <v/>
      </c>
    </row>
    <row r="47" ht="30" customHeight="1" s="52">
      <c r="A47" s="93" t="inlineStr">
        <is>
          <t>⑤</t>
        </is>
      </c>
      <c r="B47" s="94" t="inlineStr">
        <is>
          <t>eService Oracle BI</t>
        </is>
      </c>
      <c r="C47" s="73" t="inlineStr">
        <is>
          <t>Non-target state</t>
        </is>
      </c>
      <c r="D47" s="73" t="n"/>
      <c r="E47" s="73" t="n"/>
      <c r="F47" s="72" t="inlineStr">
        <is>
          <t>Non-strategic Oracle BI management reporting for the eService business; migration path agreed</t>
        </is>
      </c>
      <c r="G47" s="95">
        <f>IF(OR($B47="",$D47="",$E47=""),"",IF(OR($C47="Target state",$C47="Exception"),"Out of scope",IF($D47="Low","No tranche",IF($E47="Low","Tranche 1",IF($E47="Medium","Tranche 2",IF($D47="High","Tranche 3","No tranche"))))))</f>
        <v/>
      </c>
      <c r="J47" s="97" t="inlineStr">
        <is>
          <t>Medium</t>
        </is>
      </c>
      <c r="K47" s="98">
        <f>"Tranche 1"&amp;CHAR(10)&amp;_xlfn.TEXTJOIN(CHAR(10),TRUE,R$43:R$53)</f>
        <v/>
      </c>
      <c r="L47" s="99">
        <f>"Tranche 2"&amp;CHAR(10)&amp;_xlfn.TEXTJOIN(CHAR(10),TRUE,S$43:S$53)</f>
        <v/>
      </c>
      <c r="M47" s="103">
        <f>_xlfn.TEXTJOIN(CHAR(10),TRUE,T$43:T$53)</f>
        <v/>
      </c>
      <c r="O47">
        <f>IF(AND($B47&lt;&gt;"",$C47&lt;&gt;"Target state",$C47&lt;&gt;"Exception",$D47="High",$E47="Low"),$A47&amp;"  "&amp;$B47,"")</f>
        <v/>
      </c>
      <c r="P47">
        <f>IF(AND($B47&lt;&gt;"",$C47&lt;&gt;"Target state",$C47&lt;&gt;"Exception",$D47="High",$E47="Medium"),$A47&amp;"  "&amp;$B47,"")</f>
        <v/>
      </c>
      <c r="Q47">
        <f>IF(AND($B47&lt;&gt;"",$C47&lt;&gt;"Target state",$C47&lt;&gt;"Exception",$D47="High",$E47="High"),$A47&amp;"  "&amp;$B47,"")</f>
        <v/>
      </c>
      <c r="R47">
        <f>IF(AND($B47&lt;&gt;"",$C47&lt;&gt;"Target state",$C47&lt;&gt;"Exception",$D47="Medium",$E47="Low"),$A47&amp;"  "&amp;$B47,"")</f>
        <v/>
      </c>
      <c r="S47">
        <f>IF(AND($B47&lt;&gt;"",$C47&lt;&gt;"Target state",$C47&lt;&gt;"Exception",$D47="Medium",$E47="Medium"),$A47&amp;"  "&amp;$B47,"")</f>
        <v/>
      </c>
      <c r="T47">
        <f>IF(AND($B47&lt;&gt;"",$C47&lt;&gt;"Target state",$C47&lt;&gt;"Exception",$D47="Medium",$E47="High"),$A47&amp;"  "&amp;$B47,"")</f>
        <v/>
      </c>
      <c r="U47">
        <f>IF(AND($B47&lt;&gt;"",$C47&lt;&gt;"Target state",$C47&lt;&gt;"Exception",$D47="Low",$E47="Low"),$A47&amp;"  "&amp;$B47,"")</f>
        <v/>
      </c>
      <c r="V47">
        <f>IF(AND($B47&lt;&gt;"",$C47&lt;&gt;"Target state",$C47&lt;&gt;"Exception",$D47="Low",$E47="Medium"),$A47&amp;"  "&amp;$B47,"")</f>
        <v/>
      </c>
      <c r="W47">
        <f>IF(AND($B47&lt;&gt;"",$C47&lt;&gt;"Target state",$C47&lt;&gt;"Exception",$D47="Low",$E47="High"),$A47&amp;"  "&amp;$B47,"")</f>
        <v/>
      </c>
    </row>
    <row r="48" ht="30" customHeight="1" s="52">
      <c r="A48" s="93" t="inlineStr">
        <is>
          <t>⑥</t>
        </is>
      </c>
      <c r="B48" s="94" t="inlineStr">
        <is>
          <t>Microsoft AX</t>
        </is>
      </c>
      <c r="C48" s="73" t="inlineStr">
        <is>
          <t>Non-target state</t>
        </is>
      </c>
      <c r="D48" s="73" t="n"/>
      <c r="E48" s="73" t="n"/>
      <c r="F48" s="72" t="inlineStr">
        <is>
          <t>Non-strategic internal reporting across LATAM, UK and EU EVO entities; migration path agreed</t>
        </is>
      </c>
      <c r="G48" s="95">
        <f>IF(OR($B48="",$D48="",$E48=""),"",IF(OR($C48="Target state",$C48="Exception"),"Out of scope",IF($D48="Low","No tranche",IF($E48="Low","Tranche 1",IF($E48="Medium","Tranche 2",IF($D48="High","Tranche 3","No tranche"))))))</f>
        <v/>
      </c>
      <c r="K48" s="101" t="n"/>
      <c r="L48" s="101" t="n"/>
      <c r="M48" s="101" t="n"/>
      <c r="O48">
        <f>IF(AND($B48&lt;&gt;"",$C48&lt;&gt;"Target state",$C48&lt;&gt;"Exception",$D48="High",$E48="Low"),$A48&amp;"  "&amp;$B48,"")</f>
        <v/>
      </c>
      <c r="P48">
        <f>IF(AND($B48&lt;&gt;"",$C48&lt;&gt;"Target state",$C48&lt;&gt;"Exception",$D48="High",$E48="Medium"),$A48&amp;"  "&amp;$B48,"")</f>
        <v/>
      </c>
      <c r="Q48">
        <f>IF(AND($B48&lt;&gt;"",$C48&lt;&gt;"Target state",$C48&lt;&gt;"Exception",$D48="High",$E48="High"),$A48&amp;"  "&amp;$B48,"")</f>
        <v/>
      </c>
      <c r="R48">
        <f>IF(AND($B48&lt;&gt;"",$C48&lt;&gt;"Target state",$C48&lt;&gt;"Exception",$D48="Medium",$E48="Low"),$A48&amp;"  "&amp;$B48,"")</f>
        <v/>
      </c>
      <c r="S48">
        <f>IF(AND($B48&lt;&gt;"",$C48&lt;&gt;"Target state",$C48&lt;&gt;"Exception",$D48="Medium",$E48="Medium"),$A48&amp;"  "&amp;$B48,"")</f>
        <v/>
      </c>
      <c r="T48">
        <f>IF(AND($B48&lt;&gt;"",$C48&lt;&gt;"Target state",$C48&lt;&gt;"Exception",$D48="Medium",$E48="High"),$A48&amp;"  "&amp;$B48,"")</f>
        <v/>
      </c>
      <c r="U48">
        <f>IF(AND($B48&lt;&gt;"",$C48&lt;&gt;"Target state",$C48&lt;&gt;"Exception",$D48="Low",$E48="Low"),$A48&amp;"  "&amp;$B48,"")</f>
        <v/>
      </c>
      <c r="V48">
        <f>IF(AND($B48&lt;&gt;"",$C48&lt;&gt;"Target state",$C48&lt;&gt;"Exception",$D48="Low",$E48="Medium"),$A48&amp;"  "&amp;$B48,"")</f>
        <v/>
      </c>
      <c r="W48">
        <f>IF(AND($B48&lt;&gt;"",$C48&lt;&gt;"Target state",$C48&lt;&gt;"Exception",$D48="Low",$E48="High"),$A48&amp;"  "&amp;$B48,"")</f>
        <v/>
      </c>
    </row>
    <row r="49" ht="30" customHeight="1" s="52">
      <c r="A49" s="93" t="inlineStr">
        <is>
          <t>⑦</t>
        </is>
      </c>
      <c r="B49" s="94" t="inlineStr">
        <is>
          <t>Power BI (Oceania)</t>
        </is>
      </c>
      <c r="C49" s="73" t="inlineStr">
        <is>
          <t>Non-target state</t>
        </is>
      </c>
      <c r="D49" s="73" t="n"/>
      <c r="E49" s="73" t="n"/>
      <c r="F49" s="72" t="inlineStr">
        <is>
          <t>Internal Power BI reporting for Oceania; migration path agreed</t>
        </is>
      </c>
      <c r="G49" s="95">
        <f>IF(OR($B49="",$D49="",$E49=""),"",IF(OR($C49="Target state",$C49="Exception"),"Out of scope",IF($D49="Low","No tranche",IF($E49="Low","Tranche 1",IF($E49="Medium","Tranche 2",IF($D49="High","Tranche 3","No tranche"))))))</f>
        <v/>
      </c>
      <c r="K49" s="101" t="n"/>
      <c r="L49" s="101" t="n"/>
      <c r="M49" s="101" t="n"/>
      <c r="O49">
        <f>IF(AND($B49&lt;&gt;"",$C49&lt;&gt;"Target state",$C49&lt;&gt;"Exception",$D49="High",$E49="Low"),$A49&amp;"  "&amp;$B49,"")</f>
        <v/>
      </c>
      <c r="P49">
        <f>IF(AND($B49&lt;&gt;"",$C49&lt;&gt;"Target state",$C49&lt;&gt;"Exception",$D49="High",$E49="Medium"),$A49&amp;"  "&amp;$B49,"")</f>
        <v/>
      </c>
      <c r="Q49">
        <f>IF(AND($B49&lt;&gt;"",$C49&lt;&gt;"Target state",$C49&lt;&gt;"Exception",$D49="High",$E49="High"),$A49&amp;"  "&amp;$B49,"")</f>
        <v/>
      </c>
      <c r="R49">
        <f>IF(AND($B49&lt;&gt;"",$C49&lt;&gt;"Target state",$C49&lt;&gt;"Exception",$D49="Medium",$E49="Low"),$A49&amp;"  "&amp;$B49,"")</f>
        <v/>
      </c>
      <c r="S49">
        <f>IF(AND($B49&lt;&gt;"",$C49&lt;&gt;"Target state",$C49&lt;&gt;"Exception",$D49="Medium",$E49="Medium"),$A49&amp;"  "&amp;$B49,"")</f>
        <v/>
      </c>
      <c r="T49">
        <f>IF(AND($B49&lt;&gt;"",$C49&lt;&gt;"Target state",$C49&lt;&gt;"Exception",$D49="Medium",$E49="High"),$A49&amp;"  "&amp;$B49,"")</f>
        <v/>
      </c>
      <c r="U49">
        <f>IF(AND($B49&lt;&gt;"",$C49&lt;&gt;"Target state",$C49&lt;&gt;"Exception",$D49="Low",$E49="Low"),$A49&amp;"  "&amp;$B49,"")</f>
        <v/>
      </c>
      <c r="V49">
        <f>IF(AND($B49&lt;&gt;"",$C49&lt;&gt;"Target state",$C49&lt;&gt;"Exception",$D49="Low",$E49="Medium"),$A49&amp;"  "&amp;$B49,"")</f>
        <v/>
      </c>
      <c r="W49">
        <f>IF(AND($B49&lt;&gt;"",$C49&lt;&gt;"Target state",$C49&lt;&gt;"Exception",$D49="Low",$E49="High"),$A49&amp;"  "&amp;$B49,"")</f>
        <v/>
      </c>
    </row>
    <row r="50" ht="20" customHeight="1" s="52">
      <c r="A50" s="93" t="inlineStr">
        <is>
          <t>⑧</t>
        </is>
      </c>
      <c r="B50" s="94" t="n"/>
      <c r="C50" s="73" t="n"/>
      <c r="D50" s="73" t="n"/>
      <c r="E50" s="73" t="n"/>
      <c r="F50" s="72" t="n"/>
      <c r="G50" s="95">
        <f>IF(OR($B50="",$D50="",$E50=""),"",IF(OR($C50="Target state",$C50="Exception"),"Out of scope",IF($D50="Low","No tranche",IF($E50="Low","Tranche 1",IF($E50="Medium","Tranche 2",IF($D50="High","Tranche 3","No tranche"))))))</f>
        <v/>
      </c>
      <c r="K50" s="102" t="n"/>
      <c r="L50" s="102" t="n"/>
      <c r="M50" s="102" t="n"/>
      <c r="O50">
        <f>IF(AND($B50&lt;&gt;"",$C50&lt;&gt;"Target state",$C50&lt;&gt;"Exception",$D50="High",$E50="Low"),$A50&amp;"  "&amp;$B50,"")</f>
        <v/>
      </c>
      <c r="P50">
        <f>IF(AND($B50&lt;&gt;"",$C50&lt;&gt;"Target state",$C50&lt;&gt;"Exception",$D50="High",$E50="Medium"),$A50&amp;"  "&amp;$B50,"")</f>
        <v/>
      </c>
      <c r="Q50">
        <f>IF(AND($B50&lt;&gt;"",$C50&lt;&gt;"Target state",$C50&lt;&gt;"Exception",$D50="High",$E50="High"),$A50&amp;"  "&amp;$B50,"")</f>
        <v/>
      </c>
      <c r="R50">
        <f>IF(AND($B50&lt;&gt;"",$C50&lt;&gt;"Target state",$C50&lt;&gt;"Exception",$D50="Medium",$E50="Low"),$A50&amp;"  "&amp;$B50,"")</f>
        <v/>
      </c>
      <c r="S50">
        <f>IF(AND($B50&lt;&gt;"",$C50&lt;&gt;"Target state",$C50&lt;&gt;"Exception",$D50="Medium",$E50="Medium"),$A50&amp;"  "&amp;$B50,"")</f>
        <v/>
      </c>
      <c r="T50">
        <f>IF(AND($B50&lt;&gt;"",$C50&lt;&gt;"Target state",$C50&lt;&gt;"Exception",$D50="Medium",$E50="High"),$A50&amp;"  "&amp;$B50,"")</f>
        <v/>
      </c>
      <c r="U50">
        <f>IF(AND($B50&lt;&gt;"",$C50&lt;&gt;"Target state",$C50&lt;&gt;"Exception",$D50="Low",$E50="Low"),$A50&amp;"  "&amp;$B50,"")</f>
        <v/>
      </c>
      <c r="V50">
        <f>IF(AND($B50&lt;&gt;"",$C50&lt;&gt;"Target state",$C50&lt;&gt;"Exception",$D50="Low",$E50="Medium"),$A50&amp;"  "&amp;$B50,"")</f>
        <v/>
      </c>
      <c r="W50">
        <f>IF(AND($B50&lt;&gt;"",$C50&lt;&gt;"Target state",$C50&lt;&gt;"Exception",$D50="Low",$E50="High"),$A50&amp;"  "&amp;$B50,"")</f>
        <v/>
      </c>
    </row>
    <row r="51" ht="20" customHeight="1" s="52">
      <c r="A51" s="93" t="inlineStr">
        <is>
          <t>⑨</t>
        </is>
      </c>
      <c r="B51" s="94" t="n"/>
      <c r="C51" s="73" t="n"/>
      <c r="D51" s="73" t="n"/>
      <c r="E51" s="73" t="n"/>
      <c r="F51" s="72" t="n"/>
      <c r="G51" s="95">
        <f>IF(OR($B51="",$D51="",$E51=""),"",IF(OR($C51="Target state",$C51="Exception"),"Out of scope",IF($D51="Low","No tranche",IF($E51="Low","Tranche 1",IF($E51="Medium","Tranche 2",IF($D51="High","Tranche 3","No tranche"))))))</f>
        <v/>
      </c>
      <c r="J51" s="97" t="inlineStr">
        <is>
          <t>Low</t>
        </is>
      </c>
      <c r="K51" s="103">
        <f>_xlfn.TEXTJOIN(CHAR(10),TRUE,U$43:U$53)</f>
        <v/>
      </c>
      <c r="L51" s="103">
        <f>_xlfn.TEXTJOIN(CHAR(10),TRUE,V$43:V$53)</f>
        <v/>
      </c>
      <c r="M51" s="103">
        <f>_xlfn.TEXTJOIN(CHAR(10),TRUE,W$43:W$53)</f>
        <v/>
      </c>
      <c r="O51">
        <f>IF(AND($B51&lt;&gt;"",$C51&lt;&gt;"Target state",$C51&lt;&gt;"Exception",$D51="High",$E51="Low"),$A51&amp;"  "&amp;$B51,"")</f>
        <v/>
      </c>
      <c r="P51">
        <f>IF(AND($B51&lt;&gt;"",$C51&lt;&gt;"Target state",$C51&lt;&gt;"Exception",$D51="High",$E51="Medium"),$A51&amp;"  "&amp;$B51,"")</f>
        <v/>
      </c>
      <c r="Q51">
        <f>IF(AND($B51&lt;&gt;"",$C51&lt;&gt;"Target state",$C51&lt;&gt;"Exception",$D51="High",$E51="High"),$A51&amp;"  "&amp;$B51,"")</f>
        <v/>
      </c>
      <c r="R51">
        <f>IF(AND($B51&lt;&gt;"",$C51&lt;&gt;"Target state",$C51&lt;&gt;"Exception",$D51="Medium",$E51="Low"),$A51&amp;"  "&amp;$B51,"")</f>
        <v/>
      </c>
      <c r="S51">
        <f>IF(AND($B51&lt;&gt;"",$C51&lt;&gt;"Target state",$C51&lt;&gt;"Exception",$D51="Medium",$E51="Medium"),$A51&amp;"  "&amp;$B51,"")</f>
        <v/>
      </c>
      <c r="T51">
        <f>IF(AND($B51&lt;&gt;"",$C51&lt;&gt;"Target state",$C51&lt;&gt;"Exception",$D51="Medium",$E51="High"),$A51&amp;"  "&amp;$B51,"")</f>
        <v/>
      </c>
      <c r="U51">
        <f>IF(AND($B51&lt;&gt;"",$C51&lt;&gt;"Target state",$C51&lt;&gt;"Exception",$D51="Low",$E51="Low"),$A51&amp;"  "&amp;$B51,"")</f>
        <v/>
      </c>
      <c r="V51">
        <f>IF(AND($B51&lt;&gt;"",$C51&lt;&gt;"Target state",$C51&lt;&gt;"Exception",$D51="Low",$E51="Medium"),$A51&amp;"  "&amp;$B51,"")</f>
        <v/>
      </c>
      <c r="W51">
        <f>IF(AND($B51&lt;&gt;"",$C51&lt;&gt;"Target state",$C51&lt;&gt;"Exception",$D51="Low",$E51="High"),$A51&amp;"  "&amp;$B51,"")</f>
        <v/>
      </c>
    </row>
    <row r="52" ht="20" customHeight="1" s="52">
      <c r="A52" s="93" t="inlineStr">
        <is>
          <t>⑩</t>
        </is>
      </c>
      <c r="B52" s="94" t="n"/>
      <c r="C52" s="73" t="n"/>
      <c r="D52" s="73" t="n"/>
      <c r="E52" s="73" t="n"/>
      <c r="F52" s="72" t="n"/>
      <c r="G52" s="95">
        <f>IF(OR($B52="",$D52="",$E52=""),"",IF(OR($C52="Target state",$C52="Exception"),"Out of scope",IF($D52="Low","No tranche",IF($E52="Low","Tranche 1",IF($E52="Medium","Tranche 2",IF($D52="High","Tranche 3","No tranche"))))))</f>
        <v/>
      </c>
      <c r="K52" s="101" t="n"/>
      <c r="L52" s="101" t="n"/>
      <c r="M52" s="101" t="n"/>
      <c r="O52">
        <f>IF(AND($B52&lt;&gt;"",$C52&lt;&gt;"Target state",$C52&lt;&gt;"Exception",$D52="High",$E52="Low"),$A52&amp;"  "&amp;$B52,"")</f>
        <v/>
      </c>
      <c r="P52">
        <f>IF(AND($B52&lt;&gt;"",$C52&lt;&gt;"Target state",$C52&lt;&gt;"Exception",$D52="High",$E52="Medium"),$A52&amp;"  "&amp;$B52,"")</f>
        <v/>
      </c>
      <c r="Q52">
        <f>IF(AND($B52&lt;&gt;"",$C52&lt;&gt;"Target state",$C52&lt;&gt;"Exception",$D52="High",$E52="High"),$A52&amp;"  "&amp;$B52,"")</f>
        <v/>
      </c>
      <c r="R52">
        <f>IF(AND($B52&lt;&gt;"",$C52&lt;&gt;"Target state",$C52&lt;&gt;"Exception",$D52="Medium",$E52="Low"),$A52&amp;"  "&amp;$B52,"")</f>
        <v/>
      </c>
      <c r="S52">
        <f>IF(AND($B52&lt;&gt;"",$C52&lt;&gt;"Target state",$C52&lt;&gt;"Exception",$D52="Medium",$E52="Medium"),$A52&amp;"  "&amp;$B52,"")</f>
        <v/>
      </c>
      <c r="T52">
        <f>IF(AND($B52&lt;&gt;"",$C52&lt;&gt;"Target state",$C52&lt;&gt;"Exception",$D52="Medium",$E52="High"),$A52&amp;"  "&amp;$B52,"")</f>
        <v/>
      </c>
      <c r="U52">
        <f>IF(AND($B52&lt;&gt;"",$C52&lt;&gt;"Target state",$C52&lt;&gt;"Exception",$D52="Low",$E52="Low"),$A52&amp;"  "&amp;$B52,"")</f>
        <v/>
      </c>
      <c r="V52">
        <f>IF(AND($B52&lt;&gt;"",$C52&lt;&gt;"Target state",$C52&lt;&gt;"Exception",$D52="Low",$E52="Medium"),$A52&amp;"  "&amp;$B52,"")</f>
        <v/>
      </c>
      <c r="W52">
        <f>IF(AND($B52&lt;&gt;"",$C52&lt;&gt;"Target state",$C52&lt;&gt;"Exception",$D52="Low",$E52="High"),$A52&amp;"  "&amp;$B52,"")</f>
        <v/>
      </c>
    </row>
    <row r="53" ht="20" customHeight="1" s="52">
      <c r="A53" s="93" t="inlineStr">
        <is>
          <t>⑪</t>
        </is>
      </c>
      <c r="B53" s="94" t="n"/>
      <c r="C53" s="73" t="n"/>
      <c r="D53" s="73" t="n"/>
      <c r="E53" s="73" t="n"/>
      <c r="F53" s="72" t="n"/>
      <c r="G53" s="95">
        <f>IF(OR($B53="",$D53="",$E53=""),"",IF(OR($C53="Target state",$C53="Exception"),"Out of scope",IF($D53="Low","No tranche",IF($E53="Low","Tranche 1",IF($E53="Medium","Tranche 2",IF($D53="High","Tranche 3","No tranche"))))))</f>
        <v/>
      </c>
      <c r="K53" s="102" t="n"/>
      <c r="L53" s="102" t="n"/>
      <c r="M53" s="102" t="n"/>
      <c r="O53">
        <f>IF(AND($B53&lt;&gt;"",$C53&lt;&gt;"Target state",$C53&lt;&gt;"Exception",$D53="High",$E53="Low"),$A53&amp;"  "&amp;$B53,"")</f>
        <v/>
      </c>
      <c r="P53">
        <f>IF(AND($B53&lt;&gt;"",$C53&lt;&gt;"Target state",$C53&lt;&gt;"Exception",$D53="High",$E53="Medium"),$A53&amp;"  "&amp;$B53,"")</f>
        <v/>
      </c>
      <c r="Q53">
        <f>IF(AND($B53&lt;&gt;"",$C53&lt;&gt;"Target state",$C53&lt;&gt;"Exception",$D53="High",$E53="High"),$A53&amp;"  "&amp;$B53,"")</f>
        <v/>
      </c>
      <c r="R53">
        <f>IF(AND($B53&lt;&gt;"",$C53&lt;&gt;"Target state",$C53&lt;&gt;"Exception",$D53="Medium",$E53="Low"),$A53&amp;"  "&amp;$B53,"")</f>
        <v/>
      </c>
      <c r="S53">
        <f>IF(AND($B53&lt;&gt;"",$C53&lt;&gt;"Target state",$C53&lt;&gt;"Exception",$D53="Medium",$E53="Medium"),$A53&amp;"  "&amp;$B53,"")</f>
        <v/>
      </c>
      <c r="T53">
        <f>IF(AND($B53&lt;&gt;"",$C53&lt;&gt;"Target state",$C53&lt;&gt;"Exception",$D53="Medium",$E53="High"),$A53&amp;"  "&amp;$B53,"")</f>
        <v/>
      </c>
      <c r="U53">
        <f>IF(AND($B53&lt;&gt;"",$C53&lt;&gt;"Target state",$C53&lt;&gt;"Exception",$D53="Low",$E53="Low"),$A53&amp;"  "&amp;$B53,"")</f>
        <v/>
      </c>
      <c r="V53">
        <f>IF(AND($B53&lt;&gt;"",$C53&lt;&gt;"Target state",$C53&lt;&gt;"Exception",$D53="Low",$E53="Medium"),$A53&amp;"  "&amp;$B53,"")</f>
        <v/>
      </c>
      <c r="W53">
        <f>IF(AND($B53&lt;&gt;"",$C53&lt;&gt;"Target state",$C53&lt;&gt;"Exception",$D53="Low",$E53="High"),$A53&amp;"  "&amp;$B53,"")</f>
        <v/>
      </c>
    </row>
    <row r="54">
      <c r="K54" s="97" t="inlineStr">
        <is>
          <t>Complexity</t>
        </is>
      </c>
    </row>
    <row r="58" ht="22" customHeight="1" s="52">
      <c r="A58" s="88" t="inlineStr">
        <is>
          <t>Billing</t>
        </is>
      </c>
      <c r="G58" s="89">
        <f>HYPERLINK("#'Single-out'!A4","▲ tracker")</f>
        <v/>
      </c>
      <c r="K58" s="90" t="inlineStr">
        <is>
          <t>Assessment Outcome</t>
        </is>
      </c>
    </row>
    <row r="59" ht="18" customHeight="1" s="52">
      <c r="A59" s="91" t="inlineStr">
        <is>
          <t>#</t>
        </is>
      </c>
      <c r="B59" s="91" t="inlineStr">
        <is>
          <t>Platform</t>
        </is>
      </c>
      <c r="C59" s="91" t="inlineStr">
        <is>
          <t>State</t>
        </is>
      </c>
      <c r="D59" s="91" t="inlineStr">
        <is>
          <t>Imperative to exit</t>
        </is>
      </c>
      <c r="E59" s="91" t="inlineStr">
        <is>
          <t>Exit complexity</t>
        </is>
      </c>
      <c r="F59" s="91" t="inlineStr">
        <is>
          <t>Supporting facts</t>
        </is>
      </c>
      <c r="G59" s="91" t="inlineStr">
        <is>
          <t>Tranche (auto)</t>
        </is>
      </c>
      <c r="K59" s="92" t="inlineStr">
        <is>
          <t>Low</t>
        </is>
      </c>
      <c r="L59" s="92" t="inlineStr">
        <is>
          <t>Medium</t>
        </is>
      </c>
      <c r="M59" s="92" t="inlineStr">
        <is>
          <t>High</t>
        </is>
      </c>
    </row>
    <row r="60" ht="30" customHeight="1" s="52">
      <c r="A60" s="93" t="inlineStr">
        <is>
          <t>①</t>
        </is>
      </c>
      <c r="B60" s="94" t="inlineStr">
        <is>
          <t>Netsuite (Eway)</t>
        </is>
      </c>
      <c r="C60" s="73" t="inlineStr">
        <is>
          <t>Non-target state</t>
        </is>
      </c>
      <c r="D60" s="73" t="n"/>
      <c r="E60" s="73" t="n"/>
      <c r="F60" s="72" t="inlineStr">
        <is>
          <t>Non-strategic billing and accounting for Eway eCommerce merchants; sustain in KTLO per the repository</t>
        </is>
      </c>
      <c r="G60" s="95">
        <f>IF(OR($B60="",$D60="",$E60=""),"",IF(OR($C60="Target state",$C60="Exception"),"Out of scope",IF($D60="Low","No tranche",IF($E60="Low","Tranche 1",IF($E60="Medium","Tranche 2",IF($D60="High","Tranche 3","No tranche"))))))</f>
        <v/>
      </c>
      <c r="I60" s="96" t="inlineStr">
        <is>
          <t>Benefits</t>
        </is>
      </c>
      <c r="J60" s="97" t="inlineStr">
        <is>
          <t>High</t>
        </is>
      </c>
      <c r="K60" s="98">
        <f>"Tranche 1"&amp;CHAR(10)&amp;_xlfn.TEXTJOIN(CHAR(10),TRUE,O$60:O$69)</f>
        <v/>
      </c>
      <c r="L60" s="99">
        <f>"Tranche 2"&amp;CHAR(10)&amp;_xlfn.TEXTJOIN(CHAR(10),TRUE,P$60:P$69)</f>
        <v/>
      </c>
      <c r="M60" s="100">
        <f>"Tranche 3"&amp;CHAR(10)&amp;_xlfn.TEXTJOIN(CHAR(10),TRUE,Q$60:Q$69)</f>
        <v/>
      </c>
      <c r="O60">
        <f>IF(AND($B60&lt;&gt;"",$C60&lt;&gt;"Target state",$C60&lt;&gt;"Exception",$D60="High",$E60="Low"),$A60&amp;"  "&amp;$B60,"")</f>
        <v/>
      </c>
      <c r="P60">
        <f>IF(AND($B60&lt;&gt;"",$C60&lt;&gt;"Target state",$C60&lt;&gt;"Exception",$D60="High",$E60="Medium"),$A60&amp;"  "&amp;$B60,"")</f>
        <v/>
      </c>
      <c r="Q60">
        <f>IF(AND($B60&lt;&gt;"",$C60&lt;&gt;"Target state",$C60&lt;&gt;"Exception",$D60="High",$E60="High"),$A60&amp;"  "&amp;$B60,"")</f>
        <v/>
      </c>
      <c r="R60">
        <f>IF(AND($B60&lt;&gt;"",$C60&lt;&gt;"Target state",$C60&lt;&gt;"Exception",$D60="Medium",$E60="Low"),$A60&amp;"  "&amp;$B60,"")</f>
        <v/>
      </c>
      <c r="S60">
        <f>IF(AND($B60&lt;&gt;"",$C60&lt;&gt;"Target state",$C60&lt;&gt;"Exception",$D60="Medium",$E60="Medium"),$A60&amp;"  "&amp;$B60,"")</f>
        <v/>
      </c>
      <c r="T60">
        <f>IF(AND($B60&lt;&gt;"",$C60&lt;&gt;"Target state",$C60&lt;&gt;"Exception",$D60="Medium",$E60="High"),$A60&amp;"  "&amp;$B60,"")</f>
        <v/>
      </c>
      <c r="U60">
        <f>IF(AND($B60&lt;&gt;"",$C60&lt;&gt;"Target state",$C60&lt;&gt;"Exception",$D60="Low",$E60="Low"),$A60&amp;"  "&amp;$B60,"")</f>
        <v/>
      </c>
      <c r="V60">
        <f>IF(AND($B60&lt;&gt;"",$C60&lt;&gt;"Target state",$C60&lt;&gt;"Exception",$D60="Low",$E60="Medium"),$A60&amp;"  "&amp;$B60,"")</f>
        <v/>
      </c>
      <c r="W60">
        <f>IF(AND($B60&lt;&gt;"",$C60&lt;&gt;"Target state",$C60&lt;&gt;"Exception",$D60="Low",$E60="High"),$A60&amp;"  "&amp;$B60,"")</f>
        <v/>
      </c>
    </row>
    <row r="61" ht="30" customHeight="1" s="52">
      <c r="A61" s="93" t="inlineStr">
        <is>
          <t>②</t>
        </is>
      </c>
      <c r="B61" s="94" t="inlineStr">
        <is>
          <t>eStatement Portal</t>
        </is>
      </c>
      <c r="C61" s="73" t="inlineStr">
        <is>
          <t>Non-target state</t>
        </is>
      </c>
      <c r="D61" s="73" t="n"/>
      <c r="E61" s="73" t="n"/>
      <c r="F61" s="72" t="inlineStr">
        <is>
          <t>Non-strategic EVO US statement review, generation and branding system; around $50K in yearly cost; on the decommission path</t>
        </is>
      </c>
      <c r="G61" s="95">
        <f>IF(OR($B61="",$D61="",$E61=""),"",IF(OR($C61="Target state",$C61="Exception"),"Out of scope",IF($D61="Low","No tranche",IF($E61="Low","Tranche 1",IF($E61="Medium","Tranche 2",IF($D61="High","Tranche 3","No tranche"))))))</f>
        <v/>
      </c>
      <c r="K61" s="101" t="n"/>
      <c r="L61" s="101" t="n"/>
      <c r="M61" s="101" t="n"/>
      <c r="O61">
        <f>IF(AND($B61&lt;&gt;"",$C61&lt;&gt;"Target state",$C61&lt;&gt;"Exception",$D61="High",$E61="Low"),$A61&amp;"  "&amp;$B61,"")</f>
        <v/>
      </c>
      <c r="P61">
        <f>IF(AND($B61&lt;&gt;"",$C61&lt;&gt;"Target state",$C61&lt;&gt;"Exception",$D61="High",$E61="Medium"),$A61&amp;"  "&amp;$B61,"")</f>
        <v/>
      </c>
      <c r="Q61">
        <f>IF(AND($B61&lt;&gt;"",$C61&lt;&gt;"Target state",$C61&lt;&gt;"Exception",$D61="High",$E61="High"),$A61&amp;"  "&amp;$B61,"")</f>
        <v/>
      </c>
      <c r="R61">
        <f>IF(AND($B61&lt;&gt;"",$C61&lt;&gt;"Target state",$C61&lt;&gt;"Exception",$D61="Medium",$E61="Low"),$A61&amp;"  "&amp;$B61,"")</f>
        <v/>
      </c>
      <c r="S61">
        <f>IF(AND($B61&lt;&gt;"",$C61&lt;&gt;"Target state",$C61&lt;&gt;"Exception",$D61="Medium",$E61="Medium"),$A61&amp;"  "&amp;$B61,"")</f>
        <v/>
      </c>
      <c r="T61">
        <f>IF(AND($B61&lt;&gt;"",$C61&lt;&gt;"Target state",$C61&lt;&gt;"Exception",$D61="Medium",$E61="High"),$A61&amp;"  "&amp;$B61,"")</f>
        <v/>
      </c>
      <c r="U61">
        <f>IF(AND($B61&lt;&gt;"",$C61&lt;&gt;"Target state",$C61&lt;&gt;"Exception",$D61="Low",$E61="Low"),$A61&amp;"  "&amp;$B61,"")</f>
        <v/>
      </c>
      <c r="V61">
        <f>IF(AND($B61&lt;&gt;"",$C61&lt;&gt;"Target state",$C61&lt;&gt;"Exception",$D61="Low",$E61="Medium"),$A61&amp;"  "&amp;$B61,"")</f>
        <v/>
      </c>
      <c r="W61">
        <f>IF(AND($B61&lt;&gt;"",$C61&lt;&gt;"Target state",$C61&lt;&gt;"Exception",$D61="Low",$E61="High"),$A61&amp;"  "&amp;$B61,"")</f>
        <v/>
      </c>
    </row>
    <row r="62" ht="30" customHeight="1" s="52">
      <c r="A62" s="93" t="inlineStr">
        <is>
          <t>③</t>
        </is>
      </c>
      <c r="B62" s="94" t="inlineStr">
        <is>
          <t>IRIS Billing</t>
        </is>
      </c>
      <c r="C62" s="73" t="inlineStr">
        <is>
          <t>Non-target state</t>
        </is>
      </c>
      <c r="D62" s="73" t="n"/>
      <c r="E62" s="73" t="n"/>
      <c r="F62" s="72" t="inlineStr">
        <is>
          <t>Non-strategic NA billing support application already moving to Oracle in July; around $60K in yearly licence cost</t>
        </is>
      </c>
      <c r="G62" s="95">
        <f>IF(OR($B62="",$D62="",$E62=""),"",IF(OR($C62="Target state",$C62="Exception"),"Out of scope",IF($D62="Low","No tranche",IF($E62="Low","Tranche 1",IF($E62="Medium","Tranche 2",IF($D62="High","Tranche 3","No tranche"))))))</f>
        <v/>
      </c>
      <c r="K62" s="101" t="n"/>
      <c r="L62" s="101" t="n"/>
      <c r="M62" s="101" t="n"/>
      <c r="O62">
        <f>IF(AND($B62&lt;&gt;"",$C62&lt;&gt;"Target state",$C62&lt;&gt;"Exception",$D62="High",$E62="Low"),$A62&amp;"  "&amp;$B62,"")</f>
        <v/>
      </c>
      <c r="P62">
        <f>IF(AND($B62&lt;&gt;"",$C62&lt;&gt;"Target state",$C62&lt;&gt;"Exception",$D62="High",$E62="Medium"),$A62&amp;"  "&amp;$B62,"")</f>
        <v/>
      </c>
      <c r="Q62">
        <f>IF(AND($B62&lt;&gt;"",$C62&lt;&gt;"Target state",$C62&lt;&gt;"Exception",$D62="High",$E62="High"),$A62&amp;"  "&amp;$B62,"")</f>
        <v/>
      </c>
      <c r="R62">
        <f>IF(AND($B62&lt;&gt;"",$C62&lt;&gt;"Target state",$C62&lt;&gt;"Exception",$D62="Medium",$E62="Low"),$A62&amp;"  "&amp;$B62,"")</f>
        <v/>
      </c>
      <c r="S62">
        <f>IF(AND($B62&lt;&gt;"",$C62&lt;&gt;"Target state",$C62&lt;&gt;"Exception",$D62="Medium",$E62="Medium"),$A62&amp;"  "&amp;$B62,"")</f>
        <v/>
      </c>
      <c r="T62">
        <f>IF(AND($B62&lt;&gt;"",$C62&lt;&gt;"Target state",$C62&lt;&gt;"Exception",$D62="Medium",$E62="High"),$A62&amp;"  "&amp;$B62,"")</f>
        <v/>
      </c>
      <c r="U62">
        <f>IF(AND($B62&lt;&gt;"",$C62&lt;&gt;"Target state",$C62&lt;&gt;"Exception",$D62="Low",$E62="Low"),$A62&amp;"  "&amp;$B62,"")</f>
        <v/>
      </c>
      <c r="V62">
        <f>IF(AND($B62&lt;&gt;"",$C62&lt;&gt;"Target state",$C62&lt;&gt;"Exception",$D62="Low",$E62="Medium"),$A62&amp;"  "&amp;$B62,"")</f>
        <v/>
      </c>
      <c r="W62">
        <f>IF(AND($B62&lt;&gt;"",$C62&lt;&gt;"Target state",$C62&lt;&gt;"Exception",$D62="Low",$E62="High"),$A62&amp;"  "&amp;$B62,"")</f>
        <v/>
      </c>
    </row>
    <row r="63" ht="20" customHeight="1" s="52">
      <c r="A63" s="93" t="inlineStr">
        <is>
          <t>④</t>
        </is>
      </c>
      <c r="B63" s="94" t="n"/>
      <c r="C63" s="73" t="n"/>
      <c r="D63" s="73" t="n"/>
      <c r="E63" s="73" t="n"/>
      <c r="F63" s="72" t="n"/>
      <c r="G63" s="95">
        <f>IF(OR($B63="",$D63="",$E63=""),"",IF(OR($C63="Target state",$C63="Exception"),"Out of scope",IF($D63="Low","No tranche",IF($E63="Low","Tranche 1",IF($E63="Medium","Tranche 2",IF($D63="High","Tranche 3","No tranche"))))))</f>
        <v/>
      </c>
      <c r="K63" s="102" t="n"/>
      <c r="L63" s="102" t="n"/>
      <c r="M63" s="102" t="n"/>
      <c r="O63">
        <f>IF(AND($B63&lt;&gt;"",$C63&lt;&gt;"Target state",$C63&lt;&gt;"Exception",$D63="High",$E63="Low"),$A63&amp;"  "&amp;$B63,"")</f>
        <v/>
      </c>
      <c r="P63">
        <f>IF(AND($B63&lt;&gt;"",$C63&lt;&gt;"Target state",$C63&lt;&gt;"Exception",$D63="High",$E63="Medium"),$A63&amp;"  "&amp;$B63,"")</f>
        <v/>
      </c>
      <c r="Q63">
        <f>IF(AND($B63&lt;&gt;"",$C63&lt;&gt;"Target state",$C63&lt;&gt;"Exception",$D63="High",$E63="High"),$A63&amp;"  "&amp;$B63,"")</f>
        <v/>
      </c>
      <c r="R63">
        <f>IF(AND($B63&lt;&gt;"",$C63&lt;&gt;"Target state",$C63&lt;&gt;"Exception",$D63="Medium",$E63="Low"),$A63&amp;"  "&amp;$B63,"")</f>
        <v/>
      </c>
      <c r="S63">
        <f>IF(AND($B63&lt;&gt;"",$C63&lt;&gt;"Target state",$C63&lt;&gt;"Exception",$D63="Medium",$E63="Medium"),$A63&amp;"  "&amp;$B63,"")</f>
        <v/>
      </c>
      <c r="T63">
        <f>IF(AND($B63&lt;&gt;"",$C63&lt;&gt;"Target state",$C63&lt;&gt;"Exception",$D63="Medium",$E63="High"),$A63&amp;"  "&amp;$B63,"")</f>
        <v/>
      </c>
      <c r="U63">
        <f>IF(AND($B63&lt;&gt;"",$C63&lt;&gt;"Target state",$C63&lt;&gt;"Exception",$D63="Low",$E63="Low"),$A63&amp;"  "&amp;$B63,"")</f>
        <v/>
      </c>
      <c r="V63">
        <f>IF(AND($B63&lt;&gt;"",$C63&lt;&gt;"Target state",$C63&lt;&gt;"Exception",$D63="Low",$E63="Medium"),$A63&amp;"  "&amp;$B63,"")</f>
        <v/>
      </c>
      <c r="W63">
        <f>IF(AND($B63&lt;&gt;"",$C63&lt;&gt;"Target state",$C63&lt;&gt;"Exception",$D63="Low",$E63="High"),$A63&amp;"  "&amp;$B63,"")</f>
        <v/>
      </c>
    </row>
    <row r="64" ht="20" customHeight="1" s="52">
      <c r="A64" s="93" t="inlineStr">
        <is>
          <t>⑤</t>
        </is>
      </c>
      <c r="B64" s="94" t="n"/>
      <c r="C64" s="73" t="n"/>
      <c r="D64" s="73" t="n"/>
      <c r="E64" s="73" t="n"/>
      <c r="F64" s="72" t="n"/>
      <c r="G64" s="95">
        <f>IF(OR($B64="",$D64="",$E64=""),"",IF(OR($C64="Target state",$C64="Exception"),"Out of scope",IF($D64="Low","No tranche",IF($E64="Low","Tranche 1",IF($E64="Medium","Tranche 2",IF($D64="High","Tranche 3","No tranche"))))))</f>
        <v/>
      </c>
      <c r="J64" s="97" t="inlineStr">
        <is>
          <t>Medium</t>
        </is>
      </c>
      <c r="K64" s="98">
        <f>"Tranche 1"&amp;CHAR(10)&amp;_xlfn.TEXTJOIN(CHAR(10),TRUE,R$60:R$69)</f>
        <v/>
      </c>
      <c r="L64" s="99">
        <f>"Tranche 2"&amp;CHAR(10)&amp;_xlfn.TEXTJOIN(CHAR(10),TRUE,S$60:S$69)</f>
        <v/>
      </c>
      <c r="M64" s="103">
        <f>_xlfn.TEXTJOIN(CHAR(10),TRUE,T$60:T$69)</f>
        <v/>
      </c>
      <c r="O64">
        <f>IF(AND($B64&lt;&gt;"",$C64&lt;&gt;"Target state",$C64&lt;&gt;"Exception",$D64="High",$E64="Low"),$A64&amp;"  "&amp;$B64,"")</f>
        <v/>
      </c>
      <c r="P64">
        <f>IF(AND($B64&lt;&gt;"",$C64&lt;&gt;"Target state",$C64&lt;&gt;"Exception",$D64="High",$E64="Medium"),$A64&amp;"  "&amp;$B64,"")</f>
        <v/>
      </c>
      <c r="Q64">
        <f>IF(AND($B64&lt;&gt;"",$C64&lt;&gt;"Target state",$C64&lt;&gt;"Exception",$D64="High",$E64="High"),$A64&amp;"  "&amp;$B64,"")</f>
        <v/>
      </c>
      <c r="R64">
        <f>IF(AND($B64&lt;&gt;"",$C64&lt;&gt;"Target state",$C64&lt;&gt;"Exception",$D64="Medium",$E64="Low"),$A64&amp;"  "&amp;$B64,"")</f>
        <v/>
      </c>
      <c r="S64">
        <f>IF(AND($B64&lt;&gt;"",$C64&lt;&gt;"Target state",$C64&lt;&gt;"Exception",$D64="Medium",$E64="Medium"),$A64&amp;"  "&amp;$B64,"")</f>
        <v/>
      </c>
      <c r="T64">
        <f>IF(AND($B64&lt;&gt;"",$C64&lt;&gt;"Target state",$C64&lt;&gt;"Exception",$D64="Medium",$E64="High"),$A64&amp;"  "&amp;$B64,"")</f>
        <v/>
      </c>
      <c r="U64">
        <f>IF(AND($B64&lt;&gt;"",$C64&lt;&gt;"Target state",$C64&lt;&gt;"Exception",$D64="Low",$E64="Low"),$A64&amp;"  "&amp;$B64,"")</f>
        <v/>
      </c>
      <c r="V64">
        <f>IF(AND($B64&lt;&gt;"",$C64&lt;&gt;"Target state",$C64&lt;&gt;"Exception",$D64="Low",$E64="Medium"),$A64&amp;"  "&amp;$B64,"")</f>
        <v/>
      </c>
      <c r="W64">
        <f>IF(AND($B64&lt;&gt;"",$C64&lt;&gt;"Target state",$C64&lt;&gt;"Exception",$D64="Low",$E64="High"),$A64&amp;"  "&amp;$B64,"")</f>
        <v/>
      </c>
    </row>
    <row r="65" ht="20" customHeight="1" s="52">
      <c r="A65" s="93" t="inlineStr">
        <is>
          <t>⑥</t>
        </is>
      </c>
      <c r="B65" s="94" t="n"/>
      <c r="C65" s="73" t="n"/>
      <c r="D65" s="73" t="n"/>
      <c r="E65" s="73" t="n"/>
      <c r="F65" s="72" t="n"/>
      <c r="G65" s="95">
        <f>IF(OR($B65="",$D65="",$E65=""),"",IF(OR($C65="Target state",$C65="Exception"),"Out of scope",IF($D65="Low","No tranche",IF($E65="Low","Tranche 1",IF($E65="Medium","Tranche 2",IF($D65="High","Tranche 3","No tranche"))))))</f>
        <v/>
      </c>
      <c r="K65" s="101" t="n"/>
      <c r="L65" s="101" t="n"/>
      <c r="M65" s="101" t="n"/>
      <c r="O65">
        <f>IF(AND($B65&lt;&gt;"",$C65&lt;&gt;"Target state",$C65&lt;&gt;"Exception",$D65="High",$E65="Low"),$A65&amp;"  "&amp;$B65,"")</f>
        <v/>
      </c>
      <c r="P65">
        <f>IF(AND($B65&lt;&gt;"",$C65&lt;&gt;"Target state",$C65&lt;&gt;"Exception",$D65="High",$E65="Medium"),$A65&amp;"  "&amp;$B65,"")</f>
        <v/>
      </c>
      <c r="Q65">
        <f>IF(AND($B65&lt;&gt;"",$C65&lt;&gt;"Target state",$C65&lt;&gt;"Exception",$D65="High",$E65="High"),$A65&amp;"  "&amp;$B65,"")</f>
        <v/>
      </c>
      <c r="R65">
        <f>IF(AND($B65&lt;&gt;"",$C65&lt;&gt;"Target state",$C65&lt;&gt;"Exception",$D65="Medium",$E65="Low"),$A65&amp;"  "&amp;$B65,"")</f>
        <v/>
      </c>
      <c r="S65">
        <f>IF(AND($B65&lt;&gt;"",$C65&lt;&gt;"Target state",$C65&lt;&gt;"Exception",$D65="Medium",$E65="Medium"),$A65&amp;"  "&amp;$B65,"")</f>
        <v/>
      </c>
      <c r="T65">
        <f>IF(AND($B65&lt;&gt;"",$C65&lt;&gt;"Target state",$C65&lt;&gt;"Exception",$D65="Medium",$E65="High"),$A65&amp;"  "&amp;$B65,"")</f>
        <v/>
      </c>
      <c r="U65">
        <f>IF(AND($B65&lt;&gt;"",$C65&lt;&gt;"Target state",$C65&lt;&gt;"Exception",$D65="Low",$E65="Low"),$A65&amp;"  "&amp;$B65,"")</f>
        <v/>
      </c>
      <c r="V65">
        <f>IF(AND($B65&lt;&gt;"",$C65&lt;&gt;"Target state",$C65&lt;&gt;"Exception",$D65="Low",$E65="Medium"),$A65&amp;"  "&amp;$B65,"")</f>
        <v/>
      </c>
      <c r="W65">
        <f>IF(AND($B65&lt;&gt;"",$C65&lt;&gt;"Target state",$C65&lt;&gt;"Exception",$D65="Low",$E65="High"),$A65&amp;"  "&amp;$B65,"")</f>
        <v/>
      </c>
    </row>
    <row r="66" ht="20" customHeight="1" s="52">
      <c r="A66" s="93" t="inlineStr">
        <is>
          <t>⑦</t>
        </is>
      </c>
      <c r="B66" s="94" t="n"/>
      <c r="C66" s="73" t="n"/>
      <c r="D66" s="73" t="n"/>
      <c r="E66" s="73" t="n"/>
      <c r="F66" s="72" t="n"/>
      <c r="G66" s="95">
        <f>IF(OR($B66="",$D66="",$E66=""),"",IF(OR($C66="Target state",$C66="Exception"),"Out of scope",IF($D66="Low","No tranche",IF($E66="Low","Tranche 1",IF($E66="Medium","Tranche 2",IF($D66="High","Tranche 3","No tranche"))))))</f>
        <v/>
      </c>
      <c r="K66" s="102" t="n"/>
      <c r="L66" s="102" t="n"/>
      <c r="M66" s="102" t="n"/>
      <c r="O66">
        <f>IF(AND($B66&lt;&gt;"",$C66&lt;&gt;"Target state",$C66&lt;&gt;"Exception",$D66="High",$E66="Low"),$A66&amp;"  "&amp;$B66,"")</f>
        <v/>
      </c>
      <c r="P66">
        <f>IF(AND($B66&lt;&gt;"",$C66&lt;&gt;"Target state",$C66&lt;&gt;"Exception",$D66="High",$E66="Medium"),$A66&amp;"  "&amp;$B66,"")</f>
        <v/>
      </c>
      <c r="Q66">
        <f>IF(AND($B66&lt;&gt;"",$C66&lt;&gt;"Target state",$C66&lt;&gt;"Exception",$D66="High",$E66="High"),$A66&amp;"  "&amp;$B66,"")</f>
        <v/>
      </c>
      <c r="R66">
        <f>IF(AND($B66&lt;&gt;"",$C66&lt;&gt;"Target state",$C66&lt;&gt;"Exception",$D66="Medium",$E66="Low"),$A66&amp;"  "&amp;$B66,"")</f>
        <v/>
      </c>
      <c r="S66">
        <f>IF(AND($B66&lt;&gt;"",$C66&lt;&gt;"Target state",$C66&lt;&gt;"Exception",$D66="Medium",$E66="Medium"),$A66&amp;"  "&amp;$B66,"")</f>
        <v/>
      </c>
      <c r="T66">
        <f>IF(AND($B66&lt;&gt;"",$C66&lt;&gt;"Target state",$C66&lt;&gt;"Exception",$D66="Medium",$E66="High"),$A66&amp;"  "&amp;$B66,"")</f>
        <v/>
      </c>
      <c r="U66">
        <f>IF(AND($B66&lt;&gt;"",$C66&lt;&gt;"Target state",$C66&lt;&gt;"Exception",$D66="Low",$E66="Low"),$A66&amp;"  "&amp;$B66,"")</f>
        <v/>
      </c>
      <c r="V66">
        <f>IF(AND($B66&lt;&gt;"",$C66&lt;&gt;"Target state",$C66&lt;&gt;"Exception",$D66="Low",$E66="Medium"),$A66&amp;"  "&amp;$B66,"")</f>
        <v/>
      </c>
      <c r="W66">
        <f>IF(AND($B66&lt;&gt;"",$C66&lt;&gt;"Target state",$C66&lt;&gt;"Exception",$D66="Low",$E66="High"),$A66&amp;"  "&amp;$B66,"")</f>
        <v/>
      </c>
    </row>
    <row r="67" ht="20" customHeight="1" s="52">
      <c r="A67" s="93" t="inlineStr">
        <is>
          <t>⑧</t>
        </is>
      </c>
      <c r="B67" s="94" t="n"/>
      <c r="C67" s="73" t="n"/>
      <c r="D67" s="73" t="n"/>
      <c r="E67" s="73" t="n"/>
      <c r="F67" s="72" t="n"/>
      <c r="G67" s="95">
        <f>IF(OR($B67="",$D67="",$E67=""),"",IF(OR($C67="Target state",$C67="Exception"),"Out of scope",IF($D67="Low","No tranche",IF($E67="Low","Tranche 1",IF($E67="Medium","Tranche 2",IF($D67="High","Tranche 3","No tranche"))))))</f>
        <v/>
      </c>
      <c r="J67" s="97" t="inlineStr">
        <is>
          <t>Low</t>
        </is>
      </c>
      <c r="K67" s="103">
        <f>_xlfn.TEXTJOIN(CHAR(10),TRUE,U$60:U$69)</f>
        <v/>
      </c>
      <c r="L67" s="103">
        <f>_xlfn.TEXTJOIN(CHAR(10),TRUE,V$60:V$69)</f>
        <v/>
      </c>
      <c r="M67" s="103">
        <f>_xlfn.TEXTJOIN(CHAR(10),TRUE,W$60:W$69)</f>
        <v/>
      </c>
      <c r="O67">
        <f>IF(AND($B67&lt;&gt;"",$C67&lt;&gt;"Target state",$C67&lt;&gt;"Exception",$D67="High",$E67="Low"),$A67&amp;"  "&amp;$B67,"")</f>
        <v/>
      </c>
      <c r="P67">
        <f>IF(AND($B67&lt;&gt;"",$C67&lt;&gt;"Target state",$C67&lt;&gt;"Exception",$D67="High",$E67="Medium"),$A67&amp;"  "&amp;$B67,"")</f>
        <v/>
      </c>
      <c r="Q67">
        <f>IF(AND($B67&lt;&gt;"",$C67&lt;&gt;"Target state",$C67&lt;&gt;"Exception",$D67="High",$E67="High"),$A67&amp;"  "&amp;$B67,"")</f>
        <v/>
      </c>
      <c r="R67">
        <f>IF(AND($B67&lt;&gt;"",$C67&lt;&gt;"Target state",$C67&lt;&gt;"Exception",$D67="Medium",$E67="Low"),$A67&amp;"  "&amp;$B67,"")</f>
        <v/>
      </c>
      <c r="S67">
        <f>IF(AND($B67&lt;&gt;"",$C67&lt;&gt;"Target state",$C67&lt;&gt;"Exception",$D67="Medium",$E67="Medium"),$A67&amp;"  "&amp;$B67,"")</f>
        <v/>
      </c>
      <c r="T67">
        <f>IF(AND($B67&lt;&gt;"",$C67&lt;&gt;"Target state",$C67&lt;&gt;"Exception",$D67="Medium",$E67="High"),$A67&amp;"  "&amp;$B67,"")</f>
        <v/>
      </c>
      <c r="U67">
        <f>IF(AND($B67&lt;&gt;"",$C67&lt;&gt;"Target state",$C67&lt;&gt;"Exception",$D67="Low",$E67="Low"),$A67&amp;"  "&amp;$B67,"")</f>
        <v/>
      </c>
      <c r="V67">
        <f>IF(AND($B67&lt;&gt;"",$C67&lt;&gt;"Target state",$C67&lt;&gt;"Exception",$D67="Low",$E67="Medium"),$A67&amp;"  "&amp;$B67,"")</f>
        <v/>
      </c>
      <c r="W67">
        <f>IF(AND($B67&lt;&gt;"",$C67&lt;&gt;"Target state",$C67&lt;&gt;"Exception",$D67="Low",$E67="High"),$A67&amp;"  "&amp;$B67,"")</f>
        <v/>
      </c>
    </row>
    <row r="68" ht="20" customHeight="1" s="52">
      <c r="A68" s="93" t="inlineStr">
        <is>
          <t>⑨</t>
        </is>
      </c>
      <c r="B68" s="94" t="n"/>
      <c r="C68" s="73" t="n"/>
      <c r="D68" s="73" t="n"/>
      <c r="E68" s="73" t="n"/>
      <c r="F68" s="72" t="n"/>
      <c r="G68" s="95">
        <f>IF(OR($B68="",$D68="",$E68=""),"",IF(OR($C68="Target state",$C68="Exception"),"Out of scope",IF($D68="Low","No tranche",IF($E68="Low","Tranche 1",IF($E68="Medium","Tranche 2",IF($D68="High","Tranche 3","No tranche"))))))</f>
        <v/>
      </c>
      <c r="K68" s="101" t="n"/>
      <c r="L68" s="101" t="n"/>
      <c r="M68" s="101" t="n"/>
      <c r="O68">
        <f>IF(AND($B68&lt;&gt;"",$C68&lt;&gt;"Target state",$C68&lt;&gt;"Exception",$D68="High",$E68="Low"),$A68&amp;"  "&amp;$B68,"")</f>
        <v/>
      </c>
      <c r="P68">
        <f>IF(AND($B68&lt;&gt;"",$C68&lt;&gt;"Target state",$C68&lt;&gt;"Exception",$D68="High",$E68="Medium"),$A68&amp;"  "&amp;$B68,"")</f>
        <v/>
      </c>
      <c r="Q68">
        <f>IF(AND($B68&lt;&gt;"",$C68&lt;&gt;"Target state",$C68&lt;&gt;"Exception",$D68="High",$E68="High"),$A68&amp;"  "&amp;$B68,"")</f>
        <v/>
      </c>
      <c r="R68">
        <f>IF(AND($B68&lt;&gt;"",$C68&lt;&gt;"Target state",$C68&lt;&gt;"Exception",$D68="Medium",$E68="Low"),$A68&amp;"  "&amp;$B68,"")</f>
        <v/>
      </c>
      <c r="S68">
        <f>IF(AND($B68&lt;&gt;"",$C68&lt;&gt;"Target state",$C68&lt;&gt;"Exception",$D68="Medium",$E68="Medium"),$A68&amp;"  "&amp;$B68,"")</f>
        <v/>
      </c>
      <c r="T68">
        <f>IF(AND($B68&lt;&gt;"",$C68&lt;&gt;"Target state",$C68&lt;&gt;"Exception",$D68="Medium",$E68="High"),$A68&amp;"  "&amp;$B68,"")</f>
        <v/>
      </c>
      <c r="U68">
        <f>IF(AND($B68&lt;&gt;"",$C68&lt;&gt;"Target state",$C68&lt;&gt;"Exception",$D68="Low",$E68="Low"),$A68&amp;"  "&amp;$B68,"")</f>
        <v/>
      </c>
      <c r="V68">
        <f>IF(AND($B68&lt;&gt;"",$C68&lt;&gt;"Target state",$C68&lt;&gt;"Exception",$D68="Low",$E68="Medium"),$A68&amp;"  "&amp;$B68,"")</f>
        <v/>
      </c>
      <c r="W68">
        <f>IF(AND($B68&lt;&gt;"",$C68&lt;&gt;"Target state",$C68&lt;&gt;"Exception",$D68="Low",$E68="High"),$A68&amp;"  "&amp;$B68,"")</f>
        <v/>
      </c>
    </row>
    <row r="69" ht="20" customHeight="1" s="52">
      <c r="A69" s="93" t="inlineStr">
        <is>
          <t>⑩</t>
        </is>
      </c>
      <c r="B69" s="94" t="n"/>
      <c r="C69" s="73" t="n"/>
      <c r="D69" s="73" t="n"/>
      <c r="E69" s="73" t="n"/>
      <c r="F69" s="72" t="n"/>
      <c r="G69" s="95">
        <f>IF(OR($B69="",$D69="",$E69=""),"",IF(OR($C69="Target state",$C69="Exception"),"Out of scope",IF($D69="Low","No tranche",IF($E69="Low","Tranche 1",IF($E69="Medium","Tranche 2",IF($D69="High","Tranche 3","No tranche"))))))</f>
        <v/>
      </c>
      <c r="K69" s="102" t="n"/>
      <c r="L69" s="102" t="n"/>
      <c r="M69" s="102" t="n"/>
      <c r="O69">
        <f>IF(AND($B69&lt;&gt;"",$C69&lt;&gt;"Target state",$C69&lt;&gt;"Exception",$D69="High",$E69="Low"),$A69&amp;"  "&amp;$B69,"")</f>
        <v/>
      </c>
      <c r="P69">
        <f>IF(AND($B69&lt;&gt;"",$C69&lt;&gt;"Target state",$C69&lt;&gt;"Exception",$D69="High",$E69="Medium"),$A69&amp;"  "&amp;$B69,"")</f>
        <v/>
      </c>
      <c r="Q69">
        <f>IF(AND($B69&lt;&gt;"",$C69&lt;&gt;"Target state",$C69&lt;&gt;"Exception",$D69="High",$E69="High"),$A69&amp;"  "&amp;$B69,"")</f>
        <v/>
      </c>
      <c r="R69">
        <f>IF(AND($B69&lt;&gt;"",$C69&lt;&gt;"Target state",$C69&lt;&gt;"Exception",$D69="Medium",$E69="Low"),$A69&amp;"  "&amp;$B69,"")</f>
        <v/>
      </c>
      <c r="S69">
        <f>IF(AND($B69&lt;&gt;"",$C69&lt;&gt;"Target state",$C69&lt;&gt;"Exception",$D69="Medium",$E69="Medium"),$A69&amp;"  "&amp;$B69,"")</f>
        <v/>
      </c>
      <c r="T69">
        <f>IF(AND($B69&lt;&gt;"",$C69&lt;&gt;"Target state",$C69&lt;&gt;"Exception",$D69="Medium",$E69="High"),$A69&amp;"  "&amp;$B69,"")</f>
        <v/>
      </c>
      <c r="U69">
        <f>IF(AND($B69&lt;&gt;"",$C69&lt;&gt;"Target state",$C69&lt;&gt;"Exception",$D69="Low",$E69="Low"),$A69&amp;"  "&amp;$B69,"")</f>
        <v/>
      </c>
      <c r="V69">
        <f>IF(AND($B69&lt;&gt;"",$C69&lt;&gt;"Target state",$C69&lt;&gt;"Exception",$D69="Low",$E69="Medium"),$A69&amp;"  "&amp;$B69,"")</f>
        <v/>
      </c>
      <c r="W69">
        <f>IF(AND($B69&lt;&gt;"",$C69&lt;&gt;"Target state",$C69&lt;&gt;"Exception",$D69="Low",$E69="High"),$A69&amp;"  "&amp;$B69,"")</f>
        <v/>
      </c>
    </row>
    <row r="70">
      <c r="K70" s="97" t="inlineStr">
        <is>
          <t>Complexity</t>
        </is>
      </c>
    </row>
    <row r="74" ht="22" customHeight="1" s="52">
      <c r="A74" s="88" t="inlineStr">
        <is>
          <t>Disputes</t>
        </is>
      </c>
      <c r="G74" s="89">
        <f>HYPERLINK("#'Single-out'!A4","▲ tracker")</f>
        <v/>
      </c>
      <c r="K74" s="90" t="inlineStr">
        <is>
          <t>Assessment Outcome</t>
        </is>
      </c>
    </row>
    <row r="75" ht="18" customHeight="1" s="52">
      <c r="A75" s="91" t="inlineStr">
        <is>
          <t>#</t>
        </is>
      </c>
      <c r="B75" s="91" t="inlineStr">
        <is>
          <t>Platform</t>
        </is>
      </c>
      <c r="C75" s="91" t="inlineStr">
        <is>
          <t>State</t>
        </is>
      </c>
      <c r="D75" s="91" t="inlineStr">
        <is>
          <t>Imperative to exit</t>
        </is>
      </c>
      <c r="E75" s="91" t="inlineStr">
        <is>
          <t>Exit complexity</t>
        </is>
      </c>
      <c r="F75" s="91" t="inlineStr">
        <is>
          <t>Supporting facts</t>
        </is>
      </c>
      <c r="G75" s="91" t="inlineStr">
        <is>
          <t>Tranche (auto)</t>
        </is>
      </c>
      <c r="K75" s="92" t="inlineStr">
        <is>
          <t>Low</t>
        </is>
      </c>
      <c r="L75" s="92" t="inlineStr">
        <is>
          <t>Medium</t>
        </is>
      </c>
      <c r="M75" s="92" t="inlineStr">
        <is>
          <t>High</t>
        </is>
      </c>
    </row>
    <row r="76" ht="48" customHeight="1" s="52">
      <c r="A76" s="93" t="inlineStr">
        <is>
          <t>①</t>
        </is>
      </c>
      <c r="B76" s="94" t="inlineStr">
        <is>
          <t>DiMS</t>
        </is>
      </c>
      <c r="C76" s="73" t="inlineStr">
        <is>
          <t>Non-target state</t>
        </is>
      </c>
      <c r="D76" s="73" t="n"/>
      <c r="E76" s="73" t="n"/>
      <c r="F76" s="72" t="inlineStr">
        <is>
          <t>Customer-facing and internal disputes platform for NA and international merchants handling about 1.5M disputes a year at roughly $3.3M in annual cost; repository flags initial disposition Keep &amp; Enhance — under TAM 2.0 the long-term north star is WDP, so confirm timing with SPOC</t>
        </is>
      </c>
      <c r="G76" s="95">
        <f>IF(OR($B76="",$D76="",$E76=""),"",IF(OR($C76="Target state",$C76="Exception"),"Out of scope",IF($D76="Low","No tranche",IF($E76="Low","Tranche 1",IF($E76="Medium","Tranche 2",IF($D76="High","Tranche 3","No tranche"))))))</f>
        <v/>
      </c>
      <c r="I76" s="96" t="inlineStr">
        <is>
          <t>Benefits</t>
        </is>
      </c>
      <c r="J76" s="97" t="inlineStr">
        <is>
          <t>High</t>
        </is>
      </c>
      <c r="K76" s="98">
        <f>"Tranche 1"&amp;CHAR(10)&amp;_xlfn.TEXTJOIN(CHAR(10),TRUE,O$76:O$85)</f>
        <v/>
      </c>
      <c r="L76" s="99">
        <f>"Tranche 2"&amp;CHAR(10)&amp;_xlfn.TEXTJOIN(CHAR(10),TRUE,P$76:P$85)</f>
        <v/>
      </c>
      <c r="M76" s="100">
        <f>"Tranche 3"&amp;CHAR(10)&amp;_xlfn.TEXTJOIN(CHAR(10),TRUE,Q$76:Q$85)</f>
        <v/>
      </c>
      <c r="O76">
        <f>IF(AND($B76&lt;&gt;"",$C76&lt;&gt;"Target state",$C76&lt;&gt;"Exception",$D76="High",$E76="Low"),$A76&amp;"  "&amp;$B76,"")</f>
        <v/>
      </c>
      <c r="P76">
        <f>IF(AND($B76&lt;&gt;"",$C76&lt;&gt;"Target state",$C76&lt;&gt;"Exception",$D76="High",$E76="Medium"),$A76&amp;"  "&amp;$B76,"")</f>
        <v/>
      </c>
      <c r="Q76">
        <f>IF(AND($B76&lt;&gt;"",$C76&lt;&gt;"Target state",$C76&lt;&gt;"Exception",$D76="High",$E76="High"),$A76&amp;"  "&amp;$B76,"")</f>
        <v/>
      </c>
      <c r="R76">
        <f>IF(AND($B76&lt;&gt;"",$C76&lt;&gt;"Target state",$C76&lt;&gt;"Exception",$D76="Medium",$E76="Low"),$A76&amp;"  "&amp;$B76,"")</f>
        <v/>
      </c>
      <c r="S76">
        <f>IF(AND($B76&lt;&gt;"",$C76&lt;&gt;"Target state",$C76&lt;&gt;"Exception",$D76="Medium",$E76="Medium"),$A76&amp;"  "&amp;$B76,"")</f>
        <v/>
      </c>
      <c r="T76">
        <f>IF(AND($B76&lt;&gt;"",$C76&lt;&gt;"Target state",$C76&lt;&gt;"Exception",$D76="Medium",$E76="High"),$A76&amp;"  "&amp;$B76,"")</f>
        <v/>
      </c>
      <c r="U76">
        <f>IF(AND($B76&lt;&gt;"",$C76&lt;&gt;"Target state",$C76&lt;&gt;"Exception",$D76="Low",$E76="Low"),$A76&amp;"  "&amp;$B76,"")</f>
        <v/>
      </c>
      <c r="V76">
        <f>IF(AND($B76&lt;&gt;"",$C76&lt;&gt;"Target state",$C76&lt;&gt;"Exception",$D76="Low",$E76="Medium"),$A76&amp;"  "&amp;$B76,"")</f>
        <v/>
      </c>
      <c r="W76">
        <f>IF(AND($B76&lt;&gt;"",$C76&lt;&gt;"Target state",$C76&lt;&gt;"Exception",$D76="Low",$E76="High"),$A76&amp;"  "&amp;$B76,"")</f>
        <v/>
      </c>
    </row>
    <row r="77" ht="36" customHeight="1" s="52">
      <c r="A77" s="93" t="inlineStr">
        <is>
          <t>②</t>
        </is>
      </c>
      <c r="B77" s="94" t="inlineStr">
        <is>
          <t>E360</t>
        </is>
      </c>
      <c r="C77" s="73" t="inlineStr">
        <is>
          <t>Non-target state</t>
        </is>
      </c>
      <c r="D77" s="73" t="n"/>
      <c r="E77" s="73" t="n"/>
      <c r="F77" s="72" t="inlineStr">
        <is>
          <t>Non-strategic legacy EVO disputes platform across US and EU portfolios; about 82K disputes and $23M handled across 13K MIDs; around $610K in yearly cost; migration path agreed</t>
        </is>
      </c>
      <c r="G77" s="95">
        <f>IF(OR($B77="",$D77="",$E77=""),"",IF(OR($C77="Target state",$C77="Exception"),"Out of scope",IF($D77="Low","No tranche",IF($E77="Low","Tranche 1",IF($E77="Medium","Tranche 2",IF($D77="High","Tranche 3","No tranche"))))))</f>
        <v/>
      </c>
      <c r="K77" s="101" t="n"/>
      <c r="L77" s="101" t="n"/>
      <c r="M77" s="101" t="n"/>
      <c r="O77">
        <f>IF(AND($B77&lt;&gt;"",$C77&lt;&gt;"Target state",$C77&lt;&gt;"Exception",$D77="High",$E77="Low"),$A77&amp;"  "&amp;$B77,"")</f>
        <v/>
      </c>
      <c r="P77">
        <f>IF(AND($B77&lt;&gt;"",$C77&lt;&gt;"Target state",$C77&lt;&gt;"Exception",$D77="High",$E77="Medium"),$A77&amp;"  "&amp;$B77,"")</f>
        <v/>
      </c>
      <c r="Q77">
        <f>IF(AND($B77&lt;&gt;"",$C77&lt;&gt;"Target state",$C77&lt;&gt;"Exception",$D77="High",$E77="High"),$A77&amp;"  "&amp;$B77,"")</f>
        <v/>
      </c>
      <c r="R77">
        <f>IF(AND($B77&lt;&gt;"",$C77&lt;&gt;"Target state",$C77&lt;&gt;"Exception",$D77="Medium",$E77="Low"),$A77&amp;"  "&amp;$B77,"")</f>
        <v/>
      </c>
      <c r="S77">
        <f>IF(AND($B77&lt;&gt;"",$C77&lt;&gt;"Target state",$C77&lt;&gt;"Exception",$D77="Medium",$E77="Medium"),$A77&amp;"  "&amp;$B77,"")</f>
        <v/>
      </c>
      <c r="T77">
        <f>IF(AND($B77&lt;&gt;"",$C77&lt;&gt;"Target state",$C77&lt;&gt;"Exception",$D77="Medium",$E77="High"),$A77&amp;"  "&amp;$B77,"")</f>
        <v/>
      </c>
      <c r="U77">
        <f>IF(AND($B77&lt;&gt;"",$C77&lt;&gt;"Target state",$C77&lt;&gt;"Exception",$D77="Low",$E77="Low"),$A77&amp;"  "&amp;$B77,"")</f>
        <v/>
      </c>
      <c r="V77">
        <f>IF(AND($B77&lt;&gt;"",$C77&lt;&gt;"Target state",$C77&lt;&gt;"Exception",$D77="Low",$E77="Medium"),$A77&amp;"  "&amp;$B77,"")</f>
        <v/>
      </c>
      <c r="W77">
        <f>IF(AND($B77&lt;&gt;"",$C77&lt;&gt;"Target state",$C77&lt;&gt;"Exception",$D77="Low",$E77="High"),$A77&amp;"  "&amp;$B77,"")</f>
        <v/>
      </c>
    </row>
    <row r="78" ht="30" customHeight="1" s="52">
      <c r="A78" s="93" t="inlineStr">
        <is>
          <t>③</t>
        </is>
      </c>
      <c r="B78" s="94" t="inlineStr">
        <is>
          <t>Interseptas</t>
        </is>
      </c>
      <c r="C78" s="73" t="inlineStr">
        <is>
          <t>Non-target state</t>
        </is>
      </c>
      <c r="D78" s="73" t="n"/>
      <c r="E78" s="73" t="n"/>
      <c r="F78" s="72" t="inlineStr">
        <is>
          <t>Non-strategic disputes platform for NBG Pay in Greece; replaced by E360 after migration with legacy-transaction disputes remaining until run-off</t>
        </is>
      </c>
      <c r="G78" s="95">
        <f>IF(OR($B78="",$D78="",$E78=""),"",IF(OR($C78="Target state",$C78="Exception"),"Out of scope",IF($D78="Low","No tranche",IF($E78="Low","Tranche 1",IF($E78="Medium","Tranche 2",IF($D78="High","Tranche 3","No tranche"))))))</f>
        <v/>
      </c>
      <c r="K78" s="101" t="n"/>
      <c r="L78" s="101" t="n"/>
      <c r="M78" s="101" t="n"/>
      <c r="O78">
        <f>IF(AND($B78&lt;&gt;"",$C78&lt;&gt;"Target state",$C78&lt;&gt;"Exception",$D78="High",$E78="Low"),$A78&amp;"  "&amp;$B78,"")</f>
        <v/>
      </c>
      <c r="P78">
        <f>IF(AND($B78&lt;&gt;"",$C78&lt;&gt;"Target state",$C78&lt;&gt;"Exception",$D78="High",$E78="Medium"),$A78&amp;"  "&amp;$B78,"")</f>
        <v/>
      </c>
      <c r="Q78">
        <f>IF(AND($B78&lt;&gt;"",$C78&lt;&gt;"Target state",$C78&lt;&gt;"Exception",$D78="High",$E78="High"),$A78&amp;"  "&amp;$B78,"")</f>
        <v/>
      </c>
      <c r="R78">
        <f>IF(AND($B78&lt;&gt;"",$C78&lt;&gt;"Target state",$C78&lt;&gt;"Exception",$D78="Medium",$E78="Low"),$A78&amp;"  "&amp;$B78,"")</f>
        <v/>
      </c>
      <c r="S78">
        <f>IF(AND($B78&lt;&gt;"",$C78&lt;&gt;"Target state",$C78&lt;&gt;"Exception",$D78="Medium",$E78="Medium"),$A78&amp;"  "&amp;$B78,"")</f>
        <v/>
      </c>
      <c r="T78">
        <f>IF(AND($B78&lt;&gt;"",$C78&lt;&gt;"Target state",$C78&lt;&gt;"Exception",$D78="Medium",$E78="High"),$A78&amp;"  "&amp;$B78,"")</f>
        <v/>
      </c>
      <c r="U78">
        <f>IF(AND($B78&lt;&gt;"",$C78&lt;&gt;"Target state",$C78&lt;&gt;"Exception",$D78="Low",$E78="Low"),$A78&amp;"  "&amp;$B78,"")</f>
        <v/>
      </c>
      <c r="V78">
        <f>IF(AND($B78&lt;&gt;"",$C78&lt;&gt;"Target state",$C78&lt;&gt;"Exception",$D78="Low",$E78="Medium"),$A78&amp;"  "&amp;$B78,"")</f>
        <v/>
      </c>
      <c r="W78">
        <f>IF(AND($B78&lt;&gt;"",$C78&lt;&gt;"Target state",$C78&lt;&gt;"Exception",$D78="Low",$E78="High"),$A78&amp;"  "&amp;$B78,"")</f>
        <v/>
      </c>
    </row>
    <row r="79" ht="30" customHeight="1" s="52">
      <c r="A79" s="93" t="inlineStr">
        <is>
          <t>④</t>
        </is>
      </c>
      <c r="B79" s="94" t="inlineStr">
        <is>
          <t>TCO &amp; GIT</t>
        </is>
      </c>
      <c r="C79" s="73" t="inlineStr">
        <is>
          <t>Non-target state</t>
        </is>
      </c>
      <c r="D79" s="73" t="n"/>
      <c r="E79" s="73" t="n"/>
      <c r="F79" s="72" t="inlineStr">
        <is>
          <t>Non-strategic Comercia legacy applications supporting dispute documentation and chargeback management in Iberia; on the decommission path</t>
        </is>
      </c>
      <c r="G79" s="95">
        <f>IF(OR($B79="",$D79="",$E79=""),"",IF(OR($C79="Target state",$C79="Exception"),"Out of scope",IF($D79="Low","No tranche",IF($E79="Low","Tranche 1",IF($E79="Medium","Tranche 2",IF($D79="High","Tranche 3","No tranche"))))))</f>
        <v/>
      </c>
      <c r="K79" s="102" t="n"/>
      <c r="L79" s="102" t="n"/>
      <c r="M79" s="102" t="n"/>
      <c r="O79">
        <f>IF(AND($B79&lt;&gt;"",$C79&lt;&gt;"Target state",$C79&lt;&gt;"Exception",$D79="High",$E79="Low"),$A79&amp;"  "&amp;$B79,"")</f>
        <v/>
      </c>
      <c r="P79">
        <f>IF(AND($B79&lt;&gt;"",$C79&lt;&gt;"Target state",$C79&lt;&gt;"Exception",$D79="High",$E79="Medium"),$A79&amp;"  "&amp;$B79,"")</f>
        <v/>
      </c>
      <c r="Q79">
        <f>IF(AND($B79&lt;&gt;"",$C79&lt;&gt;"Target state",$C79&lt;&gt;"Exception",$D79="High",$E79="High"),$A79&amp;"  "&amp;$B79,"")</f>
        <v/>
      </c>
      <c r="R79">
        <f>IF(AND($B79&lt;&gt;"",$C79&lt;&gt;"Target state",$C79&lt;&gt;"Exception",$D79="Medium",$E79="Low"),$A79&amp;"  "&amp;$B79,"")</f>
        <v/>
      </c>
      <c r="S79">
        <f>IF(AND($B79&lt;&gt;"",$C79&lt;&gt;"Target state",$C79&lt;&gt;"Exception",$D79="Medium",$E79="Medium"),$A79&amp;"  "&amp;$B79,"")</f>
        <v/>
      </c>
      <c r="T79">
        <f>IF(AND($B79&lt;&gt;"",$C79&lt;&gt;"Target state",$C79&lt;&gt;"Exception",$D79="Medium",$E79="High"),$A79&amp;"  "&amp;$B79,"")</f>
        <v/>
      </c>
      <c r="U79">
        <f>IF(AND($B79&lt;&gt;"",$C79&lt;&gt;"Target state",$C79&lt;&gt;"Exception",$D79="Low",$E79="Low"),$A79&amp;"  "&amp;$B79,"")</f>
        <v/>
      </c>
      <c r="V79">
        <f>IF(AND($B79&lt;&gt;"",$C79&lt;&gt;"Target state",$C79&lt;&gt;"Exception",$D79="Low",$E79="Medium"),$A79&amp;"  "&amp;$B79,"")</f>
        <v/>
      </c>
      <c r="W79">
        <f>IF(AND($B79&lt;&gt;"",$C79&lt;&gt;"Target state",$C79&lt;&gt;"Exception",$D79="Low",$E79="High"),$A79&amp;"  "&amp;$B79,"")</f>
        <v/>
      </c>
    </row>
    <row r="80" ht="20" customHeight="1" s="52">
      <c r="A80" s="93" t="inlineStr">
        <is>
          <t>⑤</t>
        </is>
      </c>
      <c r="B80" s="94" t="n"/>
      <c r="C80" s="73" t="n"/>
      <c r="D80" s="73" t="n"/>
      <c r="E80" s="73" t="n"/>
      <c r="F80" s="72" t="n"/>
      <c r="G80" s="95">
        <f>IF(OR($B80="",$D80="",$E80=""),"",IF(OR($C80="Target state",$C80="Exception"),"Out of scope",IF($D80="Low","No tranche",IF($E80="Low","Tranche 1",IF($E80="Medium","Tranche 2",IF($D80="High","Tranche 3","No tranche"))))))</f>
        <v/>
      </c>
      <c r="J80" s="97" t="inlineStr">
        <is>
          <t>Medium</t>
        </is>
      </c>
      <c r="K80" s="98">
        <f>"Tranche 1"&amp;CHAR(10)&amp;_xlfn.TEXTJOIN(CHAR(10),TRUE,R$76:R$85)</f>
        <v/>
      </c>
      <c r="L80" s="99">
        <f>"Tranche 2"&amp;CHAR(10)&amp;_xlfn.TEXTJOIN(CHAR(10),TRUE,S$76:S$85)</f>
        <v/>
      </c>
      <c r="M80" s="103">
        <f>_xlfn.TEXTJOIN(CHAR(10),TRUE,T$76:T$85)</f>
        <v/>
      </c>
      <c r="O80">
        <f>IF(AND($B80&lt;&gt;"",$C80&lt;&gt;"Target state",$C80&lt;&gt;"Exception",$D80="High",$E80="Low"),$A80&amp;"  "&amp;$B80,"")</f>
        <v/>
      </c>
      <c r="P80">
        <f>IF(AND($B80&lt;&gt;"",$C80&lt;&gt;"Target state",$C80&lt;&gt;"Exception",$D80="High",$E80="Medium"),$A80&amp;"  "&amp;$B80,"")</f>
        <v/>
      </c>
      <c r="Q80">
        <f>IF(AND($B80&lt;&gt;"",$C80&lt;&gt;"Target state",$C80&lt;&gt;"Exception",$D80="High",$E80="High"),$A80&amp;"  "&amp;$B80,"")</f>
        <v/>
      </c>
      <c r="R80">
        <f>IF(AND($B80&lt;&gt;"",$C80&lt;&gt;"Target state",$C80&lt;&gt;"Exception",$D80="Medium",$E80="Low"),$A80&amp;"  "&amp;$B80,"")</f>
        <v/>
      </c>
      <c r="S80">
        <f>IF(AND($B80&lt;&gt;"",$C80&lt;&gt;"Target state",$C80&lt;&gt;"Exception",$D80="Medium",$E80="Medium"),$A80&amp;"  "&amp;$B80,"")</f>
        <v/>
      </c>
      <c r="T80">
        <f>IF(AND($B80&lt;&gt;"",$C80&lt;&gt;"Target state",$C80&lt;&gt;"Exception",$D80="Medium",$E80="High"),$A80&amp;"  "&amp;$B80,"")</f>
        <v/>
      </c>
      <c r="U80">
        <f>IF(AND($B80&lt;&gt;"",$C80&lt;&gt;"Target state",$C80&lt;&gt;"Exception",$D80="Low",$E80="Low"),$A80&amp;"  "&amp;$B80,"")</f>
        <v/>
      </c>
      <c r="V80">
        <f>IF(AND($B80&lt;&gt;"",$C80&lt;&gt;"Target state",$C80&lt;&gt;"Exception",$D80="Low",$E80="Medium"),$A80&amp;"  "&amp;$B80,"")</f>
        <v/>
      </c>
      <c r="W80">
        <f>IF(AND($B80&lt;&gt;"",$C80&lt;&gt;"Target state",$C80&lt;&gt;"Exception",$D80="Low",$E80="High"),$A80&amp;"  "&amp;$B80,"")</f>
        <v/>
      </c>
    </row>
    <row r="81" ht="20" customHeight="1" s="52">
      <c r="A81" s="93" t="inlineStr">
        <is>
          <t>⑥</t>
        </is>
      </c>
      <c r="B81" s="94" t="n"/>
      <c r="C81" s="73" t="n"/>
      <c r="D81" s="73" t="n"/>
      <c r="E81" s="73" t="n"/>
      <c r="F81" s="72" t="n"/>
      <c r="G81" s="95">
        <f>IF(OR($B81="",$D81="",$E81=""),"",IF(OR($C81="Target state",$C81="Exception"),"Out of scope",IF($D81="Low","No tranche",IF($E81="Low","Tranche 1",IF($E81="Medium","Tranche 2",IF($D81="High","Tranche 3","No tranche"))))))</f>
        <v/>
      </c>
      <c r="K81" s="101" t="n"/>
      <c r="L81" s="101" t="n"/>
      <c r="M81" s="101" t="n"/>
      <c r="O81">
        <f>IF(AND($B81&lt;&gt;"",$C81&lt;&gt;"Target state",$C81&lt;&gt;"Exception",$D81="High",$E81="Low"),$A81&amp;"  "&amp;$B81,"")</f>
        <v/>
      </c>
      <c r="P81">
        <f>IF(AND($B81&lt;&gt;"",$C81&lt;&gt;"Target state",$C81&lt;&gt;"Exception",$D81="High",$E81="Medium"),$A81&amp;"  "&amp;$B81,"")</f>
        <v/>
      </c>
      <c r="Q81">
        <f>IF(AND($B81&lt;&gt;"",$C81&lt;&gt;"Target state",$C81&lt;&gt;"Exception",$D81="High",$E81="High"),$A81&amp;"  "&amp;$B81,"")</f>
        <v/>
      </c>
      <c r="R81">
        <f>IF(AND($B81&lt;&gt;"",$C81&lt;&gt;"Target state",$C81&lt;&gt;"Exception",$D81="Medium",$E81="Low"),$A81&amp;"  "&amp;$B81,"")</f>
        <v/>
      </c>
      <c r="S81">
        <f>IF(AND($B81&lt;&gt;"",$C81&lt;&gt;"Target state",$C81&lt;&gt;"Exception",$D81="Medium",$E81="Medium"),$A81&amp;"  "&amp;$B81,"")</f>
        <v/>
      </c>
      <c r="T81">
        <f>IF(AND($B81&lt;&gt;"",$C81&lt;&gt;"Target state",$C81&lt;&gt;"Exception",$D81="Medium",$E81="High"),$A81&amp;"  "&amp;$B81,"")</f>
        <v/>
      </c>
      <c r="U81">
        <f>IF(AND($B81&lt;&gt;"",$C81&lt;&gt;"Target state",$C81&lt;&gt;"Exception",$D81="Low",$E81="Low"),$A81&amp;"  "&amp;$B81,"")</f>
        <v/>
      </c>
      <c r="V81">
        <f>IF(AND($B81&lt;&gt;"",$C81&lt;&gt;"Target state",$C81&lt;&gt;"Exception",$D81="Low",$E81="Medium"),$A81&amp;"  "&amp;$B81,"")</f>
        <v/>
      </c>
      <c r="W81">
        <f>IF(AND($B81&lt;&gt;"",$C81&lt;&gt;"Target state",$C81&lt;&gt;"Exception",$D81="Low",$E81="High"),$A81&amp;"  "&amp;$B81,"")</f>
        <v/>
      </c>
    </row>
    <row r="82" ht="20" customHeight="1" s="52">
      <c r="A82" s="93" t="inlineStr">
        <is>
          <t>⑦</t>
        </is>
      </c>
      <c r="B82" s="94" t="n"/>
      <c r="C82" s="73" t="n"/>
      <c r="D82" s="73" t="n"/>
      <c r="E82" s="73" t="n"/>
      <c r="F82" s="72" t="n"/>
      <c r="G82" s="95">
        <f>IF(OR($B82="",$D82="",$E82=""),"",IF(OR($C82="Target state",$C82="Exception"),"Out of scope",IF($D82="Low","No tranche",IF($E82="Low","Tranche 1",IF($E82="Medium","Tranche 2",IF($D82="High","Tranche 3","No tranche"))))))</f>
        <v/>
      </c>
      <c r="K82" s="102" t="n"/>
      <c r="L82" s="102" t="n"/>
      <c r="M82" s="102" t="n"/>
      <c r="O82">
        <f>IF(AND($B82&lt;&gt;"",$C82&lt;&gt;"Target state",$C82&lt;&gt;"Exception",$D82="High",$E82="Low"),$A82&amp;"  "&amp;$B82,"")</f>
        <v/>
      </c>
      <c r="P82">
        <f>IF(AND($B82&lt;&gt;"",$C82&lt;&gt;"Target state",$C82&lt;&gt;"Exception",$D82="High",$E82="Medium"),$A82&amp;"  "&amp;$B82,"")</f>
        <v/>
      </c>
      <c r="Q82">
        <f>IF(AND($B82&lt;&gt;"",$C82&lt;&gt;"Target state",$C82&lt;&gt;"Exception",$D82="High",$E82="High"),$A82&amp;"  "&amp;$B82,"")</f>
        <v/>
      </c>
      <c r="R82">
        <f>IF(AND($B82&lt;&gt;"",$C82&lt;&gt;"Target state",$C82&lt;&gt;"Exception",$D82="Medium",$E82="Low"),$A82&amp;"  "&amp;$B82,"")</f>
        <v/>
      </c>
      <c r="S82">
        <f>IF(AND($B82&lt;&gt;"",$C82&lt;&gt;"Target state",$C82&lt;&gt;"Exception",$D82="Medium",$E82="Medium"),$A82&amp;"  "&amp;$B82,"")</f>
        <v/>
      </c>
      <c r="T82">
        <f>IF(AND($B82&lt;&gt;"",$C82&lt;&gt;"Target state",$C82&lt;&gt;"Exception",$D82="Medium",$E82="High"),$A82&amp;"  "&amp;$B82,"")</f>
        <v/>
      </c>
      <c r="U82">
        <f>IF(AND($B82&lt;&gt;"",$C82&lt;&gt;"Target state",$C82&lt;&gt;"Exception",$D82="Low",$E82="Low"),$A82&amp;"  "&amp;$B82,"")</f>
        <v/>
      </c>
      <c r="V82">
        <f>IF(AND($B82&lt;&gt;"",$C82&lt;&gt;"Target state",$C82&lt;&gt;"Exception",$D82="Low",$E82="Medium"),$A82&amp;"  "&amp;$B82,"")</f>
        <v/>
      </c>
      <c r="W82">
        <f>IF(AND($B82&lt;&gt;"",$C82&lt;&gt;"Target state",$C82&lt;&gt;"Exception",$D82="Low",$E82="High"),$A82&amp;"  "&amp;$B82,"")</f>
        <v/>
      </c>
    </row>
    <row r="83" ht="20" customHeight="1" s="52">
      <c r="A83" s="93" t="inlineStr">
        <is>
          <t>⑧</t>
        </is>
      </c>
      <c r="B83" s="94" t="n"/>
      <c r="C83" s="73" t="n"/>
      <c r="D83" s="73" t="n"/>
      <c r="E83" s="73" t="n"/>
      <c r="F83" s="72" t="n"/>
      <c r="G83" s="95">
        <f>IF(OR($B83="",$D83="",$E83=""),"",IF(OR($C83="Target state",$C83="Exception"),"Out of scope",IF($D83="Low","No tranche",IF($E83="Low","Tranche 1",IF($E83="Medium","Tranche 2",IF($D83="High","Tranche 3","No tranche"))))))</f>
        <v/>
      </c>
      <c r="J83" s="97" t="inlineStr">
        <is>
          <t>Low</t>
        </is>
      </c>
      <c r="K83" s="103">
        <f>_xlfn.TEXTJOIN(CHAR(10),TRUE,U$76:U$85)</f>
        <v/>
      </c>
      <c r="L83" s="103">
        <f>_xlfn.TEXTJOIN(CHAR(10),TRUE,V$76:V$85)</f>
        <v/>
      </c>
      <c r="M83" s="103">
        <f>_xlfn.TEXTJOIN(CHAR(10),TRUE,W$76:W$85)</f>
        <v/>
      </c>
      <c r="O83">
        <f>IF(AND($B83&lt;&gt;"",$C83&lt;&gt;"Target state",$C83&lt;&gt;"Exception",$D83="High",$E83="Low"),$A83&amp;"  "&amp;$B83,"")</f>
        <v/>
      </c>
      <c r="P83">
        <f>IF(AND($B83&lt;&gt;"",$C83&lt;&gt;"Target state",$C83&lt;&gt;"Exception",$D83="High",$E83="Medium"),$A83&amp;"  "&amp;$B83,"")</f>
        <v/>
      </c>
      <c r="Q83">
        <f>IF(AND($B83&lt;&gt;"",$C83&lt;&gt;"Target state",$C83&lt;&gt;"Exception",$D83="High",$E83="High"),$A83&amp;"  "&amp;$B83,"")</f>
        <v/>
      </c>
      <c r="R83">
        <f>IF(AND($B83&lt;&gt;"",$C83&lt;&gt;"Target state",$C83&lt;&gt;"Exception",$D83="Medium",$E83="Low"),$A83&amp;"  "&amp;$B83,"")</f>
        <v/>
      </c>
      <c r="S83">
        <f>IF(AND($B83&lt;&gt;"",$C83&lt;&gt;"Target state",$C83&lt;&gt;"Exception",$D83="Medium",$E83="Medium"),$A83&amp;"  "&amp;$B83,"")</f>
        <v/>
      </c>
      <c r="T83">
        <f>IF(AND($B83&lt;&gt;"",$C83&lt;&gt;"Target state",$C83&lt;&gt;"Exception",$D83="Medium",$E83="High"),$A83&amp;"  "&amp;$B83,"")</f>
        <v/>
      </c>
      <c r="U83">
        <f>IF(AND($B83&lt;&gt;"",$C83&lt;&gt;"Target state",$C83&lt;&gt;"Exception",$D83="Low",$E83="Low"),$A83&amp;"  "&amp;$B83,"")</f>
        <v/>
      </c>
      <c r="V83">
        <f>IF(AND($B83&lt;&gt;"",$C83&lt;&gt;"Target state",$C83&lt;&gt;"Exception",$D83="Low",$E83="Medium"),$A83&amp;"  "&amp;$B83,"")</f>
        <v/>
      </c>
      <c r="W83">
        <f>IF(AND($B83&lt;&gt;"",$C83&lt;&gt;"Target state",$C83&lt;&gt;"Exception",$D83="Low",$E83="High"),$A83&amp;"  "&amp;$B83,"")</f>
        <v/>
      </c>
    </row>
    <row r="84" ht="20" customHeight="1" s="52">
      <c r="A84" s="93" t="inlineStr">
        <is>
          <t>⑨</t>
        </is>
      </c>
      <c r="B84" s="94" t="n"/>
      <c r="C84" s="73" t="n"/>
      <c r="D84" s="73" t="n"/>
      <c r="E84" s="73" t="n"/>
      <c r="F84" s="72" t="n"/>
      <c r="G84" s="95">
        <f>IF(OR($B84="",$D84="",$E84=""),"",IF(OR($C84="Target state",$C84="Exception"),"Out of scope",IF($D84="Low","No tranche",IF($E84="Low","Tranche 1",IF($E84="Medium","Tranche 2",IF($D84="High","Tranche 3","No tranche"))))))</f>
        <v/>
      </c>
      <c r="K84" s="101" t="n"/>
      <c r="L84" s="101" t="n"/>
      <c r="M84" s="101" t="n"/>
      <c r="O84">
        <f>IF(AND($B84&lt;&gt;"",$C84&lt;&gt;"Target state",$C84&lt;&gt;"Exception",$D84="High",$E84="Low"),$A84&amp;"  "&amp;$B84,"")</f>
        <v/>
      </c>
      <c r="P84">
        <f>IF(AND($B84&lt;&gt;"",$C84&lt;&gt;"Target state",$C84&lt;&gt;"Exception",$D84="High",$E84="Medium"),$A84&amp;"  "&amp;$B84,"")</f>
        <v/>
      </c>
      <c r="Q84">
        <f>IF(AND($B84&lt;&gt;"",$C84&lt;&gt;"Target state",$C84&lt;&gt;"Exception",$D84="High",$E84="High"),$A84&amp;"  "&amp;$B84,"")</f>
        <v/>
      </c>
      <c r="R84">
        <f>IF(AND($B84&lt;&gt;"",$C84&lt;&gt;"Target state",$C84&lt;&gt;"Exception",$D84="Medium",$E84="Low"),$A84&amp;"  "&amp;$B84,"")</f>
        <v/>
      </c>
      <c r="S84">
        <f>IF(AND($B84&lt;&gt;"",$C84&lt;&gt;"Target state",$C84&lt;&gt;"Exception",$D84="Medium",$E84="Medium"),$A84&amp;"  "&amp;$B84,"")</f>
        <v/>
      </c>
      <c r="T84">
        <f>IF(AND($B84&lt;&gt;"",$C84&lt;&gt;"Target state",$C84&lt;&gt;"Exception",$D84="Medium",$E84="High"),$A84&amp;"  "&amp;$B84,"")</f>
        <v/>
      </c>
      <c r="U84">
        <f>IF(AND($B84&lt;&gt;"",$C84&lt;&gt;"Target state",$C84&lt;&gt;"Exception",$D84="Low",$E84="Low"),$A84&amp;"  "&amp;$B84,"")</f>
        <v/>
      </c>
      <c r="V84">
        <f>IF(AND($B84&lt;&gt;"",$C84&lt;&gt;"Target state",$C84&lt;&gt;"Exception",$D84="Low",$E84="Medium"),$A84&amp;"  "&amp;$B84,"")</f>
        <v/>
      </c>
      <c r="W84">
        <f>IF(AND($B84&lt;&gt;"",$C84&lt;&gt;"Target state",$C84&lt;&gt;"Exception",$D84="Low",$E84="High"),$A84&amp;"  "&amp;$B84,"")</f>
        <v/>
      </c>
    </row>
    <row r="85" ht="20" customHeight="1" s="52">
      <c r="A85" s="93" t="inlineStr">
        <is>
          <t>⑩</t>
        </is>
      </c>
      <c r="B85" s="94" t="n"/>
      <c r="C85" s="73" t="n"/>
      <c r="D85" s="73" t="n"/>
      <c r="E85" s="73" t="n"/>
      <c r="F85" s="72" t="n"/>
      <c r="G85" s="95">
        <f>IF(OR($B85="",$D85="",$E85=""),"",IF(OR($C85="Target state",$C85="Exception"),"Out of scope",IF($D85="Low","No tranche",IF($E85="Low","Tranche 1",IF($E85="Medium","Tranche 2",IF($D85="High","Tranche 3","No tranche"))))))</f>
        <v/>
      </c>
      <c r="K85" s="102" t="n"/>
      <c r="L85" s="102" t="n"/>
      <c r="M85" s="102" t="n"/>
      <c r="O85">
        <f>IF(AND($B85&lt;&gt;"",$C85&lt;&gt;"Target state",$C85&lt;&gt;"Exception",$D85="High",$E85="Low"),$A85&amp;"  "&amp;$B85,"")</f>
        <v/>
      </c>
      <c r="P85">
        <f>IF(AND($B85&lt;&gt;"",$C85&lt;&gt;"Target state",$C85&lt;&gt;"Exception",$D85="High",$E85="Medium"),$A85&amp;"  "&amp;$B85,"")</f>
        <v/>
      </c>
      <c r="Q85">
        <f>IF(AND($B85&lt;&gt;"",$C85&lt;&gt;"Target state",$C85&lt;&gt;"Exception",$D85="High",$E85="High"),$A85&amp;"  "&amp;$B85,"")</f>
        <v/>
      </c>
      <c r="R85">
        <f>IF(AND($B85&lt;&gt;"",$C85&lt;&gt;"Target state",$C85&lt;&gt;"Exception",$D85="Medium",$E85="Low"),$A85&amp;"  "&amp;$B85,"")</f>
        <v/>
      </c>
      <c r="S85">
        <f>IF(AND($B85&lt;&gt;"",$C85&lt;&gt;"Target state",$C85&lt;&gt;"Exception",$D85="Medium",$E85="Medium"),$A85&amp;"  "&amp;$B85,"")</f>
        <v/>
      </c>
      <c r="T85">
        <f>IF(AND($B85&lt;&gt;"",$C85&lt;&gt;"Target state",$C85&lt;&gt;"Exception",$D85="Medium",$E85="High"),$A85&amp;"  "&amp;$B85,"")</f>
        <v/>
      </c>
      <c r="U85">
        <f>IF(AND($B85&lt;&gt;"",$C85&lt;&gt;"Target state",$C85&lt;&gt;"Exception",$D85="Low",$E85="Low"),$A85&amp;"  "&amp;$B85,"")</f>
        <v/>
      </c>
      <c r="V85">
        <f>IF(AND($B85&lt;&gt;"",$C85&lt;&gt;"Target state",$C85&lt;&gt;"Exception",$D85="Low",$E85="Medium"),$A85&amp;"  "&amp;$B85,"")</f>
        <v/>
      </c>
      <c r="W85">
        <f>IF(AND($B85&lt;&gt;"",$C85&lt;&gt;"Target state",$C85&lt;&gt;"Exception",$D85="Low",$E85="High"),$A85&amp;"  "&amp;$B85,"")</f>
        <v/>
      </c>
    </row>
    <row r="86">
      <c r="K86" s="97" t="inlineStr">
        <is>
          <t>Complexity</t>
        </is>
      </c>
    </row>
    <row r="90" ht="22" customHeight="1" s="52">
      <c r="A90" s="88" t="inlineStr">
        <is>
          <t>Payouts</t>
        </is>
      </c>
      <c r="G90" s="89">
        <f>HYPERLINK("#'Single-out'!A4","▲ tracker")</f>
        <v/>
      </c>
      <c r="K90" s="90" t="inlineStr">
        <is>
          <t>Assessment Outcome</t>
        </is>
      </c>
    </row>
    <row r="91" ht="18" customHeight="1" s="52">
      <c r="A91" s="91" t="inlineStr">
        <is>
          <t>#</t>
        </is>
      </c>
      <c r="B91" s="91" t="inlineStr">
        <is>
          <t>Platform</t>
        </is>
      </c>
      <c r="C91" s="91" t="inlineStr">
        <is>
          <t>State</t>
        </is>
      </c>
      <c r="D91" s="91" t="inlineStr">
        <is>
          <t>Imperative to exit</t>
        </is>
      </c>
      <c r="E91" s="91" t="inlineStr">
        <is>
          <t>Exit complexity</t>
        </is>
      </c>
      <c r="F91" s="91" t="inlineStr">
        <is>
          <t>Supporting facts</t>
        </is>
      </c>
      <c r="G91" s="91" t="inlineStr">
        <is>
          <t>Tranche (auto)</t>
        </is>
      </c>
      <c r="K91" s="92" t="inlineStr">
        <is>
          <t>Low</t>
        </is>
      </c>
      <c r="L91" s="92" t="inlineStr">
        <is>
          <t>Medium</t>
        </is>
      </c>
      <c r="M91" s="92" t="inlineStr">
        <is>
          <t>High</t>
        </is>
      </c>
    </row>
    <row r="92" ht="36" customHeight="1" s="52">
      <c r="A92" s="93" t="inlineStr">
        <is>
          <t>①</t>
        </is>
      </c>
      <c r="B92" s="94" t="inlineStr">
        <is>
          <t>EMRS</t>
        </is>
      </c>
      <c r="C92" s="73" t="inlineStr">
        <is>
          <t>Non-target state</t>
        </is>
      </c>
      <c r="D92" s="73" t="n"/>
      <c r="E92" s="73" t="n"/>
      <c r="F92" s="72" t="inlineStr">
        <is>
          <t>Non-strategic EVO reserve, bank-reject and collections management reconciling merchant-level settlement; around $300K in yearly cost; on the decommission path</t>
        </is>
      </c>
      <c r="G92" s="95">
        <f>IF(OR($B92="",$D92="",$E92=""),"",IF(OR($C92="Target state",$C92="Exception"),"Out of scope",IF($D92="Low","No tranche",IF($E92="Low","Tranche 1",IF($E92="Medium","Tranche 2",IF($D92="High","Tranche 3","No tranche"))))))</f>
        <v/>
      </c>
      <c r="I92" s="96" t="inlineStr">
        <is>
          <t>Benefits</t>
        </is>
      </c>
      <c r="J92" s="97" t="inlineStr">
        <is>
          <t>High</t>
        </is>
      </c>
      <c r="K92" s="98">
        <f>"Tranche 1"&amp;CHAR(10)&amp;_xlfn.TEXTJOIN(CHAR(10),TRUE,O$92:O$101)</f>
        <v/>
      </c>
      <c r="L92" s="99">
        <f>"Tranche 2"&amp;CHAR(10)&amp;_xlfn.TEXTJOIN(CHAR(10),TRUE,P$92:P$101)</f>
        <v/>
      </c>
      <c r="M92" s="100">
        <f>"Tranche 3"&amp;CHAR(10)&amp;_xlfn.TEXTJOIN(CHAR(10),TRUE,Q$92:Q$101)</f>
        <v/>
      </c>
      <c r="O92">
        <f>IF(AND($B92&lt;&gt;"",$C92&lt;&gt;"Target state",$C92&lt;&gt;"Exception",$D92="High",$E92="Low"),$A92&amp;"  "&amp;$B92,"")</f>
        <v/>
      </c>
      <c r="P92">
        <f>IF(AND($B92&lt;&gt;"",$C92&lt;&gt;"Target state",$C92&lt;&gt;"Exception",$D92="High",$E92="Medium"),$A92&amp;"  "&amp;$B92,"")</f>
        <v/>
      </c>
      <c r="Q92">
        <f>IF(AND($B92&lt;&gt;"",$C92&lt;&gt;"Target state",$C92&lt;&gt;"Exception",$D92="High",$E92="High"),$A92&amp;"  "&amp;$B92,"")</f>
        <v/>
      </c>
      <c r="R92">
        <f>IF(AND($B92&lt;&gt;"",$C92&lt;&gt;"Target state",$C92&lt;&gt;"Exception",$D92="Medium",$E92="Low"),$A92&amp;"  "&amp;$B92,"")</f>
        <v/>
      </c>
      <c r="S92">
        <f>IF(AND($B92&lt;&gt;"",$C92&lt;&gt;"Target state",$C92&lt;&gt;"Exception",$D92="Medium",$E92="Medium"),$A92&amp;"  "&amp;$B92,"")</f>
        <v/>
      </c>
      <c r="T92">
        <f>IF(AND($B92&lt;&gt;"",$C92&lt;&gt;"Target state",$C92&lt;&gt;"Exception",$D92="Medium",$E92="High"),$A92&amp;"  "&amp;$B92,"")</f>
        <v/>
      </c>
      <c r="U92">
        <f>IF(AND($B92&lt;&gt;"",$C92&lt;&gt;"Target state",$C92&lt;&gt;"Exception",$D92="Low",$E92="Low"),$A92&amp;"  "&amp;$B92,"")</f>
        <v/>
      </c>
      <c r="V92">
        <f>IF(AND($B92&lt;&gt;"",$C92&lt;&gt;"Target state",$C92&lt;&gt;"Exception",$D92="Low",$E92="Medium"),$A92&amp;"  "&amp;$B92,"")</f>
        <v/>
      </c>
      <c r="W92">
        <f>IF(AND($B92&lt;&gt;"",$C92&lt;&gt;"Target state",$C92&lt;&gt;"Exception",$D92="Low",$E92="High"),$A92&amp;"  "&amp;$B92,"")</f>
        <v/>
      </c>
    </row>
    <row r="93" ht="20" customHeight="1" s="52">
      <c r="A93" s="93" t="inlineStr">
        <is>
          <t>②</t>
        </is>
      </c>
      <c r="B93" s="94" t="n"/>
      <c r="C93" s="73" t="n"/>
      <c r="D93" s="73" t="n"/>
      <c r="E93" s="73" t="n"/>
      <c r="F93" s="72" t="n"/>
      <c r="G93" s="95">
        <f>IF(OR($B93="",$D93="",$E93=""),"",IF(OR($C93="Target state",$C93="Exception"),"Out of scope",IF($D93="Low","No tranche",IF($E93="Low","Tranche 1",IF($E93="Medium","Tranche 2",IF($D93="High","Tranche 3","No tranche"))))))</f>
        <v/>
      </c>
      <c r="K93" s="101" t="n"/>
      <c r="L93" s="101" t="n"/>
      <c r="M93" s="101" t="n"/>
      <c r="O93">
        <f>IF(AND($B93&lt;&gt;"",$C93&lt;&gt;"Target state",$C93&lt;&gt;"Exception",$D93="High",$E93="Low"),$A93&amp;"  "&amp;$B93,"")</f>
        <v/>
      </c>
      <c r="P93">
        <f>IF(AND($B93&lt;&gt;"",$C93&lt;&gt;"Target state",$C93&lt;&gt;"Exception",$D93="High",$E93="Medium"),$A93&amp;"  "&amp;$B93,"")</f>
        <v/>
      </c>
      <c r="Q93">
        <f>IF(AND($B93&lt;&gt;"",$C93&lt;&gt;"Target state",$C93&lt;&gt;"Exception",$D93="High",$E93="High"),$A93&amp;"  "&amp;$B93,"")</f>
        <v/>
      </c>
      <c r="R93">
        <f>IF(AND($B93&lt;&gt;"",$C93&lt;&gt;"Target state",$C93&lt;&gt;"Exception",$D93="Medium",$E93="Low"),$A93&amp;"  "&amp;$B93,"")</f>
        <v/>
      </c>
      <c r="S93">
        <f>IF(AND($B93&lt;&gt;"",$C93&lt;&gt;"Target state",$C93&lt;&gt;"Exception",$D93="Medium",$E93="Medium"),$A93&amp;"  "&amp;$B93,"")</f>
        <v/>
      </c>
      <c r="T93">
        <f>IF(AND($B93&lt;&gt;"",$C93&lt;&gt;"Target state",$C93&lt;&gt;"Exception",$D93="Medium",$E93="High"),$A93&amp;"  "&amp;$B93,"")</f>
        <v/>
      </c>
      <c r="U93">
        <f>IF(AND($B93&lt;&gt;"",$C93&lt;&gt;"Target state",$C93&lt;&gt;"Exception",$D93="Low",$E93="Low"),$A93&amp;"  "&amp;$B93,"")</f>
        <v/>
      </c>
      <c r="V93">
        <f>IF(AND($B93&lt;&gt;"",$C93&lt;&gt;"Target state",$C93&lt;&gt;"Exception",$D93="Low",$E93="Medium"),$A93&amp;"  "&amp;$B93,"")</f>
        <v/>
      </c>
      <c r="W93">
        <f>IF(AND($B93&lt;&gt;"",$C93&lt;&gt;"Target state",$C93&lt;&gt;"Exception",$D93="Low",$E93="High"),$A93&amp;"  "&amp;$B93,"")</f>
        <v/>
      </c>
    </row>
    <row r="94" ht="20" customHeight="1" s="52">
      <c r="A94" s="93" t="inlineStr">
        <is>
          <t>③</t>
        </is>
      </c>
      <c r="B94" s="94" t="n"/>
      <c r="C94" s="73" t="n"/>
      <c r="D94" s="73" t="n"/>
      <c r="E94" s="73" t="n"/>
      <c r="F94" s="72" t="n"/>
      <c r="G94" s="95">
        <f>IF(OR($B94="",$D94="",$E94=""),"",IF(OR($C94="Target state",$C94="Exception"),"Out of scope",IF($D94="Low","No tranche",IF($E94="Low","Tranche 1",IF($E94="Medium","Tranche 2",IF($D94="High","Tranche 3","No tranche"))))))</f>
        <v/>
      </c>
      <c r="K94" s="101" t="n"/>
      <c r="L94" s="101" t="n"/>
      <c r="M94" s="101" t="n"/>
      <c r="O94">
        <f>IF(AND($B94&lt;&gt;"",$C94&lt;&gt;"Target state",$C94&lt;&gt;"Exception",$D94="High",$E94="Low"),$A94&amp;"  "&amp;$B94,"")</f>
        <v/>
      </c>
      <c r="P94">
        <f>IF(AND($B94&lt;&gt;"",$C94&lt;&gt;"Target state",$C94&lt;&gt;"Exception",$D94="High",$E94="Medium"),$A94&amp;"  "&amp;$B94,"")</f>
        <v/>
      </c>
      <c r="Q94">
        <f>IF(AND($B94&lt;&gt;"",$C94&lt;&gt;"Target state",$C94&lt;&gt;"Exception",$D94="High",$E94="High"),$A94&amp;"  "&amp;$B94,"")</f>
        <v/>
      </c>
      <c r="R94">
        <f>IF(AND($B94&lt;&gt;"",$C94&lt;&gt;"Target state",$C94&lt;&gt;"Exception",$D94="Medium",$E94="Low"),$A94&amp;"  "&amp;$B94,"")</f>
        <v/>
      </c>
      <c r="S94">
        <f>IF(AND($B94&lt;&gt;"",$C94&lt;&gt;"Target state",$C94&lt;&gt;"Exception",$D94="Medium",$E94="Medium"),$A94&amp;"  "&amp;$B94,"")</f>
        <v/>
      </c>
      <c r="T94">
        <f>IF(AND($B94&lt;&gt;"",$C94&lt;&gt;"Target state",$C94&lt;&gt;"Exception",$D94="Medium",$E94="High"),$A94&amp;"  "&amp;$B94,"")</f>
        <v/>
      </c>
      <c r="U94">
        <f>IF(AND($B94&lt;&gt;"",$C94&lt;&gt;"Target state",$C94&lt;&gt;"Exception",$D94="Low",$E94="Low"),$A94&amp;"  "&amp;$B94,"")</f>
        <v/>
      </c>
      <c r="V94">
        <f>IF(AND($B94&lt;&gt;"",$C94&lt;&gt;"Target state",$C94&lt;&gt;"Exception",$D94="Low",$E94="Medium"),$A94&amp;"  "&amp;$B94,"")</f>
        <v/>
      </c>
      <c r="W94">
        <f>IF(AND($B94&lt;&gt;"",$C94&lt;&gt;"Target state",$C94&lt;&gt;"Exception",$D94="Low",$E94="High"),$A94&amp;"  "&amp;$B94,"")</f>
        <v/>
      </c>
    </row>
    <row r="95" ht="20" customHeight="1" s="52">
      <c r="A95" s="93" t="inlineStr">
        <is>
          <t>④</t>
        </is>
      </c>
      <c r="B95" s="94" t="n"/>
      <c r="C95" s="73" t="n"/>
      <c r="D95" s="73" t="n"/>
      <c r="E95" s="73" t="n"/>
      <c r="F95" s="72" t="n"/>
      <c r="G95" s="95">
        <f>IF(OR($B95="",$D95="",$E95=""),"",IF(OR($C95="Target state",$C95="Exception"),"Out of scope",IF($D95="Low","No tranche",IF($E95="Low","Tranche 1",IF($E95="Medium","Tranche 2",IF($D95="High","Tranche 3","No tranche"))))))</f>
        <v/>
      </c>
      <c r="K95" s="102" t="n"/>
      <c r="L95" s="102" t="n"/>
      <c r="M95" s="102" t="n"/>
      <c r="O95">
        <f>IF(AND($B95&lt;&gt;"",$C95&lt;&gt;"Target state",$C95&lt;&gt;"Exception",$D95="High",$E95="Low"),$A95&amp;"  "&amp;$B95,"")</f>
        <v/>
      </c>
      <c r="P95">
        <f>IF(AND($B95&lt;&gt;"",$C95&lt;&gt;"Target state",$C95&lt;&gt;"Exception",$D95="High",$E95="Medium"),$A95&amp;"  "&amp;$B95,"")</f>
        <v/>
      </c>
      <c r="Q95">
        <f>IF(AND($B95&lt;&gt;"",$C95&lt;&gt;"Target state",$C95&lt;&gt;"Exception",$D95="High",$E95="High"),$A95&amp;"  "&amp;$B95,"")</f>
        <v/>
      </c>
      <c r="R95">
        <f>IF(AND($B95&lt;&gt;"",$C95&lt;&gt;"Target state",$C95&lt;&gt;"Exception",$D95="Medium",$E95="Low"),$A95&amp;"  "&amp;$B95,"")</f>
        <v/>
      </c>
      <c r="S95">
        <f>IF(AND($B95&lt;&gt;"",$C95&lt;&gt;"Target state",$C95&lt;&gt;"Exception",$D95="Medium",$E95="Medium"),$A95&amp;"  "&amp;$B95,"")</f>
        <v/>
      </c>
      <c r="T95">
        <f>IF(AND($B95&lt;&gt;"",$C95&lt;&gt;"Target state",$C95&lt;&gt;"Exception",$D95="Medium",$E95="High"),$A95&amp;"  "&amp;$B95,"")</f>
        <v/>
      </c>
      <c r="U95">
        <f>IF(AND($B95&lt;&gt;"",$C95&lt;&gt;"Target state",$C95&lt;&gt;"Exception",$D95="Low",$E95="Low"),$A95&amp;"  "&amp;$B95,"")</f>
        <v/>
      </c>
      <c r="V95">
        <f>IF(AND($B95&lt;&gt;"",$C95&lt;&gt;"Target state",$C95&lt;&gt;"Exception",$D95="Low",$E95="Medium"),$A95&amp;"  "&amp;$B95,"")</f>
        <v/>
      </c>
      <c r="W95">
        <f>IF(AND($B95&lt;&gt;"",$C95&lt;&gt;"Target state",$C95&lt;&gt;"Exception",$D95="Low",$E95="High"),$A95&amp;"  "&amp;$B95,"")</f>
        <v/>
      </c>
    </row>
    <row r="96" ht="20" customHeight="1" s="52">
      <c r="A96" s="93" t="inlineStr">
        <is>
          <t>⑤</t>
        </is>
      </c>
      <c r="B96" s="94" t="n"/>
      <c r="C96" s="73" t="n"/>
      <c r="D96" s="73" t="n"/>
      <c r="E96" s="73" t="n"/>
      <c r="F96" s="72" t="n"/>
      <c r="G96" s="95">
        <f>IF(OR($B96="",$D96="",$E96=""),"",IF(OR($C96="Target state",$C96="Exception"),"Out of scope",IF($D96="Low","No tranche",IF($E96="Low","Tranche 1",IF($E96="Medium","Tranche 2",IF($D96="High","Tranche 3","No tranche"))))))</f>
        <v/>
      </c>
      <c r="J96" s="97" t="inlineStr">
        <is>
          <t>Medium</t>
        </is>
      </c>
      <c r="K96" s="98">
        <f>"Tranche 1"&amp;CHAR(10)&amp;_xlfn.TEXTJOIN(CHAR(10),TRUE,R$92:R$101)</f>
        <v/>
      </c>
      <c r="L96" s="99">
        <f>"Tranche 2"&amp;CHAR(10)&amp;_xlfn.TEXTJOIN(CHAR(10),TRUE,S$92:S$101)</f>
        <v/>
      </c>
      <c r="M96" s="103">
        <f>_xlfn.TEXTJOIN(CHAR(10),TRUE,T$92:T$101)</f>
        <v/>
      </c>
      <c r="O96">
        <f>IF(AND($B96&lt;&gt;"",$C96&lt;&gt;"Target state",$C96&lt;&gt;"Exception",$D96="High",$E96="Low"),$A96&amp;"  "&amp;$B96,"")</f>
        <v/>
      </c>
      <c r="P96">
        <f>IF(AND($B96&lt;&gt;"",$C96&lt;&gt;"Target state",$C96&lt;&gt;"Exception",$D96="High",$E96="Medium"),$A96&amp;"  "&amp;$B96,"")</f>
        <v/>
      </c>
      <c r="Q96">
        <f>IF(AND($B96&lt;&gt;"",$C96&lt;&gt;"Target state",$C96&lt;&gt;"Exception",$D96="High",$E96="High"),$A96&amp;"  "&amp;$B96,"")</f>
        <v/>
      </c>
      <c r="R96">
        <f>IF(AND($B96&lt;&gt;"",$C96&lt;&gt;"Target state",$C96&lt;&gt;"Exception",$D96="Medium",$E96="Low"),$A96&amp;"  "&amp;$B96,"")</f>
        <v/>
      </c>
      <c r="S96">
        <f>IF(AND($B96&lt;&gt;"",$C96&lt;&gt;"Target state",$C96&lt;&gt;"Exception",$D96="Medium",$E96="Medium"),$A96&amp;"  "&amp;$B96,"")</f>
        <v/>
      </c>
      <c r="T96">
        <f>IF(AND($B96&lt;&gt;"",$C96&lt;&gt;"Target state",$C96&lt;&gt;"Exception",$D96="Medium",$E96="High"),$A96&amp;"  "&amp;$B96,"")</f>
        <v/>
      </c>
      <c r="U96">
        <f>IF(AND($B96&lt;&gt;"",$C96&lt;&gt;"Target state",$C96&lt;&gt;"Exception",$D96="Low",$E96="Low"),$A96&amp;"  "&amp;$B96,"")</f>
        <v/>
      </c>
      <c r="V96">
        <f>IF(AND($B96&lt;&gt;"",$C96&lt;&gt;"Target state",$C96&lt;&gt;"Exception",$D96="Low",$E96="Medium"),$A96&amp;"  "&amp;$B96,"")</f>
        <v/>
      </c>
      <c r="W96">
        <f>IF(AND($B96&lt;&gt;"",$C96&lt;&gt;"Target state",$C96&lt;&gt;"Exception",$D96="Low",$E96="High"),$A96&amp;"  "&amp;$B96,"")</f>
        <v/>
      </c>
    </row>
    <row r="97" ht="20" customHeight="1" s="52">
      <c r="A97" s="93" t="inlineStr">
        <is>
          <t>⑥</t>
        </is>
      </c>
      <c r="B97" s="94" t="n"/>
      <c r="C97" s="73" t="n"/>
      <c r="D97" s="73" t="n"/>
      <c r="E97" s="73" t="n"/>
      <c r="F97" s="72" t="n"/>
      <c r="G97" s="95">
        <f>IF(OR($B97="",$D97="",$E97=""),"",IF(OR($C97="Target state",$C97="Exception"),"Out of scope",IF($D97="Low","No tranche",IF($E97="Low","Tranche 1",IF($E97="Medium","Tranche 2",IF($D97="High","Tranche 3","No tranche"))))))</f>
        <v/>
      </c>
      <c r="K97" s="101" t="n"/>
      <c r="L97" s="101" t="n"/>
      <c r="M97" s="101" t="n"/>
      <c r="O97">
        <f>IF(AND($B97&lt;&gt;"",$C97&lt;&gt;"Target state",$C97&lt;&gt;"Exception",$D97="High",$E97="Low"),$A97&amp;"  "&amp;$B97,"")</f>
        <v/>
      </c>
      <c r="P97">
        <f>IF(AND($B97&lt;&gt;"",$C97&lt;&gt;"Target state",$C97&lt;&gt;"Exception",$D97="High",$E97="Medium"),$A97&amp;"  "&amp;$B97,"")</f>
        <v/>
      </c>
      <c r="Q97">
        <f>IF(AND($B97&lt;&gt;"",$C97&lt;&gt;"Target state",$C97&lt;&gt;"Exception",$D97="High",$E97="High"),$A97&amp;"  "&amp;$B97,"")</f>
        <v/>
      </c>
      <c r="R97">
        <f>IF(AND($B97&lt;&gt;"",$C97&lt;&gt;"Target state",$C97&lt;&gt;"Exception",$D97="Medium",$E97="Low"),$A97&amp;"  "&amp;$B97,"")</f>
        <v/>
      </c>
      <c r="S97">
        <f>IF(AND($B97&lt;&gt;"",$C97&lt;&gt;"Target state",$C97&lt;&gt;"Exception",$D97="Medium",$E97="Medium"),$A97&amp;"  "&amp;$B97,"")</f>
        <v/>
      </c>
      <c r="T97">
        <f>IF(AND($B97&lt;&gt;"",$C97&lt;&gt;"Target state",$C97&lt;&gt;"Exception",$D97="Medium",$E97="High"),$A97&amp;"  "&amp;$B97,"")</f>
        <v/>
      </c>
      <c r="U97">
        <f>IF(AND($B97&lt;&gt;"",$C97&lt;&gt;"Target state",$C97&lt;&gt;"Exception",$D97="Low",$E97="Low"),$A97&amp;"  "&amp;$B97,"")</f>
        <v/>
      </c>
      <c r="V97">
        <f>IF(AND($B97&lt;&gt;"",$C97&lt;&gt;"Target state",$C97&lt;&gt;"Exception",$D97="Low",$E97="Medium"),$A97&amp;"  "&amp;$B97,"")</f>
        <v/>
      </c>
      <c r="W97">
        <f>IF(AND($B97&lt;&gt;"",$C97&lt;&gt;"Target state",$C97&lt;&gt;"Exception",$D97="Low",$E97="High"),$A97&amp;"  "&amp;$B97,"")</f>
        <v/>
      </c>
    </row>
    <row r="98" ht="20" customHeight="1" s="52">
      <c r="A98" s="93" t="inlineStr">
        <is>
          <t>⑦</t>
        </is>
      </c>
      <c r="B98" s="94" t="n"/>
      <c r="C98" s="73" t="n"/>
      <c r="D98" s="73" t="n"/>
      <c r="E98" s="73" t="n"/>
      <c r="F98" s="72" t="n"/>
      <c r="G98" s="95">
        <f>IF(OR($B98="",$D98="",$E98=""),"",IF(OR($C98="Target state",$C98="Exception"),"Out of scope",IF($D98="Low","No tranche",IF($E98="Low","Tranche 1",IF($E98="Medium","Tranche 2",IF($D98="High","Tranche 3","No tranche"))))))</f>
        <v/>
      </c>
      <c r="K98" s="102" t="n"/>
      <c r="L98" s="102" t="n"/>
      <c r="M98" s="102" t="n"/>
      <c r="O98">
        <f>IF(AND($B98&lt;&gt;"",$C98&lt;&gt;"Target state",$C98&lt;&gt;"Exception",$D98="High",$E98="Low"),$A98&amp;"  "&amp;$B98,"")</f>
        <v/>
      </c>
      <c r="P98">
        <f>IF(AND($B98&lt;&gt;"",$C98&lt;&gt;"Target state",$C98&lt;&gt;"Exception",$D98="High",$E98="Medium"),$A98&amp;"  "&amp;$B98,"")</f>
        <v/>
      </c>
      <c r="Q98">
        <f>IF(AND($B98&lt;&gt;"",$C98&lt;&gt;"Target state",$C98&lt;&gt;"Exception",$D98="High",$E98="High"),$A98&amp;"  "&amp;$B98,"")</f>
        <v/>
      </c>
      <c r="R98">
        <f>IF(AND($B98&lt;&gt;"",$C98&lt;&gt;"Target state",$C98&lt;&gt;"Exception",$D98="Medium",$E98="Low"),$A98&amp;"  "&amp;$B98,"")</f>
        <v/>
      </c>
      <c r="S98">
        <f>IF(AND($B98&lt;&gt;"",$C98&lt;&gt;"Target state",$C98&lt;&gt;"Exception",$D98="Medium",$E98="Medium"),$A98&amp;"  "&amp;$B98,"")</f>
        <v/>
      </c>
      <c r="T98">
        <f>IF(AND($B98&lt;&gt;"",$C98&lt;&gt;"Target state",$C98&lt;&gt;"Exception",$D98="Medium",$E98="High"),$A98&amp;"  "&amp;$B98,"")</f>
        <v/>
      </c>
      <c r="U98">
        <f>IF(AND($B98&lt;&gt;"",$C98&lt;&gt;"Target state",$C98&lt;&gt;"Exception",$D98="Low",$E98="Low"),$A98&amp;"  "&amp;$B98,"")</f>
        <v/>
      </c>
      <c r="V98">
        <f>IF(AND($B98&lt;&gt;"",$C98&lt;&gt;"Target state",$C98&lt;&gt;"Exception",$D98="Low",$E98="Medium"),$A98&amp;"  "&amp;$B98,"")</f>
        <v/>
      </c>
      <c r="W98">
        <f>IF(AND($B98&lt;&gt;"",$C98&lt;&gt;"Target state",$C98&lt;&gt;"Exception",$D98="Low",$E98="High"),$A98&amp;"  "&amp;$B98,"")</f>
        <v/>
      </c>
    </row>
    <row r="99" ht="20" customHeight="1" s="52">
      <c r="A99" s="93" t="inlineStr">
        <is>
          <t>⑧</t>
        </is>
      </c>
      <c r="B99" s="94" t="n"/>
      <c r="C99" s="73" t="n"/>
      <c r="D99" s="73" t="n"/>
      <c r="E99" s="73" t="n"/>
      <c r="F99" s="72" t="n"/>
      <c r="G99" s="95">
        <f>IF(OR($B99="",$D99="",$E99=""),"",IF(OR($C99="Target state",$C99="Exception"),"Out of scope",IF($D99="Low","No tranche",IF($E99="Low","Tranche 1",IF($E99="Medium","Tranche 2",IF($D99="High","Tranche 3","No tranche"))))))</f>
        <v/>
      </c>
      <c r="J99" s="97" t="inlineStr">
        <is>
          <t>Low</t>
        </is>
      </c>
      <c r="K99" s="103">
        <f>_xlfn.TEXTJOIN(CHAR(10),TRUE,U$92:U$101)</f>
        <v/>
      </c>
      <c r="L99" s="103">
        <f>_xlfn.TEXTJOIN(CHAR(10),TRUE,V$92:V$101)</f>
        <v/>
      </c>
      <c r="M99" s="103">
        <f>_xlfn.TEXTJOIN(CHAR(10),TRUE,W$92:W$101)</f>
        <v/>
      </c>
      <c r="O99">
        <f>IF(AND($B99&lt;&gt;"",$C99&lt;&gt;"Target state",$C99&lt;&gt;"Exception",$D99="High",$E99="Low"),$A99&amp;"  "&amp;$B99,"")</f>
        <v/>
      </c>
      <c r="P99">
        <f>IF(AND($B99&lt;&gt;"",$C99&lt;&gt;"Target state",$C99&lt;&gt;"Exception",$D99="High",$E99="Medium"),$A99&amp;"  "&amp;$B99,"")</f>
        <v/>
      </c>
      <c r="Q99">
        <f>IF(AND($B99&lt;&gt;"",$C99&lt;&gt;"Target state",$C99&lt;&gt;"Exception",$D99="High",$E99="High"),$A99&amp;"  "&amp;$B99,"")</f>
        <v/>
      </c>
      <c r="R99">
        <f>IF(AND($B99&lt;&gt;"",$C99&lt;&gt;"Target state",$C99&lt;&gt;"Exception",$D99="Medium",$E99="Low"),$A99&amp;"  "&amp;$B99,"")</f>
        <v/>
      </c>
      <c r="S99">
        <f>IF(AND($B99&lt;&gt;"",$C99&lt;&gt;"Target state",$C99&lt;&gt;"Exception",$D99="Medium",$E99="Medium"),$A99&amp;"  "&amp;$B99,"")</f>
        <v/>
      </c>
      <c r="T99">
        <f>IF(AND($B99&lt;&gt;"",$C99&lt;&gt;"Target state",$C99&lt;&gt;"Exception",$D99="Medium",$E99="High"),$A99&amp;"  "&amp;$B99,"")</f>
        <v/>
      </c>
      <c r="U99">
        <f>IF(AND($B99&lt;&gt;"",$C99&lt;&gt;"Target state",$C99&lt;&gt;"Exception",$D99="Low",$E99="Low"),$A99&amp;"  "&amp;$B99,"")</f>
        <v/>
      </c>
      <c r="V99">
        <f>IF(AND($B99&lt;&gt;"",$C99&lt;&gt;"Target state",$C99&lt;&gt;"Exception",$D99="Low",$E99="Medium"),$A99&amp;"  "&amp;$B99,"")</f>
        <v/>
      </c>
      <c r="W99">
        <f>IF(AND($B99&lt;&gt;"",$C99&lt;&gt;"Target state",$C99&lt;&gt;"Exception",$D99="Low",$E99="High"),$A99&amp;"  "&amp;$B99,"")</f>
        <v/>
      </c>
    </row>
    <row r="100" ht="20" customHeight="1" s="52">
      <c r="A100" s="93" t="inlineStr">
        <is>
          <t>⑨</t>
        </is>
      </c>
      <c r="B100" s="94" t="n"/>
      <c r="C100" s="73" t="n"/>
      <c r="D100" s="73" t="n"/>
      <c r="E100" s="73" t="n"/>
      <c r="F100" s="72" t="n"/>
      <c r="G100" s="95">
        <f>IF(OR($B100="",$D100="",$E100=""),"",IF(OR($C100="Target state",$C100="Exception"),"Out of scope",IF($D100="Low","No tranche",IF($E100="Low","Tranche 1",IF($E100="Medium","Tranche 2",IF($D100="High","Tranche 3","No tranche"))))))</f>
        <v/>
      </c>
      <c r="K100" s="101" t="n"/>
      <c r="L100" s="101" t="n"/>
      <c r="M100" s="101" t="n"/>
      <c r="O100">
        <f>IF(AND($B100&lt;&gt;"",$C100&lt;&gt;"Target state",$C100&lt;&gt;"Exception",$D100="High",$E100="Low"),$A100&amp;"  "&amp;$B100,"")</f>
        <v/>
      </c>
      <c r="P100">
        <f>IF(AND($B100&lt;&gt;"",$C100&lt;&gt;"Target state",$C100&lt;&gt;"Exception",$D100="High",$E100="Medium"),$A100&amp;"  "&amp;$B100,"")</f>
        <v/>
      </c>
      <c r="Q100">
        <f>IF(AND($B100&lt;&gt;"",$C100&lt;&gt;"Target state",$C100&lt;&gt;"Exception",$D100="High",$E100="High"),$A100&amp;"  "&amp;$B100,"")</f>
        <v/>
      </c>
      <c r="R100">
        <f>IF(AND($B100&lt;&gt;"",$C100&lt;&gt;"Target state",$C100&lt;&gt;"Exception",$D100="Medium",$E100="Low"),$A100&amp;"  "&amp;$B100,"")</f>
        <v/>
      </c>
      <c r="S100">
        <f>IF(AND($B100&lt;&gt;"",$C100&lt;&gt;"Target state",$C100&lt;&gt;"Exception",$D100="Medium",$E100="Medium"),$A100&amp;"  "&amp;$B100,"")</f>
        <v/>
      </c>
      <c r="T100">
        <f>IF(AND($B100&lt;&gt;"",$C100&lt;&gt;"Target state",$C100&lt;&gt;"Exception",$D100="Medium",$E100="High"),$A100&amp;"  "&amp;$B100,"")</f>
        <v/>
      </c>
      <c r="U100">
        <f>IF(AND($B100&lt;&gt;"",$C100&lt;&gt;"Target state",$C100&lt;&gt;"Exception",$D100="Low",$E100="Low"),$A100&amp;"  "&amp;$B100,"")</f>
        <v/>
      </c>
      <c r="V100">
        <f>IF(AND($B100&lt;&gt;"",$C100&lt;&gt;"Target state",$C100&lt;&gt;"Exception",$D100="Low",$E100="Medium"),$A100&amp;"  "&amp;$B100,"")</f>
        <v/>
      </c>
      <c r="W100">
        <f>IF(AND($B100&lt;&gt;"",$C100&lt;&gt;"Target state",$C100&lt;&gt;"Exception",$D100="Low",$E100="High"),$A100&amp;"  "&amp;$B100,"")</f>
        <v/>
      </c>
    </row>
    <row r="101" ht="20" customHeight="1" s="52">
      <c r="A101" s="93" t="inlineStr">
        <is>
          <t>⑩</t>
        </is>
      </c>
      <c r="B101" s="94" t="n"/>
      <c r="C101" s="73" t="n"/>
      <c r="D101" s="73" t="n"/>
      <c r="E101" s="73" t="n"/>
      <c r="F101" s="72" t="n"/>
      <c r="G101" s="95">
        <f>IF(OR($B101="",$D101="",$E101=""),"",IF(OR($C101="Target state",$C101="Exception"),"Out of scope",IF($D101="Low","No tranche",IF($E101="Low","Tranche 1",IF($E101="Medium","Tranche 2",IF($D101="High","Tranche 3","No tranche"))))))</f>
        <v/>
      </c>
      <c r="K101" s="102" t="n"/>
      <c r="L101" s="102" t="n"/>
      <c r="M101" s="102" t="n"/>
      <c r="O101">
        <f>IF(AND($B101&lt;&gt;"",$C101&lt;&gt;"Target state",$C101&lt;&gt;"Exception",$D101="High",$E101="Low"),$A101&amp;"  "&amp;$B101,"")</f>
        <v/>
      </c>
      <c r="P101">
        <f>IF(AND($B101&lt;&gt;"",$C101&lt;&gt;"Target state",$C101&lt;&gt;"Exception",$D101="High",$E101="Medium"),$A101&amp;"  "&amp;$B101,"")</f>
        <v/>
      </c>
      <c r="Q101">
        <f>IF(AND($B101&lt;&gt;"",$C101&lt;&gt;"Target state",$C101&lt;&gt;"Exception",$D101="High",$E101="High"),$A101&amp;"  "&amp;$B101,"")</f>
        <v/>
      </c>
      <c r="R101">
        <f>IF(AND($B101&lt;&gt;"",$C101&lt;&gt;"Target state",$C101&lt;&gt;"Exception",$D101="Medium",$E101="Low"),$A101&amp;"  "&amp;$B101,"")</f>
        <v/>
      </c>
      <c r="S101">
        <f>IF(AND($B101&lt;&gt;"",$C101&lt;&gt;"Target state",$C101&lt;&gt;"Exception",$D101="Medium",$E101="Medium"),$A101&amp;"  "&amp;$B101,"")</f>
        <v/>
      </c>
      <c r="T101">
        <f>IF(AND($B101&lt;&gt;"",$C101&lt;&gt;"Target state",$C101&lt;&gt;"Exception",$D101="Medium",$E101="High"),$A101&amp;"  "&amp;$B101,"")</f>
        <v/>
      </c>
      <c r="U101">
        <f>IF(AND($B101&lt;&gt;"",$C101&lt;&gt;"Target state",$C101&lt;&gt;"Exception",$D101="Low",$E101="Low"),$A101&amp;"  "&amp;$B101,"")</f>
        <v/>
      </c>
      <c r="V101">
        <f>IF(AND($B101&lt;&gt;"",$C101&lt;&gt;"Target state",$C101&lt;&gt;"Exception",$D101="Low",$E101="Medium"),$A101&amp;"  "&amp;$B101,"")</f>
        <v/>
      </c>
      <c r="W101">
        <f>IF(AND($B101&lt;&gt;"",$C101&lt;&gt;"Target state",$C101&lt;&gt;"Exception",$D101="Low",$E101="High"),$A101&amp;"  "&amp;$B101,"")</f>
        <v/>
      </c>
    </row>
    <row r="102">
      <c r="K102" s="97" t="inlineStr">
        <is>
          <t>Complexity</t>
        </is>
      </c>
    </row>
    <row r="106" ht="22" customHeight="1" s="52">
      <c r="A106" s="88" t="inlineStr">
        <is>
          <t>PFaaS Products</t>
        </is>
      </c>
      <c r="G106" s="89">
        <f>HYPERLINK("#'Single-out'!A4","▲ tracker")</f>
        <v/>
      </c>
      <c r="K106" s="90" t="inlineStr">
        <is>
          <t>Assessment Outcome</t>
        </is>
      </c>
    </row>
    <row r="107" ht="18" customHeight="1" s="52">
      <c r="A107" s="91" t="inlineStr">
        <is>
          <t>#</t>
        </is>
      </c>
      <c r="B107" s="91" t="inlineStr">
        <is>
          <t>Platform</t>
        </is>
      </c>
      <c r="C107" s="91" t="inlineStr">
        <is>
          <t>State</t>
        </is>
      </c>
      <c r="D107" s="91" t="inlineStr">
        <is>
          <t>Imperative to exit</t>
        </is>
      </c>
      <c r="E107" s="91" t="inlineStr">
        <is>
          <t>Exit complexity</t>
        </is>
      </c>
      <c r="F107" s="91" t="inlineStr">
        <is>
          <t>Supporting facts</t>
        </is>
      </c>
      <c r="G107" s="91" t="inlineStr">
        <is>
          <t>Tranche (auto)</t>
        </is>
      </c>
      <c r="K107" s="92" t="inlineStr">
        <is>
          <t>Low</t>
        </is>
      </c>
      <c r="L107" s="92" t="inlineStr">
        <is>
          <t>Medium</t>
        </is>
      </c>
      <c r="M107" s="92" t="inlineStr">
        <is>
          <t>High</t>
        </is>
      </c>
    </row>
    <row r="108" ht="20" customHeight="1" s="52">
      <c r="A108" s="93" t="inlineStr">
        <is>
          <t>①</t>
        </is>
      </c>
      <c r="B108" s="94" t="n"/>
      <c r="C108" s="73" t="n"/>
      <c r="D108" s="73" t="n"/>
      <c r="E108" s="73" t="n"/>
      <c r="F108" s="72" t="n"/>
      <c r="G108" s="95">
        <f>IF(OR($B108="",$D108="",$E108=""),"",IF(OR($C108="Target state",$C108="Exception"),"Out of scope",IF($D108="Low","No tranche",IF($E108="Low","Tranche 1",IF($E108="Medium","Tranche 2",IF($D108="High","Tranche 3","No tranche"))))))</f>
        <v/>
      </c>
      <c r="I108" s="96" t="inlineStr">
        <is>
          <t>Benefits</t>
        </is>
      </c>
      <c r="J108" s="97" t="inlineStr">
        <is>
          <t>High</t>
        </is>
      </c>
      <c r="K108" s="98">
        <f>"Tranche 1"&amp;CHAR(10)&amp;_xlfn.TEXTJOIN(CHAR(10),TRUE,O$108:O$117)</f>
        <v/>
      </c>
      <c r="L108" s="99">
        <f>"Tranche 2"&amp;CHAR(10)&amp;_xlfn.TEXTJOIN(CHAR(10),TRUE,P$108:P$117)</f>
        <v/>
      </c>
      <c r="M108" s="100">
        <f>"Tranche 3"&amp;CHAR(10)&amp;_xlfn.TEXTJOIN(CHAR(10),TRUE,Q$108:Q$117)</f>
        <v/>
      </c>
      <c r="O108">
        <f>IF(AND($B108&lt;&gt;"",$C108&lt;&gt;"Target state",$C108&lt;&gt;"Exception",$D108="High",$E108="Low"),$A108&amp;"  "&amp;$B108,"")</f>
        <v/>
      </c>
      <c r="P108">
        <f>IF(AND($B108&lt;&gt;"",$C108&lt;&gt;"Target state",$C108&lt;&gt;"Exception",$D108="High",$E108="Medium"),$A108&amp;"  "&amp;$B108,"")</f>
        <v/>
      </c>
      <c r="Q108">
        <f>IF(AND($B108&lt;&gt;"",$C108&lt;&gt;"Target state",$C108&lt;&gt;"Exception",$D108="High",$E108="High"),$A108&amp;"  "&amp;$B108,"")</f>
        <v/>
      </c>
      <c r="R108">
        <f>IF(AND($B108&lt;&gt;"",$C108&lt;&gt;"Target state",$C108&lt;&gt;"Exception",$D108="Medium",$E108="Low"),$A108&amp;"  "&amp;$B108,"")</f>
        <v/>
      </c>
      <c r="S108">
        <f>IF(AND($B108&lt;&gt;"",$C108&lt;&gt;"Target state",$C108&lt;&gt;"Exception",$D108="Medium",$E108="Medium"),$A108&amp;"  "&amp;$B108,"")</f>
        <v/>
      </c>
      <c r="T108">
        <f>IF(AND($B108&lt;&gt;"",$C108&lt;&gt;"Target state",$C108&lt;&gt;"Exception",$D108="Medium",$E108="High"),$A108&amp;"  "&amp;$B108,"")</f>
        <v/>
      </c>
      <c r="U108">
        <f>IF(AND($B108&lt;&gt;"",$C108&lt;&gt;"Target state",$C108&lt;&gt;"Exception",$D108="Low",$E108="Low"),$A108&amp;"  "&amp;$B108,"")</f>
        <v/>
      </c>
      <c r="V108">
        <f>IF(AND($B108&lt;&gt;"",$C108&lt;&gt;"Target state",$C108&lt;&gt;"Exception",$D108="Low",$E108="Medium"),$A108&amp;"  "&amp;$B108,"")</f>
        <v/>
      </c>
      <c r="W108">
        <f>IF(AND($B108&lt;&gt;"",$C108&lt;&gt;"Target state",$C108&lt;&gt;"Exception",$D108="Low",$E108="High"),$A108&amp;"  "&amp;$B108,"")</f>
        <v/>
      </c>
    </row>
    <row r="109" ht="20" customHeight="1" s="52">
      <c r="A109" s="93" t="inlineStr">
        <is>
          <t>②</t>
        </is>
      </c>
      <c r="B109" s="94" t="n"/>
      <c r="C109" s="73" t="n"/>
      <c r="D109" s="73" t="n"/>
      <c r="E109" s="73" t="n"/>
      <c r="F109" s="72" t="n"/>
      <c r="G109" s="95">
        <f>IF(OR($B109="",$D109="",$E109=""),"",IF(OR($C109="Target state",$C109="Exception"),"Out of scope",IF($D109="Low","No tranche",IF($E109="Low","Tranche 1",IF($E109="Medium","Tranche 2",IF($D109="High","Tranche 3","No tranche"))))))</f>
        <v/>
      </c>
      <c r="K109" s="101" t="n"/>
      <c r="L109" s="101" t="n"/>
      <c r="M109" s="101" t="n"/>
      <c r="O109">
        <f>IF(AND($B109&lt;&gt;"",$C109&lt;&gt;"Target state",$C109&lt;&gt;"Exception",$D109="High",$E109="Low"),$A109&amp;"  "&amp;$B109,"")</f>
        <v/>
      </c>
      <c r="P109">
        <f>IF(AND($B109&lt;&gt;"",$C109&lt;&gt;"Target state",$C109&lt;&gt;"Exception",$D109="High",$E109="Medium"),$A109&amp;"  "&amp;$B109,"")</f>
        <v/>
      </c>
      <c r="Q109">
        <f>IF(AND($B109&lt;&gt;"",$C109&lt;&gt;"Target state",$C109&lt;&gt;"Exception",$D109="High",$E109="High"),$A109&amp;"  "&amp;$B109,"")</f>
        <v/>
      </c>
      <c r="R109">
        <f>IF(AND($B109&lt;&gt;"",$C109&lt;&gt;"Target state",$C109&lt;&gt;"Exception",$D109="Medium",$E109="Low"),$A109&amp;"  "&amp;$B109,"")</f>
        <v/>
      </c>
      <c r="S109">
        <f>IF(AND($B109&lt;&gt;"",$C109&lt;&gt;"Target state",$C109&lt;&gt;"Exception",$D109="Medium",$E109="Medium"),$A109&amp;"  "&amp;$B109,"")</f>
        <v/>
      </c>
      <c r="T109">
        <f>IF(AND($B109&lt;&gt;"",$C109&lt;&gt;"Target state",$C109&lt;&gt;"Exception",$D109="Medium",$E109="High"),$A109&amp;"  "&amp;$B109,"")</f>
        <v/>
      </c>
      <c r="U109">
        <f>IF(AND($B109&lt;&gt;"",$C109&lt;&gt;"Target state",$C109&lt;&gt;"Exception",$D109="Low",$E109="Low"),$A109&amp;"  "&amp;$B109,"")</f>
        <v/>
      </c>
      <c r="V109">
        <f>IF(AND($B109&lt;&gt;"",$C109&lt;&gt;"Target state",$C109&lt;&gt;"Exception",$D109="Low",$E109="Medium"),$A109&amp;"  "&amp;$B109,"")</f>
        <v/>
      </c>
      <c r="W109">
        <f>IF(AND($B109&lt;&gt;"",$C109&lt;&gt;"Target state",$C109&lt;&gt;"Exception",$D109="Low",$E109="High"),$A109&amp;"  "&amp;$B109,"")</f>
        <v/>
      </c>
    </row>
    <row r="110" ht="20" customHeight="1" s="52">
      <c r="A110" s="93" t="inlineStr">
        <is>
          <t>③</t>
        </is>
      </c>
      <c r="B110" s="94" t="n"/>
      <c r="C110" s="73" t="n"/>
      <c r="D110" s="73" t="n"/>
      <c r="E110" s="73" t="n"/>
      <c r="F110" s="72" t="n"/>
      <c r="G110" s="95">
        <f>IF(OR($B110="",$D110="",$E110=""),"",IF(OR($C110="Target state",$C110="Exception"),"Out of scope",IF($D110="Low","No tranche",IF($E110="Low","Tranche 1",IF($E110="Medium","Tranche 2",IF($D110="High","Tranche 3","No tranche"))))))</f>
        <v/>
      </c>
      <c r="K110" s="101" t="n"/>
      <c r="L110" s="101" t="n"/>
      <c r="M110" s="101" t="n"/>
      <c r="O110">
        <f>IF(AND($B110&lt;&gt;"",$C110&lt;&gt;"Target state",$C110&lt;&gt;"Exception",$D110="High",$E110="Low"),$A110&amp;"  "&amp;$B110,"")</f>
        <v/>
      </c>
      <c r="P110">
        <f>IF(AND($B110&lt;&gt;"",$C110&lt;&gt;"Target state",$C110&lt;&gt;"Exception",$D110="High",$E110="Medium"),$A110&amp;"  "&amp;$B110,"")</f>
        <v/>
      </c>
      <c r="Q110">
        <f>IF(AND($B110&lt;&gt;"",$C110&lt;&gt;"Target state",$C110&lt;&gt;"Exception",$D110="High",$E110="High"),$A110&amp;"  "&amp;$B110,"")</f>
        <v/>
      </c>
      <c r="R110">
        <f>IF(AND($B110&lt;&gt;"",$C110&lt;&gt;"Target state",$C110&lt;&gt;"Exception",$D110="Medium",$E110="Low"),$A110&amp;"  "&amp;$B110,"")</f>
        <v/>
      </c>
      <c r="S110">
        <f>IF(AND($B110&lt;&gt;"",$C110&lt;&gt;"Target state",$C110&lt;&gt;"Exception",$D110="Medium",$E110="Medium"),$A110&amp;"  "&amp;$B110,"")</f>
        <v/>
      </c>
      <c r="T110">
        <f>IF(AND($B110&lt;&gt;"",$C110&lt;&gt;"Target state",$C110&lt;&gt;"Exception",$D110="Medium",$E110="High"),$A110&amp;"  "&amp;$B110,"")</f>
        <v/>
      </c>
      <c r="U110">
        <f>IF(AND($B110&lt;&gt;"",$C110&lt;&gt;"Target state",$C110&lt;&gt;"Exception",$D110="Low",$E110="Low"),$A110&amp;"  "&amp;$B110,"")</f>
        <v/>
      </c>
      <c r="V110">
        <f>IF(AND($B110&lt;&gt;"",$C110&lt;&gt;"Target state",$C110&lt;&gt;"Exception",$D110="Low",$E110="Medium"),$A110&amp;"  "&amp;$B110,"")</f>
        <v/>
      </c>
      <c r="W110">
        <f>IF(AND($B110&lt;&gt;"",$C110&lt;&gt;"Target state",$C110&lt;&gt;"Exception",$D110="Low",$E110="High"),$A110&amp;"  "&amp;$B110,"")</f>
        <v/>
      </c>
    </row>
    <row r="111" ht="20" customHeight="1" s="52">
      <c r="A111" s="93" t="inlineStr">
        <is>
          <t>④</t>
        </is>
      </c>
      <c r="B111" s="94" t="n"/>
      <c r="C111" s="73" t="n"/>
      <c r="D111" s="73" t="n"/>
      <c r="E111" s="73" t="n"/>
      <c r="F111" s="72" t="n"/>
      <c r="G111" s="95">
        <f>IF(OR($B111="",$D111="",$E111=""),"",IF(OR($C111="Target state",$C111="Exception"),"Out of scope",IF($D111="Low","No tranche",IF($E111="Low","Tranche 1",IF($E111="Medium","Tranche 2",IF($D111="High","Tranche 3","No tranche"))))))</f>
        <v/>
      </c>
      <c r="K111" s="102" t="n"/>
      <c r="L111" s="102" t="n"/>
      <c r="M111" s="102" t="n"/>
      <c r="O111">
        <f>IF(AND($B111&lt;&gt;"",$C111&lt;&gt;"Target state",$C111&lt;&gt;"Exception",$D111="High",$E111="Low"),$A111&amp;"  "&amp;$B111,"")</f>
        <v/>
      </c>
      <c r="P111">
        <f>IF(AND($B111&lt;&gt;"",$C111&lt;&gt;"Target state",$C111&lt;&gt;"Exception",$D111="High",$E111="Medium"),$A111&amp;"  "&amp;$B111,"")</f>
        <v/>
      </c>
      <c r="Q111">
        <f>IF(AND($B111&lt;&gt;"",$C111&lt;&gt;"Target state",$C111&lt;&gt;"Exception",$D111="High",$E111="High"),$A111&amp;"  "&amp;$B111,"")</f>
        <v/>
      </c>
      <c r="R111">
        <f>IF(AND($B111&lt;&gt;"",$C111&lt;&gt;"Target state",$C111&lt;&gt;"Exception",$D111="Medium",$E111="Low"),$A111&amp;"  "&amp;$B111,"")</f>
        <v/>
      </c>
      <c r="S111">
        <f>IF(AND($B111&lt;&gt;"",$C111&lt;&gt;"Target state",$C111&lt;&gt;"Exception",$D111="Medium",$E111="Medium"),$A111&amp;"  "&amp;$B111,"")</f>
        <v/>
      </c>
      <c r="T111">
        <f>IF(AND($B111&lt;&gt;"",$C111&lt;&gt;"Target state",$C111&lt;&gt;"Exception",$D111="Medium",$E111="High"),$A111&amp;"  "&amp;$B111,"")</f>
        <v/>
      </c>
      <c r="U111">
        <f>IF(AND($B111&lt;&gt;"",$C111&lt;&gt;"Target state",$C111&lt;&gt;"Exception",$D111="Low",$E111="Low"),$A111&amp;"  "&amp;$B111,"")</f>
        <v/>
      </c>
      <c r="V111">
        <f>IF(AND($B111&lt;&gt;"",$C111&lt;&gt;"Target state",$C111&lt;&gt;"Exception",$D111="Low",$E111="Medium"),$A111&amp;"  "&amp;$B111,"")</f>
        <v/>
      </c>
      <c r="W111">
        <f>IF(AND($B111&lt;&gt;"",$C111&lt;&gt;"Target state",$C111&lt;&gt;"Exception",$D111="Low",$E111="High"),$A111&amp;"  "&amp;$B111,"")</f>
        <v/>
      </c>
    </row>
    <row r="112" ht="20" customHeight="1" s="52">
      <c r="A112" s="93" t="inlineStr">
        <is>
          <t>⑤</t>
        </is>
      </c>
      <c r="B112" s="94" t="n"/>
      <c r="C112" s="73" t="n"/>
      <c r="D112" s="73" t="n"/>
      <c r="E112" s="73" t="n"/>
      <c r="F112" s="72" t="n"/>
      <c r="G112" s="95">
        <f>IF(OR($B112="",$D112="",$E112=""),"",IF(OR($C112="Target state",$C112="Exception"),"Out of scope",IF($D112="Low","No tranche",IF($E112="Low","Tranche 1",IF($E112="Medium","Tranche 2",IF($D112="High","Tranche 3","No tranche"))))))</f>
        <v/>
      </c>
      <c r="J112" s="97" t="inlineStr">
        <is>
          <t>Medium</t>
        </is>
      </c>
      <c r="K112" s="98">
        <f>"Tranche 1"&amp;CHAR(10)&amp;_xlfn.TEXTJOIN(CHAR(10),TRUE,R$108:R$117)</f>
        <v/>
      </c>
      <c r="L112" s="99">
        <f>"Tranche 2"&amp;CHAR(10)&amp;_xlfn.TEXTJOIN(CHAR(10),TRUE,S$108:S$117)</f>
        <v/>
      </c>
      <c r="M112" s="103">
        <f>_xlfn.TEXTJOIN(CHAR(10),TRUE,T$108:T$117)</f>
        <v/>
      </c>
      <c r="O112">
        <f>IF(AND($B112&lt;&gt;"",$C112&lt;&gt;"Target state",$C112&lt;&gt;"Exception",$D112="High",$E112="Low"),$A112&amp;"  "&amp;$B112,"")</f>
        <v/>
      </c>
      <c r="P112">
        <f>IF(AND($B112&lt;&gt;"",$C112&lt;&gt;"Target state",$C112&lt;&gt;"Exception",$D112="High",$E112="Medium"),$A112&amp;"  "&amp;$B112,"")</f>
        <v/>
      </c>
      <c r="Q112">
        <f>IF(AND($B112&lt;&gt;"",$C112&lt;&gt;"Target state",$C112&lt;&gt;"Exception",$D112="High",$E112="High"),$A112&amp;"  "&amp;$B112,"")</f>
        <v/>
      </c>
      <c r="R112">
        <f>IF(AND($B112&lt;&gt;"",$C112&lt;&gt;"Target state",$C112&lt;&gt;"Exception",$D112="Medium",$E112="Low"),$A112&amp;"  "&amp;$B112,"")</f>
        <v/>
      </c>
      <c r="S112">
        <f>IF(AND($B112&lt;&gt;"",$C112&lt;&gt;"Target state",$C112&lt;&gt;"Exception",$D112="Medium",$E112="Medium"),$A112&amp;"  "&amp;$B112,"")</f>
        <v/>
      </c>
      <c r="T112">
        <f>IF(AND($B112&lt;&gt;"",$C112&lt;&gt;"Target state",$C112&lt;&gt;"Exception",$D112="Medium",$E112="High"),$A112&amp;"  "&amp;$B112,"")</f>
        <v/>
      </c>
      <c r="U112">
        <f>IF(AND($B112&lt;&gt;"",$C112&lt;&gt;"Target state",$C112&lt;&gt;"Exception",$D112="Low",$E112="Low"),$A112&amp;"  "&amp;$B112,"")</f>
        <v/>
      </c>
      <c r="V112">
        <f>IF(AND($B112&lt;&gt;"",$C112&lt;&gt;"Target state",$C112&lt;&gt;"Exception",$D112="Low",$E112="Medium"),$A112&amp;"  "&amp;$B112,"")</f>
        <v/>
      </c>
      <c r="W112">
        <f>IF(AND($B112&lt;&gt;"",$C112&lt;&gt;"Target state",$C112&lt;&gt;"Exception",$D112="Low",$E112="High"),$A112&amp;"  "&amp;$B112,"")</f>
        <v/>
      </c>
    </row>
    <row r="113" ht="20" customHeight="1" s="52">
      <c r="A113" s="93" t="inlineStr">
        <is>
          <t>⑥</t>
        </is>
      </c>
      <c r="B113" s="94" t="n"/>
      <c r="C113" s="73" t="n"/>
      <c r="D113" s="73" t="n"/>
      <c r="E113" s="73" t="n"/>
      <c r="F113" s="72" t="n"/>
      <c r="G113" s="95">
        <f>IF(OR($B113="",$D113="",$E113=""),"",IF(OR($C113="Target state",$C113="Exception"),"Out of scope",IF($D113="Low","No tranche",IF($E113="Low","Tranche 1",IF($E113="Medium","Tranche 2",IF($D113="High","Tranche 3","No tranche"))))))</f>
        <v/>
      </c>
      <c r="K113" s="101" t="n"/>
      <c r="L113" s="101" t="n"/>
      <c r="M113" s="101" t="n"/>
      <c r="O113">
        <f>IF(AND($B113&lt;&gt;"",$C113&lt;&gt;"Target state",$C113&lt;&gt;"Exception",$D113="High",$E113="Low"),$A113&amp;"  "&amp;$B113,"")</f>
        <v/>
      </c>
      <c r="P113">
        <f>IF(AND($B113&lt;&gt;"",$C113&lt;&gt;"Target state",$C113&lt;&gt;"Exception",$D113="High",$E113="Medium"),$A113&amp;"  "&amp;$B113,"")</f>
        <v/>
      </c>
      <c r="Q113">
        <f>IF(AND($B113&lt;&gt;"",$C113&lt;&gt;"Target state",$C113&lt;&gt;"Exception",$D113="High",$E113="High"),$A113&amp;"  "&amp;$B113,"")</f>
        <v/>
      </c>
      <c r="R113">
        <f>IF(AND($B113&lt;&gt;"",$C113&lt;&gt;"Target state",$C113&lt;&gt;"Exception",$D113="Medium",$E113="Low"),$A113&amp;"  "&amp;$B113,"")</f>
        <v/>
      </c>
      <c r="S113">
        <f>IF(AND($B113&lt;&gt;"",$C113&lt;&gt;"Target state",$C113&lt;&gt;"Exception",$D113="Medium",$E113="Medium"),$A113&amp;"  "&amp;$B113,"")</f>
        <v/>
      </c>
      <c r="T113">
        <f>IF(AND($B113&lt;&gt;"",$C113&lt;&gt;"Target state",$C113&lt;&gt;"Exception",$D113="Medium",$E113="High"),$A113&amp;"  "&amp;$B113,"")</f>
        <v/>
      </c>
      <c r="U113">
        <f>IF(AND($B113&lt;&gt;"",$C113&lt;&gt;"Target state",$C113&lt;&gt;"Exception",$D113="Low",$E113="Low"),$A113&amp;"  "&amp;$B113,"")</f>
        <v/>
      </c>
      <c r="V113">
        <f>IF(AND($B113&lt;&gt;"",$C113&lt;&gt;"Target state",$C113&lt;&gt;"Exception",$D113="Low",$E113="Medium"),$A113&amp;"  "&amp;$B113,"")</f>
        <v/>
      </c>
      <c r="W113">
        <f>IF(AND($B113&lt;&gt;"",$C113&lt;&gt;"Target state",$C113&lt;&gt;"Exception",$D113="Low",$E113="High"),$A113&amp;"  "&amp;$B113,"")</f>
        <v/>
      </c>
    </row>
    <row r="114" ht="20" customHeight="1" s="52">
      <c r="A114" s="93" t="inlineStr">
        <is>
          <t>⑦</t>
        </is>
      </c>
      <c r="B114" s="94" t="n"/>
      <c r="C114" s="73" t="n"/>
      <c r="D114" s="73" t="n"/>
      <c r="E114" s="73" t="n"/>
      <c r="F114" s="72" t="n"/>
      <c r="G114" s="95">
        <f>IF(OR($B114="",$D114="",$E114=""),"",IF(OR($C114="Target state",$C114="Exception"),"Out of scope",IF($D114="Low","No tranche",IF($E114="Low","Tranche 1",IF($E114="Medium","Tranche 2",IF($D114="High","Tranche 3","No tranche"))))))</f>
        <v/>
      </c>
      <c r="K114" s="102" t="n"/>
      <c r="L114" s="102" t="n"/>
      <c r="M114" s="102" t="n"/>
      <c r="O114">
        <f>IF(AND($B114&lt;&gt;"",$C114&lt;&gt;"Target state",$C114&lt;&gt;"Exception",$D114="High",$E114="Low"),$A114&amp;"  "&amp;$B114,"")</f>
        <v/>
      </c>
      <c r="P114">
        <f>IF(AND($B114&lt;&gt;"",$C114&lt;&gt;"Target state",$C114&lt;&gt;"Exception",$D114="High",$E114="Medium"),$A114&amp;"  "&amp;$B114,"")</f>
        <v/>
      </c>
      <c r="Q114">
        <f>IF(AND($B114&lt;&gt;"",$C114&lt;&gt;"Target state",$C114&lt;&gt;"Exception",$D114="High",$E114="High"),$A114&amp;"  "&amp;$B114,"")</f>
        <v/>
      </c>
      <c r="R114">
        <f>IF(AND($B114&lt;&gt;"",$C114&lt;&gt;"Target state",$C114&lt;&gt;"Exception",$D114="Medium",$E114="Low"),$A114&amp;"  "&amp;$B114,"")</f>
        <v/>
      </c>
      <c r="S114">
        <f>IF(AND($B114&lt;&gt;"",$C114&lt;&gt;"Target state",$C114&lt;&gt;"Exception",$D114="Medium",$E114="Medium"),$A114&amp;"  "&amp;$B114,"")</f>
        <v/>
      </c>
      <c r="T114">
        <f>IF(AND($B114&lt;&gt;"",$C114&lt;&gt;"Target state",$C114&lt;&gt;"Exception",$D114="Medium",$E114="High"),$A114&amp;"  "&amp;$B114,"")</f>
        <v/>
      </c>
      <c r="U114">
        <f>IF(AND($B114&lt;&gt;"",$C114&lt;&gt;"Target state",$C114&lt;&gt;"Exception",$D114="Low",$E114="Low"),$A114&amp;"  "&amp;$B114,"")</f>
        <v/>
      </c>
      <c r="V114">
        <f>IF(AND($B114&lt;&gt;"",$C114&lt;&gt;"Target state",$C114&lt;&gt;"Exception",$D114="Low",$E114="Medium"),$A114&amp;"  "&amp;$B114,"")</f>
        <v/>
      </c>
      <c r="W114">
        <f>IF(AND($B114&lt;&gt;"",$C114&lt;&gt;"Target state",$C114&lt;&gt;"Exception",$D114="Low",$E114="High"),$A114&amp;"  "&amp;$B114,"")</f>
        <v/>
      </c>
    </row>
    <row r="115" ht="20" customHeight="1" s="52">
      <c r="A115" s="93" t="inlineStr">
        <is>
          <t>⑧</t>
        </is>
      </c>
      <c r="B115" s="94" t="n"/>
      <c r="C115" s="73" t="n"/>
      <c r="D115" s="73" t="n"/>
      <c r="E115" s="73" t="n"/>
      <c r="F115" s="72" t="n"/>
      <c r="G115" s="95">
        <f>IF(OR($B115="",$D115="",$E115=""),"",IF(OR($C115="Target state",$C115="Exception"),"Out of scope",IF($D115="Low","No tranche",IF($E115="Low","Tranche 1",IF($E115="Medium","Tranche 2",IF($D115="High","Tranche 3","No tranche"))))))</f>
        <v/>
      </c>
      <c r="J115" s="97" t="inlineStr">
        <is>
          <t>Low</t>
        </is>
      </c>
      <c r="K115" s="103">
        <f>_xlfn.TEXTJOIN(CHAR(10),TRUE,U$108:U$117)</f>
        <v/>
      </c>
      <c r="L115" s="103">
        <f>_xlfn.TEXTJOIN(CHAR(10),TRUE,V$108:V$117)</f>
        <v/>
      </c>
      <c r="M115" s="103">
        <f>_xlfn.TEXTJOIN(CHAR(10),TRUE,W$108:W$117)</f>
        <v/>
      </c>
      <c r="O115">
        <f>IF(AND($B115&lt;&gt;"",$C115&lt;&gt;"Target state",$C115&lt;&gt;"Exception",$D115="High",$E115="Low"),$A115&amp;"  "&amp;$B115,"")</f>
        <v/>
      </c>
      <c r="P115">
        <f>IF(AND($B115&lt;&gt;"",$C115&lt;&gt;"Target state",$C115&lt;&gt;"Exception",$D115="High",$E115="Medium"),$A115&amp;"  "&amp;$B115,"")</f>
        <v/>
      </c>
      <c r="Q115">
        <f>IF(AND($B115&lt;&gt;"",$C115&lt;&gt;"Target state",$C115&lt;&gt;"Exception",$D115="High",$E115="High"),$A115&amp;"  "&amp;$B115,"")</f>
        <v/>
      </c>
      <c r="R115">
        <f>IF(AND($B115&lt;&gt;"",$C115&lt;&gt;"Target state",$C115&lt;&gt;"Exception",$D115="Medium",$E115="Low"),$A115&amp;"  "&amp;$B115,"")</f>
        <v/>
      </c>
      <c r="S115">
        <f>IF(AND($B115&lt;&gt;"",$C115&lt;&gt;"Target state",$C115&lt;&gt;"Exception",$D115="Medium",$E115="Medium"),$A115&amp;"  "&amp;$B115,"")</f>
        <v/>
      </c>
      <c r="T115">
        <f>IF(AND($B115&lt;&gt;"",$C115&lt;&gt;"Target state",$C115&lt;&gt;"Exception",$D115="Medium",$E115="High"),$A115&amp;"  "&amp;$B115,"")</f>
        <v/>
      </c>
      <c r="U115">
        <f>IF(AND($B115&lt;&gt;"",$C115&lt;&gt;"Target state",$C115&lt;&gt;"Exception",$D115="Low",$E115="Low"),$A115&amp;"  "&amp;$B115,"")</f>
        <v/>
      </c>
      <c r="V115">
        <f>IF(AND($B115&lt;&gt;"",$C115&lt;&gt;"Target state",$C115&lt;&gt;"Exception",$D115="Low",$E115="Medium"),$A115&amp;"  "&amp;$B115,"")</f>
        <v/>
      </c>
      <c r="W115">
        <f>IF(AND($B115&lt;&gt;"",$C115&lt;&gt;"Target state",$C115&lt;&gt;"Exception",$D115="Low",$E115="High"),$A115&amp;"  "&amp;$B115,"")</f>
        <v/>
      </c>
    </row>
    <row r="116" ht="20" customHeight="1" s="52">
      <c r="A116" s="93" t="inlineStr">
        <is>
          <t>⑨</t>
        </is>
      </c>
      <c r="B116" s="94" t="n"/>
      <c r="C116" s="73" t="n"/>
      <c r="D116" s="73" t="n"/>
      <c r="E116" s="73" t="n"/>
      <c r="F116" s="72" t="n"/>
      <c r="G116" s="95">
        <f>IF(OR($B116="",$D116="",$E116=""),"",IF(OR($C116="Target state",$C116="Exception"),"Out of scope",IF($D116="Low","No tranche",IF($E116="Low","Tranche 1",IF($E116="Medium","Tranche 2",IF($D116="High","Tranche 3","No tranche"))))))</f>
        <v/>
      </c>
      <c r="K116" s="101" t="n"/>
      <c r="L116" s="101" t="n"/>
      <c r="M116" s="101" t="n"/>
      <c r="O116">
        <f>IF(AND($B116&lt;&gt;"",$C116&lt;&gt;"Target state",$C116&lt;&gt;"Exception",$D116="High",$E116="Low"),$A116&amp;"  "&amp;$B116,"")</f>
        <v/>
      </c>
      <c r="P116">
        <f>IF(AND($B116&lt;&gt;"",$C116&lt;&gt;"Target state",$C116&lt;&gt;"Exception",$D116="High",$E116="Medium"),$A116&amp;"  "&amp;$B116,"")</f>
        <v/>
      </c>
      <c r="Q116">
        <f>IF(AND($B116&lt;&gt;"",$C116&lt;&gt;"Target state",$C116&lt;&gt;"Exception",$D116="High",$E116="High"),$A116&amp;"  "&amp;$B116,"")</f>
        <v/>
      </c>
      <c r="R116">
        <f>IF(AND($B116&lt;&gt;"",$C116&lt;&gt;"Target state",$C116&lt;&gt;"Exception",$D116="Medium",$E116="Low"),$A116&amp;"  "&amp;$B116,"")</f>
        <v/>
      </c>
      <c r="S116">
        <f>IF(AND($B116&lt;&gt;"",$C116&lt;&gt;"Target state",$C116&lt;&gt;"Exception",$D116="Medium",$E116="Medium"),$A116&amp;"  "&amp;$B116,"")</f>
        <v/>
      </c>
      <c r="T116">
        <f>IF(AND($B116&lt;&gt;"",$C116&lt;&gt;"Target state",$C116&lt;&gt;"Exception",$D116="Medium",$E116="High"),$A116&amp;"  "&amp;$B116,"")</f>
        <v/>
      </c>
      <c r="U116">
        <f>IF(AND($B116&lt;&gt;"",$C116&lt;&gt;"Target state",$C116&lt;&gt;"Exception",$D116="Low",$E116="Low"),$A116&amp;"  "&amp;$B116,"")</f>
        <v/>
      </c>
      <c r="V116">
        <f>IF(AND($B116&lt;&gt;"",$C116&lt;&gt;"Target state",$C116&lt;&gt;"Exception",$D116="Low",$E116="Medium"),$A116&amp;"  "&amp;$B116,"")</f>
        <v/>
      </c>
      <c r="W116">
        <f>IF(AND($B116&lt;&gt;"",$C116&lt;&gt;"Target state",$C116&lt;&gt;"Exception",$D116="Low",$E116="High"),$A116&amp;"  "&amp;$B116,"")</f>
        <v/>
      </c>
    </row>
    <row r="117" ht="20" customHeight="1" s="52">
      <c r="A117" s="93" t="inlineStr">
        <is>
          <t>⑩</t>
        </is>
      </c>
      <c r="B117" s="94" t="n"/>
      <c r="C117" s="73" t="n"/>
      <c r="D117" s="73" t="n"/>
      <c r="E117" s="73" t="n"/>
      <c r="F117" s="72" t="n"/>
      <c r="G117" s="95">
        <f>IF(OR($B117="",$D117="",$E117=""),"",IF(OR($C117="Target state",$C117="Exception"),"Out of scope",IF($D117="Low","No tranche",IF($E117="Low","Tranche 1",IF($E117="Medium","Tranche 2",IF($D117="High","Tranche 3","No tranche"))))))</f>
        <v/>
      </c>
      <c r="K117" s="102" t="n"/>
      <c r="L117" s="102" t="n"/>
      <c r="M117" s="102" t="n"/>
      <c r="O117">
        <f>IF(AND($B117&lt;&gt;"",$C117&lt;&gt;"Target state",$C117&lt;&gt;"Exception",$D117="High",$E117="Low"),$A117&amp;"  "&amp;$B117,"")</f>
        <v/>
      </c>
      <c r="P117">
        <f>IF(AND($B117&lt;&gt;"",$C117&lt;&gt;"Target state",$C117&lt;&gt;"Exception",$D117="High",$E117="Medium"),$A117&amp;"  "&amp;$B117,"")</f>
        <v/>
      </c>
      <c r="Q117">
        <f>IF(AND($B117&lt;&gt;"",$C117&lt;&gt;"Target state",$C117&lt;&gt;"Exception",$D117="High",$E117="High"),$A117&amp;"  "&amp;$B117,"")</f>
        <v/>
      </c>
      <c r="R117">
        <f>IF(AND($B117&lt;&gt;"",$C117&lt;&gt;"Target state",$C117&lt;&gt;"Exception",$D117="Medium",$E117="Low"),$A117&amp;"  "&amp;$B117,"")</f>
        <v/>
      </c>
      <c r="S117">
        <f>IF(AND($B117&lt;&gt;"",$C117&lt;&gt;"Target state",$C117&lt;&gt;"Exception",$D117="Medium",$E117="Medium"),$A117&amp;"  "&amp;$B117,"")</f>
        <v/>
      </c>
      <c r="T117">
        <f>IF(AND($B117&lt;&gt;"",$C117&lt;&gt;"Target state",$C117&lt;&gt;"Exception",$D117="Medium",$E117="High"),$A117&amp;"  "&amp;$B117,"")</f>
        <v/>
      </c>
      <c r="U117">
        <f>IF(AND($B117&lt;&gt;"",$C117&lt;&gt;"Target state",$C117&lt;&gt;"Exception",$D117="Low",$E117="Low"),$A117&amp;"  "&amp;$B117,"")</f>
        <v/>
      </c>
      <c r="V117">
        <f>IF(AND($B117&lt;&gt;"",$C117&lt;&gt;"Target state",$C117&lt;&gt;"Exception",$D117="Low",$E117="Medium"),$A117&amp;"  "&amp;$B117,"")</f>
        <v/>
      </c>
      <c r="W117">
        <f>IF(AND($B117&lt;&gt;"",$C117&lt;&gt;"Target state",$C117&lt;&gt;"Exception",$D117="Low",$E117="High"),$A117&amp;"  "&amp;$B117,"")</f>
        <v/>
      </c>
    </row>
    <row r="118">
      <c r="K118" s="97" t="inlineStr">
        <is>
          <t>Complexity</t>
        </is>
      </c>
    </row>
  </sheetData>
  <mergeCells count="97">
    <mergeCell ref="K96:K98"/>
    <mergeCell ref="L115:L117"/>
    <mergeCell ref="K106:M106"/>
    <mergeCell ref="L99:L101"/>
    <mergeCell ref="I108:I117"/>
    <mergeCell ref="L43:L46"/>
    <mergeCell ref="L67:L69"/>
    <mergeCell ref="I43:I53"/>
    <mergeCell ref="M96:M98"/>
    <mergeCell ref="L92:L95"/>
    <mergeCell ref="K43:K46"/>
    <mergeCell ref="J67:J69"/>
    <mergeCell ref="M67:M69"/>
    <mergeCell ref="A58:F58"/>
    <mergeCell ref="L112:L114"/>
    <mergeCell ref="K74:M74"/>
    <mergeCell ref="J47:J50"/>
    <mergeCell ref="J80:J82"/>
    <mergeCell ref="J76:J79"/>
    <mergeCell ref="L22:L29"/>
    <mergeCell ref="A41:F41"/>
    <mergeCell ref="J30:J36"/>
    <mergeCell ref="L30:L36"/>
    <mergeCell ref="K108:K111"/>
    <mergeCell ref="K102:M102"/>
    <mergeCell ref="J14:J21"/>
    <mergeCell ref="K12:M12"/>
    <mergeCell ref="K86:M86"/>
    <mergeCell ref="M30:M36"/>
    <mergeCell ref="K70:M70"/>
    <mergeCell ref="K47:K50"/>
    <mergeCell ref="A4:C4"/>
    <mergeCell ref="I76:I85"/>
    <mergeCell ref="K80:K82"/>
    <mergeCell ref="L76:L79"/>
    <mergeCell ref="K22:K29"/>
    <mergeCell ref="M22:M29"/>
    <mergeCell ref="K64:K66"/>
    <mergeCell ref="L60:L63"/>
    <mergeCell ref="K51:K53"/>
    <mergeCell ref="M51:M53"/>
    <mergeCell ref="J99:J101"/>
    <mergeCell ref="M76:M79"/>
    <mergeCell ref="J43:J46"/>
    <mergeCell ref="L83:L85"/>
    <mergeCell ref="K115:K117"/>
    <mergeCell ref="I92:I101"/>
    <mergeCell ref="J92:J95"/>
    <mergeCell ref="L108:L111"/>
    <mergeCell ref="K99:K101"/>
    <mergeCell ref="M99:M101"/>
    <mergeCell ref="M14:M21"/>
    <mergeCell ref="K67:K69"/>
    <mergeCell ref="M43:M46"/>
    <mergeCell ref="A90:F90"/>
    <mergeCell ref="K92:K95"/>
    <mergeCell ref="M92:M95"/>
    <mergeCell ref="L47:L50"/>
    <mergeCell ref="A74:F74"/>
    <mergeCell ref="L80:L82"/>
    <mergeCell ref="J96:J98"/>
    <mergeCell ref="L96:L98"/>
    <mergeCell ref="K112:K114"/>
    <mergeCell ref="M112:M114"/>
    <mergeCell ref="M64:M66"/>
    <mergeCell ref="K118:M118"/>
    <mergeCell ref="K30:K36"/>
    <mergeCell ref="J83:J85"/>
    <mergeCell ref="K14:K21"/>
    <mergeCell ref="I14:I36"/>
    <mergeCell ref="K41:M41"/>
    <mergeCell ref="K90:M90"/>
    <mergeCell ref="J60:J63"/>
    <mergeCell ref="A12:F12"/>
    <mergeCell ref="J115:J117"/>
    <mergeCell ref="K58:M58"/>
    <mergeCell ref="K76:K79"/>
    <mergeCell ref="K60:K63"/>
    <mergeCell ref="M60:M63"/>
    <mergeCell ref="J51:J53"/>
    <mergeCell ref="J108:J111"/>
    <mergeCell ref="A106:F106"/>
    <mergeCell ref="M115:M117"/>
    <mergeCell ref="J112:J114"/>
    <mergeCell ref="K83:K85"/>
    <mergeCell ref="M83:M85"/>
    <mergeCell ref="J64:J66"/>
    <mergeCell ref="K37:M37"/>
    <mergeCell ref="M108:M111"/>
    <mergeCell ref="L14:L21"/>
    <mergeCell ref="J22:J29"/>
    <mergeCell ref="K54:M54"/>
    <mergeCell ref="L64:L66"/>
    <mergeCell ref="M47:M50"/>
    <mergeCell ref="L51:L53"/>
    <mergeCell ref="I60:I69"/>
    <mergeCell ref="M80:M82"/>
  </mergeCells>
  <conditionalFormatting sqref="A14:G36">
    <cfRule type="expression" priority="1" dxfId="43">
      <formula>OR($C14="Target state",$C14="Exception")</formula>
    </cfRule>
  </conditionalFormatting>
  <conditionalFormatting sqref="A43:G53">
    <cfRule type="expression" priority="2" dxfId="43">
      <formula>OR($C43="Target state",$C43="Exception")</formula>
    </cfRule>
  </conditionalFormatting>
  <conditionalFormatting sqref="A60:G69">
    <cfRule type="expression" priority="3" dxfId="43">
      <formula>OR($C60="Target state",$C60="Exception")</formula>
    </cfRule>
  </conditionalFormatting>
  <conditionalFormatting sqref="A76:G85">
    <cfRule type="expression" priority="4" dxfId="43">
      <formula>OR($C76="Target state",$C76="Exception")</formula>
    </cfRule>
  </conditionalFormatting>
  <conditionalFormatting sqref="A92:G101">
    <cfRule type="expression" priority="5" dxfId="43">
      <formula>OR($C92="Target state",$C92="Exception")</formula>
    </cfRule>
  </conditionalFormatting>
  <conditionalFormatting sqref="A108:G117">
    <cfRule type="expression" priority="6" dxfId="43">
      <formula>OR($C108="Target state",$C108="Exception")</formula>
    </cfRule>
  </conditionalFormatting>
  <dataValidations count="2">
    <dataValidation sqref="C14:C36 C43:C53 C60:C69 C76:C85 C92:C101 C108:C117" showDropDown="0" showInputMessage="0" showErrorMessage="0" allowBlank="1" type="list">
      <formula1>"Target state,Non-target state,Exception"</formula1>
    </dataValidation>
    <dataValidation sqref="D14:E36 D43:E53 D60:E69 D76:E85 D92:E101 D108:E11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6A6A6"/>
    <outlinePr summaryBelow="1" summaryRight="1"/>
    <pageSetUpPr/>
  </sheetPr>
  <dimension ref="A1:W34"/>
  <sheetViews>
    <sheetView showGridLines="0" workbookViewId="0">
      <selection activeCell="A1" sqref="A1"/>
    </sheetView>
  </sheetViews>
  <sheetFormatPr baseColWidth="8" defaultRowHeight="15"/>
  <cols>
    <col width="5" customWidth="1" style="52" min="1" max="1"/>
    <col width="26" customWidth="1" style="52" min="2" max="2"/>
    <col width="17" customWidth="1" style="52" min="3" max="3"/>
    <col width="16" customWidth="1" style="52" min="4" max="4"/>
    <col width="15" customWidth="1" style="52" min="5" max="5"/>
    <col width="44" customWidth="1" style="52" min="6" max="6"/>
    <col width="14" customWidth="1" style="52" min="7" max="7"/>
    <col width="2" customWidth="1" style="52" min="8" max="8"/>
    <col width="4" customWidth="1" style="52" min="9" max="9"/>
    <col width="9" customWidth="1" style="52" min="10" max="10"/>
    <col width="26" customWidth="1" style="52" min="11" max="11"/>
    <col width="26" customWidth="1" style="52" min="12" max="12"/>
    <col width="26" customWidth="1" style="52" min="13" max="13"/>
    <col width="2" customWidth="1" style="52" min="14" max="14"/>
    <col hidden="1" width="13" customWidth="1" style="52" min="15" max="15"/>
    <col hidden="1" width="13" customWidth="1" style="52" min="16" max="16"/>
    <col hidden="1" width="13" customWidth="1" style="52" min="17" max="17"/>
    <col hidden="1" width="13" customWidth="1" style="52" min="18" max="18"/>
    <col hidden="1" width="13" customWidth="1" style="52" min="19" max="19"/>
    <col hidden="1" width="13" customWidth="1" style="52" min="20" max="20"/>
    <col hidden="1" width="13" customWidth="1" style="52" min="21" max="21"/>
    <col hidden="1" width="13" customWidth="1" style="52" min="22" max="22"/>
    <col hidden="1" width="13" customWidth="1" style="52" min="23" max="23"/>
  </cols>
  <sheetData>
    <row r="1">
      <c r="A1" s="83" t="inlineStr">
        <is>
          <t>Parking — POS software (not tranched for now)</t>
        </is>
      </c>
    </row>
    <row r="2">
      <c r="A2" s="84">
        <f>HYPERLINK("#'Summary'!A1","← Back to Summary")</f>
        <v/>
      </c>
      <c r="C2" s="85" t="inlineStr">
        <is>
          <t>Parked so nothing from the KTLO list is lost — re-home or score these later if needed.</t>
        </is>
      </c>
    </row>
    <row r="4">
      <c r="A4" s="86" t="inlineStr">
        <is>
          <t>Tracker — jump to a sub-capability:</t>
        </is>
      </c>
    </row>
    <row r="5">
      <c r="A5" s="87" t="inlineStr">
        <is>
          <t>1.</t>
        </is>
      </c>
      <c r="B5" s="84">
        <f>HYPERLINK("#'Parking'!A7","POS software (parked — not tranched for now)")</f>
        <v/>
      </c>
    </row>
    <row r="7" ht="22" customHeight="1" s="52">
      <c r="A7" s="88" t="inlineStr">
        <is>
          <t>POS software (parked — not tranched for now)</t>
        </is>
      </c>
      <c r="G7" s="89">
        <f>HYPERLINK("#'Parking'!A4","▲ tracker")</f>
        <v/>
      </c>
      <c r="K7" s="90" t="inlineStr">
        <is>
          <t>Assessment Outcome</t>
        </is>
      </c>
    </row>
    <row r="8" ht="18" customHeight="1" s="52">
      <c r="A8" s="91" t="inlineStr">
        <is>
          <t>#</t>
        </is>
      </c>
      <c r="B8" s="91" t="inlineStr">
        <is>
          <t>Platform</t>
        </is>
      </c>
      <c r="C8" s="91" t="inlineStr">
        <is>
          <t>State</t>
        </is>
      </c>
      <c r="D8" s="91" t="inlineStr">
        <is>
          <t>Imperative to exit</t>
        </is>
      </c>
      <c r="E8" s="91" t="inlineStr">
        <is>
          <t>Exit complexity</t>
        </is>
      </c>
      <c r="F8" s="91" t="inlineStr">
        <is>
          <t>Supporting facts</t>
        </is>
      </c>
      <c r="G8" s="91" t="inlineStr">
        <is>
          <t>Tranche (auto)</t>
        </is>
      </c>
      <c r="K8" s="92" t="inlineStr">
        <is>
          <t>Low</t>
        </is>
      </c>
      <c r="L8" s="92" t="inlineStr">
        <is>
          <t>Medium</t>
        </is>
      </c>
      <c r="M8" s="92" t="inlineStr">
        <is>
          <t>High</t>
        </is>
      </c>
    </row>
    <row r="9" ht="36" customHeight="1" s="52">
      <c r="A9" s="93" t="inlineStr">
        <is>
          <t>①</t>
        </is>
      </c>
      <c r="B9" s="94" t="inlineStr">
        <is>
          <t>Heartland Restaurant</t>
        </is>
      </c>
      <c r="C9" s="73" t="inlineStr">
        <is>
          <t>Non-target state</t>
        </is>
      </c>
      <c r="D9" s="73" t="n"/>
      <c r="E9" s="73" t="n"/>
      <c r="F9" s="72" t="inlineStr">
        <is>
          <t>SMB restaurant POS suite across about 12K MIDs and 50K stations; around $730K in yearly AWS cost; repository flags initial disposition Keep &amp; Enhance — confirm with SPOC</t>
        </is>
      </c>
      <c r="G9" s="95">
        <f>IF(OR($B9="",$D9="",$E9=""),"",IF(OR($C9="Target state",$C9="Exception"),"Out of scope",IF($D9="Low","No tranche",IF($E9="Low","Tranche 1",IF($E9="Medium","Tranche 2",IF($D9="High","Tranche 3","No tranche"))))))</f>
        <v/>
      </c>
      <c r="I9" s="96" t="inlineStr">
        <is>
          <t>Benefits</t>
        </is>
      </c>
      <c r="J9" s="97" t="inlineStr">
        <is>
          <t>High</t>
        </is>
      </c>
      <c r="K9" s="98">
        <f>"Tranche 1"&amp;CHAR(10)&amp;_xlfn.TEXTJOIN(CHAR(10),TRUE,O$9:O$33)</f>
        <v/>
      </c>
      <c r="L9" s="99">
        <f>"Tranche 2"&amp;CHAR(10)&amp;_xlfn.TEXTJOIN(CHAR(10),TRUE,P$9:P$33)</f>
        <v/>
      </c>
      <c r="M9" s="100">
        <f>"Tranche 3"&amp;CHAR(10)&amp;_xlfn.TEXTJOIN(CHAR(10),TRUE,Q$9:Q$33)</f>
        <v/>
      </c>
      <c r="O9">
        <f>IF(AND($B9&lt;&gt;"",$C9&lt;&gt;"Target state",$C9&lt;&gt;"Exception",$D9="High",$E9="Low"),$A9&amp;"  "&amp;$B9,"")</f>
        <v/>
      </c>
      <c r="P9">
        <f>IF(AND($B9&lt;&gt;"",$C9&lt;&gt;"Target state",$C9&lt;&gt;"Exception",$D9="High",$E9="Medium"),$A9&amp;"  "&amp;$B9,"")</f>
        <v/>
      </c>
      <c r="Q9">
        <f>IF(AND($B9&lt;&gt;"",$C9&lt;&gt;"Target state",$C9&lt;&gt;"Exception",$D9="High",$E9="High"),$A9&amp;"  "&amp;$B9,"")</f>
        <v/>
      </c>
      <c r="R9">
        <f>IF(AND($B9&lt;&gt;"",$C9&lt;&gt;"Target state",$C9&lt;&gt;"Exception",$D9="Medium",$E9="Low"),$A9&amp;"  "&amp;$B9,"")</f>
        <v/>
      </c>
      <c r="S9">
        <f>IF(AND($B9&lt;&gt;"",$C9&lt;&gt;"Target state",$C9&lt;&gt;"Exception",$D9="Medium",$E9="Medium"),$A9&amp;"  "&amp;$B9,"")</f>
        <v/>
      </c>
      <c r="T9">
        <f>IF(AND($B9&lt;&gt;"",$C9&lt;&gt;"Target state",$C9&lt;&gt;"Exception",$D9="Medium",$E9="High"),$A9&amp;"  "&amp;$B9,"")</f>
        <v/>
      </c>
      <c r="U9">
        <f>IF(AND($B9&lt;&gt;"",$C9&lt;&gt;"Target state",$C9&lt;&gt;"Exception",$D9="Low",$E9="Low"),$A9&amp;"  "&amp;$B9,"")</f>
        <v/>
      </c>
      <c r="V9">
        <f>IF(AND($B9&lt;&gt;"",$C9&lt;&gt;"Target state",$C9&lt;&gt;"Exception",$D9="Low",$E9="Medium"),$A9&amp;"  "&amp;$B9,"")</f>
        <v/>
      </c>
      <c r="W9">
        <f>IF(AND($B9&lt;&gt;"",$C9&lt;&gt;"Target state",$C9&lt;&gt;"Exception",$D9="Low",$E9="High"),$A9&amp;"  "&amp;$B9,"")</f>
        <v/>
      </c>
    </row>
    <row r="10" ht="36" customHeight="1" s="52">
      <c r="A10" s="93" t="inlineStr">
        <is>
          <t>②</t>
        </is>
      </c>
      <c r="B10" s="94" t="inlineStr">
        <is>
          <t>Heartland Retail</t>
        </is>
      </c>
      <c r="C10" s="73" t="inlineStr">
        <is>
          <t>Non-target state</t>
        </is>
      </c>
      <c r="D10" s="73" t="n"/>
      <c r="E10" s="73" t="n"/>
      <c r="F10" s="72" t="inlineStr">
        <is>
          <t>Cloud-native SMB retail POS across about 1.1K MIDs; around $3.7M in yearly cost; repository flags initial disposition Keep &amp; Enhance — confirm with SPOC</t>
        </is>
      </c>
      <c r="G10" s="95">
        <f>IF(OR($B10="",$D10="",$E10=""),"",IF(OR($C10="Target state",$C10="Exception"),"Out of scope",IF($D10="Low","No tranche",IF($E10="Low","Tranche 1",IF($E10="Medium","Tranche 2",IF($D10="High","Tranche 3","No tranche"))))))</f>
        <v/>
      </c>
      <c r="K10" s="101" t="n"/>
      <c r="L10" s="101" t="n"/>
      <c r="M10" s="101" t="n"/>
      <c r="O10">
        <f>IF(AND($B10&lt;&gt;"",$C10&lt;&gt;"Target state",$C10&lt;&gt;"Exception",$D10="High",$E10="Low"),$A10&amp;"  "&amp;$B10,"")</f>
        <v/>
      </c>
      <c r="P10">
        <f>IF(AND($B10&lt;&gt;"",$C10&lt;&gt;"Target state",$C10&lt;&gt;"Exception",$D10="High",$E10="Medium"),$A10&amp;"  "&amp;$B10,"")</f>
        <v/>
      </c>
      <c r="Q10">
        <f>IF(AND($B10&lt;&gt;"",$C10&lt;&gt;"Target state",$C10&lt;&gt;"Exception",$D10="High",$E10="High"),$A10&amp;"  "&amp;$B10,"")</f>
        <v/>
      </c>
      <c r="R10">
        <f>IF(AND($B10&lt;&gt;"",$C10&lt;&gt;"Target state",$C10&lt;&gt;"Exception",$D10="Medium",$E10="Low"),$A10&amp;"  "&amp;$B10,"")</f>
        <v/>
      </c>
      <c r="S10">
        <f>IF(AND($B10&lt;&gt;"",$C10&lt;&gt;"Target state",$C10&lt;&gt;"Exception",$D10="Medium",$E10="Medium"),$A10&amp;"  "&amp;$B10,"")</f>
        <v/>
      </c>
      <c r="T10">
        <f>IF(AND($B10&lt;&gt;"",$C10&lt;&gt;"Target state",$C10&lt;&gt;"Exception",$D10="Medium",$E10="High"),$A10&amp;"  "&amp;$B10,"")</f>
        <v/>
      </c>
      <c r="U10">
        <f>IF(AND($B10&lt;&gt;"",$C10&lt;&gt;"Target state",$C10&lt;&gt;"Exception",$D10="Low",$E10="Low"),$A10&amp;"  "&amp;$B10,"")</f>
        <v/>
      </c>
      <c r="V10">
        <f>IF(AND($B10&lt;&gt;"",$C10&lt;&gt;"Target state",$C10&lt;&gt;"Exception",$D10="Low",$E10="Medium"),$A10&amp;"  "&amp;$B10,"")</f>
        <v/>
      </c>
      <c r="W10">
        <f>IF(AND($B10&lt;&gt;"",$C10&lt;&gt;"Target state",$C10&lt;&gt;"Exception",$D10="Low",$E10="High"),$A10&amp;"  "&amp;$B10,"")</f>
        <v/>
      </c>
    </row>
    <row r="11" ht="30" customHeight="1" s="52">
      <c r="A11" s="93" t="inlineStr">
        <is>
          <t>③</t>
        </is>
      </c>
      <c r="B11" s="94" t="inlineStr">
        <is>
          <t>Cash Register Express (CRE)</t>
        </is>
      </c>
      <c r="C11" s="73" t="inlineStr">
        <is>
          <t>Non-target state</t>
        </is>
      </c>
      <c r="D11" s="73" t="n"/>
      <c r="E11" s="73" t="n"/>
      <c r="F11" s="72" t="inlineStr">
        <is>
          <t>Retail POS with prepaid paydown across about 2.2K MIDs and roughly $210M processed; sustain in KTLO per the repository</t>
        </is>
      </c>
      <c r="G11" s="95">
        <f>IF(OR($B11="",$D11="",$E11=""),"",IF(OR($C11="Target state",$C11="Exception"),"Out of scope",IF($D11="Low","No tranche",IF($E11="Low","Tranche 1",IF($E11="Medium","Tranche 2",IF($D11="High","Tranche 3","No tranche"))))))</f>
        <v/>
      </c>
      <c r="K11" s="101" t="n"/>
      <c r="L11" s="101" t="n"/>
      <c r="M11" s="101" t="n"/>
      <c r="O11">
        <f>IF(AND($B11&lt;&gt;"",$C11&lt;&gt;"Target state",$C11&lt;&gt;"Exception",$D11="High",$E11="Low"),$A11&amp;"  "&amp;$B11,"")</f>
        <v/>
      </c>
      <c r="P11">
        <f>IF(AND($B11&lt;&gt;"",$C11&lt;&gt;"Target state",$C11&lt;&gt;"Exception",$D11="High",$E11="Medium"),$A11&amp;"  "&amp;$B11,"")</f>
        <v/>
      </c>
      <c r="Q11">
        <f>IF(AND($B11&lt;&gt;"",$C11&lt;&gt;"Target state",$C11&lt;&gt;"Exception",$D11="High",$E11="High"),$A11&amp;"  "&amp;$B11,"")</f>
        <v/>
      </c>
      <c r="R11">
        <f>IF(AND($B11&lt;&gt;"",$C11&lt;&gt;"Target state",$C11&lt;&gt;"Exception",$D11="Medium",$E11="Low"),$A11&amp;"  "&amp;$B11,"")</f>
        <v/>
      </c>
      <c r="S11">
        <f>IF(AND($B11&lt;&gt;"",$C11&lt;&gt;"Target state",$C11&lt;&gt;"Exception",$D11="Medium",$E11="Medium"),$A11&amp;"  "&amp;$B11,"")</f>
        <v/>
      </c>
      <c r="T11">
        <f>IF(AND($B11&lt;&gt;"",$C11&lt;&gt;"Target state",$C11&lt;&gt;"Exception",$D11="Medium",$E11="High"),$A11&amp;"  "&amp;$B11,"")</f>
        <v/>
      </c>
      <c r="U11">
        <f>IF(AND($B11&lt;&gt;"",$C11&lt;&gt;"Target state",$C11&lt;&gt;"Exception",$D11="Low",$E11="Low"),$A11&amp;"  "&amp;$B11,"")</f>
        <v/>
      </c>
      <c r="V11">
        <f>IF(AND($B11&lt;&gt;"",$C11&lt;&gt;"Target state",$C11&lt;&gt;"Exception",$D11="Low",$E11="Medium"),$A11&amp;"  "&amp;$B11,"")</f>
        <v/>
      </c>
      <c r="W11">
        <f>IF(AND($B11&lt;&gt;"",$C11&lt;&gt;"Target state",$C11&lt;&gt;"Exception",$D11="Low",$E11="High"),$A11&amp;"  "&amp;$B11,"")</f>
        <v/>
      </c>
    </row>
    <row r="12" ht="30" customHeight="1" s="52">
      <c r="A12" s="93" t="inlineStr">
        <is>
          <t>④</t>
        </is>
      </c>
      <c r="B12" s="94" t="inlineStr">
        <is>
          <t>Liquor Point of Sale (LPOS)</t>
        </is>
      </c>
      <c r="C12" s="73" t="inlineStr">
        <is>
          <t>Non-target state</t>
        </is>
      </c>
      <c r="D12" s="73" t="n"/>
      <c r="E12" s="73" t="n"/>
      <c r="F12" s="72" t="inlineStr">
        <is>
          <t>Liquor vertical POS across about 580 MIDs and roughly $103M processed; on the decommission path</t>
        </is>
      </c>
      <c r="G12" s="95">
        <f>IF(OR($B12="",$D12="",$E12=""),"",IF(OR($C12="Target state",$C12="Exception"),"Out of scope",IF($D12="Low","No tranche",IF($E12="Low","Tranche 1",IF($E12="Medium","Tranche 2",IF($D12="High","Tranche 3","No tranche"))))))</f>
        <v/>
      </c>
      <c r="K12" s="101" t="n"/>
      <c r="L12" s="101" t="n"/>
      <c r="M12" s="101" t="n"/>
      <c r="O12">
        <f>IF(AND($B12&lt;&gt;"",$C12&lt;&gt;"Target state",$C12&lt;&gt;"Exception",$D12="High",$E12="Low"),$A12&amp;"  "&amp;$B12,"")</f>
        <v/>
      </c>
      <c r="P12">
        <f>IF(AND($B12&lt;&gt;"",$C12&lt;&gt;"Target state",$C12&lt;&gt;"Exception",$D12="High",$E12="Medium"),$A12&amp;"  "&amp;$B12,"")</f>
        <v/>
      </c>
      <c r="Q12">
        <f>IF(AND($B12&lt;&gt;"",$C12&lt;&gt;"Target state",$C12&lt;&gt;"Exception",$D12="High",$E12="High"),$A12&amp;"  "&amp;$B12,"")</f>
        <v/>
      </c>
      <c r="R12">
        <f>IF(AND($B12&lt;&gt;"",$C12&lt;&gt;"Target state",$C12&lt;&gt;"Exception",$D12="Medium",$E12="Low"),$A12&amp;"  "&amp;$B12,"")</f>
        <v/>
      </c>
      <c r="S12">
        <f>IF(AND($B12&lt;&gt;"",$C12&lt;&gt;"Target state",$C12&lt;&gt;"Exception",$D12="Medium",$E12="Medium"),$A12&amp;"  "&amp;$B12,"")</f>
        <v/>
      </c>
      <c r="T12">
        <f>IF(AND($B12&lt;&gt;"",$C12&lt;&gt;"Target state",$C12&lt;&gt;"Exception",$D12="Medium",$E12="High"),$A12&amp;"  "&amp;$B12,"")</f>
        <v/>
      </c>
      <c r="U12">
        <f>IF(AND($B12&lt;&gt;"",$C12&lt;&gt;"Target state",$C12&lt;&gt;"Exception",$D12="Low",$E12="Low"),$A12&amp;"  "&amp;$B12,"")</f>
        <v/>
      </c>
      <c r="V12">
        <f>IF(AND($B12&lt;&gt;"",$C12&lt;&gt;"Target state",$C12&lt;&gt;"Exception",$D12="Low",$E12="Medium"),$A12&amp;"  "&amp;$B12,"")</f>
        <v/>
      </c>
      <c r="W12">
        <f>IF(AND($B12&lt;&gt;"",$C12&lt;&gt;"Target state",$C12&lt;&gt;"Exception",$D12="Low",$E12="High"),$A12&amp;"  "&amp;$B12,"")</f>
        <v/>
      </c>
    </row>
    <row r="13" ht="30" customHeight="1" s="52">
      <c r="A13" s="93" t="inlineStr">
        <is>
          <t>⑤</t>
        </is>
      </c>
      <c r="B13" s="94" t="inlineStr">
        <is>
          <t>Dinerware</t>
        </is>
      </c>
      <c r="C13" s="73" t="inlineStr">
        <is>
          <t>Non-target state</t>
        </is>
      </c>
      <c r="D13" s="73" t="n"/>
      <c r="E13" s="73" t="n"/>
      <c r="F13" s="72" t="inlineStr">
        <is>
          <t>Windows restaurant POS hosted on merchant networks; about $310K in yearly AWS cost; on the decommission path</t>
        </is>
      </c>
      <c r="G13" s="95">
        <f>IF(OR($B13="",$D13="",$E13=""),"",IF(OR($C13="Target state",$C13="Exception"),"Out of scope",IF($D13="Low","No tranche",IF($E13="Low","Tranche 1",IF($E13="Medium","Tranche 2",IF($D13="High","Tranche 3","No tranche"))))))</f>
        <v/>
      </c>
      <c r="K13" s="101" t="n"/>
      <c r="L13" s="101" t="n"/>
      <c r="M13" s="101" t="n"/>
      <c r="O13">
        <f>IF(AND($B13&lt;&gt;"",$C13&lt;&gt;"Target state",$C13&lt;&gt;"Exception",$D13="High",$E13="Low"),$A13&amp;"  "&amp;$B13,"")</f>
        <v/>
      </c>
      <c r="P13">
        <f>IF(AND($B13&lt;&gt;"",$C13&lt;&gt;"Target state",$C13&lt;&gt;"Exception",$D13="High",$E13="Medium"),$A13&amp;"  "&amp;$B13,"")</f>
        <v/>
      </c>
      <c r="Q13">
        <f>IF(AND($B13&lt;&gt;"",$C13&lt;&gt;"Target state",$C13&lt;&gt;"Exception",$D13="High",$E13="High"),$A13&amp;"  "&amp;$B13,"")</f>
        <v/>
      </c>
      <c r="R13">
        <f>IF(AND($B13&lt;&gt;"",$C13&lt;&gt;"Target state",$C13&lt;&gt;"Exception",$D13="Medium",$E13="Low"),$A13&amp;"  "&amp;$B13,"")</f>
        <v/>
      </c>
      <c r="S13">
        <f>IF(AND($B13&lt;&gt;"",$C13&lt;&gt;"Target state",$C13&lt;&gt;"Exception",$D13="Medium",$E13="Medium"),$A13&amp;"  "&amp;$B13,"")</f>
        <v/>
      </c>
      <c r="T13">
        <f>IF(AND($B13&lt;&gt;"",$C13&lt;&gt;"Target state",$C13&lt;&gt;"Exception",$D13="Medium",$E13="High"),$A13&amp;"  "&amp;$B13,"")</f>
        <v/>
      </c>
      <c r="U13">
        <f>IF(AND($B13&lt;&gt;"",$C13&lt;&gt;"Target state",$C13&lt;&gt;"Exception",$D13="Low",$E13="Low"),$A13&amp;"  "&amp;$B13,"")</f>
        <v/>
      </c>
      <c r="V13">
        <f>IF(AND($B13&lt;&gt;"",$C13&lt;&gt;"Target state",$C13&lt;&gt;"Exception",$D13="Low",$E13="Medium"),$A13&amp;"  "&amp;$B13,"")</f>
        <v/>
      </c>
      <c r="W13">
        <f>IF(AND($B13&lt;&gt;"",$C13&lt;&gt;"Target state",$C13&lt;&gt;"Exception",$D13="Low",$E13="High"),$A13&amp;"  "&amp;$B13,"")</f>
        <v/>
      </c>
    </row>
    <row r="14" ht="30" customHeight="1" s="52">
      <c r="A14" s="93" t="inlineStr">
        <is>
          <t>⑥</t>
        </is>
      </c>
      <c r="B14" s="94" t="inlineStr">
        <is>
          <t>Digital Dining</t>
        </is>
      </c>
      <c r="C14" s="73" t="inlineStr">
        <is>
          <t>Non-target state</t>
        </is>
      </c>
      <c r="D14" s="73" t="n"/>
      <c r="E14" s="73" t="n"/>
      <c r="F14" s="72" t="inlineStr">
        <is>
          <t>Windows restaurant POS hosted on merchant networks; on the decommission path</t>
        </is>
      </c>
      <c r="G14" s="95">
        <f>IF(OR($B14="",$D14="",$E14=""),"",IF(OR($C14="Target state",$C14="Exception"),"Out of scope",IF($D14="Low","No tranche",IF($E14="Low","Tranche 1",IF($E14="Medium","Tranche 2",IF($D14="High","Tranche 3","No tranche"))))))</f>
        <v/>
      </c>
      <c r="K14" s="101" t="n"/>
      <c r="L14" s="101" t="n"/>
      <c r="M14" s="101" t="n"/>
      <c r="O14">
        <f>IF(AND($B14&lt;&gt;"",$C14&lt;&gt;"Target state",$C14&lt;&gt;"Exception",$D14="High",$E14="Low"),$A14&amp;"  "&amp;$B14,"")</f>
        <v/>
      </c>
      <c r="P14">
        <f>IF(AND($B14&lt;&gt;"",$C14&lt;&gt;"Target state",$C14&lt;&gt;"Exception",$D14="High",$E14="Medium"),$A14&amp;"  "&amp;$B14,"")</f>
        <v/>
      </c>
      <c r="Q14">
        <f>IF(AND($B14&lt;&gt;"",$C14&lt;&gt;"Target state",$C14&lt;&gt;"Exception",$D14="High",$E14="High"),$A14&amp;"  "&amp;$B14,"")</f>
        <v/>
      </c>
      <c r="R14">
        <f>IF(AND($B14&lt;&gt;"",$C14&lt;&gt;"Target state",$C14&lt;&gt;"Exception",$D14="Medium",$E14="Low"),$A14&amp;"  "&amp;$B14,"")</f>
        <v/>
      </c>
      <c r="S14">
        <f>IF(AND($B14&lt;&gt;"",$C14&lt;&gt;"Target state",$C14&lt;&gt;"Exception",$D14="Medium",$E14="Medium"),$A14&amp;"  "&amp;$B14,"")</f>
        <v/>
      </c>
      <c r="T14">
        <f>IF(AND($B14&lt;&gt;"",$C14&lt;&gt;"Target state",$C14&lt;&gt;"Exception",$D14="Medium",$E14="High"),$A14&amp;"  "&amp;$B14,"")</f>
        <v/>
      </c>
      <c r="U14">
        <f>IF(AND($B14&lt;&gt;"",$C14&lt;&gt;"Target state",$C14&lt;&gt;"Exception",$D14="Low",$E14="Low"),$A14&amp;"  "&amp;$B14,"")</f>
        <v/>
      </c>
      <c r="V14">
        <f>IF(AND($B14&lt;&gt;"",$C14&lt;&gt;"Target state",$C14&lt;&gt;"Exception",$D14="Low",$E14="Medium"),$A14&amp;"  "&amp;$B14,"")</f>
        <v/>
      </c>
      <c r="W14">
        <f>IF(AND($B14&lt;&gt;"",$C14&lt;&gt;"Target state",$C14&lt;&gt;"Exception",$D14="Low",$E14="High"),$A14&amp;"  "&amp;$B14,"")</f>
        <v/>
      </c>
    </row>
    <row r="15" ht="30" customHeight="1" s="52">
      <c r="A15" s="93" t="inlineStr">
        <is>
          <t>⑦</t>
        </is>
      </c>
      <c r="B15" s="94" t="inlineStr">
        <is>
          <t>Spectrum</t>
        </is>
      </c>
      <c r="C15" s="73" t="inlineStr">
        <is>
          <t>Non-target state</t>
        </is>
      </c>
      <c r="D15" s="73" t="n"/>
      <c r="E15" s="73" t="n"/>
      <c r="F15" s="72" t="inlineStr">
        <is>
          <t>US terminal payment application on Ingenico across about 65K MIDs and roughly $23B processed; on the decommission path</t>
        </is>
      </c>
      <c r="G15" s="95">
        <f>IF(OR($B15="",$D15="",$E15=""),"",IF(OR($C15="Target state",$C15="Exception"),"Out of scope",IF($D15="Low","No tranche",IF($E15="Low","Tranche 1",IF($E15="Medium","Tranche 2",IF($D15="High","Tranche 3","No tranche"))))))</f>
        <v/>
      </c>
      <c r="K15" s="101" t="n"/>
      <c r="L15" s="101" t="n"/>
      <c r="M15" s="101" t="n"/>
      <c r="O15">
        <f>IF(AND($B15&lt;&gt;"",$C15&lt;&gt;"Target state",$C15&lt;&gt;"Exception",$D15="High",$E15="Low"),$A15&amp;"  "&amp;$B15,"")</f>
        <v/>
      </c>
      <c r="P15">
        <f>IF(AND($B15&lt;&gt;"",$C15&lt;&gt;"Target state",$C15&lt;&gt;"Exception",$D15="High",$E15="Medium"),$A15&amp;"  "&amp;$B15,"")</f>
        <v/>
      </c>
      <c r="Q15">
        <f>IF(AND($B15&lt;&gt;"",$C15&lt;&gt;"Target state",$C15&lt;&gt;"Exception",$D15="High",$E15="High"),$A15&amp;"  "&amp;$B15,"")</f>
        <v/>
      </c>
      <c r="R15">
        <f>IF(AND($B15&lt;&gt;"",$C15&lt;&gt;"Target state",$C15&lt;&gt;"Exception",$D15="Medium",$E15="Low"),$A15&amp;"  "&amp;$B15,"")</f>
        <v/>
      </c>
      <c r="S15">
        <f>IF(AND($B15&lt;&gt;"",$C15&lt;&gt;"Target state",$C15&lt;&gt;"Exception",$D15="Medium",$E15="Medium"),$A15&amp;"  "&amp;$B15,"")</f>
        <v/>
      </c>
      <c r="T15">
        <f>IF(AND($B15&lt;&gt;"",$C15&lt;&gt;"Target state",$C15&lt;&gt;"Exception",$D15="Medium",$E15="High"),$A15&amp;"  "&amp;$B15,"")</f>
        <v/>
      </c>
      <c r="U15">
        <f>IF(AND($B15&lt;&gt;"",$C15&lt;&gt;"Target state",$C15&lt;&gt;"Exception",$D15="Low",$E15="Low"),$A15&amp;"  "&amp;$B15,"")</f>
        <v/>
      </c>
      <c r="V15">
        <f>IF(AND($B15&lt;&gt;"",$C15&lt;&gt;"Target state",$C15&lt;&gt;"Exception",$D15="Low",$E15="Medium"),$A15&amp;"  "&amp;$B15,"")</f>
        <v/>
      </c>
      <c r="W15">
        <f>IF(AND($B15&lt;&gt;"",$C15&lt;&gt;"Target state",$C15&lt;&gt;"Exception",$D15="Low",$E15="High"),$A15&amp;"  "&amp;$B15,"")</f>
        <v/>
      </c>
    </row>
    <row r="16" ht="30" customHeight="1" s="52">
      <c r="A16" s="93" t="inlineStr">
        <is>
          <t>⑧</t>
        </is>
      </c>
      <c r="B16" s="94" t="inlineStr">
        <is>
          <t>HeartSIP</t>
        </is>
      </c>
      <c r="C16" s="73" t="inlineStr">
        <is>
          <t>Non-target state</t>
        </is>
      </c>
      <c r="D16" s="73" t="n"/>
      <c r="E16" s="73" t="n"/>
      <c r="F16" s="72" t="inlineStr">
        <is>
          <t>US terminal payment application on Ingenico across about 8K MIDs and roughly $13B processed; on the decommission path</t>
        </is>
      </c>
      <c r="G16" s="95">
        <f>IF(OR($B16="",$D16="",$E16=""),"",IF(OR($C16="Target state",$C16="Exception"),"Out of scope",IF($D16="Low","No tranche",IF($E16="Low","Tranche 1",IF($E16="Medium","Tranche 2",IF($D16="High","Tranche 3","No tranche"))))))</f>
        <v/>
      </c>
      <c r="K16" s="101" t="n"/>
      <c r="L16" s="101" t="n"/>
      <c r="M16" s="101" t="n"/>
      <c r="O16">
        <f>IF(AND($B16&lt;&gt;"",$C16&lt;&gt;"Target state",$C16&lt;&gt;"Exception",$D16="High",$E16="Low"),$A16&amp;"  "&amp;$B16,"")</f>
        <v/>
      </c>
      <c r="P16">
        <f>IF(AND($B16&lt;&gt;"",$C16&lt;&gt;"Target state",$C16&lt;&gt;"Exception",$D16="High",$E16="Medium"),$A16&amp;"  "&amp;$B16,"")</f>
        <v/>
      </c>
      <c r="Q16">
        <f>IF(AND($B16&lt;&gt;"",$C16&lt;&gt;"Target state",$C16&lt;&gt;"Exception",$D16="High",$E16="High"),$A16&amp;"  "&amp;$B16,"")</f>
        <v/>
      </c>
      <c r="R16">
        <f>IF(AND($B16&lt;&gt;"",$C16&lt;&gt;"Target state",$C16&lt;&gt;"Exception",$D16="Medium",$E16="Low"),$A16&amp;"  "&amp;$B16,"")</f>
        <v/>
      </c>
      <c r="S16">
        <f>IF(AND($B16&lt;&gt;"",$C16&lt;&gt;"Target state",$C16&lt;&gt;"Exception",$D16="Medium",$E16="Medium"),$A16&amp;"  "&amp;$B16,"")</f>
        <v/>
      </c>
      <c r="T16">
        <f>IF(AND($B16&lt;&gt;"",$C16&lt;&gt;"Target state",$C16&lt;&gt;"Exception",$D16="Medium",$E16="High"),$A16&amp;"  "&amp;$B16,"")</f>
        <v/>
      </c>
      <c r="U16">
        <f>IF(AND($B16&lt;&gt;"",$C16&lt;&gt;"Target state",$C16&lt;&gt;"Exception",$D16="Low",$E16="Low"),$A16&amp;"  "&amp;$B16,"")</f>
        <v/>
      </c>
      <c r="V16">
        <f>IF(AND($B16&lt;&gt;"",$C16&lt;&gt;"Target state",$C16&lt;&gt;"Exception",$D16="Low",$E16="Medium"),$A16&amp;"  "&amp;$B16,"")</f>
        <v/>
      </c>
      <c r="W16">
        <f>IF(AND($B16&lt;&gt;"",$C16&lt;&gt;"Target state",$C16&lt;&gt;"Exception",$D16="Low",$E16="High"),$A16&amp;"  "&amp;$B16,"")</f>
        <v/>
      </c>
    </row>
    <row r="17" ht="30" customHeight="1" s="52">
      <c r="A17" s="93" t="inlineStr">
        <is>
          <t>⑨</t>
        </is>
      </c>
      <c r="B17" s="94" t="inlineStr">
        <is>
          <t>ConApp</t>
        </is>
      </c>
      <c r="C17" s="73" t="inlineStr">
        <is>
          <t>Non-target state</t>
        </is>
      </c>
      <c r="D17" s="73" t="n"/>
      <c r="E17" s="73" t="n"/>
      <c r="F17" s="72" t="inlineStr">
        <is>
          <t>Terminal payment application for petro and parking with about 5.3K terminals; a new Android version exists</t>
        </is>
      </c>
      <c r="G17" s="95">
        <f>IF(OR($B17="",$D17="",$E17=""),"",IF(OR($C17="Target state",$C17="Exception"),"Out of scope",IF($D17="Low","No tranche",IF($E17="Low","Tranche 1",IF($E17="Medium","Tranche 2",IF($D17="High","Tranche 3","No tranche"))))))</f>
        <v/>
      </c>
      <c r="K17" s="102" t="n"/>
      <c r="L17" s="102" t="n"/>
      <c r="M17" s="102" t="n"/>
      <c r="O17">
        <f>IF(AND($B17&lt;&gt;"",$C17&lt;&gt;"Target state",$C17&lt;&gt;"Exception",$D17="High",$E17="Low"),$A17&amp;"  "&amp;$B17,"")</f>
        <v/>
      </c>
      <c r="P17">
        <f>IF(AND($B17&lt;&gt;"",$C17&lt;&gt;"Target state",$C17&lt;&gt;"Exception",$D17="High",$E17="Medium"),$A17&amp;"  "&amp;$B17,"")</f>
        <v/>
      </c>
      <c r="Q17">
        <f>IF(AND($B17&lt;&gt;"",$C17&lt;&gt;"Target state",$C17&lt;&gt;"Exception",$D17="High",$E17="High"),$A17&amp;"  "&amp;$B17,"")</f>
        <v/>
      </c>
      <c r="R17">
        <f>IF(AND($B17&lt;&gt;"",$C17&lt;&gt;"Target state",$C17&lt;&gt;"Exception",$D17="Medium",$E17="Low"),$A17&amp;"  "&amp;$B17,"")</f>
        <v/>
      </c>
      <c r="S17">
        <f>IF(AND($B17&lt;&gt;"",$C17&lt;&gt;"Target state",$C17&lt;&gt;"Exception",$D17="Medium",$E17="Medium"),$A17&amp;"  "&amp;$B17,"")</f>
        <v/>
      </c>
      <c r="T17">
        <f>IF(AND($B17&lt;&gt;"",$C17&lt;&gt;"Target state",$C17&lt;&gt;"Exception",$D17="Medium",$E17="High"),$A17&amp;"  "&amp;$B17,"")</f>
        <v/>
      </c>
      <c r="U17">
        <f>IF(AND($B17&lt;&gt;"",$C17&lt;&gt;"Target state",$C17&lt;&gt;"Exception",$D17="Low",$E17="Low"),$A17&amp;"  "&amp;$B17,"")</f>
        <v/>
      </c>
      <c r="V17">
        <f>IF(AND($B17&lt;&gt;"",$C17&lt;&gt;"Target state",$C17&lt;&gt;"Exception",$D17="Low",$E17="Medium"),$A17&amp;"  "&amp;$B17,"")</f>
        <v/>
      </c>
      <c r="W17">
        <f>IF(AND($B17&lt;&gt;"",$C17&lt;&gt;"Target state",$C17&lt;&gt;"Exception",$D17="Low",$E17="High"),$A17&amp;"  "&amp;$B17,"")</f>
        <v/>
      </c>
    </row>
    <row r="18" ht="30" customHeight="1" s="52">
      <c r="A18" s="93" t="inlineStr">
        <is>
          <t>⑩</t>
        </is>
      </c>
      <c r="B18" s="94" t="inlineStr">
        <is>
          <t>FLEX (Canada terminal app)</t>
        </is>
      </c>
      <c r="C18" s="73" t="inlineStr">
        <is>
          <t>Non-target state</t>
        </is>
      </c>
      <c r="D18" s="73" t="n"/>
      <c r="E18" s="73" t="n"/>
      <c r="F18" s="72" t="inlineStr">
        <is>
          <t>Semi-integrated Ingenico Tetra payment application with about 8K active terminals and $0.5B processed; migration path agreed</t>
        </is>
      </c>
      <c r="G18" s="95">
        <f>IF(OR($B18="",$D18="",$E18=""),"",IF(OR($C18="Target state",$C18="Exception"),"Out of scope",IF($D18="Low","No tranche",IF($E18="Low","Tranche 1",IF($E18="Medium","Tranche 2",IF($D18="High","Tranche 3","No tranche"))))))</f>
        <v/>
      </c>
      <c r="J18" s="97" t="inlineStr">
        <is>
          <t>Medium</t>
        </is>
      </c>
      <c r="K18" s="98">
        <f>"Tranche 1"&amp;CHAR(10)&amp;_xlfn.TEXTJOIN(CHAR(10),TRUE,R$9:R$33)</f>
        <v/>
      </c>
      <c r="L18" s="99">
        <f>"Tranche 2"&amp;CHAR(10)&amp;_xlfn.TEXTJOIN(CHAR(10),TRUE,S$9:S$33)</f>
        <v/>
      </c>
      <c r="M18" s="103">
        <f>_xlfn.TEXTJOIN(CHAR(10),TRUE,T$9:T$33)</f>
        <v/>
      </c>
      <c r="O18">
        <f>IF(AND($B18&lt;&gt;"",$C18&lt;&gt;"Target state",$C18&lt;&gt;"Exception",$D18="High",$E18="Low"),$A18&amp;"  "&amp;$B18,"")</f>
        <v/>
      </c>
      <c r="P18">
        <f>IF(AND($B18&lt;&gt;"",$C18&lt;&gt;"Target state",$C18&lt;&gt;"Exception",$D18="High",$E18="Medium"),$A18&amp;"  "&amp;$B18,"")</f>
        <v/>
      </c>
      <c r="Q18">
        <f>IF(AND($B18&lt;&gt;"",$C18&lt;&gt;"Target state",$C18&lt;&gt;"Exception",$D18="High",$E18="High"),$A18&amp;"  "&amp;$B18,"")</f>
        <v/>
      </c>
      <c r="R18">
        <f>IF(AND($B18&lt;&gt;"",$C18&lt;&gt;"Target state",$C18&lt;&gt;"Exception",$D18="Medium",$E18="Low"),$A18&amp;"  "&amp;$B18,"")</f>
        <v/>
      </c>
      <c r="S18">
        <f>IF(AND($B18&lt;&gt;"",$C18&lt;&gt;"Target state",$C18&lt;&gt;"Exception",$D18="Medium",$E18="Medium"),$A18&amp;"  "&amp;$B18,"")</f>
        <v/>
      </c>
      <c r="T18">
        <f>IF(AND($B18&lt;&gt;"",$C18&lt;&gt;"Target state",$C18&lt;&gt;"Exception",$D18="Medium",$E18="High"),$A18&amp;"  "&amp;$B18,"")</f>
        <v/>
      </c>
      <c r="U18">
        <f>IF(AND($B18&lt;&gt;"",$C18&lt;&gt;"Target state",$C18&lt;&gt;"Exception",$D18="Low",$E18="Low"),$A18&amp;"  "&amp;$B18,"")</f>
        <v/>
      </c>
      <c r="V18">
        <f>IF(AND($B18&lt;&gt;"",$C18&lt;&gt;"Target state",$C18&lt;&gt;"Exception",$D18="Low",$E18="Medium"),$A18&amp;"  "&amp;$B18,"")</f>
        <v/>
      </c>
      <c r="W18">
        <f>IF(AND($B18&lt;&gt;"",$C18&lt;&gt;"Target state",$C18&lt;&gt;"Exception",$D18="Low",$E18="High"),$A18&amp;"  "&amp;$B18,"")</f>
        <v/>
      </c>
    </row>
    <row r="19" ht="30" customHeight="1" s="52">
      <c r="A19" s="93" t="inlineStr">
        <is>
          <t>⑪</t>
        </is>
      </c>
      <c r="B19" s="94" t="inlineStr">
        <is>
          <t>Apriva MPOS - US</t>
        </is>
      </c>
      <c r="C19" s="73" t="inlineStr">
        <is>
          <t>Non-target state</t>
        </is>
      </c>
      <c r="D19" s="73" t="n"/>
      <c r="E19" s="73" t="n"/>
      <c r="F19" s="72" t="inlineStr">
        <is>
          <t>Mobile POS suite for micro merchants; never had a platform home per the repository</t>
        </is>
      </c>
      <c r="G19" s="95">
        <f>IF(OR($B19="",$D19="",$E19=""),"",IF(OR($C19="Target state",$C19="Exception"),"Out of scope",IF($D19="Low","No tranche",IF($E19="Low","Tranche 1",IF($E19="Medium","Tranche 2",IF($D19="High","Tranche 3","No tranche"))))))</f>
        <v/>
      </c>
      <c r="K19" s="101" t="n"/>
      <c r="L19" s="101" t="n"/>
      <c r="M19" s="101" t="n"/>
      <c r="O19">
        <f>IF(AND($B19&lt;&gt;"",$C19&lt;&gt;"Target state",$C19&lt;&gt;"Exception",$D19="High",$E19="Low"),$A19&amp;"  "&amp;$B19,"")</f>
        <v/>
      </c>
      <c r="P19">
        <f>IF(AND($B19&lt;&gt;"",$C19&lt;&gt;"Target state",$C19&lt;&gt;"Exception",$D19="High",$E19="Medium"),$A19&amp;"  "&amp;$B19,"")</f>
        <v/>
      </c>
      <c r="Q19">
        <f>IF(AND($B19&lt;&gt;"",$C19&lt;&gt;"Target state",$C19&lt;&gt;"Exception",$D19="High",$E19="High"),$A19&amp;"  "&amp;$B19,"")</f>
        <v/>
      </c>
      <c r="R19">
        <f>IF(AND($B19&lt;&gt;"",$C19&lt;&gt;"Target state",$C19&lt;&gt;"Exception",$D19="Medium",$E19="Low"),$A19&amp;"  "&amp;$B19,"")</f>
        <v/>
      </c>
      <c r="S19">
        <f>IF(AND($B19&lt;&gt;"",$C19&lt;&gt;"Target state",$C19&lt;&gt;"Exception",$D19="Medium",$E19="Medium"),$A19&amp;"  "&amp;$B19,"")</f>
        <v/>
      </c>
      <c r="T19">
        <f>IF(AND($B19&lt;&gt;"",$C19&lt;&gt;"Target state",$C19&lt;&gt;"Exception",$D19="Medium",$E19="High"),$A19&amp;"  "&amp;$B19,"")</f>
        <v/>
      </c>
      <c r="U19">
        <f>IF(AND($B19&lt;&gt;"",$C19&lt;&gt;"Target state",$C19&lt;&gt;"Exception",$D19="Low",$E19="Low"),$A19&amp;"  "&amp;$B19,"")</f>
        <v/>
      </c>
      <c r="V19">
        <f>IF(AND($B19&lt;&gt;"",$C19&lt;&gt;"Target state",$C19&lt;&gt;"Exception",$D19="Low",$E19="Medium"),$A19&amp;"  "&amp;$B19,"")</f>
        <v/>
      </c>
      <c r="W19">
        <f>IF(AND($B19&lt;&gt;"",$C19&lt;&gt;"Target state",$C19&lt;&gt;"Exception",$D19="Low",$E19="High"),$A19&amp;"  "&amp;$B19,"")</f>
        <v/>
      </c>
    </row>
    <row r="20" ht="30" customHeight="1" s="52">
      <c r="A20" s="93" t="inlineStr">
        <is>
          <t>⑫</t>
        </is>
      </c>
      <c r="B20" s="94" t="inlineStr">
        <is>
          <t>Mobile Inventory App (MIA)</t>
        </is>
      </c>
      <c r="C20" s="73" t="inlineStr">
        <is>
          <t>Non-target state</t>
        </is>
      </c>
      <c r="D20" s="73" t="n"/>
      <c r="E20" s="73" t="n"/>
      <c r="F20" s="72" t="inlineStr">
        <is>
          <t>Heartland mobile inventory companion for Cash Register Express; sustain in KTLO per the repository</t>
        </is>
      </c>
      <c r="G20" s="95">
        <f>IF(OR($B20="",$D20="",$E20=""),"",IF(OR($C20="Target state",$C20="Exception"),"Out of scope",IF($D20="Low","No tranche",IF($E20="Low","Tranche 1",IF($E20="Medium","Tranche 2",IF($D20="High","Tranche 3","No tranche"))))))</f>
        <v/>
      </c>
      <c r="K20" s="101" t="n"/>
      <c r="L20" s="101" t="n"/>
      <c r="M20" s="101" t="n"/>
      <c r="O20">
        <f>IF(AND($B20&lt;&gt;"",$C20&lt;&gt;"Target state",$C20&lt;&gt;"Exception",$D20="High",$E20="Low"),$A20&amp;"  "&amp;$B20,"")</f>
        <v/>
      </c>
      <c r="P20">
        <f>IF(AND($B20&lt;&gt;"",$C20&lt;&gt;"Target state",$C20&lt;&gt;"Exception",$D20="High",$E20="Medium"),$A20&amp;"  "&amp;$B20,"")</f>
        <v/>
      </c>
      <c r="Q20">
        <f>IF(AND($B20&lt;&gt;"",$C20&lt;&gt;"Target state",$C20&lt;&gt;"Exception",$D20="High",$E20="High"),$A20&amp;"  "&amp;$B20,"")</f>
        <v/>
      </c>
      <c r="R20">
        <f>IF(AND($B20&lt;&gt;"",$C20&lt;&gt;"Target state",$C20&lt;&gt;"Exception",$D20="Medium",$E20="Low"),$A20&amp;"  "&amp;$B20,"")</f>
        <v/>
      </c>
      <c r="S20">
        <f>IF(AND($B20&lt;&gt;"",$C20&lt;&gt;"Target state",$C20&lt;&gt;"Exception",$D20="Medium",$E20="Medium"),$A20&amp;"  "&amp;$B20,"")</f>
        <v/>
      </c>
      <c r="T20">
        <f>IF(AND($B20&lt;&gt;"",$C20&lt;&gt;"Target state",$C20&lt;&gt;"Exception",$D20="Medium",$E20="High"),$A20&amp;"  "&amp;$B20,"")</f>
        <v/>
      </c>
      <c r="U20">
        <f>IF(AND($B20&lt;&gt;"",$C20&lt;&gt;"Target state",$C20&lt;&gt;"Exception",$D20="Low",$E20="Low"),$A20&amp;"  "&amp;$B20,"")</f>
        <v/>
      </c>
      <c r="V20">
        <f>IF(AND($B20&lt;&gt;"",$C20&lt;&gt;"Target state",$C20&lt;&gt;"Exception",$D20="Low",$E20="Medium"),$A20&amp;"  "&amp;$B20,"")</f>
        <v/>
      </c>
      <c r="W20">
        <f>IF(AND($B20&lt;&gt;"",$C20&lt;&gt;"Target state",$C20&lt;&gt;"Exception",$D20="Low",$E20="High"),$A20&amp;"  "&amp;$B20,"")</f>
        <v/>
      </c>
    </row>
    <row r="21" ht="30" customHeight="1" s="52">
      <c r="A21" s="93" t="inlineStr">
        <is>
          <t>⑬</t>
        </is>
      </c>
      <c r="B21" s="94" t="inlineStr">
        <is>
          <t>Heartland Mobile Manager (HMM)</t>
        </is>
      </c>
      <c r="C21" s="73" t="inlineStr">
        <is>
          <t>Non-target state</t>
        </is>
      </c>
      <c r="D21" s="73" t="n"/>
      <c r="E21" s="73" t="n"/>
      <c r="F21" s="72" t="inlineStr">
        <is>
          <t>POS-agnostic mobile monitoring app for Heartland Restaurant and CRE; around $430K in yearly cost; sustain in KTLO per the repository</t>
        </is>
      </c>
      <c r="G21" s="95">
        <f>IF(OR($B21="",$D21="",$E21=""),"",IF(OR($C21="Target state",$C21="Exception"),"Out of scope",IF($D21="Low","No tranche",IF($E21="Low","Tranche 1",IF($E21="Medium","Tranche 2",IF($D21="High","Tranche 3","No tranche"))))))</f>
        <v/>
      </c>
      <c r="K21" s="101" t="n"/>
      <c r="L21" s="101" t="n"/>
      <c r="M21" s="101" t="n"/>
      <c r="O21">
        <f>IF(AND($B21&lt;&gt;"",$C21&lt;&gt;"Target state",$C21&lt;&gt;"Exception",$D21="High",$E21="Low"),$A21&amp;"  "&amp;$B21,"")</f>
        <v/>
      </c>
      <c r="P21">
        <f>IF(AND($B21&lt;&gt;"",$C21&lt;&gt;"Target state",$C21&lt;&gt;"Exception",$D21="High",$E21="Medium"),$A21&amp;"  "&amp;$B21,"")</f>
        <v/>
      </c>
      <c r="Q21">
        <f>IF(AND($B21&lt;&gt;"",$C21&lt;&gt;"Target state",$C21&lt;&gt;"Exception",$D21="High",$E21="High"),$A21&amp;"  "&amp;$B21,"")</f>
        <v/>
      </c>
      <c r="R21">
        <f>IF(AND($B21&lt;&gt;"",$C21&lt;&gt;"Target state",$C21&lt;&gt;"Exception",$D21="Medium",$E21="Low"),$A21&amp;"  "&amp;$B21,"")</f>
        <v/>
      </c>
      <c r="S21">
        <f>IF(AND($B21&lt;&gt;"",$C21&lt;&gt;"Target state",$C21&lt;&gt;"Exception",$D21="Medium",$E21="Medium"),$A21&amp;"  "&amp;$B21,"")</f>
        <v/>
      </c>
      <c r="T21">
        <f>IF(AND($B21&lt;&gt;"",$C21&lt;&gt;"Target state",$C21&lt;&gt;"Exception",$D21="Medium",$E21="High"),$A21&amp;"  "&amp;$B21,"")</f>
        <v/>
      </c>
      <c r="U21">
        <f>IF(AND($B21&lt;&gt;"",$C21&lt;&gt;"Target state",$C21&lt;&gt;"Exception",$D21="Low",$E21="Low"),$A21&amp;"  "&amp;$B21,"")</f>
        <v/>
      </c>
      <c r="V21">
        <f>IF(AND($B21&lt;&gt;"",$C21&lt;&gt;"Target state",$C21&lt;&gt;"Exception",$D21="Low",$E21="Medium"),$A21&amp;"  "&amp;$B21,"")</f>
        <v/>
      </c>
      <c r="W21">
        <f>IF(AND($B21&lt;&gt;"",$C21&lt;&gt;"Target state",$C21&lt;&gt;"Exception",$D21="Low",$E21="High"),$A21&amp;"  "&amp;$B21,"")</f>
        <v/>
      </c>
    </row>
    <row r="22" ht="30" customHeight="1" s="52">
      <c r="A22" s="93" t="inlineStr">
        <is>
          <t>⑭</t>
        </is>
      </c>
      <c r="B22" s="94" t="inlineStr">
        <is>
          <t>Diamond Cloud</t>
        </is>
      </c>
      <c r="C22" s="73" t="inlineStr">
        <is>
          <t>Non-target state</t>
        </is>
      </c>
      <c r="D22" s="73" t="n"/>
      <c r="E22" s="73" t="n"/>
      <c r="F22" s="72" t="inlineStr">
        <is>
          <t>Cloud and terminal client solution from EVO used in LATAM and EU; being demised under the QPR project</t>
        </is>
      </c>
      <c r="G22" s="95">
        <f>IF(OR($B22="",$D22="",$E22=""),"",IF(OR($C22="Target state",$C22="Exception"),"Out of scope",IF($D22="Low","No tranche",IF($E22="Low","Tranche 1",IF($E22="Medium","Tranche 2",IF($D22="High","Tranche 3","No tranche"))))))</f>
        <v/>
      </c>
      <c r="K22" s="101" t="n"/>
      <c r="L22" s="101" t="n"/>
      <c r="M22" s="101" t="n"/>
      <c r="O22">
        <f>IF(AND($B22&lt;&gt;"",$C22&lt;&gt;"Target state",$C22&lt;&gt;"Exception",$D22="High",$E22="Low"),$A22&amp;"  "&amp;$B22,"")</f>
        <v/>
      </c>
      <c r="P22">
        <f>IF(AND($B22&lt;&gt;"",$C22&lt;&gt;"Target state",$C22&lt;&gt;"Exception",$D22="High",$E22="Medium"),$A22&amp;"  "&amp;$B22,"")</f>
        <v/>
      </c>
      <c r="Q22">
        <f>IF(AND($B22&lt;&gt;"",$C22&lt;&gt;"Target state",$C22&lt;&gt;"Exception",$D22="High",$E22="High"),$A22&amp;"  "&amp;$B22,"")</f>
        <v/>
      </c>
      <c r="R22">
        <f>IF(AND($B22&lt;&gt;"",$C22&lt;&gt;"Target state",$C22&lt;&gt;"Exception",$D22="Medium",$E22="Low"),$A22&amp;"  "&amp;$B22,"")</f>
        <v/>
      </c>
      <c r="S22">
        <f>IF(AND($B22&lt;&gt;"",$C22&lt;&gt;"Target state",$C22&lt;&gt;"Exception",$D22="Medium",$E22="Medium"),$A22&amp;"  "&amp;$B22,"")</f>
        <v/>
      </c>
      <c r="T22">
        <f>IF(AND($B22&lt;&gt;"",$C22&lt;&gt;"Target state",$C22&lt;&gt;"Exception",$D22="Medium",$E22="High"),$A22&amp;"  "&amp;$B22,"")</f>
        <v/>
      </c>
      <c r="U22">
        <f>IF(AND($B22&lt;&gt;"",$C22&lt;&gt;"Target state",$C22&lt;&gt;"Exception",$D22="Low",$E22="Low"),$A22&amp;"  "&amp;$B22,"")</f>
        <v/>
      </c>
      <c r="V22">
        <f>IF(AND($B22&lt;&gt;"",$C22&lt;&gt;"Target state",$C22&lt;&gt;"Exception",$D22="Low",$E22="Medium"),$A22&amp;"  "&amp;$B22,"")</f>
        <v/>
      </c>
      <c r="W22">
        <f>IF(AND($B22&lt;&gt;"",$C22&lt;&gt;"Target state",$C22&lt;&gt;"Exception",$D22="Low",$E22="High"),$A22&amp;"  "&amp;$B22,"")</f>
        <v/>
      </c>
    </row>
    <row r="23" ht="30" customHeight="1" s="52">
      <c r="A23" s="93" t="inlineStr">
        <is>
          <t>⑮</t>
        </is>
      </c>
      <c r="B23" s="94" t="inlineStr">
        <is>
          <t>Takepayments TP+</t>
        </is>
      </c>
      <c r="C23" s="73" t="inlineStr">
        <is>
          <t>Non-target state</t>
        </is>
      </c>
      <c r="D23" s="73" t="n"/>
      <c r="E23" s="73" t="n"/>
      <c r="F23" s="72" t="inlineStr">
        <is>
          <t>Terminal+ competitor in the UK boarding about 1.9K MIDs a month; needs fulfillment and tiered support solved before moving to Terminal+</t>
        </is>
      </c>
      <c r="G23" s="95">
        <f>IF(OR($B23="",$D23="",$E23=""),"",IF(OR($C23="Target state",$C23="Exception"),"Out of scope",IF($D23="Low","No tranche",IF($E23="Low","Tranche 1",IF($E23="Medium","Tranche 2",IF($D23="High","Tranche 3","No tranche"))))))</f>
        <v/>
      </c>
      <c r="K23" s="101" t="n"/>
      <c r="L23" s="101" t="n"/>
      <c r="M23" s="101" t="n"/>
      <c r="O23">
        <f>IF(AND($B23&lt;&gt;"",$C23&lt;&gt;"Target state",$C23&lt;&gt;"Exception",$D23="High",$E23="Low"),$A23&amp;"  "&amp;$B23,"")</f>
        <v/>
      </c>
      <c r="P23">
        <f>IF(AND($B23&lt;&gt;"",$C23&lt;&gt;"Target state",$C23&lt;&gt;"Exception",$D23="High",$E23="Medium"),$A23&amp;"  "&amp;$B23,"")</f>
        <v/>
      </c>
      <c r="Q23">
        <f>IF(AND($B23&lt;&gt;"",$C23&lt;&gt;"Target state",$C23&lt;&gt;"Exception",$D23="High",$E23="High"),$A23&amp;"  "&amp;$B23,"")</f>
        <v/>
      </c>
      <c r="R23">
        <f>IF(AND($B23&lt;&gt;"",$C23&lt;&gt;"Target state",$C23&lt;&gt;"Exception",$D23="Medium",$E23="Low"),$A23&amp;"  "&amp;$B23,"")</f>
        <v/>
      </c>
      <c r="S23">
        <f>IF(AND($B23&lt;&gt;"",$C23&lt;&gt;"Target state",$C23&lt;&gt;"Exception",$D23="Medium",$E23="Medium"),$A23&amp;"  "&amp;$B23,"")</f>
        <v/>
      </c>
      <c r="T23">
        <f>IF(AND($B23&lt;&gt;"",$C23&lt;&gt;"Target state",$C23&lt;&gt;"Exception",$D23="Medium",$E23="High"),$A23&amp;"  "&amp;$B23,"")</f>
        <v/>
      </c>
      <c r="U23">
        <f>IF(AND($B23&lt;&gt;"",$C23&lt;&gt;"Target state",$C23&lt;&gt;"Exception",$D23="Low",$E23="Low"),$A23&amp;"  "&amp;$B23,"")</f>
        <v/>
      </c>
      <c r="V23">
        <f>IF(AND($B23&lt;&gt;"",$C23&lt;&gt;"Target state",$C23&lt;&gt;"Exception",$D23="Low",$E23="Medium"),$A23&amp;"  "&amp;$B23,"")</f>
        <v/>
      </c>
      <c r="W23">
        <f>IF(AND($B23&lt;&gt;"",$C23&lt;&gt;"Target state",$C23&lt;&gt;"Exception",$D23="Low",$E23="High"),$A23&amp;"  "&amp;$B23,"")</f>
        <v/>
      </c>
    </row>
    <row r="24" ht="30" customHeight="1" s="52">
      <c r="A24" s="93" t="inlineStr">
        <is>
          <t>⑯</t>
        </is>
      </c>
      <c r="B24" s="94" t="inlineStr">
        <is>
          <t>SmartPay</t>
        </is>
      </c>
      <c r="C24" s="73" t="inlineStr">
        <is>
          <t>Non-target state</t>
        </is>
      </c>
      <c r="D24" s="73" t="n"/>
      <c r="E24" s="73" t="n"/>
      <c r="F24" s="72" t="inlineStr">
        <is>
          <t>Resold integrated and standalone terminals for Ezidebit; about 1.2M transactions and $127M processed; to be migrated to Quest</t>
        </is>
      </c>
      <c r="G24" s="95">
        <f>IF(OR($B24="",$D24="",$E24=""),"",IF(OR($C24="Target state",$C24="Exception"),"Out of scope",IF($D24="Low","No tranche",IF($E24="Low","Tranche 1",IF($E24="Medium","Tranche 2",IF($D24="High","Tranche 3","No tranche"))))))</f>
        <v/>
      </c>
      <c r="K24" s="101" t="n"/>
      <c r="L24" s="101" t="n"/>
      <c r="M24" s="101" t="n"/>
      <c r="O24">
        <f>IF(AND($B24&lt;&gt;"",$C24&lt;&gt;"Target state",$C24&lt;&gt;"Exception",$D24="High",$E24="Low"),$A24&amp;"  "&amp;$B24,"")</f>
        <v/>
      </c>
      <c r="P24">
        <f>IF(AND($B24&lt;&gt;"",$C24&lt;&gt;"Target state",$C24&lt;&gt;"Exception",$D24="High",$E24="Medium"),$A24&amp;"  "&amp;$B24,"")</f>
        <v/>
      </c>
      <c r="Q24">
        <f>IF(AND($B24&lt;&gt;"",$C24&lt;&gt;"Target state",$C24&lt;&gt;"Exception",$D24="High",$E24="High"),$A24&amp;"  "&amp;$B24,"")</f>
        <v/>
      </c>
      <c r="R24">
        <f>IF(AND($B24&lt;&gt;"",$C24&lt;&gt;"Target state",$C24&lt;&gt;"Exception",$D24="Medium",$E24="Low"),$A24&amp;"  "&amp;$B24,"")</f>
        <v/>
      </c>
      <c r="S24">
        <f>IF(AND($B24&lt;&gt;"",$C24&lt;&gt;"Target state",$C24&lt;&gt;"Exception",$D24="Medium",$E24="Medium"),$A24&amp;"  "&amp;$B24,"")</f>
        <v/>
      </c>
      <c r="T24">
        <f>IF(AND($B24&lt;&gt;"",$C24&lt;&gt;"Target state",$C24&lt;&gt;"Exception",$D24="Medium",$E24="High"),$A24&amp;"  "&amp;$B24,"")</f>
        <v/>
      </c>
      <c r="U24">
        <f>IF(AND($B24&lt;&gt;"",$C24&lt;&gt;"Target state",$C24&lt;&gt;"Exception",$D24="Low",$E24="Low"),$A24&amp;"  "&amp;$B24,"")</f>
        <v/>
      </c>
      <c r="V24">
        <f>IF(AND($B24&lt;&gt;"",$C24&lt;&gt;"Target state",$C24&lt;&gt;"Exception",$D24="Low",$E24="Medium"),$A24&amp;"  "&amp;$B24,"")</f>
        <v/>
      </c>
      <c r="W24">
        <f>IF(AND($B24&lt;&gt;"",$C24&lt;&gt;"Target state",$C24&lt;&gt;"Exception",$D24="Low",$E24="High"),$A24&amp;"  "&amp;$B24,"")</f>
        <v/>
      </c>
    </row>
    <row r="25" ht="30" customHeight="1" s="52">
      <c r="A25" s="93" t="inlineStr">
        <is>
          <t>⑰</t>
        </is>
      </c>
      <c r="B25" s="94" t="inlineStr">
        <is>
          <t>Redsys (terminal app)</t>
        </is>
      </c>
      <c r="C25" s="73" t="inlineStr">
        <is>
          <t>Non-target state</t>
        </is>
      </c>
      <c r="D25" s="73" t="n"/>
      <c r="E25" s="73" t="n"/>
      <c r="F25" s="72" t="inlineStr">
        <is>
          <t>Payment application on Comercia legacy terminals; being demised in favour of MiTPV and Comercia 2.0</t>
        </is>
      </c>
      <c r="G25" s="95">
        <f>IF(OR($B25="",$D25="",$E25=""),"",IF(OR($C25="Target state",$C25="Exception"),"Out of scope",IF($D25="Low","No tranche",IF($E25="Low","Tranche 1",IF($E25="Medium","Tranche 2",IF($D25="High","Tranche 3","No tranche"))))))</f>
        <v/>
      </c>
      <c r="K25" s="102" t="n"/>
      <c r="L25" s="102" t="n"/>
      <c r="M25" s="102" t="n"/>
      <c r="O25">
        <f>IF(AND($B25&lt;&gt;"",$C25&lt;&gt;"Target state",$C25&lt;&gt;"Exception",$D25="High",$E25="Low"),$A25&amp;"  "&amp;$B25,"")</f>
        <v/>
      </c>
      <c r="P25">
        <f>IF(AND($B25&lt;&gt;"",$C25&lt;&gt;"Target state",$C25&lt;&gt;"Exception",$D25="High",$E25="Medium"),$A25&amp;"  "&amp;$B25,"")</f>
        <v/>
      </c>
      <c r="Q25">
        <f>IF(AND($B25&lt;&gt;"",$C25&lt;&gt;"Target state",$C25&lt;&gt;"Exception",$D25="High",$E25="High"),$A25&amp;"  "&amp;$B25,"")</f>
        <v/>
      </c>
      <c r="R25">
        <f>IF(AND($B25&lt;&gt;"",$C25&lt;&gt;"Target state",$C25&lt;&gt;"Exception",$D25="Medium",$E25="Low"),$A25&amp;"  "&amp;$B25,"")</f>
        <v/>
      </c>
      <c r="S25">
        <f>IF(AND($B25&lt;&gt;"",$C25&lt;&gt;"Target state",$C25&lt;&gt;"Exception",$D25="Medium",$E25="Medium"),$A25&amp;"  "&amp;$B25,"")</f>
        <v/>
      </c>
      <c r="T25">
        <f>IF(AND($B25&lt;&gt;"",$C25&lt;&gt;"Target state",$C25&lt;&gt;"Exception",$D25="Medium",$E25="High"),$A25&amp;"  "&amp;$B25,"")</f>
        <v/>
      </c>
      <c r="U25">
        <f>IF(AND($B25&lt;&gt;"",$C25&lt;&gt;"Target state",$C25&lt;&gt;"Exception",$D25="Low",$E25="Low"),$A25&amp;"  "&amp;$B25,"")</f>
        <v/>
      </c>
      <c r="V25">
        <f>IF(AND($B25&lt;&gt;"",$C25&lt;&gt;"Target state",$C25&lt;&gt;"Exception",$D25="Low",$E25="Medium"),$A25&amp;"  "&amp;$B25,"")</f>
        <v/>
      </c>
      <c r="W25">
        <f>IF(AND($B25&lt;&gt;"",$C25&lt;&gt;"Target state",$C25&lt;&gt;"Exception",$D25="Low",$E25="High"),$A25&amp;"  "&amp;$B25,"")</f>
        <v/>
      </c>
    </row>
    <row r="26" ht="30" customHeight="1" s="52">
      <c r="A26" s="93" t="inlineStr">
        <is>
          <t>⑱</t>
        </is>
      </c>
      <c r="B26" s="94" t="inlineStr">
        <is>
          <t>Softpos/Likepos</t>
        </is>
      </c>
      <c r="C26" s="73" t="inlineStr">
        <is>
          <t>Non-target state</t>
        </is>
      </c>
      <c r="D26" s="73" t="n"/>
      <c r="E26" s="73" t="n"/>
      <c r="F26" s="72" t="inlineStr">
        <is>
          <t>Android softPOS payment app with about 5K users; around $33K in yearly cost; on the decommission path</t>
        </is>
      </c>
      <c r="G26" s="95">
        <f>IF(OR($B26="",$D26="",$E26=""),"",IF(OR($C26="Target state",$C26="Exception"),"Out of scope",IF($D26="Low","No tranche",IF($E26="Low","Tranche 1",IF($E26="Medium","Tranche 2",IF($D26="High","Tranche 3","No tranche"))))))</f>
        <v/>
      </c>
      <c r="J26" s="97" t="inlineStr">
        <is>
          <t>Low</t>
        </is>
      </c>
      <c r="K26" s="103">
        <f>_xlfn.TEXTJOIN(CHAR(10),TRUE,U$9:U$33)</f>
        <v/>
      </c>
      <c r="L26" s="103">
        <f>_xlfn.TEXTJOIN(CHAR(10),TRUE,V$9:V$33)</f>
        <v/>
      </c>
      <c r="M26" s="103">
        <f>_xlfn.TEXTJOIN(CHAR(10),TRUE,W$9:W$33)</f>
        <v/>
      </c>
      <c r="O26">
        <f>IF(AND($B26&lt;&gt;"",$C26&lt;&gt;"Target state",$C26&lt;&gt;"Exception",$D26="High",$E26="Low"),$A26&amp;"  "&amp;$B26,"")</f>
        <v/>
      </c>
      <c r="P26">
        <f>IF(AND($B26&lt;&gt;"",$C26&lt;&gt;"Target state",$C26&lt;&gt;"Exception",$D26="High",$E26="Medium"),$A26&amp;"  "&amp;$B26,"")</f>
        <v/>
      </c>
      <c r="Q26">
        <f>IF(AND($B26&lt;&gt;"",$C26&lt;&gt;"Target state",$C26&lt;&gt;"Exception",$D26="High",$E26="High"),$A26&amp;"  "&amp;$B26,"")</f>
        <v/>
      </c>
      <c r="R26">
        <f>IF(AND($B26&lt;&gt;"",$C26&lt;&gt;"Target state",$C26&lt;&gt;"Exception",$D26="Medium",$E26="Low"),$A26&amp;"  "&amp;$B26,"")</f>
        <v/>
      </c>
      <c r="S26">
        <f>IF(AND($B26&lt;&gt;"",$C26&lt;&gt;"Target state",$C26&lt;&gt;"Exception",$D26="Medium",$E26="Medium"),$A26&amp;"  "&amp;$B26,"")</f>
        <v/>
      </c>
      <c r="T26">
        <f>IF(AND($B26&lt;&gt;"",$C26&lt;&gt;"Target state",$C26&lt;&gt;"Exception",$D26="Medium",$E26="High"),$A26&amp;"  "&amp;$B26,"")</f>
        <v/>
      </c>
      <c r="U26">
        <f>IF(AND($B26&lt;&gt;"",$C26&lt;&gt;"Target state",$C26&lt;&gt;"Exception",$D26="Low",$E26="Low"),$A26&amp;"  "&amp;$B26,"")</f>
        <v/>
      </c>
      <c r="V26">
        <f>IF(AND($B26&lt;&gt;"",$C26&lt;&gt;"Target state",$C26&lt;&gt;"Exception",$D26="Low",$E26="Medium"),$A26&amp;"  "&amp;$B26,"")</f>
        <v/>
      </c>
      <c r="W26">
        <f>IF(AND($B26&lt;&gt;"",$C26&lt;&gt;"Target state",$C26&lt;&gt;"Exception",$D26="Low",$E26="High"),$A26&amp;"  "&amp;$B26,"")</f>
        <v/>
      </c>
    </row>
    <row r="27" ht="30" customHeight="1" s="52">
      <c r="A27" s="93" t="inlineStr">
        <is>
          <t>⑲</t>
        </is>
      </c>
      <c r="B27" s="94" t="inlineStr">
        <is>
          <t>GPE Tap on Phone</t>
        </is>
      </c>
      <c r="C27" s="73" t="inlineStr">
        <is>
          <t>Non-target state</t>
        </is>
      </c>
      <c r="D27" s="73" t="n"/>
      <c r="E27" s="73" t="n"/>
      <c r="F27" s="72" t="inlineStr">
        <is>
          <t>Rubean-based softPOS solution for micro merchants and parcel delivery in CEE; on the decommission path</t>
        </is>
      </c>
      <c r="G27" s="95">
        <f>IF(OR($B27="",$D27="",$E27=""),"",IF(OR($C27="Target state",$C27="Exception"),"Out of scope",IF($D27="Low","No tranche",IF($E27="Low","Tranche 1",IF($E27="Medium","Tranche 2",IF($D27="High","Tranche 3","No tranche"))))))</f>
        <v/>
      </c>
      <c r="K27" s="101" t="n"/>
      <c r="L27" s="101" t="n"/>
      <c r="M27" s="101" t="n"/>
      <c r="O27">
        <f>IF(AND($B27&lt;&gt;"",$C27&lt;&gt;"Target state",$C27&lt;&gt;"Exception",$D27="High",$E27="Low"),$A27&amp;"  "&amp;$B27,"")</f>
        <v/>
      </c>
      <c r="P27">
        <f>IF(AND($B27&lt;&gt;"",$C27&lt;&gt;"Target state",$C27&lt;&gt;"Exception",$D27="High",$E27="Medium"),$A27&amp;"  "&amp;$B27,"")</f>
        <v/>
      </c>
      <c r="Q27">
        <f>IF(AND($B27&lt;&gt;"",$C27&lt;&gt;"Target state",$C27&lt;&gt;"Exception",$D27="High",$E27="High"),$A27&amp;"  "&amp;$B27,"")</f>
        <v/>
      </c>
      <c r="R27">
        <f>IF(AND($B27&lt;&gt;"",$C27&lt;&gt;"Target state",$C27&lt;&gt;"Exception",$D27="Medium",$E27="Low"),$A27&amp;"  "&amp;$B27,"")</f>
        <v/>
      </c>
      <c r="S27">
        <f>IF(AND($B27&lt;&gt;"",$C27&lt;&gt;"Target state",$C27&lt;&gt;"Exception",$D27="Medium",$E27="Medium"),$A27&amp;"  "&amp;$B27,"")</f>
        <v/>
      </c>
      <c r="T27">
        <f>IF(AND($B27&lt;&gt;"",$C27&lt;&gt;"Target state",$C27&lt;&gt;"Exception",$D27="Medium",$E27="High"),$A27&amp;"  "&amp;$B27,"")</f>
        <v/>
      </c>
      <c r="U27">
        <f>IF(AND($B27&lt;&gt;"",$C27&lt;&gt;"Target state",$C27&lt;&gt;"Exception",$D27="Low",$E27="Low"),$A27&amp;"  "&amp;$B27,"")</f>
        <v/>
      </c>
      <c r="V27">
        <f>IF(AND($B27&lt;&gt;"",$C27&lt;&gt;"Target state",$C27&lt;&gt;"Exception",$D27="Low",$E27="Medium"),$A27&amp;"  "&amp;$B27,"")</f>
        <v/>
      </c>
      <c r="W27">
        <f>IF(AND($B27&lt;&gt;"",$C27&lt;&gt;"Target state",$C27&lt;&gt;"Exception",$D27="Low",$E27="High"),$A27&amp;"  "&amp;$B27,"")</f>
        <v/>
      </c>
    </row>
    <row r="28" ht="30" customHeight="1" s="52">
      <c r="A28" s="93" t="inlineStr">
        <is>
          <t>⑳</t>
        </is>
      </c>
      <c r="B28" s="94" t="inlineStr">
        <is>
          <t>EDPS Android Terminals</t>
        </is>
      </c>
      <c r="C28" s="73" t="inlineStr">
        <is>
          <t>Non-target state</t>
        </is>
      </c>
      <c r="D28" s="73" t="n"/>
      <c r="E28" s="73" t="n"/>
      <c r="F28" s="72" t="inlineStr">
        <is>
          <t>Android POS terminals for the Greek market; metrics tracked under the EDPS gateway line</t>
        </is>
      </c>
      <c r="G28" s="95">
        <f>IF(OR($B28="",$D28="",$E28=""),"",IF(OR($C28="Target state",$C28="Exception"),"Out of scope",IF($D28="Low","No tranche",IF($E28="Low","Tranche 1",IF($E28="Medium","Tranche 2",IF($D28="High","Tranche 3","No tranche"))))))</f>
        <v/>
      </c>
      <c r="K28" s="101" t="n"/>
      <c r="L28" s="101" t="n"/>
      <c r="M28" s="101" t="n"/>
      <c r="O28">
        <f>IF(AND($B28&lt;&gt;"",$C28&lt;&gt;"Target state",$C28&lt;&gt;"Exception",$D28="High",$E28="Low"),$A28&amp;"  "&amp;$B28,"")</f>
        <v/>
      </c>
      <c r="P28">
        <f>IF(AND($B28&lt;&gt;"",$C28&lt;&gt;"Target state",$C28&lt;&gt;"Exception",$D28="High",$E28="Medium"),$A28&amp;"  "&amp;$B28,"")</f>
        <v/>
      </c>
      <c r="Q28">
        <f>IF(AND($B28&lt;&gt;"",$C28&lt;&gt;"Target state",$C28&lt;&gt;"Exception",$D28="High",$E28="High"),$A28&amp;"  "&amp;$B28,"")</f>
        <v/>
      </c>
      <c r="R28">
        <f>IF(AND($B28&lt;&gt;"",$C28&lt;&gt;"Target state",$C28&lt;&gt;"Exception",$D28="Medium",$E28="Low"),$A28&amp;"  "&amp;$B28,"")</f>
        <v/>
      </c>
      <c r="S28">
        <f>IF(AND($B28&lt;&gt;"",$C28&lt;&gt;"Target state",$C28&lt;&gt;"Exception",$D28="Medium",$E28="Medium"),$A28&amp;"  "&amp;$B28,"")</f>
        <v/>
      </c>
      <c r="T28">
        <f>IF(AND($B28&lt;&gt;"",$C28&lt;&gt;"Target state",$C28&lt;&gt;"Exception",$D28="Medium",$E28="High"),$A28&amp;"  "&amp;$B28,"")</f>
        <v/>
      </c>
      <c r="U28">
        <f>IF(AND($B28&lt;&gt;"",$C28&lt;&gt;"Target state",$C28&lt;&gt;"Exception",$D28="Low",$E28="Low"),$A28&amp;"  "&amp;$B28,"")</f>
        <v/>
      </c>
      <c r="V28">
        <f>IF(AND($B28&lt;&gt;"",$C28&lt;&gt;"Target state",$C28&lt;&gt;"Exception",$D28="Low",$E28="Medium"),$A28&amp;"  "&amp;$B28,"")</f>
        <v/>
      </c>
      <c r="W28">
        <f>IF(AND($B28&lt;&gt;"",$C28&lt;&gt;"Target state",$C28&lt;&gt;"Exception",$D28="Low",$E28="High"),$A28&amp;"  "&amp;$B28,"")</f>
        <v/>
      </c>
    </row>
    <row r="29" ht="30" customHeight="1" s="52">
      <c r="A29" s="93" t="inlineStr">
        <is>
          <t>㉑</t>
        </is>
      </c>
      <c r="B29" s="94" t="inlineStr">
        <is>
          <t>iAcepta</t>
        </is>
      </c>
      <c r="C29" s="73" t="inlineStr">
        <is>
          <t>Non-target state</t>
        </is>
      </c>
      <c r="D29" s="73" t="n"/>
      <c r="E29" s="73" t="n"/>
      <c r="F29" s="72" t="inlineStr">
        <is>
          <t>Mexican POS system across about 33K MIDs; around $490K in yearly cost; migration path agreed</t>
        </is>
      </c>
      <c r="G29" s="95">
        <f>IF(OR($B29="",$D29="",$E29=""),"",IF(OR($C29="Target state",$C29="Exception"),"Out of scope",IF($D29="Low","No tranche",IF($E29="Low","Tranche 1",IF($E29="Medium","Tranche 2",IF($D29="High","Tranche 3","No tranche"))))))</f>
        <v/>
      </c>
      <c r="K29" s="101" t="n"/>
      <c r="L29" s="101" t="n"/>
      <c r="M29" s="101" t="n"/>
      <c r="O29">
        <f>IF(AND($B29&lt;&gt;"",$C29&lt;&gt;"Target state",$C29&lt;&gt;"Exception",$D29="High",$E29="Low"),$A29&amp;"  "&amp;$B29,"")</f>
        <v/>
      </c>
      <c r="P29">
        <f>IF(AND($B29&lt;&gt;"",$C29&lt;&gt;"Target state",$C29&lt;&gt;"Exception",$D29="High",$E29="Medium"),$A29&amp;"  "&amp;$B29,"")</f>
        <v/>
      </c>
      <c r="Q29">
        <f>IF(AND($B29&lt;&gt;"",$C29&lt;&gt;"Target state",$C29&lt;&gt;"Exception",$D29="High",$E29="High"),$A29&amp;"  "&amp;$B29,"")</f>
        <v/>
      </c>
      <c r="R29">
        <f>IF(AND($B29&lt;&gt;"",$C29&lt;&gt;"Target state",$C29&lt;&gt;"Exception",$D29="Medium",$E29="Low"),$A29&amp;"  "&amp;$B29,"")</f>
        <v/>
      </c>
      <c r="S29">
        <f>IF(AND($B29&lt;&gt;"",$C29&lt;&gt;"Target state",$C29&lt;&gt;"Exception",$D29="Medium",$E29="Medium"),$A29&amp;"  "&amp;$B29,"")</f>
        <v/>
      </c>
      <c r="T29">
        <f>IF(AND($B29&lt;&gt;"",$C29&lt;&gt;"Target state",$C29&lt;&gt;"Exception",$D29="Medium",$E29="High"),$A29&amp;"  "&amp;$B29,"")</f>
        <v/>
      </c>
      <c r="U29">
        <f>IF(AND($B29&lt;&gt;"",$C29&lt;&gt;"Target state",$C29&lt;&gt;"Exception",$D29="Low",$E29="Low"),$A29&amp;"  "&amp;$B29,"")</f>
        <v/>
      </c>
      <c r="V29">
        <f>IF(AND($B29&lt;&gt;"",$C29&lt;&gt;"Target state",$C29&lt;&gt;"Exception",$D29="Low",$E29="Medium"),$A29&amp;"  "&amp;$B29,"")</f>
        <v/>
      </c>
      <c r="W29">
        <f>IF(AND($B29&lt;&gt;"",$C29&lt;&gt;"Target state",$C29&lt;&gt;"Exception",$D29="Low",$E29="High"),$A29&amp;"  "&amp;$B29,"")</f>
        <v/>
      </c>
    </row>
    <row r="30" ht="20" customHeight="1" s="52">
      <c r="A30" s="93" t="inlineStr">
        <is>
          <t>㉒</t>
        </is>
      </c>
      <c r="B30" s="94" t="n"/>
      <c r="C30" s="73" t="n"/>
      <c r="D30" s="73" t="n"/>
      <c r="E30" s="73" t="n"/>
      <c r="F30" s="72" t="n"/>
      <c r="G30" s="95">
        <f>IF(OR($B30="",$D30="",$E30=""),"",IF(OR($C30="Target state",$C30="Exception"),"Out of scope",IF($D30="Low","No tranche",IF($E30="Low","Tranche 1",IF($E30="Medium","Tranche 2",IF($D30="High","Tranche 3","No tranche"))))))</f>
        <v/>
      </c>
      <c r="K30" s="101" t="n"/>
      <c r="L30" s="101" t="n"/>
      <c r="M30" s="101" t="n"/>
      <c r="O30">
        <f>IF(AND($B30&lt;&gt;"",$C30&lt;&gt;"Target state",$C30&lt;&gt;"Exception",$D30="High",$E30="Low"),$A30&amp;"  "&amp;$B30,"")</f>
        <v/>
      </c>
      <c r="P30">
        <f>IF(AND($B30&lt;&gt;"",$C30&lt;&gt;"Target state",$C30&lt;&gt;"Exception",$D30="High",$E30="Medium"),$A30&amp;"  "&amp;$B30,"")</f>
        <v/>
      </c>
      <c r="Q30">
        <f>IF(AND($B30&lt;&gt;"",$C30&lt;&gt;"Target state",$C30&lt;&gt;"Exception",$D30="High",$E30="High"),$A30&amp;"  "&amp;$B30,"")</f>
        <v/>
      </c>
      <c r="R30">
        <f>IF(AND($B30&lt;&gt;"",$C30&lt;&gt;"Target state",$C30&lt;&gt;"Exception",$D30="Medium",$E30="Low"),$A30&amp;"  "&amp;$B30,"")</f>
        <v/>
      </c>
      <c r="S30">
        <f>IF(AND($B30&lt;&gt;"",$C30&lt;&gt;"Target state",$C30&lt;&gt;"Exception",$D30="Medium",$E30="Medium"),$A30&amp;"  "&amp;$B30,"")</f>
        <v/>
      </c>
      <c r="T30">
        <f>IF(AND($B30&lt;&gt;"",$C30&lt;&gt;"Target state",$C30&lt;&gt;"Exception",$D30="Medium",$E30="High"),$A30&amp;"  "&amp;$B30,"")</f>
        <v/>
      </c>
      <c r="U30">
        <f>IF(AND($B30&lt;&gt;"",$C30&lt;&gt;"Target state",$C30&lt;&gt;"Exception",$D30="Low",$E30="Low"),$A30&amp;"  "&amp;$B30,"")</f>
        <v/>
      </c>
      <c r="V30">
        <f>IF(AND($B30&lt;&gt;"",$C30&lt;&gt;"Target state",$C30&lt;&gt;"Exception",$D30="Low",$E30="Medium"),$A30&amp;"  "&amp;$B30,"")</f>
        <v/>
      </c>
      <c r="W30">
        <f>IF(AND($B30&lt;&gt;"",$C30&lt;&gt;"Target state",$C30&lt;&gt;"Exception",$D30="Low",$E30="High"),$A30&amp;"  "&amp;$B30,"")</f>
        <v/>
      </c>
    </row>
    <row r="31" ht="20" customHeight="1" s="52">
      <c r="A31" s="93" t="inlineStr">
        <is>
          <t>㉓</t>
        </is>
      </c>
      <c r="B31" s="94" t="n"/>
      <c r="C31" s="73" t="n"/>
      <c r="D31" s="73" t="n"/>
      <c r="E31" s="73" t="n"/>
      <c r="F31" s="72" t="n"/>
      <c r="G31" s="95">
        <f>IF(OR($B31="",$D31="",$E31=""),"",IF(OR($C31="Target state",$C31="Exception"),"Out of scope",IF($D31="Low","No tranche",IF($E31="Low","Tranche 1",IF($E31="Medium","Tranche 2",IF($D31="High","Tranche 3","No tranche"))))))</f>
        <v/>
      </c>
      <c r="K31" s="101" t="n"/>
      <c r="L31" s="101" t="n"/>
      <c r="M31" s="101" t="n"/>
      <c r="O31">
        <f>IF(AND($B31&lt;&gt;"",$C31&lt;&gt;"Target state",$C31&lt;&gt;"Exception",$D31="High",$E31="Low"),$A31&amp;"  "&amp;$B31,"")</f>
        <v/>
      </c>
      <c r="P31">
        <f>IF(AND($B31&lt;&gt;"",$C31&lt;&gt;"Target state",$C31&lt;&gt;"Exception",$D31="High",$E31="Medium"),$A31&amp;"  "&amp;$B31,"")</f>
        <v/>
      </c>
      <c r="Q31">
        <f>IF(AND($B31&lt;&gt;"",$C31&lt;&gt;"Target state",$C31&lt;&gt;"Exception",$D31="High",$E31="High"),$A31&amp;"  "&amp;$B31,"")</f>
        <v/>
      </c>
      <c r="R31">
        <f>IF(AND($B31&lt;&gt;"",$C31&lt;&gt;"Target state",$C31&lt;&gt;"Exception",$D31="Medium",$E31="Low"),$A31&amp;"  "&amp;$B31,"")</f>
        <v/>
      </c>
      <c r="S31">
        <f>IF(AND($B31&lt;&gt;"",$C31&lt;&gt;"Target state",$C31&lt;&gt;"Exception",$D31="Medium",$E31="Medium"),$A31&amp;"  "&amp;$B31,"")</f>
        <v/>
      </c>
      <c r="T31">
        <f>IF(AND($B31&lt;&gt;"",$C31&lt;&gt;"Target state",$C31&lt;&gt;"Exception",$D31="Medium",$E31="High"),$A31&amp;"  "&amp;$B31,"")</f>
        <v/>
      </c>
      <c r="U31">
        <f>IF(AND($B31&lt;&gt;"",$C31&lt;&gt;"Target state",$C31&lt;&gt;"Exception",$D31="Low",$E31="Low"),$A31&amp;"  "&amp;$B31,"")</f>
        <v/>
      </c>
      <c r="V31">
        <f>IF(AND($B31&lt;&gt;"",$C31&lt;&gt;"Target state",$C31&lt;&gt;"Exception",$D31="Low",$E31="Medium"),$A31&amp;"  "&amp;$B31,"")</f>
        <v/>
      </c>
      <c r="W31">
        <f>IF(AND($B31&lt;&gt;"",$C31&lt;&gt;"Target state",$C31&lt;&gt;"Exception",$D31="Low",$E31="High"),$A31&amp;"  "&amp;$B31,"")</f>
        <v/>
      </c>
    </row>
    <row r="32" ht="20" customHeight="1" s="52">
      <c r="A32" s="93" t="inlineStr">
        <is>
          <t>㉔</t>
        </is>
      </c>
      <c r="B32" s="94" t="n"/>
      <c r="C32" s="73" t="n"/>
      <c r="D32" s="73" t="n"/>
      <c r="E32" s="73" t="n"/>
      <c r="F32" s="72" t="n"/>
      <c r="G32" s="95">
        <f>IF(OR($B32="",$D32="",$E32=""),"",IF(OR($C32="Target state",$C32="Exception"),"Out of scope",IF($D32="Low","No tranche",IF($E32="Low","Tranche 1",IF($E32="Medium","Tranche 2",IF($D32="High","Tranche 3","No tranche"))))))</f>
        <v/>
      </c>
      <c r="K32" s="101" t="n"/>
      <c r="L32" s="101" t="n"/>
      <c r="M32" s="101" t="n"/>
      <c r="O32">
        <f>IF(AND($B32&lt;&gt;"",$C32&lt;&gt;"Target state",$C32&lt;&gt;"Exception",$D32="High",$E32="Low"),$A32&amp;"  "&amp;$B32,"")</f>
        <v/>
      </c>
      <c r="P32">
        <f>IF(AND($B32&lt;&gt;"",$C32&lt;&gt;"Target state",$C32&lt;&gt;"Exception",$D32="High",$E32="Medium"),$A32&amp;"  "&amp;$B32,"")</f>
        <v/>
      </c>
      <c r="Q32">
        <f>IF(AND($B32&lt;&gt;"",$C32&lt;&gt;"Target state",$C32&lt;&gt;"Exception",$D32="High",$E32="High"),$A32&amp;"  "&amp;$B32,"")</f>
        <v/>
      </c>
      <c r="R32">
        <f>IF(AND($B32&lt;&gt;"",$C32&lt;&gt;"Target state",$C32&lt;&gt;"Exception",$D32="Medium",$E32="Low"),$A32&amp;"  "&amp;$B32,"")</f>
        <v/>
      </c>
      <c r="S32">
        <f>IF(AND($B32&lt;&gt;"",$C32&lt;&gt;"Target state",$C32&lt;&gt;"Exception",$D32="Medium",$E32="Medium"),$A32&amp;"  "&amp;$B32,"")</f>
        <v/>
      </c>
      <c r="T32">
        <f>IF(AND($B32&lt;&gt;"",$C32&lt;&gt;"Target state",$C32&lt;&gt;"Exception",$D32="Medium",$E32="High"),$A32&amp;"  "&amp;$B32,"")</f>
        <v/>
      </c>
      <c r="U32">
        <f>IF(AND($B32&lt;&gt;"",$C32&lt;&gt;"Target state",$C32&lt;&gt;"Exception",$D32="Low",$E32="Low"),$A32&amp;"  "&amp;$B32,"")</f>
        <v/>
      </c>
      <c r="V32">
        <f>IF(AND($B32&lt;&gt;"",$C32&lt;&gt;"Target state",$C32&lt;&gt;"Exception",$D32="Low",$E32="Medium"),$A32&amp;"  "&amp;$B32,"")</f>
        <v/>
      </c>
      <c r="W32">
        <f>IF(AND($B32&lt;&gt;"",$C32&lt;&gt;"Target state",$C32&lt;&gt;"Exception",$D32="Low",$E32="High"),$A32&amp;"  "&amp;$B32,"")</f>
        <v/>
      </c>
    </row>
    <row r="33" ht="20" customHeight="1" s="52">
      <c r="A33" s="93" t="inlineStr">
        <is>
          <t>㉕</t>
        </is>
      </c>
      <c r="B33" s="94" t="n"/>
      <c r="C33" s="73" t="n"/>
      <c r="D33" s="73" t="n"/>
      <c r="E33" s="73" t="n"/>
      <c r="F33" s="72" t="n"/>
      <c r="G33" s="95">
        <f>IF(OR($B33="",$D33="",$E33=""),"",IF(OR($C33="Target state",$C33="Exception"),"Out of scope",IF($D33="Low","No tranche",IF($E33="Low","Tranche 1",IF($E33="Medium","Tranche 2",IF($D33="High","Tranche 3","No tranche"))))))</f>
        <v/>
      </c>
      <c r="K33" s="102" t="n"/>
      <c r="L33" s="102" t="n"/>
      <c r="M33" s="102" t="n"/>
      <c r="O33">
        <f>IF(AND($B33&lt;&gt;"",$C33&lt;&gt;"Target state",$C33&lt;&gt;"Exception",$D33="High",$E33="Low"),$A33&amp;"  "&amp;$B33,"")</f>
        <v/>
      </c>
      <c r="P33">
        <f>IF(AND($B33&lt;&gt;"",$C33&lt;&gt;"Target state",$C33&lt;&gt;"Exception",$D33="High",$E33="Medium"),$A33&amp;"  "&amp;$B33,"")</f>
        <v/>
      </c>
      <c r="Q33">
        <f>IF(AND($B33&lt;&gt;"",$C33&lt;&gt;"Target state",$C33&lt;&gt;"Exception",$D33="High",$E33="High"),$A33&amp;"  "&amp;$B33,"")</f>
        <v/>
      </c>
      <c r="R33">
        <f>IF(AND($B33&lt;&gt;"",$C33&lt;&gt;"Target state",$C33&lt;&gt;"Exception",$D33="Medium",$E33="Low"),$A33&amp;"  "&amp;$B33,"")</f>
        <v/>
      </c>
      <c r="S33">
        <f>IF(AND($B33&lt;&gt;"",$C33&lt;&gt;"Target state",$C33&lt;&gt;"Exception",$D33="Medium",$E33="Medium"),$A33&amp;"  "&amp;$B33,"")</f>
        <v/>
      </c>
      <c r="T33">
        <f>IF(AND($B33&lt;&gt;"",$C33&lt;&gt;"Target state",$C33&lt;&gt;"Exception",$D33="Medium",$E33="High"),$A33&amp;"  "&amp;$B33,"")</f>
        <v/>
      </c>
      <c r="U33">
        <f>IF(AND($B33&lt;&gt;"",$C33&lt;&gt;"Target state",$C33&lt;&gt;"Exception",$D33="Low",$E33="Low"),$A33&amp;"  "&amp;$B33,"")</f>
        <v/>
      </c>
      <c r="V33">
        <f>IF(AND($B33&lt;&gt;"",$C33&lt;&gt;"Target state",$C33&lt;&gt;"Exception",$D33="Low",$E33="Medium"),$A33&amp;"  "&amp;$B33,"")</f>
        <v/>
      </c>
      <c r="W33">
        <f>IF(AND($B33&lt;&gt;"",$C33&lt;&gt;"Target state",$C33&lt;&gt;"Exception",$D33="Low",$E33="High"),$A33&amp;"  "&amp;$B33,"")</f>
        <v/>
      </c>
    </row>
    <row r="34">
      <c r="K34" s="97" t="inlineStr">
        <is>
          <t>Complexity</t>
        </is>
      </c>
    </row>
  </sheetData>
  <mergeCells count="17">
    <mergeCell ref="M9:M17"/>
    <mergeCell ref="L18:L25"/>
    <mergeCell ref="J18:J25"/>
    <mergeCell ref="J26:J33"/>
    <mergeCell ref="M18:M25"/>
    <mergeCell ref="K18:K25"/>
    <mergeCell ref="L26:L33"/>
    <mergeCell ref="M26:M33"/>
    <mergeCell ref="K26:K33"/>
    <mergeCell ref="I9:I33"/>
    <mergeCell ref="L9:L17"/>
    <mergeCell ref="J9:J17"/>
    <mergeCell ref="K34:M34"/>
    <mergeCell ref="A4:C4"/>
    <mergeCell ref="K7:M7"/>
    <mergeCell ref="A7:F7"/>
    <mergeCell ref="K9:K17"/>
  </mergeCells>
  <conditionalFormatting sqref="A9:G33">
    <cfRule type="expression" priority="1" dxfId="43">
      <formula>OR($C9="Target state",$C9="Exception")</formula>
    </cfRule>
  </conditionalFormatting>
  <dataValidations count="2">
    <dataValidation sqref="C9:C33" showDropDown="0" showInputMessage="0" showErrorMessage="0" allowBlank="1" type="list">
      <formula1>"Target state,Non-target state,Exception"</formula1>
    </dataValidation>
    <dataValidation sqref="D9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Platform Assessment Tracker</dc:title>
  <dcterms:created xsi:type="dcterms:W3CDTF">2026-06-11T14:48:40Z</dcterms:created>
  <dcterms:modified xsi:type="dcterms:W3CDTF">2026-06-12T14:00:33Z</dcterms:modified>
  <cp:lastModifiedBy>Parth Bahl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3303d7c-e5a3-4cc8-90eb-69bfd7570ac4_Enabled" fmtid="{D5CDD505-2E9C-101B-9397-08002B2CF9AE}" pid="2">
    <vt:lpwstr>true</vt:lpwstr>
  </property>
  <property name="MSIP_Label_83303d7c-e5a3-4cc8-90eb-69bfd7570ac4_SetDate" fmtid="{D5CDD505-2E9C-101B-9397-08002B2CF9AE}" pid="3">
    <vt:lpwstr>2026-06-11T14:54:32Z</vt:lpwstr>
  </property>
  <property name="MSIP_Label_83303d7c-e5a3-4cc8-90eb-69bfd7570ac4_Method" fmtid="{D5CDD505-2E9C-101B-9397-08002B2CF9AE}" pid="4">
    <vt:lpwstr>Standard</vt:lpwstr>
  </property>
  <property name="MSIP_Label_83303d7c-e5a3-4cc8-90eb-69bfd7570ac4_Name" fmtid="{D5CDD505-2E9C-101B-9397-08002B2CF9AE}" pid="5">
    <vt:lpwstr>Client Confidential Information-SLV1</vt:lpwstr>
  </property>
  <property name="MSIP_Label_83303d7c-e5a3-4cc8-90eb-69bfd7570ac4_SiteId" fmtid="{D5CDD505-2E9C-101B-9397-08002B2CF9AE}" pid="6">
    <vt:lpwstr>cc8936bc-9382-4fff-87cb-6f55999549e7</vt:lpwstr>
  </property>
  <property name="MSIP_Label_83303d7c-e5a3-4cc8-90eb-69bfd7570ac4_ActionId" fmtid="{D5CDD505-2E9C-101B-9397-08002B2CF9AE}" pid="7">
    <vt:lpwstr>2fdf420e-2930-4b12-bf72-90487442245f</vt:lpwstr>
  </property>
  <property name="MSIP_Label_83303d7c-e5a3-4cc8-90eb-69bfd7570ac4_ContentBits" fmtid="{D5CDD505-2E9C-101B-9397-08002B2CF9AE}" pid="8">
    <vt:lpwstr>0</vt:lpwstr>
  </property>
  <property name="MSIP_Label_83303d7c-e5a3-4cc8-90eb-69bfd7570ac4_Tag" fmtid="{D5CDD505-2E9C-101B-9397-08002B2CF9AE}" pid="9">
    <vt:lpwstr>10, 3, 0, 1</vt:lpwstr>
  </property>
  <property name="ContentTypeId" fmtid="{D5CDD505-2E9C-101B-9397-08002B2CF9AE}" pid="10">
    <vt:lpwstr>0x01010057B1CF60A92DF24A9B499BDEBF952442</vt:lpwstr>
  </property>
  <property name="_dlc_DocIdItemGuid" fmtid="{D5CDD505-2E9C-101B-9397-08002B2CF9AE}" pid="11">
    <vt:lpwstr>a8e3c1cf-1463-47f9-8f7b-555a8aa3c38e</vt:lpwstr>
  </property>
  <property name="MediaServiceImageTags" fmtid="{D5CDD505-2E9C-101B-9397-08002B2CF9AE}" pid="12">
    <vt:lpwstr/>
  </property>
</Properties>
</file>