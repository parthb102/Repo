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oarding" sheetId="2" state="visible" r:id="rId2"/>
    <sheet name="Single-in" sheetId="3" state="visible" r:id="rId3"/>
    <sheet name="Sales &amp; Servicing" sheetId="4" state="visible" r:id="rId4"/>
    <sheet name="Payment Processing" sheetId="5" state="visible" r:id="rId5"/>
    <sheet name="VAS" sheetId="6" state="visible" r:id="rId6"/>
    <sheet name="Unified Data and AI" sheetId="7" state="visible" r:id="rId7"/>
    <sheet name="Global Infrastructure" sheetId="8" state="visible" r:id="rId8"/>
    <sheet name="Single-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b val="1"/>
      <color rgb="001F4E79"/>
      <sz val="15"/>
    </font>
    <font>
      <color rgb="000563C1"/>
      <sz val="10"/>
      <u val="single"/>
    </font>
    <font>
      <i val="1"/>
      <color rgb="00595959"/>
      <sz val="9"/>
    </font>
    <font>
      <b val="1"/>
      <color rgb="001F4E79"/>
      <sz val="10"/>
    </font>
    <font>
      <color rgb="00595959"/>
      <sz val="10"/>
    </font>
    <font>
      <b val="1"/>
      <color rgb="00FFFFFF"/>
      <sz val="11"/>
    </font>
    <font>
      <color rgb="00FFFFFF"/>
      <sz val="9"/>
      <u val="single"/>
    </font>
    <font>
      <b val="1"/>
      <color rgb="001F4E79"/>
      <sz val="9"/>
    </font>
    <font>
      <color rgb="001F4E79"/>
      <sz val="11"/>
    </font>
    <font>
      <sz val="10"/>
    </font>
    <font>
      <sz val="9"/>
    </font>
    <font>
      <i val="1"/>
      <color rgb="001F4E79"/>
      <sz val="9"/>
    </font>
    <font>
      <b val="1"/>
      <color rgb="001F4E79"/>
      <sz val="11"/>
    </font>
    <font>
      <b val="1"/>
      <color rgb="00595959"/>
      <sz val="9"/>
    </font>
    <font>
      <b val="1"/>
      <color rgb="00595959"/>
      <sz val="10"/>
    </font>
    <font>
      <color rgb="0017375E"/>
      <sz val="9"/>
    </font>
    <font>
      <color rgb="00404040"/>
      <sz val="9"/>
    </font>
    <font>
      <b val="1"/>
      <color rgb="001F4E79"/>
      <sz val="16"/>
    </font>
    <font>
      <i val="1"/>
      <color rgb="00595959"/>
      <sz val="10"/>
    </font>
    <font>
      <color rgb="00595959"/>
      <sz val="9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00CDE4F5"/>
        <bgColor rgb="00CDE4F5"/>
      </patternFill>
    </fill>
    <fill>
      <patternFill patternType="solid">
        <fgColor rgb="00FFF2CC"/>
        <bgColor rgb="00FFF2CC"/>
      </patternFill>
    </fill>
    <fill>
      <patternFill patternType="solid">
        <fgColor rgb="00FBE2D5"/>
        <bgColor rgb="00FBE2D5"/>
      </patternFill>
    </fill>
    <fill>
      <patternFill patternType="solid">
        <fgColor rgb="00D9D9D9"/>
        <bgColor rgb="00D9D9D9"/>
      </patternFill>
    </fill>
    <fill>
      <patternFill patternType="solid">
        <fgColor rgb="00EDF2F8"/>
        <bgColor rgb="00EDF2F8"/>
      </patternFill>
    </fill>
  </fills>
  <borders count="10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4472C4"/>
      </left>
      <right style="thin">
        <color rgb="004472C4"/>
      </right>
      <top style="thin">
        <color rgb="004472C4"/>
      </top>
      <bottom style="thin">
        <color rgb="004472C4"/>
      </bottom>
    </border>
    <border>
      <left style="thin">
        <color rgb="004472C4"/>
      </left>
      <right/>
      <top/>
      <bottom/>
      <diagonal/>
    </border>
    <border>
      <left style="thin">
        <color rgb="004472C4"/>
      </left>
      <right style="thin">
        <color rgb="004472C4"/>
      </right>
      <top/>
      <bottom/>
      <diagonal/>
    </border>
    <border>
      <left style="thin">
        <color rgb="004472C4"/>
      </left>
      <right style="thin">
        <color rgb="004472C4"/>
      </right>
      <top/>
      <bottom style="thin">
        <color rgb="004472C4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top style="medium">
        <color rgb="001F4E79"/>
      </top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4" fillId="0" borderId="0" pivotButton="0" quotePrefix="0" xfId="0"/>
    <xf numFmtId="0" fontId="20" fillId="0" borderId="0" pivotButton="0" quotePrefix="0" xfId="0"/>
    <xf numFmtId="0" fontId="21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/>
    </xf>
    <xf numFmtId="0" fontId="4" fillId="8" borderId="1" applyAlignment="1" pivotButton="0" quotePrefix="0" xfId="0">
      <alignment horizontal="left" vertical="center" indent="1"/>
    </xf>
    <xf numFmtId="0" fontId="10" fillId="0" borderId="1" pivotButton="0" quotePrefix="0" xfId="0"/>
    <xf numFmtId="0" fontId="1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4" fillId="0" borderId="9" applyAlignment="1" pivotButton="0" quotePrefix="0" xfId="0">
      <alignment horizontal="right" indent="1"/>
    </xf>
    <xf numFmtId="0" fontId="4" fillId="0" borderId="9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indent="1"/>
    </xf>
    <xf numFmtId="0" fontId="5" fillId="0" borderId="0" applyAlignment="1" pivotButton="0" quotePrefix="0" xfId="0">
      <alignment horizontal="right"/>
    </xf>
    <xf numFmtId="0" fontId="6" fillId="3" borderId="0" applyAlignment="1" pivotButton="0" quotePrefix="0" xfId="0">
      <alignment vertical="center" indent="1"/>
    </xf>
    <xf numFmtId="0" fontId="7" fillId="3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indent="1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 wrapText="1" indent="1"/>
    </xf>
    <xf numFmtId="0" fontId="12" fillId="0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 textRotation="90"/>
    </xf>
    <xf numFmtId="0" fontId="15" fillId="0" borderId="0" applyAlignment="1" pivotButton="0" quotePrefix="0" xfId="0">
      <alignment horizontal="center" vertical="center"/>
    </xf>
    <xf numFmtId="0" fontId="16" fillId="4" borderId="2" applyAlignment="1" pivotButton="0" quotePrefix="0" xfId="0">
      <alignment horizontal="left" vertical="top" wrapText="1" indent="1"/>
    </xf>
    <xf numFmtId="0" fontId="16" fillId="5" borderId="2" applyAlignment="1" pivotButton="0" quotePrefix="0" xfId="0">
      <alignment horizontal="left" vertical="top" wrapText="1" indent="1"/>
    </xf>
    <xf numFmtId="0" fontId="16" fillId="6" borderId="2" applyAlignment="1" pivotButton="0" quotePrefix="0" xfId="0">
      <alignment horizontal="left" vertical="top" wrapText="1" indent="1"/>
    </xf>
    <xf numFmtId="0" fontId="0" fillId="0" borderId="4" pivotButton="0" quotePrefix="0" xfId="0"/>
    <xf numFmtId="0" fontId="0" fillId="0" borderId="5" pivotButton="0" quotePrefix="0" xfId="0"/>
    <xf numFmtId="0" fontId="17" fillId="7" borderId="2" applyAlignment="1" pivotButton="0" quotePrefix="0" xfId="0">
      <alignment horizontal="left" vertical="top" wrapText="1" indent="1"/>
    </xf>
  </cellXfs>
  <cellStyles count="1">
    <cellStyle name="Normal" xfId="0" builtinId="0" hidden="0"/>
  </cellStyles>
  <dxfs count="1">
    <dxf>
      <font>
        <color rgb="00A6A6A6"/>
      </font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56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14" customWidth="1" min="4" max="4"/>
    <col width="11" customWidth="1" min="5" max="5"/>
    <col width="11" customWidth="1" min="6" max="6"/>
    <col width="11" customWidth="1" min="7" max="7"/>
    <col width="10" customWidth="1" min="8" max="8"/>
  </cols>
  <sheetData>
    <row r="1">
      <c r="A1" s="1" t="inlineStr">
        <is>
          <t>Platform Assessment — Summary</t>
        </is>
      </c>
    </row>
    <row r="2">
      <c r="A2" s="2" t="inlineStr">
        <is>
          <t>Tranche roll-up by capability and sub-capability — counts update automatically from each tab.</t>
        </is>
      </c>
    </row>
    <row r="4">
      <c r="A4" s="3" t="inlineStr">
        <is>
          <t>How it works:</t>
        </is>
      </c>
    </row>
    <row r="5">
      <c r="A5" s="4" t="inlineStr">
        <is>
          <t>•  Every capability tab has a tracker at the top — click a sub-capability to jump straight to its section; each section links back.</t>
        </is>
      </c>
    </row>
    <row r="6">
      <c r="A6" s="4" t="inlineStr">
        <is>
          <t>•  For each platform pick a State: Target state and Exception rows gray out automatically and drop off the matrix; Non-target rows stay lit.</t>
        </is>
      </c>
    </row>
    <row r="7">
      <c r="A7" s="4" t="inlineStr">
        <is>
          <t>•  Score Imperative to exit and Exit complexity (High / Medium / Low) — the Tranche column computes itself and the matrix bubbles (① + platform name) re-plot live.</t>
        </is>
      </c>
    </row>
    <row r="8">
      <c r="A8" s="4" t="inlineStr">
        <is>
          <t>•  Tranche rules: Low complexity → Tranche 1  ·  Medium complexity → Tranche 2  ·  High complexity + High imperative → Tranche 3  ·  Low imperative (or Medium imperative + High complexity) → no tranche.</t>
        </is>
      </c>
    </row>
    <row r="9">
      <c r="A9" s="4" t="inlineStr">
        <is>
          <t>•  Payment Processing → Gateway is pre-seeded with the slide's illustrative examples — replace them with real data.</t>
        </is>
      </c>
    </row>
    <row r="10">
      <c r="A10" s="4" t="inlineStr">
        <is>
          <t>•  Built for desktop Excel 2016 or later (no macros).</t>
        </is>
      </c>
    </row>
    <row r="12" ht="24" customHeight="1">
      <c r="A12" s="5" t="inlineStr">
        <is>
          <t>#</t>
        </is>
      </c>
      <c r="B12" s="5" t="inlineStr">
        <is>
          <t>Capability</t>
        </is>
      </c>
      <c r="C12" s="5" t="inlineStr">
        <is>
          <t>Sub-capability</t>
        </is>
      </c>
      <c r="D12" s="5" t="inlineStr">
        <is>
          <t>Platforms listed</t>
        </is>
      </c>
      <c r="E12" s="6" t="inlineStr">
        <is>
          <t>Tranche 1</t>
        </is>
      </c>
      <c r="F12" s="7" t="inlineStr">
        <is>
          <t>Tranche 2</t>
        </is>
      </c>
      <c r="G12" s="8" t="inlineStr">
        <is>
          <t>Tranche 3</t>
        </is>
      </c>
      <c r="H12" s="5" t="inlineStr">
        <is>
          <t>Open</t>
        </is>
      </c>
    </row>
    <row r="13" ht="18" customHeight="1">
      <c r="A13" s="9" t="n">
        <v>1</v>
      </c>
      <c r="B13" s="10" t="inlineStr">
        <is>
          <t>Boarding</t>
        </is>
      </c>
      <c r="C13" s="11" t="inlineStr">
        <is>
          <t>Boarding Experience</t>
        </is>
      </c>
      <c r="D13" s="12">
        <f>COUNTA('Boarding'!$B$14:$B$23)</f>
        <v/>
      </c>
      <c r="E13" s="12">
        <f>COUNTIF('Boarding'!$G$14:$G$23,"Tranche 1")</f>
        <v/>
      </c>
      <c r="F13" s="12">
        <f>COUNTIF('Boarding'!$G$14:$G$23,"Tranche 2")</f>
        <v/>
      </c>
      <c r="G13" s="12">
        <f>COUNTIF('Boarding'!$G$14:$G$23,"Tranche 3")</f>
        <v/>
      </c>
      <c r="H13" s="13">
        <f>HYPERLINK("#'Boarding'!A12","Open →")</f>
        <v/>
      </c>
    </row>
    <row r="14" ht="18" customHeight="1">
      <c r="A14" s="9" t="n">
        <v>2</v>
      </c>
      <c r="B14" s="14" t="n"/>
      <c r="C14" s="11" t="inlineStr">
        <is>
          <t>Ingress</t>
        </is>
      </c>
      <c r="D14" s="12">
        <f>COUNTA('Boarding'!$B$28:$B$37)</f>
        <v/>
      </c>
      <c r="E14" s="12">
        <f>COUNTIF('Boarding'!$G$28:$G$37,"Tranche 1")</f>
        <v/>
      </c>
      <c r="F14" s="12">
        <f>COUNTIF('Boarding'!$G$28:$G$37,"Tranche 2")</f>
        <v/>
      </c>
      <c r="G14" s="12">
        <f>COUNTIF('Boarding'!$G$28:$G$37,"Tranche 3")</f>
        <v/>
      </c>
      <c r="H14" s="13">
        <f>HYPERLINK("#'Boarding'!A26","Open →")</f>
        <v/>
      </c>
    </row>
    <row r="15" ht="18" customHeight="1">
      <c r="A15" s="9" t="n">
        <v>3</v>
      </c>
      <c r="B15" s="14" t="n"/>
      <c r="C15" s="11" t="inlineStr">
        <is>
          <t>Boarding Orchestration</t>
        </is>
      </c>
      <c r="D15" s="12">
        <f>COUNTA('Boarding'!$B$42:$B$51)</f>
        <v/>
      </c>
      <c r="E15" s="12">
        <f>COUNTIF('Boarding'!$G$42:$G$51,"Tranche 1")</f>
        <v/>
      </c>
      <c r="F15" s="12">
        <f>COUNTIF('Boarding'!$G$42:$G$51,"Tranche 2")</f>
        <v/>
      </c>
      <c r="G15" s="12">
        <f>COUNTIF('Boarding'!$G$42:$G$51,"Tranche 3")</f>
        <v/>
      </c>
      <c r="H15" s="13">
        <f>HYPERLINK("#'Boarding'!A40","Open →")</f>
        <v/>
      </c>
    </row>
    <row r="16" ht="18" customHeight="1">
      <c r="A16" s="9" t="n">
        <v>4</v>
      </c>
      <c r="B16" s="14" t="n"/>
      <c r="C16" s="11" t="inlineStr">
        <is>
          <t>Integration &amp; Messaging</t>
        </is>
      </c>
      <c r="D16" s="12">
        <f>COUNTA('Boarding'!$B$56:$B$65)</f>
        <v/>
      </c>
      <c r="E16" s="12">
        <f>COUNTIF('Boarding'!$G$56:$G$65,"Tranche 1")</f>
        <v/>
      </c>
      <c r="F16" s="12">
        <f>COUNTIF('Boarding'!$G$56:$G$65,"Tranche 2")</f>
        <v/>
      </c>
      <c r="G16" s="12">
        <f>COUNTIF('Boarding'!$G$56:$G$65,"Tranche 3")</f>
        <v/>
      </c>
      <c r="H16" s="13">
        <f>HYPERLINK("#'Boarding'!A54","Open →")</f>
        <v/>
      </c>
    </row>
    <row r="17" ht="18" customHeight="1">
      <c r="A17" s="9" t="n">
        <v>5</v>
      </c>
      <c r="B17" s="14" t="n"/>
      <c r="C17" s="11" t="inlineStr">
        <is>
          <t>Credit &amp; Underwriting</t>
        </is>
      </c>
      <c r="D17" s="12">
        <f>COUNTA('Boarding'!$B$70:$B$79)</f>
        <v/>
      </c>
      <c r="E17" s="12">
        <f>COUNTIF('Boarding'!$G$70:$G$79,"Tranche 1")</f>
        <v/>
      </c>
      <c r="F17" s="12">
        <f>COUNTIF('Boarding'!$G$70:$G$79,"Tranche 2")</f>
        <v/>
      </c>
      <c r="G17" s="12">
        <f>COUNTIF('Boarding'!$G$70:$G$79,"Tranche 3")</f>
        <v/>
      </c>
      <c r="H17" s="13">
        <f>HYPERLINK("#'Boarding'!A68","Open →")</f>
        <v/>
      </c>
    </row>
    <row r="18" ht="18" customHeight="1">
      <c r="A18" s="9" t="n">
        <v>6</v>
      </c>
      <c r="B18" s="15" t="n"/>
      <c r="C18" s="11" t="inlineStr">
        <is>
          <t>CPQ / Quote-pricing</t>
        </is>
      </c>
      <c r="D18" s="12">
        <f>COUNTA('Boarding'!$B$84:$B$93)</f>
        <v/>
      </c>
      <c r="E18" s="12">
        <f>COUNTIF('Boarding'!$G$84:$G$93,"Tranche 1")</f>
        <v/>
      </c>
      <c r="F18" s="12">
        <f>COUNTIF('Boarding'!$G$84:$G$93,"Tranche 2")</f>
        <v/>
      </c>
      <c r="G18" s="12">
        <f>COUNTIF('Boarding'!$G$84:$G$93,"Tranche 3")</f>
        <v/>
      </c>
      <c r="H18" s="13">
        <f>HYPERLINK("#'Boarding'!A82","Open →")</f>
        <v/>
      </c>
    </row>
    <row r="19" ht="18" customHeight="1">
      <c r="A19" s="9" t="n">
        <v>7</v>
      </c>
      <c r="B19" s="10" t="inlineStr">
        <is>
          <t>Single-in</t>
        </is>
      </c>
      <c r="C19" s="11" t="inlineStr">
        <is>
          <t>Global API</t>
        </is>
      </c>
      <c r="D19" s="12">
        <f>COUNTA('Single-in'!$B$13:$B$22)</f>
        <v/>
      </c>
      <c r="E19" s="12">
        <f>COUNTIF('Single-in'!$G$13:$G$22,"Tranche 1")</f>
        <v/>
      </c>
      <c r="F19" s="12">
        <f>COUNTIF('Single-in'!$G$13:$G$22,"Tranche 2")</f>
        <v/>
      </c>
      <c r="G19" s="12">
        <f>COUNTIF('Single-in'!$G$13:$G$22,"Tranche 3")</f>
        <v/>
      </c>
      <c r="H19" s="13">
        <f>HYPERLINK("#'Single-in'!A11","Open →")</f>
        <v/>
      </c>
    </row>
    <row r="20" ht="18" customHeight="1">
      <c r="A20" s="9" t="n">
        <v>8</v>
      </c>
      <c r="B20" s="14" t="n"/>
      <c r="C20" s="11" t="inlineStr">
        <is>
          <t>Payment Apps &amp; SDKs</t>
        </is>
      </c>
      <c r="D20" s="12">
        <f>COUNTA('Single-in'!$B$27:$B$36)</f>
        <v/>
      </c>
      <c r="E20" s="12">
        <f>COUNTIF('Single-in'!$G$27:$G$36,"Tranche 1")</f>
        <v/>
      </c>
      <c r="F20" s="12">
        <f>COUNTIF('Single-in'!$G$27:$G$36,"Tranche 2")</f>
        <v/>
      </c>
      <c r="G20" s="12">
        <f>COUNTIF('Single-in'!$G$27:$G$36,"Tranche 3")</f>
        <v/>
      </c>
      <c r="H20" s="13">
        <f>HYPERLINK("#'Single-in'!A25","Open →")</f>
        <v/>
      </c>
    </row>
    <row r="21" ht="18" customHeight="1">
      <c r="A21" s="9" t="n">
        <v>9</v>
      </c>
      <c r="B21" s="14" t="n"/>
      <c r="C21" s="11" t="inlineStr">
        <is>
          <t>Developer Experience</t>
        </is>
      </c>
      <c r="D21" s="12">
        <f>COUNTA('Single-in'!$B$41:$B$50)</f>
        <v/>
      </c>
      <c r="E21" s="12">
        <f>COUNTIF('Single-in'!$G$41:$G$50,"Tranche 1")</f>
        <v/>
      </c>
      <c r="F21" s="12">
        <f>COUNTIF('Single-in'!$G$41:$G$50,"Tranche 2")</f>
        <v/>
      </c>
      <c r="G21" s="12">
        <f>COUNTIF('Single-in'!$G$41:$G$50,"Tranche 3")</f>
        <v/>
      </c>
      <c r="H21" s="13">
        <f>HYPERLINK("#'Single-in'!A39","Open →")</f>
        <v/>
      </c>
    </row>
    <row r="22" ht="18" customHeight="1">
      <c r="A22" s="9" t="n">
        <v>10</v>
      </c>
      <c r="B22" s="14" t="n"/>
      <c r="C22" s="11" t="inlineStr">
        <is>
          <t>Hosted Solutions</t>
        </is>
      </c>
      <c r="D22" s="12">
        <f>COUNTA('Single-in'!$B$55:$B$64)</f>
        <v/>
      </c>
      <c r="E22" s="12">
        <f>COUNTIF('Single-in'!$G$55:$G$64,"Tranche 1")</f>
        <v/>
      </c>
      <c r="F22" s="12">
        <f>COUNTIF('Single-in'!$G$55:$G$64,"Tranche 2")</f>
        <v/>
      </c>
      <c r="G22" s="12">
        <f>COUNTIF('Single-in'!$G$55:$G$64,"Tranche 3")</f>
        <v/>
      </c>
      <c r="H22" s="13">
        <f>HYPERLINK("#'Single-in'!A53","Open →")</f>
        <v/>
      </c>
    </row>
    <row r="23" ht="18" customHeight="1">
      <c r="A23" s="9" t="n">
        <v>11</v>
      </c>
      <c r="B23" s="15" t="n"/>
      <c r="C23" s="11" t="inlineStr">
        <is>
          <t>Unified Proposition</t>
        </is>
      </c>
      <c r="D23" s="12">
        <f>COUNTA('Single-in'!$B$69:$B$78)</f>
        <v/>
      </c>
      <c r="E23" s="12">
        <f>COUNTIF('Single-in'!$G$69:$G$78,"Tranche 1")</f>
        <v/>
      </c>
      <c r="F23" s="12">
        <f>COUNTIF('Single-in'!$G$69:$G$78,"Tranche 2")</f>
        <v/>
      </c>
      <c r="G23" s="12">
        <f>COUNTIF('Single-in'!$G$69:$G$78,"Tranche 3")</f>
        <v/>
      </c>
      <c r="H23" s="13">
        <f>HYPERLINK("#'Single-in'!A67","Open →")</f>
        <v/>
      </c>
    </row>
    <row r="24" ht="18" customHeight="1">
      <c r="A24" s="9" t="n">
        <v>12</v>
      </c>
      <c r="B24" s="10" t="inlineStr">
        <is>
          <t>Sales &amp; Servicing</t>
        </is>
      </c>
      <c r="C24" s="11" t="inlineStr">
        <is>
          <t>CRM</t>
        </is>
      </c>
      <c r="D24" s="12">
        <f>COUNTA('Sales &amp; Servicing'!$B$12:$B$21)</f>
        <v/>
      </c>
      <c r="E24" s="12">
        <f>COUNTIF('Sales &amp; Servicing'!$G$12:$G$21,"Tranche 1")</f>
        <v/>
      </c>
      <c r="F24" s="12">
        <f>COUNTIF('Sales &amp; Servicing'!$G$12:$G$21,"Tranche 2")</f>
        <v/>
      </c>
      <c r="G24" s="12">
        <f>COUNTIF('Sales &amp; Servicing'!$G$12:$G$21,"Tranche 3")</f>
        <v/>
      </c>
      <c r="H24" s="13">
        <f>HYPERLINK("#'Sales &amp; Servicing'!A10","Open →")</f>
        <v/>
      </c>
    </row>
    <row r="25" ht="18" customHeight="1">
      <c r="A25" s="9" t="n">
        <v>13</v>
      </c>
      <c r="B25" s="14" t="n"/>
      <c r="C25" s="11" t="inlineStr">
        <is>
          <t>Servicing Tools</t>
        </is>
      </c>
      <c r="D25" s="12">
        <f>COUNTA('Sales &amp; Servicing'!$B$26:$B$35)</f>
        <v/>
      </c>
      <c r="E25" s="12">
        <f>COUNTIF('Sales &amp; Servicing'!$G$26:$G$35,"Tranche 1")</f>
        <v/>
      </c>
      <c r="F25" s="12">
        <f>COUNTIF('Sales &amp; Servicing'!$G$26:$G$35,"Tranche 2")</f>
        <v/>
      </c>
      <c r="G25" s="12">
        <f>COUNTIF('Sales &amp; Servicing'!$G$26:$G$35,"Tranche 3")</f>
        <v/>
      </c>
      <c r="H25" s="13">
        <f>HYPERLINK("#'Sales &amp; Servicing'!A24","Open →")</f>
        <v/>
      </c>
    </row>
    <row r="26" ht="18" customHeight="1">
      <c r="A26" s="9" t="n">
        <v>14</v>
      </c>
      <c r="B26" s="14" t="n"/>
      <c r="C26" s="11" t="inlineStr">
        <is>
          <t>Sales Automation</t>
        </is>
      </c>
      <c r="D26" s="12">
        <f>COUNTA('Sales &amp; Servicing'!$B$40:$B$49)</f>
        <v/>
      </c>
      <c r="E26" s="12">
        <f>COUNTIF('Sales &amp; Servicing'!$G$40:$G$49,"Tranche 1")</f>
        <v/>
      </c>
      <c r="F26" s="12">
        <f>COUNTIF('Sales &amp; Servicing'!$G$40:$G$49,"Tranche 2")</f>
        <v/>
      </c>
      <c r="G26" s="12">
        <f>COUNTIF('Sales &amp; Servicing'!$G$40:$G$49,"Tranche 3")</f>
        <v/>
      </c>
      <c r="H26" s="13">
        <f>HYPERLINK("#'Sales &amp; Servicing'!A38","Open →")</f>
        <v/>
      </c>
    </row>
    <row r="27" ht="18" customHeight="1">
      <c r="A27" s="9" t="n">
        <v>15</v>
      </c>
      <c r="B27" s="15" t="n"/>
      <c r="C27" s="11" t="inlineStr">
        <is>
          <t>Risks</t>
        </is>
      </c>
      <c r="D27" s="12">
        <f>COUNTA('Sales &amp; Servicing'!$B$54:$B$63)</f>
        <v/>
      </c>
      <c r="E27" s="12">
        <f>COUNTIF('Sales &amp; Servicing'!$G$54:$G$63,"Tranche 1")</f>
        <v/>
      </c>
      <c r="F27" s="12">
        <f>COUNTIF('Sales &amp; Servicing'!$G$54:$G$63,"Tranche 2")</f>
        <v/>
      </c>
      <c r="G27" s="12">
        <f>COUNTIF('Sales &amp; Servicing'!$G$54:$G$63,"Tranche 3")</f>
        <v/>
      </c>
      <c r="H27" s="13">
        <f>HYPERLINK("#'Sales &amp; Servicing'!A52","Open →")</f>
        <v/>
      </c>
    </row>
    <row r="28" ht="18" customHeight="1">
      <c r="A28" s="9" t="n">
        <v>16</v>
      </c>
      <c r="B28" s="10" t="inlineStr">
        <is>
          <t>Payment Processing</t>
        </is>
      </c>
      <c r="C28" s="11" t="inlineStr">
        <is>
          <t>Gateway</t>
        </is>
      </c>
      <c r="D28" s="12">
        <f>COUNTA('Payment Processing'!$B$14:$B$23)</f>
        <v/>
      </c>
      <c r="E28" s="12">
        <f>COUNTIF('Payment Processing'!$G$14:$G$23,"Tranche 1")</f>
        <v/>
      </c>
      <c r="F28" s="12">
        <f>COUNTIF('Payment Processing'!$G$14:$G$23,"Tranche 2")</f>
        <v/>
      </c>
      <c r="G28" s="12">
        <f>COUNTIF('Payment Processing'!$G$14:$G$23,"Tranche 3")</f>
        <v/>
      </c>
      <c r="H28" s="13">
        <f>HYPERLINK("#'Payment Processing'!A12","Open →")</f>
        <v/>
      </c>
    </row>
    <row r="29" ht="18" customHeight="1">
      <c r="A29" s="9" t="n">
        <v>17</v>
      </c>
      <c r="B29" s="14" t="n"/>
      <c r="C29" s="11" t="inlineStr">
        <is>
          <t>Switch</t>
        </is>
      </c>
      <c r="D29" s="12">
        <f>COUNTA('Payment Processing'!$B$28:$B$37)</f>
        <v/>
      </c>
      <c r="E29" s="12">
        <f>COUNTIF('Payment Processing'!$G$28:$G$37,"Tranche 1")</f>
        <v/>
      </c>
      <c r="F29" s="12">
        <f>COUNTIF('Payment Processing'!$G$28:$G$37,"Tranche 2")</f>
        <v/>
      </c>
      <c r="G29" s="12">
        <f>COUNTIF('Payment Processing'!$G$28:$G$37,"Tranche 3")</f>
        <v/>
      </c>
      <c r="H29" s="13">
        <f>HYPERLINK("#'Payment Processing'!A26","Open →")</f>
        <v/>
      </c>
    </row>
    <row r="30" ht="18" customHeight="1">
      <c r="A30" s="9" t="n">
        <v>18</v>
      </c>
      <c r="B30" s="14" t="n"/>
      <c r="C30" s="11" t="inlineStr">
        <is>
          <t>Clearing Back-end</t>
        </is>
      </c>
      <c r="D30" s="12">
        <f>COUNTA('Payment Processing'!$B$42:$B$51)</f>
        <v/>
      </c>
      <c r="E30" s="12">
        <f>COUNTIF('Payment Processing'!$G$42:$G$51,"Tranche 1")</f>
        <v/>
      </c>
      <c r="F30" s="12">
        <f>COUNTIF('Payment Processing'!$G$42:$G$51,"Tranche 2")</f>
        <v/>
      </c>
      <c r="G30" s="12">
        <f>COUNTIF('Payment Processing'!$G$42:$G$51,"Tranche 3")</f>
        <v/>
      </c>
      <c r="H30" s="13">
        <f>HYPERLINK("#'Payment Processing'!A40","Open →")</f>
        <v/>
      </c>
    </row>
    <row r="31" ht="18" customHeight="1">
      <c r="A31" s="9" t="n">
        <v>19</v>
      </c>
      <c r="B31" s="14" t="n"/>
      <c r="C31" s="11" t="inlineStr">
        <is>
          <t>Authorization Host</t>
        </is>
      </c>
      <c r="D31" s="12">
        <f>COUNTA('Payment Processing'!$B$56:$B$65)</f>
        <v/>
      </c>
      <c r="E31" s="12">
        <f>COUNTIF('Payment Processing'!$G$56:$G$65,"Tranche 1")</f>
        <v/>
      </c>
      <c r="F31" s="12">
        <f>COUNTIF('Payment Processing'!$G$56:$G$65,"Tranche 2")</f>
        <v/>
      </c>
      <c r="G31" s="12">
        <f>COUNTIF('Payment Processing'!$G$56:$G$65,"Tranche 3")</f>
        <v/>
      </c>
      <c r="H31" s="13">
        <f>HYPERLINK("#'Payment Processing'!A54","Open →")</f>
        <v/>
      </c>
    </row>
    <row r="32" ht="18" customHeight="1">
      <c r="A32" s="9" t="n">
        <v>20</v>
      </c>
      <c r="B32" s="14" t="n"/>
      <c r="C32" s="11" t="inlineStr">
        <is>
          <t>Transaction monitoring</t>
        </is>
      </c>
      <c r="D32" s="12">
        <f>COUNTA('Payment Processing'!$B$70:$B$79)</f>
        <v/>
      </c>
      <c r="E32" s="12">
        <f>COUNTIF('Payment Processing'!$G$70:$G$79,"Tranche 1")</f>
        <v/>
      </c>
      <c r="F32" s="12">
        <f>COUNTIF('Payment Processing'!$G$70:$G$79,"Tranche 2")</f>
        <v/>
      </c>
      <c r="G32" s="12">
        <f>COUNTIF('Payment Processing'!$G$70:$G$79,"Tranche 3")</f>
        <v/>
      </c>
      <c r="H32" s="13">
        <f>HYPERLINK("#'Payment Processing'!A68","Open →")</f>
        <v/>
      </c>
    </row>
    <row r="33" ht="18" customHeight="1">
      <c r="A33" s="9" t="n">
        <v>21</v>
      </c>
      <c r="B33" s="15" t="n"/>
      <c r="C33" s="11" t="inlineStr">
        <is>
          <t>APMs/LPMs</t>
        </is>
      </c>
      <c r="D33" s="12">
        <f>COUNTA('Payment Processing'!$B$84:$B$93)</f>
        <v/>
      </c>
      <c r="E33" s="12">
        <f>COUNTIF('Payment Processing'!$G$84:$G$93,"Tranche 1")</f>
        <v/>
      </c>
      <c r="F33" s="12">
        <f>COUNTIF('Payment Processing'!$G$84:$G$93,"Tranche 2")</f>
        <v/>
      </c>
      <c r="G33" s="12">
        <f>COUNTIF('Payment Processing'!$G$84:$G$93,"Tranche 3")</f>
        <v/>
      </c>
      <c r="H33" s="13">
        <f>HYPERLINK("#'Payment Processing'!A82","Open →")</f>
        <v/>
      </c>
    </row>
    <row r="34" ht="18" customHeight="1">
      <c r="A34" s="9" t="n">
        <v>22</v>
      </c>
      <c r="B34" s="10" t="inlineStr">
        <is>
          <t>VAS</t>
        </is>
      </c>
      <c r="C34" s="11" t="inlineStr">
        <is>
          <t>Routing</t>
        </is>
      </c>
      <c r="D34" s="12">
        <f>COUNTA('VAS'!$B$17:$B$26)</f>
        <v/>
      </c>
      <c r="E34" s="12">
        <f>COUNTIF('VAS'!$G$17:$G$26,"Tranche 1")</f>
        <v/>
      </c>
      <c r="F34" s="12">
        <f>COUNTIF('VAS'!$G$17:$G$26,"Tranche 2")</f>
        <v/>
      </c>
      <c r="G34" s="12">
        <f>COUNTIF('VAS'!$G$17:$G$26,"Tranche 3")</f>
        <v/>
      </c>
      <c r="H34" s="13">
        <f>HYPERLINK("#'VAS'!A15","Open →")</f>
        <v/>
      </c>
    </row>
    <row r="35" ht="18" customHeight="1">
      <c r="A35" s="9" t="n">
        <v>23</v>
      </c>
      <c r="B35" s="14" t="n"/>
      <c r="C35" s="11" t="inlineStr">
        <is>
          <t>Networking Payment Tokens</t>
        </is>
      </c>
      <c r="D35" s="12">
        <f>COUNTA('VAS'!$B$31:$B$40)</f>
        <v/>
      </c>
      <c r="E35" s="12">
        <f>COUNTIF('VAS'!$G$31:$G$40,"Tranche 1")</f>
        <v/>
      </c>
      <c r="F35" s="12">
        <f>COUNTIF('VAS'!$G$31:$G$40,"Tranche 2")</f>
        <v/>
      </c>
      <c r="G35" s="12">
        <f>COUNTIF('VAS'!$G$31:$G$40,"Tranche 3")</f>
        <v/>
      </c>
      <c r="H35" s="13">
        <f>HYPERLINK("#'VAS'!A29","Open →")</f>
        <v/>
      </c>
    </row>
    <row r="36" ht="18" customHeight="1">
      <c r="A36" s="9" t="n">
        <v>24</v>
      </c>
      <c r="B36" s="14" t="n"/>
      <c r="C36" s="11" t="inlineStr">
        <is>
          <t>DCC eDCC</t>
        </is>
      </c>
      <c r="D36" s="12">
        <f>COUNTA('VAS'!$B$45:$B$54)</f>
        <v/>
      </c>
      <c r="E36" s="12">
        <f>COUNTIF('VAS'!$G$45:$G$54,"Tranche 1")</f>
        <v/>
      </c>
      <c r="F36" s="12">
        <f>COUNTIF('VAS'!$G$45:$G$54,"Tranche 2")</f>
        <v/>
      </c>
      <c r="G36" s="12">
        <f>COUNTIF('VAS'!$G$45:$G$54,"Tranche 3")</f>
        <v/>
      </c>
      <c r="H36" s="13">
        <f>HYPERLINK("#'VAS'!A43","Open →")</f>
        <v/>
      </c>
    </row>
    <row r="37" ht="18" customHeight="1">
      <c r="A37" s="9" t="n">
        <v>25</v>
      </c>
      <c r="B37" s="14" t="n"/>
      <c r="C37" s="11" t="inlineStr">
        <is>
          <t>Fraud</t>
        </is>
      </c>
      <c r="D37" s="12">
        <f>COUNTA('VAS'!$B$59:$B$68)</f>
        <v/>
      </c>
      <c r="E37" s="12">
        <f>COUNTIF('VAS'!$G$59:$G$68,"Tranche 1")</f>
        <v/>
      </c>
      <c r="F37" s="12">
        <f>COUNTIF('VAS'!$G$59:$G$68,"Tranche 2")</f>
        <v/>
      </c>
      <c r="G37" s="12">
        <f>COUNTIF('VAS'!$G$59:$G$68,"Tranche 3")</f>
        <v/>
      </c>
      <c r="H37" s="13">
        <f>HYPERLINK("#'VAS'!A57","Open →")</f>
        <v/>
      </c>
    </row>
    <row r="38" ht="18" customHeight="1">
      <c r="A38" s="9" t="n">
        <v>26</v>
      </c>
      <c r="B38" s="14" t="n"/>
      <c r="C38" s="11" t="inlineStr">
        <is>
          <t>Credential Management</t>
        </is>
      </c>
      <c r="D38" s="12">
        <f>COUNTA('VAS'!$B$73:$B$82)</f>
        <v/>
      </c>
      <c r="E38" s="12">
        <f>COUNTIF('VAS'!$G$73:$G$82,"Tranche 1")</f>
        <v/>
      </c>
      <c r="F38" s="12">
        <f>COUNTIF('VAS'!$G$73:$G$82,"Tranche 2")</f>
        <v/>
      </c>
      <c r="G38" s="12">
        <f>COUNTIF('VAS'!$G$73:$G$82,"Tranche 3")</f>
        <v/>
      </c>
      <c r="H38" s="13">
        <f>HYPERLINK("#'VAS'!A71","Open →")</f>
        <v/>
      </c>
    </row>
    <row r="39" ht="18" customHeight="1">
      <c r="A39" s="9" t="n">
        <v>27</v>
      </c>
      <c r="B39" s="14" t="n"/>
      <c r="C39" s="11" t="inlineStr">
        <is>
          <t>Gifts</t>
        </is>
      </c>
      <c r="D39" s="12">
        <f>COUNTA('VAS'!$B$87:$B$96)</f>
        <v/>
      </c>
      <c r="E39" s="12">
        <f>COUNTIF('VAS'!$G$87:$G$96,"Tranche 1")</f>
        <v/>
      </c>
      <c r="F39" s="12">
        <f>COUNTIF('VAS'!$G$87:$G$96,"Tranche 2")</f>
        <v/>
      </c>
      <c r="G39" s="12">
        <f>COUNTIF('VAS'!$G$87:$G$96,"Tranche 3")</f>
        <v/>
      </c>
      <c r="H39" s="13">
        <f>HYPERLINK("#'VAS'!A85","Open →")</f>
        <v/>
      </c>
    </row>
    <row r="40" ht="18" customHeight="1">
      <c r="A40" s="9" t="n">
        <v>28</v>
      </c>
      <c r="B40" s="14" t="n"/>
      <c r="C40" s="11" t="inlineStr">
        <is>
          <t>Managed Optimization</t>
        </is>
      </c>
      <c r="D40" s="12">
        <f>COUNTA('VAS'!$B$101:$B$110)</f>
        <v/>
      </c>
      <c r="E40" s="12">
        <f>COUNTIF('VAS'!$G$101:$G$110,"Tranche 1")</f>
        <v/>
      </c>
      <c r="F40" s="12">
        <f>COUNTIF('VAS'!$G$101:$G$110,"Tranche 2")</f>
        <v/>
      </c>
      <c r="G40" s="12">
        <f>COUNTIF('VAS'!$G$101:$G$110,"Tranche 3")</f>
        <v/>
      </c>
      <c r="H40" s="13">
        <f>HYPERLINK("#'VAS'!A99","Open →")</f>
        <v/>
      </c>
    </row>
    <row r="41" ht="18" customHeight="1">
      <c r="A41" s="9" t="n">
        <v>29</v>
      </c>
      <c r="B41" s="14" t="n"/>
      <c r="C41" s="11" t="inlineStr">
        <is>
          <t>3DS / exemptions</t>
        </is>
      </c>
      <c r="D41" s="12">
        <f>COUNTA('VAS'!$B$115:$B$124)</f>
        <v/>
      </c>
      <c r="E41" s="12">
        <f>COUNTIF('VAS'!$G$115:$G$124,"Tranche 1")</f>
        <v/>
      </c>
      <c r="F41" s="12">
        <f>COUNTIF('VAS'!$G$115:$G$124,"Tranche 2")</f>
        <v/>
      </c>
      <c r="G41" s="12">
        <f>COUNTIF('VAS'!$G$115:$G$124,"Tranche 3")</f>
        <v/>
      </c>
      <c r="H41" s="13">
        <f>HYPERLINK("#'VAS'!A113","Open →")</f>
        <v/>
      </c>
    </row>
    <row r="42" ht="18" customHeight="1">
      <c r="A42" s="9" t="n">
        <v>30</v>
      </c>
      <c r="B42" s="15" t="n"/>
      <c r="C42" s="11" t="inlineStr">
        <is>
          <t>FX</t>
        </is>
      </c>
      <c r="D42" s="12">
        <f>COUNTA('VAS'!$B$129:$B$138)</f>
        <v/>
      </c>
      <c r="E42" s="12">
        <f>COUNTIF('VAS'!$G$129:$G$138,"Tranche 1")</f>
        <v/>
      </c>
      <c r="F42" s="12">
        <f>COUNTIF('VAS'!$G$129:$G$138,"Tranche 2")</f>
        <v/>
      </c>
      <c r="G42" s="12">
        <f>COUNTIF('VAS'!$G$129:$G$138,"Tranche 3")</f>
        <v/>
      </c>
      <c r="H42" s="13">
        <f>HYPERLINK("#'VAS'!A127","Open →")</f>
        <v/>
      </c>
    </row>
    <row r="43" ht="18" customHeight="1">
      <c r="A43" s="9" t="n">
        <v>31</v>
      </c>
      <c r="B43" s="10" t="inlineStr">
        <is>
          <t>Unified Data and AI</t>
        </is>
      </c>
      <c r="C43" s="11" t="inlineStr">
        <is>
          <t>Overall</t>
        </is>
      </c>
      <c r="D43" s="12">
        <f>COUNTA('Unified Data and AI'!$B$9:$B$18)</f>
        <v/>
      </c>
      <c r="E43" s="12">
        <f>COUNTIF('Unified Data and AI'!$G$9:$G$18,"Tranche 1")</f>
        <v/>
      </c>
      <c r="F43" s="12">
        <f>COUNTIF('Unified Data and AI'!$G$9:$G$18,"Tranche 2")</f>
        <v/>
      </c>
      <c r="G43" s="12">
        <f>COUNTIF('Unified Data and AI'!$G$9:$G$18,"Tranche 3")</f>
        <v/>
      </c>
      <c r="H43" s="13">
        <f>HYPERLINK("#'Unified Data and AI'!A7","Open →")</f>
        <v/>
      </c>
    </row>
    <row r="44" ht="18" customHeight="1">
      <c r="A44" s="9" t="n">
        <v>32</v>
      </c>
      <c r="B44" s="10" t="inlineStr">
        <is>
          <t>Global Infrastructure</t>
        </is>
      </c>
      <c r="C44" s="11" t="inlineStr">
        <is>
          <t>Data Centers</t>
        </is>
      </c>
      <c r="D44" s="12">
        <f>COUNTA('Global Infrastructure'!$B$14:$B$23)</f>
        <v/>
      </c>
      <c r="E44" s="12">
        <f>COUNTIF('Global Infrastructure'!$G$14:$G$23,"Tranche 1")</f>
        <v/>
      </c>
      <c r="F44" s="12">
        <f>COUNTIF('Global Infrastructure'!$G$14:$G$23,"Tranche 2")</f>
        <v/>
      </c>
      <c r="G44" s="12">
        <f>COUNTIF('Global Infrastructure'!$G$14:$G$23,"Tranche 3")</f>
        <v/>
      </c>
      <c r="H44" s="13">
        <f>HYPERLINK("#'Global Infrastructure'!A12","Open →")</f>
        <v/>
      </c>
    </row>
    <row r="45" ht="18" customHeight="1">
      <c r="A45" s="9" t="n">
        <v>33</v>
      </c>
      <c r="B45" s="14" t="n"/>
      <c r="C45" s="11" t="inlineStr">
        <is>
          <t>Cloud</t>
        </is>
      </c>
      <c r="D45" s="12">
        <f>COUNTA('Global Infrastructure'!$B$28:$B$37)</f>
        <v/>
      </c>
      <c r="E45" s="12">
        <f>COUNTIF('Global Infrastructure'!$G$28:$G$37,"Tranche 1")</f>
        <v/>
      </c>
      <c r="F45" s="12">
        <f>COUNTIF('Global Infrastructure'!$G$28:$G$37,"Tranche 2")</f>
        <v/>
      </c>
      <c r="G45" s="12">
        <f>COUNTIF('Global Infrastructure'!$G$28:$G$37,"Tranche 3")</f>
        <v/>
      </c>
      <c r="H45" s="13">
        <f>HYPERLINK("#'Global Infrastructure'!A26","Open →")</f>
        <v/>
      </c>
    </row>
    <row r="46" ht="18" customHeight="1">
      <c r="A46" s="9" t="n">
        <v>34</v>
      </c>
      <c r="B46" s="14" t="n"/>
      <c r="C46" s="11" t="inlineStr">
        <is>
          <t>Observability</t>
        </is>
      </c>
      <c r="D46" s="12">
        <f>COUNTA('Global Infrastructure'!$B$42:$B$51)</f>
        <v/>
      </c>
      <c r="E46" s="12">
        <f>COUNTIF('Global Infrastructure'!$G$42:$G$51,"Tranche 1")</f>
        <v/>
      </c>
      <c r="F46" s="12">
        <f>COUNTIF('Global Infrastructure'!$G$42:$G$51,"Tranche 2")</f>
        <v/>
      </c>
      <c r="G46" s="12">
        <f>COUNTIF('Global Infrastructure'!$G$42:$G$51,"Tranche 3")</f>
        <v/>
      </c>
      <c r="H46" s="13">
        <f>HYPERLINK("#'Global Infrastructure'!A40","Open →")</f>
        <v/>
      </c>
    </row>
    <row r="47" ht="18" customHeight="1">
      <c r="A47" s="9" t="n">
        <v>35</v>
      </c>
      <c r="B47" s="14" t="n"/>
      <c r="C47" s="11" t="inlineStr">
        <is>
          <t>Security</t>
        </is>
      </c>
      <c r="D47" s="12">
        <f>COUNTA('Global Infrastructure'!$B$56:$B$65)</f>
        <v/>
      </c>
      <c r="E47" s="12">
        <f>COUNTIF('Global Infrastructure'!$G$56:$G$65,"Tranche 1")</f>
        <v/>
      </c>
      <c r="F47" s="12">
        <f>COUNTIF('Global Infrastructure'!$G$56:$G$65,"Tranche 2")</f>
        <v/>
      </c>
      <c r="G47" s="12">
        <f>COUNTIF('Global Infrastructure'!$G$56:$G$65,"Tranche 3")</f>
        <v/>
      </c>
      <c r="H47" s="13">
        <f>HYPERLINK("#'Global Infrastructure'!A54","Open →")</f>
        <v/>
      </c>
    </row>
    <row r="48" ht="18" customHeight="1">
      <c r="A48" s="9" t="n">
        <v>36</v>
      </c>
      <c r="B48" s="14" t="n"/>
      <c r="C48" s="11" t="inlineStr">
        <is>
          <t>AI Tools</t>
        </is>
      </c>
      <c r="D48" s="12">
        <f>COUNTA('Global Infrastructure'!$B$70:$B$79)</f>
        <v/>
      </c>
      <c r="E48" s="12">
        <f>COUNTIF('Global Infrastructure'!$G$70:$G$79,"Tranche 1")</f>
        <v/>
      </c>
      <c r="F48" s="12">
        <f>COUNTIF('Global Infrastructure'!$G$70:$G$79,"Tranche 2")</f>
        <v/>
      </c>
      <c r="G48" s="12">
        <f>COUNTIF('Global Infrastructure'!$G$70:$G$79,"Tranche 3")</f>
        <v/>
      </c>
      <c r="H48" s="13">
        <f>HYPERLINK("#'Global Infrastructure'!A68","Open →")</f>
        <v/>
      </c>
    </row>
    <row r="49" ht="18" customHeight="1">
      <c r="A49" s="9" t="n">
        <v>37</v>
      </c>
      <c r="B49" s="15" t="n"/>
      <c r="C49" s="11" t="inlineStr">
        <is>
          <t>Design Systems</t>
        </is>
      </c>
      <c r="D49" s="12">
        <f>COUNTA('Global Infrastructure'!$B$84:$B$93)</f>
        <v/>
      </c>
      <c r="E49" s="12">
        <f>COUNTIF('Global Infrastructure'!$G$84:$G$93,"Tranche 1")</f>
        <v/>
      </c>
      <c r="F49" s="12">
        <f>COUNTIF('Global Infrastructure'!$G$84:$G$93,"Tranche 2")</f>
        <v/>
      </c>
      <c r="G49" s="12">
        <f>COUNTIF('Global Infrastructure'!$G$84:$G$93,"Tranche 3")</f>
        <v/>
      </c>
      <c r="H49" s="13">
        <f>HYPERLINK("#'Global Infrastructure'!A82","Open →")</f>
        <v/>
      </c>
    </row>
    <row r="50" ht="18" customHeight="1">
      <c r="A50" s="9" t="n">
        <v>38</v>
      </c>
      <c r="B50" s="10" t="inlineStr">
        <is>
          <t>Single-out</t>
        </is>
      </c>
      <c r="C50" s="11" t="inlineStr">
        <is>
          <t>Portal</t>
        </is>
      </c>
      <c r="D50" s="12">
        <f>COUNTA('Single-out'!$B$14:$B$23)</f>
        <v/>
      </c>
      <c r="E50" s="12">
        <f>COUNTIF('Single-out'!$G$14:$G$23,"Tranche 1")</f>
        <v/>
      </c>
      <c r="F50" s="12">
        <f>COUNTIF('Single-out'!$G$14:$G$23,"Tranche 2")</f>
        <v/>
      </c>
      <c r="G50" s="12">
        <f>COUNTIF('Single-out'!$G$14:$G$23,"Tranche 3")</f>
        <v/>
      </c>
      <c r="H50" s="13">
        <f>HYPERLINK("#'Single-out'!A12","Open →")</f>
        <v/>
      </c>
    </row>
    <row r="51" ht="18" customHeight="1">
      <c r="A51" s="9" t="n">
        <v>39</v>
      </c>
      <c r="B51" s="14" t="n"/>
      <c r="C51" s="11" t="inlineStr">
        <is>
          <t>Reporting</t>
        </is>
      </c>
      <c r="D51" s="12">
        <f>COUNTA('Single-out'!$B$28:$B$37)</f>
        <v/>
      </c>
      <c r="E51" s="12">
        <f>COUNTIF('Single-out'!$G$28:$G$37,"Tranche 1")</f>
        <v/>
      </c>
      <c r="F51" s="12">
        <f>COUNTIF('Single-out'!$G$28:$G$37,"Tranche 2")</f>
        <v/>
      </c>
      <c r="G51" s="12">
        <f>COUNTIF('Single-out'!$G$28:$G$37,"Tranche 3")</f>
        <v/>
      </c>
      <c r="H51" s="13">
        <f>HYPERLINK("#'Single-out'!A26","Open →")</f>
        <v/>
      </c>
    </row>
    <row r="52" ht="18" customHeight="1">
      <c r="A52" s="9" t="n">
        <v>40</v>
      </c>
      <c r="B52" s="14" t="n"/>
      <c r="C52" s="11" t="inlineStr">
        <is>
          <t>Billing</t>
        </is>
      </c>
      <c r="D52" s="12">
        <f>COUNTA('Single-out'!$B$42:$B$51)</f>
        <v/>
      </c>
      <c r="E52" s="12">
        <f>COUNTIF('Single-out'!$G$42:$G$51,"Tranche 1")</f>
        <v/>
      </c>
      <c r="F52" s="12">
        <f>COUNTIF('Single-out'!$G$42:$G$51,"Tranche 2")</f>
        <v/>
      </c>
      <c r="G52" s="12">
        <f>COUNTIF('Single-out'!$G$42:$G$51,"Tranche 3")</f>
        <v/>
      </c>
      <c r="H52" s="13">
        <f>HYPERLINK("#'Single-out'!A40","Open →")</f>
        <v/>
      </c>
    </row>
    <row r="53" ht="18" customHeight="1">
      <c r="A53" s="9" t="n">
        <v>41</v>
      </c>
      <c r="B53" s="14" t="n"/>
      <c r="C53" s="11" t="inlineStr">
        <is>
          <t>Disputes</t>
        </is>
      </c>
      <c r="D53" s="12">
        <f>COUNTA('Single-out'!$B$56:$B$65)</f>
        <v/>
      </c>
      <c r="E53" s="12">
        <f>COUNTIF('Single-out'!$G$56:$G$65,"Tranche 1")</f>
        <v/>
      </c>
      <c r="F53" s="12">
        <f>COUNTIF('Single-out'!$G$56:$G$65,"Tranche 2")</f>
        <v/>
      </c>
      <c r="G53" s="12">
        <f>COUNTIF('Single-out'!$G$56:$G$65,"Tranche 3")</f>
        <v/>
      </c>
      <c r="H53" s="13">
        <f>HYPERLINK("#'Single-out'!A54","Open →")</f>
        <v/>
      </c>
    </row>
    <row r="54" ht="18" customHeight="1">
      <c r="A54" s="9" t="n">
        <v>42</v>
      </c>
      <c r="B54" s="14" t="n"/>
      <c r="C54" s="11" t="inlineStr">
        <is>
          <t>Payouts</t>
        </is>
      </c>
      <c r="D54" s="12">
        <f>COUNTA('Single-out'!$B$70:$B$79)</f>
        <v/>
      </c>
      <c r="E54" s="12">
        <f>COUNTIF('Single-out'!$G$70:$G$79,"Tranche 1")</f>
        <v/>
      </c>
      <c r="F54" s="12">
        <f>COUNTIF('Single-out'!$G$70:$G$79,"Tranche 2")</f>
        <v/>
      </c>
      <c r="G54" s="12">
        <f>COUNTIF('Single-out'!$G$70:$G$79,"Tranche 3")</f>
        <v/>
      </c>
      <c r="H54" s="13">
        <f>HYPERLINK("#'Single-out'!A68","Open →")</f>
        <v/>
      </c>
    </row>
    <row r="55" ht="18" customHeight="1">
      <c r="A55" s="9" t="n">
        <v>43</v>
      </c>
      <c r="B55" s="15" t="n"/>
      <c r="C55" s="11" t="inlineStr">
        <is>
          <t>PFaaS Products</t>
        </is>
      </c>
      <c r="D55" s="12">
        <f>COUNTA('Single-out'!$B$84:$B$93)</f>
        <v/>
      </c>
      <c r="E55" s="12">
        <f>COUNTIF('Single-out'!$G$84:$G$93,"Tranche 1")</f>
        <v/>
      </c>
      <c r="F55" s="12">
        <f>COUNTIF('Single-out'!$G$84:$G$93,"Tranche 2")</f>
        <v/>
      </c>
      <c r="G55" s="12">
        <f>COUNTIF('Single-out'!$G$84:$G$93,"Tranche 3")</f>
        <v/>
      </c>
      <c r="H55" s="13">
        <f>HYPERLINK("#'Single-out'!A82","Open →")</f>
        <v/>
      </c>
    </row>
    <row r="56">
      <c r="A56" s="16" t="n"/>
      <c r="B56" s="16" t="n"/>
      <c r="C56" s="17" t="inlineStr">
        <is>
          <t>Total</t>
        </is>
      </c>
      <c r="D56" s="18">
        <f>SUM(D13:D55)</f>
        <v/>
      </c>
      <c r="E56" s="18">
        <f>SUM(E13:E55)</f>
        <v/>
      </c>
      <c r="F56" s="18">
        <f>SUM(F13:F55)</f>
        <v/>
      </c>
      <c r="G56" s="18">
        <f>SUM(G13:G55)</f>
        <v/>
      </c>
      <c r="H56" s="16" t="n"/>
    </row>
  </sheetData>
  <mergeCells count="7">
    <mergeCell ref="B50:B55"/>
    <mergeCell ref="B13:B18"/>
    <mergeCell ref="B44:B49"/>
    <mergeCell ref="B28:B33"/>
    <mergeCell ref="B19:B23"/>
    <mergeCell ref="B24:B27"/>
    <mergeCell ref="B34:B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W9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7" customWidth="1" min="3" max="3"/>
    <col width="16" customWidth="1" min="4" max="4"/>
    <col width="15" customWidth="1" min="5" max="5"/>
    <col width="44" customWidth="1" min="6" max="6"/>
    <col width="14" customWidth="1" min="7" max="7"/>
    <col width="2" customWidth="1" min="8" max="8"/>
    <col width="4" customWidth="1" min="9" max="9"/>
    <col width="9" customWidth="1" min="10" max="10"/>
    <col width="26" customWidth="1" min="11" max="11"/>
    <col width="26" customWidth="1" min="12" max="12"/>
    <col width="26" customWidth="1" min="13" max="13"/>
    <col width="2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</cols>
  <sheetData>
    <row r="1">
      <c r="A1" s="19" t="inlineStr">
        <is>
          <t>Boarding — Platform Assessment</t>
        </is>
      </c>
    </row>
    <row r="2">
      <c r="A2" s="20">
        <f>HYPERLINK("#'Summary'!A1","← Back to Summary")</f>
        <v/>
      </c>
      <c r="C2" s="21" t="inlineStr">
        <is>
          <t>Pick a State, score High / Medium / Low — the tranche, the matrix and the Summary update automatically.</t>
        </is>
      </c>
    </row>
    <row r="4">
      <c r="A4" s="22" t="inlineStr">
        <is>
          <t>Tracker — jump to a sub-capability:</t>
        </is>
      </c>
    </row>
    <row r="5">
      <c r="A5" s="23" t="inlineStr">
        <is>
          <t>1.</t>
        </is>
      </c>
      <c r="B5" s="20">
        <f>HYPERLINK("#'Boarding'!A12","Boarding Experience")</f>
        <v/>
      </c>
    </row>
    <row r="6">
      <c r="A6" s="23" t="inlineStr">
        <is>
          <t>2.</t>
        </is>
      </c>
      <c r="B6" s="20">
        <f>HYPERLINK("#'Boarding'!A26","Ingress")</f>
        <v/>
      </c>
    </row>
    <row r="7">
      <c r="A7" s="23" t="inlineStr">
        <is>
          <t>3.</t>
        </is>
      </c>
      <c r="B7" s="20">
        <f>HYPERLINK("#'Boarding'!A40","Boarding Orchestration")</f>
        <v/>
      </c>
    </row>
    <row r="8">
      <c r="A8" s="23" t="inlineStr">
        <is>
          <t>4.</t>
        </is>
      </c>
      <c r="B8" s="20">
        <f>HYPERLINK("#'Boarding'!A54","Integration &amp; Messaging")</f>
        <v/>
      </c>
    </row>
    <row r="9">
      <c r="A9" s="23" t="inlineStr">
        <is>
          <t>5.</t>
        </is>
      </c>
      <c r="B9" s="20">
        <f>HYPERLINK("#'Boarding'!A68","Credit &amp; Underwriting")</f>
        <v/>
      </c>
    </row>
    <row r="10">
      <c r="A10" s="23" t="inlineStr">
        <is>
          <t>6.</t>
        </is>
      </c>
      <c r="B10" s="20">
        <f>HYPERLINK("#'Boarding'!A82","CPQ / Quote-pricing")</f>
        <v/>
      </c>
    </row>
    <row r="12" ht="22" customHeight="1">
      <c r="A12" s="24" t="inlineStr">
        <is>
          <t>Boarding Experience</t>
        </is>
      </c>
      <c r="G12" s="25">
        <f>HYPERLINK("#'Boarding'!A4","▲ tracker")</f>
        <v/>
      </c>
      <c r="K12" s="26" t="inlineStr">
        <is>
          <t>Assessment Outcome</t>
        </is>
      </c>
    </row>
    <row r="13" ht="18" customHeight="1">
      <c r="A13" s="27" t="inlineStr">
        <is>
          <t>#</t>
        </is>
      </c>
      <c r="B13" s="27" t="inlineStr">
        <is>
          <t>Platform</t>
        </is>
      </c>
      <c r="C13" s="27" t="inlineStr">
        <is>
          <t>State</t>
        </is>
      </c>
      <c r="D13" s="27" t="inlineStr">
        <is>
          <t>Imperative to exit</t>
        </is>
      </c>
      <c r="E13" s="27" t="inlineStr">
        <is>
          <t>Exit complexity</t>
        </is>
      </c>
      <c r="F13" s="27" t="inlineStr">
        <is>
          <t>Supporting facts</t>
        </is>
      </c>
      <c r="G13" s="27" t="inlineStr">
        <is>
          <t>Tranche (auto)</t>
        </is>
      </c>
      <c r="K13" s="28" t="inlineStr">
        <is>
          <t>Low</t>
        </is>
      </c>
      <c r="L13" s="28" t="inlineStr">
        <is>
          <t>Medium</t>
        </is>
      </c>
      <c r="M13" s="28" t="inlineStr">
        <is>
          <t>High</t>
        </is>
      </c>
    </row>
    <row r="14" ht="20" customHeight="1">
      <c r="A14" s="29" t="inlineStr">
        <is>
          <t>①</t>
        </is>
      </c>
      <c r="B14" s="30" t="n"/>
      <c r="C14" s="31" t="n"/>
      <c r="D14" s="31" t="n"/>
      <c r="E14" s="31" t="n"/>
      <c r="F14" s="32" t="n"/>
      <c r="G14" s="33">
        <f>IF(OR($B14="",$D14="",$E14=""),"",IF(OR($C14="Target state",$C14="Exception"),"Out of scope",IF($D14="Low","No tranche",IF($E14="Low","Tranche 1",IF($E14="Medium","Tranche 2",IF($D14="High","Tranche 3","No tranche"))))))</f>
        <v/>
      </c>
      <c r="I14" s="34" t="inlineStr">
        <is>
          <t>Benefits</t>
        </is>
      </c>
      <c r="J14" s="35" t="inlineStr">
        <is>
          <t>High</t>
        </is>
      </c>
      <c r="K14" s="36">
        <f>"Tranche 1"&amp;CHAR(10)&amp;_xlfn.TEXTJOIN(CHAR(10),TRUE,O$14:O$23)</f>
        <v/>
      </c>
      <c r="L14" s="37">
        <f>"Tranche 2"&amp;CHAR(10)&amp;_xlfn.TEXTJOIN(CHAR(10),TRUE,P$14:P$23)</f>
        <v/>
      </c>
      <c r="M14" s="38">
        <f>"Tranche 3"&amp;CHAR(10)&amp;_xlfn.TEXTJOIN(CHAR(10),TRUE,Q$14:Q$23)</f>
        <v/>
      </c>
      <c r="O14">
        <f>IF(AND($B14&lt;&gt;"",$C14&lt;&gt;"Target state",$C14&lt;&gt;"Exception",$D14="High",$E14="Low"),$A14&amp;"  "&amp;$B14,"")</f>
        <v/>
      </c>
      <c r="P14">
        <f>IF(AND($B14&lt;&gt;"",$C14&lt;&gt;"Target state",$C14&lt;&gt;"Exception",$D14="High",$E14="Medium"),$A14&amp;"  "&amp;$B14,"")</f>
        <v/>
      </c>
      <c r="Q14">
        <f>IF(AND($B14&lt;&gt;"",$C14&lt;&gt;"Target state",$C14&lt;&gt;"Exception",$D14="High",$E14="High"),$A14&amp;"  "&amp;$B14,"")</f>
        <v/>
      </c>
      <c r="R14">
        <f>IF(AND($B14&lt;&gt;"",$C14&lt;&gt;"Target state",$C14&lt;&gt;"Exception",$D14="Medium",$E14="Low"),$A14&amp;"  "&amp;$B14,"")</f>
        <v/>
      </c>
      <c r="S14">
        <f>IF(AND($B14&lt;&gt;"",$C14&lt;&gt;"Target state",$C14&lt;&gt;"Exception",$D14="Medium",$E14="Medium"),$A14&amp;"  "&amp;$B14,"")</f>
        <v/>
      </c>
      <c r="T14">
        <f>IF(AND($B14&lt;&gt;"",$C14&lt;&gt;"Target state",$C14&lt;&gt;"Exception",$D14="Medium",$E14="High"),$A14&amp;"  "&amp;$B14,"")</f>
        <v/>
      </c>
      <c r="U14">
        <f>IF(AND($B14&lt;&gt;"",$C14&lt;&gt;"Target state",$C14&lt;&gt;"Exception",$D14="Low",$E14="Low"),$A14&amp;"  "&amp;$B14,"")</f>
        <v/>
      </c>
      <c r="V14">
        <f>IF(AND($B14&lt;&gt;"",$C14&lt;&gt;"Target state",$C14&lt;&gt;"Exception",$D14="Low",$E14="Medium"),$A14&amp;"  "&amp;$B14,"")</f>
        <v/>
      </c>
      <c r="W14">
        <f>IF(AND($B14&lt;&gt;"",$C14&lt;&gt;"Target state",$C14&lt;&gt;"Exception",$D14="Low",$E14="High"),$A14&amp;"  "&amp;$B14,"")</f>
        <v/>
      </c>
    </row>
    <row r="15" ht="20" customHeight="1">
      <c r="A15" s="29" t="inlineStr">
        <is>
          <t>②</t>
        </is>
      </c>
      <c r="B15" s="30" t="n"/>
      <c r="C15" s="31" t="n"/>
      <c r="D15" s="31" t="n"/>
      <c r="E15" s="31" t="n"/>
      <c r="F15" s="32" t="n"/>
      <c r="G15" s="33">
        <f>IF(OR($B15="",$D15="",$E15=""),"",IF(OR($C15="Target state",$C15="Exception"),"Out of scope",IF($D15="Low","No tranche",IF($E15="Low","Tranche 1",IF($E15="Medium","Tranche 2",IF($D15="High","Tranche 3","No tranche"))))))</f>
        <v/>
      </c>
      <c r="K15" s="39" t="n"/>
      <c r="L15" s="39" t="n"/>
      <c r="M15" s="39" t="n"/>
      <c r="O15">
        <f>IF(AND($B15&lt;&gt;"",$C15&lt;&gt;"Target state",$C15&lt;&gt;"Exception",$D15="High",$E15="Low"),$A15&amp;"  "&amp;$B15,"")</f>
        <v/>
      </c>
      <c r="P15">
        <f>IF(AND($B15&lt;&gt;"",$C15&lt;&gt;"Target state",$C15&lt;&gt;"Exception",$D15="High",$E15="Medium"),$A15&amp;"  "&amp;$B15,"")</f>
        <v/>
      </c>
      <c r="Q15">
        <f>IF(AND($B15&lt;&gt;"",$C15&lt;&gt;"Target state",$C15&lt;&gt;"Exception",$D15="High",$E15="High"),$A15&amp;"  "&amp;$B15,"")</f>
        <v/>
      </c>
      <c r="R15">
        <f>IF(AND($B15&lt;&gt;"",$C15&lt;&gt;"Target state",$C15&lt;&gt;"Exception",$D15="Medium",$E15="Low"),$A15&amp;"  "&amp;$B15,"")</f>
        <v/>
      </c>
      <c r="S15">
        <f>IF(AND($B15&lt;&gt;"",$C15&lt;&gt;"Target state",$C15&lt;&gt;"Exception",$D15="Medium",$E15="Medium"),$A15&amp;"  "&amp;$B15,"")</f>
        <v/>
      </c>
      <c r="T15">
        <f>IF(AND($B15&lt;&gt;"",$C15&lt;&gt;"Target state",$C15&lt;&gt;"Exception",$D15="Medium",$E15="High"),$A15&amp;"  "&amp;$B15,"")</f>
        <v/>
      </c>
      <c r="U15">
        <f>IF(AND($B15&lt;&gt;"",$C15&lt;&gt;"Target state",$C15&lt;&gt;"Exception",$D15="Low",$E15="Low"),$A15&amp;"  "&amp;$B15,"")</f>
        <v/>
      </c>
      <c r="V15">
        <f>IF(AND($B15&lt;&gt;"",$C15&lt;&gt;"Target state",$C15&lt;&gt;"Exception",$D15="Low",$E15="Medium"),$A15&amp;"  "&amp;$B15,"")</f>
        <v/>
      </c>
      <c r="W15">
        <f>IF(AND($B15&lt;&gt;"",$C15&lt;&gt;"Target state",$C15&lt;&gt;"Exception",$D15="Low",$E15="High"),$A15&amp;"  "&amp;$B15,"")</f>
        <v/>
      </c>
    </row>
    <row r="16" ht="20" customHeight="1">
      <c r="A16" s="29" t="inlineStr">
        <is>
          <t>③</t>
        </is>
      </c>
      <c r="B16" s="30" t="n"/>
      <c r="C16" s="31" t="n"/>
      <c r="D16" s="31" t="n"/>
      <c r="E16" s="31" t="n"/>
      <c r="F16" s="32" t="n"/>
      <c r="G16" s="33">
        <f>IF(OR($B16="",$D16="",$E16=""),"",IF(OR($C16="Target state",$C16="Exception"),"Out of scope",IF($D16="Low","No tranche",IF($E16="Low","Tranche 1",IF($E16="Medium","Tranche 2",IF($D16="High","Tranche 3","No tranche"))))))</f>
        <v/>
      </c>
      <c r="K16" s="40" t="n"/>
      <c r="L16" s="40" t="n"/>
      <c r="M16" s="40" t="n"/>
      <c r="O16">
        <f>IF(AND($B16&lt;&gt;"",$C16&lt;&gt;"Target state",$C16&lt;&gt;"Exception",$D16="High",$E16="Low"),$A16&amp;"  "&amp;$B16,"")</f>
        <v/>
      </c>
      <c r="P16">
        <f>IF(AND($B16&lt;&gt;"",$C16&lt;&gt;"Target state",$C16&lt;&gt;"Exception",$D16="High",$E16="Medium"),$A16&amp;"  "&amp;$B16,"")</f>
        <v/>
      </c>
      <c r="Q16">
        <f>IF(AND($B16&lt;&gt;"",$C16&lt;&gt;"Target state",$C16&lt;&gt;"Exception",$D16="High",$E16="High"),$A16&amp;"  "&amp;$B16,"")</f>
        <v/>
      </c>
      <c r="R16">
        <f>IF(AND($B16&lt;&gt;"",$C16&lt;&gt;"Target state",$C16&lt;&gt;"Exception",$D16="Medium",$E16="Low"),$A16&amp;"  "&amp;$B16,"")</f>
        <v/>
      </c>
      <c r="S16">
        <f>IF(AND($B16&lt;&gt;"",$C16&lt;&gt;"Target state",$C16&lt;&gt;"Exception",$D16="Medium",$E16="Medium"),$A16&amp;"  "&amp;$B16,"")</f>
        <v/>
      </c>
      <c r="T16">
        <f>IF(AND($B16&lt;&gt;"",$C16&lt;&gt;"Target state",$C16&lt;&gt;"Exception",$D16="Medium",$E16="High"),$A16&amp;"  "&amp;$B16,"")</f>
        <v/>
      </c>
      <c r="U16">
        <f>IF(AND($B16&lt;&gt;"",$C16&lt;&gt;"Target state",$C16&lt;&gt;"Exception",$D16="Low",$E16="Low"),$A16&amp;"  "&amp;$B16,"")</f>
        <v/>
      </c>
      <c r="V16">
        <f>IF(AND($B16&lt;&gt;"",$C16&lt;&gt;"Target state",$C16&lt;&gt;"Exception",$D16="Low",$E16="Medium"),$A16&amp;"  "&amp;$B16,"")</f>
        <v/>
      </c>
      <c r="W16">
        <f>IF(AND($B16&lt;&gt;"",$C16&lt;&gt;"Target state",$C16&lt;&gt;"Exception",$D16="Low",$E16="High"),$A16&amp;"  "&amp;$B16,"")</f>
        <v/>
      </c>
    </row>
    <row r="17" ht="20" customHeight="1">
      <c r="A17" s="29" t="inlineStr">
        <is>
          <t>④</t>
        </is>
      </c>
      <c r="B17" s="30" t="n"/>
      <c r="C17" s="31" t="n"/>
      <c r="D17" s="31" t="n"/>
      <c r="E17" s="31" t="n"/>
      <c r="F17" s="32" t="n"/>
      <c r="G17" s="33">
        <f>IF(OR($B17="",$D17="",$E17=""),"",IF(OR($C17="Target state",$C17="Exception"),"Out of scope",IF($D17="Low","No tranche",IF($E17="Low","Tranche 1",IF($E17="Medium","Tranche 2",IF($D17="High","Tranche 3","No tranche"))))))</f>
        <v/>
      </c>
      <c r="J17" s="35" t="inlineStr">
        <is>
          <t>Medium</t>
        </is>
      </c>
      <c r="K17" s="36">
        <f>"Tranche 1"&amp;CHAR(10)&amp;_xlfn.TEXTJOIN(CHAR(10),TRUE,R$14:R$23)</f>
        <v/>
      </c>
      <c r="L17" s="37">
        <f>"Tranche 2"&amp;CHAR(10)&amp;_xlfn.TEXTJOIN(CHAR(10),TRUE,S$14:S$23)</f>
        <v/>
      </c>
      <c r="M17" s="41">
        <f>_xlfn.TEXTJOIN(CHAR(10),TRUE,T$14:T$23)</f>
        <v/>
      </c>
      <c r="O17">
        <f>IF(AND($B17&lt;&gt;"",$C17&lt;&gt;"Target state",$C17&lt;&gt;"Exception",$D17="High",$E17="Low"),$A17&amp;"  "&amp;$B17,"")</f>
        <v/>
      </c>
      <c r="P17">
        <f>IF(AND($B17&lt;&gt;"",$C17&lt;&gt;"Target state",$C17&lt;&gt;"Exception",$D17="High",$E17="Medium"),$A17&amp;"  "&amp;$B17,"")</f>
        <v/>
      </c>
      <c r="Q17">
        <f>IF(AND($B17&lt;&gt;"",$C17&lt;&gt;"Target state",$C17&lt;&gt;"Exception",$D17="High",$E17="High"),$A17&amp;"  "&amp;$B17,"")</f>
        <v/>
      </c>
      <c r="R17">
        <f>IF(AND($B17&lt;&gt;"",$C17&lt;&gt;"Target state",$C17&lt;&gt;"Exception",$D17="Medium",$E17="Low"),$A17&amp;"  "&amp;$B17,"")</f>
        <v/>
      </c>
      <c r="S17">
        <f>IF(AND($B17&lt;&gt;"",$C17&lt;&gt;"Target state",$C17&lt;&gt;"Exception",$D17="Medium",$E17="Medium"),$A17&amp;"  "&amp;$B17,"")</f>
        <v/>
      </c>
      <c r="T17">
        <f>IF(AND($B17&lt;&gt;"",$C17&lt;&gt;"Target state",$C17&lt;&gt;"Exception",$D17="Medium",$E17="High"),$A17&amp;"  "&amp;$B17,"")</f>
        <v/>
      </c>
      <c r="U17">
        <f>IF(AND($B17&lt;&gt;"",$C17&lt;&gt;"Target state",$C17&lt;&gt;"Exception",$D17="Low",$E17="Low"),$A17&amp;"  "&amp;$B17,"")</f>
        <v/>
      </c>
      <c r="V17">
        <f>IF(AND($B17&lt;&gt;"",$C17&lt;&gt;"Target state",$C17&lt;&gt;"Exception",$D17="Low",$E17="Medium"),$A17&amp;"  "&amp;$B17,"")</f>
        <v/>
      </c>
      <c r="W17">
        <f>IF(AND($B17&lt;&gt;"",$C17&lt;&gt;"Target state",$C17&lt;&gt;"Exception",$D17="Low",$E17="High"),$A17&amp;"  "&amp;$B17,"")</f>
        <v/>
      </c>
    </row>
    <row r="18" ht="20" customHeight="1">
      <c r="A18" s="29" t="inlineStr">
        <is>
          <t>⑤</t>
        </is>
      </c>
      <c r="B18" s="30" t="n"/>
      <c r="C18" s="31" t="n"/>
      <c r="D18" s="31" t="n"/>
      <c r="E18" s="31" t="n"/>
      <c r="F18" s="32" t="n"/>
      <c r="G18" s="33">
        <f>IF(OR($B18="",$D18="",$E18=""),"",IF(OR($C18="Target state",$C18="Exception"),"Out of scope",IF($D18="Low","No tranche",IF($E18="Low","Tranche 1",IF($E18="Medium","Tranche 2",IF($D18="High","Tranche 3","No tranche"))))))</f>
        <v/>
      </c>
      <c r="K18" s="39" t="n"/>
      <c r="L18" s="39" t="n"/>
      <c r="M18" s="39" t="n"/>
      <c r="O18">
        <f>IF(AND($B18&lt;&gt;"",$C18&lt;&gt;"Target state",$C18&lt;&gt;"Exception",$D18="High",$E18="Low"),$A18&amp;"  "&amp;$B18,"")</f>
        <v/>
      </c>
      <c r="P18">
        <f>IF(AND($B18&lt;&gt;"",$C18&lt;&gt;"Target state",$C18&lt;&gt;"Exception",$D18="High",$E18="Medium"),$A18&amp;"  "&amp;$B18,"")</f>
        <v/>
      </c>
      <c r="Q18">
        <f>IF(AND($B18&lt;&gt;"",$C18&lt;&gt;"Target state",$C18&lt;&gt;"Exception",$D18="High",$E18="High"),$A18&amp;"  "&amp;$B18,"")</f>
        <v/>
      </c>
      <c r="R18">
        <f>IF(AND($B18&lt;&gt;"",$C18&lt;&gt;"Target state",$C18&lt;&gt;"Exception",$D18="Medium",$E18="Low"),$A18&amp;"  "&amp;$B18,"")</f>
        <v/>
      </c>
      <c r="S18">
        <f>IF(AND($B18&lt;&gt;"",$C18&lt;&gt;"Target state",$C18&lt;&gt;"Exception",$D18="Medium",$E18="Medium"),$A18&amp;"  "&amp;$B18,"")</f>
        <v/>
      </c>
      <c r="T18">
        <f>IF(AND($B18&lt;&gt;"",$C18&lt;&gt;"Target state",$C18&lt;&gt;"Exception",$D18="Medium",$E18="High"),$A18&amp;"  "&amp;$B18,"")</f>
        <v/>
      </c>
      <c r="U18">
        <f>IF(AND($B18&lt;&gt;"",$C18&lt;&gt;"Target state",$C18&lt;&gt;"Exception",$D18="Low",$E18="Low"),$A18&amp;"  "&amp;$B18,"")</f>
        <v/>
      </c>
      <c r="V18">
        <f>IF(AND($B18&lt;&gt;"",$C18&lt;&gt;"Target state",$C18&lt;&gt;"Exception",$D18="Low",$E18="Medium"),$A18&amp;"  "&amp;$B18,"")</f>
        <v/>
      </c>
      <c r="W18">
        <f>IF(AND($B18&lt;&gt;"",$C18&lt;&gt;"Target state",$C18&lt;&gt;"Exception",$D18="Low",$E18="High"),$A18&amp;"  "&amp;$B18,"")</f>
        <v/>
      </c>
    </row>
    <row r="19" ht="20" customHeight="1">
      <c r="A19" s="29" t="inlineStr">
        <is>
          <t>⑥</t>
        </is>
      </c>
      <c r="B19" s="30" t="n"/>
      <c r="C19" s="31" t="n"/>
      <c r="D19" s="31" t="n"/>
      <c r="E19" s="31" t="n"/>
      <c r="F19" s="32" t="n"/>
      <c r="G19" s="33">
        <f>IF(OR($B19="",$D19="",$E19=""),"",IF(OR($C19="Target state",$C19="Exception"),"Out of scope",IF($D19="Low","No tranche",IF($E19="Low","Tranche 1",IF($E19="Medium","Tranche 2",IF($D19="High","Tranche 3","No tranche"))))))</f>
        <v/>
      </c>
      <c r="K19" s="40" t="n"/>
      <c r="L19" s="40" t="n"/>
      <c r="M19" s="40" t="n"/>
      <c r="O19">
        <f>IF(AND($B19&lt;&gt;"",$C19&lt;&gt;"Target state",$C19&lt;&gt;"Exception",$D19="High",$E19="Low"),$A19&amp;"  "&amp;$B19,"")</f>
        <v/>
      </c>
      <c r="P19">
        <f>IF(AND($B19&lt;&gt;"",$C19&lt;&gt;"Target state",$C19&lt;&gt;"Exception",$D19="High",$E19="Medium"),$A19&amp;"  "&amp;$B19,"")</f>
        <v/>
      </c>
      <c r="Q19">
        <f>IF(AND($B19&lt;&gt;"",$C19&lt;&gt;"Target state",$C19&lt;&gt;"Exception",$D19="High",$E19="High"),$A19&amp;"  "&amp;$B19,"")</f>
        <v/>
      </c>
      <c r="R19">
        <f>IF(AND($B19&lt;&gt;"",$C19&lt;&gt;"Target state",$C19&lt;&gt;"Exception",$D19="Medium",$E19="Low"),$A19&amp;"  "&amp;$B19,"")</f>
        <v/>
      </c>
      <c r="S19">
        <f>IF(AND($B19&lt;&gt;"",$C19&lt;&gt;"Target state",$C19&lt;&gt;"Exception",$D19="Medium",$E19="Medium"),$A19&amp;"  "&amp;$B19,"")</f>
        <v/>
      </c>
      <c r="T19">
        <f>IF(AND($B19&lt;&gt;"",$C19&lt;&gt;"Target state",$C19&lt;&gt;"Exception",$D19="Medium",$E19="High"),$A19&amp;"  "&amp;$B19,"")</f>
        <v/>
      </c>
      <c r="U19">
        <f>IF(AND($B19&lt;&gt;"",$C19&lt;&gt;"Target state",$C19&lt;&gt;"Exception",$D19="Low",$E19="Low"),$A19&amp;"  "&amp;$B19,"")</f>
        <v/>
      </c>
      <c r="V19">
        <f>IF(AND($B19&lt;&gt;"",$C19&lt;&gt;"Target state",$C19&lt;&gt;"Exception",$D19="Low",$E19="Medium"),$A19&amp;"  "&amp;$B19,"")</f>
        <v/>
      </c>
      <c r="W19">
        <f>IF(AND($B19&lt;&gt;"",$C19&lt;&gt;"Target state",$C19&lt;&gt;"Exception",$D19="Low",$E19="High"),$A19&amp;"  "&amp;$B19,"")</f>
        <v/>
      </c>
    </row>
    <row r="20" ht="20" customHeight="1">
      <c r="A20" s="29" t="inlineStr">
        <is>
          <t>⑦</t>
        </is>
      </c>
      <c r="B20" s="30" t="n"/>
      <c r="C20" s="31" t="n"/>
      <c r="D20" s="31" t="n"/>
      <c r="E20" s="31" t="n"/>
      <c r="F20" s="32" t="n"/>
      <c r="G20" s="33">
        <f>IF(OR($B20="",$D20="",$E20=""),"",IF(OR($C20="Target state",$C20="Exception"),"Out of scope",IF($D20="Low","No tranche",IF($E20="Low","Tranche 1",IF($E20="Medium","Tranche 2",IF($D20="High","Tranche 3","No tranche"))))))</f>
        <v/>
      </c>
      <c r="J20" s="35" t="inlineStr">
        <is>
          <t>Low</t>
        </is>
      </c>
      <c r="K20" s="41">
        <f>_xlfn.TEXTJOIN(CHAR(10),TRUE,U$14:U$23)</f>
        <v/>
      </c>
      <c r="L20" s="41">
        <f>_xlfn.TEXTJOIN(CHAR(10),TRUE,V$14:V$23)</f>
        <v/>
      </c>
      <c r="M20" s="41">
        <f>_xlfn.TEXTJOIN(CHAR(10),TRUE,W$14:W$23)</f>
        <v/>
      </c>
      <c r="O20">
        <f>IF(AND($B20&lt;&gt;"",$C20&lt;&gt;"Target state",$C20&lt;&gt;"Exception",$D20="High",$E20="Low"),$A20&amp;"  "&amp;$B20,"")</f>
        <v/>
      </c>
      <c r="P20">
        <f>IF(AND($B20&lt;&gt;"",$C20&lt;&gt;"Target state",$C20&lt;&gt;"Exception",$D20="High",$E20="Medium"),$A20&amp;"  "&amp;$B20,"")</f>
        <v/>
      </c>
      <c r="Q20">
        <f>IF(AND($B20&lt;&gt;"",$C20&lt;&gt;"Target state",$C20&lt;&gt;"Exception",$D20="High",$E20="High"),$A20&amp;"  "&amp;$B20,"")</f>
        <v/>
      </c>
      <c r="R20">
        <f>IF(AND($B20&lt;&gt;"",$C20&lt;&gt;"Target state",$C20&lt;&gt;"Exception",$D20="Medium",$E20="Low"),$A20&amp;"  "&amp;$B20,"")</f>
        <v/>
      </c>
      <c r="S20">
        <f>IF(AND($B20&lt;&gt;"",$C20&lt;&gt;"Target state",$C20&lt;&gt;"Exception",$D20="Medium",$E20="Medium"),$A20&amp;"  "&amp;$B20,"")</f>
        <v/>
      </c>
      <c r="T20">
        <f>IF(AND($B20&lt;&gt;"",$C20&lt;&gt;"Target state",$C20&lt;&gt;"Exception",$D20="Medium",$E20="High"),$A20&amp;"  "&amp;$B20,"")</f>
        <v/>
      </c>
      <c r="U20">
        <f>IF(AND($B20&lt;&gt;"",$C20&lt;&gt;"Target state",$C20&lt;&gt;"Exception",$D20="Low",$E20="Low"),$A20&amp;"  "&amp;$B20,"")</f>
        <v/>
      </c>
      <c r="V20">
        <f>IF(AND($B20&lt;&gt;"",$C20&lt;&gt;"Target state",$C20&lt;&gt;"Exception",$D20="Low",$E20="Medium"),$A20&amp;"  "&amp;$B20,"")</f>
        <v/>
      </c>
      <c r="W20">
        <f>IF(AND($B20&lt;&gt;"",$C20&lt;&gt;"Target state",$C20&lt;&gt;"Exception",$D20="Low",$E20="High"),$A20&amp;"  "&amp;$B20,"")</f>
        <v/>
      </c>
    </row>
    <row r="21" ht="20" customHeight="1">
      <c r="A21" s="29" t="inlineStr">
        <is>
          <t>⑧</t>
        </is>
      </c>
      <c r="B21" s="30" t="n"/>
      <c r="C21" s="31" t="n"/>
      <c r="D21" s="31" t="n"/>
      <c r="E21" s="31" t="n"/>
      <c r="F21" s="32" t="n"/>
      <c r="G21" s="33">
        <f>IF(OR($B21="",$D21="",$E21=""),"",IF(OR($C21="Target state",$C21="Exception"),"Out of scope",IF($D21="Low","No tranche",IF($E21="Low","Tranche 1",IF($E21="Medium","Tranche 2",IF($D21="High","Tranche 3","No tranche"))))))</f>
        <v/>
      </c>
      <c r="K21" s="39" t="n"/>
      <c r="L21" s="39" t="n"/>
      <c r="M21" s="39" t="n"/>
      <c r="O21">
        <f>IF(AND($B21&lt;&gt;"",$C21&lt;&gt;"Target state",$C21&lt;&gt;"Exception",$D21="High",$E21="Low"),$A21&amp;"  "&amp;$B21,"")</f>
        <v/>
      </c>
      <c r="P21">
        <f>IF(AND($B21&lt;&gt;"",$C21&lt;&gt;"Target state",$C21&lt;&gt;"Exception",$D21="High",$E21="Medium"),$A21&amp;"  "&amp;$B21,"")</f>
        <v/>
      </c>
      <c r="Q21">
        <f>IF(AND($B21&lt;&gt;"",$C21&lt;&gt;"Target state",$C21&lt;&gt;"Exception",$D21="High",$E21="High"),$A21&amp;"  "&amp;$B21,"")</f>
        <v/>
      </c>
      <c r="R21">
        <f>IF(AND($B21&lt;&gt;"",$C21&lt;&gt;"Target state",$C21&lt;&gt;"Exception",$D21="Medium",$E21="Low"),$A21&amp;"  "&amp;$B21,"")</f>
        <v/>
      </c>
      <c r="S21">
        <f>IF(AND($B21&lt;&gt;"",$C21&lt;&gt;"Target state",$C21&lt;&gt;"Exception",$D21="Medium",$E21="Medium"),$A21&amp;"  "&amp;$B21,"")</f>
        <v/>
      </c>
      <c r="T21">
        <f>IF(AND($B21&lt;&gt;"",$C21&lt;&gt;"Target state",$C21&lt;&gt;"Exception",$D21="Medium",$E21="High"),$A21&amp;"  "&amp;$B21,"")</f>
        <v/>
      </c>
      <c r="U21">
        <f>IF(AND($B21&lt;&gt;"",$C21&lt;&gt;"Target state",$C21&lt;&gt;"Exception",$D21="Low",$E21="Low"),$A21&amp;"  "&amp;$B21,"")</f>
        <v/>
      </c>
      <c r="V21">
        <f>IF(AND($B21&lt;&gt;"",$C21&lt;&gt;"Target state",$C21&lt;&gt;"Exception",$D21="Low",$E21="Medium"),$A21&amp;"  "&amp;$B21,"")</f>
        <v/>
      </c>
      <c r="W21">
        <f>IF(AND($B21&lt;&gt;"",$C21&lt;&gt;"Target state",$C21&lt;&gt;"Exception",$D21="Low",$E21="High"),$A21&amp;"  "&amp;$B21,"")</f>
        <v/>
      </c>
    </row>
    <row r="22" ht="20" customHeight="1">
      <c r="A22" s="29" t="inlineStr">
        <is>
          <t>⑨</t>
        </is>
      </c>
      <c r="B22" s="30" t="n"/>
      <c r="C22" s="31" t="n"/>
      <c r="D22" s="31" t="n"/>
      <c r="E22" s="31" t="n"/>
      <c r="F22" s="32" t="n"/>
      <c r="G22" s="33">
        <f>IF(OR($B22="",$D22="",$E22=""),"",IF(OR($C22="Target state",$C22="Exception"),"Out of scope",IF($D22="Low","No tranche",IF($E22="Low","Tranche 1",IF($E22="Medium","Tranche 2",IF($D22="High","Tranche 3","No tranche"))))))</f>
        <v/>
      </c>
      <c r="K22" s="40" t="n"/>
      <c r="L22" s="40" t="n"/>
      <c r="M22" s="40" t="n"/>
      <c r="O22">
        <f>IF(AND($B22&lt;&gt;"",$C22&lt;&gt;"Target state",$C22&lt;&gt;"Exception",$D22="High",$E22="Low"),$A22&amp;"  "&amp;$B22,"")</f>
        <v/>
      </c>
      <c r="P22">
        <f>IF(AND($B22&lt;&gt;"",$C22&lt;&gt;"Target state",$C22&lt;&gt;"Exception",$D22="High",$E22="Medium"),$A22&amp;"  "&amp;$B22,"")</f>
        <v/>
      </c>
      <c r="Q22">
        <f>IF(AND($B22&lt;&gt;"",$C22&lt;&gt;"Target state",$C22&lt;&gt;"Exception",$D22="High",$E22="High"),$A22&amp;"  "&amp;$B22,"")</f>
        <v/>
      </c>
      <c r="R22">
        <f>IF(AND($B22&lt;&gt;"",$C22&lt;&gt;"Target state",$C22&lt;&gt;"Exception",$D22="Medium",$E22="Low"),$A22&amp;"  "&amp;$B22,"")</f>
        <v/>
      </c>
      <c r="S22">
        <f>IF(AND($B22&lt;&gt;"",$C22&lt;&gt;"Target state",$C22&lt;&gt;"Exception",$D22="Medium",$E22="Medium"),$A22&amp;"  "&amp;$B22,"")</f>
        <v/>
      </c>
      <c r="T22">
        <f>IF(AND($B22&lt;&gt;"",$C22&lt;&gt;"Target state",$C22&lt;&gt;"Exception",$D22="Medium",$E22="High"),$A22&amp;"  "&amp;$B22,"")</f>
        <v/>
      </c>
      <c r="U22">
        <f>IF(AND($B22&lt;&gt;"",$C22&lt;&gt;"Target state",$C22&lt;&gt;"Exception",$D22="Low",$E22="Low"),$A22&amp;"  "&amp;$B22,"")</f>
        <v/>
      </c>
      <c r="V22">
        <f>IF(AND($B22&lt;&gt;"",$C22&lt;&gt;"Target state",$C22&lt;&gt;"Exception",$D22="Low",$E22="Medium"),$A22&amp;"  "&amp;$B22,"")</f>
        <v/>
      </c>
      <c r="W22">
        <f>IF(AND($B22&lt;&gt;"",$C22&lt;&gt;"Target state",$C22&lt;&gt;"Exception",$D22="Low",$E22="High"),$A22&amp;"  "&amp;$B22,"")</f>
        <v/>
      </c>
    </row>
    <row r="23" ht="20" customHeight="1">
      <c r="A23" s="29" t="inlineStr">
        <is>
          <t>⑩</t>
        </is>
      </c>
      <c r="B23" s="30" t="n"/>
      <c r="C23" s="31" t="n"/>
      <c r="D23" s="31" t="n"/>
      <c r="E23" s="31" t="n"/>
      <c r="F23" s="32" t="n"/>
      <c r="G23" s="33">
        <f>IF(OR($B23="",$D23="",$E23=""),"",IF(OR($C23="Target state",$C23="Exception"),"Out of scope",IF($D23="Low","No tranche",IF($E23="Low","Tranche 1",IF($E23="Medium","Tranche 2",IF($D23="High","Tranche 3","No tranche"))))))</f>
        <v/>
      </c>
      <c r="K23" s="35" t="inlineStr">
        <is>
          <t>Complexity</t>
        </is>
      </c>
      <c r="O23">
        <f>IF(AND($B23&lt;&gt;"",$C23&lt;&gt;"Target state",$C23&lt;&gt;"Exception",$D23="High",$E23="Low"),$A23&amp;"  "&amp;$B23,"")</f>
        <v/>
      </c>
      <c r="P23">
        <f>IF(AND($B23&lt;&gt;"",$C23&lt;&gt;"Target state",$C23&lt;&gt;"Exception",$D23="High",$E23="Medium"),$A23&amp;"  "&amp;$B23,"")</f>
        <v/>
      </c>
      <c r="Q23">
        <f>IF(AND($B23&lt;&gt;"",$C23&lt;&gt;"Target state",$C23&lt;&gt;"Exception",$D23="High",$E23="High"),$A23&amp;"  "&amp;$B23,"")</f>
        <v/>
      </c>
      <c r="R23">
        <f>IF(AND($B23&lt;&gt;"",$C23&lt;&gt;"Target state",$C23&lt;&gt;"Exception",$D23="Medium",$E23="Low"),$A23&amp;"  "&amp;$B23,"")</f>
        <v/>
      </c>
      <c r="S23">
        <f>IF(AND($B23&lt;&gt;"",$C23&lt;&gt;"Target state",$C23&lt;&gt;"Exception",$D23="Medium",$E23="Medium"),$A23&amp;"  "&amp;$B23,"")</f>
        <v/>
      </c>
      <c r="T23">
        <f>IF(AND($B23&lt;&gt;"",$C23&lt;&gt;"Target state",$C23&lt;&gt;"Exception",$D23="Medium",$E23="High"),$A23&amp;"  "&amp;$B23,"")</f>
        <v/>
      </c>
      <c r="U23">
        <f>IF(AND($B23&lt;&gt;"",$C23&lt;&gt;"Target state",$C23&lt;&gt;"Exception",$D23="Low",$E23="Low"),$A23&amp;"  "&amp;$B23,"")</f>
        <v/>
      </c>
      <c r="V23">
        <f>IF(AND($B23&lt;&gt;"",$C23&lt;&gt;"Target state",$C23&lt;&gt;"Exception",$D23="Low",$E23="Medium"),$A23&amp;"  "&amp;$B23,"")</f>
        <v/>
      </c>
      <c r="W23">
        <f>IF(AND($B23&lt;&gt;"",$C23&lt;&gt;"Target state",$C23&lt;&gt;"Exception",$D23="Low",$E23="High"),$A23&amp;"  "&amp;$B23,"")</f>
        <v/>
      </c>
    </row>
    <row r="26" ht="22" customHeight="1">
      <c r="A26" s="24" t="inlineStr">
        <is>
          <t>Ingress</t>
        </is>
      </c>
      <c r="G26" s="25">
        <f>HYPERLINK("#'Boarding'!A4","▲ tracker")</f>
        <v/>
      </c>
      <c r="K26" s="26" t="inlineStr">
        <is>
          <t>Assessment Outcome</t>
        </is>
      </c>
    </row>
    <row r="27" ht="18" customHeight="1">
      <c r="A27" s="27" t="inlineStr">
        <is>
          <t>#</t>
        </is>
      </c>
      <c r="B27" s="27" t="inlineStr">
        <is>
          <t>Platform</t>
        </is>
      </c>
      <c r="C27" s="27" t="inlineStr">
        <is>
          <t>State</t>
        </is>
      </c>
      <c r="D27" s="27" t="inlineStr">
        <is>
          <t>Imperative to exit</t>
        </is>
      </c>
      <c r="E27" s="27" t="inlineStr">
        <is>
          <t>Exit complexity</t>
        </is>
      </c>
      <c r="F27" s="27" t="inlineStr">
        <is>
          <t>Supporting facts</t>
        </is>
      </c>
      <c r="G27" s="27" t="inlineStr">
        <is>
          <t>Tranche (auto)</t>
        </is>
      </c>
      <c r="K27" s="28" t="inlineStr">
        <is>
          <t>Low</t>
        </is>
      </c>
      <c r="L27" s="28" t="inlineStr">
        <is>
          <t>Medium</t>
        </is>
      </c>
      <c r="M27" s="28" t="inlineStr">
        <is>
          <t>High</t>
        </is>
      </c>
    </row>
    <row r="28" ht="20" customHeight="1">
      <c r="A28" s="29" t="inlineStr">
        <is>
          <t>①</t>
        </is>
      </c>
      <c r="B28" s="30" t="n"/>
      <c r="C28" s="31" t="n"/>
      <c r="D28" s="31" t="n"/>
      <c r="E28" s="31" t="n"/>
      <c r="F28" s="32" t="n"/>
      <c r="G28" s="33">
        <f>IF(OR($B28="",$D28="",$E28=""),"",IF(OR($C28="Target state",$C28="Exception"),"Out of scope",IF($D28="Low","No tranche",IF($E28="Low","Tranche 1",IF($E28="Medium","Tranche 2",IF($D28="High","Tranche 3","No tranche"))))))</f>
        <v/>
      </c>
      <c r="I28" s="34" t="inlineStr">
        <is>
          <t>Benefits</t>
        </is>
      </c>
      <c r="J28" s="35" t="inlineStr">
        <is>
          <t>High</t>
        </is>
      </c>
      <c r="K28" s="36">
        <f>"Tranche 1"&amp;CHAR(10)&amp;_xlfn.TEXTJOIN(CHAR(10),TRUE,O$28:O$37)</f>
        <v/>
      </c>
      <c r="L28" s="37">
        <f>"Tranche 2"&amp;CHAR(10)&amp;_xlfn.TEXTJOIN(CHAR(10),TRUE,P$28:P$37)</f>
        <v/>
      </c>
      <c r="M28" s="38">
        <f>"Tranche 3"&amp;CHAR(10)&amp;_xlfn.TEXTJOIN(CHAR(10),TRUE,Q$28:Q$37)</f>
        <v/>
      </c>
      <c r="O28">
        <f>IF(AND($B28&lt;&gt;"",$C28&lt;&gt;"Target state",$C28&lt;&gt;"Exception",$D28="High",$E28="Low"),$A28&amp;"  "&amp;$B28,"")</f>
        <v/>
      </c>
      <c r="P28">
        <f>IF(AND($B28&lt;&gt;"",$C28&lt;&gt;"Target state",$C28&lt;&gt;"Exception",$D28="High",$E28="Medium"),$A28&amp;"  "&amp;$B28,"")</f>
        <v/>
      </c>
      <c r="Q28">
        <f>IF(AND($B28&lt;&gt;"",$C28&lt;&gt;"Target state",$C28&lt;&gt;"Exception",$D28="High",$E28="High"),$A28&amp;"  "&amp;$B28,"")</f>
        <v/>
      </c>
      <c r="R28">
        <f>IF(AND($B28&lt;&gt;"",$C28&lt;&gt;"Target state",$C28&lt;&gt;"Exception",$D28="Medium",$E28="Low"),$A28&amp;"  "&amp;$B28,"")</f>
        <v/>
      </c>
      <c r="S28">
        <f>IF(AND($B28&lt;&gt;"",$C28&lt;&gt;"Target state",$C28&lt;&gt;"Exception",$D28="Medium",$E28="Medium"),$A28&amp;"  "&amp;$B28,"")</f>
        <v/>
      </c>
      <c r="T28">
        <f>IF(AND($B28&lt;&gt;"",$C28&lt;&gt;"Target state",$C28&lt;&gt;"Exception",$D28="Medium",$E28="High"),$A28&amp;"  "&amp;$B28,"")</f>
        <v/>
      </c>
      <c r="U28">
        <f>IF(AND($B28&lt;&gt;"",$C28&lt;&gt;"Target state",$C28&lt;&gt;"Exception",$D28="Low",$E28="Low"),$A28&amp;"  "&amp;$B28,"")</f>
        <v/>
      </c>
      <c r="V28">
        <f>IF(AND($B28&lt;&gt;"",$C28&lt;&gt;"Target state",$C28&lt;&gt;"Exception",$D28="Low",$E28="Medium"),$A28&amp;"  "&amp;$B28,"")</f>
        <v/>
      </c>
      <c r="W28">
        <f>IF(AND($B28&lt;&gt;"",$C28&lt;&gt;"Target state",$C28&lt;&gt;"Exception",$D28="Low",$E28="High"),$A28&amp;"  "&amp;$B28,"")</f>
        <v/>
      </c>
    </row>
    <row r="29" ht="20" customHeight="1">
      <c r="A29" s="29" t="inlineStr">
        <is>
          <t>②</t>
        </is>
      </c>
      <c r="B29" s="30" t="n"/>
      <c r="C29" s="31" t="n"/>
      <c r="D29" s="31" t="n"/>
      <c r="E29" s="31" t="n"/>
      <c r="F29" s="32" t="n"/>
      <c r="G29" s="33">
        <f>IF(OR($B29="",$D29="",$E29=""),"",IF(OR($C29="Target state",$C29="Exception"),"Out of scope",IF($D29="Low","No tranche",IF($E29="Low","Tranche 1",IF($E29="Medium","Tranche 2",IF($D29="High","Tranche 3","No tranche"))))))</f>
        <v/>
      </c>
      <c r="K29" s="39" t="n"/>
      <c r="L29" s="39" t="n"/>
      <c r="M29" s="39" t="n"/>
      <c r="O29">
        <f>IF(AND($B29&lt;&gt;"",$C29&lt;&gt;"Target state",$C29&lt;&gt;"Exception",$D29="High",$E29="Low"),$A29&amp;"  "&amp;$B29,"")</f>
        <v/>
      </c>
      <c r="P29">
        <f>IF(AND($B29&lt;&gt;"",$C29&lt;&gt;"Target state",$C29&lt;&gt;"Exception",$D29="High",$E29="Medium"),$A29&amp;"  "&amp;$B29,"")</f>
        <v/>
      </c>
      <c r="Q29">
        <f>IF(AND($B29&lt;&gt;"",$C29&lt;&gt;"Target state",$C29&lt;&gt;"Exception",$D29="High",$E29="High"),$A29&amp;"  "&amp;$B29,"")</f>
        <v/>
      </c>
      <c r="R29">
        <f>IF(AND($B29&lt;&gt;"",$C29&lt;&gt;"Target state",$C29&lt;&gt;"Exception",$D29="Medium",$E29="Low"),$A29&amp;"  "&amp;$B29,"")</f>
        <v/>
      </c>
      <c r="S29">
        <f>IF(AND($B29&lt;&gt;"",$C29&lt;&gt;"Target state",$C29&lt;&gt;"Exception",$D29="Medium",$E29="Medium"),$A29&amp;"  "&amp;$B29,"")</f>
        <v/>
      </c>
      <c r="T29">
        <f>IF(AND($B29&lt;&gt;"",$C29&lt;&gt;"Target state",$C29&lt;&gt;"Exception",$D29="Medium",$E29="High"),$A29&amp;"  "&amp;$B29,"")</f>
        <v/>
      </c>
      <c r="U29">
        <f>IF(AND($B29&lt;&gt;"",$C29&lt;&gt;"Target state",$C29&lt;&gt;"Exception",$D29="Low",$E29="Low"),$A29&amp;"  "&amp;$B29,"")</f>
        <v/>
      </c>
      <c r="V29">
        <f>IF(AND($B29&lt;&gt;"",$C29&lt;&gt;"Target state",$C29&lt;&gt;"Exception",$D29="Low",$E29="Medium"),$A29&amp;"  "&amp;$B29,"")</f>
        <v/>
      </c>
      <c r="W29">
        <f>IF(AND($B29&lt;&gt;"",$C29&lt;&gt;"Target state",$C29&lt;&gt;"Exception",$D29="Low",$E29="High"),$A29&amp;"  "&amp;$B29,"")</f>
        <v/>
      </c>
    </row>
    <row r="30" ht="20" customHeight="1">
      <c r="A30" s="29" t="inlineStr">
        <is>
          <t>③</t>
        </is>
      </c>
      <c r="B30" s="30" t="n"/>
      <c r="C30" s="31" t="n"/>
      <c r="D30" s="31" t="n"/>
      <c r="E30" s="31" t="n"/>
      <c r="F30" s="32" t="n"/>
      <c r="G30" s="33">
        <f>IF(OR($B30="",$D30="",$E30=""),"",IF(OR($C30="Target state",$C30="Exception"),"Out of scope",IF($D30="Low","No tranche",IF($E30="Low","Tranche 1",IF($E30="Medium","Tranche 2",IF($D30="High","Tranche 3","No tranche"))))))</f>
        <v/>
      </c>
      <c r="K30" s="40" t="n"/>
      <c r="L30" s="40" t="n"/>
      <c r="M30" s="40" t="n"/>
      <c r="O30">
        <f>IF(AND($B30&lt;&gt;"",$C30&lt;&gt;"Target state",$C30&lt;&gt;"Exception",$D30="High",$E30="Low"),$A30&amp;"  "&amp;$B30,"")</f>
        <v/>
      </c>
      <c r="P30">
        <f>IF(AND($B30&lt;&gt;"",$C30&lt;&gt;"Target state",$C30&lt;&gt;"Exception",$D30="High",$E30="Medium"),$A30&amp;"  "&amp;$B30,"")</f>
        <v/>
      </c>
      <c r="Q30">
        <f>IF(AND($B30&lt;&gt;"",$C30&lt;&gt;"Target state",$C30&lt;&gt;"Exception",$D30="High",$E30="High"),$A30&amp;"  "&amp;$B30,"")</f>
        <v/>
      </c>
      <c r="R30">
        <f>IF(AND($B30&lt;&gt;"",$C30&lt;&gt;"Target state",$C30&lt;&gt;"Exception",$D30="Medium",$E30="Low"),$A30&amp;"  "&amp;$B30,"")</f>
        <v/>
      </c>
      <c r="S30">
        <f>IF(AND($B30&lt;&gt;"",$C30&lt;&gt;"Target state",$C30&lt;&gt;"Exception",$D30="Medium",$E30="Medium"),$A30&amp;"  "&amp;$B30,"")</f>
        <v/>
      </c>
      <c r="T30">
        <f>IF(AND($B30&lt;&gt;"",$C30&lt;&gt;"Target state",$C30&lt;&gt;"Exception",$D30="Medium",$E30="High"),$A30&amp;"  "&amp;$B30,"")</f>
        <v/>
      </c>
      <c r="U30">
        <f>IF(AND($B30&lt;&gt;"",$C30&lt;&gt;"Target state",$C30&lt;&gt;"Exception",$D30="Low",$E30="Low"),$A30&amp;"  "&amp;$B30,"")</f>
        <v/>
      </c>
      <c r="V30">
        <f>IF(AND($B30&lt;&gt;"",$C30&lt;&gt;"Target state",$C30&lt;&gt;"Exception",$D30="Low",$E30="Medium"),$A30&amp;"  "&amp;$B30,"")</f>
        <v/>
      </c>
      <c r="W30">
        <f>IF(AND($B30&lt;&gt;"",$C30&lt;&gt;"Target state",$C30&lt;&gt;"Exception",$D30="Low",$E30="High"),$A30&amp;"  "&amp;$B30,"")</f>
        <v/>
      </c>
    </row>
    <row r="31" ht="20" customHeight="1">
      <c r="A31" s="29" t="inlineStr">
        <is>
          <t>④</t>
        </is>
      </c>
      <c r="B31" s="30" t="n"/>
      <c r="C31" s="31" t="n"/>
      <c r="D31" s="31" t="n"/>
      <c r="E31" s="31" t="n"/>
      <c r="F31" s="32" t="n"/>
      <c r="G31" s="33">
        <f>IF(OR($B31="",$D31="",$E31=""),"",IF(OR($C31="Target state",$C31="Exception"),"Out of scope",IF($D31="Low","No tranche",IF($E31="Low","Tranche 1",IF($E31="Medium","Tranche 2",IF($D31="High","Tranche 3","No tranche"))))))</f>
        <v/>
      </c>
      <c r="J31" s="35" t="inlineStr">
        <is>
          <t>Medium</t>
        </is>
      </c>
      <c r="K31" s="36">
        <f>"Tranche 1"&amp;CHAR(10)&amp;_xlfn.TEXTJOIN(CHAR(10),TRUE,R$28:R$37)</f>
        <v/>
      </c>
      <c r="L31" s="37">
        <f>"Tranche 2"&amp;CHAR(10)&amp;_xlfn.TEXTJOIN(CHAR(10),TRUE,S$28:S$37)</f>
        <v/>
      </c>
      <c r="M31" s="41">
        <f>_xlfn.TEXTJOIN(CHAR(10),TRUE,T$28:T$37)</f>
        <v/>
      </c>
      <c r="O31">
        <f>IF(AND($B31&lt;&gt;"",$C31&lt;&gt;"Target state",$C31&lt;&gt;"Exception",$D31="High",$E31="Low"),$A31&amp;"  "&amp;$B31,"")</f>
        <v/>
      </c>
      <c r="P31">
        <f>IF(AND($B31&lt;&gt;"",$C31&lt;&gt;"Target state",$C31&lt;&gt;"Exception",$D31="High",$E31="Medium"),$A31&amp;"  "&amp;$B31,"")</f>
        <v/>
      </c>
      <c r="Q31">
        <f>IF(AND($B31&lt;&gt;"",$C31&lt;&gt;"Target state",$C31&lt;&gt;"Exception",$D31="High",$E31="High"),$A31&amp;"  "&amp;$B31,"")</f>
        <v/>
      </c>
      <c r="R31">
        <f>IF(AND($B31&lt;&gt;"",$C31&lt;&gt;"Target state",$C31&lt;&gt;"Exception",$D31="Medium",$E31="Low"),$A31&amp;"  "&amp;$B31,"")</f>
        <v/>
      </c>
      <c r="S31">
        <f>IF(AND($B31&lt;&gt;"",$C31&lt;&gt;"Target state",$C31&lt;&gt;"Exception",$D31="Medium",$E31="Medium"),$A31&amp;"  "&amp;$B31,"")</f>
        <v/>
      </c>
      <c r="T31">
        <f>IF(AND($B31&lt;&gt;"",$C31&lt;&gt;"Target state",$C31&lt;&gt;"Exception",$D31="Medium",$E31="High"),$A31&amp;"  "&amp;$B31,"")</f>
        <v/>
      </c>
      <c r="U31">
        <f>IF(AND($B31&lt;&gt;"",$C31&lt;&gt;"Target state",$C31&lt;&gt;"Exception",$D31="Low",$E31="Low"),$A31&amp;"  "&amp;$B31,"")</f>
        <v/>
      </c>
      <c r="V31">
        <f>IF(AND($B31&lt;&gt;"",$C31&lt;&gt;"Target state",$C31&lt;&gt;"Exception",$D31="Low",$E31="Medium"),$A31&amp;"  "&amp;$B31,"")</f>
        <v/>
      </c>
      <c r="W31">
        <f>IF(AND($B31&lt;&gt;"",$C31&lt;&gt;"Target state",$C31&lt;&gt;"Exception",$D31="Low",$E31="High"),$A31&amp;"  "&amp;$B31,"")</f>
        <v/>
      </c>
    </row>
    <row r="32" ht="20" customHeight="1">
      <c r="A32" s="29" t="inlineStr">
        <is>
          <t>⑤</t>
        </is>
      </c>
      <c r="B32" s="30" t="n"/>
      <c r="C32" s="31" t="n"/>
      <c r="D32" s="31" t="n"/>
      <c r="E32" s="31" t="n"/>
      <c r="F32" s="32" t="n"/>
      <c r="G32" s="33">
        <f>IF(OR($B32="",$D32="",$E32=""),"",IF(OR($C32="Target state",$C32="Exception"),"Out of scope",IF($D32="Low","No tranche",IF($E32="Low","Tranche 1",IF($E32="Medium","Tranche 2",IF($D32="High","Tranche 3","No tranche"))))))</f>
        <v/>
      </c>
      <c r="K32" s="39" t="n"/>
      <c r="L32" s="39" t="n"/>
      <c r="M32" s="39" t="n"/>
      <c r="O32">
        <f>IF(AND($B32&lt;&gt;"",$C32&lt;&gt;"Target state",$C32&lt;&gt;"Exception",$D32="High",$E32="Low"),$A32&amp;"  "&amp;$B32,"")</f>
        <v/>
      </c>
      <c r="P32">
        <f>IF(AND($B32&lt;&gt;"",$C32&lt;&gt;"Target state",$C32&lt;&gt;"Exception",$D32="High",$E32="Medium"),$A32&amp;"  "&amp;$B32,"")</f>
        <v/>
      </c>
      <c r="Q32">
        <f>IF(AND($B32&lt;&gt;"",$C32&lt;&gt;"Target state",$C32&lt;&gt;"Exception",$D32="High",$E32="High"),$A32&amp;"  "&amp;$B32,"")</f>
        <v/>
      </c>
      <c r="R32">
        <f>IF(AND($B32&lt;&gt;"",$C32&lt;&gt;"Target state",$C32&lt;&gt;"Exception",$D32="Medium",$E32="Low"),$A32&amp;"  "&amp;$B32,"")</f>
        <v/>
      </c>
      <c r="S32">
        <f>IF(AND($B32&lt;&gt;"",$C32&lt;&gt;"Target state",$C32&lt;&gt;"Exception",$D32="Medium",$E32="Medium"),$A32&amp;"  "&amp;$B32,"")</f>
        <v/>
      </c>
      <c r="T32">
        <f>IF(AND($B32&lt;&gt;"",$C32&lt;&gt;"Target state",$C32&lt;&gt;"Exception",$D32="Medium",$E32="High"),$A32&amp;"  "&amp;$B32,"")</f>
        <v/>
      </c>
      <c r="U32">
        <f>IF(AND($B32&lt;&gt;"",$C32&lt;&gt;"Target state",$C32&lt;&gt;"Exception",$D32="Low",$E32="Low"),$A32&amp;"  "&amp;$B32,"")</f>
        <v/>
      </c>
      <c r="V32">
        <f>IF(AND($B32&lt;&gt;"",$C32&lt;&gt;"Target state",$C32&lt;&gt;"Exception",$D32="Low",$E32="Medium"),$A32&amp;"  "&amp;$B32,"")</f>
        <v/>
      </c>
      <c r="W32">
        <f>IF(AND($B32&lt;&gt;"",$C32&lt;&gt;"Target state",$C32&lt;&gt;"Exception",$D32="Low",$E32="High"),$A32&amp;"  "&amp;$B32,"")</f>
        <v/>
      </c>
    </row>
    <row r="33" ht="20" customHeight="1">
      <c r="A33" s="29" t="inlineStr">
        <is>
          <t>⑥</t>
        </is>
      </c>
      <c r="B33" s="30" t="n"/>
      <c r="C33" s="31" t="n"/>
      <c r="D33" s="31" t="n"/>
      <c r="E33" s="31" t="n"/>
      <c r="F33" s="32" t="n"/>
      <c r="G33" s="33">
        <f>IF(OR($B33="",$D33="",$E33=""),"",IF(OR($C33="Target state",$C33="Exception"),"Out of scope",IF($D33="Low","No tranche",IF($E33="Low","Tranche 1",IF($E33="Medium","Tranche 2",IF($D33="High","Tranche 3","No tranche"))))))</f>
        <v/>
      </c>
      <c r="K33" s="40" t="n"/>
      <c r="L33" s="40" t="n"/>
      <c r="M33" s="40" t="n"/>
      <c r="O33">
        <f>IF(AND($B33&lt;&gt;"",$C33&lt;&gt;"Target state",$C33&lt;&gt;"Exception",$D33="High",$E33="Low"),$A33&amp;"  "&amp;$B33,"")</f>
        <v/>
      </c>
      <c r="P33">
        <f>IF(AND($B33&lt;&gt;"",$C33&lt;&gt;"Target state",$C33&lt;&gt;"Exception",$D33="High",$E33="Medium"),$A33&amp;"  "&amp;$B33,"")</f>
        <v/>
      </c>
      <c r="Q33">
        <f>IF(AND($B33&lt;&gt;"",$C33&lt;&gt;"Target state",$C33&lt;&gt;"Exception",$D33="High",$E33="High"),$A33&amp;"  "&amp;$B33,"")</f>
        <v/>
      </c>
      <c r="R33">
        <f>IF(AND($B33&lt;&gt;"",$C33&lt;&gt;"Target state",$C33&lt;&gt;"Exception",$D33="Medium",$E33="Low"),$A33&amp;"  "&amp;$B33,"")</f>
        <v/>
      </c>
      <c r="S33">
        <f>IF(AND($B33&lt;&gt;"",$C33&lt;&gt;"Target state",$C33&lt;&gt;"Exception",$D33="Medium",$E33="Medium"),$A33&amp;"  "&amp;$B33,"")</f>
        <v/>
      </c>
      <c r="T33">
        <f>IF(AND($B33&lt;&gt;"",$C33&lt;&gt;"Target state",$C33&lt;&gt;"Exception",$D33="Medium",$E33="High"),$A33&amp;"  "&amp;$B33,"")</f>
        <v/>
      </c>
      <c r="U33">
        <f>IF(AND($B33&lt;&gt;"",$C33&lt;&gt;"Target state",$C33&lt;&gt;"Exception",$D33="Low",$E33="Low"),$A33&amp;"  "&amp;$B33,"")</f>
        <v/>
      </c>
      <c r="V33">
        <f>IF(AND($B33&lt;&gt;"",$C33&lt;&gt;"Target state",$C33&lt;&gt;"Exception",$D33="Low",$E33="Medium"),$A33&amp;"  "&amp;$B33,"")</f>
        <v/>
      </c>
      <c r="W33">
        <f>IF(AND($B33&lt;&gt;"",$C33&lt;&gt;"Target state",$C33&lt;&gt;"Exception",$D33="Low",$E33="High"),$A33&amp;"  "&amp;$B33,"")</f>
        <v/>
      </c>
    </row>
    <row r="34" ht="20" customHeight="1">
      <c r="A34" s="29" t="inlineStr">
        <is>
          <t>⑦</t>
        </is>
      </c>
      <c r="B34" s="30" t="n"/>
      <c r="C34" s="31" t="n"/>
      <c r="D34" s="31" t="n"/>
      <c r="E34" s="31" t="n"/>
      <c r="F34" s="32" t="n"/>
      <c r="G34" s="33">
        <f>IF(OR($B34="",$D34="",$E34=""),"",IF(OR($C34="Target state",$C34="Exception"),"Out of scope",IF($D34="Low","No tranche",IF($E34="Low","Tranche 1",IF($E34="Medium","Tranche 2",IF($D34="High","Tranche 3","No tranche"))))))</f>
        <v/>
      </c>
      <c r="J34" s="35" t="inlineStr">
        <is>
          <t>Low</t>
        </is>
      </c>
      <c r="K34" s="41">
        <f>_xlfn.TEXTJOIN(CHAR(10),TRUE,U$28:U$37)</f>
        <v/>
      </c>
      <c r="L34" s="41">
        <f>_xlfn.TEXTJOIN(CHAR(10),TRUE,V$28:V$37)</f>
        <v/>
      </c>
      <c r="M34" s="41">
        <f>_xlfn.TEXTJOIN(CHAR(10),TRUE,W$28:W$37)</f>
        <v/>
      </c>
      <c r="O34">
        <f>IF(AND($B34&lt;&gt;"",$C34&lt;&gt;"Target state",$C34&lt;&gt;"Exception",$D34="High",$E34="Low"),$A34&amp;"  "&amp;$B34,"")</f>
        <v/>
      </c>
      <c r="P34">
        <f>IF(AND($B34&lt;&gt;"",$C34&lt;&gt;"Target state",$C34&lt;&gt;"Exception",$D34="High",$E34="Medium"),$A34&amp;"  "&amp;$B34,"")</f>
        <v/>
      </c>
      <c r="Q34">
        <f>IF(AND($B34&lt;&gt;"",$C34&lt;&gt;"Target state",$C34&lt;&gt;"Exception",$D34="High",$E34="High"),$A34&amp;"  "&amp;$B34,"")</f>
        <v/>
      </c>
      <c r="R34">
        <f>IF(AND($B34&lt;&gt;"",$C34&lt;&gt;"Target state",$C34&lt;&gt;"Exception",$D34="Medium",$E34="Low"),$A34&amp;"  "&amp;$B34,"")</f>
        <v/>
      </c>
      <c r="S34">
        <f>IF(AND($B34&lt;&gt;"",$C34&lt;&gt;"Target state",$C34&lt;&gt;"Exception",$D34="Medium",$E34="Medium"),$A34&amp;"  "&amp;$B34,"")</f>
        <v/>
      </c>
      <c r="T34">
        <f>IF(AND($B34&lt;&gt;"",$C34&lt;&gt;"Target state",$C34&lt;&gt;"Exception",$D34="Medium",$E34="High"),$A34&amp;"  "&amp;$B34,"")</f>
        <v/>
      </c>
      <c r="U34">
        <f>IF(AND($B34&lt;&gt;"",$C34&lt;&gt;"Target state",$C34&lt;&gt;"Exception",$D34="Low",$E34="Low"),$A34&amp;"  "&amp;$B34,"")</f>
        <v/>
      </c>
      <c r="V34">
        <f>IF(AND($B34&lt;&gt;"",$C34&lt;&gt;"Target state",$C34&lt;&gt;"Exception",$D34="Low",$E34="Medium"),$A34&amp;"  "&amp;$B34,"")</f>
        <v/>
      </c>
      <c r="W34">
        <f>IF(AND($B34&lt;&gt;"",$C34&lt;&gt;"Target state",$C34&lt;&gt;"Exception",$D34="Low",$E34="High"),$A34&amp;"  "&amp;$B34,"")</f>
        <v/>
      </c>
    </row>
    <row r="35" ht="20" customHeight="1">
      <c r="A35" s="29" t="inlineStr">
        <is>
          <t>⑧</t>
        </is>
      </c>
      <c r="B35" s="30" t="n"/>
      <c r="C35" s="31" t="n"/>
      <c r="D35" s="31" t="n"/>
      <c r="E35" s="31" t="n"/>
      <c r="F35" s="32" t="n"/>
      <c r="G35" s="33">
        <f>IF(OR($B35="",$D35="",$E35=""),"",IF(OR($C35="Target state",$C35="Exception"),"Out of scope",IF($D35="Low","No tranche",IF($E35="Low","Tranche 1",IF($E35="Medium","Tranche 2",IF($D35="High","Tranche 3","No tranche"))))))</f>
        <v/>
      </c>
      <c r="K35" s="39" t="n"/>
      <c r="L35" s="39" t="n"/>
      <c r="M35" s="39" t="n"/>
      <c r="O35">
        <f>IF(AND($B35&lt;&gt;"",$C35&lt;&gt;"Target state",$C35&lt;&gt;"Exception",$D35="High",$E35="Low"),$A35&amp;"  "&amp;$B35,"")</f>
        <v/>
      </c>
      <c r="P35">
        <f>IF(AND($B35&lt;&gt;"",$C35&lt;&gt;"Target state",$C35&lt;&gt;"Exception",$D35="High",$E35="Medium"),$A35&amp;"  "&amp;$B35,"")</f>
        <v/>
      </c>
      <c r="Q35">
        <f>IF(AND($B35&lt;&gt;"",$C35&lt;&gt;"Target state",$C35&lt;&gt;"Exception",$D35="High",$E35="High"),$A35&amp;"  "&amp;$B35,"")</f>
        <v/>
      </c>
      <c r="R35">
        <f>IF(AND($B35&lt;&gt;"",$C35&lt;&gt;"Target state",$C35&lt;&gt;"Exception",$D35="Medium",$E35="Low"),$A35&amp;"  "&amp;$B35,"")</f>
        <v/>
      </c>
      <c r="S35">
        <f>IF(AND($B35&lt;&gt;"",$C35&lt;&gt;"Target state",$C35&lt;&gt;"Exception",$D35="Medium",$E35="Medium"),$A35&amp;"  "&amp;$B35,"")</f>
        <v/>
      </c>
      <c r="T35">
        <f>IF(AND($B35&lt;&gt;"",$C35&lt;&gt;"Target state",$C35&lt;&gt;"Exception",$D35="Medium",$E35="High"),$A35&amp;"  "&amp;$B35,"")</f>
        <v/>
      </c>
      <c r="U35">
        <f>IF(AND($B35&lt;&gt;"",$C35&lt;&gt;"Target state",$C35&lt;&gt;"Exception",$D35="Low",$E35="Low"),$A35&amp;"  "&amp;$B35,"")</f>
        <v/>
      </c>
      <c r="V35">
        <f>IF(AND($B35&lt;&gt;"",$C35&lt;&gt;"Target state",$C35&lt;&gt;"Exception",$D35="Low",$E35="Medium"),$A35&amp;"  "&amp;$B35,"")</f>
        <v/>
      </c>
      <c r="W35">
        <f>IF(AND($B35&lt;&gt;"",$C35&lt;&gt;"Target state",$C35&lt;&gt;"Exception",$D35="Low",$E35="High"),$A35&amp;"  "&amp;$B35,"")</f>
        <v/>
      </c>
    </row>
    <row r="36" ht="20" customHeight="1">
      <c r="A36" s="29" t="inlineStr">
        <is>
          <t>⑨</t>
        </is>
      </c>
      <c r="B36" s="30" t="n"/>
      <c r="C36" s="31" t="n"/>
      <c r="D36" s="31" t="n"/>
      <c r="E36" s="31" t="n"/>
      <c r="F36" s="32" t="n"/>
      <c r="G36" s="33">
        <f>IF(OR($B36="",$D36="",$E36=""),"",IF(OR($C36="Target state",$C36="Exception"),"Out of scope",IF($D36="Low","No tranche",IF($E36="Low","Tranche 1",IF($E36="Medium","Tranche 2",IF($D36="High","Tranche 3","No tranche"))))))</f>
        <v/>
      </c>
      <c r="K36" s="40" t="n"/>
      <c r="L36" s="40" t="n"/>
      <c r="M36" s="40" t="n"/>
      <c r="O36">
        <f>IF(AND($B36&lt;&gt;"",$C36&lt;&gt;"Target state",$C36&lt;&gt;"Exception",$D36="High",$E36="Low"),$A36&amp;"  "&amp;$B36,"")</f>
        <v/>
      </c>
      <c r="P36">
        <f>IF(AND($B36&lt;&gt;"",$C36&lt;&gt;"Target state",$C36&lt;&gt;"Exception",$D36="High",$E36="Medium"),$A36&amp;"  "&amp;$B36,"")</f>
        <v/>
      </c>
      <c r="Q36">
        <f>IF(AND($B36&lt;&gt;"",$C36&lt;&gt;"Target state",$C36&lt;&gt;"Exception",$D36="High",$E36="High"),$A36&amp;"  "&amp;$B36,"")</f>
        <v/>
      </c>
      <c r="R36">
        <f>IF(AND($B36&lt;&gt;"",$C36&lt;&gt;"Target state",$C36&lt;&gt;"Exception",$D36="Medium",$E36="Low"),$A36&amp;"  "&amp;$B36,"")</f>
        <v/>
      </c>
      <c r="S36">
        <f>IF(AND($B36&lt;&gt;"",$C36&lt;&gt;"Target state",$C36&lt;&gt;"Exception",$D36="Medium",$E36="Medium"),$A36&amp;"  "&amp;$B36,"")</f>
        <v/>
      </c>
      <c r="T36">
        <f>IF(AND($B36&lt;&gt;"",$C36&lt;&gt;"Target state",$C36&lt;&gt;"Exception",$D36="Medium",$E36="High"),$A36&amp;"  "&amp;$B36,"")</f>
        <v/>
      </c>
      <c r="U36">
        <f>IF(AND($B36&lt;&gt;"",$C36&lt;&gt;"Target state",$C36&lt;&gt;"Exception",$D36="Low",$E36="Low"),$A36&amp;"  "&amp;$B36,"")</f>
        <v/>
      </c>
      <c r="V36">
        <f>IF(AND($B36&lt;&gt;"",$C36&lt;&gt;"Target state",$C36&lt;&gt;"Exception",$D36="Low",$E36="Medium"),$A36&amp;"  "&amp;$B36,"")</f>
        <v/>
      </c>
      <c r="W36">
        <f>IF(AND($B36&lt;&gt;"",$C36&lt;&gt;"Target state",$C36&lt;&gt;"Exception",$D36="Low",$E36="High"),$A36&amp;"  "&amp;$B36,"")</f>
        <v/>
      </c>
    </row>
    <row r="37" ht="20" customHeight="1">
      <c r="A37" s="29" t="inlineStr">
        <is>
          <t>⑩</t>
        </is>
      </c>
      <c r="B37" s="30" t="n"/>
      <c r="C37" s="31" t="n"/>
      <c r="D37" s="31" t="n"/>
      <c r="E37" s="31" t="n"/>
      <c r="F37" s="32" t="n"/>
      <c r="G37" s="33">
        <f>IF(OR($B37="",$D37="",$E37=""),"",IF(OR($C37="Target state",$C37="Exception"),"Out of scope",IF($D37="Low","No tranche",IF($E37="Low","Tranche 1",IF($E37="Medium","Tranche 2",IF($D37="High","Tranche 3","No tranche"))))))</f>
        <v/>
      </c>
      <c r="K37" s="35" t="inlineStr">
        <is>
          <t>Complexity</t>
        </is>
      </c>
      <c r="O37">
        <f>IF(AND($B37&lt;&gt;"",$C37&lt;&gt;"Target state",$C37&lt;&gt;"Exception",$D37="High",$E37="Low"),$A37&amp;"  "&amp;$B37,"")</f>
        <v/>
      </c>
      <c r="P37">
        <f>IF(AND($B37&lt;&gt;"",$C37&lt;&gt;"Target state",$C37&lt;&gt;"Exception",$D37="High",$E37="Medium"),$A37&amp;"  "&amp;$B37,"")</f>
        <v/>
      </c>
      <c r="Q37">
        <f>IF(AND($B37&lt;&gt;"",$C37&lt;&gt;"Target state",$C37&lt;&gt;"Exception",$D37="High",$E37="High"),$A37&amp;"  "&amp;$B37,"")</f>
        <v/>
      </c>
      <c r="R37">
        <f>IF(AND($B37&lt;&gt;"",$C37&lt;&gt;"Target state",$C37&lt;&gt;"Exception",$D37="Medium",$E37="Low"),$A37&amp;"  "&amp;$B37,"")</f>
        <v/>
      </c>
      <c r="S37">
        <f>IF(AND($B37&lt;&gt;"",$C37&lt;&gt;"Target state",$C37&lt;&gt;"Exception",$D37="Medium",$E37="Medium"),$A37&amp;"  "&amp;$B37,"")</f>
        <v/>
      </c>
      <c r="T37">
        <f>IF(AND($B37&lt;&gt;"",$C37&lt;&gt;"Target state",$C37&lt;&gt;"Exception",$D37="Medium",$E37="High"),$A37&amp;"  "&amp;$B37,"")</f>
        <v/>
      </c>
      <c r="U37">
        <f>IF(AND($B37&lt;&gt;"",$C37&lt;&gt;"Target state",$C37&lt;&gt;"Exception",$D37="Low",$E37="Low"),$A37&amp;"  "&amp;$B37,"")</f>
        <v/>
      </c>
      <c r="V37">
        <f>IF(AND($B37&lt;&gt;"",$C37&lt;&gt;"Target state",$C37&lt;&gt;"Exception",$D37="Low",$E37="Medium"),$A37&amp;"  "&amp;$B37,"")</f>
        <v/>
      </c>
      <c r="W37">
        <f>IF(AND($B37&lt;&gt;"",$C37&lt;&gt;"Target state",$C37&lt;&gt;"Exception",$D37="Low",$E37="High"),$A37&amp;"  "&amp;$B37,"")</f>
        <v/>
      </c>
    </row>
    <row r="40" ht="22" customHeight="1">
      <c r="A40" s="24" t="inlineStr">
        <is>
          <t>Boarding Orchestration</t>
        </is>
      </c>
      <c r="G40" s="25">
        <f>HYPERLINK("#'Boarding'!A4","▲ tracker")</f>
        <v/>
      </c>
      <c r="K40" s="26" t="inlineStr">
        <is>
          <t>Assessment Outcome</t>
        </is>
      </c>
    </row>
    <row r="41" ht="18" customHeight="1">
      <c r="A41" s="27" t="inlineStr">
        <is>
          <t>#</t>
        </is>
      </c>
      <c r="B41" s="27" t="inlineStr">
        <is>
          <t>Platform</t>
        </is>
      </c>
      <c r="C41" s="27" t="inlineStr">
        <is>
          <t>State</t>
        </is>
      </c>
      <c r="D41" s="27" t="inlineStr">
        <is>
          <t>Imperative to exit</t>
        </is>
      </c>
      <c r="E41" s="27" t="inlineStr">
        <is>
          <t>Exit complexity</t>
        </is>
      </c>
      <c r="F41" s="27" t="inlineStr">
        <is>
          <t>Supporting facts</t>
        </is>
      </c>
      <c r="G41" s="27" t="inlineStr">
        <is>
          <t>Tranche (auto)</t>
        </is>
      </c>
      <c r="K41" s="28" t="inlineStr">
        <is>
          <t>Low</t>
        </is>
      </c>
      <c r="L41" s="28" t="inlineStr">
        <is>
          <t>Medium</t>
        </is>
      </c>
      <c r="M41" s="28" t="inlineStr">
        <is>
          <t>High</t>
        </is>
      </c>
    </row>
    <row r="42" ht="20" customHeight="1">
      <c r="A42" s="29" t="inlineStr">
        <is>
          <t>①</t>
        </is>
      </c>
      <c r="B42" s="30" t="n"/>
      <c r="C42" s="31" t="n"/>
      <c r="D42" s="31" t="n"/>
      <c r="E42" s="31" t="n"/>
      <c r="F42" s="32" t="n"/>
      <c r="G42" s="33">
        <f>IF(OR($B42="",$D42="",$E42=""),"",IF(OR($C42="Target state",$C42="Exception"),"Out of scope",IF($D42="Low","No tranche",IF($E42="Low","Tranche 1",IF($E42="Medium","Tranche 2",IF($D42="High","Tranche 3","No tranche"))))))</f>
        <v/>
      </c>
      <c r="I42" s="34" t="inlineStr">
        <is>
          <t>Benefits</t>
        </is>
      </c>
      <c r="J42" s="35" t="inlineStr">
        <is>
          <t>High</t>
        </is>
      </c>
      <c r="K42" s="36">
        <f>"Tranche 1"&amp;CHAR(10)&amp;_xlfn.TEXTJOIN(CHAR(10),TRUE,O$42:O$51)</f>
        <v/>
      </c>
      <c r="L42" s="37">
        <f>"Tranche 2"&amp;CHAR(10)&amp;_xlfn.TEXTJOIN(CHAR(10),TRUE,P$42:P$51)</f>
        <v/>
      </c>
      <c r="M42" s="38">
        <f>"Tranche 3"&amp;CHAR(10)&amp;_xlfn.TEXTJOIN(CHAR(10),TRUE,Q$42:Q$51)</f>
        <v/>
      </c>
      <c r="O42">
        <f>IF(AND($B42&lt;&gt;"",$C42&lt;&gt;"Target state",$C42&lt;&gt;"Exception",$D42="High",$E42="Low"),$A42&amp;"  "&amp;$B42,"")</f>
        <v/>
      </c>
      <c r="P42">
        <f>IF(AND($B42&lt;&gt;"",$C42&lt;&gt;"Target state",$C42&lt;&gt;"Exception",$D42="High",$E42="Medium"),$A42&amp;"  "&amp;$B42,"")</f>
        <v/>
      </c>
      <c r="Q42">
        <f>IF(AND($B42&lt;&gt;"",$C42&lt;&gt;"Target state",$C42&lt;&gt;"Exception",$D42="High",$E42="High"),$A42&amp;"  "&amp;$B42,"")</f>
        <v/>
      </c>
      <c r="R42">
        <f>IF(AND($B42&lt;&gt;"",$C42&lt;&gt;"Target state",$C42&lt;&gt;"Exception",$D42="Medium",$E42="Low"),$A42&amp;"  "&amp;$B42,"")</f>
        <v/>
      </c>
      <c r="S42">
        <f>IF(AND($B42&lt;&gt;"",$C42&lt;&gt;"Target state",$C42&lt;&gt;"Exception",$D42="Medium",$E42="Medium"),$A42&amp;"  "&amp;$B42,"")</f>
        <v/>
      </c>
      <c r="T42">
        <f>IF(AND($B42&lt;&gt;"",$C42&lt;&gt;"Target state",$C42&lt;&gt;"Exception",$D42="Medium",$E42="High"),$A42&amp;"  "&amp;$B42,"")</f>
        <v/>
      </c>
      <c r="U42">
        <f>IF(AND($B42&lt;&gt;"",$C42&lt;&gt;"Target state",$C42&lt;&gt;"Exception",$D42="Low",$E42="Low"),$A42&amp;"  "&amp;$B42,"")</f>
        <v/>
      </c>
      <c r="V42">
        <f>IF(AND($B42&lt;&gt;"",$C42&lt;&gt;"Target state",$C42&lt;&gt;"Exception",$D42="Low",$E42="Medium"),$A42&amp;"  "&amp;$B42,"")</f>
        <v/>
      </c>
      <c r="W42">
        <f>IF(AND($B42&lt;&gt;"",$C42&lt;&gt;"Target state",$C42&lt;&gt;"Exception",$D42="Low",$E42="High"),$A42&amp;"  "&amp;$B42,"")</f>
        <v/>
      </c>
    </row>
    <row r="43" ht="20" customHeight="1">
      <c r="A43" s="29" t="inlineStr">
        <is>
          <t>②</t>
        </is>
      </c>
      <c r="B43" s="30" t="n"/>
      <c r="C43" s="31" t="n"/>
      <c r="D43" s="31" t="n"/>
      <c r="E43" s="31" t="n"/>
      <c r="F43" s="32" t="n"/>
      <c r="G43" s="33">
        <f>IF(OR($B43="",$D43="",$E43=""),"",IF(OR($C43="Target state",$C43="Exception"),"Out of scope",IF($D43="Low","No tranche",IF($E43="Low","Tranche 1",IF($E43="Medium","Tranche 2",IF($D43="High","Tranche 3","No tranche"))))))</f>
        <v/>
      </c>
      <c r="K43" s="39" t="n"/>
      <c r="L43" s="39" t="n"/>
      <c r="M43" s="39" t="n"/>
      <c r="O43">
        <f>IF(AND($B43&lt;&gt;"",$C43&lt;&gt;"Target state",$C43&lt;&gt;"Exception",$D43="High",$E43="Low"),$A43&amp;"  "&amp;$B43,"")</f>
        <v/>
      </c>
      <c r="P43">
        <f>IF(AND($B43&lt;&gt;"",$C43&lt;&gt;"Target state",$C43&lt;&gt;"Exception",$D43="High",$E43="Medium"),$A43&amp;"  "&amp;$B43,"")</f>
        <v/>
      </c>
      <c r="Q43">
        <f>IF(AND($B43&lt;&gt;"",$C43&lt;&gt;"Target state",$C43&lt;&gt;"Exception",$D43="High",$E43="High"),$A43&amp;"  "&amp;$B43,"")</f>
        <v/>
      </c>
      <c r="R43">
        <f>IF(AND($B43&lt;&gt;"",$C43&lt;&gt;"Target state",$C43&lt;&gt;"Exception",$D43="Medium",$E43="Low"),$A43&amp;"  "&amp;$B43,"")</f>
        <v/>
      </c>
      <c r="S43">
        <f>IF(AND($B43&lt;&gt;"",$C43&lt;&gt;"Target state",$C43&lt;&gt;"Exception",$D43="Medium",$E43="Medium"),$A43&amp;"  "&amp;$B43,"")</f>
        <v/>
      </c>
      <c r="T43">
        <f>IF(AND($B43&lt;&gt;"",$C43&lt;&gt;"Target state",$C43&lt;&gt;"Exception",$D43="Medium",$E43="High"),$A43&amp;"  "&amp;$B43,"")</f>
        <v/>
      </c>
      <c r="U43">
        <f>IF(AND($B43&lt;&gt;"",$C43&lt;&gt;"Target state",$C43&lt;&gt;"Exception",$D43="Low",$E43="Low"),$A43&amp;"  "&amp;$B43,"")</f>
        <v/>
      </c>
      <c r="V43">
        <f>IF(AND($B43&lt;&gt;"",$C43&lt;&gt;"Target state",$C43&lt;&gt;"Exception",$D43="Low",$E43="Medium"),$A43&amp;"  "&amp;$B43,"")</f>
        <v/>
      </c>
      <c r="W43">
        <f>IF(AND($B43&lt;&gt;"",$C43&lt;&gt;"Target state",$C43&lt;&gt;"Exception",$D43="Low",$E43="High"),$A43&amp;"  "&amp;$B43,"")</f>
        <v/>
      </c>
    </row>
    <row r="44" ht="20" customHeight="1">
      <c r="A44" s="29" t="inlineStr">
        <is>
          <t>③</t>
        </is>
      </c>
      <c r="B44" s="30" t="n"/>
      <c r="C44" s="31" t="n"/>
      <c r="D44" s="31" t="n"/>
      <c r="E44" s="31" t="n"/>
      <c r="F44" s="32" t="n"/>
      <c r="G44" s="33">
        <f>IF(OR($B44="",$D44="",$E44=""),"",IF(OR($C44="Target state",$C44="Exception"),"Out of scope",IF($D44="Low","No tranche",IF($E44="Low","Tranche 1",IF($E44="Medium","Tranche 2",IF($D44="High","Tranche 3","No tranche"))))))</f>
        <v/>
      </c>
      <c r="K44" s="40" t="n"/>
      <c r="L44" s="40" t="n"/>
      <c r="M44" s="40" t="n"/>
      <c r="O44">
        <f>IF(AND($B44&lt;&gt;"",$C44&lt;&gt;"Target state",$C44&lt;&gt;"Exception",$D44="High",$E44="Low"),$A44&amp;"  "&amp;$B44,"")</f>
        <v/>
      </c>
      <c r="P44">
        <f>IF(AND($B44&lt;&gt;"",$C44&lt;&gt;"Target state",$C44&lt;&gt;"Exception",$D44="High",$E44="Medium"),$A44&amp;"  "&amp;$B44,"")</f>
        <v/>
      </c>
      <c r="Q44">
        <f>IF(AND($B44&lt;&gt;"",$C44&lt;&gt;"Target state",$C44&lt;&gt;"Exception",$D44="High",$E44="High"),$A44&amp;"  "&amp;$B44,"")</f>
        <v/>
      </c>
      <c r="R44">
        <f>IF(AND($B44&lt;&gt;"",$C44&lt;&gt;"Target state",$C44&lt;&gt;"Exception",$D44="Medium",$E44="Low"),$A44&amp;"  "&amp;$B44,"")</f>
        <v/>
      </c>
      <c r="S44">
        <f>IF(AND($B44&lt;&gt;"",$C44&lt;&gt;"Target state",$C44&lt;&gt;"Exception",$D44="Medium",$E44="Medium"),$A44&amp;"  "&amp;$B44,"")</f>
        <v/>
      </c>
      <c r="T44">
        <f>IF(AND($B44&lt;&gt;"",$C44&lt;&gt;"Target state",$C44&lt;&gt;"Exception",$D44="Medium",$E44="High"),$A44&amp;"  "&amp;$B44,"")</f>
        <v/>
      </c>
      <c r="U44">
        <f>IF(AND($B44&lt;&gt;"",$C44&lt;&gt;"Target state",$C44&lt;&gt;"Exception",$D44="Low",$E44="Low"),$A44&amp;"  "&amp;$B44,"")</f>
        <v/>
      </c>
      <c r="V44">
        <f>IF(AND($B44&lt;&gt;"",$C44&lt;&gt;"Target state",$C44&lt;&gt;"Exception",$D44="Low",$E44="Medium"),$A44&amp;"  "&amp;$B44,"")</f>
        <v/>
      </c>
      <c r="W44">
        <f>IF(AND($B44&lt;&gt;"",$C44&lt;&gt;"Target state",$C44&lt;&gt;"Exception",$D44="Low",$E44="High"),$A44&amp;"  "&amp;$B44,"")</f>
        <v/>
      </c>
    </row>
    <row r="45" ht="20" customHeight="1">
      <c r="A45" s="29" t="inlineStr">
        <is>
          <t>④</t>
        </is>
      </c>
      <c r="B45" s="30" t="n"/>
      <c r="C45" s="31" t="n"/>
      <c r="D45" s="31" t="n"/>
      <c r="E45" s="31" t="n"/>
      <c r="F45" s="32" t="n"/>
      <c r="G45" s="33">
        <f>IF(OR($B45="",$D45="",$E45=""),"",IF(OR($C45="Target state",$C45="Exception"),"Out of scope",IF($D45="Low","No tranche",IF($E45="Low","Tranche 1",IF($E45="Medium","Tranche 2",IF($D45="High","Tranche 3","No tranche"))))))</f>
        <v/>
      </c>
      <c r="J45" s="35" t="inlineStr">
        <is>
          <t>Medium</t>
        </is>
      </c>
      <c r="K45" s="36">
        <f>"Tranche 1"&amp;CHAR(10)&amp;_xlfn.TEXTJOIN(CHAR(10),TRUE,R$42:R$51)</f>
        <v/>
      </c>
      <c r="L45" s="37">
        <f>"Tranche 2"&amp;CHAR(10)&amp;_xlfn.TEXTJOIN(CHAR(10),TRUE,S$42:S$51)</f>
        <v/>
      </c>
      <c r="M45" s="41">
        <f>_xlfn.TEXTJOIN(CHAR(10),TRUE,T$42:T$51)</f>
        <v/>
      </c>
      <c r="O45">
        <f>IF(AND($B45&lt;&gt;"",$C45&lt;&gt;"Target state",$C45&lt;&gt;"Exception",$D45="High",$E45="Low"),$A45&amp;"  "&amp;$B45,"")</f>
        <v/>
      </c>
      <c r="P45">
        <f>IF(AND($B45&lt;&gt;"",$C45&lt;&gt;"Target state",$C45&lt;&gt;"Exception",$D45="High",$E45="Medium"),$A45&amp;"  "&amp;$B45,"")</f>
        <v/>
      </c>
      <c r="Q45">
        <f>IF(AND($B45&lt;&gt;"",$C45&lt;&gt;"Target state",$C45&lt;&gt;"Exception",$D45="High",$E45="High"),$A45&amp;"  "&amp;$B45,"")</f>
        <v/>
      </c>
      <c r="R45">
        <f>IF(AND($B45&lt;&gt;"",$C45&lt;&gt;"Target state",$C45&lt;&gt;"Exception",$D45="Medium",$E45="Low"),$A45&amp;"  "&amp;$B45,"")</f>
        <v/>
      </c>
      <c r="S45">
        <f>IF(AND($B45&lt;&gt;"",$C45&lt;&gt;"Target state",$C45&lt;&gt;"Exception",$D45="Medium",$E45="Medium"),$A45&amp;"  "&amp;$B45,"")</f>
        <v/>
      </c>
      <c r="T45">
        <f>IF(AND($B45&lt;&gt;"",$C45&lt;&gt;"Target state",$C45&lt;&gt;"Exception",$D45="Medium",$E45="High"),$A45&amp;"  "&amp;$B45,"")</f>
        <v/>
      </c>
      <c r="U45">
        <f>IF(AND($B45&lt;&gt;"",$C45&lt;&gt;"Target state",$C45&lt;&gt;"Exception",$D45="Low",$E45="Low"),$A45&amp;"  "&amp;$B45,"")</f>
        <v/>
      </c>
      <c r="V45">
        <f>IF(AND($B45&lt;&gt;"",$C45&lt;&gt;"Target state",$C45&lt;&gt;"Exception",$D45="Low",$E45="Medium"),$A45&amp;"  "&amp;$B45,"")</f>
        <v/>
      </c>
      <c r="W45">
        <f>IF(AND($B45&lt;&gt;"",$C45&lt;&gt;"Target state",$C45&lt;&gt;"Exception",$D45="Low",$E45="High"),$A45&amp;"  "&amp;$B45,"")</f>
        <v/>
      </c>
    </row>
    <row r="46" ht="20" customHeight="1">
      <c r="A46" s="29" t="inlineStr">
        <is>
          <t>⑤</t>
        </is>
      </c>
      <c r="B46" s="30" t="n"/>
      <c r="C46" s="31" t="n"/>
      <c r="D46" s="31" t="n"/>
      <c r="E46" s="31" t="n"/>
      <c r="F46" s="32" t="n"/>
      <c r="G46" s="33">
        <f>IF(OR($B46="",$D46="",$E46=""),"",IF(OR($C46="Target state",$C46="Exception"),"Out of scope",IF($D46="Low","No tranche",IF($E46="Low","Tranche 1",IF($E46="Medium","Tranche 2",IF($D46="High","Tranche 3","No tranche"))))))</f>
        <v/>
      </c>
      <c r="K46" s="39" t="n"/>
      <c r="L46" s="39" t="n"/>
      <c r="M46" s="39" t="n"/>
      <c r="O46">
        <f>IF(AND($B46&lt;&gt;"",$C46&lt;&gt;"Target state",$C46&lt;&gt;"Exception",$D46="High",$E46="Low"),$A46&amp;"  "&amp;$B46,"")</f>
        <v/>
      </c>
      <c r="P46">
        <f>IF(AND($B46&lt;&gt;"",$C46&lt;&gt;"Target state",$C46&lt;&gt;"Exception",$D46="High",$E46="Medium"),$A46&amp;"  "&amp;$B46,"")</f>
        <v/>
      </c>
      <c r="Q46">
        <f>IF(AND($B46&lt;&gt;"",$C46&lt;&gt;"Target state",$C46&lt;&gt;"Exception",$D46="High",$E46="High"),$A46&amp;"  "&amp;$B46,"")</f>
        <v/>
      </c>
      <c r="R46">
        <f>IF(AND($B46&lt;&gt;"",$C46&lt;&gt;"Target state",$C46&lt;&gt;"Exception",$D46="Medium",$E46="Low"),$A46&amp;"  "&amp;$B46,"")</f>
        <v/>
      </c>
      <c r="S46">
        <f>IF(AND($B46&lt;&gt;"",$C46&lt;&gt;"Target state",$C46&lt;&gt;"Exception",$D46="Medium",$E46="Medium"),$A46&amp;"  "&amp;$B46,"")</f>
        <v/>
      </c>
      <c r="T46">
        <f>IF(AND($B46&lt;&gt;"",$C46&lt;&gt;"Target state",$C46&lt;&gt;"Exception",$D46="Medium",$E46="High"),$A46&amp;"  "&amp;$B46,"")</f>
        <v/>
      </c>
      <c r="U46">
        <f>IF(AND($B46&lt;&gt;"",$C46&lt;&gt;"Target state",$C46&lt;&gt;"Exception",$D46="Low",$E46="Low"),$A46&amp;"  "&amp;$B46,"")</f>
        <v/>
      </c>
      <c r="V46">
        <f>IF(AND($B46&lt;&gt;"",$C46&lt;&gt;"Target state",$C46&lt;&gt;"Exception",$D46="Low",$E46="Medium"),$A46&amp;"  "&amp;$B46,"")</f>
        <v/>
      </c>
      <c r="W46">
        <f>IF(AND($B46&lt;&gt;"",$C46&lt;&gt;"Target state",$C46&lt;&gt;"Exception",$D46="Low",$E46="High"),$A46&amp;"  "&amp;$B46,"")</f>
        <v/>
      </c>
    </row>
    <row r="47" ht="20" customHeight="1">
      <c r="A47" s="29" t="inlineStr">
        <is>
          <t>⑥</t>
        </is>
      </c>
      <c r="B47" s="30" t="n"/>
      <c r="C47" s="31" t="n"/>
      <c r="D47" s="31" t="n"/>
      <c r="E47" s="31" t="n"/>
      <c r="F47" s="32" t="n"/>
      <c r="G47" s="33">
        <f>IF(OR($B47="",$D47="",$E47=""),"",IF(OR($C47="Target state",$C47="Exception"),"Out of scope",IF($D47="Low","No tranche",IF($E47="Low","Tranche 1",IF($E47="Medium","Tranche 2",IF($D47="High","Tranche 3","No tranche"))))))</f>
        <v/>
      </c>
      <c r="K47" s="40" t="n"/>
      <c r="L47" s="40" t="n"/>
      <c r="M47" s="40" t="n"/>
      <c r="O47">
        <f>IF(AND($B47&lt;&gt;"",$C47&lt;&gt;"Target state",$C47&lt;&gt;"Exception",$D47="High",$E47="Low"),$A47&amp;"  "&amp;$B47,"")</f>
        <v/>
      </c>
      <c r="P47">
        <f>IF(AND($B47&lt;&gt;"",$C47&lt;&gt;"Target state",$C47&lt;&gt;"Exception",$D47="High",$E47="Medium"),$A47&amp;"  "&amp;$B47,"")</f>
        <v/>
      </c>
      <c r="Q47">
        <f>IF(AND($B47&lt;&gt;"",$C47&lt;&gt;"Target state",$C47&lt;&gt;"Exception",$D47="High",$E47="High"),$A47&amp;"  "&amp;$B47,"")</f>
        <v/>
      </c>
      <c r="R47">
        <f>IF(AND($B47&lt;&gt;"",$C47&lt;&gt;"Target state",$C47&lt;&gt;"Exception",$D47="Medium",$E47="Low"),$A47&amp;"  "&amp;$B47,"")</f>
        <v/>
      </c>
      <c r="S47">
        <f>IF(AND($B47&lt;&gt;"",$C47&lt;&gt;"Target state",$C47&lt;&gt;"Exception",$D47="Medium",$E47="Medium"),$A47&amp;"  "&amp;$B47,"")</f>
        <v/>
      </c>
      <c r="T47">
        <f>IF(AND($B47&lt;&gt;"",$C47&lt;&gt;"Target state",$C47&lt;&gt;"Exception",$D47="Medium",$E47="High"),$A47&amp;"  "&amp;$B47,"")</f>
        <v/>
      </c>
      <c r="U47">
        <f>IF(AND($B47&lt;&gt;"",$C47&lt;&gt;"Target state",$C47&lt;&gt;"Exception",$D47="Low",$E47="Low"),$A47&amp;"  "&amp;$B47,"")</f>
        <v/>
      </c>
      <c r="V47">
        <f>IF(AND($B47&lt;&gt;"",$C47&lt;&gt;"Target state",$C47&lt;&gt;"Exception",$D47="Low",$E47="Medium"),$A47&amp;"  "&amp;$B47,"")</f>
        <v/>
      </c>
      <c r="W47">
        <f>IF(AND($B47&lt;&gt;"",$C47&lt;&gt;"Target state",$C47&lt;&gt;"Exception",$D47="Low",$E47="High"),$A47&amp;"  "&amp;$B47,"")</f>
        <v/>
      </c>
    </row>
    <row r="48" ht="20" customHeight="1">
      <c r="A48" s="29" t="inlineStr">
        <is>
          <t>⑦</t>
        </is>
      </c>
      <c r="B48" s="30" t="n"/>
      <c r="C48" s="31" t="n"/>
      <c r="D48" s="31" t="n"/>
      <c r="E48" s="31" t="n"/>
      <c r="F48" s="32" t="n"/>
      <c r="G48" s="33">
        <f>IF(OR($B48="",$D48="",$E48=""),"",IF(OR($C48="Target state",$C48="Exception"),"Out of scope",IF($D48="Low","No tranche",IF($E48="Low","Tranche 1",IF($E48="Medium","Tranche 2",IF($D48="High","Tranche 3","No tranche"))))))</f>
        <v/>
      </c>
      <c r="J48" s="35" t="inlineStr">
        <is>
          <t>Low</t>
        </is>
      </c>
      <c r="K48" s="41">
        <f>_xlfn.TEXTJOIN(CHAR(10),TRUE,U$42:U$51)</f>
        <v/>
      </c>
      <c r="L48" s="41">
        <f>_xlfn.TEXTJOIN(CHAR(10),TRUE,V$42:V$51)</f>
        <v/>
      </c>
      <c r="M48" s="41">
        <f>_xlfn.TEXTJOIN(CHAR(10),TRUE,W$42:W$51)</f>
        <v/>
      </c>
      <c r="O48">
        <f>IF(AND($B48&lt;&gt;"",$C48&lt;&gt;"Target state",$C48&lt;&gt;"Exception",$D48="High",$E48="Low"),$A48&amp;"  "&amp;$B48,"")</f>
        <v/>
      </c>
      <c r="P48">
        <f>IF(AND($B48&lt;&gt;"",$C48&lt;&gt;"Target state",$C48&lt;&gt;"Exception",$D48="High",$E48="Medium"),$A48&amp;"  "&amp;$B48,"")</f>
        <v/>
      </c>
      <c r="Q48">
        <f>IF(AND($B48&lt;&gt;"",$C48&lt;&gt;"Target state",$C48&lt;&gt;"Exception",$D48="High",$E48="High"),$A48&amp;"  "&amp;$B48,"")</f>
        <v/>
      </c>
      <c r="R48">
        <f>IF(AND($B48&lt;&gt;"",$C48&lt;&gt;"Target state",$C48&lt;&gt;"Exception",$D48="Medium",$E48="Low"),$A48&amp;"  "&amp;$B48,"")</f>
        <v/>
      </c>
      <c r="S48">
        <f>IF(AND($B48&lt;&gt;"",$C48&lt;&gt;"Target state",$C48&lt;&gt;"Exception",$D48="Medium",$E48="Medium"),$A48&amp;"  "&amp;$B48,"")</f>
        <v/>
      </c>
      <c r="T48">
        <f>IF(AND($B48&lt;&gt;"",$C48&lt;&gt;"Target state",$C48&lt;&gt;"Exception",$D48="Medium",$E48="High"),$A48&amp;"  "&amp;$B48,"")</f>
        <v/>
      </c>
      <c r="U48">
        <f>IF(AND($B48&lt;&gt;"",$C48&lt;&gt;"Target state",$C48&lt;&gt;"Exception",$D48="Low",$E48="Low"),$A48&amp;"  "&amp;$B48,"")</f>
        <v/>
      </c>
      <c r="V48">
        <f>IF(AND($B48&lt;&gt;"",$C48&lt;&gt;"Target state",$C48&lt;&gt;"Exception",$D48="Low",$E48="Medium"),$A48&amp;"  "&amp;$B48,"")</f>
        <v/>
      </c>
      <c r="W48">
        <f>IF(AND($B48&lt;&gt;"",$C48&lt;&gt;"Target state",$C48&lt;&gt;"Exception",$D48="Low",$E48="High"),$A48&amp;"  "&amp;$B48,"")</f>
        <v/>
      </c>
    </row>
    <row r="49" ht="20" customHeight="1">
      <c r="A49" s="29" t="inlineStr">
        <is>
          <t>⑧</t>
        </is>
      </c>
      <c r="B49" s="30" t="n"/>
      <c r="C49" s="31" t="n"/>
      <c r="D49" s="31" t="n"/>
      <c r="E49" s="31" t="n"/>
      <c r="F49" s="32" t="n"/>
      <c r="G49" s="33">
        <f>IF(OR($B49="",$D49="",$E49=""),"",IF(OR($C49="Target state",$C49="Exception"),"Out of scope",IF($D49="Low","No tranche",IF($E49="Low","Tranche 1",IF($E49="Medium","Tranche 2",IF($D49="High","Tranche 3","No tranche"))))))</f>
        <v/>
      </c>
      <c r="K49" s="39" t="n"/>
      <c r="L49" s="39" t="n"/>
      <c r="M49" s="39" t="n"/>
      <c r="O49">
        <f>IF(AND($B49&lt;&gt;"",$C49&lt;&gt;"Target state",$C49&lt;&gt;"Exception",$D49="High",$E49="Low"),$A49&amp;"  "&amp;$B49,"")</f>
        <v/>
      </c>
      <c r="P49">
        <f>IF(AND($B49&lt;&gt;"",$C49&lt;&gt;"Target state",$C49&lt;&gt;"Exception",$D49="High",$E49="Medium"),$A49&amp;"  "&amp;$B49,"")</f>
        <v/>
      </c>
      <c r="Q49">
        <f>IF(AND($B49&lt;&gt;"",$C49&lt;&gt;"Target state",$C49&lt;&gt;"Exception",$D49="High",$E49="High"),$A49&amp;"  "&amp;$B49,"")</f>
        <v/>
      </c>
      <c r="R49">
        <f>IF(AND($B49&lt;&gt;"",$C49&lt;&gt;"Target state",$C49&lt;&gt;"Exception",$D49="Medium",$E49="Low"),$A49&amp;"  "&amp;$B49,"")</f>
        <v/>
      </c>
      <c r="S49">
        <f>IF(AND($B49&lt;&gt;"",$C49&lt;&gt;"Target state",$C49&lt;&gt;"Exception",$D49="Medium",$E49="Medium"),$A49&amp;"  "&amp;$B49,"")</f>
        <v/>
      </c>
      <c r="T49">
        <f>IF(AND($B49&lt;&gt;"",$C49&lt;&gt;"Target state",$C49&lt;&gt;"Exception",$D49="Medium",$E49="High"),$A49&amp;"  "&amp;$B49,"")</f>
        <v/>
      </c>
      <c r="U49">
        <f>IF(AND($B49&lt;&gt;"",$C49&lt;&gt;"Target state",$C49&lt;&gt;"Exception",$D49="Low",$E49="Low"),$A49&amp;"  "&amp;$B49,"")</f>
        <v/>
      </c>
      <c r="V49">
        <f>IF(AND($B49&lt;&gt;"",$C49&lt;&gt;"Target state",$C49&lt;&gt;"Exception",$D49="Low",$E49="Medium"),$A49&amp;"  "&amp;$B49,"")</f>
        <v/>
      </c>
      <c r="W49">
        <f>IF(AND($B49&lt;&gt;"",$C49&lt;&gt;"Target state",$C49&lt;&gt;"Exception",$D49="Low",$E49="High"),$A49&amp;"  "&amp;$B49,"")</f>
        <v/>
      </c>
    </row>
    <row r="50" ht="20" customHeight="1">
      <c r="A50" s="29" t="inlineStr">
        <is>
          <t>⑨</t>
        </is>
      </c>
      <c r="B50" s="30" t="n"/>
      <c r="C50" s="31" t="n"/>
      <c r="D50" s="31" t="n"/>
      <c r="E50" s="31" t="n"/>
      <c r="F50" s="32" t="n"/>
      <c r="G50" s="33">
        <f>IF(OR($B50="",$D50="",$E50=""),"",IF(OR($C50="Target state",$C50="Exception"),"Out of scope",IF($D50="Low","No tranche",IF($E50="Low","Tranche 1",IF($E50="Medium","Tranche 2",IF($D50="High","Tranche 3","No tranche"))))))</f>
        <v/>
      </c>
      <c r="K50" s="40" t="n"/>
      <c r="L50" s="40" t="n"/>
      <c r="M50" s="40" t="n"/>
      <c r="O50">
        <f>IF(AND($B50&lt;&gt;"",$C50&lt;&gt;"Target state",$C50&lt;&gt;"Exception",$D50="High",$E50="Low"),$A50&amp;"  "&amp;$B50,"")</f>
        <v/>
      </c>
      <c r="P50">
        <f>IF(AND($B50&lt;&gt;"",$C50&lt;&gt;"Target state",$C50&lt;&gt;"Exception",$D50="High",$E50="Medium"),$A50&amp;"  "&amp;$B50,"")</f>
        <v/>
      </c>
      <c r="Q50">
        <f>IF(AND($B50&lt;&gt;"",$C50&lt;&gt;"Target state",$C50&lt;&gt;"Exception",$D50="High",$E50="High"),$A50&amp;"  "&amp;$B50,"")</f>
        <v/>
      </c>
      <c r="R50">
        <f>IF(AND($B50&lt;&gt;"",$C50&lt;&gt;"Target state",$C50&lt;&gt;"Exception",$D50="Medium",$E50="Low"),$A50&amp;"  "&amp;$B50,"")</f>
        <v/>
      </c>
      <c r="S50">
        <f>IF(AND($B50&lt;&gt;"",$C50&lt;&gt;"Target state",$C50&lt;&gt;"Exception",$D50="Medium",$E50="Medium"),$A50&amp;"  "&amp;$B50,"")</f>
        <v/>
      </c>
      <c r="T50">
        <f>IF(AND($B50&lt;&gt;"",$C50&lt;&gt;"Target state",$C50&lt;&gt;"Exception",$D50="Medium",$E50="High"),$A50&amp;"  "&amp;$B50,"")</f>
        <v/>
      </c>
      <c r="U50">
        <f>IF(AND($B50&lt;&gt;"",$C50&lt;&gt;"Target state",$C50&lt;&gt;"Exception",$D50="Low",$E50="Low"),$A50&amp;"  "&amp;$B50,"")</f>
        <v/>
      </c>
      <c r="V50">
        <f>IF(AND($B50&lt;&gt;"",$C50&lt;&gt;"Target state",$C50&lt;&gt;"Exception",$D50="Low",$E50="Medium"),$A50&amp;"  "&amp;$B50,"")</f>
        <v/>
      </c>
      <c r="W50">
        <f>IF(AND($B50&lt;&gt;"",$C50&lt;&gt;"Target state",$C50&lt;&gt;"Exception",$D50="Low",$E50="High"),$A50&amp;"  "&amp;$B50,"")</f>
        <v/>
      </c>
    </row>
    <row r="51" ht="20" customHeight="1">
      <c r="A51" s="29" t="inlineStr">
        <is>
          <t>⑩</t>
        </is>
      </c>
      <c r="B51" s="30" t="n"/>
      <c r="C51" s="31" t="n"/>
      <c r="D51" s="31" t="n"/>
      <c r="E51" s="31" t="n"/>
      <c r="F51" s="32" t="n"/>
      <c r="G51" s="33">
        <f>IF(OR($B51="",$D51="",$E51=""),"",IF(OR($C51="Target state",$C51="Exception"),"Out of scope",IF($D51="Low","No tranche",IF($E51="Low","Tranche 1",IF($E51="Medium","Tranche 2",IF($D51="High","Tranche 3","No tranche"))))))</f>
        <v/>
      </c>
      <c r="K51" s="35" t="inlineStr">
        <is>
          <t>Complexity</t>
        </is>
      </c>
      <c r="O51">
        <f>IF(AND($B51&lt;&gt;"",$C51&lt;&gt;"Target state",$C51&lt;&gt;"Exception",$D51="High",$E51="Low"),$A51&amp;"  "&amp;$B51,"")</f>
        <v/>
      </c>
      <c r="P51">
        <f>IF(AND($B51&lt;&gt;"",$C51&lt;&gt;"Target state",$C51&lt;&gt;"Exception",$D51="High",$E51="Medium"),$A51&amp;"  "&amp;$B51,"")</f>
        <v/>
      </c>
      <c r="Q51">
        <f>IF(AND($B51&lt;&gt;"",$C51&lt;&gt;"Target state",$C51&lt;&gt;"Exception",$D51="High",$E51="High"),$A51&amp;"  "&amp;$B51,"")</f>
        <v/>
      </c>
      <c r="R51">
        <f>IF(AND($B51&lt;&gt;"",$C51&lt;&gt;"Target state",$C51&lt;&gt;"Exception",$D51="Medium",$E51="Low"),$A51&amp;"  "&amp;$B51,"")</f>
        <v/>
      </c>
      <c r="S51">
        <f>IF(AND($B51&lt;&gt;"",$C51&lt;&gt;"Target state",$C51&lt;&gt;"Exception",$D51="Medium",$E51="Medium"),$A51&amp;"  "&amp;$B51,"")</f>
        <v/>
      </c>
      <c r="T51">
        <f>IF(AND($B51&lt;&gt;"",$C51&lt;&gt;"Target state",$C51&lt;&gt;"Exception",$D51="Medium",$E51="High"),$A51&amp;"  "&amp;$B51,"")</f>
        <v/>
      </c>
      <c r="U51">
        <f>IF(AND($B51&lt;&gt;"",$C51&lt;&gt;"Target state",$C51&lt;&gt;"Exception",$D51="Low",$E51="Low"),$A51&amp;"  "&amp;$B51,"")</f>
        <v/>
      </c>
      <c r="V51">
        <f>IF(AND($B51&lt;&gt;"",$C51&lt;&gt;"Target state",$C51&lt;&gt;"Exception",$D51="Low",$E51="Medium"),$A51&amp;"  "&amp;$B51,"")</f>
        <v/>
      </c>
      <c r="W51">
        <f>IF(AND($B51&lt;&gt;"",$C51&lt;&gt;"Target state",$C51&lt;&gt;"Exception",$D51="Low",$E51="High"),$A51&amp;"  "&amp;$B51,"")</f>
        <v/>
      </c>
    </row>
    <row r="54" ht="22" customHeight="1">
      <c r="A54" s="24" t="inlineStr">
        <is>
          <t>Integration &amp; Messaging</t>
        </is>
      </c>
      <c r="G54" s="25">
        <f>HYPERLINK("#'Boarding'!A4","▲ tracker")</f>
        <v/>
      </c>
      <c r="K54" s="26" t="inlineStr">
        <is>
          <t>Assessment Outcome</t>
        </is>
      </c>
    </row>
    <row r="55" ht="18" customHeight="1">
      <c r="A55" s="27" t="inlineStr">
        <is>
          <t>#</t>
        </is>
      </c>
      <c r="B55" s="27" t="inlineStr">
        <is>
          <t>Platform</t>
        </is>
      </c>
      <c r="C55" s="27" t="inlineStr">
        <is>
          <t>State</t>
        </is>
      </c>
      <c r="D55" s="27" t="inlineStr">
        <is>
          <t>Imperative to exit</t>
        </is>
      </c>
      <c r="E55" s="27" t="inlineStr">
        <is>
          <t>Exit complexity</t>
        </is>
      </c>
      <c r="F55" s="27" t="inlineStr">
        <is>
          <t>Supporting facts</t>
        </is>
      </c>
      <c r="G55" s="27" t="inlineStr">
        <is>
          <t>Tranche (auto)</t>
        </is>
      </c>
      <c r="K55" s="28" t="inlineStr">
        <is>
          <t>Low</t>
        </is>
      </c>
      <c r="L55" s="28" t="inlineStr">
        <is>
          <t>Medium</t>
        </is>
      </c>
      <c r="M55" s="28" t="inlineStr">
        <is>
          <t>High</t>
        </is>
      </c>
    </row>
    <row r="56" ht="20" customHeight="1">
      <c r="A56" s="29" t="inlineStr">
        <is>
          <t>①</t>
        </is>
      </c>
      <c r="B56" s="30" t="n"/>
      <c r="C56" s="31" t="n"/>
      <c r="D56" s="31" t="n"/>
      <c r="E56" s="31" t="n"/>
      <c r="F56" s="32" t="n"/>
      <c r="G56" s="33">
        <f>IF(OR($B56="",$D56="",$E56=""),"",IF(OR($C56="Target state",$C56="Exception"),"Out of scope",IF($D56="Low","No tranche",IF($E56="Low","Tranche 1",IF($E56="Medium","Tranche 2",IF($D56="High","Tranche 3","No tranche"))))))</f>
        <v/>
      </c>
      <c r="I56" s="34" t="inlineStr">
        <is>
          <t>Benefits</t>
        </is>
      </c>
      <c r="J56" s="35" t="inlineStr">
        <is>
          <t>High</t>
        </is>
      </c>
      <c r="K56" s="36">
        <f>"Tranche 1"&amp;CHAR(10)&amp;_xlfn.TEXTJOIN(CHAR(10),TRUE,O$56:O$65)</f>
        <v/>
      </c>
      <c r="L56" s="37">
        <f>"Tranche 2"&amp;CHAR(10)&amp;_xlfn.TEXTJOIN(CHAR(10),TRUE,P$56:P$65)</f>
        <v/>
      </c>
      <c r="M56" s="38">
        <f>"Tranche 3"&amp;CHAR(10)&amp;_xlfn.TEXTJOIN(CHAR(10),TRUE,Q$56:Q$65)</f>
        <v/>
      </c>
      <c r="O56">
        <f>IF(AND($B56&lt;&gt;"",$C56&lt;&gt;"Target state",$C56&lt;&gt;"Exception",$D56="High",$E56="Low"),$A56&amp;"  "&amp;$B56,"")</f>
        <v/>
      </c>
      <c r="P56">
        <f>IF(AND($B56&lt;&gt;"",$C56&lt;&gt;"Target state",$C56&lt;&gt;"Exception",$D56="High",$E56="Medium"),$A56&amp;"  "&amp;$B56,"")</f>
        <v/>
      </c>
      <c r="Q56">
        <f>IF(AND($B56&lt;&gt;"",$C56&lt;&gt;"Target state",$C56&lt;&gt;"Exception",$D56="High",$E56="High"),$A56&amp;"  "&amp;$B56,"")</f>
        <v/>
      </c>
      <c r="R56">
        <f>IF(AND($B56&lt;&gt;"",$C56&lt;&gt;"Target state",$C56&lt;&gt;"Exception",$D56="Medium",$E56="Low"),$A56&amp;"  "&amp;$B56,"")</f>
        <v/>
      </c>
      <c r="S56">
        <f>IF(AND($B56&lt;&gt;"",$C56&lt;&gt;"Target state",$C56&lt;&gt;"Exception",$D56="Medium",$E56="Medium"),$A56&amp;"  "&amp;$B56,"")</f>
        <v/>
      </c>
      <c r="T56">
        <f>IF(AND($B56&lt;&gt;"",$C56&lt;&gt;"Target state",$C56&lt;&gt;"Exception",$D56="Medium",$E56="High"),$A56&amp;"  "&amp;$B56,"")</f>
        <v/>
      </c>
      <c r="U56">
        <f>IF(AND($B56&lt;&gt;"",$C56&lt;&gt;"Target state",$C56&lt;&gt;"Exception",$D56="Low",$E56="Low"),$A56&amp;"  "&amp;$B56,"")</f>
        <v/>
      </c>
      <c r="V56">
        <f>IF(AND($B56&lt;&gt;"",$C56&lt;&gt;"Target state",$C56&lt;&gt;"Exception",$D56="Low",$E56="Medium"),$A56&amp;"  "&amp;$B56,"")</f>
        <v/>
      </c>
      <c r="W56">
        <f>IF(AND($B56&lt;&gt;"",$C56&lt;&gt;"Target state",$C56&lt;&gt;"Exception",$D56="Low",$E56="High"),$A56&amp;"  "&amp;$B56,"")</f>
        <v/>
      </c>
    </row>
    <row r="57" ht="20" customHeight="1">
      <c r="A57" s="29" t="inlineStr">
        <is>
          <t>②</t>
        </is>
      </c>
      <c r="B57" s="30" t="n"/>
      <c r="C57" s="31" t="n"/>
      <c r="D57" s="31" t="n"/>
      <c r="E57" s="31" t="n"/>
      <c r="F57" s="32" t="n"/>
      <c r="G57" s="33">
        <f>IF(OR($B57="",$D57="",$E57=""),"",IF(OR($C57="Target state",$C57="Exception"),"Out of scope",IF($D57="Low","No tranche",IF($E57="Low","Tranche 1",IF($E57="Medium","Tranche 2",IF($D57="High","Tranche 3","No tranche"))))))</f>
        <v/>
      </c>
      <c r="K57" s="39" t="n"/>
      <c r="L57" s="39" t="n"/>
      <c r="M57" s="39" t="n"/>
      <c r="O57">
        <f>IF(AND($B57&lt;&gt;"",$C57&lt;&gt;"Target state",$C57&lt;&gt;"Exception",$D57="High",$E57="Low"),$A57&amp;"  "&amp;$B57,"")</f>
        <v/>
      </c>
      <c r="P57">
        <f>IF(AND($B57&lt;&gt;"",$C57&lt;&gt;"Target state",$C57&lt;&gt;"Exception",$D57="High",$E57="Medium"),$A57&amp;"  "&amp;$B57,"")</f>
        <v/>
      </c>
      <c r="Q57">
        <f>IF(AND($B57&lt;&gt;"",$C57&lt;&gt;"Target state",$C57&lt;&gt;"Exception",$D57="High",$E57="High"),$A57&amp;"  "&amp;$B57,"")</f>
        <v/>
      </c>
      <c r="R57">
        <f>IF(AND($B57&lt;&gt;"",$C57&lt;&gt;"Target state",$C57&lt;&gt;"Exception",$D57="Medium",$E57="Low"),$A57&amp;"  "&amp;$B57,"")</f>
        <v/>
      </c>
      <c r="S57">
        <f>IF(AND($B57&lt;&gt;"",$C57&lt;&gt;"Target state",$C57&lt;&gt;"Exception",$D57="Medium",$E57="Medium"),$A57&amp;"  "&amp;$B57,"")</f>
        <v/>
      </c>
      <c r="T57">
        <f>IF(AND($B57&lt;&gt;"",$C57&lt;&gt;"Target state",$C57&lt;&gt;"Exception",$D57="Medium",$E57="High"),$A57&amp;"  "&amp;$B57,"")</f>
        <v/>
      </c>
      <c r="U57">
        <f>IF(AND($B57&lt;&gt;"",$C57&lt;&gt;"Target state",$C57&lt;&gt;"Exception",$D57="Low",$E57="Low"),$A57&amp;"  "&amp;$B57,"")</f>
        <v/>
      </c>
      <c r="V57">
        <f>IF(AND($B57&lt;&gt;"",$C57&lt;&gt;"Target state",$C57&lt;&gt;"Exception",$D57="Low",$E57="Medium"),$A57&amp;"  "&amp;$B57,"")</f>
        <v/>
      </c>
      <c r="W57">
        <f>IF(AND($B57&lt;&gt;"",$C57&lt;&gt;"Target state",$C57&lt;&gt;"Exception",$D57="Low",$E57="High"),$A57&amp;"  "&amp;$B57,"")</f>
        <v/>
      </c>
    </row>
    <row r="58" ht="20" customHeight="1">
      <c r="A58" s="29" t="inlineStr">
        <is>
          <t>③</t>
        </is>
      </c>
      <c r="B58" s="30" t="n"/>
      <c r="C58" s="31" t="n"/>
      <c r="D58" s="31" t="n"/>
      <c r="E58" s="31" t="n"/>
      <c r="F58" s="32" t="n"/>
      <c r="G58" s="33">
        <f>IF(OR($B58="",$D58="",$E58=""),"",IF(OR($C58="Target state",$C58="Exception"),"Out of scope",IF($D58="Low","No tranche",IF($E58="Low","Tranche 1",IF($E58="Medium","Tranche 2",IF($D58="High","Tranche 3","No tranche"))))))</f>
        <v/>
      </c>
      <c r="K58" s="40" t="n"/>
      <c r="L58" s="40" t="n"/>
      <c r="M58" s="40" t="n"/>
      <c r="O58">
        <f>IF(AND($B58&lt;&gt;"",$C58&lt;&gt;"Target state",$C58&lt;&gt;"Exception",$D58="High",$E58="Low"),$A58&amp;"  "&amp;$B58,"")</f>
        <v/>
      </c>
      <c r="P58">
        <f>IF(AND($B58&lt;&gt;"",$C58&lt;&gt;"Target state",$C58&lt;&gt;"Exception",$D58="High",$E58="Medium"),$A58&amp;"  "&amp;$B58,"")</f>
        <v/>
      </c>
      <c r="Q58">
        <f>IF(AND($B58&lt;&gt;"",$C58&lt;&gt;"Target state",$C58&lt;&gt;"Exception",$D58="High",$E58="High"),$A58&amp;"  "&amp;$B58,"")</f>
        <v/>
      </c>
      <c r="R58">
        <f>IF(AND($B58&lt;&gt;"",$C58&lt;&gt;"Target state",$C58&lt;&gt;"Exception",$D58="Medium",$E58="Low"),$A58&amp;"  "&amp;$B58,"")</f>
        <v/>
      </c>
      <c r="S58">
        <f>IF(AND($B58&lt;&gt;"",$C58&lt;&gt;"Target state",$C58&lt;&gt;"Exception",$D58="Medium",$E58="Medium"),$A58&amp;"  "&amp;$B58,"")</f>
        <v/>
      </c>
      <c r="T58">
        <f>IF(AND($B58&lt;&gt;"",$C58&lt;&gt;"Target state",$C58&lt;&gt;"Exception",$D58="Medium",$E58="High"),$A58&amp;"  "&amp;$B58,"")</f>
        <v/>
      </c>
      <c r="U58">
        <f>IF(AND($B58&lt;&gt;"",$C58&lt;&gt;"Target state",$C58&lt;&gt;"Exception",$D58="Low",$E58="Low"),$A58&amp;"  "&amp;$B58,"")</f>
        <v/>
      </c>
      <c r="V58">
        <f>IF(AND($B58&lt;&gt;"",$C58&lt;&gt;"Target state",$C58&lt;&gt;"Exception",$D58="Low",$E58="Medium"),$A58&amp;"  "&amp;$B58,"")</f>
        <v/>
      </c>
      <c r="W58">
        <f>IF(AND($B58&lt;&gt;"",$C58&lt;&gt;"Target state",$C58&lt;&gt;"Exception",$D58="Low",$E58="High"),$A58&amp;"  "&amp;$B58,"")</f>
        <v/>
      </c>
    </row>
    <row r="59" ht="20" customHeight="1">
      <c r="A59" s="29" t="inlineStr">
        <is>
          <t>④</t>
        </is>
      </c>
      <c r="B59" s="30" t="n"/>
      <c r="C59" s="31" t="n"/>
      <c r="D59" s="31" t="n"/>
      <c r="E59" s="31" t="n"/>
      <c r="F59" s="32" t="n"/>
      <c r="G59" s="33">
        <f>IF(OR($B59="",$D59="",$E59=""),"",IF(OR($C59="Target state",$C59="Exception"),"Out of scope",IF($D59="Low","No tranche",IF($E59="Low","Tranche 1",IF($E59="Medium","Tranche 2",IF($D59="High","Tranche 3","No tranche"))))))</f>
        <v/>
      </c>
      <c r="J59" s="35" t="inlineStr">
        <is>
          <t>Medium</t>
        </is>
      </c>
      <c r="K59" s="36">
        <f>"Tranche 1"&amp;CHAR(10)&amp;_xlfn.TEXTJOIN(CHAR(10),TRUE,R$56:R$65)</f>
        <v/>
      </c>
      <c r="L59" s="37">
        <f>"Tranche 2"&amp;CHAR(10)&amp;_xlfn.TEXTJOIN(CHAR(10),TRUE,S$56:S$65)</f>
        <v/>
      </c>
      <c r="M59" s="41">
        <f>_xlfn.TEXTJOIN(CHAR(10),TRUE,T$56:T$65)</f>
        <v/>
      </c>
      <c r="O59">
        <f>IF(AND($B59&lt;&gt;"",$C59&lt;&gt;"Target state",$C59&lt;&gt;"Exception",$D59="High",$E59="Low"),$A59&amp;"  "&amp;$B59,"")</f>
        <v/>
      </c>
      <c r="P59">
        <f>IF(AND($B59&lt;&gt;"",$C59&lt;&gt;"Target state",$C59&lt;&gt;"Exception",$D59="High",$E59="Medium"),$A59&amp;"  "&amp;$B59,"")</f>
        <v/>
      </c>
      <c r="Q59">
        <f>IF(AND($B59&lt;&gt;"",$C59&lt;&gt;"Target state",$C59&lt;&gt;"Exception",$D59="High",$E59="High"),$A59&amp;"  "&amp;$B59,"")</f>
        <v/>
      </c>
      <c r="R59">
        <f>IF(AND($B59&lt;&gt;"",$C59&lt;&gt;"Target state",$C59&lt;&gt;"Exception",$D59="Medium",$E59="Low"),$A59&amp;"  "&amp;$B59,"")</f>
        <v/>
      </c>
      <c r="S59">
        <f>IF(AND($B59&lt;&gt;"",$C59&lt;&gt;"Target state",$C59&lt;&gt;"Exception",$D59="Medium",$E59="Medium"),$A59&amp;"  "&amp;$B59,"")</f>
        <v/>
      </c>
      <c r="T59">
        <f>IF(AND($B59&lt;&gt;"",$C59&lt;&gt;"Target state",$C59&lt;&gt;"Exception",$D59="Medium",$E59="High"),$A59&amp;"  "&amp;$B59,"")</f>
        <v/>
      </c>
      <c r="U59">
        <f>IF(AND($B59&lt;&gt;"",$C59&lt;&gt;"Target state",$C59&lt;&gt;"Exception",$D59="Low",$E59="Low"),$A59&amp;"  "&amp;$B59,"")</f>
        <v/>
      </c>
      <c r="V59">
        <f>IF(AND($B59&lt;&gt;"",$C59&lt;&gt;"Target state",$C59&lt;&gt;"Exception",$D59="Low",$E59="Medium"),$A59&amp;"  "&amp;$B59,"")</f>
        <v/>
      </c>
      <c r="W59">
        <f>IF(AND($B59&lt;&gt;"",$C59&lt;&gt;"Target state",$C59&lt;&gt;"Exception",$D59="Low",$E59="High"),$A59&amp;"  "&amp;$B59,"")</f>
        <v/>
      </c>
    </row>
    <row r="60" ht="20" customHeight="1">
      <c r="A60" s="29" t="inlineStr">
        <is>
          <t>⑤</t>
        </is>
      </c>
      <c r="B60" s="30" t="n"/>
      <c r="C60" s="31" t="n"/>
      <c r="D60" s="31" t="n"/>
      <c r="E60" s="31" t="n"/>
      <c r="F60" s="32" t="n"/>
      <c r="G60" s="33">
        <f>IF(OR($B60="",$D60="",$E60=""),"",IF(OR($C60="Target state",$C60="Exception"),"Out of scope",IF($D60="Low","No tranche",IF($E60="Low","Tranche 1",IF($E60="Medium","Tranche 2",IF($D60="High","Tranche 3","No tranche"))))))</f>
        <v/>
      </c>
      <c r="K60" s="39" t="n"/>
      <c r="L60" s="39" t="n"/>
      <c r="M60" s="39" t="n"/>
      <c r="O60">
        <f>IF(AND($B60&lt;&gt;"",$C60&lt;&gt;"Target state",$C60&lt;&gt;"Exception",$D60="High",$E60="Low"),$A60&amp;"  "&amp;$B60,"")</f>
        <v/>
      </c>
      <c r="P60">
        <f>IF(AND($B60&lt;&gt;"",$C60&lt;&gt;"Target state",$C60&lt;&gt;"Exception",$D60="High",$E60="Medium"),$A60&amp;"  "&amp;$B60,"")</f>
        <v/>
      </c>
      <c r="Q60">
        <f>IF(AND($B60&lt;&gt;"",$C60&lt;&gt;"Target state",$C60&lt;&gt;"Exception",$D60="High",$E60="High"),$A60&amp;"  "&amp;$B60,"")</f>
        <v/>
      </c>
      <c r="R60">
        <f>IF(AND($B60&lt;&gt;"",$C60&lt;&gt;"Target state",$C60&lt;&gt;"Exception",$D60="Medium",$E60="Low"),$A60&amp;"  "&amp;$B60,"")</f>
        <v/>
      </c>
      <c r="S60">
        <f>IF(AND($B60&lt;&gt;"",$C60&lt;&gt;"Target state",$C60&lt;&gt;"Exception",$D60="Medium",$E60="Medium"),$A60&amp;"  "&amp;$B60,"")</f>
        <v/>
      </c>
      <c r="T60">
        <f>IF(AND($B60&lt;&gt;"",$C60&lt;&gt;"Target state",$C60&lt;&gt;"Exception",$D60="Medium",$E60="High"),$A60&amp;"  "&amp;$B60,"")</f>
        <v/>
      </c>
      <c r="U60">
        <f>IF(AND($B60&lt;&gt;"",$C60&lt;&gt;"Target state",$C60&lt;&gt;"Exception",$D60="Low",$E60="Low"),$A60&amp;"  "&amp;$B60,"")</f>
        <v/>
      </c>
      <c r="V60">
        <f>IF(AND($B60&lt;&gt;"",$C60&lt;&gt;"Target state",$C60&lt;&gt;"Exception",$D60="Low",$E60="Medium"),$A60&amp;"  "&amp;$B60,"")</f>
        <v/>
      </c>
      <c r="W60">
        <f>IF(AND($B60&lt;&gt;"",$C60&lt;&gt;"Target state",$C60&lt;&gt;"Exception",$D60="Low",$E60="High"),$A60&amp;"  "&amp;$B60,"")</f>
        <v/>
      </c>
    </row>
    <row r="61" ht="20" customHeight="1">
      <c r="A61" s="29" t="inlineStr">
        <is>
          <t>⑥</t>
        </is>
      </c>
      <c r="B61" s="30" t="n"/>
      <c r="C61" s="31" t="n"/>
      <c r="D61" s="31" t="n"/>
      <c r="E61" s="31" t="n"/>
      <c r="F61" s="32" t="n"/>
      <c r="G61" s="33">
        <f>IF(OR($B61="",$D61="",$E61=""),"",IF(OR($C61="Target state",$C61="Exception"),"Out of scope",IF($D61="Low","No tranche",IF($E61="Low","Tranche 1",IF($E61="Medium","Tranche 2",IF($D61="High","Tranche 3","No tranche"))))))</f>
        <v/>
      </c>
      <c r="K61" s="40" t="n"/>
      <c r="L61" s="40" t="n"/>
      <c r="M61" s="40" t="n"/>
      <c r="O61">
        <f>IF(AND($B61&lt;&gt;"",$C61&lt;&gt;"Target state",$C61&lt;&gt;"Exception",$D61="High",$E61="Low"),$A61&amp;"  "&amp;$B61,"")</f>
        <v/>
      </c>
      <c r="P61">
        <f>IF(AND($B61&lt;&gt;"",$C61&lt;&gt;"Target state",$C61&lt;&gt;"Exception",$D61="High",$E61="Medium"),$A61&amp;"  "&amp;$B61,"")</f>
        <v/>
      </c>
      <c r="Q61">
        <f>IF(AND($B61&lt;&gt;"",$C61&lt;&gt;"Target state",$C61&lt;&gt;"Exception",$D61="High",$E61="High"),$A61&amp;"  "&amp;$B61,"")</f>
        <v/>
      </c>
      <c r="R61">
        <f>IF(AND($B61&lt;&gt;"",$C61&lt;&gt;"Target state",$C61&lt;&gt;"Exception",$D61="Medium",$E61="Low"),$A61&amp;"  "&amp;$B61,"")</f>
        <v/>
      </c>
      <c r="S61">
        <f>IF(AND($B61&lt;&gt;"",$C61&lt;&gt;"Target state",$C61&lt;&gt;"Exception",$D61="Medium",$E61="Medium"),$A61&amp;"  "&amp;$B61,"")</f>
        <v/>
      </c>
      <c r="T61">
        <f>IF(AND($B61&lt;&gt;"",$C61&lt;&gt;"Target state",$C61&lt;&gt;"Exception",$D61="Medium",$E61="High"),$A61&amp;"  "&amp;$B61,"")</f>
        <v/>
      </c>
      <c r="U61">
        <f>IF(AND($B61&lt;&gt;"",$C61&lt;&gt;"Target state",$C61&lt;&gt;"Exception",$D61="Low",$E61="Low"),$A61&amp;"  "&amp;$B61,"")</f>
        <v/>
      </c>
      <c r="V61">
        <f>IF(AND($B61&lt;&gt;"",$C61&lt;&gt;"Target state",$C61&lt;&gt;"Exception",$D61="Low",$E61="Medium"),$A61&amp;"  "&amp;$B61,"")</f>
        <v/>
      </c>
      <c r="W61">
        <f>IF(AND($B61&lt;&gt;"",$C61&lt;&gt;"Target state",$C61&lt;&gt;"Exception",$D61="Low",$E61="High"),$A61&amp;"  "&amp;$B61,"")</f>
        <v/>
      </c>
    </row>
    <row r="62" ht="20" customHeight="1">
      <c r="A62" s="29" t="inlineStr">
        <is>
          <t>⑦</t>
        </is>
      </c>
      <c r="B62" s="30" t="n"/>
      <c r="C62" s="31" t="n"/>
      <c r="D62" s="31" t="n"/>
      <c r="E62" s="31" t="n"/>
      <c r="F62" s="32" t="n"/>
      <c r="G62" s="33">
        <f>IF(OR($B62="",$D62="",$E62=""),"",IF(OR($C62="Target state",$C62="Exception"),"Out of scope",IF($D62="Low","No tranche",IF($E62="Low","Tranche 1",IF($E62="Medium","Tranche 2",IF($D62="High","Tranche 3","No tranche"))))))</f>
        <v/>
      </c>
      <c r="J62" s="35" t="inlineStr">
        <is>
          <t>Low</t>
        </is>
      </c>
      <c r="K62" s="41">
        <f>_xlfn.TEXTJOIN(CHAR(10),TRUE,U$56:U$65)</f>
        <v/>
      </c>
      <c r="L62" s="41">
        <f>_xlfn.TEXTJOIN(CHAR(10),TRUE,V$56:V$65)</f>
        <v/>
      </c>
      <c r="M62" s="41">
        <f>_xlfn.TEXTJOIN(CHAR(10),TRUE,W$56:W$65)</f>
        <v/>
      </c>
      <c r="O62">
        <f>IF(AND($B62&lt;&gt;"",$C62&lt;&gt;"Target state",$C62&lt;&gt;"Exception",$D62="High",$E62="Low"),$A62&amp;"  "&amp;$B62,"")</f>
        <v/>
      </c>
      <c r="P62">
        <f>IF(AND($B62&lt;&gt;"",$C62&lt;&gt;"Target state",$C62&lt;&gt;"Exception",$D62="High",$E62="Medium"),$A62&amp;"  "&amp;$B62,"")</f>
        <v/>
      </c>
      <c r="Q62">
        <f>IF(AND($B62&lt;&gt;"",$C62&lt;&gt;"Target state",$C62&lt;&gt;"Exception",$D62="High",$E62="High"),$A62&amp;"  "&amp;$B62,"")</f>
        <v/>
      </c>
      <c r="R62">
        <f>IF(AND($B62&lt;&gt;"",$C62&lt;&gt;"Target state",$C62&lt;&gt;"Exception",$D62="Medium",$E62="Low"),$A62&amp;"  "&amp;$B62,"")</f>
        <v/>
      </c>
      <c r="S62">
        <f>IF(AND($B62&lt;&gt;"",$C62&lt;&gt;"Target state",$C62&lt;&gt;"Exception",$D62="Medium",$E62="Medium"),$A62&amp;"  "&amp;$B62,"")</f>
        <v/>
      </c>
      <c r="T62">
        <f>IF(AND($B62&lt;&gt;"",$C62&lt;&gt;"Target state",$C62&lt;&gt;"Exception",$D62="Medium",$E62="High"),$A62&amp;"  "&amp;$B62,"")</f>
        <v/>
      </c>
      <c r="U62">
        <f>IF(AND($B62&lt;&gt;"",$C62&lt;&gt;"Target state",$C62&lt;&gt;"Exception",$D62="Low",$E62="Low"),$A62&amp;"  "&amp;$B62,"")</f>
        <v/>
      </c>
      <c r="V62">
        <f>IF(AND($B62&lt;&gt;"",$C62&lt;&gt;"Target state",$C62&lt;&gt;"Exception",$D62="Low",$E62="Medium"),$A62&amp;"  "&amp;$B62,"")</f>
        <v/>
      </c>
      <c r="W62">
        <f>IF(AND($B62&lt;&gt;"",$C62&lt;&gt;"Target state",$C62&lt;&gt;"Exception",$D62="Low",$E62="High"),$A62&amp;"  "&amp;$B62,"")</f>
        <v/>
      </c>
    </row>
    <row r="63" ht="20" customHeight="1">
      <c r="A63" s="29" t="inlineStr">
        <is>
          <t>⑧</t>
        </is>
      </c>
      <c r="B63" s="30" t="n"/>
      <c r="C63" s="31" t="n"/>
      <c r="D63" s="31" t="n"/>
      <c r="E63" s="31" t="n"/>
      <c r="F63" s="32" t="n"/>
      <c r="G63" s="33">
        <f>IF(OR($B63="",$D63="",$E63=""),"",IF(OR($C63="Target state",$C63="Exception"),"Out of scope",IF($D63="Low","No tranche",IF($E63="Low","Tranche 1",IF($E63="Medium","Tranche 2",IF($D63="High","Tranche 3","No tranche"))))))</f>
        <v/>
      </c>
      <c r="K63" s="39" t="n"/>
      <c r="L63" s="39" t="n"/>
      <c r="M63" s="39" t="n"/>
      <c r="O63">
        <f>IF(AND($B63&lt;&gt;"",$C63&lt;&gt;"Target state",$C63&lt;&gt;"Exception",$D63="High",$E63="Low"),$A63&amp;"  "&amp;$B63,"")</f>
        <v/>
      </c>
      <c r="P63">
        <f>IF(AND($B63&lt;&gt;"",$C63&lt;&gt;"Target state",$C63&lt;&gt;"Exception",$D63="High",$E63="Medium"),$A63&amp;"  "&amp;$B63,"")</f>
        <v/>
      </c>
      <c r="Q63">
        <f>IF(AND($B63&lt;&gt;"",$C63&lt;&gt;"Target state",$C63&lt;&gt;"Exception",$D63="High",$E63="High"),$A63&amp;"  "&amp;$B63,"")</f>
        <v/>
      </c>
      <c r="R63">
        <f>IF(AND($B63&lt;&gt;"",$C63&lt;&gt;"Target state",$C63&lt;&gt;"Exception",$D63="Medium",$E63="Low"),$A63&amp;"  "&amp;$B63,"")</f>
        <v/>
      </c>
      <c r="S63">
        <f>IF(AND($B63&lt;&gt;"",$C63&lt;&gt;"Target state",$C63&lt;&gt;"Exception",$D63="Medium",$E63="Medium"),$A63&amp;"  "&amp;$B63,"")</f>
        <v/>
      </c>
      <c r="T63">
        <f>IF(AND($B63&lt;&gt;"",$C63&lt;&gt;"Target state",$C63&lt;&gt;"Exception",$D63="Medium",$E63="High"),$A63&amp;"  "&amp;$B63,"")</f>
        <v/>
      </c>
      <c r="U63">
        <f>IF(AND($B63&lt;&gt;"",$C63&lt;&gt;"Target state",$C63&lt;&gt;"Exception",$D63="Low",$E63="Low"),$A63&amp;"  "&amp;$B63,"")</f>
        <v/>
      </c>
      <c r="V63">
        <f>IF(AND($B63&lt;&gt;"",$C63&lt;&gt;"Target state",$C63&lt;&gt;"Exception",$D63="Low",$E63="Medium"),$A63&amp;"  "&amp;$B63,"")</f>
        <v/>
      </c>
      <c r="W63">
        <f>IF(AND($B63&lt;&gt;"",$C63&lt;&gt;"Target state",$C63&lt;&gt;"Exception",$D63="Low",$E63="High"),$A63&amp;"  "&amp;$B63,"")</f>
        <v/>
      </c>
    </row>
    <row r="64" ht="20" customHeight="1">
      <c r="A64" s="29" t="inlineStr">
        <is>
          <t>⑨</t>
        </is>
      </c>
      <c r="B64" s="30" t="n"/>
      <c r="C64" s="31" t="n"/>
      <c r="D64" s="31" t="n"/>
      <c r="E64" s="31" t="n"/>
      <c r="F64" s="32" t="n"/>
      <c r="G64" s="33">
        <f>IF(OR($B64="",$D64="",$E64=""),"",IF(OR($C64="Target state",$C64="Exception"),"Out of scope",IF($D64="Low","No tranche",IF($E64="Low","Tranche 1",IF($E64="Medium","Tranche 2",IF($D64="High","Tranche 3","No tranche"))))))</f>
        <v/>
      </c>
      <c r="K64" s="40" t="n"/>
      <c r="L64" s="40" t="n"/>
      <c r="M64" s="40" t="n"/>
      <c r="O64">
        <f>IF(AND($B64&lt;&gt;"",$C64&lt;&gt;"Target state",$C64&lt;&gt;"Exception",$D64="High",$E64="Low"),$A64&amp;"  "&amp;$B64,"")</f>
        <v/>
      </c>
      <c r="P64">
        <f>IF(AND($B64&lt;&gt;"",$C64&lt;&gt;"Target state",$C64&lt;&gt;"Exception",$D64="High",$E64="Medium"),$A64&amp;"  "&amp;$B64,"")</f>
        <v/>
      </c>
      <c r="Q64">
        <f>IF(AND($B64&lt;&gt;"",$C64&lt;&gt;"Target state",$C64&lt;&gt;"Exception",$D64="High",$E64="High"),$A64&amp;"  "&amp;$B64,"")</f>
        <v/>
      </c>
      <c r="R64">
        <f>IF(AND($B64&lt;&gt;"",$C64&lt;&gt;"Target state",$C64&lt;&gt;"Exception",$D64="Medium",$E64="Low"),$A64&amp;"  "&amp;$B64,"")</f>
        <v/>
      </c>
      <c r="S64">
        <f>IF(AND($B64&lt;&gt;"",$C64&lt;&gt;"Target state",$C64&lt;&gt;"Exception",$D64="Medium",$E64="Medium"),$A64&amp;"  "&amp;$B64,"")</f>
        <v/>
      </c>
      <c r="T64">
        <f>IF(AND($B64&lt;&gt;"",$C64&lt;&gt;"Target state",$C64&lt;&gt;"Exception",$D64="Medium",$E64="High"),$A64&amp;"  "&amp;$B64,"")</f>
        <v/>
      </c>
      <c r="U64">
        <f>IF(AND($B64&lt;&gt;"",$C64&lt;&gt;"Target state",$C64&lt;&gt;"Exception",$D64="Low",$E64="Low"),$A64&amp;"  "&amp;$B64,"")</f>
        <v/>
      </c>
      <c r="V64">
        <f>IF(AND($B64&lt;&gt;"",$C64&lt;&gt;"Target state",$C64&lt;&gt;"Exception",$D64="Low",$E64="Medium"),$A64&amp;"  "&amp;$B64,"")</f>
        <v/>
      </c>
      <c r="W64">
        <f>IF(AND($B64&lt;&gt;"",$C64&lt;&gt;"Target state",$C64&lt;&gt;"Exception",$D64="Low",$E64="High"),$A64&amp;"  "&amp;$B64,"")</f>
        <v/>
      </c>
    </row>
    <row r="65" ht="20" customHeight="1">
      <c r="A65" s="29" t="inlineStr">
        <is>
          <t>⑩</t>
        </is>
      </c>
      <c r="B65" s="30" t="n"/>
      <c r="C65" s="31" t="n"/>
      <c r="D65" s="31" t="n"/>
      <c r="E65" s="31" t="n"/>
      <c r="F65" s="32" t="n"/>
      <c r="G65" s="33">
        <f>IF(OR($B65="",$D65="",$E65=""),"",IF(OR($C65="Target state",$C65="Exception"),"Out of scope",IF($D65="Low","No tranche",IF($E65="Low","Tranche 1",IF($E65="Medium","Tranche 2",IF($D65="High","Tranche 3","No tranche"))))))</f>
        <v/>
      </c>
      <c r="K65" s="35" t="inlineStr">
        <is>
          <t>Complexity</t>
        </is>
      </c>
      <c r="O65">
        <f>IF(AND($B65&lt;&gt;"",$C65&lt;&gt;"Target state",$C65&lt;&gt;"Exception",$D65="High",$E65="Low"),$A65&amp;"  "&amp;$B65,"")</f>
        <v/>
      </c>
      <c r="P65">
        <f>IF(AND($B65&lt;&gt;"",$C65&lt;&gt;"Target state",$C65&lt;&gt;"Exception",$D65="High",$E65="Medium"),$A65&amp;"  "&amp;$B65,"")</f>
        <v/>
      </c>
      <c r="Q65">
        <f>IF(AND($B65&lt;&gt;"",$C65&lt;&gt;"Target state",$C65&lt;&gt;"Exception",$D65="High",$E65="High"),$A65&amp;"  "&amp;$B65,"")</f>
        <v/>
      </c>
      <c r="R65">
        <f>IF(AND($B65&lt;&gt;"",$C65&lt;&gt;"Target state",$C65&lt;&gt;"Exception",$D65="Medium",$E65="Low"),$A65&amp;"  "&amp;$B65,"")</f>
        <v/>
      </c>
      <c r="S65">
        <f>IF(AND($B65&lt;&gt;"",$C65&lt;&gt;"Target state",$C65&lt;&gt;"Exception",$D65="Medium",$E65="Medium"),$A65&amp;"  "&amp;$B65,"")</f>
        <v/>
      </c>
      <c r="T65">
        <f>IF(AND($B65&lt;&gt;"",$C65&lt;&gt;"Target state",$C65&lt;&gt;"Exception",$D65="Medium",$E65="High"),$A65&amp;"  "&amp;$B65,"")</f>
        <v/>
      </c>
      <c r="U65">
        <f>IF(AND($B65&lt;&gt;"",$C65&lt;&gt;"Target state",$C65&lt;&gt;"Exception",$D65="Low",$E65="Low"),$A65&amp;"  "&amp;$B65,"")</f>
        <v/>
      </c>
      <c r="V65">
        <f>IF(AND($B65&lt;&gt;"",$C65&lt;&gt;"Target state",$C65&lt;&gt;"Exception",$D65="Low",$E65="Medium"),$A65&amp;"  "&amp;$B65,"")</f>
        <v/>
      </c>
      <c r="W65">
        <f>IF(AND($B65&lt;&gt;"",$C65&lt;&gt;"Target state",$C65&lt;&gt;"Exception",$D65="Low",$E65="High"),$A65&amp;"  "&amp;$B65,"")</f>
        <v/>
      </c>
    </row>
    <row r="68" ht="22" customHeight="1">
      <c r="A68" s="24" t="inlineStr">
        <is>
          <t>Credit &amp; Underwriting</t>
        </is>
      </c>
      <c r="G68" s="25">
        <f>HYPERLINK("#'Boarding'!A4","▲ tracker")</f>
        <v/>
      </c>
      <c r="K68" s="26" t="inlineStr">
        <is>
          <t>Assessment Outcome</t>
        </is>
      </c>
    </row>
    <row r="69" ht="18" customHeight="1">
      <c r="A69" s="27" t="inlineStr">
        <is>
          <t>#</t>
        </is>
      </c>
      <c r="B69" s="27" t="inlineStr">
        <is>
          <t>Platform</t>
        </is>
      </c>
      <c r="C69" s="27" t="inlineStr">
        <is>
          <t>State</t>
        </is>
      </c>
      <c r="D69" s="27" t="inlineStr">
        <is>
          <t>Imperative to exit</t>
        </is>
      </c>
      <c r="E69" s="27" t="inlineStr">
        <is>
          <t>Exit complexity</t>
        </is>
      </c>
      <c r="F69" s="27" t="inlineStr">
        <is>
          <t>Supporting facts</t>
        </is>
      </c>
      <c r="G69" s="27" t="inlineStr">
        <is>
          <t>Tranche (auto)</t>
        </is>
      </c>
      <c r="K69" s="28" t="inlineStr">
        <is>
          <t>Low</t>
        </is>
      </c>
      <c r="L69" s="28" t="inlineStr">
        <is>
          <t>Medium</t>
        </is>
      </c>
      <c r="M69" s="28" t="inlineStr">
        <is>
          <t>High</t>
        </is>
      </c>
    </row>
    <row r="70" ht="20" customHeight="1">
      <c r="A70" s="29" t="inlineStr">
        <is>
          <t>①</t>
        </is>
      </c>
      <c r="B70" s="30" t="n"/>
      <c r="C70" s="31" t="n"/>
      <c r="D70" s="31" t="n"/>
      <c r="E70" s="31" t="n"/>
      <c r="F70" s="32" t="n"/>
      <c r="G70" s="33">
        <f>IF(OR($B70="",$D70="",$E70=""),"",IF(OR($C70="Target state",$C70="Exception"),"Out of scope",IF($D70="Low","No tranche",IF($E70="Low","Tranche 1",IF($E70="Medium","Tranche 2",IF($D70="High","Tranche 3","No tranche"))))))</f>
        <v/>
      </c>
      <c r="I70" s="34" t="inlineStr">
        <is>
          <t>Benefits</t>
        </is>
      </c>
      <c r="J70" s="35" t="inlineStr">
        <is>
          <t>High</t>
        </is>
      </c>
      <c r="K70" s="36">
        <f>"Tranche 1"&amp;CHAR(10)&amp;_xlfn.TEXTJOIN(CHAR(10),TRUE,O$70:O$79)</f>
        <v/>
      </c>
      <c r="L70" s="37">
        <f>"Tranche 2"&amp;CHAR(10)&amp;_xlfn.TEXTJOIN(CHAR(10),TRUE,P$70:P$79)</f>
        <v/>
      </c>
      <c r="M70" s="38">
        <f>"Tranche 3"&amp;CHAR(10)&amp;_xlfn.TEXTJOIN(CHAR(10),TRUE,Q$70:Q$79)</f>
        <v/>
      </c>
      <c r="O70">
        <f>IF(AND($B70&lt;&gt;"",$C70&lt;&gt;"Target state",$C70&lt;&gt;"Exception",$D70="High",$E70="Low"),$A70&amp;"  "&amp;$B70,"")</f>
        <v/>
      </c>
      <c r="P70">
        <f>IF(AND($B70&lt;&gt;"",$C70&lt;&gt;"Target state",$C70&lt;&gt;"Exception",$D70="High",$E70="Medium"),$A70&amp;"  "&amp;$B70,"")</f>
        <v/>
      </c>
      <c r="Q70">
        <f>IF(AND($B70&lt;&gt;"",$C70&lt;&gt;"Target state",$C70&lt;&gt;"Exception",$D70="High",$E70="High"),$A70&amp;"  "&amp;$B70,"")</f>
        <v/>
      </c>
      <c r="R70">
        <f>IF(AND($B70&lt;&gt;"",$C70&lt;&gt;"Target state",$C70&lt;&gt;"Exception",$D70="Medium",$E70="Low"),$A70&amp;"  "&amp;$B70,"")</f>
        <v/>
      </c>
      <c r="S70">
        <f>IF(AND($B70&lt;&gt;"",$C70&lt;&gt;"Target state",$C70&lt;&gt;"Exception",$D70="Medium",$E70="Medium"),$A70&amp;"  "&amp;$B70,"")</f>
        <v/>
      </c>
      <c r="T70">
        <f>IF(AND($B70&lt;&gt;"",$C70&lt;&gt;"Target state",$C70&lt;&gt;"Exception",$D70="Medium",$E70="High"),$A70&amp;"  "&amp;$B70,"")</f>
        <v/>
      </c>
      <c r="U70">
        <f>IF(AND($B70&lt;&gt;"",$C70&lt;&gt;"Target state",$C70&lt;&gt;"Exception",$D70="Low",$E70="Low"),$A70&amp;"  "&amp;$B70,"")</f>
        <v/>
      </c>
      <c r="V70">
        <f>IF(AND($B70&lt;&gt;"",$C70&lt;&gt;"Target state",$C70&lt;&gt;"Exception",$D70="Low",$E70="Medium"),$A70&amp;"  "&amp;$B70,"")</f>
        <v/>
      </c>
      <c r="W70">
        <f>IF(AND($B70&lt;&gt;"",$C70&lt;&gt;"Target state",$C70&lt;&gt;"Exception",$D70="Low",$E70="High"),$A70&amp;"  "&amp;$B70,"")</f>
        <v/>
      </c>
    </row>
    <row r="71" ht="20" customHeight="1">
      <c r="A71" s="29" t="inlineStr">
        <is>
          <t>②</t>
        </is>
      </c>
      <c r="B71" s="30" t="n"/>
      <c r="C71" s="31" t="n"/>
      <c r="D71" s="31" t="n"/>
      <c r="E71" s="31" t="n"/>
      <c r="F71" s="32" t="n"/>
      <c r="G71" s="33">
        <f>IF(OR($B71="",$D71="",$E71=""),"",IF(OR($C71="Target state",$C71="Exception"),"Out of scope",IF($D71="Low","No tranche",IF($E71="Low","Tranche 1",IF($E71="Medium","Tranche 2",IF($D71="High","Tranche 3","No tranche"))))))</f>
        <v/>
      </c>
      <c r="K71" s="39" t="n"/>
      <c r="L71" s="39" t="n"/>
      <c r="M71" s="39" t="n"/>
      <c r="O71">
        <f>IF(AND($B71&lt;&gt;"",$C71&lt;&gt;"Target state",$C71&lt;&gt;"Exception",$D71="High",$E71="Low"),$A71&amp;"  "&amp;$B71,"")</f>
        <v/>
      </c>
      <c r="P71">
        <f>IF(AND($B71&lt;&gt;"",$C71&lt;&gt;"Target state",$C71&lt;&gt;"Exception",$D71="High",$E71="Medium"),$A71&amp;"  "&amp;$B71,"")</f>
        <v/>
      </c>
      <c r="Q71">
        <f>IF(AND($B71&lt;&gt;"",$C71&lt;&gt;"Target state",$C71&lt;&gt;"Exception",$D71="High",$E71="High"),$A71&amp;"  "&amp;$B71,"")</f>
        <v/>
      </c>
      <c r="R71">
        <f>IF(AND($B71&lt;&gt;"",$C71&lt;&gt;"Target state",$C71&lt;&gt;"Exception",$D71="Medium",$E71="Low"),$A71&amp;"  "&amp;$B71,"")</f>
        <v/>
      </c>
      <c r="S71">
        <f>IF(AND($B71&lt;&gt;"",$C71&lt;&gt;"Target state",$C71&lt;&gt;"Exception",$D71="Medium",$E71="Medium"),$A71&amp;"  "&amp;$B71,"")</f>
        <v/>
      </c>
      <c r="T71">
        <f>IF(AND($B71&lt;&gt;"",$C71&lt;&gt;"Target state",$C71&lt;&gt;"Exception",$D71="Medium",$E71="High"),$A71&amp;"  "&amp;$B71,"")</f>
        <v/>
      </c>
      <c r="U71">
        <f>IF(AND($B71&lt;&gt;"",$C71&lt;&gt;"Target state",$C71&lt;&gt;"Exception",$D71="Low",$E71="Low"),$A71&amp;"  "&amp;$B71,"")</f>
        <v/>
      </c>
      <c r="V71">
        <f>IF(AND($B71&lt;&gt;"",$C71&lt;&gt;"Target state",$C71&lt;&gt;"Exception",$D71="Low",$E71="Medium"),$A71&amp;"  "&amp;$B71,"")</f>
        <v/>
      </c>
      <c r="W71">
        <f>IF(AND($B71&lt;&gt;"",$C71&lt;&gt;"Target state",$C71&lt;&gt;"Exception",$D71="Low",$E71="High"),$A71&amp;"  "&amp;$B71,"")</f>
        <v/>
      </c>
    </row>
    <row r="72" ht="20" customHeight="1">
      <c r="A72" s="29" t="inlineStr">
        <is>
          <t>③</t>
        </is>
      </c>
      <c r="B72" s="30" t="n"/>
      <c r="C72" s="31" t="n"/>
      <c r="D72" s="31" t="n"/>
      <c r="E72" s="31" t="n"/>
      <c r="F72" s="32" t="n"/>
      <c r="G72" s="33">
        <f>IF(OR($B72="",$D72="",$E72=""),"",IF(OR($C72="Target state",$C72="Exception"),"Out of scope",IF($D72="Low","No tranche",IF($E72="Low","Tranche 1",IF($E72="Medium","Tranche 2",IF($D72="High","Tranche 3","No tranche"))))))</f>
        <v/>
      </c>
      <c r="K72" s="40" t="n"/>
      <c r="L72" s="40" t="n"/>
      <c r="M72" s="40" t="n"/>
      <c r="O72">
        <f>IF(AND($B72&lt;&gt;"",$C72&lt;&gt;"Target state",$C72&lt;&gt;"Exception",$D72="High",$E72="Low"),$A72&amp;"  "&amp;$B72,"")</f>
        <v/>
      </c>
      <c r="P72">
        <f>IF(AND($B72&lt;&gt;"",$C72&lt;&gt;"Target state",$C72&lt;&gt;"Exception",$D72="High",$E72="Medium"),$A72&amp;"  "&amp;$B72,"")</f>
        <v/>
      </c>
      <c r="Q72">
        <f>IF(AND($B72&lt;&gt;"",$C72&lt;&gt;"Target state",$C72&lt;&gt;"Exception",$D72="High",$E72="High"),$A72&amp;"  "&amp;$B72,"")</f>
        <v/>
      </c>
      <c r="R72">
        <f>IF(AND($B72&lt;&gt;"",$C72&lt;&gt;"Target state",$C72&lt;&gt;"Exception",$D72="Medium",$E72="Low"),$A72&amp;"  "&amp;$B72,"")</f>
        <v/>
      </c>
      <c r="S72">
        <f>IF(AND($B72&lt;&gt;"",$C72&lt;&gt;"Target state",$C72&lt;&gt;"Exception",$D72="Medium",$E72="Medium"),$A72&amp;"  "&amp;$B72,"")</f>
        <v/>
      </c>
      <c r="T72">
        <f>IF(AND($B72&lt;&gt;"",$C72&lt;&gt;"Target state",$C72&lt;&gt;"Exception",$D72="Medium",$E72="High"),$A72&amp;"  "&amp;$B72,"")</f>
        <v/>
      </c>
      <c r="U72">
        <f>IF(AND($B72&lt;&gt;"",$C72&lt;&gt;"Target state",$C72&lt;&gt;"Exception",$D72="Low",$E72="Low"),$A72&amp;"  "&amp;$B72,"")</f>
        <v/>
      </c>
      <c r="V72">
        <f>IF(AND($B72&lt;&gt;"",$C72&lt;&gt;"Target state",$C72&lt;&gt;"Exception",$D72="Low",$E72="Medium"),$A72&amp;"  "&amp;$B72,"")</f>
        <v/>
      </c>
      <c r="W72">
        <f>IF(AND($B72&lt;&gt;"",$C72&lt;&gt;"Target state",$C72&lt;&gt;"Exception",$D72="Low",$E72="High"),$A72&amp;"  "&amp;$B72,"")</f>
        <v/>
      </c>
    </row>
    <row r="73" ht="20" customHeight="1">
      <c r="A73" s="29" t="inlineStr">
        <is>
          <t>④</t>
        </is>
      </c>
      <c r="B73" s="30" t="n"/>
      <c r="C73" s="31" t="n"/>
      <c r="D73" s="31" t="n"/>
      <c r="E73" s="31" t="n"/>
      <c r="F73" s="32" t="n"/>
      <c r="G73" s="33">
        <f>IF(OR($B73="",$D73="",$E73=""),"",IF(OR($C73="Target state",$C73="Exception"),"Out of scope",IF($D73="Low","No tranche",IF($E73="Low","Tranche 1",IF($E73="Medium","Tranche 2",IF($D73="High","Tranche 3","No tranche"))))))</f>
        <v/>
      </c>
      <c r="J73" s="35" t="inlineStr">
        <is>
          <t>Medium</t>
        </is>
      </c>
      <c r="K73" s="36">
        <f>"Tranche 1"&amp;CHAR(10)&amp;_xlfn.TEXTJOIN(CHAR(10),TRUE,R$70:R$79)</f>
        <v/>
      </c>
      <c r="L73" s="37">
        <f>"Tranche 2"&amp;CHAR(10)&amp;_xlfn.TEXTJOIN(CHAR(10),TRUE,S$70:S$79)</f>
        <v/>
      </c>
      <c r="M73" s="41">
        <f>_xlfn.TEXTJOIN(CHAR(10),TRUE,T$70:T$79)</f>
        <v/>
      </c>
      <c r="O73">
        <f>IF(AND($B73&lt;&gt;"",$C73&lt;&gt;"Target state",$C73&lt;&gt;"Exception",$D73="High",$E73="Low"),$A73&amp;"  "&amp;$B73,"")</f>
        <v/>
      </c>
      <c r="P73">
        <f>IF(AND($B73&lt;&gt;"",$C73&lt;&gt;"Target state",$C73&lt;&gt;"Exception",$D73="High",$E73="Medium"),$A73&amp;"  "&amp;$B73,"")</f>
        <v/>
      </c>
      <c r="Q73">
        <f>IF(AND($B73&lt;&gt;"",$C73&lt;&gt;"Target state",$C73&lt;&gt;"Exception",$D73="High",$E73="High"),$A73&amp;"  "&amp;$B73,"")</f>
        <v/>
      </c>
      <c r="R73">
        <f>IF(AND($B73&lt;&gt;"",$C73&lt;&gt;"Target state",$C73&lt;&gt;"Exception",$D73="Medium",$E73="Low"),$A73&amp;"  "&amp;$B73,"")</f>
        <v/>
      </c>
      <c r="S73">
        <f>IF(AND($B73&lt;&gt;"",$C73&lt;&gt;"Target state",$C73&lt;&gt;"Exception",$D73="Medium",$E73="Medium"),$A73&amp;"  "&amp;$B73,"")</f>
        <v/>
      </c>
      <c r="T73">
        <f>IF(AND($B73&lt;&gt;"",$C73&lt;&gt;"Target state",$C73&lt;&gt;"Exception",$D73="Medium",$E73="High"),$A73&amp;"  "&amp;$B73,"")</f>
        <v/>
      </c>
      <c r="U73">
        <f>IF(AND($B73&lt;&gt;"",$C73&lt;&gt;"Target state",$C73&lt;&gt;"Exception",$D73="Low",$E73="Low"),$A73&amp;"  "&amp;$B73,"")</f>
        <v/>
      </c>
      <c r="V73">
        <f>IF(AND($B73&lt;&gt;"",$C73&lt;&gt;"Target state",$C73&lt;&gt;"Exception",$D73="Low",$E73="Medium"),$A73&amp;"  "&amp;$B73,"")</f>
        <v/>
      </c>
      <c r="W73">
        <f>IF(AND($B73&lt;&gt;"",$C73&lt;&gt;"Target state",$C73&lt;&gt;"Exception",$D73="Low",$E73="High"),$A73&amp;"  "&amp;$B73,"")</f>
        <v/>
      </c>
    </row>
    <row r="74" ht="20" customHeight="1">
      <c r="A74" s="29" t="inlineStr">
        <is>
          <t>⑤</t>
        </is>
      </c>
      <c r="B74" s="30" t="n"/>
      <c r="C74" s="31" t="n"/>
      <c r="D74" s="31" t="n"/>
      <c r="E74" s="31" t="n"/>
      <c r="F74" s="32" t="n"/>
      <c r="G74" s="33">
        <f>IF(OR($B74="",$D74="",$E74=""),"",IF(OR($C74="Target state",$C74="Exception"),"Out of scope",IF($D74="Low","No tranche",IF($E74="Low","Tranche 1",IF($E74="Medium","Tranche 2",IF($D74="High","Tranche 3","No tranche"))))))</f>
        <v/>
      </c>
      <c r="K74" s="39" t="n"/>
      <c r="L74" s="39" t="n"/>
      <c r="M74" s="39" t="n"/>
      <c r="O74">
        <f>IF(AND($B74&lt;&gt;"",$C74&lt;&gt;"Target state",$C74&lt;&gt;"Exception",$D74="High",$E74="Low"),$A74&amp;"  "&amp;$B74,"")</f>
        <v/>
      </c>
      <c r="P74">
        <f>IF(AND($B74&lt;&gt;"",$C74&lt;&gt;"Target state",$C74&lt;&gt;"Exception",$D74="High",$E74="Medium"),$A74&amp;"  "&amp;$B74,"")</f>
        <v/>
      </c>
      <c r="Q74">
        <f>IF(AND($B74&lt;&gt;"",$C74&lt;&gt;"Target state",$C74&lt;&gt;"Exception",$D74="High",$E74="High"),$A74&amp;"  "&amp;$B74,"")</f>
        <v/>
      </c>
      <c r="R74">
        <f>IF(AND($B74&lt;&gt;"",$C74&lt;&gt;"Target state",$C74&lt;&gt;"Exception",$D74="Medium",$E74="Low"),$A74&amp;"  "&amp;$B74,"")</f>
        <v/>
      </c>
      <c r="S74">
        <f>IF(AND($B74&lt;&gt;"",$C74&lt;&gt;"Target state",$C74&lt;&gt;"Exception",$D74="Medium",$E74="Medium"),$A74&amp;"  "&amp;$B74,"")</f>
        <v/>
      </c>
      <c r="T74">
        <f>IF(AND($B74&lt;&gt;"",$C74&lt;&gt;"Target state",$C74&lt;&gt;"Exception",$D74="Medium",$E74="High"),$A74&amp;"  "&amp;$B74,"")</f>
        <v/>
      </c>
      <c r="U74">
        <f>IF(AND($B74&lt;&gt;"",$C74&lt;&gt;"Target state",$C74&lt;&gt;"Exception",$D74="Low",$E74="Low"),$A74&amp;"  "&amp;$B74,"")</f>
        <v/>
      </c>
      <c r="V74">
        <f>IF(AND($B74&lt;&gt;"",$C74&lt;&gt;"Target state",$C74&lt;&gt;"Exception",$D74="Low",$E74="Medium"),$A74&amp;"  "&amp;$B74,"")</f>
        <v/>
      </c>
      <c r="W74">
        <f>IF(AND($B74&lt;&gt;"",$C74&lt;&gt;"Target state",$C74&lt;&gt;"Exception",$D74="Low",$E74="High"),$A74&amp;"  "&amp;$B74,"")</f>
        <v/>
      </c>
    </row>
    <row r="75" ht="20" customHeight="1">
      <c r="A75" s="29" t="inlineStr">
        <is>
          <t>⑥</t>
        </is>
      </c>
      <c r="B75" s="30" t="n"/>
      <c r="C75" s="31" t="n"/>
      <c r="D75" s="31" t="n"/>
      <c r="E75" s="31" t="n"/>
      <c r="F75" s="32" t="n"/>
      <c r="G75" s="33">
        <f>IF(OR($B75="",$D75="",$E75=""),"",IF(OR($C75="Target state",$C75="Exception"),"Out of scope",IF($D75="Low","No tranche",IF($E75="Low","Tranche 1",IF($E75="Medium","Tranche 2",IF($D75="High","Tranche 3","No tranche"))))))</f>
        <v/>
      </c>
      <c r="K75" s="40" t="n"/>
      <c r="L75" s="40" t="n"/>
      <c r="M75" s="40" t="n"/>
      <c r="O75">
        <f>IF(AND($B75&lt;&gt;"",$C75&lt;&gt;"Target state",$C75&lt;&gt;"Exception",$D75="High",$E75="Low"),$A75&amp;"  "&amp;$B75,"")</f>
        <v/>
      </c>
      <c r="P75">
        <f>IF(AND($B75&lt;&gt;"",$C75&lt;&gt;"Target state",$C75&lt;&gt;"Exception",$D75="High",$E75="Medium"),$A75&amp;"  "&amp;$B75,"")</f>
        <v/>
      </c>
      <c r="Q75">
        <f>IF(AND($B75&lt;&gt;"",$C75&lt;&gt;"Target state",$C75&lt;&gt;"Exception",$D75="High",$E75="High"),$A75&amp;"  "&amp;$B75,"")</f>
        <v/>
      </c>
      <c r="R75">
        <f>IF(AND($B75&lt;&gt;"",$C75&lt;&gt;"Target state",$C75&lt;&gt;"Exception",$D75="Medium",$E75="Low"),$A75&amp;"  "&amp;$B75,"")</f>
        <v/>
      </c>
      <c r="S75">
        <f>IF(AND($B75&lt;&gt;"",$C75&lt;&gt;"Target state",$C75&lt;&gt;"Exception",$D75="Medium",$E75="Medium"),$A75&amp;"  "&amp;$B75,"")</f>
        <v/>
      </c>
      <c r="T75">
        <f>IF(AND($B75&lt;&gt;"",$C75&lt;&gt;"Target state",$C75&lt;&gt;"Exception",$D75="Medium",$E75="High"),$A75&amp;"  "&amp;$B75,"")</f>
        <v/>
      </c>
      <c r="U75">
        <f>IF(AND($B75&lt;&gt;"",$C75&lt;&gt;"Target state",$C75&lt;&gt;"Exception",$D75="Low",$E75="Low"),$A75&amp;"  "&amp;$B75,"")</f>
        <v/>
      </c>
      <c r="V75">
        <f>IF(AND($B75&lt;&gt;"",$C75&lt;&gt;"Target state",$C75&lt;&gt;"Exception",$D75="Low",$E75="Medium"),$A75&amp;"  "&amp;$B75,"")</f>
        <v/>
      </c>
      <c r="W75">
        <f>IF(AND($B75&lt;&gt;"",$C75&lt;&gt;"Target state",$C75&lt;&gt;"Exception",$D75="Low",$E75="High"),$A75&amp;"  "&amp;$B75,"")</f>
        <v/>
      </c>
    </row>
    <row r="76" ht="20" customHeight="1">
      <c r="A76" s="29" t="inlineStr">
        <is>
          <t>⑦</t>
        </is>
      </c>
      <c r="B76" s="30" t="n"/>
      <c r="C76" s="31" t="n"/>
      <c r="D76" s="31" t="n"/>
      <c r="E76" s="31" t="n"/>
      <c r="F76" s="32" t="n"/>
      <c r="G76" s="33">
        <f>IF(OR($B76="",$D76="",$E76=""),"",IF(OR($C76="Target state",$C76="Exception"),"Out of scope",IF($D76="Low","No tranche",IF($E76="Low","Tranche 1",IF($E76="Medium","Tranche 2",IF($D76="High","Tranche 3","No tranche"))))))</f>
        <v/>
      </c>
      <c r="J76" s="35" t="inlineStr">
        <is>
          <t>Low</t>
        </is>
      </c>
      <c r="K76" s="41">
        <f>_xlfn.TEXTJOIN(CHAR(10),TRUE,U$70:U$79)</f>
        <v/>
      </c>
      <c r="L76" s="41">
        <f>_xlfn.TEXTJOIN(CHAR(10),TRUE,V$70:V$79)</f>
        <v/>
      </c>
      <c r="M76" s="41">
        <f>_xlfn.TEXTJOIN(CHAR(10),TRUE,W$70:W$79)</f>
        <v/>
      </c>
      <c r="O76">
        <f>IF(AND($B76&lt;&gt;"",$C76&lt;&gt;"Target state",$C76&lt;&gt;"Exception",$D76="High",$E76="Low"),$A76&amp;"  "&amp;$B76,"")</f>
        <v/>
      </c>
      <c r="P76">
        <f>IF(AND($B76&lt;&gt;"",$C76&lt;&gt;"Target state",$C76&lt;&gt;"Exception",$D76="High",$E76="Medium"),$A76&amp;"  "&amp;$B76,"")</f>
        <v/>
      </c>
      <c r="Q76">
        <f>IF(AND($B76&lt;&gt;"",$C76&lt;&gt;"Target state",$C76&lt;&gt;"Exception",$D76="High",$E76="High"),$A76&amp;"  "&amp;$B76,"")</f>
        <v/>
      </c>
      <c r="R76">
        <f>IF(AND($B76&lt;&gt;"",$C76&lt;&gt;"Target state",$C76&lt;&gt;"Exception",$D76="Medium",$E76="Low"),$A76&amp;"  "&amp;$B76,"")</f>
        <v/>
      </c>
      <c r="S76">
        <f>IF(AND($B76&lt;&gt;"",$C76&lt;&gt;"Target state",$C76&lt;&gt;"Exception",$D76="Medium",$E76="Medium"),$A76&amp;"  "&amp;$B76,"")</f>
        <v/>
      </c>
      <c r="T76">
        <f>IF(AND($B76&lt;&gt;"",$C76&lt;&gt;"Target state",$C76&lt;&gt;"Exception",$D76="Medium",$E76="High"),$A76&amp;"  "&amp;$B76,"")</f>
        <v/>
      </c>
      <c r="U76">
        <f>IF(AND($B76&lt;&gt;"",$C76&lt;&gt;"Target state",$C76&lt;&gt;"Exception",$D76="Low",$E76="Low"),$A76&amp;"  "&amp;$B76,"")</f>
        <v/>
      </c>
      <c r="V76">
        <f>IF(AND($B76&lt;&gt;"",$C76&lt;&gt;"Target state",$C76&lt;&gt;"Exception",$D76="Low",$E76="Medium"),$A76&amp;"  "&amp;$B76,"")</f>
        <v/>
      </c>
      <c r="W76">
        <f>IF(AND($B76&lt;&gt;"",$C76&lt;&gt;"Target state",$C76&lt;&gt;"Exception",$D76="Low",$E76="High"),$A76&amp;"  "&amp;$B76,"")</f>
        <v/>
      </c>
    </row>
    <row r="77" ht="20" customHeight="1">
      <c r="A77" s="29" t="inlineStr">
        <is>
          <t>⑧</t>
        </is>
      </c>
      <c r="B77" s="30" t="n"/>
      <c r="C77" s="31" t="n"/>
      <c r="D77" s="31" t="n"/>
      <c r="E77" s="31" t="n"/>
      <c r="F77" s="32" t="n"/>
      <c r="G77" s="33">
        <f>IF(OR($B77="",$D77="",$E77=""),"",IF(OR($C77="Target state",$C77="Exception"),"Out of scope",IF($D77="Low","No tranche",IF($E77="Low","Tranche 1",IF($E77="Medium","Tranche 2",IF($D77="High","Tranche 3","No tranche"))))))</f>
        <v/>
      </c>
      <c r="K77" s="39" t="n"/>
      <c r="L77" s="39" t="n"/>
      <c r="M77" s="39" t="n"/>
      <c r="O77">
        <f>IF(AND($B77&lt;&gt;"",$C77&lt;&gt;"Target state",$C77&lt;&gt;"Exception",$D77="High",$E77="Low"),$A77&amp;"  "&amp;$B77,"")</f>
        <v/>
      </c>
      <c r="P77">
        <f>IF(AND($B77&lt;&gt;"",$C77&lt;&gt;"Target state",$C77&lt;&gt;"Exception",$D77="High",$E77="Medium"),$A77&amp;"  "&amp;$B77,"")</f>
        <v/>
      </c>
      <c r="Q77">
        <f>IF(AND($B77&lt;&gt;"",$C77&lt;&gt;"Target state",$C77&lt;&gt;"Exception",$D77="High",$E77="High"),$A77&amp;"  "&amp;$B77,"")</f>
        <v/>
      </c>
      <c r="R77">
        <f>IF(AND($B77&lt;&gt;"",$C77&lt;&gt;"Target state",$C77&lt;&gt;"Exception",$D77="Medium",$E77="Low"),$A77&amp;"  "&amp;$B77,"")</f>
        <v/>
      </c>
      <c r="S77">
        <f>IF(AND($B77&lt;&gt;"",$C77&lt;&gt;"Target state",$C77&lt;&gt;"Exception",$D77="Medium",$E77="Medium"),$A77&amp;"  "&amp;$B77,"")</f>
        <v/>
      </c>
      <c r="T77">
        <f>IF(AND($B77&lt;&gt;"",$C77&lt;&gt;"Target state",$C77&lt;&gt;"Exception",$D77="Medium",$E77="High"),$A77&amp;"  "&amp;$B77,"")</f>
        <v/>
      </c>
      <c r="U77">
        <f>IF(AND($B77&lt;&gt;"",$C77&lt;&gt;"Target state",$C77&lt;&gt;"Exception",$D77="Low",$E77="Low"),$A77&amp;"  "&amp;$B77,"")</f>
        <v/>
      </c>
      <c r="V77">
        <f>IF(AND($B77&lt;&gt;"",$C77&lt;&gt;"Target state",$C77&lt;&gt;"Exception",$D77="Low",$E77="Medium"),$A77&amp;"  "&amp;$B77,"")</f>
        <v/>
      </c>
      <c r="W77">
        <f>IF(AND($B77&lt;&gt;"",$C77&lt;&gt;"Target state",$C77&lt;&gt;"Exception",$D77="Low",$E77="High"),$A77&amp;"  "&amp;$B77,"")</f>
        <v/>
      </c>
    </row>
    <row r="78" ht="20" customHeight="1">
      <c r="A78" s="29" t="inlineStr">
        <is>
          <t>⑨</t>
        </is>
      </c>
      <c r="B78" s="30" t="n"/>
      <c r="C78" s="31" t="n"/>
      <c r="D78" s="31" t="n"/>
      <c r="E78" s="31" t="n"/>
      <c r="F78" s="32" t="n"/>
      <c r="G78" s="33">
        <f>IF(OR($B78="",$D78="",$E78=""),"",IF(OR($C78="Target state",$C78="Exception"),"Out of scope",IF($D78="Low","No tranche",IF($E78="Low","Tranche 1",IF($E78="Medium","Tranche 2",IF($D78="High","Tranche 3","No tranche"))))))</f>
        <v/>
      </c>
      <c r="K78" s="40" t="n"/>
      <c r="L78" s="40" t="n"/>
      <c r="M78" s="40" t="n"/>
      <c r="O78">
        <f>IF(AND($B78&lt;&gt;"",$C78&lt;&gt;"Target state",$C78&lt;&gt;"Exception",$D78="High",$E78="Low"),$A78&amp;"  "&amp;$B78,"")</f>
        <v/>
      </c>
      <c r="P78">
        <f>IF(AND($B78&lt;&gt;"",$C78&lt;&gt;"Target state",$C78&lt;&gt;"Exception",$D78="High",$E78="Medium"),$A78&amp;"  "&amp;$B78,"")</f>
        <v/>
      </c>
      <c r="Q78">
        <f>IF(AND($B78&lt;&gt;"",$C78&lt;&gt;"Target state",$C78&lt;&gt;"Exception",$D78="High",$E78="High"),$A78&amp;"  "&amp;$B78,"")</f>
        <v/>
      </c>
      <c r="R78">
        <f>IF(AND($B78&lt;&gt;"",$C78&lt;&gt;"Target state",$C78&lt;&gt;"Exception",$D78="Medium",$E78="Low"),$A78&amp;"  "&amp;$B78,"")</f>
        <v/>
      </c>
      <c r="S78">
        <f>IF(AND($B78&lt;&gt;"",$C78&lt;&gt;"Target state",$C78&lt;&gt;"Exception",$D78="Medium",$E78="Medium"),$A78&amp;"  "&amp;$B78,"")</f>
        <v/>
      </c>
      <c r="T78">
        <f>IF(AND($B78&lt;&gt;"",$C78&lt;&gt;"Target state",$C78&lt;&gt;"Exception",$D78="Medium",$E78="High"),$A78&amp;"  "&amp;$B78,"")</f>
        <v/>
      </c>
      <c r="U78">
        <f>IF(AND($B78&lt;&gt;"",$C78&lt;&gt;"Target state",$C78&lt;&gt;"Exception",$D78="Low",$E78="Low"),$A78&amp;"  "&amp;$B78,"")</f>
        <v/>
      </c>
      <c r="V78">
        <f>IF(AND($B78&lt;&gt;"",$C78&lt;&gt;"Target state",$C78&lt;&gt;"Exception",$D78="Low",$E78="Medium"),$A78&amp;"  "&amp;$B78,"")</f>
        <v/>
      </c>
      <c r="W78">
        <f>IF(AND($B78&lt;&gt;"",$C78&lt;&gt;"Target state",$C78&lt;&gt;"Exception",$D78="Low",$E78="High"),$A78&amp;"  "&amp;$B78,"")</f>
        <v/>
      </c>
    </row>
    <row r="79" ht="20" customHeight="1">
      <c r="A79" s="29" t="inlineStr">
        <is>
          <t>⑩</t>
        </is>
      </c>
      <c r="B79" s="30" t="n"/>
      <c r="C79" s="31" t="n"/>
      <c r="D79" s="31" t="n"/>
      <c r="E79" s="31" t="n"/>
      <c r="F79" s="32" t="n"/>
      <c r="G79" s="33">
        <f>IF(OR($B79="",$D79="",$E79=""),"",IF(OR($C79="Target state",$C79="Exception"),"Out of scope",IF($D79="Low","No tranche",IF($E79="Low","Tranche 1",IF($E79="Medium","Tranche 2",IF($D79="High","Tranche 3","No tranche"))))))</f>
        <v/>
      </c>
      <c r="K79" s="35" t="inlineStr">
        <is>
          <t>Complexity</t>
        </is>
      </c>
      <c r="O79">
        <f>IF(AND($B79&lt;&gt;"",$C79&lt;&gt;"Target state",$C79&lt;&gt;"Exception",$D79="High",$E79="Low"),$A79&amp;"  "&amp;$B79,"")</f>
        <v/>
      </c>
      <c r="P79">
        <f>IF(AND($B79&lt;&gt;"",$C79&lt;&gt;"Target state",$C79&lt;&gt;"Exception",$D79="High",$E79="Medium"),$A79&amp;"  "&amp;$B79,"")</f>
        <v/>
      </c>
      <c r="Q79">
        <f>IF(AND($B79&lt;&gt;"",$C79&lt;&gt;"Target state",$C79&lt;&gt;"Exception",$D79="High",$E79="High"),$A79&amp;"  "&amp;$B79,"")</f>
        <v/>
      </c>
      <c r="R79">
        <f>IF(AND($B79&lt;&gt;"",$C79&lt;&gt;"Target state",$C79&lt;&gt;"Exception",$D79="Medium",$E79="Low"),$A79&amp;"  "&amp;$B79,"")</f>
        <v/>
      </c>
      <c r="S79">
        <f>IF(AND($B79&lt;&gt;"",$C79&lt;&gt;"Target state",$C79&lt;&gt;"Exception",$D79="Medium",$E79="Medium"),$A79&amp;"  "&amp;$B79,"")</f>
        <v/>
      </c>
      <c r="T79">
        <f>IF(AND($B79&lt;&gt;"",$C79&lt;&gt;"Target state",$C79&lt;&gt;"Exception",$D79="Medium",$E79="High"),$A79&amp;"  "&amp;$B79,"")</f>
        <v/>
      </c>
      <c r="U79">
        <f>IF(AND($B79&lt;&gt;"",$C79&lt;&gt;"Target state",$C79&lt;&gt;"Exception",$D79="Low",$E79="Low"),$A79&amp;"  "&amp;$B79,"")</f>
        <v/>
      </c>
      <c r="V79">
        <f>IF(AND($B79&lt;&gt;"",$C79&lt;&gt;"Target state",$C79&lt;&gt;"Exception",$D79="Low",$E79="Medium"),$A79&amp;"  "&amp;$B79,"")</f>
        <v/>
      </c>
      <c r="W79">
        <f>IF(AND($B79&lt;&gt;"",$C79&lt;&gt;"Target state",$C79&lt;&gt;"Exception",$D79="Low",$E79="High"),$A79&amp;"  "&amp;$B79,"")</f>
        <v/>
      </c>
    </row>
    <row r="82" ht="22" customHeight="1">
      <c r="A82" s="24" t="inlineStr">
        <is>
          <t>CPQ / Quote-pricing</t>
        </is>
      </c>
      <c r="G82" s="25">
        <f>HYPERLINK("#'Boarding'!A4","▲ tracker")</f>
        <v/>
      </c>
      <c r="K82" s="26" t="inlineStr">
        <is>
          <t>Assessment Outcome</t>
        </is>
      </c>
    </row>
    <row r="83" ht="18" customHeight="1">
      <c r="A83" s="27" t="inlineStr">
        <is>
          <t>#</t>
        </is>
      </c>
      <c r="B83" s="27" t="inlineStr">
        <is>
          <t>Platform</t>
        </is>
      </c>
      <c r="C83" s="27" t="inlineStr">
        <is>
          <t>State</t>
        </is>
      </c>
      <c r="D83" s="27" t="inlineStr">
        <is>
          <t>Imperative to exit</t>
        </is>
      </c>
      <c r="E83" s="27" t="inlineStr">
        <is>
          <t>Exit complexity</t>
        </is>
      </c>
      <c r="F83" s="27" t="inlineStr">
        <is>
          <t>Supporting facts</t>
        </is>
      </c>
      <c r="G83" s="27" t="inlineStr">
        <is>
          <t>Tranche (auto)</t>
        </is>
      </c>
      <c r="K83" s="28" t="inlineStr">
        <is>
          <t>Low</t>
        </is>
      </c>
      <c r="L83" s="28" t="inlineStr">
        <is>
          <t>Medium</t>
        </is>
      </c>
      <c r="M83" s="28" t="inlineStr">
        <is>
          <t>High</t>
        </is>
      </c>
    </row>
    <row r="84" ht="20" customHeight="1">
      <c r="A84" s="29" t="inlineStr">
        <is>
          <t>①</t>
        </is>
      </c>
      <c r="B84" s="30" t="n"/>
      <c r="C84" s="31" t="n"/>
      <c r="D84" s="31" t="n"/>
      <c r="E84" s="31" t="n"/>
      <c r="F84" s="32" t="n"/>
      <c r="G84" s="33">
        <f>IF(OR($B84="",$D84="",$E84=""),"",IF(OR($C84="Target state",$C84="Exception"),"Out of scope",IF($D84="Low","No tranche",IF($E84="Low","Tranche 1",IF($E84="Medium","Tranche 2",IF($D84="High","Tranche 3","No tranche"))))))</f>
        <v/>
      </c>
      <c r="I84" s="34" t="inlineStr">
        <is>
          <t>Benefits</t>
        </is>
      </c>
      <c r="J84" s="35" t="inlineStr">
        <is>
          <t>High</t>
        </is>
      </c>
      <c r="K84" s="36">
        <f>"Tranche 1"&amp;CHAR(10)&amp;_xlfn.TEXTJOIN(CHAR(10),TRUE,O$84:O$93)</f>
        <v/>
      </c>
      <c r="L84" s="37">
        <f>"Tranche 2"&amp;CHAR(10)&amp;_xlfn.TEXTJOIN(CHAR(10),TRUE,P$84:P$93)</f>
        <v/>
      </c>
      <c r="M84" s="38">
        <f>"Tranche 3"&amp;CHAR(10)&amp;_xlfn.TEXTJOIN(CHAR(10),TRUE,Q$84:Q$93)</f>
        <v/>
      </c>
      <c r="O84">
        <f>IF(AND($B84&lt;&gt;"",$C84&lt;&gt;"Target state",$C84&lt;&gt;"Exception",$D84="High",$E84="Low"),$A84&amp;"  "&amp;$B84,"")</f>
        <v/>
      </c>
      <c r="P84">
        <f>IF(AND($B84&lt;&gt;"",$C84&lt;&gt;"Target state",$C84&lt;&gt;"Exception",$D84="High",$E84="Medium"),$A84&amp;"  "&amp;$B84,"")</f>
        <v/>
      </c>
      <c r="Q84">
        <f>IF(AND($B84&lt;&gt;"",$C84&lt;&gt;"Target state",$C84&lt;&gt;"Exception",$D84="High",$E84="High"),$A84&amp;"  "&amp;$B84,"")</f>
        <v/>
      </c>
      <c r="R84">
        <f>IF(AND($B84&lt;&gt;"",$C84&lt;&gt;"Target state",$C84&lt;&gt;"Exception",$D84="Medium",$E84="Low"),$A84&amp;"  "&amp;$B84,"")</f>
        <v/>
      </c>
      <c r="S84">
        <f>IF(AND($B84&lt;&gt;"",$C84&lt;&gt;"Target state",$C84&lt;&gt;"Exception",$D84="Medium",$E84="Medium"),$A84&amp;"  "&amp;$B84,"")</f>
        <v/>
      </c>
      <c r="T84">
        <f>IF(AND($B84&lt;&gt;"",$C84&lt;&gt;"Target state",$C84&lt;&gt;"Exception",$D84="Medium",$E84="High"),$A84&amp;"  "&amp;$B84,"")</f>
        <v/>
      </c>
      <c r="U84">
        <f>IF(AND($B84&lt;&gt;"",$C84&lt;&gt;"Target state",$C84&lt;&gt;"Exception",$D84="Low",$E84="Low"),$A84&amp;"  "&amp;$B84,"")</f>
        <v/>
      </c>
      <c r="V84">
        <f>IF(AND($B84&lt;&gt;"",$C84&lt;&gt;"Target state",$C84&lt;&gt;"Exception",$D84="Low",$E84="Medium"),$A84&amp;"  "&amp;$B84,"")</f>
        <v/>
      </c>
      <c r="W84">
        <f>IF(AND($B84&lt;&gt;"",$C84&lt;&gt;"Target state",$C84&lt;&gt;"Exception",$D84="Low",$E84="High"),$A84&amp;"  "&amp;$B84,"")</f>
        <v/>
      </c>
    </row>
    <row r="85" ht="20" customHeight="1">
      <c r="A85" s="29" t="inlineStr">
        <is>
          <t>②</t>
        </is>
      </c>
      <c r="B85" s="30" t="n"/>
      <c r="C85" s="31" t="n"/>
      <c r="D85" s="31" t="n"/>
      <c r="E85" s="31" t="n"/>
      <c r="F85" s="32" t="n"/>
      <c r="G85" s="33">
        <f>IF(OR($B85="",$D85="",$E85=""),"",IF(OR($C85="Target state",$C85="Exception"),"Out of scope",IF($D85="Low","No tranche",IF($E85="Low","Tranche 1",IF($E85="Medium","Tranche 2",IF($D85="High","Tranche 3","No tranche"))))))</f>
        <v/>
      </c>
      <c r="K85" s="39" t="n"/>
      <c r="L85" s="39" t="n"/>
      <c r="M85" s="39" t="n"/>
      <c r="O85">
        <f>IF(AND($B85&lt;&gt;"",$C85&lt;&gt;"Target state",$C85&lt;&gt;"Exception",$D85="High",$E85="Low"),$A85&amp;"  "&amp;$B85,"")</f>
        <v/>
      </c>
      <c r="P85">
        <f>IF(AND($B85&lt;&gt;"",$C85&lt;&gt;"Target state",$C85&lt;&gt;"Exception",$D85="High",$E85="Medium"),$A85&amp;"  "&amp;$B85,"")</f>
        <v/>
      </c>
      <c r="Q85">
        <f>IF(AND($B85&lt;&gt;"",$C85&lt;&gt;"Target state",$C85&lt;&gt;"Exception",$D85="High",$E85="High"),$A85&amp;"  "&amp;$B85,"")</f>
        <v/>
      </c>
      <c r="R85">
        <f>IF(AND($B85&lt;&gt;"",$C85&lt;&gt;"Target state",$C85&lt;&gt;"Exception",$D85="Medium",$E85="Low"),$A85&amp;"  "&amp;$B85,"")</f>
        <v/>
      </c>
      <c r="S85">
        <f>IF(AND($B85&lt;&gt;"",$C85&lt;&gt;"Target state",$C85&lt;&gt;"Exception",$D85="Medium",$E85="Medium"),$A85&amp;"  "&amp;$B85,"")</f>
        <v/>
      </c>
      <c r="T85">
        <f>IF(AND($B85&lt;&gt;"",$C85&lt;&gt;"Target state",$C85&lt;&gt;"Exception",$D85="Medium",$E85="High"),$A85&amp;"  "&amp;$B85,"")</f>
        <v/>
      </c>
      <c r="U85">
        <f>IF(AND($B85&lt;&gt;"",$C85&lt;&gt;"Target state",$C85&lt;&gt;"Exception",$D85="Low",$E85="Low"),$A85&amp;"  "&amp;$B85,"")</f>
        <v/>
      </c>
      <c r="V85">
        <f>IF(AND($B85&lt;&gt;"",$C85&lt;&gt;"Target state",$C85&lt;&gt;"Exception",$D85="Low",$E85="Medium"),$A85&amp;"  "&amp;$B85,"")</f>
        <v/>
      </c>
      <c r="W85">
        <f>IF(AND($B85&lt;&gt;"",$C85&lt;&gt;"Target state",$C85&lt;&gt;"Exception",$D85="Low",$E85="High"),$A85&amp;"  "&amp;$B85,"")</f>
        <v/>
      </c>
    </row>
    <row r="86" ht="20" customHeight="1">
      <c r="A86" s="29" t="inlineStr">
        <is>
          <t>③</t>
        </is>
      </c>
      <c r="B86" s="30" t="n"/>
      <c r="C86" s="31" t="n"/>
      <c r="D86" s="31" t="n"/>
      <c r="E86" s="31" t="n"/>
      <c r="F86" s="32" t="n"/>
      <c r="G86" s="33">
        <f>IF(OR($B86="",$D86="",$E86=""),"",IF(OR($C86="Target state",$C86="Exception"),"Out of scope",IF($D86="Low","No tranche",IF($E86="Low","Tranche 1",IF($E86="Medium","Tranche 2",IF($D86="High","Tranche 3","No tranche"))))))</f>
        <v/>
      </c>
      <c r="K86" s="40" t="n"/>
      <c r="L86" s="40" t="n"/>
      <c r="M86" s="40" t="n"/>
      <c r="O86">
        <f>IF(AND($B86&lt;&gt;"",$C86&lt;&gt;"Target state",$C86&lt;&gt;"Exception",$D86="High",$E86="Low"),$A86&amp;"  "&amp;$B86,"")</f>
        <v/>
      </c>
      <c r="P86">
        <f>IF(AND($B86&lt;&gt;"",$C86&lt;&gt;"Target state",$C86&lt;&gt;"Exception",$D86="High",$E86="Medium"),$A86&amp;"  "&amp;$B86,"")</f>
        <v/>
      </c>
      <c r="Q86">
        <f>IF(AND($B86&lt;&gt;"",$C86&lt;&gt;"Target state",$C86&lt;&gt;"Exception",$D86="High",$E86="High"),$A86&amp;"  "&amp;$B86,"")</f>
        <v/>
      </c>
      <c r="R86">
        <f>IF(AND($B86&lt;&gt;"",$C86&lt;&gt;"Target state",$C86&lt;&gt;"Exception",$D86="Medium",$E86="Low"),$A86&amp;"  "&amp;$B86,"")</f>
        <v/>
      </c>
      <c r="S86">
        <f>IF(AND($B86&lt;&gt;"",$C86&lt;&gt;"Target state",$C86&lt;&gt;"Exception",$D86="Medium",$E86="Medium"),$A86&amp;"  "&amp;$B86,"")</f>
        <v/>
      </c>
      <c r="T86">
        <f>IF(AND($B86&lt;&gt;"",$C86&lt;&gt;"Target state",$C86&lt;&gt;"Exception",$D86="Medium",$E86="High"),$A86&amp;"  "&amp;$B86,"")</f>
        <v/>
      </c>
      <c r="U86">
        <f>IF(AND($B86&lt;&gt;"",$C86&lt;&gt;"Target state",$C86&lt;&gt;"Exception",$D86="Low",$E86="Low"),$A86&amp;"  "&amp;$B86,"")</f>
        <v/>
      </c>
      <c r="V86">
        <f>IF(AND($B86&lt;&gt;"",$C86&lt;&gt;"Target state",$C86&lt;&gt;"Exception",$D86="Low",$E86="Medium"),$A86&amp;"  "&amp;$B86,"")</f>
        <v/>
      </c>
      <c r="W86">
        <f>IF(AND($B86&lt;&gt;"",$C86&lt;&gt;"Target state",$C86&lt;&gt;"Exception",$D86="Low",$E86="High"),$A86&amp;"  "&amp;$B86,"")</f>
        <v/>
      </c>
    </row>
    <row r="87" ht="20" customHeight="1">
      <c r="A87" s="29" t="inlineStr">
        <is>
          <t>④</t>
        </is>
      </c>
      <c r="B87" s="30" t="n"/>
      <c r="C87" s="31" t="n"/>
      <c r="D87" s="31" t="n"/>
      <c r="E87" s="31" t="n"/>
      <c r="F87" s="32" t="n"/>
      <c r="G87" s="33">
        <f>IF(OR($B87="",$D87="",$E87=""),"",IF(OR($C87="Target state",$C87="Exception"),"Out of scope",IF($D87="Low","No tranche",IF($E87="Low","Tranche 1",IF($E87="Medium","Tranche 2",IF($D87="High","Tranche 3","No tranche"))))))</f>
        <v/>
      </c>
      <c r="J87" s="35" t="inlineStr">
        <is>
          <t>Medium</t>
        </is>
      </c>
      <c r="K87" s="36">
        <f>"Tranche 1"&amp;CHAR(10)&amp;_xlfn.TEXTJOIN(CHAR(10),TRUE,R$84:R$93)</f>
        <v/>
      </c>
      <c r="L87" s="37">
        <f>"Tranche 2"&amp;CHAR(10)&amp;_xlfn.TEXTJOIN(CHAR(10),TRUE,S$84:S$93)</f>
        <v/>
      </c>
      <c r="M87" s="41">
        <f>_xlfn.TEXTJOIN(CHAR(10),TRUE,T$84:T$93)</f>
        <v/>
      </c>
      <c r="O87">
        <f>IF(AND($B87&lt;&gt;"",$C87&lt;&gt;"Target state",$C87&lt;&gt;"Exception",$D87="High",$E87="Low"),$A87&amp;"  "&amp;$B87,"")</f>
        <v/>
      </c>
      <c r="P87">
        <f>IF(AND($B87&lt;&gt;"",$C87&lt;&gt;"Target state",$C87&lt;&gt;"Exception",$D87="High",$E87="Medium"),$A87&amp;"  "&amp;$B87,"")</f>
        <v/>
      </c>
      <c r="Q87">
        <f>IF(AND($B87&lt;&gt;"",$C87&lt;&gt;"Target state",$C87&lt;&gt;"Exception",$D87="High",$E87="High"),$A87&amp;"  "&amp;$B87,"")</f>
        <v/>
      </c>
      <c r="R87">
        <f>IF(AND($B87&lt;&gt;"",$C87&lt;&gt;"Target state",$C87&lt;&gt;"Exception",$D87="Medium",$E87="Low"),$A87&amp;"  "&amp;$B87,"")</f>
        <v/>
      </c>
      <c r="S87">
        <f>IF(AND($B87&lt;&gt;"",$C87&lt;&gt;"Target state",$C87&lt;&gt;"Exception",$D87="Medium",$E87="Medium"),$A87&amp;"  "&amp;$B87,"")</f>
        <v/>
      </c>
      <c r="T87">
        <f>IF(AND($B87&lt;&gt;"",$C87&lt;&gt;"Target state",$C87&lt;&gt;"Exception",$D87="Medium",$E87="High"),$A87&amp;"  "&amp;$B87,"")</f>
        <v/>
      </c>
      <c r="U87">
        <f>IF(AND($B87&lt;&gt;"",$C87&lt;&gt;"Target state",$C87&lt;&gt;"Exception",$D87="Low",$E87="Low"),$A87&amp;"  "&amp;$B87,"")</f>
        <v/>
      </c>
      <c r="V87">
        <f>IF(AND($B87&lt;&gt;"",$C87&lt;&gt;"Target state",$C87&lt;&gt;"Exception",$D87="Low",$E87="Medium"),$A87&amp;"  "&amp;$B87,"")</f>
        <v/>
      </c>
      <c r="W87">
        <f>IF(AND($B87&lt;&gt;"",$C87&lt;&gt;"Target state",$C87&lt;&gt;"Exception",$D87="Low",$E87="High"),$A87&amp;"  "&amp;$B87,"")</f>
        <v/>
      </c>
    </row>
    <row r="88" ht="20" customHeight="1">
      <c r="A88" s="29" t="inlineStr">
        <is>
          <t>⑤</t>
        </is>
      </c>
      <c r="B88" s="30" t="n"/>
      <c r="C88" s="31" t="n"/>
      <c r="D88" s="31" t="n"/>
      <c r="E88" s="31" t="n"/>
      <c r="F88" s="32" t="n"/>
      <c r="G88" s="33">
        <f>IF(OR($B88="",$D88="",$E88=""),"",IF(OR($C88="Target state",$C88="Exception"),"Out of scope",IF($D88="Low","No tranche",IF($E88="Low","Tranche 1",IF($E88="Medium","Tranche 2",IF($D88="High","Tranche 3","No tranche"))))))</f>
        <v/>
      </c>
      <c r="K88" s="39" t="n"/>
      <c r="L88" s="39" t="n"/>
      <c r="M88" s="39" t="n"/>
      <c r="O88">
        <f>IF(AND($B88&lt;&gt;"",$C88&lt;&gt;"Target state",$C88&lt;&gt;"Exception",$D88="High",$E88="Low"),$A88&amp;"  "&amp;$B88,"")</f>
        <v/>
      </c>
      <c r="P88">
        <f>IF(AND($B88&lt;&gt;"",$C88&lt;&gt;"Target state",$C88&lt;&gt;"Exception",$D88="High",$E88="Medium"),$A88&amp;"  "&amp;$B88,"")</f>
        <v/>
      </c>
      <c r="Q88">
        <f>IF(AND($B88&lt;&gt;"",$C88&lt;&gt;"Target state",$C88&lt;&gt;"Exception",$D88="High",$E88="High"),$A88&amp;"  "&amp;$B88,"")</f>
        <v/>
      </c>
      <c r="R88">
        <f>IF(AND($B88&lt;&gt;"",$C88&lt;&gt;"Target state",$C88&lt;&gt;"Exception",$D88="Medium",$E88="Low"),$A88&amp;"  "&amp;$B88,"")</f>
        <v/>
      </c>
      <c r="S88">
        <f>IF(AND($B88&lt;&gt;"",$C88&lt;&gt;"Target state",$C88&lt;&gt;"Exception",$D88="Medium",$E88="Medium"),$A88&amp;"  "&amp;$B88,"")</f>
        <v/>
      </c>
      <c r="T88">
        <f>IF(AND($B88&lt;&gt;"",$C88&lt;&gt;"Target state",$C88&lt;&gt;"Exception",$D88="Medium",$E88="High"),$A88&amp;"  "&amp;$B88,"")</f>
        <v/>
      </c>
      <c r="U88">
        <f>IF(AND($B88&lt;&gt;"",$C88&lt;&gt;"Target state",$C88&lt;&gt;"Exception",$D88="Low",$E88="Low"),$A88&amp;"  "&amp;$B88,"")</f>
        <v/>
      </c>
      <c r="V88">
        <f>IF(AND($B88&lt;&gt;"",$C88&lt;&gt;"Target state",$C88&lt;&gt;"Exception",$D88="Low",$E88="Medium"),$A88&amp;"  "&amp;$B88,"")</f>
        <v/>
      </c>
      <c r="W88">
        <f>IF(AND($B88&lt;&gt;"",$C88&lt;&gt;"Target state",$C88&lt;&gt;"Exception",$D88="Low",$E88="High"),$A88&amp;"  "&amp;$B88,"")</f>
        <v/>
      </c>
    </row>
    <row r="89" ht="20" customHeight="1">
      <c r="A89" s="29" t="inlineStr">
        <is>
          <t>⑥</t>
        </is>
      </c>
      <c r="B89" s="30" t="n"/>
      <c r="C89" s="31" t="n"/>
      <c r="D89" s="31" t="n"/>
      <c r="E89" s="31" t="n"/>
      <c r="F89" s="32" t="n"/>
      <c r="G89" s="33">
        <f>IF(OR($B89="",$D89="",$E89=""),"",IF(OR($C89="Target state",$C89="Exception"),"Out of scope",IF($D89="Low","No tranche",IF($E89="Low","Tranche 1",IF($E89="Medium","Tranche 2",IF($D89="High","Tranche 3","No tranche"))))))</f>
        <v/>
      </c>
      <c r="K89" s="40" t="n"/>
      <c r="L89" s="40" t="n"/>
      <c r="M89" s="40" t="n"/>
      <c r="O89">
        <f>IF(AND($B89&lt;&gt;"",$C89&lt;&gt;"Target state",$C89&lt;&gt;"Exception",$D89="High",$E89="Low"),$A89&amp;"  "&amp;$B89,"")</f>
        <v/>
      </c>
      <c r="P89">
        <f>IF(AND($B89&lt;&gt;"",$C89&lt;&gt;"Target state",$C89&lt;&gt;"Exception",$D89="High",$E89="Medium"),$A89&amp;"  "&amp;$B89,"")</f>
        <v/>
      </c>
      <c r="Q89">
        <f>IF(AND($B89&lt;&gt;"",$C89&lt;&gt;"Target state",$C89&lt;&gt;"Exception",$D89="High",$E89="High"),$A89&amp;"  "&amp;$B89,"")</f>
        <v/>
      </c>
      <c r="R89">
        <f>IF(AND($B89&lt;&gt;"",$C89&lt;&gt;"Target state",$C89&lt;&gt;"Exception",$D89="Medium",$E89="Low"),$A89&amp;"  "&amp;$B89,"")</f>
        <v/>
      </c>
      <c r="S89">
        <f>IF(AND($B89&lt;&gt;"",$C89&lt;&gt;"Target state",$C89&lt;&gt;"Exception",$D89="Medium",$E89="Medium"),$A89&amp;"  "&amp;$B89,"")</f>
        <v/>
      </c>
      <c r="T89">
        <f>IF(AND($B89&lt;&gt;"",$C89&lt;&gt;"Target state",$C89&lt;&gt;"Exception",$D89="Medium",$E89="High"),$A89&amp;"  "&amp;$B89,"")</f>
        <v/>
      </c>
      <c r="U89">
        <f>IF(AND($B89&lt;&gt;"",$C89&lt;&gt;"Target state",$C89&lt;&gt;"Exception",$D89="Low",$E89="Low"),$A89&amp;"  "&amp;$B89,"")</f>
        <v/>
      </c>
      <c r="V89">
        <f>IF(AND($B89&lt;&gt;"",$C89&lt;&gt;"Target state",$C89&lt;&gt;"Exception",$D89="Low",$E89="Medium"),$A89&amp;"  "&amp;$B89,"")</f>
        <v/>
      </c>
      <c r="W89">
        <f>IF(AND($B89&lt;&gt;"",$C89&lt;&gt;"Target state",$C89&lt;&gt;"Exception",$D89="Low",$E89="High"),$A89&amp;"  "&amp;$B89,"")</f>
        <v/>
      </c>
    </row>
    <row r="90" ht="20" customHeight="1">
      <c r="A90" s="29" t="inlineStr">
        <is>
          <t>⑦</t>
        </is>
      </c>
      <c r="B90" s="30" t="n"/>
      <c r="C90" s="31" t="n"/>
      <c r="D90" s="31" t="n"/>
      <c r="E90" s="31" t="n"/>
      <c r="F90" s="32" t="n"/>
      <c r="G90" s="33">
        <f>IF(OR($B90="",$D90="",$E90=""),"",IF(OR($C90="Target state",$C90="Exception"),"Out of scope",IF($D90="Low","No tranche",IF($E90="Low","Tranche 1",IF($E90="Medium","Tranche 2",IF($D90="High","Tranche 3","No tranche"))))))</f>
        <v/>
      </c>
      <c r="J90" s="35" t="inlineStr">
        <is>
          <t>Low</t>
        </is>
      </c>
      <c r="K90" s="41">
        <f>_xlfn.TEXTJOIN(CHAR(10),TRUE,U$84:U$93)</f>
        <v/>
      </c>
      <c r="L90" s="41">
        <f>_xlfn.TEXTJOIN(CHAR(10),TRUE,V$84:V$93)</f>
        <v/>
      </c>
      <c r="M90" s="41">
        <f>_xlfn.TEXTJOIN(CHAR(10),TRUE,W$84:W$93)</f>
        <v/>
      </c>
      <c r="O90">
        <f>IF(AND($B90&lt;&gt;"",$C90&lt;&gt;"Target state",$C90&lt;&gt;"Exception",$D90="High",$E90="Low"),$A90&amp;"  "&amp;$B90,"")</f>
        <v/>
      </c>
      <c r="P90">
        <f>IF(AND($B90&lt;&gt;"",$C90&lt;&gt;"Target state",$C90&lt;&gt;"Exception",$D90="High",$E90="Medium"),$A90&amp;"  "&amp;$B90,"")</f>
        <v/>
      </c>
      <c r="Q90">
        <f>IF(AND($B90&lt;&gt;"",$C90&lt;&gt;"Target state",$C90&lt;&gt;"Exception",$D90="High",$E90="High"),$A90&amp;"  "&amp;$B90,"")</f>
        <v/>
      </c>
      <c r="R90">
        <f>IF(AND($B90&lt;&gt;"",$C90&lt;&gt;"Target state",$C90&lt;&gt;"Exception",$D90="Medium",$E90="Low"),$A90&amp;"  "&amp;$B90,"")</f>
        <v/>
      </c>
      <c r="S90">
        <f>IF(AND($B90&lt;&gt;"",$C90&lt;&gt;"Target state",$C90&lt;&gt;"Exception",$D90="Medium",$E90="Medium"),$A90&amp;"  "&amp;$B90,"")</f>
        <v/>
      </c>
      <c r="T90">
        <f>IF(AND($B90&lt;&gt;"",$C90&lt;&gt;"Target state",$C90&lt;&gt;"Exception",$D90="Medium",$E90="High"),$A90&amp;"  "&amp;$B90,"")</f>
        <v/>
      </c>
      <c r="U90">
        <f>IF(AND($B90&lt;&gt;"",$C90&lt;&gt;"Target state",$C90&lt;&gt;"Exception",$D90="Low",$E90="Low"),$A90&amp;"  "&amp;$B90,"")</f>
        <v/>
      </c>
      <c r="V90">
        <f>IF(AND($B90&lt;&gt;"",$C90&lt;&gt;"Target state",$C90&lt;&gt;"Exception",$D90="Low",$E90="Medium"),$A90&amp;"  "&amp;$B90,"")</f>
        <v/>
      </c>
      <c r="W90">
        <f>IF(AND($B90&lt;&gt;"",$C90&lt;&gt;"Target state",$C90&lt;&gt;"Exception",$D90="Low",$E90="High"),$A90&amp;"  "&amp;$B90,"")</f>
        <v/>
      </c>
    </row>
    <row r="91" ht="20" customHeight="1">
      <c r="A91" s="29" t="inlineStr">
        <is>
          <t>⑧</t>
        </is>
      </c>
      <c r="B91" s="30" t="n"/>
      <c r="C91" s="31" t="n"/>
      <c r="D91" s="31" t="n"/>
      <c r="E91" s="31" t="n"/>
      <c r="F91" s="32" t="n"/>
      <c r="G91" s="33">
        <f>IF(OR($B91="",$D91="",$E91=""),"",IF(OR($C91="Target state",$C91="Exception"),"Out of scope",IF($D91="Low","No tranche",IF($E91="Low","Tranche 1",IF($E91="Medium","Tranche 2",IF($D91="High","Tranche 3","No tranche"))))))</f>
        <v/>
      </c>
      <c r="K91" s="39" t="n"/>
      <c r="L91" s="39" t="n"/>
      <c r="M91" s="39" t="n"/>
      <c r="O91">
        <f>IF(AND($B91&lt;&gt;"",$C91&lt;&gt;"Target state",$C91&lt;&gt;"Exception",$D91="High",$E91="Low"),$A91&amp;"  "&amp;$B91,"")</f>
        <v/>
      </c>
      <c r="P91">
        <f>IF(AND($B91&lt;&gt;"",$C91&lt;&gt;"Target state",$C91&lt;&gt;"Exception",$D91="High",$E91="Medium"),$A91&amp;"  "&amp;$B91,"")</f>
        <v/>
      </c>
      <c r="Q91">
        <f>IF(AND($B91&lt;&gt;"",$C91&lt;&gt;"Target state",$C91&lt;&gt;"Exception",$D91="High",$E91="High"),$A91&amp;"  "&amp;$B91,"")</f>
        <v/>
      </c>
      <c r="R91">
        <f>IF(AND($B91&lt;&gt;"",$C91&lt;&gt;"Target state",$C91&lt;&gt;"Exception",$D91="Medium",$E91="Low"),$A91&amp;"  "&amp;$B91,"")</f>
        <v/>
      </c>
      <c r="S91">
        <f>IF(AND($B91&lt;&gt;"",$C91&lt;&gt;"Target state",$C91&lt;&gt;"Exception",$D91="Medium",$E91="Medium"),$A91&amp;"  "&amp;$B91,"")</f>
        <v/>
      </c>
      <c r="T91">
        <f>IF(AND($B91&lt;&gt;"",$C91&lt;&gt;"Target state",$C91&lt;&gt;"Exception",$D91="Medium",$E91="High"),$A91&amp;"  "&amp;$B91,"")</f>
        <v/>
      </c>
      <c r="U91">
        <f>IF(AND($B91&lt;&gt;"",$C91&lt;&gt;"Target state",$C91&lt;&gt;"Exception",$D91="Low",$E91="Low"),$A91&amp;"  "&amp;$B91,"")</f>
        <v/>
      </c>
      <c r="V91">
        <f>IF(AND($B91&lt;&gt;"",$C91&lt;&gt;"Target state",$C91&lt;&gt;"Exception",$D91="Low",$E91="Medium"),$A91&amp;"  "&amp;$B91,"")</f>
        <v/>
      </c>
      <c r="W91">
        <f>IF(AND($B91&lt;&gt;"",$C91&lt;&gt;"Target state",$C91&lt;&gt;"Exception",$D91="Low",$E91="High"),$A91&amp;"  "&amp;$B91,"")</f>
        <v/>
      </c>
    </row>
    <row r="92" ht="20" customHeight="1">
      <c r="A92" s="29" t="inlineStr">
        <is>
          <t>⑨</t>
        </is>
      </c>
      <c r="B92" s="30" t="n"/>
      <c r="C92" s="31" t="n"/>
      <c r="D92" s="31" t="n"/>
      <c r="E92" s="31" t="n"/>
      <c r="F92" s="32" t="n"/>
      <c r="G92" s="33">
        <f>IF(OR($B92="",$D92="",$E92=""),"",IF(OR($C92="Target state",$C92="Exception"),"Out of scope",IF($D92="Low","No tranche",IF($E92="Low","Tranche 1",IF($E92="Medium","Tranche 2",IF($D92="High","Tranche 3","No tranche"))))))</f>
        <v/>
      </c>
      <c r="K92" s="40" t="n"/>
      <c r="L92" s="40" t="n"/>
      <c r="M92" s="40" t="n"/>
      <c r="O92">
        <f>IF(AND($B92&lt;&gt;"",$C92&lt;&gt;"Target state",$C92&lt;&gt;"Exception",$D92="High",$E92="Low"),$A92&amp;"  "&amp;$B92,"")</f>
        <v/>
      </c>
      <c r="P92">
        <f>IF(AND($B92&lt;&gt;"",$C92&lt;&gt;"Target state",$C92&lt;&gt;"Exception",$D92="High",$E92="Medium"),$A92&amp;"  "&amp;$B92,"")</f>
        <v/>
      </c>
      <c r="Q92">
        <f>IF(AND($B92&lt;&gt;"",$C92&lt;&gt;"Target state",$C92&lt;&gt;"Exception",$D92="High",$E92="High"),$A92&amp;"  "&amp;$B92,"")</f>
        <v/>
      </c>
      <c r="R92">
        <f>IF(AND($B92&lt;&gt;"",$C92&lt;&gt;"Target state",$C92&lt;&gt;"Exception",$D92="Medium",$E92="Low"),$A92&amp;"  "&amp;$B92,"")</f>
        <v/>
      </c>
      <c r="S92">
        <f>IF(AND($B92&lt;&gt;"",$C92&lt;&gt;"Target state",$C92&lt;&gt;"Exception",$D92="Medium",$E92="Medium"),$A92&amp;"  "&amp;$B92,"")</f>
        <v/>
      </c>
      <c r="T92">
        <f>IF(AND($B92&lt;&gt;"",$C92&lt;&gt;"Target state",$C92&lt;&gt;"Exception",$D92="Medium",$E92="High"),$A92&amp;"  "&amp;$B92,"")</f>
        <v/>
      </c>
      <c r="U92">
        <f>IF(AND($B92&lt;&gt;"",$C92&lt;&gt;"Target state",$C92&lt;&gt;"Exception",$D92="Low",$E92="Low"),$A92&amp;"  "&amp;$B92,"")</f>
        <v/>
      </c>
      <c r="V92">
        <f>IF(AND($B92&lt;&gt;"",$C92&lt;&gt;"Target state",$C92&lt;&gt;"Exception",$D92="Low",$E92="Medium"),$A92&amp;"  "&amp;$B92,"")</f>
        <v/>
      </c>
      <c r="W92">
        <f>IF(AND($B92&lt;&gt;"",$C92&lt;&gt;"Target state",$C92&lt;&gt;"Exception",$D92="Low",$E92="High"),$A92&amp;"  "&amp;$B92,"")</f>
        <v/>
      </c>
    </row>
    <row r="93" ht="20" customHeight="1">
      <c r="A93" s="29" t="inlineStr">
        <is>
          <t>⑩</t>
        </is>
      </c>
      <c r="B93" s="30" t="n"/>
      <c r="C93" s="31" t="n"/>
      <c r="D93" s="31" t="n"/>
      <c r="E93" s="31" t="n"/>
      <c r="F93" s="32" t="n"/>
      <c r="G93" s="33">
        <f>IF(OR($B93="",$D93="",$E93=""),"",IF(OR($C93="Target state",$C93="Exception"),"Out of scope",IF($D93="Low","No tranche",IF($E93="Low","Tranche 1",IF($E93="Medium","Tranche 2",IF($D93="High","Tranche 3","No tranche"))))))</f>
        <v/>
      </c>
      <c r="K93" s="35" t="inlineStr">
        <is>
          <t>Complexity</t>
        </is>
      </c>
      <c r="O93">
        <f>IF(AND($B93&lt;&gt;"",$C93&lt;&gt;"Target state",$C93&lt;&gt;"Exception",$D93="High",$E93="Low"),$A93&amp;"  "&amp;$B93,"")</f>
        <v/>
      </c>
      <c r="P93">
        <f>IF(AND($B93&lt;&gt;"",$C93&lt;&gt;"Target state",$C93&lt;&gt;"Exception",$D93="High",$E93="Medium"),$A93&amp;"  "&amp;$B93,"")</f>
        <v/>
      </c>
      <c r="Q93">
        <f>IF(AND($B93&lt;&gt;"",$C93&lt;&gt;"Target state",$C93&lt;&gt;"Exception",$D93="High",$E93="High"),$A93&amp;"  "&amp;$B93,"")</f>
        <v/>
      </c>
      <c r="R93">
        <f>IF(AND($B93&lt;&gt;"",$C93&lt;&gt;"Target state",$C93&lt;&gt;"Exception",$D93="Medium",$E93="Low"),$A93&amp;"  "&amp;$B93,"")</f>
        <v/>
      </c>
      <c r="S93">
        <f>IF(AND($B93&lt;&gt;"",$C93&lt;&gt;"Target state",$C93&lt;&gt;"Exception",$D93="Medium",$E93="Medium"),$A93&amp;"  "&amp;$B93,"")</f>
        <v/>
      </c>
      <c r="T93">
        <f>IF(AND($B93&lt;&gt;"",$C93&lt;&gt;"Target state",$C93&lt;&gt;"Exception",$D93="Medium",$E93="High"),$A93&amp;"  "&amp;$B93,"")</f>
        <v/>
      </c>
      <c r="U93">
        <f>IF(AND($B93&lt;&gt;"",$C93&lt;&gt;"Target state",$C93&lt;&gt;"Exception",$D93="Low",$E93="Low"),$A93&amp;"  "&amp;$B93,"")</f>
        <v/>
      </c>
      <c r="V93">
        <f>IF(AND($B93&lt;&gt;"",$C93&lt;&gt;"Target state",$C93&lt;&gt;"Exception",$D93="Low",$E93="Medium"),$A93&amp;"  "&amp;$B93,"")</f>
        <v/>
      </c>
      <c r="W93">
        <f>IF(AND($B93&lt;&gt;"",$C93&lt;&gt;"Target state",$C93&lt;&gt;"Exception",$D93="Low",$E93="High"),$A93&amp;"  "&amp;$B93,"")</f>
        <v/>
      </c>
    </row>
  </sheetData>
  <mergeCells count="97">
    <mergeCell ref="I28:I36"/>
    <mergeCell ref="K70:K72"/>
    <mergeCell ref="K48:K50"/>
    <mergeCell ref="K40:M40"/>
    <mergeCell ref="L76:L78"/>
    <mergeCell ref="L34:L36"/>
    <mergeCell ref="M14:M16"/>
    <mergeCell ref="I14:I22"/>
    <mergeCell ref="M56:M58"/>
    <mergeCell ref="K82:M82"/>
    <mergeCell ref="M20:M22"/>
    <mergeCell ref="L48:L50"/>
    <mergeCell ref="A40:F40"/>
    <mergeCell ref="K76:K78"/>
    <mergeCell ref="J84:J86"/>
    <mergeCell ref="K68:M68"/>
    <mergeCell ref="K59:K61"/>
    <mergeCell ref="A82:F82"/>
    <mergeCell ref="K84:K86"/>
    <mergeCell ref="M84:M86"/>
    <mergeCell ref="J70:J72"/>
    <mergeCell ref="M45:M47"/>
    <mergeCell ref="J90:J92"/>
    <mergeCell ref="K12:M12"/>
    <mergeCell ref="K14:K16"/>
    <mergeCell ref="L90:L92"/>
    <mergeCell ref="K87:K89"/>
    <mergeCell ref="K23:M23"/>
    <mergeCell ref="M87:M89"/>
    <mergeCell ref="I42:I50"/>
    <mergeCell ref="J42:J44"/>
    <mergeCell ref="A4:C4"/>
    <mergeCell ref="K65:M65"/>
    <mergeCell ref="I84:I92"/>
    <mergeCell ref="J34:J36"/>
    <mergeCell ref="M73:M75"/>
    <mergeCell ref="J28:J30"/>
    <mergeCell ref="L28:L30"/>
    <mergeCell ref="M70:M72"/>
    <mergeCell ref="I70:I78"/>
    <mergeCell ref="J20:J22"/>
    <mergeCell ref="L14:L16"/>
    <mergeCell ref="A54:F54"/>
    <mergeCell ref="K42:K44"/>
    <mergeCell ref="J62:J64"/>
    <mergeCell ref="K17:K19"/>
    <mergeCell ref="I56:I64"/>
    <mergeCell ref="L56:L58"/>
    <mergeCell ref="M42:M44"/>
    <mergeCell ref="A26:F26"/>
    <mergeCell ref="M17:M19"/>
    <mergeCell ref="K28:K30"/>
    <mergeCell ref="J56:J58"/>
    <mergeCell ref="K62:K64"/>
    <mergeCell ref="M62:M64"/>
    <mergeCell ref="J48:J50"/>
    <mergeCell ref="J76:J78"/>
    <mergeCell ref="J17:J19"/>
    <mergeCell ref="J73:J75"/>
    <mergeCell ref="L17:L19"/>
    <mergeCell ref="M48:M50"/>
    <mergeCell ref="A68:F68"/>
    <mergeCell ref="K56:K58"/>
    <mergeCell ref="J59:J61"/>
    <mergeCell ref="K79:M79"/>
    <mergeCell ref="K90:K92"/>
    <mergeCell ref="K51:M51"/>
    <mergeCell ref="K26:M26"/>
    <mergeCell ref="M90:M92"/>
    <mergeCell ref="J45:J47"/>
    <mergeCell ref="L45:L47"/>
    <mergeCell ref="L59:L61"/>
    <mergeCell ref="L20:L22"/>
    <mergeCell ref="K73:K75"/>
    <mergeCell ref="A12:F12"/>
    <mergeCell ref="M76:M78"/>
    <mergeCell ref="L84:L86"/>
    <mergeCell ref="J31:J33"/>
    <mergeCell ref="L31:L33"/>
    <mergeCell ref="K34:K36"/>
    <mergeCell ref="J14:J16"/>
    <mergeCell ref="L70:L72"/>
    <mergeCell ref="M59:M61"/>
    <mergeCell ref="M34:M36"/>
    <mergeCell ref="K45:K47"/>
    <mergeCell ref="K93:M93"/>
    <mergeCell ref="K37:M37"/>
    <mergeCell ref="J87:J89"/>
    <mergeCell ref="K20:K22"/>
    <mergeCell ref="L87:L89"/>
    <mergeCell ref="L62:L64"/>
    <mergeCell ref="K31:K33"/>
    <mergeCell ref="M31:M33"/>
    <mergeCell ref="K54:M54"/>
    <mergeCell ref="L73:L75"/>
    <mergeCell ref="L42:L44"/>
    <mergeCell ref="M28:M30"/>
  </mergeCells>
  <conditionalFormatting sqref="A14:G23">
    <cfRule type="expression" priority="1" dxfId="0">
      <formula>OR($C14="Target state",$C14="Exception")</formula>
    </cfRule>
  </conditionalFormatting>
  <conditionalFormatting sqref="A28:G37">
    <cfRule type="expression" priority="2" dxfId="0">
      <formula>OR($C28="Target state",$C28="Exception")</formula>
    </cfRule>
  </conditionalFormatting>
  <conditionalFormatting sqref="A42:G51">
    <cfRule type="expression" priority="3" dxfId="0">
      <formula>OR($C42="Target state",$C42="Exception")</formula>
    </cfRule>
  </conditionalFormatting>
  <conditionalFormatting sqref="A56:G65">
    <cfRule type="expression" priority="4" dxfId="0">
      <formula>OR($C56="Target state",$C56="Exception")</formula>
    </cfRule>
  </conditionalFormatting>
  <conditionalFormatting sqref="A70:G79">
    <cfRule type="expression" priority="5" dxfId="0">
      <formula>OR($C70="Target state",$C70="Exception")</formula>
    </cfRule>
  </conditionalFormatting>
  <conditionalFormatting sqref="A84:G93">
    <cfRule type="expression" priority="6" dxfId="0">
      <formula>OR($C84="Target state",$C84="Exception")</formula>
    </cfRule>
  </conditionalFormatting>
  <dataValidations count="2">
    <dataValidation sqref="C14:C23 C28:C37 C42:C51 C56:C65 C70:C79 C84:C93" showDropDown="0" showInputMessage="0" showErrorMessage="0" allowBlank="1" type="list">
      <formula1>"Target state,Non-target state,Exception"</formula1>
    </dataValidation>
    <dataValidation sqref="D14:E23 D28:E37 D42:E51 D56:E65 D70:E79 D84:E93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F0"/>
    <outlinePr summaryBelow="1" summaryRight="1"/>
    <pageSetUpPr/>
  </sheetPr>
  <dimension ref="A1:W7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7" customWidth="1" min="3" max="3"/>
    <col width="16" customWidth="1" min="4" max="4"/>
    <col width="15" customWidth="1" min="5" max="5"/>
    <col width="44" customWidth="1" min="6" max="6"/>
    <col width="14" customWidth="1" min="7" max="7"/>
    <col width="2" customWidth="1" min="8" max="8"/>
    <col width="4" customWidth="1" min="9" max="9"/>
    <col width="9" customWidth="1" min="10" max="10"/>
    <col width="26" customWidth="1" min="11" max="11"/>
    <col width="26" customWidth="1" min="12" max="12"/>
    <col width="26" customWidth="1" min="13" max="13"/>
    <col width="2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</cols>
  <sheetData>
    <row r="1">
      <c r="A1" s="19" t="inlineStr">
        <is>
          <t>Single-in — Platform Assessment</t>
        </is>
      </c>
    </row>
    <row r="2">
      <c r="A2" s="20">
        <f>HYPERLINK("#'Summary'!A1","← Back to Summary")</f>
        <v/>
      </c>
      <c r="C2" s="21" t="inlineStr">
        <is>
          <t>Pick a State, score High / Medium / Low — the tranche, the matrix and the Summary update automatically.</t>
        </is>
      </c>
    </row>
    <row r="4">
      <c r="A4" s="22" t="inlineStr">
        <is>
          <t>Tracker — jump to a sub-capability:</t>
        </is>
      </c>
    </row>
    <row r="5">
      <c r="A5" s="23" t="inlineStr">
        <is>
          <t>1.</t>
        </is>
      </c>
      <c r="B5" s="20">
        <f>HYPERLINK("#'Single-in'!A11","Global API")</f>
        <v/>
      </c>
    </row>
    <row r="6">
      <c r="A6" s="23" t="inlineStr">
        <is>
          <t>2.</t>
        </is>
      </c>
      <c r="B6" s="20">
        <f>HYPERLINK("#'Single-in'!A25","Payment Apps &amp; SDKs")</f>
        <v/>
      </c>
    </row>
    <row r="7">
      <c r="A7" s="23" t="inlineStr">
        <is>
          <t>3.</t>
        </is>
      </c>
      <c r="B7" s="20">
        <f>HYPERLINK("#'Single-in'!A39","Developer Experience")</f>
        <v/>
      </c>
    </row>
    <row r="8">
      <c r="A8" s="23" t="inlineStr">
        <is>
          <t>4.</t>
        </is>
      </c>
      <c r="B8" s="20">
        <f>HYPERLINK("#'Single-in'!A53","Hosted Solutions")</f>
        <v/>
      </c>
    </row>
    <row r="9">
      <c r="A9" s="23" t="inlineStr">
        <is>
          <t>5.</t>
        </is>
      </c>
      <c r="B9" s="20">
        <f>HYPERLINK("#'Single-in'!A67","Unified Proposition")</f>
        <v/>
      </c>
    </row>
    <row r="11" ht="22" customHeight="1">
      <c r="A11" s="24" t="inlineStr">
        <is>
          <t>Global API</t>
        </is>
      </c>
      <c r="G11" s="25">
        <f>HYPERLINK("#'Single-in'!A4","▲ tracker")</f>
        <v/>
      </c>
      <c r="K11" s="26" t="inlineStr">
        <is>
          <t>Assessment Outcome</t>
        </is>
      </c>
    </row>
    <row r="12" ht="18" customHeight="1">
      <c r="A12" s="27" t="inlineStr">
        <is>
          <t>#</t>
        </is>
      </c>
      <c r="B12" s="27" t="inlineStr">
        <is>
          <t>Platform</t>
        </is>
      </c>
      <c r="C12" s="27" t="inlineStr">
        <is>
          <t>State</t>
        </is>
      </c>
      <c r="D12" s="27" t="inlineStr">
        <is>
          <t>Imperative to exit</t>
        </is>
      </c>
      <c r="E12" s="27" t="inlineStr">
        <is>
          <t>Exit complexity</t>
        </is>
      </c>
      <c r="F12" s="27" t="inlineStr">
        <is>
          <t>Supporting facts</t>
        </is>
      </c>
      <c r="G12" s="27" t="inlineStr">
        <is>
          <t>Tranche (auto)</t>
        </is>
      </c>
      <c r="K12" s="28" t="inlineStr">
        <is>
          <t>Low</t>
        </is>
      </c>
      <c r="L12" s="28" t="inlineStr">
        <is>
          <t>Medium</t>
        </is>
      </c>
      <c r="M12" s="28" t="inlineStr">
        <is>
          <t>High</t>
        </is>
      </c>
    </row>
    <row r="13" ht="20" customHeight="1">
      <c r="A13" s="29" t="inlineStr">
        <is>
          <t>①</t>
        </is>
      </c>
      <c r="B13" s="30" t="n"/>
      <c r="C13" s="31" t="n"/>
      <c r="D13" s="31" t="n"/>
      <c r="E13" s="31" t="n"/>
      <c r="F13" s="32" t="n"/>
      <c r="G13" s="33">
        <f>IF(OR($B13="",$D13="",$E13=""),"",IF(OR($C13="Target state",$C13="Exception"),"Out of scope",IF($D13="Low","No tranche",IF($E13="Low","Tranche 1",IF($E13="Medium","Tranche 2",IF($D13="High","Tranche 3","No tranche"))))))</f>
        <v/>
      </c>
      <c r="I13" s="34" t="inlineStr">
        <is>
          <t>Benefits</t>
        </is>
      </c>
      <c r="J13" s="35" t="inlineStr">
        <is>
          <t>High</t>
        </is>
      </c>
      <c r="K13" s="36">
        <f>"Tranche 1"&amp;CHAR(10)&amp;_xlfn.TEXTJOIN(CHAR(10),TRUE,O$13:O$22)</f>
        <v/>
      </c>
      <c r="L13" s="37">
        <f>"Tranche 2"&amp;CHAR(10)&amp;_xlfn.TEXTJOIN(CHAR(10),TRUE,P$13:P$22)</f>
        <v/>
      </c>
      <c r="M13" s="38">
        <f>"Tranche 3"&amp;CHAR(10)&amp;_xlfn.TEXTJOIN(CHAR(10),TRUE,Q$13:Q$22)</f>
        <v/>
      </c>
      <c r="O13">
        <f>IF(AND($B13&lt;&gt;"",$C13&lt;&gt;"Target state",$C13&lt;&gt;"Exception",$D13="High",$E13="Low"),$A13&amp;"  "&amp;$B13,"")</f>
        <v/>
      </c>
      <c r="P13">
        <f>IF(AND($B13&lt;&gt;"",$C13&lt;&gt;"Target state",$C13&lt;&gt;"Exception",$D13="High",$E13="Medium"),$A13&amp;"  "&amp;$B13,"")</f>
        <v/>
      </c>
      <c r="Q13">
        <f>IF(AND($B13&lt;&gt;"",$C13&lt;&gt;"Target state",$C13&lt;&gt;"Exception",$D13="High",$E13="High"),$A13&amp;"  "&amp;$B13,"")</f>
        <v/>
      </c>
      <c r="R13">
        <f>IF(AND($B13&lt;&gt;"",$C13&lt;&gt;"Target state",$C13&lt;&gt;"Exception",$D13="Medium",$E13="Low"),$A13&amp;"  "&amp;$B13,"")</f>
        <v/>
      </c>
      <c r="S13">
        <f>IF(AND($B13&lt;&gt;"",$C13&lt;&gt;"Target state",$C13&lt;&gt;"Exception",$D13="Medium",$E13="Medium"),$A13&amp;"  "&amp;$B13,"")</f>
        <v/>
      </c>
      <c r="T13">
        <f>IF(AND($B13&lt;&gt;"",$C13&lt;&gt;"Target state",$C13&lt;&gt;"Exception",$D13="Medium",$E13="High"),$A13&amp;"  "&amp;$B13,"")</f>
        <v/>
      </c>
      <c r="U13">
        <f>IF(AND($B13&lt;&gt;"",$C13&lt;&gt;"Target state",$C13&lt;&gt;"Exception",$D13="Low",$E13="Low"),$A13&amp;"  "&amp;$B13,"")</f>
        <v/>
      </c>
      <c r="V13">
        <f>IF(AND($B13&lt;&gt;"",$C13&lt;&gt;"Target state",$C13&lt;&gt;"Exception",$D13="Low",$E13="Medium"),$A13&amp;"  "&amp;$B13,"")</f>
        <v/>
      </c>
      <c r="W13">
        <f>IF(AND($B13&lt;&gt;"",$C13&lt;&gt;"Target state",$C13&lt;&gt;"Exception",$D13="Low",$E13="High"),$A13&amp;"  "&amp;$B13,"")</f>
        <v/>
      </c>
    </row>
    <row r="14" ht="20" customHeight="1">
      <c r="A14" s="29" t="inlineStr">
        <is>
          <t>②</t>
        </is>
      </c>
      <c r="B14" s="30" t="n"/>
      <c r="C14" s="31" t="n"/>
      <c r="D14" s="31" t="n"/>
      <c r="E14" s="31" t="n"/>
      <c r="F14" s="32" t="n"/>
      <c r="G14" s="33">
        <f>IF(OR($B14="",$D14="",$E14=""),"",IF(OR($C14="Target state",$C14="Exception"),"Out of scope",IF($D14="Low","No tranche",IF($E14="Low","Tranche 1",IF($E14="Medium","Tranche 2",IF($D14="High","Tranche 3","No tranche"))))))</f>
        <v/>
      </c>
      <c r="K14" s="39" t="n"/>
      <c r="L14" s="39" t="n"/>
      <c r="M14" s="39" t="n"/>
      <c r="O14">
        <f>IF(AND($B14&lt;&gt;"",$C14&lt;&gt;"Target state",$C14&lt;&gt;"Exception",$D14="High",$E14="Low"),$A14&amp;"  "&amp;$B14,"")</f>
        <v/>
      </c>
      <c r="P14">
        <f>IF(AND($B14&lt;&gt;"",$C14&lt;&gt;"Target state",$C14&lt;&gt;"Exception",$D14="High",$E14="Medium"),$A14&amp;"  "&amp;$B14,"")</f>
        <v/>
      </c>
      <c r="Q14">
        <f>IF(AND($B14&lt;&gt;"",$C14&lt;&gt;"Target state",$C14&lt;&gt;"Exception",$D14="High",$E14="High"),$A14&amp;"  "&amp;$B14,"")</f>
        <v/>
      </c>
      <c r="R14">
        <f>IF(AND($B14&lt;&gt;"",$C14&lt;&gt;"Target state",$C14&lt;&gt;"Exception",$D14="Medium",$E14="Low"),$A14&amp;"  "&amp;$B14,"")</f>
        <v/>
      </c>
      <c r="S14">
        <f>IF(AND($B14&lt;&gt;"",$C14&lt;&gt;"Target state",$C14&lt;&gt;"Exception",$D14="Medium",$E14="Medium"),$A14&amp;"  "&amp;$B14,"")</f>
        <v/>
      </c>
      <c r="T14">
        <f>IF(AND($B14&lt;&gt;"",$C14&lt;&gt;"Target state",$C14&lt;&gt;"Exception",$D14="Medium",$E14="High"),$A14&amp;"  "&amp;$B14,"")</f>
        <v/>
      </c>
      <c r="U14">
        <f>IF(AND($B14&lt;&gt;"",$C14&lt;&gt;"Target state",$C14&lt;&gt;"Exception",$D14="Low",$E14="Low"),$A14&amp;"  "&amp;$B14,"")</f>
        <v/>
      </c>
      <c r="V14">
        <f>IF(AND($B14&lt;&gt;"",$C14&lt;&gt;"Target state",$C14&lt;&gt;"Exception",$D14="Low",$E14="Medium"),$A14&amp;"  "&amp;$B14,"")</f>
        <v/>
      </c>
      <c r="W14">
        <f>IF(AND($B14&lt;&gt;"",$C14&lt;&gt;"Target state",$C14&lt;&gt;"Exception",$D14="Low",$E14="High"),$A14&amp;"  "&amp;$B14,"")</f>
        <v/>
      </c>
    </row>
    <row r="15" ht="20" customHeight="1">
      <c r="A15" s="29" t="inlineStr">
        <is>
          <t>③</t>
        </is>
      </c>
      <c r="B15" s="30" t="n"/>
      <c r="C15" s="31" t="n"/>
      <c r="D15" s="31" t="n"/>
      <c r="E15" s="31" t="n"/>
      <c r="F15" s="32" t="n"/>
      <c r="G15" s="33">
        <f>IF(OR($B15="",$D15="",$E15=""),"",IF(OR($C15="Target state",$C15="Exception"),"Out of scope",IF($D15="Low","No tranche",IF($E15="Low","Tranche 1",IF($E15="Medium","Tranche 2",IF($D15="High","Tranche 3","No tranche"))))))</f>
        <v/>
      </c>
      <c r="K15" s="40" t="n"/>
      <c r="L15" s="40" t="n"/>
      <c r="M15" s="40" t="n"/>
      <c r="O15">
        <f>IF(AND($B15&lt;&gt;"",$C15&lt;&gt;"Target state",$C15&lt;&gt;"Exception",$D15="High",$E15="Low"),$A15&amp;"  "&amp;$B15,"")</f>
        <v/>
      </c>
      <c r="P15">
        <f>IF(AND($B15&lt;&gt;"",$C15&lt;&gt;"Target state",$C15&lt;&gt;"Exception",$D15="High",$E15="Medium"),$A15&amp;"  "&amp;$B15,"")</f>
        <v/>
      </c>
      <c r="Q15">
        <f>IF(AND($B15&lt;&gt;"",$C15&lt;&gt;"Target state",$C15&lt;&gt;"Exception",$D15="High",$E15="High"),$A15&amp;"  "&amp;$B15,"")</f>
        <v/>
      </c>
      <c r="R15">
        <f>IF(AND($B15&lt;&gt;"",$C15&lt;&gt;"Target state",$C15&lt;&gt;"Exception",$D15="Medium",$E15="Low"),$A15&amp;"  "&amp;$B15,"")</f>
        <v/>
      </c>
      <c r="S15">
        <f>IF(AND($B15&lt;&gt;"",$C15&lt;&gt;"Target state",$C15&lt;&gt;"Exception",$D15="Medium",$E15="Medium"),$A15&amp;"  "&amp;$B15,"")</f>
        <v/>
      </c>
      <c r="T15">
        <f>IF(AND($B15&lt;&gt;"",$C15&lt;&gt;"Target state",$C15&lt;&gt;"Exception",$D15="Medium",$E15="High"),$A15&amp;"  "&amp;$B15,"")</f>
        <v/>
      </c>
      <c r="U15">
        <f>IF(AND($B15&lt;&gt;"",$C15&lt;&gt;"Target state",$C15&lt;&gt;"Exception",$D15="Low",$E15="Low"),$A15&amp;"  "&amp;$B15,"")</f>
        <v/>
      </c>
      <c r="V15">
        <f>IF(AND($B15&lt;&gt;"",$C15&lt;&gt;"Target state",$C15&lt;&gt;"Exception",$D15="Low",$E15="Medium"),$A15&amp;"  "&amp;$B15,"")</f>
        <v/>
      </c>
      <c r="W15">
        <f>IF(AND($B15&lt;&gt;"",$C15&lt;&gt;"Target state",$C15&lt;&gt;"Exception",$D15="Low",$E15="High"),$A15&amp;"  "&amp;$B15,"")</f>
        <v/>
      </c>
    </row>
    <row r="16" ht="20" customHeight="1">
      <c r="A16" s="29" t="inlineStr">
        <is>
          <t>④</t>
        </is>
      </c>
      <c r="B16" s="30" t="n"/>
      <c r="C16" s="31" t="n"/>
      <c r="D16" s="31" t="n"/>
      <c r="E16" s="31" t="n"/>
      <c r="F16" s="32" t="n"/>
      <c r="G16" s="33">
        <f>IF(OR($B16="",$D16="",$E16=""),"",IF(OR($C16="Target state",$C16="Exception"),"Out of scope",IF($D16="Low","No tranche",IF($E16="Low","Tranche 1",IF($E16="Medium","Tranche 2",IF($D16="High","Tranche 3","No tranche"))))))</f>
        <v/>
      </c>
      <c r="J16" s="35" t="inlineStr">
        <is>
          <t>Medium</t>
        </is>
      </c>
      <c r="K16" s="36">
        <f>"Tranche 1"&amp;CHAR(10)&amp;_xlfn.TEXTJOIN(CHAR(10),TRUE,R$13:R$22)</f>
        <v/>
      </c>
      <c r="L16" s="37">
        <f>"Tranche 2"&amp;CHAR(10)&amp;_xlfn.TEXTJOIN(CHAR(10),TRUE,S$13:S$22)</f>
        <v/>
      </c>
      <c r="M16" s="41">
        <f>_xlfn.TEXTJOIN(CHAR(10),TRUE,T$13:T$22)</f>
        <v/>
      </c>
      <c r="O16">
        <f>IF(AND($B16&lt;&gt;"",$C16&lt;&gt;"Target state",$C16&lt;&gt;"Exception",$D16="High",$E16="Low"),$A16&amp;"  "&amp;$B16,"")</f>
        <v/>
      </c>
      <c r="P16">
        <f>IF(AND($B16&lt;&gt;"",$C16&lt;&gt;"Target state",$C16&lt;&gt;"Exception",$D16="High",$E16="Medium"),$A16&amp;"  "&amp;$B16,"")</f>
        <v/>
      </c>
      <c r="Q16">
        <f>IF(AND($B16&lt;&gt;"",$C16&lt;&gt;"Target state",$C16&lt;&gt;"Exception",$D16="High",$E16="High"),$A16&amp;"  "&amp;$B16,"")</f>
        <v/>
      </c>
      <c r="R16">
        <f>IF(AND($B16&lt;&gt;"",$C16&lt;&gt;"Target state",$C16&lt;&gt;"Exception",$D16="Medium",$E16="Low"),$A16&amp;"  "&amp;$B16,"")</f>
        <v/>
      </c>
      <c r="S16">
        <f>IF(AND($B16&lt;&gt;"",$C16&lt;&gt;"Target state",$C16&lt;&gt;"Exception",$D16="Medium",$E16="Medium"),$A16&amp;"  "&amp;$B16,"")</f>
        <v/>
      </c>
      <c r="T16">
        <f>IF(AND($B16&lt;&gt;"",$C16&lt;&gt;"Target state",$C16&lt;&gt;"Exception",$D16="Medium",$E16="High"),$A16&amp;"  "&amp;$B16,"")</f>
        <v/>
      </c>
      <c r="U16">
        <f>IF(AND($B16&lt;&gt;"",$C16&lt;&gt;"Target state",$C16&lt;&gt;"Exception",$D16="Low",$E16="Low"),$A16&amp;"  "&amp;$B16,"")</f>
        <v/>
      </c>
      <c r="V16">
        <f>IF(AND($B16&lt;&gt;"",$C16&lt;&gt;"Target state",$C16&lt;&gt;"Exception",$D16="Low",$E16="Medium"),$A16&amp;"  "&amp;$B16,"")</f>
        <v/>
      </c>
      <c r="W16">
        <f>IF(AND($B16&lt;&gt;"",$C16&lt;&gt;"Target state",$C16&lt;&gt;"Exception",$D16="Low",$E16="High"),$A16&amp;"  "&amp;$B16,"")</f>
        <v/>
      </c>
    </row>
    <row r="17" ht="20" customHeight="1">
      <c r="A17" s="29" t="inlineStr">
        <is>
          <t>⑤</t>
        </is>
      </c>
      <c r="B17" s="30" t="n"/>
      <c r="C17" s="31" t="n"/>
      <c r="D17" s="31" t="n"/>
      <c r="E17" s="31" t="n"/>
      <c r="F17" s="32" t="n"/>
      <c r="G17" s="33">
        <f>IF(OR($B17="",$D17="",$E17=""),"",IF(OR($C17="Target state",$C17="Exception"),"Out of scope",IF($D17="Low","No tranche",IF($E17="Low","Tranche 1",IF($E17="Medium","Tranche 2",IF($D17="High","Tranche 3","No tranche"))))))</f>
        <v/>
      </c>
      <c r="K17" s="39" t="n"/>
      <c r="L17" s="39" t="n"/>
      <c r="M17" s="39" t="n"/>
      <c r="O17">
        <f>IF(AND($B17&lt;&gt;"",$C17&lt;&gt;"Target state",$C17&lt;&gt;"Exception",$D17="High",$E17="Low"),$A17&amp;"  "&amp;$B17,"")</f>
        <v/>
      </c>
      <c r="P17">
        <f>IF(AND($B17&lt;&gt;"",$C17&lt;&gt;"Target state",$C17&lt;&gt;"Exception",$D17="High",$E17="Medium"),$A17&amp;"  "&amp;$B17,"")</f>
        <v/>
      </c>
      <c r="Q17">
        <f>IF(AND($B17&lt;&gt;"",$C17&lt;&gt;"Target state",$C17&lt;&gt;"Exception",$D17="High",$E17="High"),$A17&amp;"  "&amp;$B17,"")</f>
        <v/>
      </c>
      <c r="R17">
        <f>IF(AND($B17&lt;&gt;"",$C17&lt;&gt;"Target state",$C17&lt;&gt;"Exception",$D17="Medium",$E17="Low"),$A17&amp;"  "&amp;$B17,"")</f>
        <v/>
      </c>
      <c r="S17">
        <f>IF(AND($B17&lt;&gt;"",$C17&lt;&gt;"Target state",$C17&lt;&gt;"Exception",$D17="Medium",$E17="Medium"),$A17&amp;"  "&amp;$B17,"")</f>
        <v/>
      </c>
      <c r="T17">
        <f>IF(AND($B17&lt;&gt;"",$C17&lt;&gt;"Target state",$C17&lt;&gt;"Exception",$D17="Medium",$E17="High"),$A17&amp;"  "&amp;$B17,"")</f>
        <v/>
      </c>
      <c r="U17">
        <f>IF(AND($B17&lt;&gt;"",$C17&lt;&gt;"Target state",$C17&lt;&gt;"Exception",$D17="Low",$E17="Low"),$A17&amp;"  "&amp;$B17,"")</f>
        <v/>
      </c>
      <c r="V17">
        <f>IF(AND($B17&lt;&gt;"",$C17&lt;&gt;"Target state",$C17&lt;&gt;"Exception",$D17="Low",$E17="Medium"),$A17&amp;"  "&amp;$B17,"")</f>
        <v/>
      </c>
      <c r="W17">
        <f>IF(AND($B17&lt;&gt;"",$C17&lt;&gt;"Target state",$C17&lt;&gt;"Exception",$D17="Low",$E17="High"),$A17&amp;"  "&amp;$B17,"")</f>
        <v/>
      </c>
    </row>
    <row r="18" ht="20" customHeight="1">
      <c r="A18" s="29" t="inlineStr">
        <is>
          <t>⑥</t>
        </is>
      </c>
      <c r="B18" s="30" t="n"/>
      <c r="C18" s="31" t="n"/>
      <c r="D18" s="31" t="n"/>
      <c r="E18" s="31" t="n"/>
      <c r="F18" s="32" t="n"/>
      <c r="G18" s="33">
        <f>IF(OR($B18="",$D18="",$E18=""),"",IF(OR($C18="Target state",$C18="Exception"),"Out of scope",IF($D18="Low","No tranche",IF($E18="Low","Tranche 1",IF($E18="Medium","Tranche 2",IF($D18="High","Tranche 3","No tranche"))))))</f>
        <v/>
      </c>
      <c r="K18" s="40" t="n"/>
      <c r="L18" s="40" t="n"/>
      <c r="M18" s="40" t="n"/>
      <c r="O18">
        <f>IF(AND($B18&lt;&gt;"",$C18&lt;&gt;"Target state",$C18&lt;&gt;"Exception",$D18="High",$E18="Low"),$A18&amp;"  "&amp;$B18,"")</f>
        <v/>
      </c>
      <c r="P18">
        <f>IF(AND($B18&lt;&gt;"",$C18&lt;&gt;"Target state",$C18&lt;&gt;"Exception",$D18="High",$E18="Medium"),$A18&amp;"  "&amp;$B18,"")</f>
        <v/>
      </c>
      <c r="Q18">
        <f>IF(AND($B18&lt;&gt;"",$C18&lt;&gt;"Target state",$C18&lt;&gt;"Exception",$D18="High",$E18="High"),$A18&amp;"  "&amp;$B18,"")</f>
        <v/>
      </c>
      <c r="R18">
        <f>IF(AND($B18&lt;&gt;"",$C18&lt;&gt;"Target state",$C18&lt;&gt;"Exception",$D18="Medium",$E18="Low"),$A18&amp;"  "&amp;$B18,"")</f>
        <v/>
      </c>
      <c r="S18">
        <f>IF(AND($B18&lt;&gt;"",$C18&lt;&gt;"Target state",$C18&lt;&gt;"Exception",$D18="Medium",$E18="Medium"),$A18&amp;"  "&amp;$B18,"")</f>
        <v/>
      </c>
      <c r="T18">
        <f>IF(AND($B18&lt;&gt;"",$C18&lt;&gt;"Target state",$C18&lt;&gt;"Exception",$D18="Medium",$E18="High"),$A18&amp;"  "&amp;$B18,"")</f>
        <v/>
      </c>
      <c r="U18">
        <f>IF(AND($B18&lt;&gt;"",$C18&lt;&gt;"Target state",$C18&lt;&gt;"Exception",$D18="Low",$E18="Low"),$A18&amp;"  "&amp;$B18,"")</f>
        <v/>
      </c>
      <c r="V18">
        <f>IF(AND($B18&lt;&gt;"",$C18&lt;&gt;"Target state",$C18&lt;&gt;"Exception",$D18="Low",$E18="Medium"),$A18&amp;"  "&amp;$B18,"")</f>
        <v/>
      </c>
      <c r="W18">
        <f>IF(AND($B18&lt;&gt;"",$C18&lt;&gt;"Target state",$C18&lt;&gt;"Exception",$D18="Low",$E18="High"),$A18&amp;"  "&amp;$B18,"")</f>
        <v/>
      </c>
    </row>
    <row r="19" ht="20" customHeight="1">
      <c r="A19" s="29" t="inlineStr">
        <is>
          <t>⑦</t>
        </is>
      </c>
      <c r="B19" s="30" t="n"/>
      <c r="C19" s="31" t="n"/>
      <c r="D19" s="31" t="n"/>
      <c r="E19" s="31" t="n"/>
      <c r="F19" s="32" t="n"/>
      <c r="G19" s="33">
        <f>IF(OR($B19="",$D19="",$E19=""),"",IF(OR($C19="Target state",$C19="Exception"),"Out of scope",IF($D19="Low","No tranche",IF($E19="Low","Tranche 1",IF($E19="Medium","Tranche 2",IF($D19="High","Tranche 3","No tranche"))))))</f>
        <v/>
      </c>
      <c r="J19" s="35" t="inlineStr">
        <is>
          <t>Low</t>
        </is>
      </c>
      <c r="K19" s="41">
        <f>_xlfn.TEXTJOIN(CHAR(10),TRUE,U$13:U$22)</f>
        <v/>
      </c>
      <c r="L19" s="41">
        <f>_xlfn.TEXTJOIN(CHAR(10),TRUE,V$13:V$22)</f>
        <v/>
      </c>
      <c r="M19" s="41">
        <f>_xlfn.TEXTJOIN(CHAR(10),TRUE,W$13:W$22)</f>
        <v/>
      </c>
      <c r="O19">
        <f>IF(AND($B19&lt;&gt;"",$C19&lt;&gt;"Target state",$C19&lt;&gt;"Exception",$D19="High",$E19="Low"),$A19&amp;"  "&amp;$B19,"")</f>
        <v/>
      </c>
      <c r="P19">
        <f>IF(AND($B19&lt;&gt;"",$C19&lt;&gt;"Target state",$C19&lt;&gt;"Exception",$D19="High",$E19="Medium"),$A19&amp;"  "&amp;$B19,"")</f>
        <v/>
      </c>
      <c r="Q19">
        <f>IF(AND($B19&lt;&gt;"",$C19&lt;&gt;"Target state",$C19&lt;&gt;"Exception",$D19="High",$E19="High"),$A19&amp;"  "&amp;$B19,"")</f>
        <v/>
      </c>
      <c r="R19">
        <f>IF(AND($B19&lt;&gt;"",$C19&lt;&gt;"Target state",$C19&lt;&gt;"Exception",$D19="Medium",$E19="Low"),$A19&amp;"  "&amp;$B19,"")</f>
        <v/>
      </c>
      <c r="S19">
        <f>IF(AND($B19&lt;&gt;"",$C19&lt;&gt;"Target state",$C19&lt;&gt;"Exception",$D19="Medium",$E19="Medium"),$A19&amp;"  "&amp;$B19,"")</f>
        <v/>
      </c>
      <c r="T19">
        <f>IF(AND($B19&lt;&gt;"",$C19&lt;&gt;"Target state",$C19&lt;&gt;"Exception",$D19="Medium",$E19="High"),$A19&amp;"  "&amp;$B19,"")</f>
        <v/>
      </c>
      <c r="U19">
        <f>IF(AND($B19&lt;&gt;"",$C19&lt;&gt;"Target state",$C19&lt;&gt;"Exception",$D19="Low",$E19="Low"),$A19&amp;"  "&amp;$B19,"")</f>
        <v/>
      </c>
      <c r="V19">
        <f>IF(AND($B19&lt;&gt;"",$C19&lt;&gt;"Target state",$C19&lt;&gt;"Exception",$D19="Low",$E19="Medium"),$A19&amp;"  "&amp;$B19,"")</f>
        <v/>
      </c>
      <c r="W19">
        <f>IF(AND($B19&lt;&gt;"",$C19&lt;&gt;"Target state",$C19&lt;&gt;"Exception",$D19="Low",$E19="High"),$A19&amp;"  "&amp;$B19,"")</f>
        <v/>
      </c>
    </row>
    <row r="20" ht="20" customHeight="1">
      <c r="A20" s="29" t="inlineStr">
        <is>
          <t>⑧</t>
        </is>
      </c>
      <c r="B20" s="30" t="n"/>
      <c r="C20" s="31" t="n"/>
      <c r="D20" s="31" t="n"/>
      <c r="E20" s="31" t="n"/>
      <c r="F20" s="32" t="n"/>
      <c r="G20" s="33">
        <f>IF(OR($B20="",$D20="",$E20=""),"",IF(OR($C20="Target state",$C20="Exception"),"Out of scope",IF($D20="Low","No tranche",IF($E20="Low","Tranche 1",IF($E20="Medium","Tranche 2",IF($D20="High","Tranche 3","No tranche"))))))</f>
        <v/>
      </c>
      <c r="K20" s="39" t="n"/>
      <c r="L20" s="39" t="n"/>
      <c r="M20" s="39" t="n"/>
      <c r="O20">
        <f>IF(AND($B20&lt;&gt;"",$C20&lt;&gt;"Target state",$C20&lt;&gt;"Exception",$D20="High",$E20="Low"),$A20&amp;"  "&amp;$B20,"")</f>
        <v/>
      </c>
      <c r="P20">
        <f>IF(AND($B20&lt;&gt;"",$C20&lt;&gt;"Target state",$C20&lt;&gt;"Exception",$D20="High",$E20="Medium"),$A20&amp;"  "&amp;$B20,"")</f>
        <v/>
      </c>
      <c r="Q20">
        <f>IF(AND($B20&lt;&gt;"",$C20&lt;&gt;"Target state",$C20&lt;&gt;"Exception",$D20="High",$E20="High"),$A20&amp;"  "&amp;$B20,"")</f>
        <v/>
      </c>
      <c r="R20">
        <f>IF(AND($B20&lt;&gt;"",$C20&lt;&gt;"Target state",$C20&lt;&gt;"Exception",$D20="Medium",$E20="Low"),$A20&amp;"  "&amp;$B20,"")</f>
        <v/>
      </c>
      <c r="S20">
        <f>IF(AND($B20&lt;&gt;"",$C20&lt;&gt;"Target state",$C20&lt;&gt;"Exception",$D20="Medium",$E20="Medium"),$A20&amp;"  "&amp;$B20,"")</f>
        <v/>
      </c>
      <c r="T20">
        <f>IF(AND($B20&lt;&gt;"",$C20&lt;&gt;"Target state",$C20&lt;&gt;"Exception",$D20="Medium",$E20="High"),$A20&amp;"  "&amp;$B20,"")</f>
        <v/>
      </c>
      <c r="U20">
        <f>IF(AND($B20&lt;&gt;"",$C20&lt;&gt;"Target state",$C20&lt;&gt;"Exception",$D20="Low",$E20="Low"),$A20&amp;"  "&amp;$B20,"")</f>
        <v/>
      </c>
      <c r="V20">
        <f>IF(AND($B20&lt;&gt;"",$C20&lt;&gt;"Target state",$C20&lt;&gt;"Exception",$D20="Low",$E20="Medium"),$A20&amp;"  "&amp;$B20,"")</f>
        <v/>
      </c>
      <c r="W20">
        <f>IF(AND($B20&lt;&gt;"",$C20&lt;&gt;"Target state",$C20&lt;&gt;"Exception",$D20="Low",$E20="High"),$A20&amp;"  "&amp;$B20,"")</f>
        <v/>
      </c>
    </row>
    <row r="21" ht="20" customHeight="1">
      <c r="A21" s="29" t="inlineStr">
        <is>
          <t>⑨</t>
        </is>
      </c>
      <c r="B21" s="30" t="n"/>
      <c r="C21" s="31" t="n"/>
      <c r="D21" s="31" t="n"/>
      <c r="E21" s="31" t="n"/>
      <c r="F21" s="32" t="n"/>
      <c r="G21" s="33">
        <f>IF(OR($B21="",$D21="",$E21=""),"",IF(OR($C21="Target state",$C21="Exception"),"Out of scope",IF($D21="Low","No tranche",IF($E21="Low","Tranche 1",IF($E21="Medium","Tranche 2",IF($D21="High","Tranche 3","No tranche"))))))</f>
        <v/>
      </c>
      <c r="K21" s="40" t="n"/>
      <c r="L21" s="40" t="n"/>
      <c r="M21" s="40" t="n"/>
      <c r="O21">
        <f>IF(AND($B21&lt;&gt;"",$C21&lt;&gt;"Target state",$C21&lt;&gt;"Exception",$D21="High",$E21="Low"),$A21&amp;"  "&amp;$B21,"")</f>
        <v/>
      </c>
      <c r="P21">
        <f>IF(AND($B21&lt;&gt;"",$C21&lt;&gt;"Target state",$C21&lt;&gt;"Exception",$D21="High",$E21="Medium"),$A21&amp;"  "&amp;$B21,"")</f>
        <v/>
      </c>
      <c r="Q21">
        <f>IF(AND($B21&lt;&gt;"",$C21&lt;&gt;"Target state",$C21&lt;&gt;"Exception",$D21="High",$E21="High"),$A21&amp;"  "&amp;$B21,"")</f>
        <v/>
      </c>
      <c r="R21">
        <f>IF(AND($B21&lt;&gt;"",$C21&lt;&gt;"Target state",$C21&lt;&gt;"Exception",$D21="Medium",$E21="Low"),$A21&amp;"  "&amp;$B21,"")</f>
        <v/>
      </c>
      <c r="S21">
        <f>IF(AND($B21&lt;&gt;"",$C21&lt;&gt;"Target state",$C21&lt;&gt;"Exception",$D21="Medium",$E21="Medium"),$A21&amp;"  "&amp;$B21,"")</f>
        <v/>
      </c>
      <c r="T21">
        <f>IF(AND($B21&lt;&gt;"",$C21&lt;&gt;"Target state",$C21&lt;&gt;"Exception",$D21="Medium",$E21="High"),$A21&amp;"  "&amp;$B21,"")</f>
        <v/>
      </c>
      <c r="U21">
        <f>IF(AND($B21&lt;&gt;"",$C21&lt;&gt;"Target state",$C21&lt;&gt;"Exception",$D21="Low",$E21="Low"),$A21&amp;"  "&amp;$B21,"")</f>
        <v/>
      </c>
      <c r="V21">
        <f>IF(AND($B21&lt;&gt;"",$C21&lt;&gt;"Target state",$C21&lt;&gt;"Exception",$D21="Low",$E21="Medium"),$A21&amp;"  "&amp;$B21,"")</f>
        <v/>
      </c>
      <c r="W21">
        <f>IF(AND($B21&lt;&gt;"",$C21&lt;&gt;"Target state",$C21&lt;&gt;"Exception",$D21="Low",$E21="High"),$A21&amp;"  "&amp;$B21,"")</f>
        <v/>
      </c>
    </row>
    <row r="22" ht="20" customHeight="1">
      <c r="A22" s="29" t="inlineStr">
        <is>
          <t>⑩</t>
        </is>
      </c>
      <c r="B22" s="30" t="n"/>
      <c r="C22" s="31" t="n"/>
      <c r="D22" s="31" t="n"/>
      <c r="E22" s="31" t="n"/>
      <c r="F22" s="32" t="n"/>
      <c r="G22" s="33">
        <f>IF(OR($B22="",$D22="",$E22=""),"",IF(OR($C22="Target state",$C22="Exception"),"Out of scope",IF($D22="Low","No tranche",IF($E22="Low","Tranche 1",IF($E22="Medium","Tranche 2",IF($D22="High","Tranche 3","No tranche"))))))</f>
        <v/>
      </c>
      <c r="K22" s="35" t="inlineStr">
        <is>
          <t>Complexity</t>
        </is>
      </c>
      <c r="O22">
        <f>IF(AND($B22&lt;&gt;"",$C22&lt;&gt;"Target state",$C22&lt;&gt;"Exception",$D22="High",$E22="Low"),$A22&amp;"  "&amp;$B22,"")</f>
        <v/>
      </c>
      <c r="P22">
        <f>IF(AND($B22&lt;&gt;"",$C22&lt;&gt;"Target state",$C22&lt;&gt;"Exception",$D22="High",$E22="Medium"),$A22&amp;"  "&amp;$B22,"")</f>
        <v/>
      </c>
      <c r="Q22">
        <f>IF(AND($B22&lt;&gt;"",$C22&lt;&gt;"Target state",$C22&lt;&gt;"Exception",$D22="High",$E22="High"),$A22&amp;"  "&amp;$B22,"")</f>
        <v/>
      </c>
      <c r="R22">
        <f>IF(AND($B22&lt;&gt;"",$C22&lt;&gt;"Target state",$C22&lt;&gt;"Exception",$D22="Medium",$E22="Low"),$A22&amp;"  "&amp;$B22,"")</f>
        <v/>
      </c>
      <c r="S22">
        <f>IF(AND($B22&lt;&gt;"",$C22&lt;&gt;"Target state",$C22&lt;&gt;"Exception",$D22="Medium",$E22="Medium"),$A22&amp;"  "&amp;$B22,"")</f>
        <v/>
      </c>
      <c r="T22">
        <f>IF(AND($B22&lt;&gt;"",$C22&lt;&gt;"Target state",$C22&lt;&gt;"Exception",$D22="Medium",$E22="High"),$A22&amp;"  "&amp;$B22,"")</f>
        <v/>
      </c>
      <c r="U22">
        <f>IF(AND($B22&lt;&gt;"",$C22&lt;&gt;"Target state",$C22&lt;&gt;"Exception",$D22="Low",$E22="Low"),$A22&amp;"  "&amp;$B22,"")</f>
        <v/>
      </c>
      <c r="V22">
        <f>IF(AND($B22&lt;&gt;"",$C22&lt;&gt;"Target state",$C22&lt;&gt;"Exception",$D22="Low",$E22="Medium"),$A22&amp;"  "&amp;$B22,"")</f>
        <v/>
      </c>
      <c r="W22">
        <f>IF(AND($B22&lt;&gt;"",$C22&lt;&gt;"Target state",$C22&lt;&gt;"Exception",$D22="Low",$E22="High"),$A22&amp;"  "&amp;$B22,"")</f>
        <v/>
      </c>
    </row>
    <row r="25" ht="22" customHeight="1">
      <c r="A25" s="24" t="inlineStr">
        <is>
          <t>Payment Apps &amp; SDKs</t>
        </is>
      </c>
      <c r="G25" s="25">
        <f>HYPERLINK("#'Single-in'!A4","▲ tracker")</f>
        <v/>
      </c>
      <c r="K25" s="26" t="inlineStr">
        <is>
          <t>Assessment Outcome</t>
        </is>
      </c>
    </row>
    <row r="26" ht="18" customHeight="1">
      <c r="A26" s="27" t="inlineStr">
        <is>
          <t>#</t>
        </is>
      </c>
      <c r="B26" s="27" t="inlineStr">
        <is>
          <t>Platform</t>
        </is>
      </c>
      <c r="C26" s="27" t="inlineStr">
        <is>
          <t>State</t>
        </is>
      </c>
      <c r="D26" s="27" t="inlineStr">
        <is>
          <t>Imperative to exit</t>
        </is>
      </c>
      <c r="E26" s="27" t="inlineStr">
        <is>
          <t>Exit complexity</t>
        </is>
      </c>
      <c r="F26" s="27" t="inlineStr">
        <is>
          <t>Supporting facts</t>
        </is>
      </c>
      <c r="G26" s="27" t="inlineStr">
        <is>
          <t>Tranche (auto)</t>
        </is>
      </c>
      <c r="K26" s="28" t="inlineStr">
        <is>
          <t>Low</t>
        </is>
      </c>
      <c r="L26" s="28" t="inlineStr">
        <is>
          <t>Medium</t>
        </is>
      </c>
      <c r="M26" s="28" t="inlineStr">
        <is>
          <t>High</t>
        </is>
      </c>
    </row>
    <row r="27" ht="20" customHeight="1">
      <c r="A27" s="29" t="inlineStr">
        <is>
          <t>①</t>
        </is>
      </c>
      <c r="B27" s="30" t="n"/>
      <c r="C27" s="31" t="n"/>
      <c r="D27" s="31" t="n"/>
      <c r="E27" s="31" t="n"/>
      <c r="F27" s="32" t="n"/>
      <c r="G27" s="33">
        <f>IF(OR($B27="",$D27="",$E27=""),"",IF(OR($C27="Target state",$C27="Exception"),"Out of scope",IF($D27="Low","No tranche",IF($E27="Low","Tranche 1",IF($E27="Medium","Tranche 2",IF($D27="High","Tranche 3","No tranche"))))))</f>
        <v/>
      </c>
      <c r="I27" s="34" t="inlineStr">
        <is>
          <t>Benefits</t>
        </is>
      </c>
      <c r="J27" s="35" t="inlineStr">
        <is>
          <t>High</t>
        </is>
      </c>
      <c r="K27" s="36">
        <f>"Tranche 1"&amp;CHAR(10)&amp;_xlfn.TEXTJOIN(CHAR(10),TRUE,O$27:O$36)</f>
        <v/>
      </c>
      <c r="L27" s="37">
        <f>"Tranche 2"&amp;CHAR(10)&amp;_xlfn.TEXTJOIN(CHAR(10),TRUE,P$27:P$36)</f>
        <v/>
      </c>
      <c r="M27" s="38">
        <f>"Tranche 3"&amp;CHAR(10)&amp;_xlfn.TEXTJOIN(CHAR(10),TRUE,Q$27:Q$36)</f>
        <v/>
      </c>
      <c r="O27">
        <f>IF(AND($B27&lt;&gt;"",$C27&lt;&gt;"Target state",$C27&lt;&gt;"Exception",$D27="High",$E27="Low"),$A27&amp;"  "&amp;$B27,"")</f>
        <v/>
      </c>
      <c r="P27">
        <f>IF(AND($B27&lt;&gt;"",$C27&lt;&gt;"Target state",$C27&lt;&gt;"Exception",$D27="High",$E27="Medium"),$A27&amp;"  "&amp;$B27,"")</f>
        <v/>
      </c>
      <c r="Q27">
        <f>IF(AND($B27&lt;&gt;"",$C27&lt;&gt;"Target state",$C27&lt;&gt;"Exception",$D27="High",$E27="High"),$A27&amp;"  "&amp;$B27,"")</f>
        <v/>
      </c>
      <c r="R27">
        <f>IF(AND($B27&lt;&gt;"",$C27&lt;&gt;"Target state",$C27&lt;&gt;"Exception",$D27="Medium",$E27="Low"),$A27&amp;"  "&amp;$B27,"")</f>
        <v/>
      </c>
      <c r="S27">
        <f>IF(AND($B27&lt;&gt;"",$C27&lt;&gt;"Target state",$C27&lt;&gt;"Exception",$D27="Medium",$E27="Medium"),$A27&amp;"  "&amp;$B27,"")</f>
        <v/>
      </c>
      <c r="T27">
        <f>IF(AND($B27&lt;&gt;"",$C27&lt;&gt;"Target state",$C27&lt;&gt;"Exception",$D27="Medium",$E27="High"),$A27&amp;"  "&amp;$B27,"")</f>
        <v/>
      </c>
      <c r="U27">
        <f>IF(AND($B27&lt;&gt;"",$C27&lt;&gt;"Target state",$C27&lt;&gt;"Exception",$D27="Low",$E27="Low"),$A27&amp;"  "&amp;$B27,"")</f>
        <v/>
      </c>
      <c r="V27">
        <f>IF(AND($B27&lt;&gt;"",$C27&lt;&gt;"Target state",$C27&lt;&gt;"Exception",$D27="Low",$E27="Medium"),$A27&amp;"  "&amp;$B27,"")</f>
        <v/>
      </c>
      <c r="W27">
        <f>IF(AND($B27&lt;&gt;"",$C27&lt;&gt;"Target state",$C27&lt;&gt;"Exception",$D27="Low",$E27="High"),$A27&amp;"  "&amp;$B27,"")</f>
        <v/>
      </c>
    </row>
    <row r="28" ht="20" customHeight="1">
      <c r="A28" s="29" t="inlineStr">
        <is>
          <t>②</t>
        </is>
      </c>
      <c r="B28" s="30" t="n"/>
      <c r="C28" s="31" t="n"/>
      <c r="D28" s="31" t="n"/>
      <c r="E28" s="31" t="n"/>
      <c r="F28" s="32" t="n"/>
      <c r="G28" s="33">
        <f>IF(OR($B28="",$D28="",$E28=""),"",IF(OR($C28="Target state",$C28="Exception"),"Out of scope",IF($D28="Low","No tranche",IF($E28="Low","Tranche 1",IF($E28="Medium","Tranche 2",IF($D28="High","Tranche 3","No tranche"))))))</f>
        <v/>
      </c>
      <c r="K28" s="39" t="n"/>
      <c r="L28" s="39" t="n"/>
      <c r="M28" s="39" t="n"/>
      <c r="O28">
        <f>IF(AND($B28&lt;&gt;"",$C28&lt;&gt;"Target state",$C28&lt;&gt;"Exception",$D28="High",$E28="Low"),$A28&amp;"  "&amp;$B28,"")</f>
        <v/>
      </c>
      <c r="P28">
        <f>IF(AND($B28&lt;&gt;"",$C28&lt;&gt;"Target state",$C28&lt;&gt;"Exception",$D28="High",$E28="Medium"),$A28&amp;"  "&amp;$B28,"")</f>
        <v/>
      </c>
      <c r="Q28">
        <f>IF(AND($B28&lt;&gt;"",$C28&lt;&gt;"Target state",$C28&lt;&gt;"Exception",$D28="High",$E28="High"),$A28&amp;"  "&amp;$B28,"")</f>
        <v/>
      </c>
      <c r="R28">
        <f>IF(AND($B28&lt;&gt;"",$C28&lt;&gt;"Target state",$C28&lt;&gt;"Exception",$D28="Medium",$E28="Low"),$A28&amp;"  "&amp;$B28,"")</f>
        <v/>
      </c>
      <c r="S28">
        <f>IF(AND($B28&lt;&gt;"",$C28&lt;&gt;"Target state",$C28&lt;&gt;"Exception",$D28="Medium",$E28="Medium"),$A28&amp;"  "&amp;$B28,"")</f>
        <v/>
      </c>
      <c r="T28">
        <f>IF(AND($B28&lt;&gt;"",$C28&lt;&gt;"Target state",$C28&lt;&gt;"Exception",$D28="Medium",$E28="High"),$A28&amp;"  "&amp;$B28,"")</f>
        <v/>
      </c>
      <c r="U28">
        <f>IF(AND($B28&lt;&gt;"",$C28&lt;&gt;"Target state",$C28&lt;&gt;"Exception",$D28="Low",$E28="Low"),$A28&amp;"  "&amp;$B28,"")</f>
        <v/>
      </c>
      <c r="V28">
        <f>IF(AND($B28&lt;&gt;"",$C28&lt;&gt;"Target state",$C28&lt;&gt;"Exception",$D28="Low",$E28="Medium"),$A28&amp;"  "&amp;$B28,"")</f>
        <v/>
      </c>
      <c r="W28">
        <f>IF(AND($B28&lt;&gt;"",$C28&lt;&gt;"Target state",$C28&lt;&gt;"Exception",$D28="Low",$E28="High"),$A28&amp;"  "&amp;$B28,"")</f>
        <v/>
      </c>
    </row>
    <row r="29" ht="20" customHeight="1">
      <c r="A29" s="29" t="inlineStr">
        <is>
          <t>③</t>
        </is>
      </c>
      <c r="B29" s="30" t="n"/>
      <c r="C29" s="31" t="n"/>
      <c r="D29" s="31" t="n"/>
      <c r="E29" s="31" t="n"/>
      <c r="F29" s="32" t="n"/>
      <c r="G29" s="33">
        <f>IF(OR($B29="",$D29="",$E29=""),"",IF(OR($C29="Target state",$C29="Exception"),"Out of scope",IF($D29="Low","No tranche",IF($E29="Low","Tranche 1",IF($E29="Medium","Tranche 2",IF($D29="High","Tranche 3","No tranche"))))))</f>
        <v/>
      </c>
      <c r="K29" s="40" t="n"/>
      <c r="L29" s="40" t="n"/>
      <c r="M29" s="40" t="n"/>
      <c r="O29">
        <f>IF(AND($B29&lt;&gt;"",$C29&lt;&gt;"Target state",$C29&lt;&gt;"Exception",$D29="High",$E29="Low"),$A29&amp;"  "&amp;$B29,"")</f>
        <v/>
      </c>
      <c r="P29">
        <f>IF(AND($B29&lt;&gt;"",$C29&lt;&gt;"Target state",$C29&lt;&gt;"Exception",$D29="High",$E29="Medium"),$A29&amp;"  "&amp;$B29,"")</f>
        <v/>
      </c>
      <c r="Q29">
        <f>IF(AND($B29&lt;&gt;"",$C29&lt;&gt;"Target state",$C29&lt;&gt;"Exception",$D29="High",$E29="High"),$A29&amp;"  "&amp;$B29,"")</f>
        <v/>
      </c>
      <c r="R29">
        <f>IF(AND($B29&lt;&gt;"",$C29&lt;&gt;"Target state",$C29&lt;&gt;"Exception",$D29="Medium",$E29="Low"),$A29&amp;"  "&amp;$B29,"")</f>
        <v/>
      </c>
      <c r="S29">
        <f>IF(AND($B29&lt;&gt;"",$C29&lt;&gt;"Target state",$C29&lt;&gt;"Exception",$D29="Medium",$E29="Medium"),$A29&amp;"  "&amp;$B29,"")</f>
        <v/>
      </c>
      <c r="T29">
        <f>IF(AND($B29&lt;&gt;"",$C29&lt;&gt;"Target state",$C29&lt;&gt;"Exception",$D29="Medium",$E29="High"),$A29&amp;"  "&amp;$B29,"")</f>
        <v/>
      </c>
      <c r="U29">
        <f>IF(AND($B29&lt;&gt;"",$C29&lt;&gt;"Target state",$C29&lt;&gt;"Exception",$D29="Low",$E29="Low"),$A29&amp;"  "&amp;$B29,"")</f>
        <v/>
      </c>
      <c r="V29">
        <f>IF(AND($B29&lt;&gt;"",$C29&lt;&gt;"Target state",$C29&lt;&gt;"Exception",$D29="Low",$E29="Medium"),$A29&amp;"  "&amp;$B29,"")</f>
        <v/>
      </c>
      <c r="W29">
        <f>IF(AND($B29&lt;&gt;"",$C29&lt;&gt;"Target state",$C29&lt;&gt;"Exception",$D29="Low",$E29="High"),$A29&amp;"  "&amp;$B29,"")</f>
        <v/>
      </c>
    </row>
    <row r="30" ht="20" customHeight="1">
      <c r="A30" s="29" t="inlineStr">
        <is>
          <t>④</t>
        </is>
      </c>
      <c r="B30" s="30" t="n"/>
      <c r="C30" s="31" t="n"/>
      <c r="D30" s="31" t="n"/>
      <c r="E30" s="31" t="n"/>
      <c r="F30" s="32" t="n"/>
      <c r="G30" s="33">
        <f>IF(OR($B30="",$D30="",$E30=""),"",IF(OR($C30="Target state",$C30="Exception"),"Out of scope",IF($D30="Low","No tranche",IF($E30="Low","Tranche 1",IF($E30="Medium","Tranche 2",IF($D30="High","Tranche 3","No tranche"))))))</f>
        <v/>
      </c>
      <c r="J30" s="35" t="inlineStr">
        <is>
          <t>Medium</t>
        </is>
      </c>
      <c r="K30" s="36">
        <f>"Tranche 1"&amp;CHAR(10)&amp;_xlfn.TEXTJOIN(CHAR(10),TRUE,R$27:R$36)</f>
        <v/>
      </c>
      <c r="L30" s="37">
        <f>"Tranche 2"&amp;CHAR(10)&amp;_xlfn.TEXTJOIN(CHAR(10),TRUE,S$27:S$36)</f>
        <v/>
      </c>
      <c r="M30" s="41">
        <f>_xlfn.TEXTJOIN(CHAR(10),TRUE,T$27:T$36)</f>
        <v/>
      </c>
      <c r="O30">
        <f>IF(AND($B30&lt;&gt;"",$C30&lt;&gt;"Target state",$C30&lt;&gt;"Exception",$D30="High",$E30="Low"),$A30&amp;"  "&amp;$B30,"")</f>
        <v/>
      </c>
      <c r="P30">
        <f>IF(AND($B30&lt;&gt;"",$C30&lt;&gt;"Target state",$C30&lt;&gt;"Exception",$D30="High",$E30="Medium"),$A30&amp;"  "&amp;$B30,"")</f>
        <v/>
      </c>
      <c r="Q30">
        <f>IF(AND($B30&lt;&gt;"",$C30&lt;&gt;"Target state",$C30&lt;&gt;"Exception",$D30="High",$E30="High"),$A30&amp;"  "&amp;$B30,"")</f>
        <v/>
      </c>
      <c r="R30">
        <f>IF(AND($B30&lt;&gt;"",$C30&lt;&gt;"Target state",$C30&lt;&gt;"Exception",$D30="Medium",$E30="Low"),$A30&amp;"  "&amp;$B30,"")</f>
        <v/>
      </c>
      <c r="S30">
        <f>IF(AND($B30&lt;&gt;"",$C30&lt;&gt;"Target state",$C30&lt;&gt;"Exception",$D30="Medium",$E30="Medium"),$A30&amp;"  "&amp;$B30,"")</f>
        <v/>
      </c>
      <c r="T30">
        <f>IF(AND($B30&lt;&gt;"",$C30&lt;&gt;"Target state",$C30&lt;&gt;"Exception",$D30="Medium",$E30="High"),$A30&amp;"  "&amp;$B30,"")</f>
        <v/>
      </c>
      <c r="U30">
        <f>IF(AND($B30&lt;&gt;"",$C30&lt;&gt;"Target state",$C30&lt;&gt;"Exception",$D30="Low",$E30="Low"),$A30&amp;"  "&amp;$B30,"")</f>
        <v/>
      </c>
      <c r="V30">
        <f>IF(AND($B30&lt;&gt;"",$C30&lt;&gt;"Target state",$C30&lt;&gt;"Exception",$D30="Low",$E30="Medium"),$A30&amp;"  "&amp;$B30,"")</f>
        <v/>
      </c>
      <c r="W30">
        <f>IF(AND($B30&lt;&gt;"",$C30&lt;&gt;"Target state",$C30&lt;&gt;"Exception",$D30="Low",$E30="High"),$A30&amp;"  "&amp;$B30,"")</f>
        <v/>
      </c>
    </row>
    <row r="31" ht="20" customHeight="1">
      <c r="A31" s="29" t="inlineStr">
        <is>
          <t>⑤</t>
        </is>
      </c>
      <c r="B31" s="30" t="n"/>
      <c r="C31" s="31" t="n"/>
      <c r="D31" s="31" t="n"/>
      <c r="E31" s="31" t="n"/>
      <c r="F31" s="32" t="n"/>
      <c r="G31" s="33">
        <f>IF(OR($B31="",$D31="",$E31=""),"",IF(OR($C31="Target state",$C31="Exception"),"Out of scope",IF($D31="Low","No tranche",IF($E31="Low","Tranche 1",IF($E31="Medium","Tranche 2",IF($D31="High","Tranche 3","No tranche"))))))</f>
        <v/>
      </c>
      <c r="K31" s="39" t="n"/>
      <c r="L31" s="39" t="n"/>
      <c r="M31" s="39" t="n"/>
      <c r="O31">
        <f>IF(AND($B31&lt;&gt;"",$C31&lt;&gt;"Target state",$C31&lt;&gt;"Exception",$D31="High",$E31="Low"),$A31&amp;"  "&amp;$B31,"")</f>
        <v/>
      </c>
      <c r="P31">
        <f>IF(AND($B31&lt;&gt;"",$C31&lt;&gt;"Target state",$C31&lt;&gt;"Exception",$D31="High",$E31="Medium"),$A31&amp;"  "&amp;$B31,"")</f>
        <v/>
      </c>
      <c r="Q31">
        <f>IF(AND($B31&lt;&gt;"",$C31&lt;&gt;"Target state",$C31&lt;&gt;"Exception",$D31="High",$E31="High"),$A31&amp;"  "&amp;$B31,"")</f>
        <v/>
      </c>
      <c r="R31">
        <f>IF(AND($B31&lt;&gt;"",$C31&lt;&gt;"Target state",$C31&lt;&gt;"Exception",$D31="Medium",$E31="Low"),$A31&amp;"  "&amp;$B31,"")</f>
        <v/>
      </c>
      <c r="S31">
        <f>IF(AND($B31&lt;&gt;"",$C31&lt;&gt;"Target state",$C31&lt;&gt;"Exception",$D31="Medium",$E31="Medium"),$A31&amp;"  "&amp;$B31,"")</f>
        <v/>
      </c>
      <c r="T31">
        <f>IF(AND($B31&lt;&gt;"",$C31&lt;&gt;"Target state",$C31&lt;&gt;"Exception",$D31="Medium",$E31="High"),$A31&amp;"  "&amp;$B31,"")</f>
        <v/>
      </c>
      <c r="U31">
        <f>IF(AND($B31&lt;&gt;"",$C31&lt;&gt;"Target state",$C31&lt;&gt;"Exception",$D31="Low",$E31="Low"),$A31&amp;"  "&amp;$B31,"")</f>
        <v/>
      </c>
      <c r="V31">
        <f>IF(AND($B31&lt;&gt;"",$C31&lt;&gt;"Target state",$C31&lt;&gt;"Exception",$D31="Low",$E31="Medium"),$A31&amp;"  "&amp;$B31,"")</f>
        <v/>
      </c>
      <c r="W31">
        <f>IF(AND($B31&lt;&gt;"",$C31&lt;&gt;"Target state",$C31&lt;&gt;"Exception",$D31="Low",$E31="High"),$A31&amp;"  "&amp;$B31,"")</f>
        <v/>
      </c>
    </row>
    <row r="32" ht="20" customHeight="1">
      <c r="A32" s="29" t="inlineStr">
        <is>
          <t>⑥</t>
        </is>
      </c>
      <c r="B32" s="30" t="n"/>
      <c r="C32" s="31" t="n"/>
      <c r="D32" s="31" t="n"/>
      <c r="E32" s="31" t="n"/>
      <c r="F32" s="32" t="n"/>
      <c r="G32" s="33">
        <f>IF(OR($B32="",$D32="",$E32=""),"",IF(OR($C32="Target state",$C32="Exception"),"Out of scope",IF($D32="Low","No tranche",IF($E32="Low","Tranche 1",IF($E32="Medium","Tranche 2",IF($D32="High","Tranche 3","No tranche"))))))</f>
        <v/>
      </c>
      <c r="K32" s="40" t="n"/>
      <c r="L32" s="40" t="n"/>
      <c r="M32" s="40" t="n"/>
      <c r="O32">
        <f>IF(AND($B32&lt;&gt;"",$C32&lt;&gt;"Target state",$C32&lt;&gt;"Exception",$D32="High",$E32="Low"),$A32&amp;"  "&amp;$B32,"")</f>
        <v/>
      </c>
      <c r="P32">
        <f>IF(AND($B32&lt;&gt;"",$C32&lt;&gt;"Target state",$C32&lt;&gt;"Exception",$D32="High",$E32="Medium"),$A32&amp;"  "&amp;$B32,"")</f>
        <v/>
      </c>
      <c r="Q32">
        <f>IF(AND($B32&lt;&gt;"",$C32&lt;&gt;"Target state",$C32&lt;&gt;"Exception",$D32="High",$E32="High"),$A32&amp;"  "&amp;$B32,"")</f>
        <v/>
      </c>
      <c r="R32">
        <f>IF(AND($B32&lt;&gt;"",$C32&lt;&gt;"Target state",$C32&lt;&gt;"Exception",$D32="Medium",$E32="Low"),$A32&amp;"  "&amp;$B32,"")</f>
        <v/>
      </c>
      <c r="S32">
        <f>IF(AND($B32&lt;&gt;"",$C32&lt;&gt;"Target state",$C32&lt;&gt;"Exception",$D32="Medium",$E32="Medium"),$A32&amp;"  "&amp;$B32,"")</f>
        <v/>
      </c>
      <c r="T32">
        <f>IF(AND($B32&lt;&gt;"",$C32&lt;&gt;"Target state",$C32&lt;&gt;"Exception",$D32="Medium",$E32="High"),$A32&amp;"  "&amp;$B32,"")</f>
        <v/>
      </c>
      <c r="U32">
        <f>IF(AND($B32&lt;&gt;"",$C32&lt;&gt;"Target state",$C32&lt;&gt;"Exception",$D32="Low",$E32="Low"),$A32&amp;"  "&amp;$B32,"")</f>
        <v/>
      </c>
      <c r="V32">
        <f>IF(AND($B32&lt;&gt;"",$C32&lt;&gt;"Target state",$C32&lt;&gt;"Exception",$D32="Low",$E32="Medium"),$A32&amp;"  "&amp;$B32,"")</f>
        <v/>
      </c>
      <c r="W32">
        <f>IF(AND($B32&lt;&gt;"",$C32&lt;&gt;"Target state",$C32&lt;&gt;"Exception",$D32="Low",$E32="High"),$A32&amp;"  "&amp;$B32,"")</f>
        <v/>
      </c>
    </row>
    <row r="33" ht="20" customHeight="1">
      <c r="A33" s="29" t="inlineStr">
        <is>
          <t>⑦</t>
        </is>
      </c>
      <c r="B33" s="30" t="n"/>
      <c r="C33" s="31" t="n"/>
      <c r="D33" s="31" t="n"/>
      <c r="E33" s="31" t="n"/>
      <c r="F33" s="32" t="n"/>
      <c r="G33" s="33">
        <f>IF(OR($B33="",$D33="",$E33=""),"",IF(OR($C33="Target state",$C33="Exception"),"Out of scope",IF($D33="Low","No tranche",IF($E33="Low","Tranche 1",IF($E33="Medium","Tranche 2",IF($D33="High","Tranche 3","No tranche"))))))</f>
        <v/>
      </c>
      <c r="J33" s="35" t="inlineStr">
        <is>
          <t>Low</t>
        </is>
      </c>
      <c r="K33" s="41">
        <f>_xlfn.TEXTJOIN(CHAR(10),TRUE,U$27:U$36)</f>
        <v/>
      </c>
      <c r="L33" s="41">
        <f>_xlfn.TEXTJOIN(CHAR(10),TRUE,V$27:V$36)</f>
        <v/>
      </c>
      <c r="M33" s="41">
        <f>_xlfn.TEXTJOIN(CHAR(10),TRUE,W$27:W$36)</f>
        <v/>
      </c>
      <c r="O33">
        <f>IF(AND($B33&lt;&gt;"",$C33&lt;&gt;"Target state",$C33&lt;&gt;"Exception",$D33="High",$E33="Low"),$A33&amp;"  "&amp;$B33,"")</f>
        <v/>
      </c>
      <c r="P33">
        <f>IF(AND($B33&lt;&gt;"",$C33&lt;&gt;"Target state",$C33&lt;&gt;"Exception",$D33="High",$E33="Medium"),$A33&amp;"  "&amp;$B33,"")</f>
        <v/>
      </c>
      <c r="Q33">
        <f>IF(AND($B33&lt;&gt;"",$C33&lt;&gt;"Target state",$C33&lt;&gt;"Exception",$D33="High",$E33="High"),$A33&amp;"  "&amp;$B33,"")</f>
        <v/>
      </c>
      <c r="R33">
        <f>IF(AND($B33&lt;&gt;"",$C33&lt;&gt;"Target state",$C33&lt;&gt;"Exception",$D33="Medium",$E33="Low"),$A33&amp;"  "&amp;$B33,"")</f>
        <v/>
      </c>
      <c r="S33">
        <f>IF(AND($B33&lt;&gt;"",$C33&lt;&gt;"Target state",$C33&lt;&gt;"Exception",$D33="Medium",$E33="Medium"),$A33&amp;"  "&amp;$B33,"")</f>
        <v/>
      </c>
      <c r="T33">
        <f>IF(AND($B33&lt;&gt;"",$C33&lt;&gt;"Target state",$C33&lt;&gt;"Exception",$D33="Medium",$E33="High"),$A33&amp;"  "&amp;$B33,"")</f>
        <v/>
      </c>
      <c r="U33">
        <f>IF(AND($B33&lt;&gt;"",$C33&lt;&gt;"Target state",$C33&lt;&gt;"Exception",$D33="Low",$E33="Low"),$A33&amp;"  "&amp;$B33,"")</f>
        <v/>
      </c>
      <c r="V33">
        <f>IF(AND($B33&lt;&gt;"",$C33&lt;&gt;"Target state",$C33&lt;&gt;"Exception",$D33="Low",$E33="Medium"),$A33&amp;"  "&amp;$B33,"")</f>
        <v/>
      </c>
      <c r="W33">
        <f>IF(AND($B33&lt;&gt;"",$C33&lt;&gt;"Target state",$C33&lt;&gt;"Exception",$D33="Low",$E33="High"),$A33&amp;"  "&amp;$B33,"")</f>
        <v/>
      </c>
    </row>
    <row r="34" ht="20" customHeight="1">
      <c r="A34" s="29" t="inlineStr">
        <is>
          <t>⑧</t>
        </is>
      </c>
      <c r="B34" s="30" t="n"/>
      <c r="C34" s="31" t="n"/>
      <c r="D34" s="31" t="n"/>
      <c r="E34" s="31" t="n"/>
      <c r="F34" s="32" t="n"/>
      <c r="G34" s="33">
        <f>IF(OR($B34="",$D34="",$E34=""),"",IF(OR($C34="Target state",$C34="Exception"),"Out of scope",IF($D34="Low","No tranche",IF($E34="Low","Tranche 1",IF($E34="Medium","Tranche 2",IF($D34="High","Tranche 3","No tranche"))))))</f>
        <v/>
      </c>
      <c r="K34" s="39" t="n"/>
      <c r="L34" s="39" t="n"/>
      <c r="M34" s="39" t="n"/>
      <c r="O34">
        <f>IF(AND($B34&lt;&gt;"",$C34&lt;&gt;"Target state",$C34&lt;&gt;"Exception",$D34="High",$E34="Low"),$A34&amp;"  "&amp;$B34,"")</f>
        <v/>
      </c>
      <c r="P34">
        <f>IF(AND($B34&lt;&gt;"",$C34&lt;&gt;"Target state",$C34&lt;&gt;"Exception",$D34="High",$E34="Medium"),$A34&amp;"  "&amp;$B34,"")</f>
        <v/>
      </c>
      <c r="Q34">
        <f>IF(AND($B34&lt;&gt;"",$C34&lt;&gt;"Target state",$C34&lt;&gt;"Exception",$D34="High",$E34="High"),$A34&amp;"  "&amp;$B34,"")</f>
        <v/>
      </c>
      <c r="R34">
        <f>IF(AND($B34&lt;&gt;"",$C34&lt;&gt;"Target state",$C34&lt;&gt;"Exception",$D34="Medium",$E34="Low"),$A34&amp;"  "&amp;$B34,"")</f>
        <v/>
      </c>
      <c r="S34">
        <f>IF(AND($B34&lt;&gt;"",$C34&lt;&gt;"Target state",$C34&lt;&gt;"Exception",$D34="Medium",$E34="Medium"),$A34&amp;"  "&amp;$B34,"")</f>
        <v/>
      </c>
      <c r="T34">
        <f>IF(AND($B34&lt;&gt;"",$C34&lt;&gt;"Target state",$C34&lt;&gt;"Exception",$D34="Medium",$E34="High"),$A34&amp;"  "&amp;$B34,"")</f>
        <v/>
      </c>
      <c r="U34">
        <f>IF(AND($B34&lt;&gt;"",$C34&lt;&gt;"Target state",$C34&lt;&gt;"Exception",$D34="Low",$E34="Low"),$A34&amp;"  "&amp;$B34,"")</f>
        <v/>
      </c>
      <c r="V34">
        <f>IF(AND($B34&lt;&gt;"",$C34&lt;&gt;"Target state",$C34&lt;&gt;"Exception",$D34="Low",$E34="Medium"),$A34&amp;"  "&amp;$B34,"")</f>
        <v/>
      </c>
      <c r="W34">
        <f>IF(AND($B34&lt;&gt;"",$C34&lt;&gt;"Target state",$C34&lt;&gt;"Exception",$D34="Low",$E34="High"),$A34&amp;"  "&amp;$B34,"")</f>
        <v/>
      </c>
    </row>
    <row r="35" ht="20" customHeight="1">
      <c r="A35" s="29" t="inlineStr">
        <is>
          <t>⑨</t>
        </is>
      </c>
      <c r="B35" s="30" t="n"/>
      <c r="C35" s="31" t="n"/>
      <c r="D35" s="31" t="n"/>
      <c r="E35" s="31" t="n"/>
      <c r="F35" s="32" t="n"/>
      <c r="G35" s="33">
        <f>IF(OR($B35="",$D35="",$E35=""),"",IF(OR($C35="Target state",$C35="Exception"),"Out of scope",IF($D35="Low","No tranche",IF($E35="Low","Tranche 1",IF($E35="Medium","Tranche 2",IF($D35="High","Tranche 3","No tranche"))))))</f>
        <v/>
      </c>
      <c r="K35" s="40" t="n"/>
      <c r="L35" s="40" t="n"/>
      <c r="M35" s="40" t="n"/>
      <c r="O35">
        <f>IF(AND($B35&lt;&gt;"",$C35&lt;&gt;"Target state",$C35&lt;&gt;"Exception",$D35="High",$E35="Low"),$A35&amp;"  "&amp;$B35,"")</f>
        <v/>
      </c>
      <c r="P35">
        <f>IF(AND($B35&lt;&gt;"",$C35&lt;&gt;"Target state",$C35&lt;&gt;"Exception",$D35="High",$E35="Medium"),$A35&amp;"  "&amp;$B35,"")</f>
        <v/>
      </c>
      <c r="Q35">
        <f>IF(AND($B35&lt;&gt;"",$C35&lt;&gt;"Target state",$C35&lt;&gt;"Exception",$D35="High",$E35="High"),$A35&amp;"  "&amp;$B35,"")</f>
        <v/>
      </c>
      <c r="R35">
        <f>IF(AND($B35&lt;&gt;"",$C35&lt;&gt;"Target state",$C35&lt;&gt;"Exception",$D35="Medium",$E35="Low"),$A35&amp;"  "&amp;$B35,"")</f>
        <v/>
      </c>
      <c r="S35">
        <f>IF(AND($B35&lt;&gt;"",$C35&lt;&gt;"Target state",$C35&lt;&gt;"Exception",$D35="Medium",$E35="Medium"),$A35&amp;"  "&amp;$B35,"")</f>
        <v/>
      </c>
      <c r="T35">
        <f>IF(AND($B35&lt;&gt;"",$C35&lt;&gt;"Target state",$C35&lt;&gt;"Exception",$D35="Medium",$E35="High"),$A35&amp;"  "&amp;$B35,"")</f>
        <v/>
      </c>
      <c r="U35">
        <f>IF(AND($B35&lt;&gt;"",$C35&lt;&gt;"Target state",$C35&lt;&gt;"Exception",$D35="Low",$E35="Low"),$A35&amp;"  "&amp;$B35,"")</f>
        <v/>
      </c>
      <c r="V35">
        <f>IF(AND($B35&lt;&gt;"",$C35&lt;&gt;"Target state",$C35&lt;&gt;"Exception",$D35="Low",$E35="Medium"),$A35&amp;"  "&amp;$B35,"")</f>
        <v/>
      </c>
      <c r="W35">
        <f>IF(AND($B35&lt;&gt;"",$C35&lt;&gt;"Target state",$C35&lt;&gt;"Exception",$D35="Low",$E35="High"),$A35&amp;"  "&amp;$B35,"")</f>
        <v/>
      </c>
    </row>
    <row r="36" ht="20" customHeight="1">
      <c r="A36" s="29" t="inlineStr">
        <is>
          <t>⑩</t>
        </is>
      </c>
      <c r="B36" s="30" t="n"/>
      <c r="C36" s="31" t="n"/>
      <c r="D36" s="31" t="n"/>
      <c r="E36" s="31" t="n"/>
      <c r="F36" s="32" t="n"/>
      <c r="G36" s="33">
        <f>IF(OR($B36="",$D36="",$E36=""),"",IF(OR($C36="Target state",$C36="Exception"),"Out of scope",IF($D36="Low","No tranche",IF($E36="Low","Tranche 1",IF($E36="Medium","Tranche 2",IF($D36="High","Tranche 3","No tranche"))))))</f>
        <v/>
      </c>
      <c r="K36" s="35" t="inlineStr">
        <is>
          <t>Complexity</t>
        </is>
      </c>
      <c r="O36">
        <f>IF(AND($B36&lt;&gt;"",$C36&lt;&gt;"Target state",$C36&lt;&gt;"Exception",$D36="High",$E36="Low"),$A36&amp;"  "&amp;$B36,"")</f>
        <v/>
      </c>
      <c r="P36">
        <f>IF(AND($B36&lt;&gt;"",$C36&lt;&gt;"Target state",$C36&lt;&gt;"Exception",$D36="High",$E36="Medium"),$A36&amp;"  "&amp;$B36,"")</f>
        <v/>
      </c>
      <c r="Q36">
        <f>IF(AND($B36&lt;&gt;"",$C36&lt;&gt;"Target state",$C36&lt;&gt;"Exception",$D36="High",$E36="High"),$A36&amp;"  "&amp;$B36,"")</f>
        <v/>
      </c>
      <c r="R36">
        <f>IF(AND($B36&lt;&gt;"",$C36&lt;&gt;"Target state",$C36&lt;&gt;"Exception",$D36="Medium",$E36="Low"),$A36&amp;"  "&amp;$B36,"")</f>
        <v/>
      </c>
      <c r="S36">
        <f>IF(AND($B36&lt;&gt;"",$C36&lt;&gt;"Target state",$C36&lt;&gt;"Exception",$D36="Medium",$E36="Medium"),$A36&amp;"  "&amp;$B36,"")</f>
        <v/>
      </c>
      <c r="T36">
        <f>IF(AND($B36&lt;&gt;"",$C36&lt;&gt;"Target state",$C36&lt;&gt;"Exception",$D36="Medium",$E36="High"),$A36&amp;"  "&amp;$B36,"")</f>
        <v/>
      </c>
      <c r="U36">
        <f>IF(AND($B36&lt;&gt;"",$C36&lt;&gt;"Target state",$C36&lt;&gt;"Exception",$D36="Low",$E36="Low"),$A36&amp;"  "&amp;$B36,"")</f>
        <v/>
      </c>
      <c r="V36">
        <f>IF(AND($B36&lt;&gt;"",$C36&lt;&gt;"Target state",$C36&lt;&gt;"Exception",$D36="Low",$E36="Medium"),$A36&amp;"  "&amp;$B36,"")</f>
        <v/>
      </c>
      <c r="W36">
        <f>IF(AND($B36&lt;&gt;"",$C36&lt;&gt;"Target state",$C36&lt;&gt;"Exception",$D36="Low",$E36="High"),$A36&amp;"  "&amp;$B36,"")</f>
        <v/>
      </c>
    </row>
    <row r="39" ht="22" customHeight="1">
      <c r="A39" s="24" t="inlineStr">
        <is>
          <t>Developer Experience</t>
        </is>
      </c>
      <c r="G39" s="25">
        <f>HYPERLINK("#'Single-in'!A4","▲ tracker")</f>
        <v/>
      </c>
      <c r="K39" s="26" t="inlineStr">
        <is>
          <t>Assessment Outcome</t>
        </is>
      </c>
    </row>
    <row r="40" ht="18" customHeight="1">
      <c r="A40" s="27" t="inlineStr">
        <is>
          <t>#</t>
        </is>
      </c>
      <c r="B40" s="27" t="inlineStr">
        <is>
          <t>Platform</t>
        </is>
      </c>
      <c r="C40" s="27" t="inlineStr">
        <is>
          <t>State</t>
        </is>
      </c>
      <c r="D40" s="27" t="inlineStr">
        <is>
          <t>Imperative to exit</t>
        </is>
      </c>
      <c r="E40" s="27" t="inlineStr">
        <is>
          <t>Exit complexity</t>
        </is>
      </c>
      <c r="F40" s="27" t="inlineStr">
        <is>
          <t>Supporting facts</t>
        </is>
      </c>
      <c r="G40" s="27" t="inlineStr">
        <is>
          <t>Tranche (auto)</t>
        </is>
      </c>
      <c r="K40" s="28" t="inlineStr">
        <is>
          <t>Low</t>
        </is>
      </c>
      <c r="L40" s="28" t="inlineStr">
        <is>
          <t>Medium</t>
        </is>
      </c>
      <c r="M40" s="28" t="inlineStr">
        <is>
          <t>High</t>
        </is>
      </c>
    </row>
    <row r="41" ht="20" customHeight="1">
      <c r="A41" s="29" t="inlineStr">
        <is>
          <t>①</t>
        </is>
      </c>
      <c r="B41" s="30" t="n"/>
      <c r="C41" s="31" t="n"/>
      <c r="D41" s="31" t="n"/>
      <c r="E41" s="31" t="n"/>
      <c r="F41" s="32" t="n"/>
      <c r="G41" s="33">
        <f>IF(OR($B41="",$D41="",$E41=""),"",IF(OR($C41="Target state",$C41="Exception"),"Out of scope",IF($D41="Low","No tranche",IF($E41="Low","Tranche 1",IF($E41="Medium","Tranche 2",IF($D41="High","Tranche 3","No tranche"))))))</f>
        <v/>
      </c>
      <c r="I41" s="34" t="inlineStr">
        <is>
          <t>Benefits</t>
        </is>
      </c>
      <c r="J41" s="35" t="inlineStr">
        <is>
          <t>High</t>
        </is>
      </c>
      <c r="K41" s="36">
        <f>"Tranche 1"&amp;CHAR(10)&amp;_xlfn.TEXTJOIN(CHAR(10),TRUE,O$41:O$50)</f>
        <v/>
      </c>
      <c r="L41" s="37">
        <f>"Tranche 2"&amp;CHAR(10)&amp;_xlfn.TEXTJOIN(CHAR(10),TRUE,P$41:P$50)</f>
        <v/>
      </c>
      <c r="M41" s="38">
        <f>"Tranche 3"&amp;CHAR(10)&amp;_xlfn.TEXTJOIN(CHAR(10),TRUE,Q$41:Q$50)</f>
        <v/>
      </c>
      <c r="O41">
        <f>IF(AND($B41&lt;&gt;"",$C41&lt;&gt;"Target state",$C41&lt;&gt;"Exception",$D41="High",$E41="Low"),$A41&amp;"  "&amp;$B41,"")</f>
        <v/>
      </c>
      <c r="P41">
        <f>IF(AND($B41&lt;&gt;"",$C41&lt;&gt;"Target state",$C41&lt;&gt;"Exception",$D41="High",$E41="Medium"),$A41&amp;"  "&amp;$B41,"")</f>
        <v/>
      </c>
      <c r="Q41">
        <f>IF(AND($B41&lt;&gt;"",$C41&lt;&gt;"Target state",$C41&lt;&gt;"Exception",$D41="High",$E41="High"),$A41&amp;"  "&amp;$B41,"")</f>
        <v/>
      </c>
      <c r="R41">
        <f>IF(AND($B41&lt;&gt;"",$C41&lt;&gt;"Target state",$C41&lt;&gt;"Exception",$D41="Medium",$E41="Low"),$A41&amp;"  "&amp;$B41,"")</f>
        <v/>
      </c>
      <c r="S41">
        <f>IF(AND($B41&lt;&gt;"",$C41&lt;&gt;"Target state",$C41&lt;&gt;"Exception",$D41="Medium",$E41="Medium"),$A41&amp;"  "&amp;$B41,"")</f>
        <v/>
      </c>
      <c r="T41">
        <f>IF(AND($B41&lt;&gt;"",$C41&lt;&gt;"Target state",$C41&lt;&gt;"Exception",$D41="Medium",$E41="High"),$A41&amp;"  "&amp;$B41,"")</f>
        <v/>
      </c>
      <c r="U41">
        <f>IF(AND($B41&lt;&gt;"",$C41&lt;&gt;"Target state",$C41&lt;&gt;"Exception",$D41="Low",$E41="Low"),$A41&amp;"  "&amp;$B41,"")</f>
        <v/>
      </c>
      <c r="V41">
        <f>IF(AND($B41&lt;&gt;"",$C41&lt;&gt;"Target state",$C41&lt;&gt;"Exception",$D41="Low",$E41="Medium"),$A41&amp;"  "&amp;$B41,"")</f>
        <v/>
      </c>
      <c r="W41">
        <f>IF(AND($B41&lt;&gt;"",$C41&lt;&gt;"Target state",$C41&lt;&gt;"Exception",$D41="Low",$E41="High"),$A41&amp;"  "&amp;$B41,"")</f>
        <v/>
      </c>
    </row>
    <row r="42" ht="20" customHeight="1">
      <c r="A42" s="29" t="inlineStr">
        <is>
          <t>②</t>
        </is>
      </c>
      <c r="B42" s="30" t="n"/>
      <c r="C42" s="31" t="n"/>
      <c r="D42" s="31" t="n"/>
      <c r="E42" s="31" t="n"/>
      <c r="F42" s="32" t="n"/>
      <c r="G42" s="33">
        <f>IF(OR($B42="",$D42="",$E42=""),"",IF(OR($C42="Target state",$C42="Exception"),"Out of scope",IF($D42="Low","No tranche",IF($E42="Low","Tranche 1",IF($E42="Medium","Tranche 2",IF($D42="High","Tranche 3","No tranche"))))))</f>
        <v/>
      </c>
      <c r="K42" s="39" t="n"/>
      <c r="L42" s="39" t="n"/>
      <c r="M42" s="39" t="n"/>
      <c r="O42">
        <f>IF(AND($B42&lt;&gt;"",$C42&lt;&gt;"Target state",$C42&lt;&gt;"Exception",$D42="High",$E42="Low"),$A42&amp;"  "&amp;$B42,"")</f>
        <v/>
      </c>
      <c r="P42">
        <f>IF(AND($B42&lt;&gt;"",$C42&lt;&gt;"Target state",$C42&lt;&gt;"Exception",$D42="High",$E42="Medium"),$A42&amp;"  "&amp;$B42,"")</f>
        <v/>
      </c>
      <c r="Q42">
        <f>IF(AND($B42&lt;&gt;"",$C42&lt;&gt;"Target state",$C42&lt;&gt;"Exception",$D42="High",$E42="High"),$A42&amp;"  "&amp;$B42,"")</f>
        <v/>
      </c>
      <c r="R42">
        <f>IF(AND($B42&lt;&gt;"",$C42&lt;&gt;"Target state",$C42&lt;&gt;"Exception",$D42="Medium",$E42="Low"),$A42&amp;"  "&amp;$B42,"")</f>
        <v/>
      </c>
      <c r="S42">
        <f>IF(AND($B42&lt;&gt;"",$C42&lt;&gt;"Target state",$C42&lt;&gt;"Exception",$D42="Medium",$E42="Medium"),$A42&amp;"  "&amp;$B42,"")</f>
        <v/>
      </c>
      <c r="T42">
        <f>IF(AND($B42&lt;&gt;"",$C42&lt;&gt;"Target state",$C42&lt;&gt;"Exception",$D42="Medium",$E42="High"),$A42&amp;"  "&amp;$B42,"")</f>
        <v/>
      </c>
      <c r="U42">
        <f>IF(AND($B42&lt;&gt;"",$C42&lt;&gt;"Target state",$C42&lt;&gt;"Exception",$D42="Low",$E42="Low"),$A42&amp;"  "&amp;$B42,"")</f>
        <v/>
      </c>
      <c r="V42">
        <f>IF(AND($B42&lt;&gt;"",$C42&lt;&gt;"Target state",$C42&lt;&gt;"Exception",$D42="Low",$E42="Medium"),$A42&amp;"  "&amp;$B42,"")</f>
        <v/>
      </c>
      <c r="W42">
        <f>IF(AND($B42&lt;&gt;"",$C42&lt;&gt;"Target state",$C42&lt;&gt;"Exception",$D42="Low",$E42="High"),$A42&amp;"  "&amp;$B42,"")</f>
        <v/>
      </c>
    </row>
    <row r="43" ht="20" customHeight="1">
      <c r="A43" s="29" t="inlineStr">
        <is>
          <t>③</t>
        </is>
      </c>
      <c r="B43" s="30" t="n"/>
      <c r="C43" s="31" t="n"/>
      <c r="D43" s="31" t="n"/>
      <c r="E43" s="31" t="n"/>
      <c r="F43" s="32" t="n"/>
      <c r="G43" s="33">
        <f>IF(OR($B43="",$D43="",$E43=""),"",IF(OR($C43="Target state",$C43="Exception"),"Out of scope",IF($D43="Low","No tranche",IF($E43="Low","Tranche 1",IF($E43="Medium","Tranche 2",IF($D43="High","Tranche 3","No tranche"))))))</f>
        <v/>
      </c>
      <c r="K43" s="40" t="n"/>
      <c r="L43" s="40" t="n"/>
      <c r="M43" s="40" t="n"/>
      <c r="O43">
        <f>IF(AND($B43&lt;&gt;"",$C43&lt;&gt;"Target state",$C43&lt;&gt;"Exception",$D43="High",$E43="Low"),$A43&amp;"  "&amp;$B43,"")</f>
        <v/>
      </c>
      <c r="P43">
        <f>IF(AND($B43&lt;&gt;"",$C43&lt;&gt;"Target state",$C43&lt;&gt;"Exception",$D43="High",$E43="Medium"),$A43&amp;"  "&amp;$B43,"")</f>
        <v/>
      </c>
      <c r="Q43">
        <f>IF(AND($B43&lt;&gt;"",$C43&lt;&gt;"Target state",$C43&lt;&gt;"Exception",$D43="High",$E43="High"),$A43&amp;"  "&amp;$B43,"")</f>
        <v/>
      </c>
      <c r="R43">
        <f>IF(AND($B43&lt;&gt;"",$C43&lt;&gt;"Target state",$C43&lt;&gt;"Exception",$D43="Medium",$E43="Low"),$A43&amp;"  "&amp;$B43,"")</f>
        <v/>
      </c>
      <c r="S43">
        <f>IF(AND($B43&lt;&gt;"",$C43&lt;&gt;"Target state",$C43&lt;&gt;"Exception",$D43="Medium",$E43="Medium"),$A43&amp;"  "&amp;$B43,"")</f>
        <v/>
      </c>
      <c r="T43">
        <f>IF(AND($B43&lt;&gt;"",$C43&lt;&gt;"Target state",$C43&lt;&gt;"Exception",$D43="Medium",$E43="High"),$A43&amp;"  "&amp;$B43,"")</f>
        <v/>
      </c>
      <c r="U43">
        <f>IF(AND($B43&lt;&gt;"",$C43&lt;&gt;"Target state",$C43&lt;&gt;"Exception",$D43="Low",$E43="Low"),$A43&amp;"  "&amp;$B43,"")</f>
        <v/>
      </c>
      <c r="V43">
        <f>IF(AND($B43&lt;&gt;"",$C43&lt;&gt;"Target state",$C43&lt;&gt;"Exception",$D43="Low",$E43="Medium"),$A43&amp;"  "&amp;$B43,"")</f>
        <v/>
      </c>
      <c r="W43">
        <f>IF(AND($B43&lt;&gt;"",$C43&lt;&gt;"Target state",$C43&lt;&gt;"Exception",$D43="Low",$E43="High"),$A43&amp;"  "&amp;$B43,"")</f>
        <v/>
      </c>
    </row>
    <row r="44" ht="20" customHeight="1">
      <c r="A44" s="29" t="inlineStr">
        <is>
          <t>④</t>
        </is>
      </c>
      <c r="B44" s="30" t="n"/>
      <c r="C44" s="31" t="n"/>
      <c r="D44" s="31" t="n"/>
      <c r="E44" s="31" t="n"/>
      <c r="F44" s="32" t="n"/>
      <c r="G44" s="33">
        <f>IF(OR($B44="",$D44="",$E44=""),"",IF(OR($C44="Target state",$C44="Exception"),"Out of scope",IF($D44="Low","No tranche",IF($E44="Low","Tranche 1",IF($E44="Medium","Tranche 2",IF($D44="High","Tranche 3","No tranche"))))))</f>
        <v/>
      </c>
      <c r="J44" s="35" t="inlineStr">
        <is>
          <t>Medium</t>
        </is>
      </c>
      <c r="K44" s="36">
        <f>"Tranche 1"&amp;CHAR(10)&amp;_xlfn.TEXTJOIN(CHAR(10),TRUE,R$41:R$50)</f>
        <v/>
      </c>
      <c r="L44" s="37">
        <f>"Tranche 2"&amp;CHAR(10)&amp;_xlfn.TEXTJOIN(CHAR(10),TRUE,S$41:S$50)</f>
        <v/>
      </c>
      <c r="M44" s="41">
        <f>_xlfn.TEXTJOIN(CHAR(10),TRUE,T$41:T$50)</f>
        <v/>
      </c>
      <c r="O44">
        <f>IF(AND($B44&lt;&gt;"",$C44&lt;&gt;"Target state",$C44&lt;&gt;"Exception",$D44="High",$E44="Low"),$A44&amp;"  "&amp;$B44,"")</f>
        <v/>
      </c>
      <c r="P44">
        <f>IF(AND($B44&lt;&gt;"",$C44&lt;&gt;"Target state",$C44&lt;&gt;"Exception",$D44="High",$E44="Medium"),$A44&amp;"  "&amp;$B44,"")</f>
        <v/>
      </c>
      <c r="Q44">
        <f>IF(AND($B44&lt;&gt;"",$C44&lt;&gt;"Target state",$C44&lt;&gt;"Exception",$D44="High",$E44="High"),$A44&amp;"  "&amp;$B44,"")</f>
        <v/>
      </c>
      <c r="R44">
        <f>IF(AND($B44&lt;&gt;"",$C44&lt;&gt;"Target state",$C44&lt;&gt;"Exception",$D44="Medium",$E44="Low"),$A44&amp;"  "&amp;$B44,"")</f>
        <v/>
      </c>
      <c r="S44">
        <f>IF(AND($B44&lt;&gt;"",$C44&lt;&gt;"Target state",$C44&lt;&gt;"Exception",$D44="Medium",$E44="Medium"),$A44&amp;"  "&amp;$B44,"")</f>
        <v/>
      </c>
      <c r="T44">
        <f>IF(AND($B44&lt;&gt;"",$C44&lt;&gt;"Target state",$C44&lt;&gt;"Exception",$D44="Medium",$E44="High"),$A44&amp;"  "&amp;$B44,"")</f>
        <v/>
      </c>
      <c r="U44">
        <f>IF(AND($B44&lt;&gt;"",$C44&lt;&gt;"Target state",$C44&lt;&gt;"Exception",$D44="Low",$E44="Low"),$A44&amp;"  "&amp;$B44,"")</f>
        <v/>
      </c>
      <c r="V44">
        <f>IF(AND($B44&lt;&gt;"",$C44&lt;&gt;"Target state",$C44&lt;&gt;"Exception",$D44="Low",$E44="Medium"),$A44&amp;"  "&amp;$B44,"")</f>
        <v/>
      </c>
      <c r="W44">
        <f>IF(AND($B44&lt;&gt;"",$C44&lt;&gt;"Target state",$C44&lt;&gt;"Exception",$D44="Low",$E44="High"),$A44&amp;"  "&amp;$B44,"")</f>
        <v/>
      </c>
    </row>
    <row r="45" ht="20" customHeight="1">
      <c r="A45" s="29" t="inlineStr">
        <is>
          <t>⑤</t>
        </is>
      </c>
      <c r="B45" s="30" t="n"/>
      <c r="C45" s="31" t="n"/>
      <c r="D45" s="31" t="n"/>
      <c r="E45" s="31" t="n"/>
      <c r="F45" s="32" t="n"/>
      <c r="G45" s="33">
        <f>IF(OR($B45="",$D45="",$E45=""),"",IF(OR($C45="Target state",$C45="Exception"),"Out of scope",IF($D45="Low","No tranche",IF($E45="Low","Tranche 1",IF($E45="Medium","Tranche 2",IF($D45="High","Tranche 3","No tranche"))))))</f>
        <v/>
      </c>
      <c r="K45" s="39" t="n"/>
      <c r="L45" s="39" t="n"/>
      <c r="M45" s="39" t="n"/>
      <c r="O45">
        <f>IF(AND($B45&lt;&gt;"",$C45&lt;&gt;"Target state",$C45&lt;&gt;"Exception",$D45="High",$E45="Low"),$A45&amp;"  "&amp;$B45,"")</f>
        <v/>
      </c>
      <c r="P45">
        <f>IF(AND($B45&lt;&gt;"",$C45&lt;&gt;"Target state",$C45&lt;&gt;"Exception",$D45="High",$E45="Medium"),$A45&amp;"  "&amp;$B45,"")</f>
        <v/>
      </c>
      <c r="Q45">
        <f>IF(AND($B45&lt;&gt;"",$C45&lt;&gt;"Target state",$C45&lt;&gt;"Exception",$D45="High",$E45="High"),$A45&amp;"  "&amp;$B45,"")</f>
        <v/>
      </c>
      <c r="R45">
        <f>IF(AND($B45&lt;&gt;"",$C45&lt;&gt;"Target state",$C45&lt;&gt;"Exception",$D45="Medium",$E45="Low"),$A45&amp;"  "&amp;$B45,"")</f>
        <v/>
      </c>
      <c r="S45">
        <f>IF(AND($B45&lt;&gt;"",$C45&lt;&gt;"Target state",$C45&lt;&gt;"Exception",$D45="Medium",$E45="Medium"),$A45&amp;"  "&amp;$B45,"")</f>
        <v/>
      </c>
      <c r="T45">
        <f>IF(AND($B45&lt;&gt;"",$C45&lt;&gt;"Target state",$C45&lt;&gt;"Exception",$D45="Medium",$E45="High"),$A45&amp;"  "&amp;$B45,"")</f>
        <v/>
      </c>
      <c r="U45">
        <f>IF(AND($B45&lt;&gt;"",$C45&lt;&gt;"Target state",$C45&lt;&gt;"Exception",$D45="Low",$E45="Low"),$A45&amp;"  "&amp;$B45,"")</f>
        <v/>
      </c>
      <c r="V45">
        <f>IF(AND($B45&lt;&gt;"",$C45&lt;&gt;"Target state",$C45&lt;&gt;"Exception",$D45="Low",$E45="Medium"),$A45&amp;"  "&amp;$B45,"")</f>
        <v/>
      </c>
      <c r="W45">
        <f>IF(AND($B45&lt;&gt;"",$C45&lt;&gt;"Target state",$C45&lt;&gt;"Exception",$D45="Low",$E45="High"),$A45&amp;"  "&amp;$B45,"")</f>
        <v/>
      </c>
    </row>
    <row r="46" ht="20" customHeight="1">
      <c r="A46" s="29" t="inlineStr">
        <is>
          <t>⑥</t>
        </is>
      </c>
      <c r="B46" s="30" t="n"/>
      <c r="C46" s="31" t="n"/>
      <c r="D46" s="31" t="n"/>
      <c r="E46" s="31" t="n"/>
      <c r="F46" s="32" t="n"/>
      <c r="G46" s="33">
        <f>IF(OR($B46="",$D46="",$E46=""),"",IF(OR($C46="Target state",$C46="Exception"),"Out of scope",IF($D46="Low","No tranche",IF($E46="Low","Tranche 1",IF($E46="Medium","Tranche 2",IF($D46="High","Tranche 3","No tranche"))))))</f>
        <v/>
      </c>
      <c r="K46" s="40" t="n"/>
      <c r="L46" s="40" t="n"/>
      <c r="M46" s="40" t="n"/>
      <c r="O46">
        <f>IF(AND($B46&lt;&gt;"",$C46&lt;&gt;"Target state",$C46&lt;&gt;"Exception",$D46="High",$E46="Low"),$A46&amp;"  "&amp;$B46,"")</f>
        <v/>
      </c>
      <c r="P46">
        <f>IF(AND($B46&lt;&gt;"",$C46&lt;&gt;"Target state",$C46&lt;&gt;"Exception",$D46="High",$E46="Medium"),$A46&amp;"  "&amp;$B46,"")</f>
        <v/>
      </c>
      <c r="Q46">
        <f>IF(AND($B46&lt;&gt;"",$C46&lt;&gt;"Target state",$C46&lt;&gt;"Exception",$D46="High",$E46="High"),$A46&amp;"  "&amp;$B46,"")</f>
        <v/>
      </c>
      <c r="R46">
        <f>IF(AND($B46&lt;&gt;"",$C46&lt;&gt;"Target state",$C46&lt;&gt;"Exception",$D46="Medium",$E46="Low"),$A46&amp;"  "&amp;$B46,"")</f>
        <v/>
      </c>
      <c r="S46">
        <f>IF(AND($B46&lt;&gt;"",$C46&lt;&gt;"Target state",$C46&lt;&gt;"Exception",$D46="Medium",$E46="Medium"),$A46&amp;"  "&amp;$B46,"")</f>
        <v/>
      </c>
      <c r="T46">
        <f>IF(AND($B46&lt;&gt;"",$C46&lt;&gt;"Target state",$C46&lt;&gt;"Exception",$D46="Medium",$E46="High"),$A46&amp;"  "&amp;$B46,"")</f>
        <v/>
      </c>
      <c r="U46">
        <f>IF(AND($B46&lt;&gt;"",$C46&lt;&gt;"Target state",$C46&lt;&gt;"Exception",$D46="Low",$E46="Low"),$A46&amp;"  "&amp;$B46,"")</f>
        <v/>
      </c>
      <c r="V46">
        <f>IF(AND($B46&lt;&gt;"",$C46&lt;&gt;"Target state",$C46&lt;&gt;"Exception",$D46="Low",$E46="Medium"),$A46&amp;"  "&amp;$B46,"")</f>
        <v/>
      </c>
      <c r="W46">
        <f>IF(AND($B46&lt;&gt;"",$C46&lt;&gt;"Target state",$C46&lt;&gt;"Exception",$D46="Low",$E46="High"),$A46&amp;"  "&amp;$B46,"")</f>
        <v/>
      </c>
    </row>
    <row r="47" ht="20" customHeight="1">
      <c r="A47" s="29" t="inlineStr">
        <is>
          <t>⑦</t>
        </is>
      </c>
      <c r="B47" s="30" t="n"/>
      <c r="C47" s="31" t="n"/>
      <c r="D47" s="31" t="n"/>
      <c r="E47" s="31" t="n"/>
      <c r="F47" s="32" t="n"/>
      <c r="G47" s="33">
        <f>IF(OR($B47="",$D47="",$E47=""),"",IF(OR($C47="Target state",$C47="Exception"),"Out of scope",IF($D47="Low","No tranche",IF($E47="Low","Tranche 1",IF($E47="Medium","Tranche 2",IF($D47="High","Tranche 3","No tranche"))))))</f>
        <v/>
      </c>
      <c r="J47" s="35" t="inlineStr">
        <is>
          <t>Low</t>
        </is>
      </c>
      <c r="K47" s="41">
        <f>_xlfn.TEXTJOIN(CHAR(10),TRUE,U$41:U$50)</f>
        <v/>
      </c>
      <c r="L47" s="41">
        <f>_xlfn.TEXTJOIN(CHAR(10),TRUE,V$41:V$50)</f>
        <v/>
      </c>
      <c r="M47" s="41">
        <f>_xlfn.TEXTJOIN(CHAR(10),TRUE,W$41:W$50)</f>
        <v/>
      </c>
      <c r="O47">
        <f>IF(AND($B47&lt;&gt;"",$C47&lt;&gt;"Target state",$C47&lt;&gt;"Exception",$D47="High",$E47="Low"),$A47&amp;"  "&amp;$B47,"")</f>
        <v/>
      </c>
      <c r="P47">
        <f>IF(AND($B47&lt;&gt;"",$C47&lt;&gt;"Target state",$C47&lt;&gt;"Exception",$D47="High",$E47="Medium"),$A47&amp;"  "&amp;$B47,"")</f>
        <v/>
      </c>
      <c r="Q47">
        <f>IF(AND($B47&lt;&gt;"",$C47&lt;&gt;"Target state",$C47&lt;&gt;"Exception",$D47="High",$E47="High"),$A47&amp;"  "&amp;$B47,"")</f>
        <v/>
      </c>
      <c r="R47">
        <f>IF(AND($B47&lt;&gt;"",$C47&lt;&gt;"Target state",$C47&lt;&gt;"Exception",$D47="Medium",$E47="Low"),$A47&amp;"  "&amp;$B47,"")</f>
        <v/>
      </c>
      <c r="S47">
        <f>IF(AND($B47&lt;&gt;"",$C47&lt;&gt;"Target state",$C47&lt;&gt;"Exception",$D47="Medium",$E47="Medium"),$A47&amp;"  "&amp;$B47,"")</f>
        <v/>
      </c>
      <c r="T47">
        <f>IF(AND($B47&lt;&gt;"",$C47&lt;&gt;"Target state",$C47&lt;&gt;"Exception",$D47="Medium",$E47="High"),$A47&amp;"  "&amp;$B47,"")</f>
        <v/>
      </c>
      <c r="U47">
        <f>IF(AND($B47&lt;&gt;"",$C47&lt;&gt;"Target state",$C47&lt;&gt;"Exception",$D47="Low",$E47="Low"),$A47&amp;"  "&amp;$B47,"")</f>
        <v/>
      </c>
      <c r="V47">
        <f>IF(AND($B47&lt;&gt;"",$C47&lt;&gt;"Target state",$C47&lt;&gt;"Exception",$D47="Low",$E47="Medium"),$A47&amp;"  "&amp;$B47,"")</f>
        <v/>
      </c>
      <c r="W47">
        <f>IF(AND($B47&lt;&gt;"",$C47&lt;&gt;"Target state",$C47&lt;&gt;"Exception",$D47="Low",$E47="High"),$A47&amp;"  "&amp;$B47,"")</f>
        <v/>
      </c>
    </row>
    <row r="48" ht="20" customHeight="1">
      <c r="A48" s="29" t="inlineStr">
        <is>
          <t>⑧</t>
        </is>
      </c>
      <c r="B48" s="30" t="n"/>
      <c r="C48" s="31" t="n"/>
      <c r="D48" s="31" t="n"/>
      <c r="E48" s="31" t="n"/>
      <c r="F48" s="32" t="n"/>
      <c r="G48" s="33">
        <f>IF(OR($B48="",$D48="",$E48=""),"",IF(OR($C48="Target state",$C48="Exception"),"Out of scope",IF($D48="Low","No tranche",IF($E48="Low","Tranche 1",IF($E48="Medium","Tranche 2",IF($D48="High","Tranche 3","No tranche"))))))</f>
        <v/>
      </c>
      <c r="K48" s="39" t="n"/>
      <c r="L48" s="39" t="n"/>
      <c r="M48" s="39" t="n"/>
      <c r="O48">
        <f>IF(AND($B48&lt;&gt;"",$C48&lt;&gt;"Target state",$C48&lt;&gt;"Exception",$D48="High",$E48="Low"),$A48&amp;"  "&amp;$B48,"")</f>
        <v/>
      </c>
      <c r="P48">
        <f>IF(AND($B48&lt;&gt;"",$C48&lt;&gt;"Target state",$C48&lt;&gt;"Exception",$D48="High",$E48="Medium"),$A48&amp;"  "&amp;$B48,"")</f>
        <v/>
      </c>
      <c r="Q48">
        <f>IF(AND($B48&lt;&gt;"",$C48&lt;&gt;"Target state",$C48&lt;&gt;"Exception",$D48="High",$E48="High"),$A48&amp;"  "&amp;$B48,"")</f>
        <v/>
      </c>
      <c r="R48">
        <f>IF(AND($B48&lt;&gt;"",$C48&lt;&gt;"Target state",$C48&lt;&gt;"Exception",$D48="Medium",$E48="Low"),$A48&amp;"  "&amp;$B48,"")</f>
        <v/>
      </c>
      <c r="S48">
        <f>IF(AND($B48&lt;&gt;"",$C48&lt;&gt;"Target state",$C48&lt;&gt;"Exception",$D48="Medium",$E48="Medium"),$A48&amp;"  "&amp;$B48,"")</f>
        <v/>
      </c>
      <c r="T48">
        <f>IF(AND($B48&lt;&gt;"",$C48&lt;&gt;"Target state",$C48&lt;&gt;"Exception",$D48="Medium",$E48="High"),$A48&amp;"  "&amp;$B48,"")</f>
        <v/>
      </c>
      <c r="U48">
        <f>IF(AND($B48&lt;&gt;"",$C48&lt;&gt;"Target state",$C48&lt;&gt;"Exception",$D48="Low",$E48="Low"),$A48&amp;"  "&amp;$B48,"")</f>
        <v/>
      </c>
      <c r="V48">
        <f>IF(AND($B48&lt;&gt;"",$C48&lt;&gt;"Target state",$C48&lt;&gt;"Exception",$D48="Low",$E48="Medium"),$A48&amp;"  "&amp;$B48,"")</f>
        <v/>
      </c>
      <c r="W48">
        <f>IF(AND($B48&lt;&gt;"",$C48&lt;&gt;"Target state",$C48&lt;&gt;"Exception",$D48="Low",$E48="High"),$A48&amp;"  "&amp;$B48,"")</f>
        <v/>
      </c>
    </row>
    <row r="49" ht="20" customHeight="1">
      <c r="A49" s="29" t="inlineStr">
        <is>
          <t>⑨</t>
        </is>
      </c>
      <c r="B49" s="30" t="n"/>
      <c r="C49" s="31" t="n"/>
      <c r="D49" s="31" t="n"/>
      <c r="E49" s="31" t="n"/>
      <c r="F49" s="32" t="n"/>
      <c r="G49" s="33">
        <f>IF(OR($B49="",$D49="",$E49=""),"",IF(OR($C49="Target state",$C49="Exception"),"Out of scope",IF($D49="Low","No tranche",IF($E49="Low","Tranche 1",IF($E49="Medium","Tranche 2",IF($D49="High","Tranche 3","No tranche"))))))</f>
        <v/>
      </c>
      <c r="K49" s="40" t="n"/>
      <c r="L49" s="40" t="n"/>
      <c r="M49" s="40" t="n"/>
      <c r="O49">
        <f>IF(AND($B49&lt;&gt;"",$C49&lt;&gt;"Target state",$C49&lt;&gt;"Exception",$D49="High",$E49="Low"),$A49&amp;"  "&amp;$B49,"")</f>
        <v/>
      </c>
      <c r="P49">
        <f>IF(AND($B49&lt;&gt;"",$C49&lt;&gt;"Target state",$C49&lt;&gt;"Exception",$D49="High",$E49="Medium"),$A49&amp;"  "&amp;$B49,"")</f>
        <v/>
      </c>
      <c r="Q49">
        <f>IF(AND($B49&lt;&gt;"",$C49&lt;&gt;"Target state",$C49&lt;&gt;"Exception",$D49="High",$E49="High"),$A49&amp;"  "&amp;$B49,"")</f>
        <v/>
      </c>
      <c r="R49">
        <f>IF(AND($B49&lt;&gt;"",$C49&lt;&gt;"Target state",$C49&lt;&gt;"Exception",$D49="Medium",$E49="Low"),$A49&amp;"  "&amp;$B49,"")</f>
        <v/>
      </c>
      <c r="S49">
        <f>IF(AND($B49&lt;&gt;"",$C49&lt;&gt;"Target state",$C49&lt;&gt;"Exception",$D49="Medium",$E49="Medium"),$A49&amp;"  "&amp;$B49,"")</f>
        <v/>
      </c>
      <c r="T49">
        <f>IF(AND($B49&lt;&gt;"",$C49&lt;&gt;"Target state",$C49&lt;&gt;"Exception",$D49="Medium",$E49="High"),$A49&amp;"  "&amp;$B49,"")</f>
        <v/>
      </c>
      <c r="U49">
        <f>IF(AND($B49&lt;&gt;"",$C49&lt;&gt;"Target state",$C49&lt;&gt;"Exception",$D49="Low",$E49="Low"),$A49&amp;"  "&amp;$B49,"")</f>
        <v/>
      </c>
      <c r="V49">
        <f>IF(AND($B49&lt;&gt;"",$C49&lt;&gt;"Target state",$C49&lt;&gt;"Exception",$D49="Low",$E49="Medium"),$A49&amp;"  "&amp;$B49,"")</f>
        <v/>
      </c>
      <c r="W49">
        <f>IF(AND($B49&lt;&gt;"",$C49&lt;&gt;"Target state",$C49&lt;&gt;"Exception",$D49="Low",$E49="High"),$A49&amp;"  "&amp;$B49,"")</f>
        <v/>
      </c>
    </row>
    <row r="50" ht="20" customHeight="1">
      <c r="A50" s="29" t="inlineStr">
        <is>
          <t>⑩</t>
        </is>
      </c>
      <c r="B50" s="30" t="n"/>
      <c r="C50" s="31" t="n"/>
      <c r="D50" s="31" t="n"/>
      <c r="E50" s="31" t="n"/>
      <c r="F50" s="32" t="n"/>
      <c r="G50" s="33">
        <f>IF(OR($B50="",$D50="",$E50=""),"",IF(OR($C50="Target state",$C50="Exception"),"Out of scope",IF($D50="Low","No tranche",IF($E50="Low","Tranche 1",IF($E50="Medium","Tranche 2",IF($D50="High","Tranche 3","No tranche"))))))</f>
        <v/>
      </c>
      <c r="K50" s="35" t="inlineStr">
        <is>
          <t>Complexity</t>
        </is>
      </c>
      <c r="O50">
        <f>IF(AND($B50&lt;&gt;"",$C50&lt;&gt;"Target state",$C50&lt;&gt;"Exception",$D50="High",$E50="Low"),$A50&amp;"  "&amp;$B50,"")</f>
        <v/>
      </c>
      <c r="P50">
        <f>IF(AND($B50&lt;&gt;"",$C50&lt;&gt;"Target state",$C50&lt;&gt;"Exception",$D50="High",$E50="Medium"),$A50&amp;"  "&amp;$B50,"")</f>
        <v/>
      </c>
      <c r="Q50">
        <f>IF(AND($B50&lt;&gt;"",$C50&lt;&gt;"Target state",$C50&lt;&gt;"Exception",$D50="High",$E50="High"),$A50&amp;"  "&amp;$B50,"")</f>
        <v/>
      </c>
      <c r="R50">
        <f>IF(AND($B50&lt;&gt;"",$C50&lt;&gt;"Target state",$C50&lt;&gt;"Exception",$D50="Medium",$E50="Low"),$A50&amp;"  "&amp;$B50,"")</f>
        <v/>
      </c>
      <c r="S50">
        <f>IF(AND($B50&lt;&gt;"",$C50&lt;&gt;"Target state",$C50&lt;&gt;"Exception",$D50="Medium",$E50="Medium"),$A50&amp;"  "&amp;$B50,"")</f>
        <v/>
      </c>
      <c r="T50">
        <f>IF(AND($B50&lt;&gt;"",$C50&lt;&gt;"Target state",$C50&lt;&gt;"Exception",$D50="Medium",$E50="High"),$A50&amp;"  "&amp;$B50,"")</f>
        <v/>
      </c>
      <c r="U50">
        <f>IF(AND($B50&lt;&gt;"",$C50&lt;&gt;"Target state",$C50&lt;&gt;"Exception",$D50="Low",$E50="Low"),$A50&amp;"  "&amp;$B50,"")</f>
        <v/>
      </c>
      <c r="V50">
        <f>IF(AND($B50&lt;&gt;"",$C50&lt;&gt;"Target state",$C50&lt;&gt;"Exception",$D50="Low",$E50="Medium"),$A50&amp;"  "&amp;$B50,"")</f>
        <v/>
      </c>
      <c r="W50">
        <f>IF(AND($B50&lt;&gt;"",$C50&lt;&gt;"Target state",$C50&lt;&gt;"Exception",$D50="Low",$E50="High"),$A50&amp;"  "&amp;$B50,"")</f>
        <v/>
      </c>
    </row>
    <row r="53" ht="22" customHeight="1">
      <c r="A53" s="24" t="inlineStr">
        <is>
          <t>Hosted Solutions</t>
        </is>
      </c>
      <c r="G53" s="25">
        <f>HYPERLINK("#'Single-in'!A4","▲ tracker")</f>
        <v/>
      </c>
      <c r="K53" s="26" t="inlineStr">
        <is>
          <t>Assessment Outcome</t>
        </is>
      </c>
    </row>
    <row r="54" ht="18" customHeight="1">
      <c r="A54" s="27" t="inlineStr">
        <is>
          <t>#</t>
        </is>
      </c>
      <c r="B54" s="27" t="inlineStr">
        <is>
          <t>Platform</t>
        </is>
      </c>
      <c r="C54" s="27" t="inlineStr">
        <is>
          <t>State</t>
        </is>
      </c>
      <c r="D54" s="27" t="inlineStr">
        <is>
          <t>Imperative to exit</t>
        </is>
      </c>
      <c r="E54" s="27" t="inlineStr">
        <is>
          <t>Exit complexity</t>
        </is>
      </c>
      <c r="F54" s="27" t="inlineStr">
        <is>
          <t>Supporting facts</t>
        </is>
      </c>
      <c r="G54" s="27" t="inlineStr">
        <is>
          <t>Tranche (auto)</t>
        </is>
      </c>
      <c r="K54" s="28" t="inlineStr">
        <is>
          <t>Low</t>
        </is>
      </c>
      <c r="L54" s="28" t="inlineStr">
        <is>
          <t>Medium</t>
        </is>
      </c>
      <c r="M54" s="28" t="inlineStr">
        <is>
          <t>High</t>
        </is>
      </c>
    </row>
    <row r="55" ht="20" customHeight="1">
      <c r="A55" s="29" t="inlineStr">
        <is>
          <t>①</t>
        </is>
      </c>
      <c r="B55" s="30" t="n"/>
      <c r="C55" s="31" t="n"/>
      <c r="D55" s="31" t="n"/>
      <c r="E55" s="31" t="n"/>
      <c r="F55" s="32" t="n"/>
      <c r="G55" s="33">
        <f>IF(OR($B55="",$D55="",$E55=""),"",IF(OR($C55="Target state",$C55="Exception"),"Out of scope",IF($D55="Low","No tranche",IF($E55="Low","Tranche 1",IF($E55="Medium","Tranche 2",IF($D55="High","Tranche 3","No tranche"))))))</f>
        <v/>
      </c>
      <c r="I55" s="34" t="inlineStr">
        <is>
          <t>Benefits</t>
        </is>
      </c>
      <c r="J55" s="35" t="inlineStr">
        <is>
          <t>High</t>
        </is>
      </c>
      <c r="K55" s="36">
        <f>"Tranche 1"&amp;CHAR(10)&amp;_xlfn.TEXTJOIN(CHAR(10),TRUE,O$55:O$64)</f>
        <v/>
      </c>
      <c r="L55" s="37">
        <f>"Tranche 2"&amp;CHAR(10)&amp;_xlfn.TEXTJOIN(CHAR(10),TRUE,P$55:P$64)</f>
        <v/>
      </c>
      <c r="M55" s="38">
        <f>"Tranche 3"&amp;CHAR(10)&amp;_xlfn.TEXTJOIN(CHAR(10),TRUE,Q$55:Q$64)</f>
        <v/>
      </c>
      <c r="O55">
        <f>IF(AND($B55&lt;&gt;"",$C55&lt;&gt;"Target state",$C55&lt;&gt;"Exception",$D55="High",$E55="Low"),$A55&amp;"  "&amp;$B55,"")</f>
        <v/>
      </c>
      <c r="P55">
        <f>IF(AND($B55&lt;&gt;"",$C55&lt;&gt;"Target state",$C55&lt;&gt;"Exception",$D55="High",$E55="Medium"),$A55&amp;"  "&amp;$B55,"")</f>
        <v/>
      </c>
      <c r="Q55">
        <f>IF(AND($B55&lt;&gt;"",$C55&lt;&gt;"Target state",$C55&lt;&gt;"Exception",$D55="High",$E55="High"),$A55&amp;"  "&amp;$B55,"")</f>
        <v/>
      </c>
      <c r="R55">
        <f>IF(AND($B55&lt;&gt;"",$C55&lt;&gt;"Target state",$C55&lt;&gt;"Exception",$D55="Medium",$E55="Low"),$A55&amp;"  "&amp;$B55,"")</f>
        <v/>
      </c>
      <c r="S55">
        <f>IF(AND($B55&lt;&gt;"",$C55&lt;&gt;"Target state",$C55&lt;&gt;"Exception",$D55="Medium",$E55="Medium"),$A55&amp;"  "&amp;$B55,"")</f>
        <v/>
      </c>
      <c r="T55">
        <f>IF(AND($B55&lt;&gt;"",$C55&lt;&gt;"Target state",$C55&lt;&gt;"Exception",$D55="Medium",$E55="High"),$A55&amp;"  "&amp;$B55,"")</f>
        <v/>
      </c>
      <c r="U55">
        <f>IF(AND($B55&lt;&gt;"",$C55&lt;&gt;"Target state",$C55&lt;&gt;"Exception",$D55="Low",$E55="Low"),$A55&amp;"  "&amp;$B55,"")</f>
        <v/>
      </c>
      <c r="V55">
        <f>IF(AND($B55&lt;&gt;"",$C55&lt;&gt;"Target state",$C55&lt;&gt;"Exception",$D55="Low",$E55="Medium"),$A55&amp;"  "&amp;$B55,"")</f>
        <v/>
      </c>
      <c r="W55">
        <f>IF(AND($B55&lt;&gt;"",$C55&lt;&gt;"Target state",$C55&lt;&gt;"Exception",$D55="Low",$E55="High"),$A55&amp;"  "&amp;$B55,"")</f>
        <v/>
      </c>
    </row>
    <row r="56" ht="20" customHeight="1">
      <c r="A56" s="29" t="inlineStr">
        <is>
          <t>②</t>
        </is>
      </c>
      <c r="B56" s="30" t="n"/>
      <c r="C56" s="31" t="n"/>
      <c r="D56" s="31" t="n"/>
      <c r="E56" s="31" t="n"/>
      <c r="F56" s="32" t="n"/>
      <c r="G56" s="33">
        <f>IF(OR($B56="",$D56="",$E56=""),"",IF(OR($C56="Target state",$C56="Exception"),"Out of scope",IF($D56="Low","No tranche",IF($E56="Low","Tranche 1",IF($E56="Medium","Tranche 2",IF($D56="High","Tranche 3","No tranche"))))))</f>
        <v/>
      </c>
      <c r="K56" s="39" t="n"/>
      <c r="L56" s="39" t="n"/>
      <c r="M56" s="39" t="n"/>
      <c r="O56">
        <f>IF(AND($B56&lt;&gt;"",$C56&lt;&gt;"Target state",$C56&lt;&gt;"Exception",$D56="High",$E56="Low"),$A56&amp;"  "&amp;$B56,"")</f>
        <v/>
      </c>
      <c r="P56">
        <f>IF(AND($B56&lt;&gt;"",$C56&lt;&gt;"Target state",$C56&lt;&gt;"Exception",$D56="High",$E56="Medium"),$A56&amp;"  "&amp;$B56,"")</f>
        <v/>
      </c>
      <c r="Q56">
        <f>IF(AND($B56&lt;&gt;"",$C56&lt;&gt;"Target state",$C56&lt;&gt;"Exception",$D56="High",$E56="High"),$A56&amp;"  "&amp;$B56,"")</f>
        <v/>
      </c>
      <c r="R56">
        <f>IF(AND($B56&lt;&gt;"",$C56&lt;&gt;"Target state",$C56&lt;&gt;"Exception",$D56="Medium",$E56="Low"),$A56&amp;"  "&amp;$B56,"")</f>
        <v/>
      </c>
      <c r="S56">
        <f>IF(AND($B56&lt;&gt;"",$C56&lt;&gt;"Target state",$C56&lt;&gt;"Exception",$D56="Medium",$E56="Medium"),$A56&amp;"  "&amp;$B56,"")</f>
        <v/>
      </c>
      <c r="T56">
        <f>IF(AND($B56&lt;&gt;"",$C56&lt;&gt;"Target state",$C56&lt;&gt;"Exception",$D56="Medium",$E56="High"),$A56&amp;"  "&amp;$B56,"")</f>
        <v/>
      </c>
      <c r="U56">
        <f>IF(AND($B56&lt;&gt;"",$C56&lt;&gt;"Target state",$C56&lt;&gt;"Exception",$D56="Low",$E56="Low"),$A56&amp;"  "&amp;$B56,"")</f>
        <v/>
      </c>
      <c r="V56">
        <f>IF(AND($B56&lt;&gt;"",$C56&lt;&gt;"Target state",$C56&lt;&gt;"Exception",$D56="Low",$E56="Medium"),$A56&amp;"  "&amp;$B56,"")</f>
        <v/>
      </c>
      <c r="W56">
        <f>IF(AND($B56&lt;&gt;"",$C56&lt;&gt;"Target state",$C56&lt;&gt;"Exception",$D56="Low",$E56="High"),$A56&amp;"  "&amp;$B56,"")</f>
        <v/>
      </c>
    </row>
    <row r="57" ht="20" customHeight="1">
      <c r="A57" s="29" t="inlineStr">
        <is>
          <t>③</t>
        </is>
      </c>
      <c r="B57" s="30" t="n"/>
      <c r="C57" s="31" t="n"/>
      <c r="D57" s="31" t="n"/>
      <c r="E57" s="31" t="n"/>
      <c r="F57" s="32" t="n"/>
      <c r="G57" s="33">
        <f>IF(OR($B57="",$D57="",$E57=""),"",IF(OR($C57="Target state",$C57="Exception"),"Out of scope",IF($D57="Low","No tranche",IF($E57="Low","Tranche 1",IF($E57="Medium","Tranche 2",IF($D57="High","Tranche 3","No tranche"))))))</f>
        <v/>
      </c>
      <c r="K57" s="40" t="n"/>
      <c r="L57" s="40" t="n"/>
      <c r="M57" s="40" t="n"/>
      <c r="O57">
        <f>IF(AND($B57&lt;&gt;"",$C57&lt;&gt;"Target state",$C57&lt;&gt;"Exception",$D57="High",$E57="Low"),$A57&amp;"  "&amp;$B57,"")</f>
        <v/>
      </c>
      <c r="P57">
        <f>IF(AND($B57&lt;&gt;"",$C57&lt;&gt;"Target state",$C57&lt;&gt;"Exception",$D57="High",$E57="Medium"),$A57&amp;"  "&amp;$B57,"")</f>
        <v/>
      </c>
      <c r="Q57">
        <f>IF(AND($B57&lt;&gt;"",$C57&lt;&gt;"Target state",$C57&lt;&gt;"Exception",$D57="High",$E57="High"),$A57&amp;"  "&amp;$B57,"")</f>
        <v/>
      </c>
      <c r="R57">
        <f>IF(AND($B57&lt;&gt;"",$C57&lt;&gt;"Target state",$C57&lt;&gt;"Exception",$D57="Medium",$E57="Low"),$A57&amp;"  "&amp;$B57,"")</f>
        <v/>
      </c>
      <c r="S57">
        <f>IF(AND($B57&lt;&gt;"",$C57&lt;&gt;"Target state",$C57&lt;&gt;"Exception",$D57="Medium",$E57="Medium"),$A57&amp;"  "&amp;$B57,"")</f>
        <v/>
      </c>
      <c r="T57">
        <f>IF(AND($B57&lt;&gt;"",$C57&lt;&gt;"Target state",$C57&lt;&gt;"Exception",$D57="Medium",$E57="High"),$A57&amp;"  "&amp;$B57,"")</f>
        <v/>
      </c>
      <c r="U57">
        <f>IF(AND($B57&lt;&gt;"",$C57&lt;&gt;"Target state",$C57&lt;&gt;"Exception",$D57="Low",$E57="Low"),$A57&amp;"  "&amp;$B57,"")</f>
        <v/>
      </c>
      <c r="V57">
        <f>IF(AND($B57&lt;&gt;"",$C57&lt;&gt;"Target state",$C57&lt;&gt;"Exception",$D57="Low",$E57="Medium"),$A57&amp;"  "&amp;$B57,"")</f>
        <v/>
      </c>
      <c r="W57">
        <f>IF(AND($B57&lt;&gt;"",$C57&lt;&gt;"Target state",$C57&lt;&gt;"Exception",$D57="Low",$E57="High"),$A57&amp;"  "&amp;$B57,"")</f>
        <v/>
      </c>
    </row>
    <row r="58" ht="20" customHeight="1">
      <c r="A58" s="29" t="inlineStr">
        <is>
          <t>④</t>
        </is>
      </c>
      <c r="B58" s="30" t="n"/>
      <c r="C58" s="31" t="n"/>
      <c r="D58" s="31" t="n"/>
      <c r="E58" s="31" t="n"/>
      <c r="F58" s="32" t="n"/>
      <c r="G58" s="33">
        <f>IF(OR($B58="",$D58="",$E58=""),"",IF(OR($C58="Target state",$C58="Exception"),"Out of scope",IF($D58="Low","No tranche",IF($E58="Low","Tranche 1",IF($E58="Medium","Tranche 2",IF($D58="High","Tranche 3","No tranche"))))))</f>
        <v/>
      </c>
      <c r="J58" s="35" t="inlineStr">
        <is>
          <t>Medium</t>
        </is>
      </c>
      <c r="K58" s="36">
        <f>"Tranche 1"&amp;CHAR(10)&amp;_xlfn.TEXTJOIN(CHAR(10),TRUE,R$55:R$64)</f>
        <v/>
      </c>
      <c r="L58" s="37">
        <f>"Tranche 2"&amp;CHAR(10)&amp;_xlfn.TEXTJOIN(CHAR(10),TRUE,S$55:S$64)</f>
        <v/>
      </c>
      <c r="M58" s="41">
        <f>_xlfn.TEXTJOIN(CHAR(10),TRUE,T$55:T$64)</f>
        <v/>
      </c>
      <c r="O58">
        <f>IF(AND($B58&lt;&gt;"",$C58&lt;&gt;"Target state",$C58&lt;&gt;"Exception",$D58="High",$E58="Low"),$A58&amp;"  "&amp;$B58,"")</f>
        <v/>
      </c>
      <c r="P58">
        <f>IF(AND($B58&lt;&gt;"",$C58&lt;&gt;"Target state",$C58&lt;&gt;"Exception",$D58="High",$E58="Medium"),$A58&amp;"  "&amp;$B58,"")</f>
        <v/>
      </c>
      <c r="Q58">
        <f>IF(AND($B58&lt;&gt;"",$C58&lt;&gt;"Target state",$C58&lt;&gt;"Exception",$D58="High",$E58="High"),$A58&amp;"  "&amp;$B58,"")</f>
        <v/>
      </c>
      <c r="R58">
        <f>IF(AND($B58&lt;&gt;"",$C58&lt;&gt;"Target state",$C58&lt;&gt;"Exception",$D58="Medium",$E58="Low"),$A58&amp;"  "&amp;$B58,"")</f>
        <v/>
      </c>
      <c r="S58">
        <f>IF(AND($B58&lt;&gt;"",$C58&lt;&gt;"Target state",$C58&lt;&gt;"Exception",$D58="Medium",$E58="Medium"),$A58&amp;"  "&amp;$B58,"")</f>
        <v/>
      </c>
      <c r="T58">
        <f>IF(AND($B58&lt;&gt;"",$C58&lt;&gt;"Target state",$C58&lt;&gt;"Exception",$D58="Medium",$E58="High"),$A58&amp;"  "&amp;$B58,"")</f>
        <v/>
      </c>
      <c r="U58">
        <f>IF(AND($B58&lt;&gt;"",$C58&lt;&gt;"Target state",$C58&lt;&gt;"Exception",$D58="Low",$E58="Low"),$A58&amp;"  "&amp;$B58,"")</f>
        <v/>
      </c>
      <c r="V58">
        <f>IF(AND($B58&lt;&gt;"",$C58&lt;&gt;"Target state",$C58&lt;&gt;"Exception",$D58="Low",$E58="Medium"),$A58&amp;"  "&amp;$B58,"")</f>
        <v/>
      </c>
      <c r="W58">
        <f>IF(AND($B58&lt;&gt;"",$C58&lt;&gt;"Target state",$C58&lt;&gt;"Exception",$D58="Low",$E58="High"),$A58&amp;"  "&amp;$B58,"")</f>
        <v/>
      </c>
    </row>
    <row r="59" ht="20" customHeight="1">
      <c r="A59" s="29" t="inlineStr">
        <is>
          <t>⑤</t>
        </is>
      </c>
      <c r="B59" s="30" t="n"/>
      <c r="C59" s="31" t="n"/>
      <c r="D59" s="31" t="n"/>
      <c r="E59" s="31" t="n"/>
      <c r="F59" s="32" t="n"/>
      <c r="G59" s="33">
        <f>IF(OR($B59="",$D59="",$E59=""),"",IF(OR($C59="Target state",$C59="Exception"),"Out of scope",IF($D59="Low","No tranche",IF($E59="Low","Tranche 1",IF($E59="Medium","Tranche 2",IF($D59="High","Tranche 3","No tranche"))))))</f>
        <v/>
      </c>
      <c r="K59" s="39" t="n"/>
      <c r="L59" s="39" t="n"/>
      <c r="M59" s="39" t="n"/>
      <c r="O59">
        <f>IF(AND($B59&lt;&gt;"",$C59&lt;&gt;"Target state",$C59&lt;&gt;"Exception",$D59="High",$E59="Low"),$A59&amp;"  "&amp;$B59,"")</f>
        <v/>
      </c>
      <c r="P59">
        <f>IF(AND($B59&lt;&gt;"",$C59&lt;&gt;"Target state",$C59&lt;&gt;"Exception",$D59="High",$E59="Medium"),$A59&amp;"  "&amp;$B59,"")</f>
        <v/>
      </c>
      <c r="Q59">
        <f>IF(AND($B59&lt;&gt;"",$C59&lt;&gt;"Target state",$C59&lt;&gt;"Exception",$D59="High",$E59="High"),$A59&amp;"  "&amp;$B59,"")</f>
        <v/>
      </c>
      <c r="R59">
        <f>IF(AND($B59&lt;&gt;"",$C59&lt;&gt;"Target state",$C59&lt;&gt;"Exception",$D59="Medium",$E59="Low"),$A59&amp;"  "&amp;$B59,"")</f>
        <v/>
      </c>
      <c r="S59">
        <f>IF(AND($B59&lt;&gt;"",$C59&lt;&gt;"Target state",$C59&lt;&gt;"Exception",$D59="Medium",$E59="Medium"),$A59&amp;"  "&amp;$B59,"")</f>
        <v/>
      </c>
      <c r="T59">
        <f>IF(AND($B59&lt;&gt;"",$C59&lt;&gt;"Target state",$C59&lt;&gt;"Exception",$D59="Medium",$E59="High"),$A59&amp;"  "&amp;$B59,"")</f>
        <v/>
      </c>
      <c r="U59">
        <f>IF(AND($B59&lt;&gt;"",$C59&lt;&gt;"Target state",$C59&lt;&gt;"Exception",$D59="Low",$E59="Low"),$A59&amp;"  "&amp;$B59,"")</f>
        <v/>
      </c>
      <c r="V59">
        <f>IF(AND($B59&lt;&gt;"",$C59&lt;&gt;"Target state",$C59&lt;&gt;"Exception",$D59="Low",$E59="Medium"),$A59&amp;"  "&amp;$B59,"")</f>
        <v/>
      </c>
      <c r="W59">
        <f>IF(AND($B59&lt;&gt;"",$C59&lt;&gt;"Target state",$C59&lt;&gt;"Exception",$D59="Low",$E59="High"),$A59&amp;"  "&amp;$B59,"")</f>
        <v/>
      </c>
    </row>
    <row r="60" ht="20" customHeight="1">
      <c r="A60" s="29" t="inlineStr">
        <is>
          <t>⑥</t>
        </is>
      </c>
      <c r="B60" s="30" t="n"/>
      <c r="C60" s="31" t="n"/>
      <c r="D60" s="31" t="n"/>
      <c r="E60" s="31" t="n"/>
      <c r="F60" s="32" t="n"/>
      <c r="G60" s="33">
        <f>IF(OR($B60="",$D60="",$E60=""),"",IF(OR($C60="Target state",$C60="Exception"),"Out of scope",IF($D60="Low","No tranche",IF($E60="Low","Tranche 1",IF($E60="Medium","Tranche 2",IF($D60="High","Tranche 3","No tranche"))))))</f>
        <v/>
      </c>
      <c r="K60" s="40" t="n"/>
      <c r="L60" s="40" t="n"/>
      <c r="M60" s="40" t="n"/>
      <c r="O60">
        <f>IF(AND($B60&lt;&gt;"",$C60&lt;&gt;"Target state",$C60&lt;&gt;"Exception",$D60="High",$E60="Low"),$A60&amp;"  "&amp;$B60,"")</f>
        <v/>
      </c>
      <c r="P60">
        <f>IF(AND($B60&lt;&gt;"",$C60&lt;&gt;"Target state",$C60&lt;&gt;"Exception",$D60="High",$E60="Medium"),$A60&amp;"  "&amp;$B60,"")</f>
        <v/>
      </c>
      <c r="Q60">
        <f>IF(AND($B60&lt;&gt;"",$C60&lt;&gt;"Target state",$C60&lt;&gt;"Exception",$D60="High",$E60="High"),$A60&amp;"  "&amp;$B60,"")</f>
        <v/>
      </c>
      <c r="R60">
        <f>IF(AND($B60&lt;&gt;"",$C60&lt;&gt;"Target state",$C60&lt;&gt;"Exception",$D60="Medium",$E60="Low"),$A60&amp;"  "&amp;$B60,"")</f>
        <v/>
      </c>
      <c r="S60">
        <f>IF(AND($B60&lt;&gt;"",$C60&lt;&gt;"Target state",$C60&lt;&gt;"Exception",$D60="Medium",$E60="Medium"),$A60&amp;"  "&amp;$B60,"")</f>
        <v/>
      </c>
      <c r="T60">
        <f>IF(AND($B60&lt;&gt;"",$C60&lt;&gt;"Target state",$C60&lt;&gt;"Exception",$D60="Medium",$E60="High"),$A60&amp;"  "&amp;$B60,"")</f>
        <v/>
      </c>
      <c r="U60">
        <f>IF(AND($B60&lt;&gt;"",$C60&lt;&gt;"Target state",$C60&lt;&gt;"Exception",$D60="Low",$E60="Low"),$A60&amp;"  "&amp;$B60,"")</f>
        <v/>
      </c>
      <c r="V60">
        <f>IF(AND($B60&lt;&gt;"",$C60&lt;&gt;"Target state",$C60&lt;&gt;"Exception",$D60="Low",$E60="Medium"),$A60&amp;"  "&amp;$B60,"")</f>
        <v/>
      </c>
      <c r="W60">
        <f>IF(AND($B60&lt;&gt;"",$C60&lt;&gt;"Target state",$C60&lt;&gt;"Exception",$D60="Low",$E60="High"),$A60&amp;"  "&amp;$B60,"")</f>
        <v/>
      </c>
    </row>
    <row r="61" ht="20" customHeight="1">
      <c r="A61" s="29" t="inlineStr">
        <is>
          <t>⑦</t>
        </is>
      </c>
      <c r="B61" s="30" t="n"/>
      <c r="C61" s="31" t="n"/>
      <c r="D61" s="31" t="n"/>
      <c r="E61" s="31" t="n"/>
      <c r="F61" s="32" t="n"/>
      <c r="G61" s="33">
        <f>IF(OR($B61="",$D61="",$E61=""),"",IF(OR($C61="Target state",$C61="Exception"),"Out of scope",IF($D61="Low","No tranche",IF($E61="Low","Tranche 1",IF($E61="Medium","Tranche 2",IF($D61="High","Tranche 3","No tranche"))))))</f>
        <v/>
      </c>
      <c r="J61" s="35" t="inlineStr">
        <is>
          <t>Low</t>
        </is>
      </c>
      <c r="K61" s="41">
        <f>_xlfn.TEXTJOIN(CHAR(10),TRUE,U$55:U$64)</f>
        <v/>
      </c>
      <c r="L61" s="41">
        <f>_xlfn.TEXTJOIN(CHAR(10),TRUE,V$55:V$64)</f>
        <v/>
      </c>
      <c r="M61" s="41">
        <f>_xlfn.TEXTJOIN(CHAR(10),TRUE,W$55:W$64)</f>
        <v/>
      </c>
      <c r="O61">
        <f>IF(AND($B61&lt;&gt;"",$C61&lt;&gt;"Target state",$C61&lt;&gt;"Exception",$D61="High",$E61="Low"),$A61&amp;"  "&amp;$B61,"")</f>
        <v/>
      </c>
      <c r="P61">
        <f>IF(AND($B61&lt;&gt;"",$C61&lt;&gt;"Target state",$C61&lt;&gt;"Exception",$D61="High",$E61="Medium"),$A61&amp;"  "&amp;$B61,"")</f>
        <v/>
      </c>
      <c r="Q61">
        <f>IF(AND($B61&lt;&gt;"",$C61&lt;&gt;"Target state",$C61&lt;&gt;"Exception",$D61="High",$E61="High"),$A61&amp;"  "&amp;$B61,"")</f>
        <v/>
      </c>
      <c r="R61">
        <f>IF(AND($B61&lt;&gt;"",$C61&lt;&gt;"Target state",$C61&lt;&gt;"Exception",$D61="Medium",$E61="Low"),$A61&amp;"  "&amp;$B61,"")</f>
        <v/>
      </c>
      <c r="S61">
        <f>IF(AND($B61&lt;&gt;"",$C61&lt;&gt;"Target state",$C61&lt;&gt;"Exception",$D61="Medium",$E61="Medium"),$A61&amp;"  "&amp;$B61,"")</f>
        <v/>
      </c>
      <c r="T61">
        <f>IF(AND($B61&lt;&gt;"",$C61&lt;&gt;"Target state",$C61&lt;&gt;"Exception",$D61="Medium",$E61="High"),$A61&amp;"  "&amp;$B61,"")</f>
        <v/>
      </c>
      <c r="U61">
        <f>IF(AND($B61&lt;&gt;"",$C61&lt;&gt;"Target state",$C61&lt;&gt;"Exception",$D61="Low",$E61="Low"),$A61&amp;"  "&amp;$B61,"")</f>
        <v/>
      </c>
      <c r="V61">
        <f>IF(AND($B61&lt;&gt;"",$C61&lt;&gt;"Target state",$C61&lt;&gt;"Exception",$D61="Low",$E61="Medium"),$A61&amp;"  "&amp;$B61,"")</f>
        <v/>
      </c>
      <c r="W61">
        <f>IF(AND($B61&lt;&gt;"",$C61&lt;&gt;"Target state",$C61&lt;&gt;"Exception",$D61="Low",$E61="High"),$A61&amp;"  "&amp;$B61,"")</f>
        <v/>
      </c>
    </row>
    <row r="62" ht="20" customHeight="1">
      <c r="A62" s="29" t="inlineStr">
        <is>
          <t>⑧</t>
        </is>
      </c>
      <c r="B62" s="30" t="n"/>
      <c r="C62" s="31" t="n"/>
      <c r="D62" s="31" t="n"/>
      <c r="E62" s="31" t="n"/>
      <c r="F62" s="32" t="n"/>
      <c r="G62" s="33">
        <f>IF(OR($B62="",$D62="",$E62=""),"",IF(OR($C62="Target state",$C62="Exception"),"Out of scope",IF($D62="Low","No tranche",IF($E62="Low","Tranche 1",IF($E62="Medium","Tranche 2",IF($D62="High","Tranche 3","No tranche"))))))</f>
        <v/>
      </c>
      <c r="K62" s="39" t="n"/>
      <c r="L62" s="39" t="n"/>
      <c r="M62" s="39" t="n"/>
      <c r="O62">
        <f>IF(AND($B62&lt;&gt;"",$C62&lt;&gt;"Target state",$C62&lt;&gt;"Exception",$D62="High",$E62="Low"),$A62&amp;"  "&amp;$B62,"")</f>
        <v/>
      </c>
      <c r="P62">
        <f>IF(AND($B62&lt;&gt;"",$C62&lt;&gt;"Target state",$C62&lt;&gt;"Exception",$D62="High",$E62="Medium"),$A62&amp;"  "&amp;$B62,"")</f>
        <v/>
      </c>
      <c r="Q62">
        <f>IF(AND($B62&lt;&gt;"",$C62&lt;&gt;"Target state",$C62&lt;&gt;"Exception",$D62="High",$E62="High"),$A62&amp;"  "&amp;$B62,"")</f>
        <v/>
      </c>
      <c r="R62">
        <f>IF(AND($B62&lt;&gt;"",$C62&lt;&gt;"Target state",$C62&lt;&gt;"Exception",$D62="Medium",$E62="Low"),$A62&amp;"  "&amp;$B62,"")</f>
        <v/>
      </c>
      <c r="S62">
        <f>IF(AND($B62&lt;&gt;"",$C62&lt;&gt;"Target state",$C62&lt;&gt;"Exception",$D62="Medium",$E62="Medium"),$A62&amp;"  "&amp;$B62,"")</f>
        <v/>
      </c>
      <c r="T62">
        <f>IF(AND($B62&lt;&gt;"",$C62&lt;&gt;"Target state",$C62&lt;&gt;"Exception",$D62="Medium",$E62="High"),$A62&amp;"  "&amp;$B62,"")</f>
        <v/>
      </c>
      <c r="U62">
        <f>IF(AND($B62&lt;&gt;"",$C62&lt;&gt;"Target state",$C62&lt;&gt;"Exception",$D62="Low",$E62="Low"),$A62&amp;"  "&amp;$B62,"")</f>
        <v/>
      </c>
      <c r="V62">
        <f>IF(AND($B62&lt;&gt;"",$C62&lt;&gt;"Target state",$C62&lt;&gt;"Exception",$D62="Low",$E62="Medium"),$A62&amp;"  "&amp;$B62,"")</f>
        <v/>
      </c>
      <c r="W62">
        <f>IF(AND($B62&lt;&gt;"",$C62&lt;&gt;"Target state",$C62&lt;&gt;"Exception",$D62="Low",$E62="High"),$A62&amp;"  "&amp;$B62,"")</f>
        <v/>
      </c>
    </row>
    <row r="63" ht="20" customHeight="1">
      <c r="A63" s="29" t="inlineStr">
        <is>
          <t>⑨</t>
        </is>
      </c>
      <c r="B63" s="30" t="n"/>
      <c r="C63" s="31" t="n"/>
      <c r="D63" s="31" t="n"/>
      <c r="E63" s="31" t="n"/>
      <c r="F63" s="32" t="n"/>
      <c r="G63" s="33">
        <f>IF(OR($B63="",$D63="",$E63=""),"",IF(OR($C63="Target state",$C63="Exception"),"Out of scope",IF($D63="Low","No tranche",IF($E63="Low","Tranche 1",IF($E63="Medium","Tranche 2",IF($D63="High","Tranche 3","No tranche"))))))</f>
        <v/>
      </c>
      <c r="K63" s="40" t="n"/>
      <c r="L63" s="40" t="n"/>
      <c r="M63" s="40" t="n"/>
      <c r="O63">
        <f>IF(AND($B63&lt;&gt;"",$C63&lt;&gt;"Target state",$C63&lt;&gt;"Exception",$D63="High",$E63="Low"),$A63&amp;"  "&amp;$B63,"")</f>
        <v/>
      </c>
      <c r="P63">
        <f>IF(AND($B63&lt;&gt;"",$C63&lt;&gt;"Target state",$C63&lt;&gt;"Exception",$D63="High",$E63="Medium"),$A63&amp;"  "&amp;$B63,"")</f>
        <v/>
      </c>
      <c r="Q63">
        <f>IF(AND($B63&lt;&gt;"",$C63&lt;&gt;"Target state",$C63&lt;&gt;"Exception",$D63="High",$E63="High"),$A63&amp;"  "&amp;$B63,"")</f>
        <v/>
      </c>
      <c r="R63">
        <f>IF(AND($B63&lt;&gt;"",$C63&lt;&gt;"Target state",$C63&lt;&gt;"Exception",$D63="Medium",$E63="Low"),$A63&amp;"  "&amp;$B63,"")</f>
        <v/>
      </c>
      <c r="S63">
        <f>IF(AND($B63&lt;&gt;"",$C63&lt;&gt;"Target state",$C63&lt;&gt;"Exception",$D63="Medium",$E63="Medium"),$A63&amp;"  "&amp;$B63,"")</f>
        <v/>
      </c>
      <c r="T63">
        <f>IF(AND($B63&lt;&gt;"",$C63&lt;&gt;"Target state",$C63&lt;&gt;"Exception",$D63="Medium",$E63="High"),$A63&amp;"  "&amp;$B63,"")</f>
        <v/>
      </c>
      <c r="U63">
        <f>IF(AND($B63&lt;&gt;"",$C63&lt;&gt;"Target state",$C63&lt;&gt;"Exception",$D63="Low",$E63="Low"),$A63&amp;"  "&amp;$B63,"")</f>
        <v/>
      </c>
      <c r="V63">
        <f>IF(AND($B63&lt;&gt;"",$C63&lt;&gt;"Target state",$C63&lt;&gt;"Exception",$D63="Low",$E63="Medium"),$A63&amp;"  "&amp;$B63,"")</f>
        <v/>
      </c>
      <c r="W63">
        <f>IF(AND($B63&lt;&gt;"",$C63&lt;&gt;"Target state",$C63&lt;&gt;"Exception",$D63="Low",$E63="High"),$A63&amp;"  "&amp;$B63,"")</f>
        <v/>
      </c>
    </row>
    <row r="64" ht="20" customHeight="1">
      <c r="A64" s="29" t="inlineStr">
        <is>
          <t>⑩</t>
        </is>
      </c>
      <c r="B64" s="30" t="n"/>
      <c r="C64" s="31" t="n"/>
      <c r="D64" s="31" t="n"/>
      <c r="E64" s="31" t="n"/>
      <c r="F64" s="32" t="n"/>
      <c r="G64" s="33">
        <f>IF(OR($B64="",$D64="",$E64=""),"",IF(OR($C64="Target state",$C64="Exception"),"Out of scope",IF($D64="Low","No tranche",IF($E64="Low","Tranche 1",IF($E64="Medium","Tranche 2",IF($D64="High","Tranche 3","No tranche"))))))</f>
        <v/>
      </c>
      <c r="K64" s="35" t="inlineStr">
        <is>
          <t>Complexity</t>
        </is>
      </c>
      <c r="O64">
        <f>IF(AND($B64&lt;&gt;"",$C64&lt;&gt;"Target state",$C64&lt;&gt;"Exception",$D64="High",$E64="Low"),$A64&amp;"  "&amp;$B64,"")</f>
        <v/>
      </c>
      <c r="P64">
        <f>IF(AND($B64&lt;&gt;"",$C64&lt;&gt;"Target state",$C64&lt;&gt;"Exception",$D64="High",$E64="Medium"),$A64&amp;"  "&amp;$B64,"")</f>
        <v/>
      </c>
      <c r="Q64">
        <f>IF(AND($B64&lt;&gt;"",$C64&lt;&gt;"Target state",$C64&lt;&gt;"Exception",$D64="High",$E64="High"),$A64&amp;"  "&amp;$B64,"")</f>
        <v/>
      </c>
      <c r="R64">
        <f>IF(AND($B64&lt;&gt;"",$C64&lt;&gt;"Target state",$C64&lt;&gt;"Exception",$D64="Medium",$E64="Low"),$A64&amp;"  "&amp;$B64,"")</f>
        <v/>
      </c>
      <c r="S64">
        <f>IF(AND($B64&lt;&gt;"",$C64&lt;&gt;"Target state",$C64&lt;&gt;"Exception",$D64="Medium",$E64="Medium"),$A64&amp;"  "&amp;$B64,"")</f>
        <v/>
      </c>
      <c r="T64">
        <f>IF(AND($B64&lt;&gt;"",$C64&lt;&gt;"Target state",$C64&lt;&gt;"Exception",$D64="Medium",$E64="High"),$A64&amp;"  "&amp;$B64,"")</f>
        <v/>
      </c>
      <c r="U64">
        <f>IF(AND($B64&lt;&gt;"",$C64&lt;&gt;"Target state",$C64&lt;&gt;"Exception",$D64="Low",$E64="Low"),$A64&amp;"  "&amp;$B64,"")</f>
        <v/>
      </c>
      <c r="V64">
        <f>IF(AND($B64&lt;&gt;"",$C64&lt;&gt;"Target state",$C64&lt;&gt;"Exception",$D64="Low",$E64="Medium"),$A64&amp;"  "&amp;$B64,"")</f>
        <v/>
      </c>
      <c r="W64">
        <f>IF(AND($B64&lt;&gt;"",$C64&lt;&gt;"Target state",$C64&lt;&gt;"Exception",$D64="Low",$E64="High"),$A64&amp;"  "&amp;$B64,"")</f>
        <v/>
      </c>
    </row>
    <row r="67" ht="22" customHeight="1">
      <c r="A67" s="24" t="inlineStr">
        <is>
          <t>Unified Proposition</t>
        </is>
      </c>
      <c r="G67" s="25">
        <f>HYPERLINK("#'Single-in'!A4","▲ tracker")</f>
        <v/>
      </c>
      <c r="K67" s="26" t="inlineStr">
        <is>
          <t>Assessment Outcome</t>
        </is>
      </c>
    </row>
    <row r="68" ht="18" customHeight="1">
      <c r="A68" s="27" t="inlineStr">
        <is>
          <t>#</t>
        </is>
      </c>
      <c r="B68" s="27" t="inlineStr">
        <is>
          <t>Platform</t>
        </is>
      </c>
      <c r="C68" s="27" t="inlineStr">
        <is>
          <t>State</t>
        </is>
      </c>
      <c r="D68" s="27" t="inlineStr">
        <is>
          <t>Imperative to exit</t>
        </is>
      </c>
      <c r="E68" s="27" t="inlineStr">
        <is>
          <t>Exit complexity</t>
        </is>
      </c>
      <c r="F68" s="27" t="inlineStr">
        <is>
          <t>Supporting facts</t>
        </is>
      </c>
      <c r="G68" s="27" t="inlineStr">
        <is>
          <t>Tranche (auto)</t>
        </is>
      </c>
      <c r="K68" s="28" t="inlineStr">
        <is>
          <t>Low</t>
        </is>
      </c>
      <c r="L68" s="28" t="inlineStr">
        <is>
          <t>Medium</t>
        </is>
      </c>
      <c r="M68" s="28" t="inlineStr">
        <is>
          <t>High</t>
        </is>
      </c>
    </row>
    <row r="69" ht="20" customHeight="1">
      <c r="A69" s="29" t="inlineStr">
        <is>
          <t>①</t>
        </is>
      </c>
      <c r="B69" s="30" t="n"/>
      <c r="C69" s="31" t="n"/>
      <c r="D69" s="31" t="n"/>
      <c r="E69" s="31" t="n"/>
      <c r="F69" s="32" t="n"/>
      <c r="G69" s="33">
        <f>IF(OR($B69="",$D69="",$E69=""),"",IF(OR($C69="Target state",$C69="Exception"),"Out of scope",IF($D69="Low","No tranche",IF($E69="Low","Tranche 1",IF($E69="Medium","Tranche 2",IF($D69="High","Tranche 3","No tranche"))))))</f>
        <v/>
      </c>
      <c r="I69" s="34" t="inlineStr">
        <is>
          <t>Benefits</t>
        </is>
      </c>
      <c r="J69" s="35" t="inlineStr">
        <is>
          <t>High</t>
        </is>
      </c>
      <c r="K69" s="36">
        <f>"Tranche 1"&amp;CHAR(10)&amp;_xlfn.TEXTJOIN(CHAR(10),TRUE,O$69:O$78)</f>
        <v/>
      </c>
      <c r="L69" s="37">
        <f>"Tranche 2"&amp;CHAR(10)&amp;_xlfn.TEXTJOIN(CHAR(10),TRUE,P$69:P$78)</f>
        <v/>
      </c>
      <c r="M69" s="38">
        <f>"Tranche 3"&amp;CHAR(10)&amp;_xlfn.TEXTJOIN(CHAR(10),TRUE,Q$69:Q$78)</f>
        <v/>
      </c>
      <c r="O69">
        <f>IF(AND($B69&lt;&gt;"",$C69&lt;&gt;"Target state",$C69&lt;&gt;"Exception",$D69="High",$E69="Low"),$A69&amp;"  "&amp;$B69,"")</f>
        <v/>
      </c>
      <c r="P69">
        <f>IF(AND($B69&lt;&gt;"",$C69&lt;&gt;"Target state",$C69&lt;&gt;"Exception",$D69="High",$E69="Medium"),$A69&amp;"  "&amp;$B69,"")</f>
        <v/>
      </c>
      <c r="Q69">
        <f>IF(AND($B69&lt;&gt;"",$C69&lt;&gt;"Target state",$C69&lt;&gt;"Exception",$D69="High",$E69="High"),$A69&amp;"  "&amp;$B69,"")</f>
        <v/>
      </c>
      <c r="R69">
        <f>IF(AND($B69&lt;&gt;"",$C69&lt;&gt;"Target state",$C69&lt;&gt;"Exception",$D69="Medium",$E69="Low"),$A69&amp;"  "&amp;$B69,"")</f>
        <v/>
      </c>
      <c r="S69">
        <f>IF(AND($B69&lt;&gt;"",$C69&lt;&gt;"Target state",$C69&lt;&gt;"Exception",$D69="Medium",$E69="Medium"),$A69&amp;"  "&amp;$B69,"")</f>
        <v/>
      </c>
      <c r="T69">
        <f>IF(AND($B69&lt;&gt;"",$C69&lt;&gt;"Target state",$C69&lt;&gt;"Exception",$D69="Medium",$E69="High"),$A69&amp;"  "&amp;$B69,"")</f>
        <v/>
      </c>
      <c r="U69">
        <f>IF(AND($B69&lt;&gt;"",$C69&lt;&gt;"Target state",$C69&lt;&gt;"Exception",$D69="Low",$E69="Low"),$A69&amp;"  "&amp;$B69,"")</f>
        <v/>
      </c>
      <c r="V69">
        <f>IF(AND($B69&lt;&gt;"",$C69&lt;&gt;"Target state",$C69&lt;&gt;"Exception",$D69="Low",$E69="Medium"),$A69&amp;"  "&amp;$B69,"")</f>
        <v/>
      </c>
      <c r="W69">
        <f>IF(AND($B69&lt;&gt;"",$C69&lt;&gt;"Target state",$C69&lt;&gt;"Exception",$D69="Low",$E69="High"),$A69&amp;"  "&amp;$B69,"")</f>
        <v/>
      </c>
    </row>
    <row r="70" ht="20" customHeight="1">
      <c r="A70" s="29" t="inlineStr">
        <is>
          <t>②</t>
        </is>
      </c>
      <c r="B70" s="30" t="n"/>
      <c r="C70" s="31" t="n"/>
      <c r="D70" s="31" t="n"/>
      <c r="E70" s="31" t="n"/>
      <c r="F70" s="32" t="n"/>
      <c r="G70" s="33">
        <f>IF(OR($B70="",$D70="",$E70=""),"",IF(OR($C70="Target state",$C70="Exception"),"Out of scope",IF($D70="Low","No tranche",IF($E70="Low","Tranche 1",IF($E70="Medium","Tranche 2",IF($D70="High","Tranche 3","No tranche"))))))</f>
        <v/>
      </c>
      <c r="K70" s="39" t="n"/>
      <c r="L70" s="39" t="n"/>
      <c r="M70" s="39" t="n"/>
      <c r="O70">
        <f>IF(AND($B70&lt;&gt;"",$C70&lt;&gt;"Target state",$C70&lt;&gt;"Exception",$D70="High",$E70="Low"),$A70&amp;"  "&amp;$B70,"")</f>
        <v/>
      </c>
      <c r="P70">
        <f>IF(AND($B70&lt;&gt;"",$C70&lt;&gt;"Target state",$C70&lt;&gt;"Exception",$D70="High",$E70="Medium"),$A70&amp;"  "&amp;$B70,"")</f>
        <v/>
      </c>
      <c r="Q70">
        <f>IF(AND($B70&lt;&gt;"",$C70&lt;&gt;"Target state",$C70&lt;&gt;"Exception",$D70="High",$E70="High"),$A70&amp;"  "&amp;$B70,"")</f>
        <v/>
      </c>
      <c r="R70">
        <f>IF(AND($B70&lt;&gt;"",$C70&lt;&gt;"Target state",$C70&lt;&gt;"Exception",$D70="Medium",$E70="Low"),$A70&amp;"  "&amp;$B70,"")</f>
        <v/>
      </c>
      <c r="S70">
        <f>IF(AND($B70&lt;&gt;"",$C70&lt;&gt;"Target state",$C70&lt;&gt;"Exception",$D70="Medium",$E70="Medium"),$A70&amp;"  "&amp;$B70,"")</f>
        <v/>
      </c>
      <c r="T70">
        <f>IF(AND($B70&lt;&gt;"",$C70&lt;&gt;"Target state",$C70&lt;&gt;"Exception",$D70="Medium",$E70="High"),$A70&amp;"  "&amp;$B70,"")</f>
        <v/>
      </c>
      <c r="U70">
        <f>IF(AND($B70&lt;&gt;"",$C70&lt;&gt;"Target state",$C70&lt;&gt;"Exception",$D70="Low",$E70="Low"),$A70&amp;"  "&amp;$B70,"")</f>
        <v/>
      </c>
      <c r="V70">
        <f>IF(AND($B70&lt;&gt;"",$C70&lt;&gt;"Target state",$C70&lt;&gt;"Exception",$D70="Low",$E70="Medium"),$A70&amp;"  "&amp;$B70,"")</f>
        <v/>
      </c>
      <c r="W70">
        <f>IF(AND($B70&lt;&gt;"",$C70&lt;&gt;"Target state",$C70&lt;&gt;"Exception",$D70="Low",$E70="High"),$A70&amp;"  "&amp;$B70,"")</f>
        <v/>
      </c>
    </row>
    <row r="71" ht="20" customHeight="1">
      <c r="A71" s="29" t="inlineStr">
        <is>
          <t>③</t>
        </is>
      </c>
      <c r="B71" s="30" t="n"/>
      <c r="C71" s="31" t="n"/>
      <c r="D71" s="31" t="n"/>
      <c r="E71" s="31" t="n"/>
      <c r="F71" s="32" t="n"/>
      <c r="G71" s="33">
        <f>IF(OR($B71="",$D71="",$E71=""),"",IF(OR($C71="Target state",$C71="Exception"),"Out of scope",IF($D71="Low","No tranche",IF($E71="Low","Tranche 1",IF($E71="Medium","Tranche 2",IF($D71="High","Tranche 3","No tranche"))))))</f>
        <v/>
      </c>
      <c r="K71" s="40" t="n"/>
      <c r="L71" s="40" t="n"/>
      <c r="M71" s="40" t="n"/>
      <c r="O71">
        <f>IF(AND($B71&lt;&gt;"",$C71&lt;&gt;"Target state",$C71&lt;&gt;"Exception",$D71="High",$E71="Low"),$A71&amp;"  "&amp;$B71,"")</f>
        <v/>
      </c>
      <c r="P71">
        <f>IF(AND($B71&lt;&gt;"",$C71&lt;&gt;"Target state",$C71&lt;&gt;"Exception",$D71="High",$E71="Medium"),$A71&amp;"  "&amp;$B71,"")</f>
        <v/>
      </c>
      <c r="Q71">
        <f>IF(AND($B71&lt;&gt;"",$C71&lt;&gt;"Target state",$C71&lt;&gt;"Exception",$D71="High",$E71="High"),$A71&amp;"  "&amp;$B71,"")</f>
        <v/>
      </c>
      <c r="R71">
        <f>IF(AND($B71&lt;&gt;"",$C71&lt;&gt;"Target state",$C71&lt;&gt;"Exception",$D71="Medium",$E71="Low"),$A71&amp;"  "&amp;$B71,"")</f>
        <v/>
      </c>
      <c r="S71">
        <f>IF(AND($B71&lt;&gt;"",$C71&lt;&gt;"Target state",$C71&lt;&gt;"Exception",$D71="Medium",$E71="Medium"),$A71&amp;"  "&amp;$B71,"")</f>
        <v/>
      </c>
      <c r="T71">
        <f>IF(AND($B71&lt;&gt;"",$C71&lt;&gt;"Target state",$C71&lt;&gt;"Exception",$D71="Medium",$E71="High"),$A71&amp;"  "&amp;$B71,"")</f>
        <v/>
      </c>
      <c r="U71">
        <f>IF(AND($B71&lt;&gt;"",$C71&lt;&gt;"Target state",$C71&lt;&gt;"Exception",$D71="Low",$E71="Low"),$A71&amp;"  "&amp;$B71,"")</f>
        <v/>
      </c>
      <c r="V71">
        <f>IF(AND($B71&lt;&gt;"",$C71&lt;&gt;"Target state",$C71&lt;&gt;"Exception",$D71="Low",$E71="Medium"),$A71&amp;"  "&amp;$B71,"")</f>
        <v/>
      </c>
      <c r="W71">
        <f>IF(AND($B71&lt;&gt;"",$C71&lt;&gt;"Target state",$C71&lt;&gt;"Exception",$D71="Low",$E71="High"),$A71&amp;"  "&amp;$B71,"")</f>
        <v/>
      </c>
    </row>
    <row r="72" ht="20" customHeight="1">
      <c r="A72" s="29" t="inlineStr">
        <is>
          <t>④</t>
        </is>
      </c>
      <c r="B72" s="30" t="n"/>
      <c r="C72" s="31" t="n"/>
      <c r="D72" s="31" t="n"/>
      <c r="E72" s="31" t="n"/>
      <c r="F72" s="32" t="n"/>
      <c r="G72" s="33">
        <f>IF(OR($B72="",$D72="",$E72=""),"",IF(OR($C72="Target state",$C72="Exception"),"Out of scope",IF($D72="Low","No tranche",IF($E72="Low","Tranche 1",IF($E72="Medium","Tranche 2",IF($D72="High","Tranche 3","No tranche"))))))</f>
        <v/>
      </c>
      <c r="J72" s="35" t="inlineStr">
        <is>
          <t>Medium</t>
        </is>
      </c>
      <c r="K72" s="36">
        <f>"Tranche 1"&amp;CHAR(10)&amp;_xlfn.TEXTJOIN(CHAR(10),TRUE,R$69:R$78)</f>
        <v/>
      </c>
      <c r="L72" s="37">
        <f>"Tranche 2"&amp;CHAR(10)&amp;_xlfn.TEXTJOIN(CHAR(10),TRUE,S$69:S$78)</f>
        <v/>
      </c>
      <c r="M72" s="41">
        <f>_xlfn.TEXTJOIN(CHAR(10),TRUE,T$69:T$78)</f>
        <v/>
      </c>
      <c r="O72">
        <f>IF(AND($B72&lt;&gt;"",$C72&lt;&gt;"Target state",$C72&lt;&gt;"Exception",$D72="High",$E72="Low"),$A72&amp;"  "&amp;$B72,"")</f>
        <v/>
      </c>
      <c r="P72">
        <f>IF(AND($B72&lt;&gt;"",$C72&lt;&gt;"Target state",$C72&lt;&gt;"Exception",$D72="High",$E72="Medium"),$A72&amp;"  "&amp;$B72,"")</f>
        <v/>
      </c>
      <c r="Q72">
        <f>IF(AND($B72&lt;&gt;"",$C72&lt;&gt;"Target state",$C72&lt;&gt;"Exception",$D72="High",$E72="High"),$A72&amp;"  "&amp;$B72,"")</f>
        <v/>
      </c>
      <c r="R72">
        <f>IF(AND($B72&lt;&gt;"",$C72&lt;&gt;"Target state",$C72&lt;&gt;"Exception",$D72="Medium",$E72="Low"),$A72&amp;"  "&amp;$B72,"")</f>
        <v/>
      </c>
      <c r="S72">
        <f>IF(AND($B72&lt;&gt;"",$C72&lt;&gt;"Target state",$C72&lt;&gt;"Exception",$D72="Medium",$E72="Medium"),$A72&amp;"  "&amp;$B72,"")</f>
        <v/>
      </c>
      <c r="T72">
        <f>IF(AND($B72&lt;&gt;"",$C72&lt;&gt;"Target state",$C72&lt;&gt;"Exception",$D72="Medium",$E72="High"),$A72&amp;"  "&amp;$B72,"")</f>
        <v/>
      </c>
      <c r="U72">
        <f>IF(AND($B72&lt;&gt;"",$C72&lt;&gt;"Target state",$C72&lt;&gt;"Exception",$D72="Low",$E72="Low"),$A72&amp;"  "&amp;$B72,"")</f>
        <v/>
      </c>
      <c r="V72">
        <f>IF(AND($B72&lt;&gt;"",$C72&lt;&gt;"Target state",$C72&lt;&gt;"Exception",$D72="Low",$E72="Medium"),$A72&amp;"  "&amp;$B72,"")</f>
        <v/>
      </c>
      <c r="W72">
        <f>IF(AND($B72&lt;&gt;"",$C72&lt;&gt;"Target state",$C72&lt;&gt;"Exception",$D72="Low",$E72="High"),$A72&amp;"  "&amp;$B72,"")</f>
        <v/>
      </c>
    </row>
    <row r="73" ht="20" customHeight="1">
      <c r="A73" s="29" t="inlineStr">
        <is>
          <t>⑤</t>
        </is>
      </c>
      <c r="B73" s="30" t="n"/>
      <c r="C73" s="31" t="n"/>
      <c r="D73" s="31" t="n"/>
      <c r="E73" s="31" t="n"/>
      <c r="F73" s="32" t="n"/>
      <c r="G73" s="33">
        <f>IF(OR($B73="",$D73="",$E73=""),"",IF(OR($C73="Target state",$C73="Exception"),"Out of scope",IF($D73="Low","No tranche",IF($E73="Low","Tranche 1",IF($E73="Medium","Tranche 2",IF($D73="High","Tranche 3","No tranche"))))))</f>
        <v/>
      </c>
      <c r="K73" s="39" t="n"/>
      <c r="L73" s="39" t="n"/>
      <c r="M73" s="39" t="n"/>
      <c r="O73">
        <f>IF(AND($B73&lt;&gt;"",$C73&lt;&gt;"Target state",$C73&lt;&gt;"Exception",$D73="High",$E73="Low"),$A73&amp;"  "&amp;$B73,"")</f>
        <v/>
      </c>
      <c r="P73">
        <f>IF(AND($B73&lt;&gt;"",$C73&lt;&gt;"Target state",$C73&lt;&gt;"Exception",$D73="High",$E73="Medium"),$A73&amp;"  "&amp;$B73,"")</f>
        <v/>
      </c>
      <c r="Q73">
        <f>IF(AND($B73&lt;&gt;"",$C73&lt;&gt;"Target state",$C73&lt;&gt;"Exception",$D73="High",$E73="High"),$A73&amp;"  "&amp;$B73,"")</f>
        <v/>
      </c>
      <c r="R73">
        <f>IF(AND($B73&lt;&gt;"",$C73&lt;&gt;"Target state",$C73&lt;&gt;"Exception",$D73="Medium",$E73="Low"),$A73&amp;"  "&amp;$B73,"")</f>
        <v/>
      </c>
      <c r="S73">
        <f>IF(AND($B73&lt;&gt;"",$C73&lt;&gt;"Target state",$C73&lt;&gt;"Exception",$D73="Medium",$E73="Medium"),$A73&amp;"  "&amp;$B73,"")</f>
        <v/>
      </c>
      <c r="T73">
        <f>IF(AND($B73&lt;&gt;"",$C73&lt;&gt;"Target state",$C73&lt;&gt;"Exception",$D73="Medium",$E73="High"),$A73&amp;"  "&amp;$B73,"")</f>
        <v/>
      </c>
      <c r="U73">
        <f>IF(AND($B73&lt;&gt;"",$C73&lt;&gt;"Target state",$C73&lt;&gt;"Exception",$D73="Low",$E73="Low"),$A73&amp;"  "&amp;$B73,"")</f>
        <v/>
      </c>
      <c r="V73">
        <f>IF(AND($B73&lt;&gt;"",$C73&lt;&gt;"Target state",$C73&lt;&gt;"Exception",$D73="Low",$E73="Medium"),$A73&amp;"  "&amp;$B73,"")</f>
        <v/>
      </c>
      <c r="W73">
        <f>IF(AND($B73&lt;&gt;"",$C73&lt;&gt;"Target state",$C73&lt;&gt;"Exception",$D73="Low",$E73="High"),$A73&amp;"  "&amp;$B73,"")</f>
        <v/>
      </c>
    </row>
    <row r="74" ht="20" customHeight="1">
      <c r="A74" s="29" t="inlineStr">
        <is>
          <t>⑥</t>
        </is>
      </c>
      <c r="B74" s="30" t="n"/>
      <c r="C74" s="31" t="n"/>
      <c r="D74" s="31" t="n"/>
      <c r="E74" s="31" t="n"/>
      <c r="F74" s="32" t="n"/>
      <c r="G74" s="33">
        <f>IF(OR($B74="",$D74="",$E74=""),"",IF(OR($C74="Target state",$C74="Exception"),"Out of scope",IF($D74="Low","No tranche",IF($E74="Low","Tranche 1",IF($E74="Medium","Tranche 2",IF($D74="High","Tranche 3","No tranche"))))))</f>
        <v/>
      </c>
      <c r="K74" s="40" t="n"/>
      <c r="L74" s="40" t="n"/>
      <c r="M74" s="40" t="n"/>
      <c r="O74">
        <f>IF(AND($B74&lt;&gt;"",$C74&lt;&gt;"Target state",$C74&lt;&gt;"Exception",$D74="High",$E74="Low"),$A74&amp;"  "&amp;$B74,"")</f>
        <v/>
      </c>
      <c r="P74">
        <f>IF(AND($B74&lt;&gt;"",$C74&lt;&gt;"Target state",$C74&lt;&gt;"Exception",$D74="High",$E74="Medium"),$A74&amp;"  "&amp;$B74,"")</f>
        <v/>
      </c>
      <c r="Q74">
        <f>IF(AND($B74&lt;&gt;"",$C74&lt;&gt;"Target state",$C74&lt;&gt;"Exception",$D74="High",$E74="High"),$A74&amp;"  "&amp;$B74,"")</f>
        <v/>
      </c>
      <c r="R74">
        <f>IF(AND($B74&lt;&gt;"",$C74&lt;&gt;"Target state",$C74&lt;&gt;"Exception",$D74="Medium",$E74="Low"),$A74&amp;"  "&amp;$B74,"")</f>
        <v/>
      </c>
      <c r="S74">
        <f>IF(AND($B74&lt;&gt;"",$C74&lt;&gt;"Target state",$C74&lt;&gt;"Exception",$D74="Medium",$E74="Medium"),$A74&amp;"  "&amp;$B74,"")</f>
        <v/>
      </c>
      <c r="T74">
        <f>IF(AND($B74&lt;&gt;"",$C74&lt;&gt;"Target state",$C74&lt;&gt;"Exception",$D74="Medium",$E74="High"),$A74&amp;"  "&amp;$B74,"")</f>
        <v/>
      </c>
      <c r="U74">
        <f>IF(AND($B74&lt;&gt;"",$C74&lt;&gt;"Target state",$C74&lt;&gt;"Exception",$D74="Low",$E74="Low"),$A74&amp;"  "&amp;$B74,"")</f>
        <v/>
      </c>
      <c r="V74">
        <f>IF(AND($B74&lt;&gt;"",$C74&lt;&gt;"Target state",$C74&lt;&gt;"Exception",$D74="Low",$E74="Medium"),$A74&amp;"  "&amp;$B74,"")</f>
        <v/>
      </c>
      <c r="W74">
        <f>IF(AND($B74&lt;&gt;"",$C74&lt;&gt;"Target state",$C74&lt;&gt;"Exception",$D74="Low",$E74="High"),$A74&amp;"  "&amp;$B74,"")</f>
        <v/>
      </c>
    </row>
    <row r="75" ht="20" customHeight="1">
      <c r="A75" s="29" t="inlineStr">
        <is>
          <t>⑦</t>
        </is>
      </c>
      <c r="B75" s="30" t="n"/>
      <c r="C75" s="31" t="n"/>
      <c r="D75" s="31" t="n"/>
      <c r="E75" s="31" t="n"/>
      <c r="F75" s="32" t="n"/>
      <c r="G75" s="33">
        <f>IF(OR($B75="",$D75="",$E75=""),"",IF(OR($C75="Target state",$C75="Exception"),"Out of scope",IF($D75="Low","No tranche",IF($E75="Low","Tranche 1",IF($E75="Medium","Tranche 2",IF($D75="High","Tranche 3","No tranche"))))))</f>
        <v/>
      </c>
      <c r="J75" s="35" t="inlineStr">
        <is>
          <t>Low</t>
        </is>
      </c>
      <c r="K75" s="41">
        <f>_xlfn.TEXTJOIN(CHAR(10),TRUE,U$69:U$78)</f>
        <v/>
      </c>
      <c r="L75" s="41">
        <f>_xlfn.TEXTJOIN(CHAR(10),TRUE,V$69:V$78)</f>
        <v/>
      </c>
      <c r="M75" s="41">
        <f>_xlfn.TEXTJOIN(CHAR(10),TRUE,W$69:W$78)</f>
        <v/>
      </c>
      <c r="O75">
        <f>IF(AND($B75&lt;&gt;"",$C75&lt;&gt;"Target state",$C75&lt;&gt;"Exception",$D75="High",$E75="Low"),$A75&amp;"  "&amp;$B75,"")</f>
        <v/>
      </c>
      <c r="P75">
        <f>IF(AND($B75&lt;&gt;"",$C75&lt;&gt;"Target state",$C75&lt;&gt;"Exception",$D75="High",$E75="Medium"),$A75&amp;"  "&amp;$B75,"")</f>
        <v/>
      </c>
      <c r="Q75">
        <f>IF(AND($B75&lt;&gt;"",$C75&lt;&gt;"Target state",$C75&lt;&gt;"Exception",$D75="High",$E75="High"),$A75&amp;"  "&amp;$B75,"")</f>
        <v/>
      </c>
      <c r="R75">
        <f>IF(AND($B75&lt;&gt;"",$C75&lt;&gt;"Target state",$C75&lt;&gt;"Exception",$D75="Medium",$E75="Low"),$A75&amp;"  "&amp;$B75,"")</f>
        <v/>
      </c>
      <c r="S75">
        <f>IF(AND($B75&lt;&gt;"",$C75&lt;&gt;"Target state",$C75&lt;&gt;"Exception",$D75="Medium",$E75="Medium"),$A75&amp;"  "&amp;$B75,"")</f>
        <v/>
      </c>
      <c r="T75">
        <f>IF(AND($B75&lt;&gt;"",$C75&lt;&gt;"Target state",$C75&lt;&gt;"Exception",$D75="Medium",$E75="High"),$A75&amp;"  "&amp;$B75,"")</f>
        <v/>
      </c>
      <c r="U75">
        <f>IF(AND($B75&lt;&gt;"",$C75&lt;&gt;"Target state",$C75&lt;&gt;"Exception",$D75="Low",$E75="Low"),$A75&amp;"  "&amp;$B75,"")</f>
        <v/>
      </c>
      <c r="V75">
        <f>IF(AND($B75&lt;&gt;"",$C75&lt;&gt;"Target state",$C75&lt;&gt;"Exception",$D75="Low",$E75="Medium"),$A75&amp;"  "&amp;$B75,"")</f>
        <v/>
      </c>
      <c r="W75">
        <f>IF(AND($B75&lt;&gt;"",$C75&lt;&gt;"Target state",$C75&lt;&gt;"Exception",$D75="Low",$E75="High"),$A75&amp;"  "&amp;$B75,"")</f>
        <v/>
      </c>
    </row>
    <row r="76" ht="20" customHeight="1">
      <c r="A76" s="29" t="inlineStr">
        <is>
          <t>⑧</t>
        </is>
      </c>
      <c r="B76" s="30" t="n"/>
      <c r="C76" s="31" t="n"/>
      <c r="D76" s="31" t="n"/>
      <c r="E76" s="31" t="n"/>
      <c r="F76" s="32" t="n"/>
      <c r="G76" s="33">
        <f>IF(OR($B76="",$D76="",$E76=""),"",IF(OR($C76="Target state",$C76="Exception"),"Out of scope",IF($D76="Low","No tranche",IF($E76="Low","Tranche 1",IF($E76="Medium","Tranche 2",IF($D76="High","Tranche 3","No tranche"))))))</f>
        <v/>
      </c>
      <c r="K76" s="39" t="n"/>
      <c r="L76" s="39" t="n"/>
      <c r="M76" s="39" t="n"/>
      <c r="O76">
        <f>IF(AND($B76&lt;&gt;"",$C76&lt;&gt;"Target state",$C76&lt;&gt;"Exception",$D76="High",$E76="Low"),$A76&amp;"  "&amp;$B76,"")</f>
        <v/>
      </c>
      <c r="P76">
        <f>IF(AND($B76&lt;&gt;"",$C76&lt;&gt;"Target state",$C76&lt;&gt;"Exception",$D76="High",$E76="Medium"),$A76&amp;"  "&amp;$B76,"")</f>
        <v/>
      </c>
      <c r="Q76">
        <f>IF(AND($B76&lt;&gt;"",$C76&lt;&gt;"Target state",$C76&lt;&gt;"Exception",$D76="High",$E76="High"),$A76&amp;"  "&amp;$B76,"")</f>
        <v/>
      </c>
      <c r="R76">
        <f>IF(AND($B76&lt;&gt;"",$C76&lt;&gt;"Target state",$C76&lt;&gt;"Exception",$D76="Medium",$E76="Low"),$A76&amp;"  "&amp;$B76,"")</f>
        <v/>
      </c>
      <c r="S76">
        <f>IF(AND($B76&lt;&gt;"",$C76&lt;&gt;"Target state",$C76&lt;&gt;"Exception",$D76="Medium",$E76="Medium"),$A76&amp;"  "&amp;$B76,"")</f>
        <v/>
      </c>
      <c r="T76">
        <f>IF(AND($B76&lt;&gt;"",$C76&lt;&gt;"Target state",$C76&lt;&gt;"Exception",$D76="Medium",$E76="High"),$A76&amp;"  "&amp;$B76,"")</f>
        <v/>
      </c>
      <c r="U76">
        <f>IF(AND($B76&lt;&gt;"",$C76&lt;&gt;"Target state",$C76&lt;&gt;"Exception",$D76="Low",$E76="Low"),$A76&amp;"  "&amp;$B76,"")</f>
        <v/>
      </c>
      <c r="V76">
        <f>IF(AND($B76&lt;&gt;"",$C76&lt;&gt;"Target state",$C76&lt;&gt;"Exception",$D76="Low",$E76="Medium"),$A76&amp;"  "&amp;$B76,"")</f>
        <v/>
      </c>
      <c r="W76">
        <f>IF(AND($B76&lt;&gt;"",$C76&lt;&gt;"Target state",$C76&lt;&gt;"Exception",$D76="Low",$E76="High"),$A76&amp;"  "&amp;$B76,"")</f>
        <v/>
      </c>
    </row>
    <row r="77" ht="20" customHeight="1">
      <c r="A77" s="29" t="inlineStr">
        <is>
          <t>⑨</t>
        </is>
      </c>
      <c r="B77" s="30" t="n"/>
      <c r="C77" s="31" t="n"/>
      <c r="D77" s="31" t="n"/>
      <c r="E77" s="31" t="n"/>
      <c r="F77" s="32" t="n"/>
      <c r="G77" s="33">
        <f>IF(OR($B77="",$D77="",$E77=""),"",IF(OR($C77="Target state",$C77="Exception"),"Out of scope",IF($D77="Low","No tranche",IF($E77="Low","Tranche 1",IF($E77="Medium","Tranche 2",IF($D77="High","Tranche 3","No tranche"))))))</f>
        <v/>
      </c>
      <c r="K77" s="40" t="n"/>
      <c r="L77" s="40" t="n"/>
      <c r="M77" s="40" t="n"/>
      <c r="O77">
        <f>IF(AND($B77&lt;&gt;"",$C77&lt;&gt;"Target state",$C77&lt;&gt;"Exception",$D77="High",$E77="Low"),$A77&amp;"  "&amp;$B77,"")</f>
        <v/>
      </c>
      <c r="P77">
        <f>IF(AND($B77&lt;&gt;"",$C77&lt;&gt;"Target state",$C77&lt;&gt;"Exception",$D77="High",$E77="Medium"),$A77&amp;"  "&amp;$B77,"")</f>
        <v/>
      </c>
      <c r="Q77">
        <f>IF(AND($B77&lt;&gt;"",$C77&lt;&gt;"Target state",$C77&lt;&gt;"Exception",$D77="High",$E77="High"),$A77&amp;"  "&amp;$B77,"")</f>
        <v/>
      </c>
      <c r="R77">
        <f>IF(AND($B77&lt;&gt;"",$C77&lt;&gt;"Target state",$C77&lt;&gt;"Exception",$D77="Medium",$E77="Low"),$A77&amp;"  "&amp;$B77,"")</f>
        <v/>
      </c>
      <c r="S77">
        <f>IF(AND($B77&lt;&gt;"",$C77&lt;&gt;"Target state",$C77&lt;&gt;"Exception",$D77="Medium",$E77="Medium"),$A77&amp;"  "&amp;$B77,"")</f>
        <v/>
      </c>
      <c r="T77">
        <f>IF(AND($B77&lt;&gt;"",$C77&lt;&gt;"Target state",$C77&lt;&gt;"Exception",$D77="Medium",$E77="High"),$A77&amp;"  "&amp;$B77,"")</f>
        <v/>
      </c>
      <c r="U77">
        <f>IF(AND($B77&lt;&gt;"",$C77&lt;&gt;"Target state",$C77&lt;&gt;"Exception",$D77="Low",$E77="Low"),$A77&amp;"  "&amp;$B77,"")</f>
        <v/>
      </c>
      <c r="V77">
        <f>IF(AND($B77&lt;&gt;"",$C77&lt;&gt;"Target state",$C77&lt;&gt;"Exception",$D77="Low",$E77="Medium"),$A77&amp;"  "&amp;$B77,"")</f>
        <v/>
      </c>
      <c r="W77">
        <f>IF(AND($B77&lt;&gt;"",$C77&lt;&gt;"Target state",$C77&lt;&gt;"Exception",$D77="Low",$E77="High"),$A77&amp;"  "&amp;$B77,"")</f>
        <v/>
      </c>
    </row>
    <row r="78" ht="20" customHeight="1">
      <c r="A78" s="29" t="inlineStr">
        <is>
          <t>⑩</t>
        </is>
      </c>
      <c r="B78" s="30" t="n"/>
      <c r="C78" s="31" t="n"/>
      <c r="D78" s="31" t="n"/>
      <c r="E78" s="31" t="n"/>
      <c r="F78" s="32" t="n"/>
      <c r="G78" s="33">
        <f>IF(OR($B78="",$D78="",$E78=""),"",IF(OR($C78="Target state",$C78="Exception"),"Out of scope",IF($D78="Low","No tranche",IF($E78="Low","Tranche 1",IF($E78="Medium","Tranche 2",IF($D78="High","Tranche 3","No tranche"))))))</f>
        <v/>
      </c>
      <c r="K78" s="35" t="inlineStr">
        <is>
          <t>Complexity</t>
        </is>
      </c>
      <c r="O78">
        <f>IF(AND($B78&lt;&gt;"",$C78&lt;&gt;"Target state",$C78&lt;&gt;"Exception",$D78="High",$E78="Low"),$A78&amp;"  "&amp;$B78,"")</f>
        <v/>
      </c>
      <c r="P78">
        <f>IF(AND($B78&lt;&gt;"",$C78&lt;&gt;"Target state",$C78&lt;&gt;"Exception",$D78="High",$E78="Medium"),$A78&amp;"  "&amp;$B78,"")</f>
        <v/>
      </c>
      <c r="Q78">
        <f>IF(AND($B78&lt;&gt;"",$C78&lt;&gt;"Target state",$C78&lt;&gt;"Exception",$D78="High",$E78="High"),$A78&amp;"  "&amp;$B78,"")</f>
        <v/>
      </c>
      <c r="R78">
        <f>IF(AND($B78&lt;&gt;"",$C78&lt;&gt;"Target state",$C78&lt;&gt;"Exception",$D78="Medium",$E78="Low"),$A78&amp;"  "&amp;$B78,"")</f>
        <v/>
      </c>
      <c r="S78">
        <f>IF(AND($B78&lt;&gt;"",$C78&lt;&gt;"Target state",$C78&lt;&gt;"Exception",$D78="Medium",$E78="Medium"),$A78&amp;"  "&amp;$B78,"")</f>
        <v/>
      </c>
      <c r="T78">
        <f>IF(AND($B78&lt;&gt;"",$C78&lt;&gt;"Target state",$C78&lt;&gt;"Exception",$D78="Medium",$E78="High"),$A78&amp;"  "&amp;$B78,"")</f>
        <v/>
      </c>
      <c r="U78">
        <f>IF(AND($B78&lt;&gt;"",$C78&lt;&gt;"Target state",$C78&lt;&gt;"Exception",$D78="Low",$E78="Low"),$A78&amp;"  "&amp;$B78,"")</f>
        <v/>
      </c>
      <c r="V78">
        <f>IF(AND($B78&lt;&gt;"",$C78&lt;&gt;"Target state",$C78&lt;&gt;"Exception",$D78="Low",$E78="Medium"),$A78&amp;"  "&amp;$B78,"")</f>
        <v/>
      </c>
      <c r="W78">
        <f>IF(AND($B78&lt;&gt;"",$C78&lt;&gt;"Target state",$C78&lt;&gt;"Exception",$D78="Low",$E78="High"),$A78&amp;"  "&amp;$B78,"")</f>
        <v/>
      </c>
    </row>
  </sheetData>
  <mergeCells count="81">
    <mergeCell ref="L44:L46"/>
    <mergeCell ref="M41:M43"/>
    <mergeCell ref="J75:J77"/>
    <mergeCell ref="I55:I63"/>
    <mergeCell ref="K33:K35"/>
    <mergeCell ref="J61:J63"/>
    <mergeCell ref="L61:L63"/>
    <mergeCell ref="L75:L77"/>
    <mergeCell ref="J69:J71"/>
    <mergeCell ref="K44:K46"/>
    <mergeCell ref="K25:M25"/>
    <mergeCell ref="K36:M36"/>
    <mergeCell ref="M69:M71"/>
    <mergeCell ref="J55:J57"/>
    <mergeCell ref="K47:K49"/>
    <mergeCell ref="M61:M63"/>
    <mergeCell ref="K11:M11"/>
    <mergeCell ref="M75:M77"/>
    <mergeCell ref="K61:K63"/>
    <mergeCell ref="K22:M22"/>
    <mergeCell ref="I41:I49"/>
    <mergeCell ref="J16:J18"/>
    <mergeCell ref="L41:L43"/>
    <mergeCell ref="M47:M49"/>
    <mergeCell ref="J58:J60"/>
    <mergeCell ref="M72:M74"/>
    <mergeCell ref="J33:J35"/>
    <mergeCell ref="A4:C4"/>
    <mergeCell ref="J72:J74"/>
    <mergeCell ref="M58:M60"/>
    <mergeCell ref="I13:I21"/>
    <mergeCell ref="J44:J46"/>
    <mergeCell ref="L13:L15"/>
    <mergeCell ref="L47:L49"/>
    <mergeCell ref="K41:K43"/>
    <mergeCell ref="A11:F11"/>
    <mergeCell ref="J30:J32"/>
    <mergeCell ref="L30:L32"/>
    <mergeCell ref="M16:M18"/>
    <mergeCell ref="K27:K29"/>
    <mergeCell ref="M27:M29"/>
    <mergeCell ref="M30:M32"/>
    <mergeCell ref="M33:M35"/>
    <mergeCell ref="K13:K15"/>
    <mergeCell ref="K67:M67"/>
    <mergeCell ref="K69:K71"/>
    <mergeCell ref="L72:L74"/>
    <mergeCell ref="M44:M46"/>
    <mergeCell ref="M19:M21"/>
    <mergeCell ref="K39:M39"/>
    <mergeCell ref="M55:M57"/>
    <mergeCell ref="L27:L29"/>
    <mergeCell ref="A53:F53"/>
    <mergeCell ref="I69:I77"/>
    <mergeCell ref="K78:M78"/>
    <mergeCell ref="J19:J21"/>
    <mergeCell ref="L19:L21"/>
    <mergeCell ref="A39:F39"/>
    <mergeCell ref="K72:K74"/>
    <mergeCell ref="L55:L57"/>
    <mergeCell ref="M13:M15"/>
    <mergeCell ref="K58:K60"/>
    <mergeCell ref="K50:M50"/>
    <mergeCell ref="L69:L71"/>
    <mergeCell ref="J47:J49"/>
    <mergeCell ref="K19:K21"/>
    <mergeCell ref="K16:K18"/>
    <mergeCell ref="K53:M53"/>
    <mergeCell ref="K55:K57"/>
    <mergeCell ref="J13:J15"/>
    <mergeCell ref="K30:K32"/>
    <mergeCell ref="L16:L18"/>
    <mergeCell ref="A67:F67"/>
    <mergeCell ref="I27:I35"/>
    <mergeCell ref="L58:L60"/>
    <mergeCell ref="K75:K77"/>
    <mergeCell ref="L33:L35"/>
    <mergeCell ref="K64:M64"/>
    <mergeCell ref="J27:J29"/>
    <mergeCell ref="J41:J43"/>
    <mergeCell ref="A25:F25"/>
  </mergeCells>
  <conditionalFormatting sqref="A13:G22">
    <cfRule type="expression" priority="1" dxfId="0">
      <formula>OR($C13="Target state",$C13="Exception")</formula>
    </cfRule>
  </conditionalFormatting>
  <conditionalFormatting sqref="A27:G36">
    <cfRule type="expression" priority="2" dxfId="0">
      <formula>OR($C27="Target state",$C27="Exception")</formula>
    </cfRule>
  </conditionalFormatting>
  <conditionalFormatting sqref="A41:G50">
    <cfRule type="expression" priority="3" dxfId="0">
      <formula>OR($C41="Target state",$C41="Exception")</formula>
    </cfRule>
  </conditionalFormatting>
  <conditionalFormatting sqref="A55:G64">
    <cfRule type="expression" priority="4" dxfId="0">
      <formula>OR($C55="Target state",$C55="Exception")</formula>
    </cfRule>
  </conditionalFormatting>
  <conditionalFormatting sqref="A69:G78">
    <cfRule type="expression" priority="5" dxfId="0">
      <formula>OR($C69="Target state",$C69="Exception")</formula>
    </cfRule>
  </conditionalFormatting>
  <dataValidations count="2">
    <dataValidation sqref="C13:C22 C27:C36 C41:C50 C55:C64 C69:C78" showDropDown="0" showInputMessage="0" showErrorMessage="0" allowBlank="1" type="list">
      <formula1>"Target state,Non-target state,Exception"</formula1>
    </dataValidation>
    <dataValidation sqref="D13:E22 D27:E36 D41:E50 D55:E64 D69:E78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W6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7" customWidth="1" min="3" max="3"/>
    <col width="16" customWidth="1" min="4" max="4"/>
    <col width="15" customWidth="1" min="5" max="5"/>
    <col width="44" customWidth="1" min="6" max="6"/>
    <col width="14" customWidth="1" min="7" max="7"/>
    <col width="2" customWidth="1" min="8" max="8"/>
    <col width="4" customWidth="1" min="9" max="9"/>
    <col width="9" customWidth="1" min="10" max="10"/>
    <col width="26" customWidth="1" min="11" max="11"/>
    <col width="26" customWidth="1" min="12" max="12"/>
    <col width="26" customWidth="1" min="13" max="13"/>
    <col width="2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</cols>
  <sheetData>
    <row r="1">
      <c r="A1" s="19" t="inlineStr">
        <is>
          <t>Sales &amp; Servicing — Platform Assessment</t>
        </is>
      </c>
    </row>
    <row r="2">
      <c r="A2" s="20">
        <f>HYPERLINK("#'Summary'!A1","← Back to Summary")</f>
        <v/>
      </c>
      <c r="C2" s="21" t="inlineStr">
        <is>
          <t>Pick a State, score High / Medium / Low — the tranche, the matrix and the Summary update automatically.</t>
        </is>
      </c>
    </row>
    <row r="4">
      <c r="A4" s="22" t="inlineStr">
        <is>
          <t>Tracker — jump to a sub-capability:</t>
        </is>
      </c>
    </row>
    <row r="5">
      <c r="A5" s="23" t="inlineStr">
        <is>
          <t>1.</t>
        </is>
      </c>
      <c r="B5" s="20">
        <f>HYPERLINK("#'Sales &amp; Servicing'!A10","CRM")</f>
        <v/>
      </c>
    </row>
    <row r="6">
      <c r="A6" s="23" t="inlineStr">
        <is>
          <t>2.</t>
        </is>
      </c>
      <c r="B6" s="20">
        <f>HYPERLINK("#'Sales &amp; Servicing'!A24","Servicing Tools")</f>
        <v/>
      </c>
    </row>
    <row r="7">
      <c r="A7" s="23" t="inlineStr">
        <is>
          <t>3.</t>
        </is>
      </c>
      <c r="B7" s="20">
        <f>HYPERLINK("#'Sales &amp; Servicing'!A38","Sales Automation")</f>
        <v/>
      </c>
    </row>
    <row r="8">
      <c r="A8" s="23" t="inlineStr">
        <is>
          <t>4.</t>
        </is>
      </c>
      <c r="B8" s="20">
        <f>HYPERLINK("#'Sales &amp; Servicing'!A52","Risks")</f>
        <v/>
      </c>
    </row>
    <row r="10" ht="22" customHeight="1">
      <c r="A10" s="24" t="inlineStr">
        <is>
          <t>CRM</t>
        </is>
      </c>
      <c r="G10" s="25">
        <f>HYPERLINK("#'Sales &amp; Servicing'!A4","▲ tracker")</f>
        <v/>
      </c>
      <c r="K10" s="26" t="inlineStr">
        <is>
          <t>Assessment Outcome</t>
        </is>
      </c>
    </row>
    <row r="11" ht="18" customHeight="1">
      <c r="A11" s="27" t="inlineStr">
        <is>
          <t>#</t>
        </is>
      </c>
      <c r="B11" s="27" t="inlineStr">
        <is>
          <t>Platform</t>
        </is>
      </c>
      <c r="C11" s="27" t="inlineStr">
        <is>
          <t>State</t>
        </is>
      </c>
      <c r="D11" s="27" t="inlineStr">
        <is>
          <t>Imperative to exit</t>
        </is>
      </c>
      <c r="E11" s="27" t="inlineStr">
        <is>
          <t>Exit complexity</t>
        </is>
      </c>
      <c r="F11" s="27" t="inlineStr">
        <is>
          <t>Supporting facts</t>
        </is>
      </c>
      <c r="G11" s="27" t="inlineStr">
        <is>
          <t>Tranche (auto)</t>
        </is>
      </c>
      <c r="K11" s="28" t="inlineStr">
        <is>
          <t>Low</t>
        </is>
      </c>
      <c r="L11" s="28" t="inlineStr">
        <is>
          <t>Medium</t>
        </is>
      </c>
      <c r="M11" s="28" t="inlineStr">
        <is>
          <t>High</t>
        </is>
      </c>
    </row>
    <row r="12" ht="20" customHeight="1">
      <c r="A12" s="29" t="inlineStr">
        <is>
          <t>①</t>
        </is>
      </c>
      <c r="B12" s="30" t="n"/>
      <c r="C12" s="31" t="n"/>
      <c r="D12" s="31" t="n"/>
      <c r="E12" s="31" t="n"/>
      <c r="F12" s="32" t="n"/>
      <c r="G12" s="33">
        <f>IF(OR($B12="",$D12="",$E12=""),"",IF(OR($C12="Target state",$C12="Exception"),"Out of scope",IF($D12="Low","No tranche",IF($E12="Low","Tranche 1",IF($E12="Medium","Tranche 2",IF($D12="High","Tranche 3","No tranche"))))))</f>
        <v/>
      </c>
      <c r="I12" s="34" t="inlineStr">
        <is>
          <t>Benefits</t>
        </is>
      </c>
      <c r="J12" s="35" t="inlineStr">
        <is>
          <t>High</t>
        </is>
      </c>
      <c r="K12" s="36">
        <f>"Tranche 1"&amp;CHAR(10)&amp;_xlfn.TEXTJOIN(CHAR(10),TRUE,O$12:O$21)</f>
        <v/>
      </c>
      <c r="L12" s="37">
        <f>"Tranche 2"&amp;CHAR(10)&amp;_xlfn.TEXTJOIN(CHAR(10),TRUE,P$12:P$21)</f>
        <v/>
      </c>
      <c r="M12" s="38">
        <f>"Tranche 3"&amp;CHAR(10)&amp;_xlfn.TEXTJOIN(CHAR(10),TRUE,Q$12:Q$21)</f>
        <v/>
      </c>
      <c r="O12">
        <f>IF(AND($B12&lt;&gt;"",$C12&lt;&gt;"Target state",$C12&lt;&gt;"Exception",$D12="High",$E12="Low"),$A12&amp;"  "&amp;$B12,"")</f>
        <v/>
      </c>
      <c r="P12">
        <f>IF(AND($B12&lt;&gt;"",$C12&lt;&gt;"Target state",$C12&lt;&gt;"Exception",$D12="High",$E12="Medium"),$A12&amp;"  "&amp;$B12,"")</f>
        <v/>
      </c>
      <c r="Q12">
        <f>IF(AND($B12&lt;&gt;"",$C12&lt;&gt;"Target state",$C12&lt;&gt;"Exception",$D12="High",$E12="High"),$A12&amp;"  "&amp;$B12,"")</f>
        <v/>
      </c>
      <c r="R12">
        <f>IF(AND($B12&lt;&gt;"",$C12&lt;&gt;"Target state",$C12&lt;&gt;"Exception",$D12="Medium",$E12="Low"),$A12&amp;"  "&amp;$B12,"")</f>
        <v/>
      </c>
      <c r="S12">
        <f>IF(AND($B12&lt;&gt;"",$C12&lt;&gt;"Target state",$C12&lt;&gt;"Exception",$D12="Medium",$E12="Medium"),$A12&amp;"  "&amp;$B12,"")</f>
        <v/>
      </c>
      <c r="T12">
        <f>IF(AND($B12&lt;&gt;"",$C12&lt;&gt;"Target state",$C12&lt;&gt;"Exception",$D12="Medium",$E12="High"),$A12&amp;"  "&amp;$B12,"")</f>
        <v/>
      </c>
      <c r="U12">
        <f>IF(AND($B12&lt;&gt;"",$C12&lt;&gt;"Target state",$C12&lt;&gt;"Exception",$D12="Low",$E12="Low"),$A12&amp;"  "&amp;$B12,"")</f>
        <v/>
      </c>
      <c r="V12">
        <f>IF(AND($B12&lt;&gt;"",$C12&lt;&gt;"Target state",$C12&lt;&gt;"Exception",$D12="Low",$E12="Medium"),$A12&amp;"  "&amp;$B12,"")</f>
        <v/>
      </c>
      <c r="W12">
        <f>IF(AND($B12&lt;&gt;"",$C12&lt;&gt;"Target state",$C12&lt;&gt;"Exception",$D12="Low",$E12="High"),$A12&amp;"  "&amp;$B12,"")</f>
        <v/>
      </c>
    </row>
    <row r="13" ht="20" customHeight="1">
      <c r="A13" s="29" t="inlineStr">
        <is>
          <t>②</t>
        </is>
      </c>
      <c r="B13" s="30" t="n"/>
      <c r="C13" s="31" t="n"/>
      <c r="D13" s="31" t="n"/>
      <c r="E13" s="31" t="n"/>
      <c r="F13" s="32" t="n"/>
      <c r="G13" s="33">
        <f>IF(OR($B13="",$D13="",$E13=""),"",IF(OR($C13="Target state",$C13="Exception"),"Out of scope",IF($D13="Low","No tranche",IF($E13="Low","Tranche 1",IF($E13="Medium","Tranche 2",IF($D13="High","Tranche 3","No tranche"))))))</f>
        <v/>
      </c>
      <c r="K13" s="39" t="n"/>
      <c r="L13" s="39" t="n"/>
      <c r="M13" s="39" t="n"/>
      <c r="O13">
        <f>IF(AND($B13&lt;&gt;"",$C13&lt;&gt;"Target state",$C13&lt;&gt;"Exception",$D13="High",$E13="Low"),$A13&amp;"  "&amp;$B13,"")</f>
        <v/>
      </c>
      <c r="P13">
        <f>IF(AND($B13&lt;&gt;"",$C13&lt;&gt;"Target state",$C13&lt;&gt;"Exception",$D13="High",$E13="Medium"),$A13&amp;"  "&amp;$B13,"")</f>
        <v/>
      </c>
      <c r="Q13">
        <f>IF(AND($B13&lt;&gt;"",$C13&lt;&gt;"Target state",$C13&lt;&gt;"Exception",$D13="High",$E13="High"),$A13&amp;"  "&amp;$B13,"")</f>
        <v/>
      </c>
      <c r="R13">
        <f>IF(AND($B13&lt;&gt;"",$C13&lt;&gt;"Target state",$C13&lt;&gt;"Exception",$D13="Medium",$E13="Low"),$A13&amp;"  "&amp;$B13,"")</f>
        <v/>
      </c>
      <c r="S13">
        <f>IF(AND($B13&lt;&gt;"",$C13&lt;&gt;"Target state",$C13&lt;&gt;"Exception",$D13="Medium",$E13="Medium"),$A13&amp;"  "&amp;$B13,"")</f>
        <v/>
      </c>
      <c r="T13">
        <f>IF(AND($B13&lt;&gt;"",$C13&lt;&gt;"Target state",$C13&lt;&gt;"Exception",$D13="Medium",$E13="High"),$A13&amp;"  "&amp;$B13,"")</f>
        <v/>
      </c>
      <c r="U13">
        <f>IF(AND($B13&lt;&gt;"",$C13&lt;&gt;"Target state",$C13&lt;&gt;"Exception",$D13="Low",$E13="Low"),$A13&amp;"  "&amp;$B13,"")</f>
        <v/>
      </c>
      <c r="V13">
        <f>IF(AND($B13&lt;&gt;"",$C13&lt;&gt;"Target state",$C13&lt;&gt;"Exception",$D13="Low",$E13="Medium"),$A13&amp;"  "&amp;$B13,"")</f>
        <v/>
      </c>
      <c r="W13">
        <f>IF(AND($B13&lt;&gt;"",$C13&lt;&gt;"Target state",$C13&lt;&gt;"Exception",$D13="Low",$E13="High"),$A13&amp;"  "&amp;$B13,"")</f>
        <v/>
      </c>
    </row>
    <row r="14" ht="20" customHeight="1">
      <c r="A14" s="29" t="inlineStr">
        <is>
          <t>③</t>
        </is>
      </c>
      <c r="B14" s="30" t="n"/>
      <c r="C14" s="31" t="n"/>
      <c r="D14" s="31" t="n"/>
      <c r="E14" s="31" t="n"/>
      <c r="F14" s="32" t="n"/>
      <c r="G14" s="33">
        <f>IF(OR($B14="",$D14="",$E14=""),"",IF(OR($C14="Target state",$C14="Exception"),"Out of scope",IF($D14="Low","No tranche",IF($E14="Low","Tranche 1",IF($E14="Medium","Tranche 2",IF($D14="High","Tranche 3","No tranche"))))))</f>
        <v/>
      </c>
      <c r="K14" s="40" t="n"/>
      <c r="L14" s="40" t="n"/>
      <c r="M14" s="40" t="n"/>
      <c r="O14">
        <f>IF(AND($B14&lt;&gt;"",$C14&lt;&gt;"Target state",$C14&lt;&gt;"Exception",$D14="High",$E14="Low"),$A14&amp;"  "&amp;$B14,"")</f>
        <v/>
      </c>
      <c r="P14">
        <f>IF(AND($B14&lt;&gt;"",$C14&lt;&gt;"Target state",$C14&lt;&gt;"Exception",$D14="High",$E14="Medium"),$A14&amp;"  "&amp;$B14,"")</f>
        <v/>
      </c>
      <c r="Q14">
        <f>IF(AND($B14&lt;&gt;"",$C14&lt;&gt;"Target state",$C14&lt;&gt;"Exception",$D14="High",$E14="High"),$A14&amp;"  "&amp;$B14,"")</f>
        <v/>
      </c>
      <c r="R14">
        <f>IF(AND($B14&lt;&gt;"",$C14&lt;&gt;"Target state",$C14&lt;&gt;"Exception",$D14="Medium",$E14="Low"),$A14&amp;"  "&amp;$B14,"")</f>
        <v/>
      </c>
      <c r="S14">
        <f>IF(AND($B14&lt;&gt;"",$C14&lt;&gt;"Target state",$C14&lt;&gt;"Exception",$D14="Medium",$E14="Medium"),$A14&amp;"  "&amp;$B14,"")</f>
        <v/>
      </c>
      <c r="T14">
        <f>IF(AND($B14&lt;&gt;"",$C14&lt;&gt;"Target state",$C14&lt;&gt;"Exception",$D14="Medium",$E14="High"),$A14&amp;"  "&amp;$B14,"")</f>
        <v/>
      </c>
      <c r="U14">
        <f>IF(AND($B14&lt;&gt;"",$C14&lt;&gt;"Target state",$C14&lt;&gt;"Exception",$D14="Low",$E14="Low"),$A14&amp;"  "&amp;$B14,"")</f>
        <v/>
      </c>
      <c r="V14">
        <f>IF(AND($B14&lt;&gt;"",$C14&lt;&gt;"Target state",$C14&lt;&gt;"Exception",$D14="Low",$E14="Medium"),$A14&amp;"  "&amp;$B14,"")</f>
        <v/>
      </c>
      <c r="W14">
        <f>IF(AND($B14&lt;&gt;"",$C14&lt;&gt;"Target state",$C14&lt;&gt;"Exception",$D14="Low",$E14="High"),$A14&amp;"  "&amp;$B14,"")</f>
        <v/>
      </c>
    </row>
    <row r="15" ht="20" customHeight="1">
      <c r="A15" s="29" t="inlineStr">
        <is>
          <t>④</t>
        </is>
      </c>
      <c r="B15" s="30" t="n"/>
      <c r="C15" s="31" t="n"/>
      <c r="D15" s="31" t="n"/>
      <c r="E15" s="31" t="n"/>
      <c r="F15" s="32" t="n"/>
      <c r="G15" s="33">
        <f>IF(OR($B15="",$D15="",$E15=""),"",IF(OR($C15="Target state",$C15="Exception"),"Out of scope",IF($D15="Low","No tranche",IF($E15="Low","Tranche 1",IF($E15="Medium","Tranche 2",IF($D15="High","Tranche 3","No tranche"))))))</f>
        <v/>
      </c>
      <c r="J15" s="35" t="inlineStr">
        <is>
          <t>Medium</t>
        </is>
      </c>
      <c r="K15" s="36">
        <f>"Tranche 1"&amp;CHAR(10)&amp;_xlfn.TEXTJOIN(CHAR(10),TRUE,R$12:R$21)</f>
        <v/>
      </c>
      <c r="L15" s="37">
        <f>"Tranche 2"&amp;CHAR(10)&amp;_xlfn.TEXTJOIN(CHAR(10),TRUE,S$12:S$21)</f>
        <v/>
      </c>
      <c r="M15" s="41">
        <f>_xlfn.TEXTJOIN(CHAR(10),TRUE,T$12:T$21)</f>
        <v/>
      </c>
      <c r="O15">
        <f>IF(AND($B15&lt;&gt;"",$C15&lt;&gt;"Target state",$C15&lt;&gt;"Exception",$D15="High",$E15="Low"),$A15&amp;"  "&amp;$B15,"")</f>
        <v/>
      </c>
      <c r="P15">
        <f>IF(AND($B15&lt;&gt;"",$C15&lt;&gt;"Target state",$C15&lt;&gt;"Exception",$D15="High",$E15="Medium"),$A15&amp;"  "&amp;$B15,"")</f>
        <v/>
      </c>
      <c r="Q15">
        <f>IF(AND($B15&lt;&gt;"",$C15&lt;&gt;"Target state",$C15&lt;&gt;"Exception",$D15="High",$E15="High"),$A15&amp;"  "&amp;$B15,"")</f>
        <v/>
      </c>
      <c r="R15">
        <f>IF(AND($B15&lt;&gt;"",$C15&lt;&gt;"Target state",$C15&lt;&gt;"Exception",$D15="Medium",$E15="Low"),$A15&amp;"  "&amp;$B15,"")</f>
        <v/>
      </c>
      <c r="S15">
        <f>IF(AND($B15&lt;&gt;"",$C15&lt;&gt;"Target state",$C15&lt;&gt;"Exception",$D15="Medium",$E15="Medium"),$A15&amp;"  "&amp;$B15,"")</f>
        <v/>
      </c>
      <c r="T15">
        <f>IF(AND($B15&lt;&gt;"",$C15&lt;&gt;"Target state",$C15&lt;&gt;"Exception",$D15="Medium",$E15="High"),$A15&amp;"  "&amp;$B15,"")</f>
        <v/>
      </c>
      <c r="U15">
        <f>IF(AND($B15&lt;&gt;"",$C15&lt;&gt;"Target state",$C15&lt;&gt;"Exception",$D15="Low",$E15="Low"),$A15&amp;"  "&amp;$B15,"")</f>
        <v/>
      </c>
      <c r="V15">
        <f>IF(AND($B15&lt;&gt;"",$C15&lt;&gt;"Target state",$C15&lt;&gt;"Exception",$D15="Low",$E15="Medium"),$A15&amp;"  "&amp;$B15,"")</f>
        <v/>
      </c>
      <c r="W15">
        <f>IF(AND($B15&lt;&gt;"",$C15&lt;&gt;"Target state",$C15&lt;&gt;"Exception",$D15="Low",$E15="High"),$A15&amp;"  "&amp;$B15,"")</f>
        <v/>
      </c>
    </row>
    <row r="16" ht="20" customHeight="1">
      <c r="A16" s="29" t="inlineStr">
        <is>
          <t>⑤</t>
        </is>
      </c>
      <c r="B16" s="30" t="n"/>
      <c r="C16" s="31" t="n"/>
      <c r="D16" s="31" t="n"/>
      <c r="E16" s="31" t="n"/>
      <c r="F16" s="32" t="n"/>
      <c r="G16" s="33">
        <f>IF(OR($B16="",$D16="",$E16=""),"",IF(OR($C16="Target state",$C16="Exception"),"Out of scope",IF($D16="Low","No tranche",IF($E16="Low","Tranche 1",IF($E16="Medium","Tranche 2",IF($D16="High","Tranche 3","No tranche"))))))</f>
        <v/>
      </c>
      <c r="K16" s="39" t="n"/>
      <c r="L16" s="39" t="n"/>
      <c r="M16" s="39" t="n"/>
      <c r="O16">
        <f>IF(AND($B16&lt;&gt;"",$C16&lt;&gt;"Target state",$C16&lt;&gt;"Exception",$D16="High",$E16="Low"),$A16&amp;"  "&amp;$B16,"")</f>
        <v/>
      </c>
      <c r="P16">
        <f>IF(AND($B16&lt;&gt;"",$C16&lt;&gt;"Target state",$C16&lt;&gt;"Exception",$D16="High",$E16="Medium"),$A16&amp;"  "&amp;$B16,"")</f>
        <v/>
      </c>
      <c r="Q16">
        <f>IF(AND($B16&lt;&gt;"",$C16&lt;&gt;"Target state",$C16&lt;&gt;"Exception",$D16="High",$E16="High"),$A16&amp;"  "&amp;$B16,"")</f>
        <v/>
      </c>
      <c r="R16">
        <f>IF(AND($B16&lt;&gt;"",$C16&lt;&gt;"Target state",$C16&lt;&gt;"Exception",$D16="Medium",$E16="Low"),$A16&amp;"  "&amp;$B16,"")</f>
        <v/>
      </c>
      <c r="S16">
        <f>IF(AND($B16&lt;&gt;"",$C16&lt;&gt;"Target state",$C16&lt;&gt;"Exception",$D16="Medium",$E16="Medium"),$A16&amp;"  "&amp;$B16,"")</f>
        <v/>
      </c>
      <c r="T16">
        <f>IF(AND($B16&lt;&gt;"",$C16&lt;&gt;"Target state",$C16&lt;&gt;"Exception",$D16="Medium",$E16="High"),$A16&amp;"  "&amp;$B16,"")</f>
        <v/>
      </c>
      <c r="U16">
        <f>IF(AND($B16&lt;&gt;"",$C16&lt;&gt;"Target state",$C16&lt;&gt;"Exception",$D16="Low",$E16="Low"),$A16&amp;"  "&amp;$B16,"")</f>
        <v/>
      </c>
      <c r="V16">
        <f>IF(AND($B16&lt;&gt;"",$C16&lt;&gt;"Target state",$C16&lt;&gt;"Exception",$D16="Low",$E16="Medium"),$A16&amp;"  "&amp;$B16,"")</f>
        <v/>
      </c>
      <c r="W16">
        <f>IF(AND($B16&lt;&gt;"",$C16&lt;&gt;"Target state",$C16&lt;&gt;"Exception",$D16="Low",$E16="High"),$A16&amp;"  "&amp;$B16,"")</f>
        <v/>
      </c>
    </row>
    <row r="17" ht="20" customHeight="1">
      <c r="A17" s="29" t="inlineStr">
        <is>
          <t>⑥</t>
        </is>
      </c>
      <c r="B17" s="30" t="n"/>
      <c r="C17" s="31" t="n"/>
      <c r="D17" s="31" t="n"/>
      <c r="E17" s="31" t="n"/>
      <c r="F17" s="32" t="n"/>
      <c r="G17" s="33">
        <f>IF(OR($B17="",$D17="",$E17=""),"",IF(OR($C17="Target state",$C17="Exception"),"Out of scope",IF($D17="Low","No tranche",IF($E17="Low","Tranche 1",IF($E17="Medium","Tranche 2",IF($D17="High","Tranche 3","No tranche"))))))</f>
        <v/>
      </c>
      <c r="K17" s="40" t="n"/>
      <c r="L17" s="40" t="n"/>
      <c r="M17" s="40" t="n"/>
      <c r="O17">
        <f>IF(AND($B17&lt;&gt;"",$C17&lt;&gt;"Target state",$C17&lt;&gt;"Exception",$D17="High",$E17="Low"),$A17&amp;"  "&amp;$B17,"")</f>
        <v/>
      </c>
      <c r="P17">
        <f>IF(AND($B17&lt;&gt;"",$C17&lt;&gt;"Target state",$C17&lt;&gt;"Exception",$D17="High",$E17="Medium"),$A17&amp;"  "&amp;$B17,"")</f>
        <v/>
      </c>
      <c r="Q17">
        <f>IF(AND($B17&lt;&gt;"",$C17&lt;&gt;"Target state",$C17&lt;&gt;"Exception",$D17="High",$E17="High"),$A17&amp;"  "&amp;$B17,"")</f>
        <v/>
      </c>
      <c r="R17">
        <f>IF(AND($B17&lt;&gt;"",$C17&lt;&gt;"Target state",$C17&lt;&gt;"Exception",$D17="Medium",$E17="Low"),$A17&amp;"  "&amp;$B17,"")</f>
        <v/>
      </c>
      <c r="S17">
        <f>IF(AND($B17&lt;&gt;"",$C17&lt;&gt;"Target state",$C17&lt;&gt;"Exception",$D17="Medium",$E17="Medium"),$A17&amp;"  "&amp;$B17,"")</f>
        <v/>
      </c>
      <c r="T17">
        <f>IF(AND($B17&lt;&gt;"",$C17&lt;&gt;"Target state",$C17&lt;&gt;"Exception",$D17="Medium",$E17="High"),$A17&amp;"  "&amp;$B17,"")</f>
        <v/>
      </c>
      <c r="U17">
        <f>IF(AND($B17&lt;&gt;"",$C17&lt;&gt;"Target state",$C17&lt;&gt;"Exception",$D17="Low",$E17="Low"),$A17&amp;"  "&amp;$B17,"")</f>
        <v/>
      </c>
      <c r="V17">
        <f>IF(AND($B17&lt;&gt;"",$C17&lt;&gt;"Target state",$C17&lt;&gt;"Exception",$D17="Low",$E17="Medium"),$A17&amp;"  "&amp;$B17,"")</f>
        <v/>
      </c>
      <c r="W17">
        <f>IF(AND($B17&lt;&gt;"",$C17&lt;&gt;"Target state",$C17&lt;&gt;"Exception",$D17="Low",$E17="High"),$A17&amp;"  "&amp;$B17,"")</f>
        <v/>
      </c>
    </row>
    <row r="18" ht="20" customHeight="1">
      <c r="A18" s="29" t="inlineStr">
        <is>
          <t>⑦</t>
        </is>
      </c>
      <c r="B18" s="30" t="n"/>
      <c r="C18" s="31" t="n"/>
      <c r="D18" s="31" t="n"/>
      <c r="E18" s="31" t="n"/>
      <c r="F18" s="32" t="n"/>
      <c r="G18" s="33">
        <f>IF(OR($B18="",$D18="",$E18=""),"",IF(OR($C18="Target state",$C18="Exception"),"Out of scope",IF($D18="Low","No tranche",IF($E18="Low","Tranche 1",IF($E18="Medium","Tranche 2",IF($D18="High","Tranche 3","No tranche"))))))</f>
        <v/>
      </c>
      <c r="J18" s="35" t="inlineStr">
        <is>
          <t>Low</t>
        </is>
      </c>
      <c r="K18" s="41">
        <f>_xlfn.TEXTJOIN(CHAR(10),TRUE,U$12:U$21)</f>
        <v/>
      </c>
      <c r="L18" s="41">
        <f>_xlfn.TEXTJOIN(CHAR(10),TRUE,V$12:V$21)</f>
        <v/>
      </c>
      <c r="M18" s="41">
        <f>_xlfn.TEXTJOIN(CHAR(10),TRUE,W$12:W$21)</f>
        <v/>
      </c>
      <c r="O18">
        <f>IF(AND($B18&lt;&gt;"",$C18&lt;&gt;"Target state",$C18&lt;&gt;"Exception",$D18="High",$E18="Low"),$A18&amp;"  "&amp;$B18,"")</f>
        <v/>
      </c>
      <c r="P18">
        <f>IF(AND($B18&lt;&gt;"",$C18&lt;&gt;"Target state",$C18&lt;&gt;"Exception",$D18="High",$E18="Medium"),$A18&amp;"  "&amp;$B18,"")</f>
        <v/>
      </c>
      <c r="Q18">
        <f>IF(AND($B18&lt;&gt;"",$C18&lt;&gt;"Target state",$C18&lt;&gt;"Exception",$D18="High",$E18="High"),$A18&amp;"  "&amp;$B18,"")</f>
        <v/>
      </c>
      <c r="R18">
        <f>IF(AND($B18&lt;&gt;"",$C18&lt;&gt;"Target state",$C18&lt;&gt;"Exception",$D18="Medium",$E18="Low"),$A18&amp;"  "&amp;$B18,"")</f>
        <v/>
      </c>
      <c r="S18">
        <f>IF(AND($B18&lt;&gt;"",$C18&lt;&gt;"Target state",$C18&lt;&gt;"Exception",$D18="Medium",$E18="Medium"),$A18&amp;"  "&amp;$B18,"")</f>
        <v/>
      </c>
      <c r="T18">
        <f>IF(AND($B18&lt;&gt;"",$C18&lt;&gt;"Target state",$C18&lt;&gt;"Exception",$D18="Medium",$E18="High"),$A18&amp;"  "&amp;$B18,"")</f>
        <v/>
      </c>
      <c r="U18">
        <f>IF(AND($B18&lt;&gt;"",$C18&lt;&gt;"Target state",$C18&lt;&gt;"Exception",$D18="Low",$E18="Low"),$A18&amp;"  "&amp;$B18,"")</f>
        <v/>
      </c>
      <c r="V18">
        <f>IF(AND($B18&lt;&gt;"",$C18&lt;&gt;"Target state",$C18&lt;&gt;"Exception",$D18="Low",$E18="Medium"),$A18&amp;"  "&amp;$B18,"")</f>
        <v/>
      </c>
      <c r="W18">
        <f>IF(AND($B18&lt;&gt;"",$C18&lt;&gt;"Target state",$C18&lt;&gt;"Exception",$D18="Low",$E18="High"),$A18&amp;"  "&amp;$B18,"")</f>
        <v/>
      </c>
    </row>
    <row r="19" ht="20" customHeight="1">
      <c r="A19" s="29" t="inlineStr">
        <is>
          <t>⑧</t>
        </is>
      </c>
      <c r="B19" s="30" t="n"/>
      <c r="C19" s="31" t="n"/>
      <c r="D19" s="31" t="n"/>
      <c r="E19" s="31" t="n"/>
      <c r="F19" s="32" t="n"/>
      <c r="G19" s="33">
        <f>IF(OR($B19="",$D19="",$E19=""),"",IF(OR($C19="Target state",$C19="Exception"),"Out of scope",IF($D19="Low","No tranche",IF($E19="Low","Tranche 1",IF($E19="Medium","Tranche 2",IF($D19="High","Tranche 3","No tranche"))))))</f>
        <v/>
      </c>
      <c r="K19" s="39" t="n"/>
      <c r="L19" s="39" t="n"/>
      <c r="M19" s="39" t="n"/>
      <c r="O19">
        <f>IF(AND($B19&lt;&gt;"",$C19&lt;&gt;"Target state",$C19&lt;&gt;"Exception",$D19="High",$E19="Low"),$A19&amp;"  "&amp;$B19,"")</f>
        <v/>
      </c>
      <c r="P19">
        <f>IF(AND($B19&lt;&gt;"",$C19&lt;&gt;"Target state",$C19&lt;&gt;"Exception",$D19="High",$E19="Medium"),$A19&amp;"  "&amp;$B19,"")</f>
        <v/>
      </c>
      <c r="Q19">
        <f>IF(AND($B19&lt;&gt;"",$C19&lt;&gt;"Target state",$C19&lt;&gt;"Exception",$D19="High",$E19="High"),$A19&amp;"  "&amp;$B19,"")</f>
        <v/>
      </c>
      <c r="R19">
        <f>IF(AND($B19&lt;&gt;"",$C19&lt;&gt;"Target state",$C19&lt;&gt;"Exception",$D19="Medium",$E19="Low"),$A19&amp;"  "&amp;$B19,"")</f>
        <v/>
      </c>
      <c r="S19">
        <f>IF(AND($B19&lt;&gt;"",$C19&lt;&gt;"Target state",$C19&lt;&gt;"Exception",$D19="Medium",$E19="Medium"),$A19&amp;"  "&amp;$B19,"")</f>
        <v/>
      </c>
      <c r="T19">
        <f>IF(AND($B19&lt;&gt;"",$C19&lt;&gt;"Target state",$C19&lt;&gt;"Exception",$D19="Medium",$E19="High"),$A19&amp;"  "&amp;$B19,"")</f>
        <v/>
      </c>
      <c r="U19">
        <f>IF(AND($B19&lt;&gt;"",$C19&lt;&gt;"Target state",$C19&lt;&gt;"Exception",$D19="Low",$E19="Low"),$A19&amp;"  "&amp;$B19,"")</f>
        <v/>
      </c>
      <c r="V19">
        <f>IF(AND($B19&lt;&gt;"",$C19&lt;&gt;"Target state",$C19&lt;&gt;"Exception",$D19="Low",$E19="Medium"),$A19&amp;"  "&amp;$B19,"")</f>
        <v/>
      </c>
      <c r="W19">
        <f>IF(AND($B19&lt;&gt;"",$C19&lt;&gt;"Target state",$C19&lt;&gt;"Exception",$D19="Low",$E19="High"),$A19&amp;"  "&amp;$B19,"")</f>
        <v/>
      </c>
    </row>
    <row r="20" ht="20" customHeight="1">
      <c r="A20" s="29" t="inlineStr">
        <is>
          <t>⑨</t>
        </is>
      </c>
      <c r="B20" s="30" t="n"/>
      <c r="C20" s="31" t="n"/>
      <c r="D20" s="31" t="n"/>
      <c r="E20" s="31" t="n"/>
      <c r="F20" s="32" t="n"/>
      <c r="G20" s="33">
        <f>IF(OR($B20="",$D20="",$E20=""),"",IF(OR($C20="Target state",$C20="Exception"),"Out of scope",IF($D20="Low","No tranche",IF($E20="Low","Tranche 1",IF($E20="Medium","Tranche 2",IF($D20="High","Tranche 3","No tranche"))))))</f>
        <v/>
      </c>
      <c r="K20" s="40" t="n"/>
      <c r="L20" s="40" t="n"/>
      <c r="M20" s="40" t="n"/>
      <c r="O20">
        <f>IF(AND($B20&lt;&gt;"",$C20&lt;&gt;"Target state",$C20&lt;&gt;"Exception",$D20="High",$E20="Low"),$A20&amp;"  "&amp;$B20,"")</f>
        <v/>
      </c>
      <c r="P20">
        <f>IF(AND($B20&lt;&gt;"",$C20&lt;&gt;"Target state",$C20&lt;&gt;"Exception",$D20="High",$E20="Medium"),$A20&amp;"  "&amp;$B20,"")</f>
        <v/>
      </c>
      <c r="Q20">
        <f>IF(AND($B20&lt;&gt;"",$C20&lt;&gt;"Target state",$C20&lt;&gt;"Exception",$D20="High",$E20="High"),$A20&amp;"  "&amp;$B20,"")</f>
        <v/>
      </c>
      <c r="R20">
        <f>IF(AND($B20&lt;&gt;"",$C20&lt;&gt;"Target state",$C20&lt;&gt;"Exception",$D20="Medium",$E20="Low"),$A20&amp;"  "&amp;$B20,"")</f>
        <v/>
      </c>
      <c r="S20">
        <f>IF(AND($B20&lt;&gt;"",$C20&lt;&gt;"Target state",$C20&lt;&gt;"Exception",$D20="Medium",$E20="Medium"),$A20&amp;"  "&amp;$B20,"")</f>
        <v/>
      </c>
      <c r="T20">
        <f>IF(AND($B20&lt;&gt;"",$C20&lt;&gt;"Target state",$C20&lt;&gt;"Exception",$D20="Medium",$E20="High"),$A20&amp;"  "&amp;$B20,"")</f>
        <v/>
      </c>
      <c r="U20">
        <f>IF(AND($B20&lt;&gt;"",$C20&lt;&gt;"Target state",$C20&lt;&gt;"Exception",$D20="Low",$E20="Low"),$A20&amp;"  "&amp;$B20,"")</f>
        <v/>
      </c>
      <c r="V20">
        <f>IF(AND($B20&lt;&gt;"",$C20&lt;&gt;"Target state",$C20&lt;&gt;"Exception",$D20="Low",$E20="Medium"),$A20&amp;"  "&amp;$B20,"")</f>
        <v/>
      </c>
      <c r="W20">
        <f>IF(AND($B20&lt;&gt;"",$C20&lt;&gt;"Target state",$C20&lt;&gt;"Exception",$D20="Low",$E20="High"),$A20&amp;"  "&amp;$B20,"")</f>
        <v/>
      </c>
    </row>
    <row r="21" ht="20" customHeight="1">
      <c r="A21" s="29" t="inlineStr">
        <is>
          <t>⑩</t>
        </is>
      </c>
      <c r="B21" s="30" t="n"/>
      <c r="C21" s="31" t="n"/>
      <c r="D21" s="31" t="n"/>
      <c r="E21" s="31" t="n"/>
      <c r="F21" s="32" t="n"/>
      <c r="G21" s="33">
        <f>IF(OR($B21="",$D21="",$E21=""),"",IF(OR($C21="Target state",$C21="Exception"),"Out of scope",IF($D21="Low","No tranche",IF($E21="Low","Tranche 1",IF($E21="Medium","Tranche 2",IF($D21="High","Tranche 3","No tranche"))))))</f>
        <v/>
      </c>
      <c r="K21" s="35" t="inlineStr">
        <is>
          <t>Complexity</t>
        </is>
      </c>
      <c r="O21">
        <f>IF(AND($B21&lt;&gt;"",$C21&lt;&gt;"Target state",$C21&lt;&gt;"Exception",$D21="High",$E21="Low"),$A21&amp;"  "&amp;$B21,"")</f>
        <v/>
      </c>
      <c r="P21">
        <f>IF(AND($B21&lt;&gt;"",$C21&lt;&gt;"Target state",$C21&lt;&gt;"Exception",$D21="High",$E21="Medium"),$A21&amp;"  "&amp;$B21,"")</f>
        <v/>
      </c>
      <c r="Q21">
        <f>IF(AND($B21&lt;&gt;"",$C21&lt;&gt;"Target state",$C21&lt;&gt;"Exception",$D21="High",$E21="High"),$A21&amp;"  "&amp;$B21,"")</f>
        <v/>
      </c>
      <c r="R21">
        <f>IF(AND($B21&lt;&gt;"",$C21&lt;&gt;"Target state",$C21&lt;&gt;"Exception",$D21="Medium",$E21="Low"),$A21&amp;"  "&amp;$B21,"")</f>
        <v/>
      </c>
      <c r="S21">
        <f>IF(AND($B21&lt;&gt;"",$C21&lt;&gt;"Target state",$C21&lt;&gt;"Exception",$D21="Medium",$E21="Medium"),$A21&amp;"  "&amp;$B21,"")</f>
        <v/>
      </c>
      <c r="T21">
        <f>IF(AND($B21&lt;&gt;"",$C21&lt;&gt;"Target state",$C21&lt;&gt;"Exception",$D21="Medium",$E21="High"),$A21&amp;"  "&amp;$B21,"")</f>
        <v/>
      </c>
      <c r="U21">
        <f>IF(AND($B21&lt;&gt;"",$C21&lt;&gt;"Target state",$C21&lt;&gt;"Exception",$D21="Low",$E21="Low"),$A21&amp;"  "&amp;$B21,"")</f>
        <v/>
      </c>
      <c r="V21">
        <f>IF(AND($B21&lt;&gt;"",$C21&lt;&gt;"Target state",$C21&lt;&gt;"Exception",$D21="Low",$E21="Medium"),$A21&amp;"  "&amp;$B21,"")</f>
        <v/>
      </c>
      <c r="W21">
        <f>IF(AND($B21&lt;&gt;"",$C21&lt;&gt;"Target state",$C21&lt;&gt;"Exception",$D21="Low",$E21="High"),$A21&amp;"  "&amp;$B21,"")</f>
        <v/>
      </c>
    </row>
    <row r="24" ht="22" customHeight="1">
      <c r="A24" s="24" t="inlineStr">
        <is>
          <t>Servicing Tools</t>
        </is>
      </c>
      <c r="G24" s="25">
        <f>HYPERLINK("#'Sales &amp; Servicing'!A4","▲ tracker")</f>
        <v/>
      </c>
      <c r="K24" s="26" t="inlineStr">
        <is>
          <t>Assessment Outcome</t>
        </is>
      </c>
    </row>
    <row r="25" ht="18" customHeight="1">
      <c r="A25" s="27" t="inlineStr">
        <is>
          <t>#</t>
        </is>
      </c>
      <c r="B25" s="27" t="inlineStr">
        <is>
          <t>Platform</t>
        </is>
      </c>
      <c r="C25" s="27" t="inlineStr">
        <is>
          <t>State</t>
        </is>
      </c>
      <c r="D25" s="27" t="inlineStr">
        <is>
          <t>Imperative to exit</t>
        </is>
      </c>
      <c r="E25" s="27" t="inlineStr">
        <is>
          <t>Exit complexity</t>
        </is>
      </c>
      <c r="F25" s="27" t="inlineStr">
        <is>
          <t>Supporting facts</t>
        </is>
      </c>
      <c r="G25" s="27" t="inlineStr">
        <is>
          <t>Tranche (auto)</t>
        </is>
      </c>
      <c r="K25" s="28" t="inlineStr">
        <is>
          <t>Low</t>
        </is>
      </c>
      <c r="L25" s="28" t="inlineStr">
        <is>
          <t>Medium</t>
        </is>
      </c>
      <c r="M25" s="28" t="inlineStr">
        <is>
          <t>High</t>
        </is>
      </c>
    </row>
    <row r="26" ht="20" customHeight="1">
      <c r="A26" s="29" t="inlineStr">
        <is>
          <t>①</t>
        </is>
      </c>
      <c r="B26" s="30" t="n"/>
      <c r="C26" s="31" t="n"/>
      <c r="D26" s="31" t="n"/>
      <c r="E26" s="31" t="n"/>
      <c r="F26" s="32" t="n"/>
      <c r="G26" s="33">
        <f>IF(OR($B26="",$D26="",$E26=""),"",IF(OR($C26="Target state",$C26="Exception"),"Out of scope",IF($D26="Low","No tranche",IF($E26="Low","Tranche 1",IF($E26="Medium","Tranche 2",IF($D26="High","Tranche 3","No tranche"))))))</f>
        <v/>
      </c>
      <c r="I26" s="34" t="inlineStr">
        <is>
          <t>Benefits</t>
        </is>
      </c>
      <c r="J26" s="35" t="inlineStr">
        <is>
          <t>High</t>
        </is>
      </c>
      <c r="K26" s="36">
        <f>"Tranche 1"&amp;CHAR(10)&amp;_xlfn.TEXTJOIN(CHAR(10),TRUE,O$26:O$35)</f>
        <v/>
      </c>
      <c r="L26" s="37">
        <f>"Tranche 2"&amp;CHAR(10)&amp;_xlfn.TEXTJOIN(CHAR(10),TRUE,P$26:P$35)</f>
        <v/>
      </c>
      <c r="M26" s="38">
        <f>"Tranche 3"&amp;CHAR(10)&amp;_xlfn.TEXTJOIN(CHAR(10),TRUE,Q$26:Q$35)</f>
        <v/>
      </c>
      <c r="O26">
        <f>IF(AND($B26&lt;&gt;"",$C26&lt;&gt;"Target state",$C26&lt;&gt;"Exception",$D26="High",$E26="Low"),$A26&amp;"  "&amp;$B26,"")</f>
        <v/>
      </c>
      <c r="P26">
        <f>IF(AND($B26&lt;&gt;"",$C26&lt;&gt;"Target state",$C26&lt;&gt;"Exception",$D26="High",$E26="Medium"),$A26&amp;"  "&amp;$B26,"")</f>
        <v/>
      </c>
      <c r="Q26">
        <f>IF(AND($B26&lt;&gt;"",$C26&lt;&gt;"Target state",$C26&lt;&gt;"Exception",$D26="High",$E26="High"),$A26&amp;"  "&amp;$B26,"")</f>
        <v/>
      </c>
      <c r="R26">
        <f>IF(AND($B26&lt;&gt;"",$C26&lt;&gt;"Target state",$C26&lt;&gt;"Exception",$D26="Medium",$E26="Low"),$A26&amp;"  "&amp;$B26,"")</f>
        <v/>
      </c>
      <c r="S26">
        <f>IF(AND($B26&lt;&gt;"",$C26&lt;&gt;"Target state",$C26&lt;&gt;"Exception",$D26="Medium",$E26="Medium"),$A26&amp;"  "&amp;$B26,"")</f>
        <v/>
      </c>
      <c r="T26">
        <f>IF(AND($B26&lt;&gt;"",$C26&lt;&gt;"Target state",$C26&lt;&gt;"Exception",$D26="Medium",$E26="High"),$A26&amp;"  "&amp;$B26,"")</f>
        <v/>
      </c>
      <c r="U26">
        <f>IF(AND($B26&lt;&gt;"",$C26&lt;&gt;"Target state",$C26&lt;&gt;"Exception",$D26="Low",$E26="Low"),$A26&amp;"  "&amp;$B26,"")</f>
        <v/>
      </c>
      <c r="V26">
        <f>IF(AND($B26&lt;&gt;"",$C26&lt;&gt;"Target state",$C26&lt;&gt;"Exception",$D26="Low",$E26="Medium"),$A26&amp;"  "&amp;$B26,"")</f>
        <v/>
      </c>
      <c r="W26">
        <f>IF(AND($B26&lt;&gt;"",$C26&lt;&gt;"Target state",$C26&lt;&gt;"Exception",$D26="Low",$E26="High"),$A26&amp;"  "&amp;$B26,"")</f>
        <v/>
      </c>
    </row>
    <row r="27" ht="20" customHeight="1">
      <c r="A27" s="29" t="inlineStr">
        <is>
          <t>②</t>
        </is>
      </c>
      <c r="B27" s="30" t="n"/>
      <c r="C27" s="31" t="n"/>
      <c r="D27" s="31" t="n"/>
      <c r="E27" s="31" t="n"/>
      <c r="F27" s="32" t="n"/>
      <c r="G27" s="33">
        <f>IF(OR($B27="",$D27="",$E27=""),"",IF(OR($C27="Target state",$C27="Exception"),"Out of scope",IF($D27="Low","No tranche",IF($E27="Low","Tranche 1",IF($E27="Medium","Tranche 2",IF($D27="High","Tranche 3","No tranche"))))))</f>
        <v/>
      </c>
      <c r="K27" s="39" t="n"/>
      <c r="L27" s="39" t="n"/>
      <c r="M27" s="39" t="n"/>
      <c r="O27">
        <f>IF(AND($B27&lt;&gt;"",$C27&lt;&gt;"Target state",$C27&lt;&gt;"Exception",$D27="High",$E27="Low"),$A27&amp;"  "&amp;$B27,"")</f>
        <v/>
      </c>
      <c r="P27">
        <f>IF(AND($B27&lt;&gt;"",$C27&lt;&gt;"Target state",$C27&lt;&gt;"Exception",$D27="High",$E27="Medium"),$A27&amp;"  "&amp;$B27,"")</f>
        <v/>
      </c>
      <c r="Q27">
        <f>IF(AND($B27&lt;&gt;"",$C27&lt;&gt;"Target state",$C27&lt;&gt;"Exception",$D27="High",$E27="High"),$A27&amp;"  "&amp;$B27,"")</f>
        <v/>
      </c>
      <c r="R27">
        <f>IF(AND($B27&lt;&gt;"",$C27&lt;&gt;"Target state",$C27&lt;&gt;"Exception",$D27="Medium",$E27="Low"),$A27&amp;"  "&amp;$B27,"")</f>
        <v/>
      </c>
      <c r="S27">
        <f>IF(AND($B27&lt;&gt;"",$C27&lt;&gt;"Target state",$C27&lt;&gt;"Exception",$D27="Medium",$E27="Medium"),$A27&amp;"  "&amp;$B27,"")</f>
        <v/>
      </c>
      <c r="T27">
        <f>IF(AND($B27&lt;&gt;"",$C27&lt;&gt;"Target state",$C27&lt;&gt;"Exception",$D27="Medium",$E27="High"),$A27&amp;"  "&amp;$B27,"")</f>
        <v/>
      </c>
      <c r="U27">
        <f>IF(AND($B27&lt;&gt;"",$C27&lt;&gt;"Target state",$C27&lt;&gt;"Exception",$D27="Low",$E27="Low"),$A27&amp;"  "&amp;$B27,"")</f>
        <v/>
      </c>
      <c r="V27">
        <f>IF(AND($B27&lt;&gt;"",$C27&lt;&gt;"Target state",$C27&lt;&gt;"Exception",$D27="Low",$E27="Medium"),$A27&amp;"  "&amp;$B27,"")</f>
        <v/>
      </c>
      <c r="W27">
        <f>IF(AND($B27&lt;&gt;"",$C27&lt;&gt;"Target state",$C27&lt;&gt;"Exception",$D27="Low",$E27="High"),$A27&amp;"  "&amp;$B27,"")</f>
        <v/>
      </c>
    </row>
    <row r="28" ht="20" customHeight="1">
      <c r="A28" s="29" t="inlineStr">
        <is>
          <t>③</t>
        </is>
      </c>
      <c r="B28" s="30" t="n"/>
      <c r="C28" s="31" t="n"/>
      <c r="D28" s="31" t="n"/>
      <c r="E28" s="31" t="n"/>
      <c r="F28" s="32" t="n"/>
      <c r="G28" s="33">
        <f>IF(OR($B28="",$D28="",$E28=""),"",IF(OR($C28="Target state",$C28="Exception"),"Out of scope",IF($D28="Low","No tranche",IF($E28="Low","Tranche 1",IF($E28="Medium","Tranche 2",IF($D28="High","Tranche 3","No tranche"))))))</f>
        <v/>
      </c>
      <c r="K28" s="40" t="n"/>
      <c r="L28" s="40" t="n"/>
      <c r="M28" s="40" t="n"/>
      <c r="O28">
        <f>IF(AND($B28&lt;&gt;"",$C28&lt;&gt;"Target state",$C28&lt;&gt;"Exception",$D28="High",$E28="Low"),$A28&amp;"  "&amp;$B28,"")</f>
        <v/>
      </c>
      <c r="P28">
        <f>IF(AND($B28&lt;&gt;"",$C28&lt;&gt;"Target state",$C28&lt;&gt;"Exception",$D28="High",$E28="Medium"),$A28&amp;"  "&amp;$B28,"")</f>
        <v/>
      </c>
      <c r="Q28">
        <f>IF(AND($B28&lt;&gt;"",$C28&lt;&gt;"Target state",$C28&lt;&gt;"Exception",$D28="High",$E28="High"),$A28&amp;"  "&amp;$B28,"")</f>
        <v/>
      </c>
      <c r="R28">
        <f>IF(AND($B28&lt;&gt;"",$C28&lt;&gt;"Target state",$C28&lt;&gt;"Exception",$D28="Medium",$E28="Low"),$A28&amp;"  "&amp;$B28,"")</f>
        <v/>
      </c>
      <c r="S28">
        <f>IF(AND($B28&lt;&gt;"",$C28&lt;&gt;"Target state",$C28&lt;&gt;"Exception",$D28="Medium",$E28="Medium"),$A28&amp;"  "&amp;$B28,"")</f>
        <v/>
      </c>
      <c r="T28">
        <f>IF(AND($B28&lt;&gt;"",$C28&lt;&gt;"Target state",$C28&lt;&gt;"Exception",$D28="Medium",$E28="High"),$A28&amp;"  "&amp;$B28,"")</f>
        <v/>
      </c>
      <c r="U28">
        <f>IF(AND($B28&lt;&gt;"",$C28&lt;&gt;"Target state",$C28&lt;&gt;"Exception",$D28="Low",$E28="Low"),$A28&amp;"  "&amp;$B28,"")</f>
        <v/>
      </c>
      <c r="V28">
        <f>IF(AND($B28&lt;&gt;"",$C28&lt;&gt;"Target state",$C28&lt;&gt;"Exception",$D28="Low",$E28="Medium"),$A28&amp;"  "&amp;$B28,"")</f>
        <v/>
      </c>
      <c r="W28">
        <f>IF(AND($B28&lt;&gt;"",$C28&lt;&gt;"Target state",$C28&lt;&gt;"Exception",$D28="Low",$E28="High"),$A28&amp;"  "&amp;$B28,"")</f>
        <v/>
      </c>
    </row>
    <row r="29" ht="20" customHeight="1">
      <c r="A29" s="29" t="inlineStr">
        <is>
          <t>④</t>
        </is>
      </c>
      <c r="B29" s="30" t="n"/>
      <c r="C29" s="31" t="n"/>
      <c r="D29" s="31" t="n"/>
      <c r="E29" s="31" t="n"/>
      <c r="F29" s="32" t="n"/>
      <c r="G29" s="33">
        <f>IF(OR($B29="",$D29="",$E29=""),"",IF(OR($C29="Target state",$C29="Exception"),"Out of scope",IF($D29="Low","No tranche",IF($E29="Low","Tranche 1",IF($E29="Medium","Tranche 2",IF($D29="High","Tranche 3","No tranche"))))))</f>
        <v/>
      </c>
      <c r="J29" s="35" t="inlineStr">
        <is>
          <t>Medium</t>
        </is>
      </c>
      <c r="K29" s="36">
        <f>"Tranche 1"&amp;CHAR(10)&amp;_xlfn.TEXTJOIN(CHAR(10),TRUE,R$26:R$35)</f>
        <v/>
      </c>
      <c r="L29" s="37">
        <f>"Tranche 2"&amp;CHAR(10)&amp;_xlfn.TEXTJOIN(CHAR(10),TRUE,S$26:S$35)</f>
        <v/>
      </c>
      <c r="M29" s="41">
        <f>_xlfn.TEXTJOIN(CHAR(10),TRUE,T$26:T$35)</f>
        <v/>
      </c>
      <c r="O29">
        <f>IF(AND($B29&lt;&gt;"",$C29&lt;&gt;"Target state",$C29&lt;&gt;"Exception",$D29="High",$E29="Low"),$A29&amp;"  "&amp;$B29,"")</f>
        <v/>
      </c>
      <c r="P29">
        <f>IF(AND($B29&lt;&gt;"",$C29&lt;&gt;"Target state",$C29&lt;&gt;"Exception",$D29="High",$E29="Medium"),$A29&amp;"  "&amp;$B29,"")</f>
        <v/>
      </c>
      <c r="Q29">
        <f>IF(AND($B29&lt;&gt;"",$C29&lt;&gt;"Target state",$C29&lt;&gt;"Exception",$D29="High",$E29="High"),$A29&amp;"  "&amp;$B29,"")</f>
        <v/>
      </c>
      <c r="R29">
        <f>IF(AND($B29&lt;&gt;"",$C29&lt;&gt;"Target state",$C29&lt;&gt;"Exception",$D29="Medium",$E29="Low"),$A29&amp;"  "&amp;$B29,"")</f>
        <v/>
      </c>
      <c r="S29">
        <f>IF(AND($B29&lt;&gt;"",$C29&lt;&gt;"Target state",$C29&lt;&gt;"Exception",$D29="Medium",$E29="Medium"),$A29&amp;"  "&amp;$B29,"")</f>
        <v/>
      </c>
      <c r="T29">
        <f>IF(AND($B29&lt;&gt;"",$C29&lt;&gt;"Target state",$C29&lt;&gt;"Exception",$D29="Medium",$E29="High"),$A29&amp;"  "&amp;$B29,"")</f>
        <v/>
      </c>
      <c r="U29">
        <f>IF(AND($B29&lt;&gt;"",$C29&lt;&gt;"Target state",$C29&lt;&gt;"Exception",$D29="Low",$E29="Low"),$A29&amp;"  "&amp;$B29,"")</f>
        <v/>
      </c>
      <c r="V29">
        <f>IF(AND($B29&lt;&gt;"",$C29&lt;&gt;"Target state",$C29&lt;&gt;"Exception",$D29="Low",$E29="Medium"),$A29&amp;"  "&amp;$B29,"")</f>
        <v/>
      </c>
      <c r="W29">
        <f>IF(AND($B29&lt;&gt;"",$C29&lt;&gt;"Target state",$C29&lt;&gt;"Exception",$D29="Low",$E29="High"),$A29&amp;"  "&amp;$B29,"")</f>
        <v/>
      </c>
    </row>
    <row r="30" ht="20" customHeight="1">
      <c r="A30" s="29" t="inlineStr">
        <is>
          <t>⑤</t>
        </is>
      </c>
      <c r="B30" s="30" t="n"/>
      <c r="C30" s="31" t="n"/>
      <c r="D30" s="31" t="n"/>
      <c r="E30" s="31" t="n"/>
      <c r="F30" s="32" t="n"/>
      <c r="G30" s="33">
        <f>IF(OR($B30="",$D30="",$E30=""),"",IF(OR($C30="Target state",$C30="Exception"),"Out of scope",IF($D30="Low","No tranche",IF($E30="Low","Tranche 1",IF($E30="Medium","Tranche 2",IF($D30="High","Tranche 3","No tranche"))))))</f>
        <v/>
      </c>
      <c r="K30" s="39" t="n"/>
      <c r="L30" s="39" t="n"/>
      <c r="M30" s="39" t="n"/>
      <c r="O30">
        <f>IF(AND($B30&lt;&gt;"",$C30&lt;&gt;"Target state",$C30&lt;&gt;"Exception",$D30="High",$E30="Low"),$A30&amp;"  "&amp;$B30,"")</f>
        <v/>
      </c>
      <c r="P30">
        <f>IF(AND($B30&lt;&gt;"",$C30&lt;&gt;"Target state",$C30&lt;&gt;"Exception",$D30="High",$E30="Medium"),$A30&amp;"  "&amp;$B30,"")</f>
        <v/>
      </c>
      <c r="Q30">
        <f>IF(AND($B30&lt;&gt;"",$C30&lt;&gt;"Target state",$C30&lt;&gt;"Exception",$D30="High",$E30="High"),$A30&amp;"  "&amp;$B30,"")</f>
        <v/>
      </c>
      <c r="R30">
        <f>IF(AND($B30&lt;&gt;"",$C30&lt;&gt;"Target state",$C30&lt;&gt;"Exception",$D30="Medium",$E30="Low"),$A30&amp;"  "&amp;$B30,"")</f>
        <v/>
      </c>
      <c r="S30">
        <f>IF(AND($B30&lt;&gt;"",$C30&lt;&gt;"Target state",$C30&lt;&gt;"Exception",$D30="Medium",$E30="Medium"),$A30&amp;"  "&amp;$B30,"")</f>
        <v/>
      </c>
      <c r="T30">
        <f>IF(AND($B30&lt;&gt;"",$C30&lt;&gt;"Target state",$C30&lt;&gt;"Exception",$D30="Medium",$E30="High"),$A30&amp;"  "&amp;$B30,"")</f>
        <v/>
      </c>
      <c r="U30">
        <f>IF(AND($B30&lt;&gt;"",$C30&lt;&gt;"Target state",$C30&lt;&gt;"Exception",$D30="Low",$E30="Low"),$A30&amp;"  "&amp;$B30,"")</f>
        <v/>
      </c>
      <c r="V30">
        <f>IF(AND($B30&lt;&gt;"",$C30&lt;&gt;"Target state",$C30&lt;&gt;"Exception",$D30="Low",$E30="Medium"),$A30&amp;"  "&amp;$B30,"")</f>
        <v/>
      </c>
      <c r="W30">
        <f>IF(AND($B30&lt;&gt;"",$C30&lt;&gt;"Target state",$C30&lt;&gt;"Exception",$D30="Low",$E30="High"),$A30&amp;"  "&amp;$B30,"")</f>
        <v/>
      </c>
    </row>
    <row r="31" ht="20" customHeight="1">
      <c r="A31" s="29" t="inlineStr">
        <is>
          <t>⑥</t>
        </is>
      </c>
      <c r="B31" s="30" t="n"/>
      <c r="C31" s="31" t="n"/>
      <c r="D31" s="31" t="n"/>
      <c r="E31" s="31" t="n"/>
      <c r="F31" s="32" t="n"/>
      <c r="G31" s="33">
        <f>IF(OR($B31="",$D31="",$E31=""),"",IF(OR($C31="Target state",$C31="Exception"),"Out of scope",IF($D31="Low","No tranche",IF($E31="Low","Tranche 1",IF($E31="Medium","Tranche 2",IF($D31="High","Tranche 3","No tranche"))))))</f>
        <v/>
      </c>
      <c r="K31" s="40" t="n"/>
      <c r="L31" s="40" t="n"/>
      <c r="M31" s="40" t="n"/>
      <c r="O31">
        <f>IF(AND($B31&lt;&gt;"",$C31&lt;&gt;"Target state",$C31&lt;&gt;"Exception",$D31="High",$E31="Low"),$A31&amp;"  "&amp;$B31,"")</f>
        <v/>
      </c>
      <c r="P31">
        <f>IF(AND($B31&lt;&gt;"",$C31&lt;&gt;"Target state",$C31&lt;&gt;"Exception",$D31="High",$E31="Medium"),$A31&amp;"  "&amp;$B31,"")</f>
        <v/>
      </c>
      <c r="Q31">
        <f>IF(AND($B31&lt;&gt;"",$C31&lt;&gt;"Target state",$C31&lt;&gt;"Exception",$D31="High",$E31="High"),$A31&amp;"  "&amp;$B31,"")</f>
        <v/>
      </c>
      <c r="R31">
        <f>IF(AND($B31&lt;&gt;"",$C31&lt;&gt;"Target state",$C31&lt;&gt;"Exception",$D31="Medium",$E31="Low"),$A31&amp;"  "&amp;$B31,"")</f>
        <v/>
      </c>
      <c r="S31">
        <f>IF(AND($B31&lt;&gt;"",$C31&lt;&gt;"Target state",$C31&lt;&gt;"Exception",$D31="Medium",$E31="Medium"),$A31&amp;"  "&amp;$B31,"")</f>
        <v/>
      </c>
      <c r="T31">
        <f>IF(AND($B31&lt;&gt;"",$C31&lt;&gt;"Target state",$C31&lt;&gt;"Exception",$D31="Medium",$E31="High"),$A31&amp;"  "&amp;$B31,"")</f>
        <v/>
      </c>
      <c r="U31">
        <f>IF(AND($B31&lt;&gt;"",$C31&lt;&gt;"Target state",$C31&lt;&gt;"Exception",$D31="Low",$E31="Low"),$A31&amp;"  "&amp;$B31,"")</f>
        <v/>
      </c>
      <c r="V31">
        <f>IF(AND($B31&lt;&gt;"",$C31&lt;&gt;"Target state",$C31&lt;&gt;"Exception",$D31="Low",$E31="Medium"),$A31&amp;"  "&amp;$B31,"")</f>
        <v/>
      </c>
      <c r="W31">
        <f>IF(AND($B31&lt;&gt;"",$C31&lt;&gt;"Target state",$C31&lt;&gt;"Exception",$D31="Low",$E31="High"),$A31&amp;"  "&amp;$B31,"")</f>
        <v/>
      </c>
    </row>
    <row r="32" ht="20" customHeight="1">
      <c r="A32" s="29" t="inlineStr">
        <is>
          <t>⑦</t>
        </is>
      </c>
      <c r="B32" s="30" t="n"/>
      <c r="C32" s="31" t="n"/>
      <c r="D32" s="31" t="n"/>
      <c r="E32" s="31" t="n"/>
      <c r="F32" s="32" t="n"/>
      <c r="G32" s="33">
        <f>IF(OR($B32="",$D32="",$E32=""),"",IF(OR($C32="Target state",$C32="Exception"),"Out of scope",IF($D32="Low","No tranche",IF($E32="Low","Tranche 1",IF($E32="Medium","Tranche 2",IF($D32="High","Tranche 3","No tranche"))))))</f>
        <v/>
      </c>
      <c r="J32" s="35" t="inlineStr">
        <is>
          <t>Low</t>
        </is>
      </c>
      <c r="K32" s="41">
        <f>_xlfn.TEXTJOIN(CHAR(10),TRUE,U$26:U$35)</f>
        <v/>
      </c>
      <c r="L32" s="41">
        <f>_xlfn.TEXTJOIN(CHAR(10),TRUE,V$26:V$35)</f>
        <v/>
      </c>
      <c r="M32" s="41">
        <f>_xlfn.TEXTJOIN(CHAR(10),TRUE,W$26:W$35)</f>
        <v/>
      </c>
      <c r="O32">
        <f>IF(AND($B32&lt;&gt;"",$C32&lt;&gt;"Target state",$C32&lt;&gt;"Exception",$D32="High",$E32="Low"),$A32&amp;"  "&amp;$B32,"")</f>
        <v/>
      </c>
      <c r="P32">
        <f>IF(AND($B32&lt;&gt;"",$C32&lt;&gt;"Target state",$C32&lt;&gt;"Exception",$D32="High",$E32="Medium"),$A32&amp;"  "&amp;$B32,"")</f>
        <v/>
      </c>
      <c r="Q32">
        <f>IF(AND($B32&lt;&gt;"",$C32&lt;&gt;"Target state",$C32&lt;&gt;"Exception",$D32="High",$E32="High"),$A32&amp;"  "&amp;$B32,"")</f>
        <v/>
      </c>
      <c r="R32">
        <f>IF(AND($B32&lt;&gt;"",$C32&lt;&gt;"Target state",$C32&lt;&gt;"Exception",$D32="Medium",$E32="Low"),$A32&amp;"  "&amp;$B32,"")</f>
        <v/>
      </c>
      <c r="S32">
        <f>IF(AND($B32&lt;&gt;"",$C32&lt;&gt;"Target state",$C32&lt;&gt;"Exception",$D32="Medium",$E32="Medium"),$A32&amp;"  "&amp;$B32,"")</f>
        <v/>
      </c>
      <c r="T32">
        <f>IF(AND($B32&lt;&gt;"",$C32&lt;&gt;"Target state",$C32&lt;&gt;"Exception",$D32="Medium",$E32="High"),$A32&amp;"  "&amp;$B32,"")</f>
        <v/>
      </c>
      <c r="U32">
        <f>IF(AND($B32&lt;&gt;"",$C32&lt;&gt;"Target state",$C32&lt;&gt;"Exception",$D32="Low",$E32="Low"),$A32&amp;"  "&amp;$B32,"")</f>
        <v/>
      </c>
      <c r="V32">
        <f>IF(AND($B32&lt;&gt;"",$C32&lt;&gt;"Target state",$C32&lt;&gt;"Exception",$D32="Low",$E32="Medium"),$A32&amp;"  "&amp;$B32,"")</f>
        <v/>
      </c>
      <c r="W32">
        <f>IF(AND($B32&lt;&gt;"",$C32&lt;&gt;"Target state",$C32&lt;&gt;"Exception",$D32="Low",$E32="High"),$A32&amp;"  "&amp;$B32,"")</f>
        <v/>
      </c>
    </row>
    <row r="33" ht="20" customHeight="1">
      <c r="A33" s="29" t="inlineStr">
        <is>
          <t>⑧</t>
        </is>
      </c>
      <c r="B33" s="30" t="n"/>
      <c r="C33" s="31" t="n"/>
      <c r="D33" s="31" t="n"/>
      <c r="E33" s="31" t="n"/>
      <c r="F33" s="32" t="n"/>
      <c r="G33" s="33">
        <f>IF(OR($B33="",$D33="",$E33=""),"",IF(OR($C33="Target state",$C33="Exception"),"Out of scope",IF($D33="Low","No tranche",IF($E33="Low","Tranche 1",IF($E33="Medium","Tranche 2",IF($D33="High","Tranche 3","No tranche"))))))</f>
        <v/>
      </c>
      <c r="K33" s="39" t="n"/>
      <c r="L33" s="39" t="n"/>
      <c r="M33" s="39" t="n"/>
      <c r="O33">
        <f>IF(AND($B33&lt;&gt;"",$C33&lt;&gt;"Target state",$C33&lt;&gt;"Exception",$D33="High",$E33="Low"),$A33&amp;"  "&amp;$B33,"")</f>
        <v/>
      </c>
      <c r="P33">
        <f>IF(AND($B33&lt;&gt;"",$C33&lt;&gt;"Target state",$C33&lt;&gt;"Exception",$D33="High",$E33="Medium"),$A33&amp;"  "&amp;$B33,"")</f>
        <v/>
      </c>
      <c r="Q33">
        <f>IF(AND($B33&lt;&gt;"",$C33&lt;&gt;"Target state",$C33&lt;&gt;"Exception",$D33="High",$E33="High"),$A33&amp;"  "&amp;$B33,"")</f>
        <v/>
      </c>
      <c r="R33">
        <f>IF(AND($B33&lt;&gt;"",$C33&lt;&gt;"Target state",$C33&lt;&gt;"Exception",$D33="Medium",$E33="Low"),$A33&amp;"  "&amp;$B33,"")</f>
        <v/>
      </c>
      <c r="S33">
        <f>IF(AND($B33&lt;&gt;"",$C33&lt;&gt;"Target state",$C33&lt;&gt;"Exception",$D33="Medium",$E33="Medium"),$A33&amp;"  "&amp;$B33,"")</f>
        <v/>
      </c>
      <c r="T33">
        <f>IF(AND($B33&lt;&gt;"",$C33&lt;&gt;"Target state",$C33&lt;&gt;"Exception",$D33="Medium",$E33="High"),$A33&amp;"  "&amp;$B33,"")</f>
        <v/>
      </c>
      <c r="U33">
        <f>IF(AND($B33&lt;&gt;"",$C33&lt;&gt;"Target state",$C33&lt;&gt;"Exception",$D33="Low",$E33="Low"),$A33&amp;"  "&amp;$B33,"")</f>
        <v/>
      </c>
      <c r="V33">
        <f>IF(AND($B33&lt;&gt;"",$C33&lt;&gt;"Target state",$C33&lt;&gt;"Exception",$D33="Low",$E33="Medium"),$A33&amp;"  "&amp;$B33,"")</f>
        <v/>
      </c>
      <c r="W33">
        <f>IF(AND($B33&lt;&gt;"",$C33&lt;&gt;"Target state",$C33&lt;&gt;"Exception",$D33="Low",$E33="High"),$A33&amp;"  "&amp;$B33,"")</f>
        <v/>
      </c>
    </row>
    <row r="34" ht="20" customHeight="1">
      <c r="A34" s="29" t="inlineStr">
        <is>
          <t>⑨</t>
        </is>
      </c>
      <c r="B34" s="30" t="n"/>
      <c r="C34" s="31" t="n"/>
      <c r="D34" s="31" t="n"/>
      <c r="E34" s="31" t="n"/>
      <c r="F34" s="32" t="n"/>
      <c r="G34" s="33">
        <f>IF(OR($B34="",$D34="",$E34=""),"",IF(OR($C34="Target state",$C34="Exception"),"Out of scope",IF($D34="Low","No tranche",IF($E34="Low","Tranche 1",IF($E34="Medium","Tranche 2",IF($D34="High","Tranche 3","No tranche"))))))</f>
        <v/>
      </c>
      <c r="K34" s="40" t="n"/>
      <c r="L34" s="40" t="n"/>
      <c r="M34" s="40" t="n"/>
      <c r="O34">
        <f>IF(AND($B34&lt;&gt;"",$C34&lt;&gt;"Target state",$C34&lt;&gt;"Exception",$D34="High",$E34="Low"),$A34&amp;"  "&amp;$B34,"")</f>
        <v/>
      </c>
      <c r="P34">
        <f>IF(AND($B34&lt;&gt;"",$C34&lt;&gt;"Target state",$C34&lt;&gt;"Exception",$D34="High",$E34="Medium"),$A34&amp;"  "&amp;$B34,"")</f>
        <v/>
      </c>
      <c r="Q34">
        <f>IF(AND($B34&lt;&gt;"",$C34&lt;&gt;"Target state",$C34&lt;&gt;"Exception",$D34="High",$E34="High"),$A34&amp;"  "&amp;$B34,"")</f>
        <v/>
      </c>
      <c r="R34">
        <f>IF(AND($B34&lt;&gt;"",$C34&lt;&gt;"Target state",$C34&lt;&gt;"Exception",$D34="Medium",$E34="Low"),$A34&amp;"  "&amp;$B34,"")</f>
        <v/>
      </c>
      <c r="S34">
        <f>IF(AND($B34&lt;&gt;"",$C34&lt;&gt;"Target state",$C34&lt;&gt;"Exception",$D34="Medium",$E34="Medium"),$A34&amp;"  "&amp;$B34,"")</f>
        <v/>
      </c>
      <c r="T34">
        <f>IF(AND($B34&lt;&gt;"",$C34&lt;&gt;"Target state",$C34&lt;&gt;"Exception",$D34="Medium",$E34="High"),$A34&amp;"  "&amp;$B34,"")</f>
        <v/>
      </c>
      <c r="U34">
        <f>IF(AND($B34&lt;&gt;"",$C34&lt;&gt;"Target state",$C34&lt;&gt;"Exception",$D34="Low",$E34="Low"),$A34&amp;"  "&amp;$B34,"")</f>
        <v/>
      </c>
      <c r="V34">
        <f>IF(AND($B34&lt;&gt;"",$C34&lt;&gt;"Target state",$C34&lt;&gt;"Exception",$D34="Low",$E34="Medium"),$A34&amp;"  "&amp;$B34,"")</f>
        <v/>
      </c>
      <c r="W34">
        <f>IF(AND($B34&lt;&gt;"",$C34&lt;&gt;"Target state",$C34&lt;&gt;"Exception",$D34="Low",$E34="High"),$A34&amp;"  "&amp;$B34,"")</f>
        <v/>
      </c>
    </row>
    <row r="35" ht="20" customHeight="1">
      <c r="A35" s="29" t="inlineStr">
        <is>
          <t>⑩</t>
        </is>
      </c>
      <c r="B35" s="30" t="n"/>
      <c r="C35" s="31" t="n"/>
      <c r="D35" s="31" t="n"/>
      <c r="E35" s="31" t="n"/>
      <c r="F35" s="32" t="n"/>
      <c r="G35" s="33">
        <f>IF(OR($B35="",$D35="",$E35=""),"",IF(OR($C35="Target state",$C35="Exception"),"Out of scope",IF($D35="Low","No tranche",IF($E35="Low","Tranche 1",IF($E35="Medium","Tranche 2",IF($D35="High","Tranche 3","No tranche"))))))</f>
        <v/>
      </c>
      <c r="K35" s="35" t="inlineStr">
        <is>
          <t>Complexity</t>
        </is>
      </c>
      <c r="O35">
        <f>IF(AND($B35&lt;&gt;"",$C35&lt;&gt;"Target state",$C35&lt;&gt;"Exception",$D35="High",$E35="Low"),$A35&amp;"  "&amp;$B35,"")</f>
        <v/>
      </c>
      <c r="P35">
        <f>IF(AND($B35&lt;&gt;"",$C35&lt;&gt;"Target state",$C35&lt;&gt;"Exception",$D35="High",$E35="Medium"),$A35&amp;"  "&amp;$B35,"")</f>
        <v/>
      </c>
      <c r="Q35">
        <f>IF(AND($B35&lt;&gt;"",$C35&lt;&gt;"Target state",$C35&lt;&gt;"Exception",$D35="High",$E35="High"),$A35&amp;"  "&amp;$B35,"")</f>
        <v/>
      </c>
      <c r="R35">
        <f>IF(AND($B35&lt;&gt;"",$C35&lt;&gt;"Target state",$C35&lt;&gt;"Exception",$D35="Medium",$E35="Low"),$A35&amp;"  "&amp;$B35,"")</f>
        <v/>
      </c>
      <c r="S35">
        <f>IF(AND($B35&lt;&gt;"",$C35&lt;&gt;"Target state",$C35&lt;&gt;"Exception",$D35="Medium",$E35="Medium"),$A35&amp;"  "&amp;$B35,"")</f>
        <v/>
      </c>
      <c r="T35">
        <f>IF(AND($B35&lt;&gt;"",$C35&lt;&gt;"Target state",$C35&lt;&gt;"Exception",$D35="Medium",$E35="High"),$A35&amp;"  "&amp;$B35,"")</f>
        <v/>
      </c>
      <c r="U35">
        <f>IF(AND($B35&lt;&gt;"",$C35&lt;&gt;"Target state",$C35&lt;&gt;"Exception",$D35="Low",$E35="Low"),$A35&amp;"  "&amp;$B35,"")</f>
        <v/>
      </c>
      <c r="V35">
        <f>IF(AND($B35&lt;&gt;"",$C35&lt;&gt;"Target state",$C35&lt;&gt;"Exception",$D35="Low",$E35="Medium"),$A35&amp;"  "&amp;$B35,"")</f>
        <v/>
      </c>
      <c r="W35">
        <f>IF(AND($B35&lt;&gt;"",$C35&lt;&gt;"Target state",$C35&lt;&gt;"Exception",$D35="Low",$E35="High"),$A35&amp;"  "&amp;$B35,"")</f>
        <v/>
      </c>
    </row>
    <row r="38" ht="22" customHeight="1">
      <c r="A38" s="24" t="inlineStr">
        <is>
          <t>Sales Automation</t>
        </is>
      </c>
      <c r="G38" s="25">
        <f>HYPERLINK("#'Sales &amp; Servicing'!A4","▲ tracker")</f>
        <v/>
      </c>
      <c r="K38" s="26" t="inlineStr">
        <is>
          <t>Assessment Outcome</t>
        </is>
      </c>
    </row>
    <row r="39" ht="18" customHeight="1">
      <c r="A39" s="27" t="inlineStr">
        <is>
          <t>#</t>
        </is>
      </c>
      <c r="B39" s="27" t="inlineStr">
        <is>
          <t>Platform</t>
        </is>
      </c>
      <c r="C39" s="27" t="inlineStr">
        <is>
          <t>State</t>
        </is>
      </c>
      <c r="D39" s="27" t="inlineStr">
        <is>
          <t>Imperative to exit</t>
        </is>
      </c>
      <c r="E39" s="27" t="inlineStr">
        <is>
          <t>Exit complexity</t>
        </is>
      </c>
      <c r="F39" s="27" t="inlineStr">
        <is>
          <t>Supporting facts</t>
        </is>
      </c>
      <c r="G39" s="27" t="inlineStr">
        <is>
          <t>Tranche (auto)</t>
        </is>
      </c>
      <c r="K39" s="28" t="inlineStr">
        <is>
          <t>Low</t>
        </is>
      </c>
      <c r="L39" s="28" t="inlineStr">
        <is>
          <t>Medium</t>
        </is>
      </c>
      <c r="M39" s="28" t="inlineStr">
        <is>
          <t>High</t>
        </is>
      </c>
    </row>
    <row r="40" ht="20" customHeight="1">
      <c r="A40" s="29" t="inlineStr">
        <is>
          <t>①</t>
        </is>
      </c>
      <c r="B40" s="30" t="n"/>
      <c r="C40" s="31" t="n"/>
      <c r="D40" s="31" t="n"/>
      <c r="E40" s="31" t="n"/>
      <c r="F40" s="32" t="n"/>
      <c r="G40" s="33">
        <f>IF(OR($B40="",$D40="",$E40=""),"",IF(OR($C40="Target state",$C40="Exception"),"Out of scope",IF($D40="Low","No tranche",IF($E40="Low","Tranche 1",IF($E40="Medium","Tranche 2",IF($D40="High","Tranche 3","No tranche"))))))</f>
        <v/>
      </c>
      <c r="I40" s="34" t="inlineStr">
        <is>
          <t>Benefits</t>
        </is>
      </c>
      <c r="J40" s="35" t="inlineStr">
        <is>
          <t>High</t>
        </is>
      </c>
      <c r="K40" s="36">
        <f>"Tranche 1"&amp;CHAR(10)&amp;_xlfn.TEXTJOIN(CHAR(10),TRUE,O$40:O$49)</f>
        <v/>
      </c>
      <c r="L40" s="37">
        <f>"Tranche 2"&amp;CHAR(10)&amp;_xlfn.TEXTJOIN(CHAR(10),TRUE,P$40:P$49)</f>
        <v/>
      </c>
      <c r="M40" s="38">
        <f>"Tranche 3"&amp;CHAR(10)&amp;_xlfn.TEXTJOIN(CHAR(10),TRUE,Q$40:Q$49)</f>
        <v/>
      </c>
      <c r="O40">
        <f>IF(AND($B40&lt;&gt;"",$C40&lt;&gt;"Target state",$C40&lt;&gt;"Exception",$D40="High",$E40="Low"),$A40&amp;"  "&amp;$B40,"")</f>
        <v/>
      </c>
      <c r="P40">
        <f>IF(AND($B40&lt;&gt;"",$C40&lt;&gt;"Target state",$C40&lt;&gt;"Exception",$D40="High",$E40="Medium"),$A40&amp;"  "&amp;$B40,"")</f>
        <v/>
      </c>
      <c r="Q40">
        <f>IF(AND($B40&lt;&gt;"",$C40&lt;&gt;"Target state",$C40&lt;&gt;"Exception",$D40="High",$E40="High"),$A40&amp;"  "&amp;$B40,"")</f>
        <v/>
      </c>
      <c r="R40">
        <f>IF(AND($B40&lt;&gt;"",$C40&lt;&gt;"Target state",$C40&lt;&gt;"Exception",$D40="Medium",$E40="Low"),$A40&amp;"  "&amp;$B40,"")</f>
        <v/>
      </c>
      <c r="S40">
        <f>IF(AND($B40&lt;&gt;"",$C40&lt;&gt;"Target state",$C40&lt;&gt;"Exception",$D40="Medium",$E40="Medium"),$A40&amp;"  "&amp;$B40,"")</f>
        <v/>
      </c>
      <c r="T40">
        <f>IF(AND($B40&lt;&gt;"",$C40&lt;&gt;"Target state",$C40&lt;&gt;"Exception",$D40="Medium",$E40="High"),$A40&amp;"  "&amp;$B40,"")</f>
        <v/>
      </c>
      <c r="U40">
        <f>IF(AND($B40&lt;&gt;"",$C40&lt;&gt;"Target state",$C40&lt;&gt;"Exception",$D40="Low",$E40="Low"),$A40&amp;"  "&amp;$B40,"")</f>
        <v/>
      </c>
      <c r="V40">
        <f>IF(AND($B40&lt;&gt;"",$C40&lt;&gt;"Target state",$C40&lt;&gt;"Exception",$D40="Low",$E40="Medium"),$A40&amp;"  "&amp;$B40,"")</f>
        <v/>
      </c>
      <c r="W40">
        <f>IF(AND($B40&lt;&gt;"",$C40&lt;&gt;"Target state",$C40&lt;&gt;"Exception",$D40="Low",$E40="High"),$A40&amp;"  "&amp;$B40,"")</f>
        <v/>
      </c>
    </row>
    <row r="41" ht="20" customHeight="1">
      <c r="A41" s="29" t="inlineStr">
        <is>
          <t>②</t>
        </is>
      </c>
      <c r="B41" s="30" t="n"/>
      <c r="C41" s="31" t="n"/>
      <c r="D41" s="31" t="n"/>
      <c r="E41" s="31" t="n"/>
      <c r="F41" s="32" t="n"/>
      <c r="G41" s="33">
        <f>IF(OR($B41="",$D41="",$E41=""),"",IF(OR($C41="Target state",$C41="Exception"),"Out of scope",IF($D41="Low","No tranche",IF($E41="Low","Tranche 1",IF($E41="Medium","Tranche 2",IF($D41="High","Tranche 3","No tranche"))))))</f>
        <v/>
      </c>
      <c r="K41" s="39" t="n"/>
      <c r="L41" s="39" t="n"/>
      <c r="M41" s="39" t="n"/>
      <c r="O41">
        <f>IF(AND($B41&lt;&gt;"",$C41&lt;&gt;"Target state",$C41&lt;&gt;"Exception",$D41="High",$E41="Low"),$A41&amp;"  "&amp;$B41,"")</f>
        <v/>
      </c>
      <c r="P41">
        <f>IF(AND($B41&lt;&gt;"",$C41&lt;&gt;"Target state",$C41&lt;&gt;"Exception",$D41="High",$E41="Medium"),$A41&amp;"  "&amp;$B41,"")</f>
        <v/>
      </c>
      <c r="Q41">
        <f>IF(AND($B41&lt;&gt;"",$C41&lt;&gt;"Target state",$C41&lt;&gt;"Exception",$D41="High",$E41="High"),$A41&amp;"  "&amp;$B41,"")</f>
        <v/>
      </c>
      <c r="R41">
        <f>IF(AND($B41&lt;&gt;"",$C41&lt;&gt;"Target state",$C41&lt;&gt;"Exception",$D41="Medium",$E41="Low"),$A41&amp;"  "&amp;$B41,"")</f>
        <v/>
      </c>
      <c r="S41">
        <f>IF(AND($B41&lt;&gt;"",$C41&lt;&gt;"Target state",$C41&lt;&gt;"Exception",$D41="Medium",$E41="Medium"),$A41&amp;"  "&amp;$B41,"")</f>
        <v/>
      </c>
      <c r="T41">
        <f>IF(AND($B41&lt;&gt;"",$C41&lt;&gt;"Target state",$C41&lt;&gt;"Exception",$D41="Medium",$E41="High"),$A41&amp;"  "&amp;$B41,"")</f>
        <v/>
      </c>
      <c r="U41">
        <f>IF(AND($B41&lt;&gt;"",$C41&lt;&gt;"Target state",$C41&lt;&gt;"Exception",$D41="Low",$E41="Low"),$A41&amp;"  "&amp;$B41,"")</f>
        <v/>
      </c>
      <c r="V41">
        <f>IF(AND($B41&lt;&gt;"",$C41&lt;&gt;"Target state",$C41&lt;&gt;"Exception",$D41="Low",$E41="Medium"),$A41&amp;"  "&amp;$B41,"")</f>
        <v/>
      </c>
      <c r="W41">
        <f>IF(AND($B41&lt;&gt;"",$C41&lt;&gt;"Target state",$C41&lt;&gt;"Exception",$D41="Low",$E41="High"),$A41&amp;"  "&amp;$B41,"")</f>
        <v/>
      </c>
    </row>
    <row r="42" ht="20" customHeight="1">
      <c r="A42" s="29" t="inlineStr">
        <is>
          <t>③</t>
        </is>
      </c>
      <c r="B42" s="30" t="n"/>
      <c r="C42" s="31" t="n"/>
      <c r="D42" s="31" t="n"/>
      <c r="E42" s="31" t="n"/>
      <c r="F42" s="32" t="n"/>
      <c r="G42" s="33">
        <f>IF(OR($B42="",$D42="",$E42=""),"",IF(OR($C42="Target state",$C42="Exception"),"Out of scope",IF($D42="Low","No tranche",IF($E42="Low","Tranche 1",IF($E42="Medium","Tranche 2",IF($D42="High","Tranche 3","No tranche"))))))</f>
        <v/>
      </c>
      <c r="K42" s="40" t="n"/>
      <c r="L42" s="40" t="n"/>
      <c r="M42" s="40" t="n"/>
      <c r="O42">
        <f>IF(AND($B42&lt;&gt;"",$C42&lt;&gt;"Target state",$C42&lt;&gt;"Exception",$D42="High",$E42="Low"),$A42&amp;"  "&amp;$B42,"")</f>
        <v/>
      </c>
      <c r="P42">
        <f>IF(AND($B42&lt;&gt;"",$C42&lt;&gt;"Target state",$C42&lt;&gt;"Exception",$D42="High",$E42="Medium"),$A42&amp;"  "&amp;$B42,"")</f>
        <v/>
      </c>
      <c r="Q42">
        <f>IF(AND($B42&lt;&gt;"",$C42&lt;&gt;"Target state",$C42&lt;&gt;"Exception",$D42="High",$E42="High"),$A42&amp;"  "&amp;$B42,"")</f>
        <v/>
      </c>
      <c r="R42">
        <f>IF(AND($B42&lt;&gt;"",$C42&lt;&gt;"Target state",$C42&lt;&gt;"Exception",$D42="Medium",$E42="Low"),$A42&amp;"  "&amp;$B42,"")</f>
        <v/>
      </c>
      <c r="S42">
        <f>IF(AND($B42&lt;&gt;"",$C42&lt;&gt;"Target state",$C42&lt;&gt;"Exception",$D42="Medium",$E42="Medium"),$A42&amp;"  "&amp;$B42,"")</f>
        <v/>
      </c>
      <c r="T42">
        <f>IF(AND($B42&lt;&gt;"",$C42&lt;&gt;"Target state",$C42&lt;&gt;"Exception",$D42="Medium",$E42="High"),$A42&amp;"  "&amp;$B42,"")</f>
        <v/>
      </c>
      <c r="U42">
        <f>IF(AND($B42&lt;&gt;"",$C42&lt;&gt;"Target state",$C42&lt;&gt;"Exception",$D42="Low",$E42="Low"),$A42&amp;"  "&amp;$B42,"")</f>
        <v/>
      </c>
      <c r="V42">
        <f>IF(AND($B42&lt;&gt;"",$C42&lt;&gt;"Target state",$C42&lt;&gt;"Exception",$D42="Low",$E42="Medium"),$A42&amp;"  "&amp;$B42,"")</f>
        <v/>
      </c>
      <c r="W42">
        <f>IF(AND($B42&lt;&gt;"",$C42&lt;&gt;"Target state",$C42&lt;&gt;"Exception",$D42="Low",$E42="High"),$A42&amp;"  "&amp;$B42,"")</f>
        <v/>
      </c>
    </row>
    <row r="43" ht="20" customHeight="1">
      <c r="A43" s="29" t="inlineStr">
        <is>
          <t>④</t>
        </is>
      </c>
      <c r="B43" s="30" t="n"/>
      <c r="C43" s="31" t="n"/>
      <c r="D43" s="31" t="n"/>
      <c r="E43" s="31" t="n"/>
      <c r="F43" s="32" t="n"/>
      <c r="G43" s="33">
        <f>IF(OR($B43="",$D43="",$E43=""),"",IF(OR($C43="Target state",$C43="Exception"),"Out of scope",IF($D43="Low","No tranche",IF($E43="Low","Tranche 1",IF($E43="Medium","Tranche 2",IF($D43="High","Tranche 3","No tranche"))))))</f>
        <v/>
      </c>
      <c r="J43" s="35" t="inlineStr">
        <is>
          <t>Medium</t>
        </is>
      </c>
      <c r="K43" s="36">
        <f>"Tranche 1"&amp;CHAR(10)&amp;_xlfn.TEXTJOIN(CHAR(10),TRUE,R$40:R$49)</f>
        <v/>
      </c>
      <c r="L43" s="37">
        <f>"Tranche 2"&amp;CHAR(10)&amp;_xlfn.TEXTJOIN(CHAR(10),TRUE,S$40:S$49)</f>
        <v/>
      </c>
      <c r="M43" s="41">
        <f>_xlfn.TEXTJOIN(CHAR(10),TRUE,T$40:T$49)</f>
        <v/>
      </c>
      <c r="O43">
        <f>IF(AND($B43&lt;&gt;"",$C43&lt;&gt;"Target state",$C43&lt;&gt;"Exception",$D43="High",$E43="Low"),$A43&amp;"  "&amp;$B43,"")</f>
        <v/>
      </c>
      <c r="P43">
        <f>IF(AND($B43&lt;&gt;"",$C43&lt;&gt;"Target state",$C43&lt;&gt;"Exception",$D43="High",$E43="Medium"),$A43&amp;"  "&amp;$B43,"")</f>
        <v/>
      </c>
      <c r="Q43">
        <f>IF(AND($B43&lt;&gt;"",$C43&lt;&gt;"Target state",$C43&lt;&gt;"Exception",$D43="High",$E43="High"),$A43&amp;"  "&amp;$B43,"")</f>
        <v/>
      </c>
      <c r="R43">
        <f>IF(AND($B43&lt;&gt;"",$C43&lt;&gt;"Target state",$C43&lt;&gt;"Exception",$D43="Medium",$E43="Low"),$A43&amp;"  "&amp;$B43,"")</f>
        <v/>
      </c>
      <c r="S43">
        <f>IF(AND($B43&lt;&gt;"",$C43&lt;&gt;"Target state",$C43&lt;&gt;"Exception",$D43="Medium",$E43="Medium"),$A43&amp;"  "&amp;$B43,"")</f>
        <v/>
      </c>
      <c r="T43">
        <f>IF(AND($B43&lt;&gt;"",$C43&lt;&gt;"Target state",$C43&lt;&gt;"Exception",$D43="Medium",$E43="High"),$A43&amp;"  "&amp;$B43,"")</f>
        <v/>
      </c>
      <c r="U43">
        <f>IF(AND($B43&lt;&gt;"",$C43&lt;&gt;"Target state",$C43&lt;&gt;"Exception",$D43="Low",$E43="Low"),$A43&amp;"  "&amp;$B43,"")</f>
        <v/>
      </c>
      <c r="V43">
        <f>IF(AND($B43&lt;&gt;"",$C43&lt;&gt;"Target state",$C43&lt;&gt;"Exception",$D43="Low",$E43="Medium"),$A43&amp;"  "&amp;$B43,"")</f>
        <v/>
      </c>
      <c r="W43">
        <f>IF(AND($B43&lt;&gt;"",$C43&lt;&gt;"Target state",$C43&lt;&gt;"Exception",$D43="Low",$E43="High"),$A43&amp;"  "&amp;$B43,"")</f>
        <v/>
      </c>
    </row>
    <row r="44" ht="20" customHeight="1">
      <c r="A44" s="29" t="inlineStr">
        <is>
          <t>⑤</t>
        </is>
      </c>
      <c r="B44" s="30" t="n"/>
      <c r="C44" s="31" t="n"/>
      <c r="D44" s="31" t="n"/>
      <c r="E44" s="31" t="n"/>
      <c r="F44" s="32" t="n"/>
      <c r="G44" s="33">
        <f>IF(OR($B44="",$D44="",$E44=""),"",IF(OR($C44="Target state",$C44="Exception"),"Out of scope",IF($D44="Low","No tranche",IF($E44="Low","Tranche 1",IF($E44="Medium","Tranche 2",IF($D44="High","Tranche 3","No tranche"))))))</f>
        <v/>
      </c>
      <c r="K44" s="39" t="n"/>
      <c r="L44" s="39" t="n"/>
      <c r="M44" s="39" t="n"/>
      <c r="O44">
        <f>IF(AND($B44&lt;&gt;"",$C44&lt;&gt;"Target state",$C44&lt;&gt;"Exception",$D44="High",$E44="Low"),$A44&amp;"  "&amp;$B44,"")</f>
        <v/>
      </c>
      <c r="P44">
        <f>IF(AND($B44&lt;&gt;"",$C44&lt;&gt;"Target state",$C44&lt;&gt;"Exception",$D44="High",$E44="Medium"),$A44&amp;"  "&amp;$B44,"")</f>
        <v/>
      </c>
      <c r="Q44">
        <f>IF(AND($B44&lt;&gt;"",$C44&lt;&gt;"Target state",$C44&lt;&gt;"Exception",$D44="High",$E44="High"),$A44&amp;"  "&amp;$B44,"")</f>
        <v/>
      </c>
      <c r="R44">
        <f>IF(AND($B44&lt;&gt;"",$C44&lt;&gt;"Target state",$C44&lt;&gt;"Exception",$D44="Medium",$E44="Low"),$A44&amp;"  "&amp;$B44,"")</f>
        <v/>
      </c>
      <c r="S44">
        <f>IF(AND($B44&lt;&gt;"",$C44&lt;&gt;"Target state",$C44&lt;&gt;"Exception",$D44="Medium",$E44="Medium"),$A44&amp;"  "&amp;$B44,"")</f>
        <v/>
      </c>
      <c r="T44">
        <f>IF(AND($B44&lt;&gt;"",$C44&lt;&gt;"Target state",$C44&lt;&gt;"Exception",$D44="Medium",$E44="High"),$A44&amp;"  "&amp;$B44,"")</f>
        <v/>
      </c>
      <c r="U44">
        <f>IF(AND($B44&lt;&gt;"",$C44&lt;&gt;"Target state",$C44&lt;&gt;"Exception",$D44="Low",$E44="Low"),$A44&amp;"  "&amp;$B44,"")</f>
        <v/>
      </c>
      <c r="V44">
        <f>IF(AND($B44&lt;&gt;"",$C44&lt;&gt;"Target state",$C44&lt;&gt;"Exception",$D44="Low",$E44="Medium"),$A44&amp;"  "&amp;$B44,"")</f>
        <v/>
      </c>
      <c r="W44">
        <f>IF(AND($B44&lt;&gt;"",$C44&lt;&gt;"Target state",$C44&lt;&gt;"Exception",$D44="Low",$E44="High"),$A44&amp;"  "&amp;$B44,"")</f>
        <v/>
      </c>
    </row>
    <row r="45" ht="20" customHeight="1">
      <c r="A45" s="29" t="inlineStr">
        <is>
          <t>⑥</t>
        </is>
      </c>
      <c r="B45" s="30" t="n"/>
      <c r="C45" s="31" t="n"/>
      <c r="D45" s="31" t="n"/>
      <c r="E45" s="31" t="n"/>
      <c r="F45" s="32" t="n"/>
      <c r="G45" s="33">
        <f>IF(OR($B45="",$D45="",$E45=""),"",IF(OR($C45="Target state",$C45="Exception"),"Out of scope",IF($D45="Low","No tranche",IF($E45="Low","Tranche 1",IF($E45="Medium","Tranche 2",IF($D45="High","Tranche 3","No tranche"))))))</f>
        <v/>
      </c>
      <c r="K45" s="40" t="n"/>
      <c r="L45" s="40" t="n"/>
      <c r="M45" s="40" t="n"/>
      <c r="O45">
        <f>IF(AND($B45&lt;&gt;"",$C45&lt;&gt;"Target state",$C45&lt;&gt;"Exception",$D45="High",$E45="Low"),$A45&amp;"  "&amp;$B45,"")</f>
        <v/>
      </c>
      <c r="P45">
        <f>IF(AND($B45&lt;&gt;"",$C45&lt;&gt;"Target state",$C45&lt;&gt;"Exception",$D45="High",$E45="Medium"),$A45&amp;"  "&amp;$B45,"")</f>
        <v/>
      </c>
      <c r="Q45">
        <f>IF(AND($B45&lt;&gt;"",$C45&lt;&gt;"Target state",$C45&lt;&gt;"Exception",$D45="High",$E45="High"),$A45&amp;"  "&amp;$B45,"")</f>
        <v/>
      </c>
      <c r="R45">
        <f>IF(AND($B45&lt;&gt;"",$C45&lt;&gt;"Target state",$C45&lt;&gt;"Exception",$D45="Medium",$E45="Low"),$A45&amp;"  "&amp;$B45,"")</f>
        <v/>
      </c>
      <c r="S45">
        <f>IF(AND($B45&lt;&gt;"",$C45&lt;&gt;"Target state",$C45&lt;&gt;"Exception",$D45="Medium",$E45="Medium"),$A45&amp;"  "&amp;$B45,"")</f>
        <v/>
      </c>
      <c r="T45">
        <f>IF(AND($B45&lt;&gt;"",$C45&lt;&gt;"Target state",$C45&lt;&gt;"Exception",$D45="Medium",$E45="High"),$A45&amp;"  "&amp;$B45,"")</f>
        <v/>
      </c>
      <c r="U45">
        <f>IF(AND($B45&lt;&gt;"",$C45&lt;&gt;"Target state",$C45&lt;&gt;"Exception",$D45="Low",$E45="Low"),$A45&amp;"  "&amp;$B45,"")</f>
        <v/>
      </c>
      <c r="V45">
        <f>IF(AND($B45&lt;&gt;"",$C45&lt;&gt;"Target state",$C45&lt;&gt;"Exception",$D45="Low",$E45="Medium"),$A45&amp;"  "&amp;$B45,"")</f>
        <v/>
      </c>
      <c r="W45">
        <f>IF(AND($B45&lt;&gt;"",$C45&lt;&gt;"Target state",$C45&lt;&gt;"Exception",$D45="Low",$E45="High"),$A45&amp;"  "&amp;$B45,"")</f>
        <v/>
      </c>
    </row>
    <row r="46" ht="20" customHeight="1">
      <c r="A46" s="29" t="inlineStr">
        <is>
          <t>⑦</t>
        </is>
      </c>
      <c r="B46" s="30" t="n"/>
      <c r="C46" s="31" t="n"/>
      <c r="D46" s="31" t="n"/>
      <c r="E46" s="31" t="n"/>
      <c r="F46" s="32" t="n"/>
      <c r="G46" s="33">
        <f>IF(OR($B46="",$D46="",$E46=""),"",IF(OR($C46="Target state",$C46="Exception"),"Out of scope",IF($D46="Low","No tranche",IF($E46="Low","Tranche 1",IF($E46="Medium","Tranche 2",IF($D46="High","Tranche 3","No tranche"))))))</f>
        <v/>
      </c>
      <c r="J46" s="35" t="inlineStr">
        <is>
          <t>Low</t>
        </is>
      </c>
      <c r="K46" s="41">
        <f>_xlfn.TEXTJOIN(CHAR(10),TRUE,U$40:U$49)</f>
        <v/>
      </c>
      <c r="L46" s="41">
        <f>_xlfn.TEXTJOIN(CHAR(10),TRUE,V$40:V$49)</f>
        <v/>
      </c>
      <c r="M46" s="41">
        <f>_xlfn.TEXTJOIN(CHAR(10),TRUE,W$40:W$49)</f>
        <v/>
      </c>
      <c r="O46">
        <f>IF(AND($B46&lt;&gt;"",$C46&lt;&gt;"Target state",$C46&lt;&gt;"Exception",$D46="High",$E46="Low"),$A46&amp;"  "&amp;$B46,"")</f>
        <v/>
      </c>
      <c r="P46">
        <f>IF(AND($B46&lt;&gt;"",$C46&lt;&gt;"Target state",$C46&lt;&gt;"Exception",$D46="High",$E46="Medium"),$A46&amp;"  "&amp;$B46,"")</f>
        <v/>
      </c>
      <c r="Q46">
        <f>IF(AND($B46&lt;&gt;"",$C46&lt;&gt;"Target state",$C46&lt;&gt;"Exception",$D46="High",$E46="High"),$A46&amp;"  "&amp;$B46,"")</f>
        <v/>
      </c>
      <c r="R46">
        <f>IF(AND($B46&lt;&gt;"",$C46&lt;&gt;"Target state",$C46&lt;&gt;"Exception",$D46="Medium",$E46="Low"),$A46&amp;"  "&amp;$B46,"")</f>
        <v/>
      </c>
      <c r="S46">
        <f>IF(AND($B46&lt;&gt;"",$C46&lt;&gt;"Target state",$C46&lt;&gt;"Exception",$D46="Medium",$E46="Medium"),$A46&amp;"  "&amp;$B46,"")</f>
        <v/>
      </c>
      <c r="T46">
        <f>IF(AND($B46&lt;&gt;"",$C46&lt;&gt;"Target state",$C46&lt;&gt;"Exception",$D46="Medium",$E46="High"),$A46&amp;"  "&amp;$B46,"")</f>
        <v/>
      </c>
      <c r="U46">
        <f>IF(AND($B46&lt;&gt;"",$C46&lt;&gt;"Target state",$C46&lt;&gt;"Exception",$D46="Low",$E46="Low"),$A46&amp;"  "&amp;$B46,"")</f>
        <v/>
      </c>
      <c r="V46">
        <f>IF(AND($B46&lt;&gt;"",$C46&lt;&gt;"Target state",$C46&lt;&gt;"Exception",$D46="Low",$E46="Medium"),$A46&amp;"  "&amp;$B46,"")</f>
        <v/>
      </c>
      <c r="W46">
        <f>IF(AND($B46&lt;&gt;"",$C46&lt;&gt;"Target state",$C46&lt;&gt;"Exception",$D46="Low",$E46="High"),$A46&amp;"  "&amp;$B46,"")</f>
        <v/>
      </c>
    </row>
    <row r="47" ht="20" customHeight="1">
      <c r="A47" s="29" t="inlineStr">
        <is>
          <t>⑧</t>
        </is>
      </c>
      <c r="B47" s="30" t="n"/>
      <c r="C47" s="31" t="n"/>
      <c r="D47" s="31" t="n"/>
      <c r="E47" s="31" t="n"/>
      <c r="F47" s="32" t="n"/>
      <c r="G47" s="33">
        <f>IF(OR($B47="",$D47="",$E47=""),"",IF(OR($C47="Target state",$C47="Exception"),"Out of scope",IF($D47="Low","No tranche",IF($E47="Low","Tranche 1",IF($E47="Medium","Tranche 2",IF($D47="High","Tranche 3","No tranche"))))))</f>
        <v/>
      </c>
      <c r="K47" s="39" t="n"/>
      <c r="L47" s="39" t="n"/>
      <c r="M47" s="39" t="n"/>
      <c r="O47">
        <f>IF(AND($B47&lt;&gt;"",$C47&lt;&gt;"Target state",$C47&lt;&gt;"Exception",$D47="High",$E47="Low"),$A47&amp;"  "&amp;$B47,"")</f>
        <v/>
      </c>
      <c r="P47">
        <f>IF(AND($B47&lt;&gt;"",$C47&lt;&gt;"Target state",$C47&lt;&gt;"Exception",$D47="High",$E47="Medium"),$A47&amp;"  "&amp;$B47,"")</f>
        <v/>
      </c>
      <c r="Q47">
        <f>IF(AND($B47&lt;&gt;"",$C47&lt;&gt;"Target state",$C47&lt;&gt;"Exception",$D47="High",$E47="High"),$A47&amp;"  "&amp;$B47,"")</f>
        <v/>
      </c>
      <c r="R47">
        <f>IF(AND($B47&lt;&gt;"",$C47&lt;&gt;"Target state",$C47&lt;&gt;"Exception",$D47="Medium",$E47="Low"),$A47&amp;"  "&amp;$B47,"")</f>
        <v/>
      </c>
      <c r="S47">
        <f>IF(AND($B47&lt;&gt;"",$C47&lt;&gt;"Target state",$C47&lt;&gt;"Exception",$D47="Medium",$E47="Medium"),$A47&amp;"  "&amp;$B47,"")</f>
        <v/>
      </c>
      <c r="T47">
        <f>IF(AND($B47&lt;&gt;"",$C47&lt;&gt;"Target state",$C47&lt;&gt;"Exception",$D47="Medium",$E47="High"),$A47&amp;"  "&amp;$B47,"")</f>
        <v/>
      </c>
      <c r="U47">
        <f>IF(AND($B47&lt;&gt;"",$C47&lt;&gt;"Target state",$C47&lt;&gt;"Exception",$D47="Low",$E47="Low"),$A47&amp;"  "&amp;$B47,"")</f>
        <v/>
      </c>
      <c r="V47">
        <f>IF(AND($B47&lt;&gt;"",$C47&lt;&gt;"Target state",$C47&lt;&gt;"Exception",$D47="Low",$E47="Medium"),$A47&amp;"  "&amp;$B47,"")</f>
        <v/>
      </c>
      <c r="W47">
        <f>IF(AND($B47&lt;&gt;"",$C47&lt;&gt;"Target state",$C47&lt;&gt;"Exception",$D47="Low",$E47="High"),$A47&amp;"  "&amp;$B47,"")</f>
        <v/>
      </c>
    </row>
    <row r="48" ht="20" customHeight="1">
      <c r="A48" s="29" t="inlineStr">
        <is>
          <t>⑨</t>
        </is>
      </c>
      <c r="B48" s="30" t="n"/>
      <c r="C48" s="31" t="n"/>
      <c r="D48" s="31" t="n"/>
      <c r="E48" s="31" t="n"/>
      <c r="F48" s="32" t="n"/>
      <c r="G48" s="33">
        <f>IF(OR($B48="",$D48="",$E48=""),"",IF(OR($C48="Target state",$C48="Exception"),"Out of scope",IF($D48="Low","No tranche",IF($E48="Low","Tranche 1",IF($E48="Medium","Tranche 2",IF($D48="High","Tranche 3","No tranche"))))))</f>
        <v/>
      </c>
      <c r="K48" s="40" t="n"/>
      <c r="L48" s="40" t="n"/>
      <c r="M48" s="40" t="n"/>
      <c r="O48">
        <f>IF(AND($B48&lt;&gt;"",$C48&lt;&gt;"Target state",$C48&lt;&gt;"Exception",$D48="High",$E48="Low"),$A48&amp;"  "&amp;$B48,"")</f>
        <v/>
      </c>
      <c r="P48">
        <f>IF(AND($B48&lt;&gt;"",$C48&lt;&gt;"Target state",$C48&lt;&gt;"Exception",$D48="High",$E48="Medium"),$A48&amp;"  "&amp;$B48,"")</f>
        <v/>
      </c>
      <c r="Q48">
        <f>IF(AND($B48&lt;&gt;"",$C48&lt;&gt;"Target state",$C48&lt;&gt;"Exception",$D48="High",$E48="High"),$A48&amp;"  "&amp;$B48,"")</f>
        <v/>
      </c>
      <c r="R48">
        <f>IF(AND($B48&lt;&gt;"",$C48&lt;&gt;"Target state",$C48&lt;&gt;"Exception",$D48="Medium",$E48="Low"),$A48&amp;"  "&amp;$B48,"")</f>
        <v/>
      </c>
      <c r="S48">
        <f>IF(AND($B48&lt;&gt;"",$C48&lt;&gt;"Target state",$C48&lt;&gt;"Exception",$D48="Medium",$E48="Medium"),$A48&amp;"  "&amp;$B48,"")</f>
        <v/>
      </c>
      <c r="T48">
        <f>IF(AND($B48&lt;&gt;"",$C48&lt;&gt;"Target state",$C48&lt;&gt;"Exception",$D48="Medium",$E48="High"),$A48&amp;"  "&amp;$B48,"")</f>
        <v/>
      </c>
      <c r="U48">
        <f>IF(AND($B48&lt;&gt;"",$C48&lt;&gt;"Target state",$C48&lt;&gt;"Exception",$D48="Low",$E48="Low"),$A48&amp;"  "&amp;$B48,"")</f>
        <v/>
      </c>
      <c r="V48">
        <f>IF(AND($B48&lt;&gt;"",$C48&lt;&gt;"Target state",$C48&lt;&gt;"Exception",$D48="Low",$E48="Medium"),$A48&amp;"  "&amp;$B48,"")</f>
        <v/>
      </c>
      <c r="W48">
        <f>IF(AND($B48&lt;&gt;"",$C48&lt;&gt;"Target state",$C48&lt;&gt;"Exception",$D48="Low",$E48="High"),$A48&amp;"  "&amp;$B48,"")</f>
        <v/>
      </c>
    </row>
    <row r="49" ht="20" customHeight="1">
      <c r="A49" s="29" t="inlineStr">
        <is>
          <t>⑩</t>
        </is>
      </c>
      <c r="B49" s="30" t="n"/>
      <c r="C49" s="31" t="n"/>
      <c r="D49" s="31" t="n"/>
      <c r="E49" s="31" t="n"/>
      <c r="F49" s="32" t="n"/>
      <c r="G49" s="33">
        <f>IF(OR($B49="",$D49="",$E49=""),"",IF(OR($C49="Target state",$C49="Exception"),"Out of scope",IF($D49="Low","No tranche",IF($E49="Low","Tranche 1",IF($E49="Medium","Tranche 2",IF($D49="High","Tranche 3","No tranche"))))))</f>
        <v/>
      </c>
      <c r="K49" s="35" t="inlineStr">
        <is>
          <t>Complexity</t>
        </is>
      </c>
      <c r="O49">
        <f>IF(AND($B49&lt;&gt;"",$C49&lt;&gt;"Target state",$C49&lt;&gt;"Exception",$D49="High",$E49="Low"),$A49&amp;"  "&amp;$B49,"")</f>
        <v/>
      </c>
      <c r="P49">
        <f>IF(AND($B49&lt;&gt;"",$C49&lt;&gt;"Target state",$C49&lt;&gt;"Exception",$D49="High",$E49="Medium"),$A49&amp;"  "&amp;$B49,"")</f>
        <v/>
      </c>
      <c r="Q49">
        <f>IF(AND($B49&lt;&gt;"",$C49&lt;&gt;"Target state",$C49&lt;&gt;"Exception",$D49="High",$E49="High"),$A49&amp;"  "&amp;$B49,"")</f>
        <v/>
      </c>
      <c r="R49">
        <f>IF(AND($B49&lt;&gt;"",$C49&lt;&gt;"Target state",$C49&lt;&gt;"Exception",$D49="Medium",$E49="Low"),$A49&amp;"  "&amp;$B49,"")</f>
        <v/>
      </c>
      <c r="S49">
        <f>IF(AND($B49&lt;&gt;"",$C49&lt;&gt;"Target state",$C49&lt;&gt;"Exception",$D49="Medium",$E49="Medium"),$A49&amp;"  "&amp;$B49,"")</f>
        <v/>
      </c>
      <c r="T49">
        <f>IF(AND($B49&lt;&gt;"",$C49&lt;&gt;"Target state",$C49&lt;&gt;"Exception",$D49="Medium",$E49="High"),$A49&amp;"  "&amp;$B49,"")</f>
        <v/>
      </c>
      <c r="U49">
        <f>IF(AND($B49&lt;&gt;"",$C49&lt;&gt;"Target state",$C49&lt;&gt;"Exception",$D49="Low",$E49="Low"),$A49&amp;"  "&amp;$B49,"")</f>
        <v/>
      </c>
      <c r="V49">
        <f>IF(AND($B49&lt;&gt;"",$C49&lt;&gt;"Target state",$C49&lt;&gt;"Exception",$D49="Low",$E49="Medium"),$A49&amp;"  "&amp;$B49,"")</f>
        <v/>
      </c>
      <c r="W49">
        <f>IF(AND($B49&lt;&gt;"",$C49&lt;&gt;"Target state",$C49&lt;&gt;"Exception",$D49="Low",$E49="High"),$A49&amp;"  "&amp;$B49,"")</f>
        <v/>
      </c>
    </row>
    <row r="52" ht="22" customHeight="1">
      <c r="A52" s="24" t="inlineStr">
        <is>
          <t>Risks</t>
        </is>
      </c>
      <c r="G52" s="25">
        <f>HYPERLINK("#'Sales &amp; Servicing'!A4","▲ tracker")</f>
        <v/>
      </c>
      <c r="K52" s="26" t="inlineStr">
        <is>
          <t>Assessment Outcome</t>
        </is>
      </c>
    </row>
    <row r="53" ht="18" customHeight="1">
      <c r="A53" s="27" t="inlineStr">
        <is>
          <t>#</t>
        </is>
      </c>
      <c r="B53" s="27" t="inlineStr">
        <is>
          <t>Platform</t>
        </is>
      </c>
      <c r="C53" s="27" t="inlineStr">
        <is>
          <t>State</t>
        </is>
      </c>
      <c r="D53" s="27" t="inlineStr">
        <is>
          <t>Imperative to exit</t>
        </is>
      </c>
      <c r="E53" s="27" t="inlineStr">
        <is>
          <t>Exit complexity</t>
        </is>
      </c>
      <c r="F53" s="27" t="inlineStr">
        <is>
          <t>Supporting facts</t>
        </is>
      </c>
      <c r="G53" s="27" t="inlineStr">
        <is>
          <t>Tranche (auto)</t>
        </is>
      </c>
      <c r="K53" s="28" t="inlineStr">
        <is>
          <t>Low</t>
        </is>
      </c>
      <c r="L53" s="28" t="inlineStr">
        <is>
          <t>Medium</t>
        </is>
      </c>
      <c r="M53" s="28" t="inlineStr">
        <is>
          <t>High</t>
        </is>
      </c>
    </row>
    <row r="54" ht="20" customHeight="1">
      <c r="A54" s="29" t="inlineStr">
        <is>
          <t>①</t>
        </is>
      </c>
      <c r="B54" s="30" t="n"/>
      <c r="C54" s="31" t="n"/>
      <c r="D54" s="31" t="n"/>
      <c r="E54" s="31" t="n"/>
      <c r="F54" s="32" t="n"/>
      <c r="G54" s="33">
        <f>IF(OR($B54="",$D54="",$E54=""),"",IF(OR($C54="Target state",$C54="Exception"),"Out of scope",IF($D54="Low","No tranche",IF($E54="Low","Tranche 1",IF($E54="Medium","Tranche 2",IF($D54="High","Tranche 3","No tranche"))))))</f>
        <v/>
      </c>
      <c r="I54" s="34" t="inlineStr">
        <is>
          <t>Benefits</t>
        </is>
      </c>
      <c r="J54" s="35" t="inlineStr">
        <is>
          <t>High</t>
        </is>
      </c>
      <c r="K54" s="36">
        <f>"Tranche 1"&amp;CHAR(10)&amp;_xlfn.TEXTJOIN(CHAR(10),TRUE,O$54:O$63)</f>
        <v/>
      </c>
      <c r="L54" s="37">
        <f>"Tranche 2"&amp;CHAR(10)&amp;_xlfn.TEXTJOIN(CHAR(10),TRUE,P$54:P$63)</f>
        <v/>
      </c>
      <c r="M54" s="38">
        <f>"Tranche 3"&amp;CHAR(10)&amp;_xlfn.TEXTJOIN(CHAR(10),TRUE,Q$54:Q$63)</f>
        <v/>
      </c>
      <c r="O54">
        <f>IF(AND($B54&lt;&gt;"",$C54&lt;&gt;"Target state",$C54&lt;&gt;"Exception",$D54="High",$E54="Low"),$A54&amp;"  "&amp;$B54,"")</f>
        <v/>
      </c>
      <c r="P54">
        <f>IF(AND($B54&lt;&gt;"",$C54&lt;&gt;"Target state",$C54&lt;&gt;"Exception",$D54="High",$E54="Medium"),$A54&amp;"  "&amp;$B54,"")</f>
        <v/>
      </c>
      <c r="Q54">
        <f>IF(AND($B54&lt;&gt;"",$C54&lt;&gt;"Target state",$C54&lt;&gt;"Exception",$D54="High",$E54="High"),$A54&amp;"  "&amp;$B54,"")</f>
        <v/>
      </c>
      <c r="R54">
        <f>IF(AND($B54&lt;&gt;"",$C54&lt;&gt;"Target state",$C54&lt;&gt;"Exception",$D54="Medium",$E54="Low"),$A54&amp;"  "&amp;$B54,"")</f>
        <v/>
      </c>
      <c r="S54">
        <f>IF(AND($B54&lt;&gt;"",$C54&lt;&gt;"Target state",$C54&lt;&gt;"Exception",$D54="Medium",$E54="Medium"),$A54&amp;"  "&amp;$B54,"")</f>
        <v/>
      </c>
      <c r="T54">
        <f>IF(AND($B54&lt;&gt;"",$C54&lt;&gt;"Target state",$C54&lt;&gt;"Exception",$D54="Medium",$E54="High"),$A54&amp;"  "&amp;$B54,"")</f>
        <v/>
      </c>
      <c r="U54">
        <f>IF(AND($B54&lt;&gt;"",$C54&lt;&gt;"Target state",$C54&lt;&gt;"Exception",$D54="Low",$E54="Low"),$A54&amp;"  "&amp;$B54,"")</f>
        <v/>
      </c>
      <c r="V54">
        <f>IF(AND($B54&lt;&gt;"",$C54&lt;&gt;"Target state",$C54&lt;&gt;"Exception",$D54="Low",$E54="Medium"),$A54&amp;"  "&amp;$B54,"")</f>
        <v/>
      </c>
      <c r="W54">
        <f>IF(AND($B54&lt;&gt;"",$C54&lt;&gt;"Target state",$C54&lt;&gt;"Exception",$D54="Low",$E54="High"),$A54&amp;"  "&amp;$B54,"")</f>
        <v/>
      </c>
    </row>
    <row r="55" ht="20" customHeight="1">
      <c r="A55" s="29" t="inlineStr">
        <is>
          <t>②</t>
        </is>
      </c>
      <c r="B55" s="30" t="n"/>
      <c r="C55" s="31" t="n"/>
      <c r="D55" s="31" t="n"/>
      <c r="E55" s="31" t="n"/>
      <c r="F55" s="32" t="n"/>
      <c r="G55" s="33">
        <f>IF(OR($B55="",$D55="",$E55=""),"",IF(OR($C55="Target state",$C55="Exception"),"Out of scope",IF($D55="Low","No tranche",IF($E55="Low","Tranche 1",IF($E55="Medium","Tranche 2",IF($D55="High","Tranche 3","No tranche"))))))</f>
        <v/>
      </c>
      <c r="K55" s="39" t="n"/>
      <c r="L55" s="39" t="n"/>
      <c r="M55" s="39" t="n"/>
      <c r="O55">
        <f>IF(AND($B55&lt;&gt;"",$C55&lt;&gt;"Target state",$C55&lt;&gt;"Exception",$D55="High",$E55="Low"),$A55&amp;"  "&amp;$B55,"")</f>
        <v/>
      </c>
      <c r="P55">
        <f>IF(AND($B55&lt;&gt;"",$C55&lt;&gt;"Target state",$C55&lt;&gt;"Exception",$D55="High",$E55="Medium"),$A55&amp;"  "&amp;$B55,"")</f>
        <v/>
      </c>
      <c r="Q55">
        <f>IF(AND($B55&lt;&gt;"",$C55&lt;&gt;"Target state",$C55&lt;&gt;"Exception",$D55="High",$E55="High"),$A55&amp;"  "&amp;$B55,"")</f>
        <v/>
      </c>
      <c r="R55">
        <f>IF(AND($B55&lt;&gt;"",$C55&lt;&gt;"Target state",$C55&lt;&gt;"Exception",$D55="Medium",$E55="Low"),$A55&amp;"  "&amp;$B55,"")</f>
        <v/>
      </c>
      <c r="S55">
        <f>IF(AND($B55&lt;&gt;"",$C55&lt;&gt;"Target state",$C55&lt;&gt;"Exception",$D55="Medium",$E55="Medium"),$A55&amp;"  "&amp;$B55,"")</f>
        <v/>
      </c>
      <c r="T55">
        <f>IF(AND($B55&lt;&gt;"",$C55&lt;&gt;"Target state",$C55&lt;&gt;"Exception",$D55="Medium",$E55="High"),$A55&amp;"  "&amp;$B55,"")</f>
        <v/>
      </c>
      <c r="U55">
        <f>IF(AND($B55&lt;&gt;"",$C55&lt;&gt;"Target state",$C55&lt;&gt;"Exception",$D55="Low",$E55="Low"),$A55&amp;"  "&amp;$B55,"")</f>
        <v/>
      </c>
      <c r="V55">
        <f>IF(AND($B55&lt;&gt;"",$C55&lt;&gt;"Target state",$C55&lt;&gt;"Exception",$D55="Low",$E55="Medium"),$A55&amp;"  "&amp;$B55,"")</f>
        <v/>
      </c>
      <c r="W55">
        <f>IF(AND($B55&lt;&gt;"",$C55&lt;&gt;"Target state",$C55&lt;&gt;"Exception",$D55="Low",$E55="High"),$A55&amp;"  "&amp;$B55,"")</f>
        <v/>
      </c>
    </row>
    <row r="56" ht="20" customHeight="1">
      <c r="A56" s="29" t="inlineStr">
        <is>
          <t>③</t>
        </is>
      </c>
      <c r="B56" s="30" t="n"/>
      <c r="C56" s="31" t="n"/>
      <c r="D56" s="31" t="n"/>
      <c r="E56" s="31" t="n"/>
      <c r="F56" s="32" t="n"/>
      <c r="G56" s="33">
        <f>IF(OR($B56="",$D56="",$E56=""),"",IF(OR($C56="Target state",$C56="Exception"),"Out of scope",IF($D56="Low","No tranche",IF($E56="Low","Tranche 1",IF($E56="Medium","Tranche 2",IF($D56="High","Tranche 3","No tranche"))))))</f>
        <v/>
      </c>
      <c r="K56" s="40" t="n"/>
      <c r="L56" s="40" t="n"/>
      <c r="M56" s="40" t="n"/>
      <c r="O56">
        <f>IF(AND($B56&lt;&gt;"",$C56&lt;&gt;"Target state",$C56&lt;&gt;"Exception",$D56="High",$E56="Low"),$A56&amp;"  "&amp;$B56,"")</f>
        <v/>
      </c>
      <c r="P56">
        <f>IF(AND($B56&lt;&gt;"",$C56&lt;&gt;"Target state",$C56&lt;&gt;"Exception",$D56="High",$E56="Medium"),$A56&amp;"  "&amp;$B56,"")</f>
        <v/>
      </c>
      <c r="Q56">
        <f>IF(AND($B56&lt;&gt;"",$C56&lt;&gt;"Target state",$C56&lt;&gt;"Exception",$D56="High",$E56="High"),$A56&amp;"  "&amp;$B56,"")</f>
        <v/>
      </c>
      <c r="R56">
        <f>IF(AND($B56&lt;&gt;"",$C56&lt;&gt;"Target state",$C56&lt;&gt;"Exception",$D56="Medium",$E56="Low"),$A56&amp;"  "&amp;$B56,"")</f>
        <v/>
      </c>
      <c r="S56">
        <f>IF(AND($B56&lt;&gt;"",$C56&lt;&gt;"Target state",$C56&lt;&gt;"Exception",$D56="Medium",$E56="Medium"),$A56&amp;"  "&amp;$B56,"")</f>
        <v/>
      </c>
      <c r="T56">
        <f>IF(AND($B56&lt;&gt;"",$C56&lt;&gt;"Target state",$C56&lt;&gt;"Exception",$D56="Medium",$E56="High"),$A56&amp;"  "&amp;$B56,"")</f>
        <v/>
      </c>
      <c r="U56">
        <f>IF(AND($B56&lt;&gt;"",$C56&lt;&gt;"Target state",$C56&lt;&gt;"Exception",$D56="Low",$E56="Low"),$A56&amp;"  "&amp;$B56,"")</f>
        <v/>
      </c>
      <c r="V56">
        <f>IF(AND($B56&lt;&gt;"",$C56&lt;&gt;"Target state",$C56&lt;&gt;"Exception",$D56="Low",$E56="Medium"),$A56&amp;"  "&amp;$B56,"")</f>
        <v/>
      </c>
      <c r="W56">
        <f>IF(AND($B56&lt;&gt;"",$C56&lt;&gt;"Target state",$C56&lt;&gt;"Exception",$D56="Low",$E56="High"),$A56&amp;"  "&amp;$B56,"")</f>
        <v/>
      </c>
    </row>
    <row r="57" ht="20" customHeight="1">
      <c r="A57" s="29" t="inlineStr">
        <is>
          <t>④</t>
        </is>
      </c>
      <c r="B57" s="30" t="n"/>
      <c r="C57" s="31" t="n"/>
      <c r="D57" s="31" t="n"/>
      <c r="E57" s="31" t="n"/>
      <c r="F57" s="32" t="n"/>
      <c r="G57" s="33">
        <f>IF(OR($B57="",$D57="",$E57=""),"",IF(OR($C57="Target state",$C57="Exception"),"Out of scope",IF($D57="Low","No tranche",IF($E57="Low","Tranche 1",IF($E57="Medium","Tranche 2",IF($D57="High","Tranche 3","No tranche"))))))</f>
        <v/>
      </c>
      <c r="J57" s="35" t="inlineStr">
        <is>
          <t>Medium</t>
        </is>
      </c>
      <c r="K57" s="36">
        <f>"Tranche 1"&amp;CHAR(10)&amp;_xlfn.TEXTJOIN(CHAR(10),TRUE,R$54:R$63)</f>
        <v/>
      </c>
      <c r="L57" s="37">
        <f>"Tranche 2"&amp;CHAR(10)&amp;_xlfn.TEXTJOIN(CHAR(10),TRUE,S$54:S$63)</f>
        <v/>
      </c>
      <c r="M57" s="41">
        <f>_xlfn.TEXTJOIN(CHAR(10),TRUE,T$54:T$63)</f>
        <v/>
      </c>
      <c r="O57">
        <f>IF(AND($B57&lt;&gt;"",$C57&lt;&gt;"Target state",$C57&lt;&gt;"Exception",$D57="High",$E57="Low"),$A57&amp;"  "&amp;$B57,"")</f>
        <v/>
      </c>
      <c r="P57">
        <f>IF(AND($B57&lt;&gt;"",$C57&lt;&gt;"Target state",$C57&lt;&gt;"Exception",$D57="High",$E57="Medium"),$A57&amp;"  "&amp;$B57,"")</f>
        <v/>
      </c>
      <c r="Q57">
        <f>IF(AND($B57&lt;&gt;"",$C57&lt;&gt;"Target state",$C57&lt;&gt;"Exception",$D57="High",$E57="High"),$A57&amp;"  "&amp;$B57,"")</f>
        <v/>
      </c>
      <c r="R57">
        <f>IF(AND($B57&lt;&gt;"",$C57&lt;&gt;"Target state",$C57&lt;&gt;"Exception",$D57="Medium",$E57="Low"),$A57&amp;"  "&amp;$B57,"")</f>
        <v/>
      </c>
      <c r="S57">
        <f>IF(AND($B57&lt;&gt;"",$C57&lt;&gt;"Target state",$C57&lt;&gt;"Exception",$D57="Medium",$E57="Medium"),$A57&amp;"  "&amp;$B57,"")</f>
        <v/>
      </c>
      <c r="T57">
        <f>IF(AND($B57&lt;&gt;"",$C57&lt;&gt;"Target state",$C57&lt;&gt;"Exception",$D57="Medium",$E57="High"),$A57&amp;"  "&amp;$B57,"")</f>
        <v/>
      </c>
      <c r="U57">
        <f>IF(AND($B57&lt;&gt;"",$C57&lt;&gt;"Target state",$C57&lt;&gt;"Exception",$D57="Low",$E57="Low"),$A57&amp;"  "&amp;$B57,"")</f>
        <v/>
      </c>
      <c r="V57">
        <f>IF(AND($B57&lt;&gt;"",$C57&lt;&gt;"Target state",$C57&lt;&gt;"Exception",$D57="Low",$E57="Medium"),$A57&amp;"  "&amp;$B57,"")</f>
        <v/>
      </c>
      <c r="W57">
        <f>IF(AND($B57&lt;&gt;"",$C57&lt;&gt;"Target state",$C57&lt;&gt;"Exception",$D57="Low",$E57="High"),$A57&amp;"  "&amp;$B57,"")</f>
        <v/>
      </c>
    </row>
    <row r="58" ht="20" customHeight="1">
      <c r="A58" s="29" t="inlineStr">
        <is>
          <t>⑤</t>
        </is>
      </c>
      <c r="B58" s="30" t="n"/>
      <c r="C58" s="31" t="n"/>
      <c r="D58" s="31" t="n"/>
      <c r="E58" s="31" t="n"/>
      <c r="F58" s="32" t="n"/>
      <c r="G58" s="33">
        <f>IF(OR($B58="",$D58="",$E58=""),"",IF(OR($C58="Target state",$C58="Exception"),"Out of scope",IF($D58="Low","No tranche",IF($E58="Low","Tranche 1",IF($E58="Medium","Tranche 2",IF($D58="High","Tranche 3","No tranche"))))))</f>
        <v/>
      </c>
      <c r="K58" s="39" t="n"/>
      <c r="L58" s="39" t="n"/>
      <c r="M58" s="39" t="n"/>
      <c r="O58">
        <f>IF(AND($B58&lt;&gt;"",$C58&lt;&gt;"Target state",$C58&lt;&gt;"Exception",$D58="High",$E58="Low"),$A58&amp;"  "&amp;$B58,"")</f>
        <v/>
      </c>
      <c r="P58">
        <f>IF(AND($B58&lt;&gt;"",$C58&lt;&gt;"Target state",$C58&lt;&gt;"Exception",$D58="High",$E58="Medium"),$A58&amp;"  "&amp;$B58,"")</f>
        <v/>
      </c>
      <c r="Q58">
        <f>IF(AND($B58&lt;&gt;"",$C58&lt;&gt;"Target state",$C58&lt;&gt;"Exception",$D58="High",$E58="High"),$A58&amp;"  "&amp;$B58,"")</f>
        <v/>
      </c>
      <c r="R58">
        <f>IF(AND($B58&lt;&gt;"",$C58&lt;&gt;"Target state",$C58&lt;&gt;"Exception",$D58="Medium",$E58="Low"),$A58&amp;"  "&amp;$B58,"")</f>
        <v/>
      </c>
      <c r="S58">
        <f>IF(AND($B58&lt;&gt;"",$C58&lt;&gt;"Target state",$C58&lt;&gt;"Exception",$D58="Medium",$E58="Medium"),$A58&amp;"  "&amp;$B58,"")</f>
        <v/>
      </c>
      <c r="T58">
        <f>IF(AND($B58&lt;&gt;"",$C58&lt;&gt;"Target state",$C58&lt;&gt;"Exception",$D58="Medium",$E58="High"),$A58&amp;"  "&amp;$B58,"")</f>
        <v/>
      </c>
      <c r="U58">
        <f>IF(AND($B58&lt;&gt;"",$C58&lt;&gt;"Target state",$C58&lt;&gt;"Exception",$D58="Low",$E58="Low"),$A58&amp;"  "&amp;$B58,"")</f>
        <v/>
      </c>
      <c r="V58">
        <f>IF(AND($B58&lt;&gt;"",$C58&lt;&gt;"Target state",$C58&lt;&gt;"Exception",$D58="Low",$E58="Medium"),$A58&amp;"  "&amp;$B58,"")</f>
        <v/>
      </c>
      <c r="W58">
        <f>IF(AND($B58&lt;&gt;"",$C58&lt;&gt;"Target state",$C58&lt;&gt;"Exception",$D58="Low",$E58="High"),$A58&amp;"  "&amp;$B58,"")</f>
        <v/>
      </c>
    </row>
    <row r="59" ht="20" customHeight="1">
      <c r="A59" s="29" t="inlineStr">
        <is>
          <t>⑥</t>
        </is>
      </c>
      <c r="B59" s="30" t="n"/>
      <c r="C59" s="31" t="n"/>
      <c r="D59" s="31" t="n"/>
      <c r="E59" s="31" t="n"/>
      <c r="F59" s="32" t="n"/>
      <c r="G59" s="33">
        <f>IF(OR($B59="",$D59="",$E59=""),"",IF(OR($C59="Target state",$C59="Exception"),"Out of scope",IF($D59="Low","No tranche",IF($E59="Low","Tranche 1",IF($E59="Medium","Tranche 2",IF($D59="High","Tranche 3","No tranche"))))))</f>
        <v/>
      </c>
      <c r="K59" s="40" t="n"/>
      <c r="L59" s="40" t="n"/>
      <c r="M59" s="40" t="n"/>
      <c r="O59">
        <f>IF(AND($B59&lt;&gt;"",$C59&lt;&gt;"Target state",$C59&lt;&gt;"Exception",$D59="High",$E59="Low"),$A59&amp;"  "&amp;$B59,"")</f>
        <v/>
      </c>
      <c r="P59">
        <f>IF(AND($B59&lt;&gt;"",$C59&lt;&gt;"Target state",$C59&lt;&gt;"Exception",$D59="High",$E59="Medium"),$A59&amp;"  "&amp;$B59,"")</f>
        <v/>
      </c>
      <c r="Q59">
        <f>IF(AND($B59&lt;&gt;"",$C59&lt;&gt;"Target state",$C59&lt;&gt;"Exception",$D59="High",$E59="High"),$A59&amp;"  "&amp;$B59,"")</f>
        <v/>
      </c>
      <c r="R59">
        <f>IF(AND($B59&lt;&gt;"",$C59&lt;&gt;"Target state",$C59&lt;&gt;"Exception",$D59="Medium",$E59="Low"),$A59&amp;"  "&amp;$B59,"")</f>
        <v/>
      </c>
      <c r="S59">
        <f>IF(AND($B59&lt;&gt;"",$C59&lt;&gt;"Target state",$C59&lt;&gt;"Exception",$D59="Medium",$E59="Medium"),$A59&amp;"  "&amp;$B59,"")</f>
        <v/>
      </c>
      <c r="T59">
        <f>IF(AND($B59&lt;&gt;"",$C59&lt;&gt;"Target state",$C59&lt;&gt;"Exception",$D59="Medium",$E59="High"),$A59&amp;"  "&amp;$B59,"")</f>
        <v/>
      </c>
      <c r="U59">
        <f>IF(AND($B59&lt;&gt;"",$C59&lt;&gt;"Target state",$C59&lt;&gt;"Exception",$D59="Low",$E59="Low"),$A59&amp;"  "&amp;$B59,"")</f>
        <v/>
      </c>
      <c r="V59">
        <f>IF(AND($B59&lt;&gt;"",$C59&lt;&gt;"Target state",$C59&lt;&gt;"Exception",$D59="Low",$E59="Medium"),$A59&amp;"  "&amp;$B59,"")</f>
        <v/>
      </c>
      <c r="W59">
        <f>IF(AND($B59&lt;&gt;"",$C59&lt;&gt;"Target state",$C59&lt;&gt;"Exception",$D59="Low",$E59="High"),$A59&amp;"  "&amp;$B59,"")</f>
        <v/>
      </c>
    </row>
    <row r="60" ht="20" customHeight="1">
      <c r="A60" s="29" t="inlineStr">
        <is>
          <t>⑦</t>
        </is>
      </c>
      <c r="B60" s="30" t="n"/>
      <c r="C60" s="31" t="n"/>
      <c r="D60" s="31" t="n"/>
      <c r="E60" s="31" t="n"/>
      <c r="F60" s="32" t="n"/>
      <c r="G60" s="33">
        <f>IF(OR($B60="",$D60="",$E60=""),"",IF(OR($C60="Target state",$C60="Exception"),"Out of scope",IF($D60="Low","No tranche",IF($E60="Low","Tranche 1",IF($E60="Medium","Tranche 2",IF($D60="High","Tranche 3","No tranche"))))))</f>
        <v/>
      </c>
      <c r="J60" s="35" t="inlineStr">
        <is>
          <t>Low</t>
        </is>
      </c>
      <c r="K60" s="41">
        <f>_xlfn.TEXTJOIN(CHAR(10),TRUE,U$54:U$63)</f>
        <v/>
      </c>
      <c r="L60" s="41">
        <f>_xlfn.TEXTJOIN(CHAR(10),TRUE,V$54:V$63)</f>
        <v/>
      </c>
      <c r="M60" s="41">
        <f>_xlfn.TEXTJOIN(CHAR(10),TRUE,W$54:W$63)</f>
        <v/>
      </c>
      <c r="O60">
        <f>IF(AND($B60&lt;&gt;"",$C60&lt;&gt;"Target state",$C60&lt;&gt;"Exception",$D60="High",$E60="Low"),$A60&amp;"  "&amp;$B60,"")</f>
        <v/>
      </c>
      <c r="P60">
        <f>IF(AND($B60&lt;&gt;"",$C60&lt;&gt;"Target state",$C60&lt;&gt;"Exception",$D60="High",$E60="Medium"),$A60&amp;"  "&amp;$B60,"")</f>
        <v/>
      </c>
      <c r="Q60">
        <f>IF(AND($B60&lt;&gt;"",$C60&lt;&gt;"Target state",$C60&lt;&gt;"Exception",$D60="High",$E60="High"),$A60&amp;"  "&amp;$B60,"")</f>
        <v/>
      </c>
      <c r="R60">
        <f>IF(AND($B60&lt;&gt;"",$C60&lt;&gt;"Target state",$C60&lt;&gt;"Exception",$D60="Medium",$E60="Low"),$A60&amp;"  "&amp;$B60,"")</f>
        <v/>
      </c>
      <c r="S60">
        <f>IF(AND($B60&lt;&gt;"",$C60&lt;&gt;"Target state",$C60&lt;&gt;"Exception",$D60="Medium",$E60="Medium"),$A60&amp;"  "&amp;$B60,"")</f>
        <v/>
      </c>
      <c r="T60">
        <f>IF(AND($B60&lt;&gt;"",$C60&lt;&gt;"Target state",$C60&lt;&gt;"Exception",$D60="Medium",$E60="High"),$A60&amp;"  "&amp;$B60,"")</f>
        <v/>
      </c>
      <c r="U60">
        <f>IF(AND($B60&lt;&gt;"",$C60&lt;&gt;"Target state",$C60&lt;&gt;"Exception",$D60="Low",$E60="Low"),$A60&amp;"  "&amp;$B60,"")</f>
        <v/>
      </c>
      <c r="V60">
        <f>IF(AND($B60&lt;&gt;"",$C60&lt;&gt;"Target state",$C60&lt;&gt;"Exception",$D60="Low",$E60="Medium"),$A60&amp;"  "&amp;$B60,"")</f>
        <v/>
      </c>
      <c r="W60">
        <f>IF(AND($B60&lt;&gt;"",$C60&lt;&gt;"Target state",$C60&lt;&gt;"Exception",$D60="Low",$E60="High"),$A60&amp;"  "&amp;$B60,"")</f>
        <v/>
      </c>
    </row>
    <row r="61" ht="20" customHeight="1">
      <c r="A61" s="29" t="inlineStr">
        <is>
          <t>⑧</t>
        </is>
      </c>
      <c r="B61" s="30" t="n"/>
      <c r="C61" s="31" t="n"/>
      <c r="D61" s="31" t="n"/>
      <c r="E61" s="31" t="n"/>
      <c r="F61" s="32" t="n"/>
      <c r="G61" s="33">
        <f>IF(OR($B61="",$D61="",$E61=""),"",IF(OR($C61="Target state",$C61="Exception"),"Out of scope",IF($D61="Low","No tranche",IF($E61="Low","Tranche 1",IF($E61="Medium","Tranche 2",IF($D61="High","Tranche 3","No tranche"))))))</f>
        <v/>
      </c>
      <c r="K61" s="39" t="n"/>
      <c r="L61" s="39" t="n"/>
      <c r="M61" s="39" t="n"/>
      <c r="O61">
        <f>IF(AND($B61&lt;&gt;"",$C61&lt;&gt;"Target state",$C61&lt;&gt;"Exception",$D61="High",$E61="Low"),$A61&amp;"  "&amp;$B61,"")</f>
        <v/>
      </c>
      <c r="P61">
        <f>IF(AND($B61&lt;&gt;"",$C61&lt;&gt;"Target state",$C61&lt;&gt;"Exception",$D61="High",$E61="Medium"),$A61&amp;"  "&amp;$B61,"")</f>
        <v/>
      </c>
      <c r="Q61">
        <f>IF(AND($B61&lt;&gt;"",$C61&lt;&gt;"Target state",$C61&lt;&gt;"Exception",$D61="High",$E61="High"),$A61&amp;"  "&amp;$B61,"")</f>
        <v/>
      </c>
      <c r="R61">
        <f>IF(AND($B61&lt;&gt;"",$C61&lt;&gt;"Target state",$C61&lt;&gt;"Exception",$D61="Medium",$E61="Low"),$A61&amp;"  "&amp;$B61,"")</f>
        <v/>
      </c>
      <c r="S61">
        <f>IF(AND($B61&lt;&gt;"",$C61&lt;&gt;"Target state",$C61&lt;&gt;"Exception",$D61="Medium",$E61="Medium"),$A61&amp;"  "&amp;$B61,"")</f>
        <v/>
      </c>
      <c r="T61">
        <f>IF(AND($B61&lt;&gt;"",$C61&lt;&gt;"Target state",$C61&lt;&gt;"Exception",$D61="Medium",$E61="High"),$A61&amp;"  "&amp;$B61,"")</f>
        <v/>
      </c>
      <c r="U61">
        <f>IF(AND($B61&lt;&gt;"",$C61&lt;&gt;"Target state",$C61&lt;&gt;"Exception",$D61="Low",$E61="Low"),$A61&amp;"  "&amp;$B61,"")</f>
        <v/>
      </c>
      <c r="V61">
        <f>IF(AND($B61&lt;&gt;"",$C61&lt;&gt;"Target state",$C61&lt;&gt;"Exception",$D61="Low",$E61="Medium"),$A61&amp;"  "&amp;$B61,"")</f>
        <v/>
      </c>
      <c r="W61">
        <f>IF(AND($B61&lt;&gt;"",$C61&lt;&gt;"Target state",$C61&lt;&gt;"Exception",$D61="Low",$E61="High"),$A61&amp;"  "&amp;$B61,"")</f>
        <v/>
      </c>
    </row>
    <row r="62" ht="20" customHeight="1">
      <c r="A62" s="29" t="inlineStr">
        <is>
          <t>⑨</t>
        </is>
      </c>
      <c r="B62" s="30" t="n"/>
      <c r="C62" s="31" t="n"/>
      <c r="D62" s="31" t="n"/>
      <c r="E62" s="31" t="n"/>
      <c r="F62" s="32" t="n"/>
      <c r="G62" s="33">
        <f>IF(OR($B62="",$D62="",$E62=""),"",IF(OR($C62="Target state",$C62="Exception"),"Out of scope",IF($D62="Low","No tranche",IF($E62="Low","Tranche 1",IF($E62="Medium","Tranche 2",IF($D62="High","Tranche 3","No tranche"))))))</f>
        <v/>
      </c>
      <c r="K62" s="40" t="n"/>
      <c r="L62" s="40" t="n"/>
      <c r="M62" s="40" t="n"/>
      <c r="O62">
        <f>IF(AND($B62&lt;&gt;"",$C62&lt;&gt;"Target state",$C62&lt;&gt;"Exception",$D62="High",$E62="Low"),$A62&amp;"  "&amp;$B62,"")</f>
        <v/>
      </c>
      <c r="P62">
        <f>IF(AND($B62&lt;&gt;"",$C62&lt;&gt;"Target state",$C62&lt;&gt;"Exception",$D62="High",$E62="Medium"),$A62&amp;"  "&amp;$B62,"")</f>
        <v/>
      </c>
      <c r="Q62">
        <f>IF(AND($B62&lt;&gt;"",$C62&lt;&gt;"Target state",$C62&lt;&gt;"Exception",$D62="High",$E62="High"),$A62&amp;"  "&amp;$B62,"")</f>
        <v/>
      </c>
      <c r="R62">
        <f>IF(AND($B62&lt;&gt;"",$C62&lt;&gt;"Target state",$C62&lt;&gt;"Exception",$D62="Medium",$E62="Low"),$A62&amp;"  "&amp;$B62,"")</f>
        <v/>
      </c>
      <c r="S62">
        <f>IF(AND($B62&lt;&gt;"",$C62&lt;&gt;"Target state",$C62&lt;&gt;"Exception",$D62="Medium",$E62="Medium"),$A62&amp;"  "&amp;$B62,"")</f>
        <v/>
      </c>
      <c r="T62">
        <f>IF(AND($B62&lt;&gt;"",$C62&lt;&gt;"Target state",$C62&lt;&gt;"Exception",$D62="Medium",$E62="High"),$A62&amp;"  "&amp;$B62,"")</f>
        <v/>
      </c>
      <c r="U62">
        <f>IF(AND($B62&lt;&gt;"",$C62&lt;&gt;"Target state",$C62&lt;&gt;"Exception",$D62="Low",$E62="Low"),$A62&amp;"  "&amp;$B62,"")</f>
        <v/>
      </c>
      <c r="V62">
        <f>IF(AND($B62&lt;&gt;"",$C62&lt;&gt;"Target state",$C62&lt;&gt;"Exception",$D62="Low",$E62="Medium"),$A62&amp;"  "&amp;$B62,"")</f>
        <v/>
      </c>
      <c r="W62">
        <f>IF(AND($B62&lt;&gt;"",$C62&lt;&gt;"Target state",$C62&lt;&gt;"Exception",$D62="Low",$E62="High"),$A62&amp;"  "&amp;$B62,"")</f>
        <v/>
      </c>
    </row>
    <row r="63" ht="20" customHeight="1">
      <c r="A63" s="29" t="inlineStr">
        <is>
          <t>⑩</t>
        </is>
      </c>
      <c r="B63" s="30" t="n"/>
      <c r="C63" s="31" t="n"/>
      <c r="D63" s="31" t="n"/>
      <c r="E63" s="31" t="n"/>
      <c r="F63" s="32" t="n"/>
      <c r="G63" s="33">
        <f>IF(OR($B63="",$D63="",$E63=""),"",IF(OR($C63="Target state",$C63="Exception"),"Out of scope",IF($D63="Low","No tranche",IF($E63="Low","Tranche 1",IF($E63="Medium","Tranche 2",IF($D63="High","Tranche 3","No tranche"))))))</f>
        <v/>
      </c>
      <c r="K63" s="35" t="inlineStr">
        <is>
          <t>Complexity</t>
        </is>
      </c>
      <c r="O63">
        <f>IF(AND($B63&lt;&gt;"",$C63&lt;&gt;"Target state",$C63&lt;&gt;"Exception",$D63="High",$E63="Low"),$A63&amp;"  "&amp;$B63,"")</f>
        <v/>
      </c>
      <c r="P63">
        <f>IF(AND($B63&lt;&gt;"",$C63&lt;&gt;"Target state",$C63&lt;&gt;"Exception",$D63="High",$E63="Medium"),$A63&amp;"  "&amp;$B63,"")</f>
        <v/>
      </c>
      <c r="Q63">
        <f>IF(AND($B63&lt;&gt;"",$C63&lt;&gt;"Target state",$C63&lt;&gt;"Exception",$D63="High",$E63="High"),$A63&amp;"  "&amp;$B63,"")</f>
        <v/>
      </c>
      <c r="R63">
        <f>IF(AND($B63&lt;&gt;"",$C63&lt;&gt;"Target state",$C63&lt;&gt;"Exception",$D63="Medium",$E63="Low"),$A63&amp;"  "&amp;$B63,"")</f>
        <v/>
      </c>
      <c r="S63">
        <f>IF(AND($B63&lt;&gt;"",$C63&lt;&gt;"Target state",$C63&lt;&gt;"Exception",$D63="Medium",$E63="Medium"),$A63&amp;"  "&amp;$B63,"")</f>
        <v/>
      </c>
      <c r="T63">
        <f>IF(AND($B63&lt;&gt;"",$C63&lt;&gt;"Target state",$C63&lt;&gt;"Exception",$D63="Medium",$E63="High"),$A63&amp;"  "&amp;$B63,"")</f>
        <v/>
      </c>
      <c r="U63">
        <f>IF(AND($B63&lt;&gt;"",$C63&lt;&gt;"Target state",$C63&lt;&gt;"Exception",$D63="Low",$E63="Low"),$A63&amp;"  "&amp;$B63,"")</f>
        <v/>
      </c>
      <c r="V63">
        <f>IF(AND($B63&lt;&gt;"",$C63&lt;&gt;"Target state",$C63&lt;&gt;"Exception",$D63="Low",$E63="Medium"),$A63&amp;"  "&amp;$B63,"")</f>
        <v/>
      </c>
      <c r="W63">
        <f>IF(AND($B63&lt;&gt;"",$C63&lt;&gt;"Target state",$C63&lt;&gt;"Exception",$D63="Low",$E63="High"),$A63&amp;"  "&amp;$B63,"")</f>
        <v/>
      </c>
    </row>
  </sheetData>
  <mergeCells count="65">
    <mergeCell ref="J32:J34"/>
    <mergeCell ref="I26:I34"/>
    <mergeCell ref="K63:M63"/>
    <mergeCell ref="J26:J28"/>
    <mergeCell ref="M12:M14"/>
    <mergeCell ref="M18:M20"/>
    <mergeCell ref="L26:L28"/>
    <mergeCell ref="M26:M28"/>
    <mergeCell ref="K57:K59"/>
    <mergeCell ref="J54:J56"/>
    <mergeCell ref="I12:I20"/>
    <mergeCell ref="M57:M59"/>
    <mergeCell ref="J46:J48"/>
    <mergeCell ref="M32:M34"/>
    <mergeCell ref="L46:L48"/>
    <mergeCell ref="L40:L42"/>
    <mergeCell ref="K52:M52"/>
    <mergeCell ref="L29:L31"/>
    <mergeCell ref="J43:J45"/>
    <mergeCell ref="J12:J14"/>
    <mergeCell ref="J18:J20"/>
    <mergeCell ref="M29:M31"/>
    <mergeCell ref="M43:M45"/>
    <mergeCell ref="L57:L59"/>
    <mergeCell ref="M46:M48"/>
    <mergeCell ref="K15:K17"/>
    <mergeCell ref="A4:C4"/>
    <mergeCell ref="J60:J62"/>
    <mergeCell ref="J57:J59"/>
    <mergeCell ref="L32:L34"/>
    <mergeCell ref="K18:K20"/>
    <mergeCell ref="A38:F38"/>
    <mergeCell ref="K38:M38"/>
    <mergeCell ref="A10:F10"/>
    <mergeCell ref="A52:F52"/>
    <mergeCell ref="K54:K56"/>
    <mergeCell ref="K10:M10"/>
    <mergeCell ref="J29:J31"/>
    <mergeCell ref="K49:M49"/>
    <mergeCell ref="K29:K31"/>
    <mergeCell ref="K60:K62"/>
    <mergeCell ref="M60:M62"/>
    <mergeCell ref="A24:F24"/>
    <mergeCell ref="K32:K34"/>
    <mergeCell ref="L43:L45"/>
    <mergeCell ref="L12:L14"/>
    <mergeCell ref="L18:L20"/>
    <mergeCell ref="K24:M24"/>
    <mergeCell ref="K26:K28"/>
    <mergeCell ref="J40:J42"/>
    <mergeCell ref="K40:K42"/>
    <mergeCell ref="M40:M42"/>
    <mergeCell ref="I40:I48"/>
    <mergeCell ref="J15:J17"/>
    <mergeCell ref="L15:L17"/>
    <mergeCell ref="K21:M21"/>
    <mergeCell ref="K43:K45"/>
    <mergeCell ref="K12:K14"/>
    <mergeCell ref="K35:M35"/>
    <mergeCell ref="K46:K48"/>
    <mergeCell ref="M54:M56"/>
    <mergeCell ref="L60:L62"/>
    <mergeCell ref="M15:M17"/>
    <mergeCell ref="I54:I62"/>
    <mergeCell ref="L54:L56"/>
  </mergeCells>
  <conditionalFormatting sqref="A12:G21">
    <cfRule type="expression" priority="1" dxfId="0">
      <formula>OR($C12="Target state",$C12="Exception")</formula>
    </cfRule>
  </conditionalFormatting>
  <conditionalFormatting sqref="A26:G35">
    <cfRule type="expression" priority="2" dxfId="0">
      <formula>OR($C26="Target state",$C26="Exception")</formula>
    </cfRule>
  </conditionalFormatting>
  <conditionalFormatting sqref="A40:G49">
    <cfRule type="expression" priority="3" dxfId="0">
      <formula>OR($C40="Target state",$C40="Exception")</formula>
    </cfRule>
  </conditionalFormatting>
  <conditionalFormatting sqref="A54:G63">
    <cfRule type="expression" priority="4" dxfId="0">
      <formula>OR($C54="Target state",$C54="Exception")</formula>
    </cfRule>
  </conditionalFormatting>
  <dataValidations count="2">
    <dataValidation sqref="C12:C21 C26:C35 C40:C49 C54:C63" showDropDown="0" showInputMessage="0" showErrorMessage="0" allowBlank="1" type="list">
      <formula1>"Target state,Non-target state,Exception"</formula1>
    </dataValidation>
    <dataValidation sqref="D12:E21 D26:E35 D40:E49 D54:E63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W9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7" customWidth="1" min="3" max="3"/>
    <col width="16" customWidth="1" min="4" max="4"/>
    <col width="15" customWidth="1" min="5" max="5"/>
    <col width="44" customWidth="1" min="6" max="6"/>
    <col width="14" customWidth="1" min="7" max="7"/>
    <col width="2" customWidth="1" min="8" max="8"/>
    <col width="4" customWidth="1" min="9" max="9"/>
    <col width="9" customWidth="1" min="10" max="10"/>
    <col width="26" customWidth="1" min="11" max="11"/>
    <col width="26" customWidth="1" min="12" max="12"/>
    <col width="26" customWidth="1" min="13" max="13"/>
    <col width="2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</cols>
  <sheetData>
    <row r="1">
      <c r="A1" s="19" t="inlineStr">
        <is>
          <t>Payment Processing — Platform Assessment</t>
        </is>
      </c>
    </row>
    <row r="2">
      <c r="A2" s="20">
        <f>HYPERLINK("#'Summary'!A1","← Back to Summary")</f>
        <v/>
      </c>
      <c r="C2" s="21" t="inlineStr">
        <is>
          <t>Pick a State, score High / Medium / Low — the tranche, the matrix and the Summary update automatically.</t>
        </is>
      </c>
    </row>
    <row r="4">
      <c r="A4" s="22" t="inlineStr">
        <is>
          <t>Tracker — jump to a sub-capability:</t>
        </is>
      </c>
    </row>
    <row r="5">
      <c r="A5" s="23" t="inlineStr">
        <is>
          <t>1.</t>
        </is>
      </c>
      <c r="B5" s="20">
        <f>HYPERLINK("#'Payment Processing'!A12","Gateway")</f>
        <v/>
      </c>
    </row>
    <row r="6">
      <c r="A6" s="23" t="inlineStr">
        <is>
          <t>2.</t>
        </is>
      </c>
      <c r="B6" s="20">
        <f>HYPERLINK("#'Payment Processing'!A26","Switch")</f>
        <v/>
      </c>
    </row>
    <row r="7">
      <c r="A7" s="23" t="inlineStr">
        <is>
          <t>3.</t>
        </is>
      </c>
      <c r="B7" s="20">
        <f>HYPERLINK("#'Payment Processing'!A40","Clearing Back-end")</f>
        <v/>
      </c>
    </row>
    <row r="8">
      <c r="A8" s="23" t="inlineStr">
        <is>
          <t>4.</t>
        </is>
      </c>
      <c r="B8" s="20">
        <f>HYPERLINK("#'Payment Processing'!A54","Authorization Host")</f>
        <v/>
      </c>
    </row>
    <row r="9">
      <c r="A9" s="23" t="inlineStr">
        <is>
          <t>5.</t>
        </is>
      </c>
      <c r="B9" s="20">
        <f>HYPERLINK("#'Payment Processing'!A68","Transaction monitoring")</f>
        <v/>
      </c>
    </row>
    <row r="10">
      <c r="A10" s="23" t="inlineStr">
        <is>
          <t>6.</t>
        </is>
      </c>
      <c r="B10" s="20">
        <f>HYPERLINK("#'Payment Processing'!A82","APMs/LPMs")</f>
        <v/>
      </c>
    </row>
    <row r="12" ht="22" customHeight="1">
      <c r="A12" s="24" t="inlineStr">
        <is>
          <t>Gateway</t>
        </is>
      </c>
      <c r="G12" s="25">
        <f>HYPERLINK("#'Payment Processing'!A4","▲ tracker")</f>
        <v/>
      </c>
      <c r="K12" s="26" t="inlineStr">
        <is>
          <t>Assessment Outcome</t>
        </is>
      </c>
    </row>
    <row r="13" ht="18" customHeight="1">
      <c r="A13" s="27" t="inlineStr">
        <is>
          <t>#</t>
        </is>
      </c>
      <c r="B13" s="27" t="inlineStr">
        <is>
          <t>Platform</t>
        </is>
      </c>
      <c r="C13" s="27" t="inlineStr">
        <is>
          <t>State</t>
        </is>
      </c>
      <c r="D13" s="27" t="inlineStr">
        <is>
          <t>Imperative to exit</t>
        </is>
      </c>
      <c r="E13" s="27" t="inlineStr">
        <is>
          <t>Exit complexity</t>
        </is>
      </c>
      <c r="F13" s="27" t="inlineStr">
        <is>
          <t>Supporting facts</t>
        </is>
      </c>
      <c r="G13" s="27" t="inlineStr">
        <is>
          <t>Tranche (auto)</t>
        </is>
      </c>
      <c r="K13" s="28" t="inlineStr">
        <is>
          <t>Low</t>
        </is>
      </c>
      <c r="L13" s="28" t="inlineStr">
        <is>
          <t>Medium</t>
        </is>
      </c>
      <c r="M13" s="28" t="inlineStr">
        <is>
          <t>High</t>
        </is>
      </c>
    </row>
    <row r="14" ht="20" customHeight="1">
      <c r="A14" s="29" t="inlineStr">
        <is>
          <t>①</t>
        </is>
      </c>
      <c r="B14" s="30" t="inlineStr">
        <is>
          <t>Edge</t>
        </is>
      </c>
      <c r="C14" s="31" t="inlineStr">
        <is>
          <t>Non-target state</t>
        </is>
      </c>
      <c r="D14" s="31" t="inlineStr">
        <is>
          <t>High</t>
        </is>
      </c>
      <c r="E14" s="31" t="inlineStr">
        <is>
          <t>High</t>
        </is>
      </c>
      <c r="F14" s="32" t="inlineStr">
        <is>
          <t>Illustrative example from the slide - plots as Tranche 3</t>
        </is>
      </c>
      <c r="G14" s="33">
        <f>IF(OR($B14="",$D14="",$E14=""),"",IF(OR($C14="Target state",$C14="Exception"),"Out of scope",IF($D14="Low","No tranche",IF($E14="Low","Tranche 1",IF($E14="Medium","Tranche 2",IF($D14="High","Tranche 3","No tranche"))))))</f>
        <v/>
      </c>
      <c r="I14" s="34" t="inlineStr">
        <is>
          <t>Benefits</t>
        </is>
      </c>
      <c r="J14" s="35" t="inlineStr">
        <is>
          <t>High</t>
        </is>
      </c>
      <c r="K14" s="36">
        <f>"Tranche 1"&amp;CHAR(10)&amp;_xlfn.TEXTJOIN(CHAR(10),TRUE,O$14:O$23)</f>
        <v/>
      </c>
      <c r="L14" s="37">
        <f>"Tranche 2"&amp;CHAR(10)&amp;_xlfn.TEXTJOIN(CHAR(10),TRUE,P$14:P$23)</f>
        <v/>
      </c>
      <c r="M14" s="38">
        <f>"Tranche 3"&amp;CHAR(10)&amp;_xlfn.TEXTJOIN(CHAR(10),TRUE,Q$14:Q$23)</f>
        <v/>
      </c>
      <c r="O14">
        <f>IF(AND($B14&lt;&gt;"",$C14&lt;&gt;"Target state",$C14&lt;&gt;"Exception",$D14="High",$E14="Low"),$A14&amp;"  "&amp;$B14,"")</f>
        <v/>
      </c>
      <c r="P14">
        <f>IF(AND($B14&lt;&gt;"",$C14&lt;&gt;"Target state",$C14&lt;&gt;"Exception",$D14="High",$E14="Medium"),$A14&amp;"  "&amp;$B14,"")</f>
        <v/>
      </c>
      <c r="Q14">
        <f>IF(AND($B14&lt;&gt;"",$C14&lt;&gt;"Target state",$C14&lt;&gt;"Exception",$D14="High",$E14="High"),$A14&amp;"  "&amp;$B14,"")</f>
        <v/>
      </c>
      <c r="R14">
        <f>IF(AND($B14&lt;&gt;"",$C14&lt;&gt;"Target state",$C14&lt;&gt;"Exception",$D14="Medium",$E14="Low"),$A14&amp;"  "&amp;$B14,"")</f>
        <v/>
      </c>
      <c r="S14">
        <f>IF(AND($B14&lt;&gt;"",$C14&lt;&gt;"Target state",$C14&lt;&gt;"Exception",$D14="Medium",$E14="Medium"),$A14&amp;"  "&amp;$B14,"")</f>
        <v/>
      </c>
      <c r="T14">
        <f>IF(AND($B14&lt;&gt;"",$C14&lt;&gt;"Target state",$C14&lt;&gt;"Exception",$D14="Medium",$E14="High"),$A14&amp;"  "&amp;$B14,"")</f>
        <v/>
      </c>
      <c r="U14">
        <f>IF(AND($B14&lt;&gt;"",$C14&lt;&gt;"Target state",$C14&lt;&gt;"Exception",$D14="Low",$E14="Low"),$A14&amp;"  "&amp;$B14,"")</f>
        <v/>
      </c>
      <c r="V14">
        <f>IF(AND($B14&lt;&gt;"",$C14&lt;&gt;"Target state",$C14&lt;&gt;"Exception",$D14="Low",$E14="Medium"),$A14&amp;"  "&amp;$B14,"")</f>
        <v/>
      </c>
      <c r="W14">
        <f>IF(AND($B14&lt;&gt;"",$C14&lt;&gt;"Target state",$C14&lt;&gt;"Exception",$D14="Low",$E14="High"),$A14&amp;"  "&amp;$B14,"")</f>
        <v/>
      </c>
    </row>
    <row r="15" ht="20" customHeight="1">
      <c r="A15" s="29" t="inlineStr">
        <is>
          <t>②</t>
        </is>
      </c>
      <c r="B15" s="30" t="inlineStr">
        <is>
          <t>WP Total / Emboss</t>
        </is>
      </c>
      <c r="C15" s="31" t="inlineStr">
        <is>
          <t>Non-target state</t>
        </is>
      </c>
      <c r="D15" s="31" t="inlineStr">
        <is>
          <t>High</t>
        </is>
      </c>
      <c r="E15" s="31" t="inlineStr">
        <is>
          <t>Medium</t>
        </is>
      </c>
      <c r="F15" s="32" t="inlineStr">
        <is>
          <t>Illustrative example from the slide - plots as Tranche 2</t>
        </is>
      </c>
      <c r="G15" s="33">
        <f>IF(OR($B15="",$D15="",$E15=""),"",IF(OR($C15="Target state",$C15="Exception"),"Out of scope",IF($D15="Low","No tranche",IF($E15="Low","Tranche 1",IF($E15="Medium","Tranche 2",IF($D15="High","Tranche 3","No tranche"))))))</f>
        <v/>
      </c>
      <c r="K15" s="39" t="n"/>
      <c r="L15" s="39" t="n"/>
      <c r="M15" s="39" t="n"/>
      <c r="O15">
        <f>IF(AND($B15&lt;&gt;"",$C15&lt;&gt;"Target state",$C15&lt;&gt;"Exception",$D15="High",$E15="Low"),$A15&amp;"  "&amp;$B15,"")</f>
        <v/>
      </c>
      <c r="P15">
        <f>IF(AND($B15&lt;&gt;"",$C15&lt;&gt;"Target state",$C15&lt;&gt;"Exception",$D15="High",$E15="Medium"),$A15&amp;"  "&amp;$B15,"")</f>
        <v/>
      </c>
      <c r="Q15">
        <f>IF(AND($B15&lt;&gt;"",$C15&lt;&gt;"Target state",$C15&lt;&gt;"Exception",$D15="High",$E15="High"),$A15&amp;"  "&amp;$B15,"")</f>
        <v/>
      </c>
      <c r="R15">
        <f>IF(AND($B15&lt;&gt;"",$C15&lt;&gt;"Target state",$C15&lt;&gt;"Exception",$D15="Medium",$E15="Low"),$A15&amp;"  "&amp;$B15,"")</f>
        <v/>
      </c>
      <c r="S15">
        <f>IF(AND($B15&lt;&gt;"",$C15&lt;&gt;"Target state",$C15&lt;&gt;"Exception",$D15="Medium",$E15="Medium"),$A15&amp;"  "&amp;$B15,"")</f>
        <v/>
      </c>
      <c r="T15">
        <f>IF(AND($B15&lt;&gt;"",$C15&lt;&gt;"Target state",$C15&lt;&gt;"Exception",$D15="Medium",$E15="High"),$A15&amp;"  "&amp;$B15,"")</f>
        <v/>
      </c>
      <c r="U15">
        <f>IF(AND($B15&lt;&gt;"",$C15&lt;&gt;"Target state",$C15&lt;&gt;"Exception",$D15="Low",$E15="Low"),$A15&amp;"  "&amp;$B15,"")</f>
        <v/>
      </c>
      <c r="V15">
        <f>IF(AND($B15&lt;&gt;"",$C15&lt;&gt;"Target state",$C15&lt;&gt;"Exception",$D15="Low",$E15="Medium"),$A15&amp;"  "&amp;$B15,"")</f>
        <v/>
      </c>
      <c r="W15">
        <f>IF(AND($B15&lt;&gt;"",$C15&lt;&gt;"Target state",$C15&lt;&gt;"Exception",$D15="Low",$E15="High"),$A15&amp;"  "&amp;$B15,"")</f>
        <v/>
      </c>
    </row>
    <row r="16" ht="20" customHeight="1">
      <c r="A16" s="29" t="inlineStr">
        <is>
          <t>③</t>
        </is>
      </c>
      <c r="B16" s="30" t="inlineStr">
        <is>
          <t>Innovo</t>
        </is>
      </c>
      <c r="C16" s="31" t="inlineStr">
        <is>
          <t>Non-target state</t>
        </is>
      </c>
      <c r="D16" s="31" t="inlineStr">
        <is>
          <t>Medium</t>
        </is>
      </c>
      <c r="E16" s="31" t="inlineStr">
        <is>
          <t>Low</t>
        </is>
      </c>
      <c r="F16" s="32" t="inlineStr">
        <is>
          <t>Illustrative example from the slide - plots as Tranche 1</t>
        </is>
      </c>
      <c r="G16" s="33">
        <f>IF(OR($B16="",$D16="",$E16=""),"",IF(OR($C16="Target state",$C16="Exception"),"Out of scope",IF($D16="Low","No tranche",IF($E16="Low","Tranche 1",IF($E16="Medium","Tranche 2",IF($D16="High","Tranche 3","No tranche"))))))</f>
        <v/>
      </c>
      <c r="K16" s="40" t="n"/>
      <c r="L16" s="40" t="n"/>
      <c r="M16" s="40" t="n"/>
      <c r="O16">
        <f>IF(AND($B16&lt;&gt;"",$C16&lt;&gt;"Target state",$C16&lt;&gt;"Exception",$D16="High",$E16="Low"),$A16&amp;"  "&amp;$B16,"")</f>
        <v/>
      </c>
      <c r="P16">
        <f>IF(AND($B16&lt;&gt;"",$C16&lt;&gt;"Target state",$C16&lt;&gt;"Exception",$D16="High",$E16="Medium"),$A16&amp;"  "&amp;$B16,"")</f>
        <v/>
      </c>
      <c r="Q16">
        <f>IF(AND($B16&lt;&gt;"",$C16&lt;&gt;"Target state",$C16&lt;&gt;"Exception",$D16="High",$E16="High"),$A16&amp;"  "&amp;$B16,"")</f>
        <v/>
      </c>
      <c r="R16">
        <f>IF(AND($B16&lt;&gt;"",$C16&lt;&gt;"Target state",$C16&lt;&gt;"Exception",$D16="Medium",$E16="Low"),$A16&amp;"  "&amp;$B16,"")</f>
        <v/>
      </c>
      <c r="S16">
        <f>IF(AND($B16&lt;&gt;"",$C16&lt;&gt;"Target state",$C16&lt;&gt;"Exception",$D16="Medium",$E16="Medium"),$A16&amp;"  "&amp;$B16,"")</f>
        <v/>
      </c>
      <c r="T16">
        <f>IF(AND($B16&lt;&gt;"",$C16&lt;&gt;"Target state",$C16&lt;&gt;"Exception",$D16="Medium",$E16="High"),$A16&amp;"  "&amp;$B16,"")</f>
        <v/>
      </c>
      <c r="U16">
        <f>IF(AND($B16&lt;&gt;"",$C16&lt;&gt;"Target state",$C16&lt;&gt;"Exception",$D16="Low",$E16="Low"),$A16&amp;"  "&amp;$B16,"")</f>
        <v/>
      </c>
      <c r="V16">
        <f>IF(AND($B16&lt;&gt;"",$C16&lt;&gt;"Target state",$C16&lt;&gt;"Exception",$D16="Low",$E16="Medium"),$A16&amp;"  "&amp;$B16,"")</f>
        <v/>
      </c>
      <c r="W16">
        <f>IF(AND($B16&lt;&gt;"",$C16&lt;&gt;"Target state",$C16&lt;&gt;"Exception",$D16="Low",$E16="High"),$A16&amp;"  "&amp;$B16,"")</f>
        <v/>
      </c>
    </row>
    <row r="17" ht="20" customHeight="1">
      <c r="A17" s="29" t="inlineStr">
        <is>
          <t>④</t>
        </is>
      </c>
      <c r="B17" s="30" t="inlineStr">
        <is>
          <t>EWay</t>
        </is>
      </c>
      <c r="C17" s="31" t="inlineStr">
        <is>
          <t>Non-target state</t>
        </is>
      </c>
      <c r="D17" s="31" t="inlineStr">
        <is>
          <t>Medium</t>
        </is>
      </c>
      <c r="E17" s="31" t="inlineStr">
        <is>
          <t>Medium</t>
        </is>
      </c>
      <c r="F17" s="32" t="inlineStr">
        <is>
          <t>Illustrative example from the slide - plots as Tranche 2</t>
        </is>
      </c>
      <c r="G17" s="33">
        <f>IF(OR($B17="",$D17="",$E17=""),"",IF(OR($C17="Target state",$C17="Exception"),"Out of scope",IF($D17="Low","No tranche",IF($E17="Low","Tranche 1",IF($E17="Medium","Tranche 2",IF($D17="High","Tranche 3","No tranche"))))))</f>
        <v/>
      </c>
      <c r="J17" s="35" t="inlineStr">
        <is>
          <t>Medium</t>
        </is>
      </c>
      <c r="K17" s="36">
        <f>"Tranche 1"&amp;CHAR(10)&amp;_xlfn.TEXTJOIN(CHAR(10),TRUE,R$14:R$23)</f>
        <v/>
      </c>
      <c r="L17" s="37">
        <f>"Tranche 2"&amp;CHAR(10)&amp;_xlfn.TEXTJOIN(CHAR(10),TRUE,S$14:S$23)</f>
        <v/>
      </c>
      <c r="M17" s="41">
        <f>_xlfn.TEXTJOIN(CHAR(10),TRUE,T$14:T$23)</f>
        <v/>
      </c>
      <c r="O17">
        <f>IF(AND($B17&lt;&gt;"",$C17&lt;&gt;"Target state",$C17&lt;&gt;"Exception",$D17="High",$E17="Low"),$A17&amp;"  "&amp;$B17,"")</f>
        <v/>
      </c>
      <c r="P17">
        <f>IF(AND($B17&lt;&gt;"",$C17&lt;&gt;"Target state",$C17&lt;&gt;"Exception",$D17="High",$E17="Medium"),$A17&amp;"  "&amp;$B17,"")</f>
        <v/>
      </c>
      <c r="Q17">
        <f>IF(AND($B17&lt;&gt;"",$C17&lt;&gt;"Target state",$C17&lt;&gt;"Exception",$D17="High",$E17="High"),$A17&amp;"  "&amp;$B17,"")</f>
        <v/>
      </c>
      <c r="R17">
        <f>IF(AND($B17&lt;&gt;"",$C17&lt;&gt;"Target state",$C17&lt;&gt;"Exception",$D17="Medium",$E17="Low"),$A17&amp;"  "&amp;$B17,"")</f>
        <v/>
      </c>
      <c r="S17">
        <f>IF(AND($B17&lt;&gt;"",$C17&lt;&gt;"Target state",$C17&lt;&gt;"Exception",$D17="Medium",$E17="Medium"),$A17&amp;"  "&amp;$B17,"")</f>
        <v/>
      </c>
      <c r="T17">
        <f>IF(AND($B17&lt;&gt;"",$C17&lt;&gt;"Target state",$C17&lt;&gt;"Exception",$D17="Medium",$E17="High"),$A17&amp;"  "&amp;$B17,"")</f>
        <v/>
      </c>
      <c r="U17">
        <f>IF(AND($B17&lt;&gt;"",$C17&lt;&gt;"Target state",$C17&lt;&gt;"Exception",$D17="Low",$E17="Low"),$A17&amp;"  "&amp;$B17,"")</f>
        <v/>
      </c>
      <c r="V17">
        <f>IF(AND($B17&lt;&gt;"",$C17&lt;&gt;"Target state",$C17&lt;&gt;"Exception",$D17="Low",$E17="Medium"),$A17&amp;"  "&amp;$B17,"")</f>
        <v/>
      </c>
      <c r="W17">
        <f>IF(AND($B17&lt;&gt;"",$C17&lt;&gt;"Target state",$C17&lt;&gt;"Exception",$D17="Low",$E17="High"),$A17&amp;"  "&amp;$B17,"")</f>
        <v/>
      </c>
    </row>
    <row r="18" ht="20" customHeight="1">
      <c r="A18" s="29" t="inlineStr">
        <is>
          <t>⑤</t>
        </is>
      </c>
      <c r="B18" s="30" t="inlineStr">
        <is>
          <t>Unified Gateway (example)</t>
        </is>
      </c>
      <c r="C18" s="31" t="inlineStr">
        <is>
          <t>Target state</t>
        </is>
      </c>
      <c r="D18" s="31" t="inlineStr"/>
      <c r="E18" s="31" t="inlineStr"/>
      <c r="F18" s="32" t="inlineStr">
        <is>
          <t>Example of a target-state platform - row grays out and is excluded from the matrix</t>
        </is>
      </c>
      <c r="G18" s="33">
        <f>IF(OR($B18="",$D18="",$E18=""),"",IF(OR($C18="Target state",$C18="Exception"),"Out of scope",IF($D18="Low","No tranche",IF($E18="Low","Tranche 1",IF($E18="Medium","Tranche 2",IF($D18="High","Tranche 3","No tranche"))))))</f>
        <v/>
      </c>
      <c r="K18" s="39" t="n"/>
      <c r="L18" s="39" t="n"/>
      <c r="M18" s="39" t="n"/>
      <c r="O18">
        <f>IF(AND($B18&lt;&gt;"",$C18&lt;&gt;"Target state",$C18&lt;&gt;"Exception",$D18="High",$E18="Low"),$A18&amp;"  "&amp;$B18,"")</f>
        <v/>
      </c>
      <c r="P18">
        <f>IF(AND($B18&lt;&gt;"",$C18&lt;&gt;"Target state",$C18&lt;&gt;"Exception",$D18="High",$E18="Medium"),$A18&amp;"  "&amp;$B18,"")</f>
        <v/>
      </c>
      <c r="Q18">
        <f>IF(AND($B18&lt;&gt;"",$C18&lt;&gt;"Target state",$C18&lt;&gt;"Exception",$D18="High",$E18="High"),$A18&amp;"  "&amp;$B18,"")</f>
        <v/>
      </c>
      <c r="R18">
        <f>IF(AND($B18&lt;&gt;"",$C18&lt;&gt;"Target state",$C18&lt;&gt;"Exception",$D18="Medium",$E18="Low"),$A18&amp;"  "&amp;$B18,"")</f>
        <v/>
      </c>
      <c r="S18">
        <f>IF(AND($B18&lt;&gt;"",$C18&lt;&gt;"Target state",$C18&lt;&gt;"Exception",$D18="Medium",$E18="Medium"),$A18&amp;"  "&amp;$B18,"")</f>
        <v/>
      </c>
      <c r="T18">
        <f>IF(AND($B18&lt;&gt;"",$C18&lt;&gt;"Target state",$C18&lt;&gt;"Exception",$D18="Medium",$E18="High"),$A18&amp;"  "&amp;$B18,"")</f>
        <v/>
      </c>
      <c r="U18">
        <f>IF(AND($B18&lt;&gt;"",$C18&lt;&gt;"Target state",$C18&lt;&gt;"Exception",$D18="Low",$E18="Low"),$A18&amp;"  "&amp;$B18,"")</f>
        <v/>
      </c>
      <c r="V18">
        <f>IF(AND($B18&lt;&gt;"",$C18&lt;&gt;"Target state",$C18&lt;&gt;"Exception",$D18="Low",$E18="Medium"),$A18&amp;"  "&amp;$B18,"")</f>
        <v/>
      </c>
      <c r="W18">
        <f>IF(AND($B18&lt;&gt;"",$C18&lt;&gt;"Target state",$C18&lt;&gt;"Exception",$D18="Low",$E18="High"),$A18&amp;"  "&amp;$B18,"")</f>
        <v/>
      </c>
    </row>
    <row r="19" ht="20" customHeight="1">
      <c r="A19" s="29" t="inlineStr">
        <is>
          <t>⑥</t>
        </is>
      </c>
      <c r="B19" s="30" t="n"/>
      <c r="C19" s="31" t="n"/>
      <c r="D19" s="31" t="n"/>
      <c r="E19" s="31" t="n"/>
      <c r="F19" s="32" t="n"/>
      <c r="G19" s="33">
        <f>IF(OR($B19="",$D19="",$E19=""),"",IF(OR($C19="Target state",$C19="Exception"),"Out of scope",IF($D19="Low","No tranche",IF($E19="Low","Tranche 1",IF($E19="Medium","Tranche 2",IF($D19="High","Tranche 3","No tranche"))))))</f>
        <v/>
      </c>
      <c r="K19" s="40" t="n"/>
      <c r="L19" s="40" t="n"/>
      <c r="M19" s="40" t="n"/>
      <c r="O19">
        <f>IF(AND($B19&lt;&gt;"",$C19&lt;&gt;"Target state",$C19&lt;&gt;"Exception",$D19="High",$E19="Low"),$A19&amp;"  "&amp;$B19,"")</f>
        <v/>
      </c>
      <c r="P19">
        <f>IF(AND($B19&lt;&gt;"",$C19&lt;&gt;"Target state",$C19&lt;&gt;"Exception",$D19="High",$E19="Medium"),$A19&amp;"  "&amp;$B19,"")</f>
        <v/>
      </c>
      <c r="Q19">
        <f>IF(AND($B19&lt;&gt;"",$C19&lt;&gt;"Target state",$C19&lt;&gt;"Exception",$D19="High",$E19="High"),$A19&amp;"  "&amp;$B19,"")</f>
        <v/>
      </c>
      <c r="R19">
        <f>IF(AND($B19&lt;&gt;"",$C19&lt;&gt;"Target state",$C19&lt;&gt;"Exception",$D19="Medium",$E19="Low"),$A19&amp;"  "&amp;$B19,"")</f>
        <v/>
      </c>
      <c r="S19">
        <f>IF(AND($B19&lt;&gt;"",$C19&lt;&gt;"Target state",$C19&lt;&gt;"Exception",$D19="Medium",$E19="Medium"),$A19&amp;"  "&amp;$B19,"")</f>
        <v/>
      </c>
      <c r="T19">
        <f>IF(AND($B19&lt;&gt;"",$C19&lt;&gt;"Target state",$C19&lt;&gt;"Exception",$D19="Medium",$E19="High"),$A19&amp;"  "&amp;$B19,"")</f>
        <v/>
      </c>
      <c r="U19">
        <f>IF(AND($B19&lt;&gt;"",$C19&lt;&gt;"Target state",$C19&lt;&gt;"Exception",$D19="Low",$E19="Low"),$A19&amp;"  "&amp;$B19,"")</f>
        <v/>
      </c>
      <c r="V19">
        <f>IF(AND($B19&lt;&gt;"",$C19&lt;&gt;"Target state",$C19&lt;&gt;"Exception",$D19="Low",$E19="Medium"),$A19&amp;"  "&amp;$B19,"")</f>
        <v/>
      </c>
      <c r="W19">
        <f>IF(AND($B19&lt;&gt;"",$C19&lt;&gt;"Target state",$C19&lt;&gt;"Exception",$D19="Low",$E19="High"),$A19&amp;"  "&amp;$B19,"")</f>
        <v/>
      </c>
    </row>
    <row r="20" ht="20" customHeight="1">
      <c r="A20" s="29" t="inlineStr">
        <is>
          <t>⑦</t>
        </is>
      </c>
      <c r="B20" s="30" t="n"/>
      <c r="C20" s="31" t="n"/>
      <c r="D20" s="31" t="n"/>
      <c r="E20" s="31" t="n"/>
      <c r="F20" s="32" t="n"/>
      <c r="G20" s="33">
        <f>IF(OR($B20="",$D20="",$E20=""),"",IF(OR($C20="Target state",$C20="Exception"),"Out of scope",IF($D20="Low","No tranche",IF($E20="Low","Tranche 1",IF($E20="Medium","Tranche 2",IF($D20="High","Tranche 3","No tranche"))))))</f>
        <v/>
      </c>
      <c r="J20" s="35" t="inlineStr">
        <is>
          <t>Low</t>
        </is>
      </c>
      <c r="K20" s="41">
        <f>_xlfn.TEXTJOIN(CHAR(10),TRUE,U$14:U$23)</f>
        <v/>
      </c>
      <c r="L20" s="41">
        <f>_xlfn.TEXTJOIN(CHAR(10),TRUE,V$14:V$23)</f>
        <v/>
      </c>
      <c r="M20" s="41">
        <f>_xlfn.TEXTJOIN(CHAR(10),TRUE,W$14:W$23)</f>
        <v/>
      </c>
      <c r="O20">
        <f>IF(AND($B20&lt;&gt;"",$C20&lt;&gt;"Target state",$C20&lt;&gt;"Exception",$D20="High",$E20="Low"),$A20&amp;"  "&amp;$B20,"")</f>
        <v/>
      </c>
      <c r="P20">
        <f>IF(AND($B20&lt;&gt;"",$C20&lt;&gt;"Target state",$C20&lt;&gt;"Exception",$D20="High",$E20="Medium"),$A20&amp;"  "&amp;$B20,"")</f>
        <v/>
      </c>
      <c r="Q20">
        <f>IF(AND($B20&lt;&gt;"",$C20&lt;&gt;"Target state",$C20&lt;&gt;"Exception",$D20="High",$E20="High"),$A20&amp;"  "&amp;$B20,"")</f>
        <v/>
      </c>
      <c r="R20">
        <f>IF(AND($B20&lt;&gt;"",$C20&lt;&gt;"Target state",$C20&lt;&gt;"Exception",$D20="Medium",$E20="Low"),$A20&amp;"  "&amp;$B20,"")</f>
        <v/>
      </c>
      <c r="S20">
        <f>IF(AND($B20&lt;&gt;"",$C20&lt;&gt;"Target state",$C20&lt;&gt;"Exception",$D20="Medium",$E20="Medium"),$A20&amp;"  "&amp;$B20,"")</f>
        <v/>
      </c>
      <c r="T20">
        <f>IF(AND($B20&lt;&gt;"",$C20&lt;&gt;"Target state",$C20&lt;&gt;"Exception",$D20="Medium",$E20="High"),$A20&amp;"  "&amp;$B20,"")</f>
        <v/>
      </c>
      <c r="U20">
        <f>IF(AND($B20&lt;&gt;"",$C20&lt;&gt;"Target state",$C20&lt;&gt;"Exception",$D20="Low",$E20="Low"),$A20&amp;"  "&amp;$B20,"")</f>
        <v/>
      </c>
      <c r="V20">
        <f>IF(AND($B20&lt;&gt;"",$C20&lt;&gt;"Target state",$C20&lt;&gt;"Exception",$D20="Low",$E20="Medium"),$A20&amp;"  "&amp;$B20,"")</f>
        <v/>
      </c>
      <c r="W20">
        <f>IF(AND($B20&lt;&gt;"",$C20&lt;&gt;"Target state",$C20&lt;&gt;"Exception",$D20="Low",$E20="High"),$A20&amp;"  "&amp;$B20,"")</f>
        <v/>
      </c>
    </row>
    <row r="21" ht="20" customHeight="1">
      <c r="A21" s="29" t="inlineStr">
        <is>
          <t>⑧</t>
        </is>
      </c>
      <c r="B21" s="30" t="n"/>
      <c r="C21" s="31" t="n"/>
      <c r="D21" s="31" t="n"/>
      <c r="E21" s="31" t="n"/>
      <c r="F21" s="32" t="n"/>
      <c r="G21" s="33">
        <f>IF(OR($B21="",$D21="",$E21=""),"",IF(OR($C21="Target state",$C21="Exception"),"Out of scope",IF($D21="Low","No tranche",IF($E21="Low","Tranche 1",IF($E21="Medium","Tranche 2",IF($D21="High","Tranche 3","No tranche"))))))</f>
        <v/>
      </c>
      <c r="K21" s="39" t="n"/>
      <c r="L21" s="39" t="n"/>
      <c r="M21" s="39" t="n"/>
      <c r="O21">
        <f>IF(AND($B21&lt;&gt;"",$C21&lt;&gt;"Target state",$C21&lt;&gt;"Exception",$D21="High",$E21="Low"),$A21&amp;"  "&amp;$B21,"")</f>
        <v/>
      </c>
      <c r="P21">
        <f>IF(AND($B21&lt;&gt;"",$C21&lt;&gt;"Target state",$C21&lt;&gt;"Exception",$D21="High",$E21="Medium"),$A21&amp;"  "&amp;$B21,"")</f>
        <v/>
      </c>
      <c r="Q21">
        <f>IF(AND($B21&lt;&gt;"",$C21&lt;&gt;"Target state",$C21&lt;&gt;"Exception",$D21="High",$E21="High"),$A21&amp;"  "&amp;$B21,"")</f>
        <v/>
      </c>
      <c r="R21">
        <f>IF(AND($B21&lt;&gt;"",$C21&lt;&gt;"Target state",$C21&lt;&gt;"Exception",$D21="Medium",$E21="Low"),$A21&amp;"  "&amp;$B21,"")</f>
        <v/>
      </c>
      <c r="S21">
        <f>IF(AND($B21&lt;&gt;"",$C21&lt;&gt;"Target state",$C21&lt;&gt;"Exception",$D21="Medium",$E21="Medium"),$A21&amp;"  "&amp;$B21,"")</f>
        <v/>
      </c>
      <c r="T21">
        <f>IF(AND($B21&lt;&gt;"",$C21&lt;&gt;"Target state",$C21&lt;&gt;"Exception",$D21="Medium",$E21="High"),$A21&amp;"  "&amp;$B21,"")</f>
        <v/>
      </c>
      <c r="U21">
        <f>IF(AND($B21&lt;&gt;"",$C21&lt;&gt;"Target state",$C21&lt;&gt;"Exception",$D21="Low",$E21="Low"),$A21&amp;"  "&amp;$B21,"")</f>
        <v/>
      </c>
      <c r="V21">
        <f>IF(AND($B21&lt;&gt;"",$C21&lt;&gt;"Target state",$C21&lt;&gt;"Exception",$D21="Low",$E21="Medium"),$A21&amp;"  "&amp;$B21,"")</f>
        <v/>
      </c>
      <c r="W21">
        <f>IF(AND($B21&lt;&gt;"",$C21&lt;&gt;"Target state",$C21&lt;&gt;"Exception",$D21="Low",$E21="High"),$A21&amp;"  "&amp;$B21,"")</f>
        <v/>
      </c>
    </row>
    <row r="22" ht="20" customHeight="1">
      <c r="A22" s="29" t="inlineStr">
        <is>
          <t>⑨</t>
        </is>
      </c>
      <c r="B22" s="30" t="n"/>
      <c r="C22" s="31" t="n"/>
      <c r="D22" s="31" t="n"/>
      <c r="E22" s="31" t="n"/>
      <c r="F22" s="32" t="n"/>
      <c r="G22" s="33">
        <f>IF(OR($B22="",$D22="",$E22=""),"",IF(OR($C22="Target state",$C22="Exception"),"Out of scope",IF($D22="Low","No tranche",IF($E22="Low","Tranche 1",IF($E22="Medium","Tranche 2",IF($D22="High","Tranche 3","No tranche"))))))</f>
        <v/>
      </c>
      <c r="K22" s="40" t="n"/>
      <c r="L22" s="40" t="n"/>
      <c r="M22" s="40" t="n"/>
      <c r="O22">
        <f>IF(AND($B22&lt;&gt;"",$C22&lt;&gt;"Target state",$C22&lt;&gt;"Exception",$D22="High",$E22="Low"),$A22&amp;"  "&amp;$B22,"")</f>
        <v/>
      </c>
      <c r="P22">
        <f>IF(AND($B22&lt;&gt;"",$C22&lt;&gt;"Target state",$C22&lt;&gt;"Exception",$D22="High",$E22="Medium"),$A22&amp;"  "&amp;$B22,"")</f>
        <v/>
      </c>
      <c r="Q22">
        <f>IF(AND($B22&lt;&gt;"",$C22&lt;&gt;"Target state",$C22&lt;&gt;"Exception",$D22="High",$E22="High"),$A22&amp;"  "&amp;$B22,"")</f>
        <v/>
      </c>
      <c r="R22">
        <f>IF(AND($B22&lt;&gt;"",$C22&lt;&gt;"Target state",$C22&lt;&gt;"Exception",$D22="Medium",$E22="Low"),$A22&amp;"  "&amp;$B22,"")</f>
        <v/>
      </c>
      <c r="S22">
        <f>IF(AND($B22&lt;&gt;"",$C22&lt;&gt;"Target state",$C22&lt;&gt;"Exception",$D22="Medium",$E22="Medium"),$A22&amp;"  "&amp;$B22,"")</f>
        <v/>
      </c>
      <c r="T22">
        <f>IF(AND($B22&lt;&gt;"",$C22&lt;&gt;"Target state",$C22&lt;&gt;"Exception",$D22="Medium",$E22="High"),$A22&amp;"  "&amp;$B22,"")</f>
        <v/>
      </c>
      <c r="U22">
        <f>IF(AND($B22&lt;&gt;"",$C22&lt;&gt;"Target state",$C22&lt;&gt;"Exception",$D22="Low",$E22="Low"),$A22&amp;"  "&amp;$B22,"")</f>
        <v/>
      </c>
      <c r="V22">
        <f>IF(AND($B22&lt;&gt;"",$C22&lt;&gt;"Target state",$C22&lt;&gt;"Exception",$D22="Low",$E22="Medium"),$A22&amp;"  "&amp;$B22,"")</f>
        <v/>
      </c>
      <c r="W22">
        <f>IF(AND($B22&lt;&gt;"",$C22&lt;&gt;"Target state",$C22&lt;&gt;"Exception",$D22="Low",$E22="High"),$A22&amp;"  "&amp;$B22,"")</f>
        <v/>
      </c>
    </row>
    <row r="23" ht="20" customHeight="1">
      <c r="A23" s="29" t="inlineStr">
        <is>
          <t>⑩</t>
        </is>
      </c>
      <c r="B23" s="30" t="n"/>
      <c r="C23" s="31" t="n"/>
      <c r="D23" s="31" t="n"/>
      <c r="E23" s="31" t="n"/>
      <c r="F23" s="32" t="n"/>
      <c r="G23" s="33">
        <f>IF(OR($B23="",$D23="",$E23=""),"",IF(OR($C23="Target state",$C23="Exception"),"Out of scope",IF($D23="Low","No tranche",IF($E23="Low","Tranche 1",IF($E23="Medium","Tranche 2",IF($D23="High","Tranche 3","No tranche"))))))</f>
        <v/>
      </c>
      <c r="K23" s="35" t="inlineStr">
        <is>
          <t>Complexity</t>
        </is>
      </c>
      <c r="O23">
        <f>IF(AND($B23&lt;&gt;"",$C23&lt;&gt;"Target state",$C23&lt;&gt;"Exception",$D23="High",$E23="Low"),$A23&amp;"  "&amp;$B23,"")</f>
        <v/>
      </c>
      <c r="P23">
        <f>IF(AND($B23&lt;&gt;"",$C23&lt;&gt;"Target state",$C23&lt;&gt;"Exception",$D23="High",$E23="Medium"),$A23&amp;"  "&amp;$B23,"")</f>
        <v/>
      </c>
      <c r="Q23">
        <f>IF(AND($B23&lt;&gt;"",$C23&lt;&gt;"Target state",$C23&lt;&gt;"Exception",$D23="High",$E23="High"),$A23&amp;"  "&amp;$B23,"")</f>
        <v/>
      </c>
      <c r="R23">
        <f>IF(AND($B23&lt;&gt;"",$C23&lt;&gt;"Target state",$C23&lt;&gt;"Exception",$D23="Medium",$E23="Low"),$A23&amp;"  "&amp;$B23,"")</f>
        <v/>
      </c>
      <c r="S23">
        <f>IF(AND($B23&lt;&gt;"",$C23&lt;&gt;"Target state",$C23&lt;&gt;"Exception",$D23="Medium",$E23="Medium"),$A23&amp;"  "&amp;$B23,"")</f>
        <v/>
      </c>
      <c r="T23">
        <f>IF(AND($B23&lt;&gt;"",$C23&lt;&gt;"Target state",$C23&lt;&gt;"Exception",$D23="Medium",$E23="High"),$A23&amp;"  "&amp;$B23,"")</f>
        <v/>
      </c>
      <c r="U23">
        <f>IF(AND($B23&lt;&gt;"",$C23&lt;&gt;"Target state",$C23&lt;&gt;"Exception",$D23="Low",$E23="Low"),$A23&amp;"  "&amp;$B23,"")</f>
        <v/>
      </c>
      <c r="V23">
        <f>IF(AND($B23&lt;&gt;"",$C23&lt;&gt;"Target state",$C23&lt;&gt;"Exception",$D23="Low",$E23="Medium"),$A23&amp;"  "&amp;$B23,"")</f>
        <v/>
      </c>
      <c r="W23">
        <f>IF(AND($B23&lt;&gt;"",$C23&lt;&gt;"Target state",$C23&lt;&gt;"Exception",$D23="Low",$E23="High"),$A23&amp;"  "&amp;$B23,"")</f>
        <v/>
      </c>
    </row>
    <row r="26" ht="22" customHeight="1">
      <c r="A26" s="24" t="inlineStr">
        <is>
          <t>Switch</t>
        </is>
      </c>
      <c r="G26" s="25">
        <f>HYPERLINK("#'Payment Processing'!A4","▲ tracker")</f>
        <v/>
      </c>
      <c r="K26" s="26" t="inlineStr">
        <is>
          <t>Assessment Outcome</t>
        </is>
      </c>
    </row>
    <row r="27" ht="18" customHeight="1">
      <c r="A27" s="27" t="inlineStr">
        <is>
          <t>#</t>
        </is>
      </c>
      <c r="B27" s="27" t="inlineStr">
        <is>
          <t>Platform</t>
        </is>
      </c>
      <c r="C27" s="27" t="inlineStr">
        <is>
          <t>State</t>
        </is>
      </c>
      <c r="D27" s="27" t="inlineStr">
        <is>
          <t>Imperative to exit</t>
        </is>
      </c>
      <c r="E27" s="27" t="inlineStr">
        <is>
          <t>Exit complexity</t>
        </is>
      </c>
      <c r="F27" s="27" t="inlineStr">
        <is>
          <t>Supporting facts</t>
        </is>
      </c>
      <c r="G27" s="27" t="inlineStr">
        <is>
          <t>Tranche (auto)</t>
        </is>
      </c>
      <c r="K27" s="28" t="inlineStr">
        <is>
          <t>Low</t>
        </is>
      </c>
      <c r="L27" s="28" t="inlineStr">
        <is>
          <t>Medium</t>
        </is>
      </c>
      <c r="M27" s="28" t="inlineStr">
        <is>
          <t>High</t>
        </is>
      </c>
    </row>
    <row r="28" ht="20" customHeight="1">
      <c r="A28" s="29" t="inlineStr">
        <is>
          <t>①</t>
        </is>
      </c>
      <c r="B28" s="30" t="n"/>
      <c r="C28" s="31" t="n"/>
      <c r="D28" s="31" t="n"/>
      <c r="E28" s="31" t="n"/>
      <c r="F28" s="32" t="n"/>
      <c r="G28" s="33">
        <f>IF(OR($B28="",$D28="",$E28=""),"",IF(OR($C28="Target state",$C28="Exception"),"Out of scope",IF($D28="Low","No tranche",IF($E28="Low","Tranche 1",IF($E28="Medium","Tranche 2",IF($D28="High","Tranche 3","No tranche"))))))</f>
        <v/>
      </c>
      <c r="I28" s="34" t="inlineStr">
        <is>
          <t>Benefits</t>
        </is>
      </c>
      <c r="J28" s="35" t="inlineStr">
        <is>
          <t>High</t>
        </is>
      </c>
      <c r="K28" s="36">
        <f>"Tranche 1"&amp;CHAR(10)&amp;_xlfn.TEXTJOIN(CHAR(10),TRUE,O$28:O$37)</f>
        <v/>
      </c>
      <c r="L28" s="37">
        <f>"Tranche 2"&amp;CHAR(10)&amp;_xlfn.TEXTJOIN(CHAR(10),TRUE,P$28:P$37)</f>
        <v/>
      </c>
      <c r="M28" s="38">
        <f>"Tranche 3"&amp;CHAR(10)&amp;_xlfn.TEXTJOIN(CHAR(10),TRUE,Q$28:Q$37)</f>
        <v/>
      </c>
      <c r="O28">
        <f>IF(AND($B28&lt;&gt;"",$C28&lt;&gt;"Target state",$C28&lt;&gt;"Exception",$D28="High",$E28="Low"),$A28&amp;"  "&amp;$B28,"")</f>
        <v/>
      </c>
      <c r="P28">
        <f>IF(AND($B28&lt;&gt;"",$C28&lt;&gt;"Target state",$C28&lt;&gt;"Exception",$D28="High",$E28="Medium"),$A28&amp;"  "&amp;$B28,"")</f>
        <v/>
      </c>
      <c r="Q28">
        <f>IF(AND($B28&lt;&gt;"",$C28&lt;&gt;"Target state",$C28&lt;&gt;"Exception",$D28="High",$E28="High"),$A28&amp;"  "&amp;$B28,"")</f>
        <v/>
      </c>
      <c r="R28">
        <f>IF(AND($B28&lt;&gt;"",$C28&lt;&gt;"Target state",$C28&lt;&gt;"Exception",$D28="Medium",$E28="Low"),$A28&amp;"  "&amp;$B28,"")</f>
        <v/>
      </c>
      <c r="S28">
        <f>IF(AND($B28&lt;&gt;"",$C28&lt;&gt;"Target state",$C28&lt;&gt;"Exception",$D28="Medium",$E28="Medium"),$A28&amp;"  "&amp;$B28,"")</f>
        <v/>
      </c>
      <c r="T28">
        <f>IF(AND($B28&lt;&gt;"",$C28&lt;&gt;"Target state",$C28&lt;&gt;"Exception",$D28="Medium",$E28="High"),$A28&amp;"  "&amp;$B28,"")</f>
        <v/>
      </c>
      <c r="U28">
        <f>IF(AND($B28&lt;&gt;"",$C28&lt;&gt;"Target state",$C28&lt;&gt;"Exception",$D28="Low",$E28="Low"),$A28&amp;"  "&amp;$B28,"")</f>
        <v/>
      </c>
      <c r="V28">
        <f>IF(AND($B28&lt;&gt;"",$C28&lt;&gt;"Target state",$C28&lt;&gt;"Exception",$D28="Low",$E28="Medium"),$A28&amp;"  "&amp;$B28,"")</f>
        <v/>
      </c>
      <c r="W28">
        <f>IF(AND($B28&lt;&gt;"",$C28&lt;&gt;"Target state",$C28&lt;&gt;"Exception",$D28="Low",$E28="High"),$A28&amp;"  "&amp;$B28,"")</f>
        <v/>
      </c>
    </row>
    <row r="29" ht="20" customHeight="1">
      <c r="A29" s="29" t="inlineStr">
        <is>
          <t>②</t>
        </is>
      </c>
      <c r="B29" s="30" t="n"/>
      <c r="C29" s="31" t="n"/>
      <c r="D29" s="31" t="n"/>
      <c r="E29" s="31" t="n"/>
      <c r="F29" s="32" t="n"/>
      <c r="G29" s="33">
        <f>IF(OR($B29="",$D29="",$E29=""),"",IF(OR($C29="Target state",$C29="Exception"),"Out of scope",IF($D29="Low","No tranche",IF($E29="Low","Tranche 1",IF($E29="Medium","Tranche 2",IF($D29="High","Tranche 3","No tranche"))))))</f>
        <v/>
      </c>
      <c r="K29" s="39" t="n"/>
      <c r="L29" s="39" t="n"/>
      <c r="M29" s="39" t="n"/>
      <c r="O29">
        <f>IF(AND($B29&lt;&gt;"",$C29&lt;&gt;"Target state",$C29&lt;&gt;"Exception",$D29="High",$E29="Low"),$A29&amp;"  "&amp;$B29,"")</f>
        <v/>
      </c>
      <c r="P29">
        <f>IF(AND($B29&lt;&gt;"",$C29&lt;&gt;"Target state",$C29&lt;&gt;"Exception",$D29="High",$E29="Medium"),$A29&amp;"  "&amp;$B29,"")</f>
        <v/>
      </c>
      <c r="Q29">
        <f>IF(AND($B29&lt;&gt;"",$C29&lt;&gt;"Target state",$C29&lt;&gt;"Exception",$D29="High",$E29="High"),$A29&amp;"  "&amp;$B29,"")</f>
        <v/>
      </c>
      <c r="R29">
        <f>IF(AND($B29&lt;&gt;"",$C29&lt;&gt;"Target state",$C29&lt;&gt;"Exception",$D29="Medium",$E29="Low"),$A29&amp;"  "&amp;$B29,"")</f>
        <v/>
      </c>
      <c r="S29">
        <f>IF(AND($B29&lt;&gt;"",$C29&lt;&gt;"Target state",$C29&lt;&gt;"Exception",$D29="Medium",$E29="Medium"),$A29&amp;"  "&amp;$B29,"")</f>
        <v/>
      </c>
      <c r="T29">
        <f>IF(AND($B29&lt;&gt;"",$C29&lt;&gt;"Target state",$C29&lt;&gt;"Exception",$D29="Medium",$E29="High"),$A29&amp;"  "&amp;$B29,"")</f>
        <v/>
      </c>
      <c r="U29">
        <f>IF(AND($B29&lt;&gt;"",$C29&lt;&gt;"Target state",$C29&lt;&gt;"Exception",$D29="Low",$E29="Low"),$A29&amp;"  "&amp;$B29,"")</f>
        <v/>
      </c>
      <c r="V29">
        <f>IF(AND($B29&lt;&gt;"",$C29&lt;&gt;"Target state",$C29&lt;&gt;"Exception",$D29="Low",$E29="Medium"),$A29&amp;"  "&amp;$B29,"")</f>
        <v/>
      </c>
      <c r="W29">
        <f>IF(AND($B29&lt;&gt;"",$C29&lt;&gt;"Target state",$C29&lt;&gt;"Exception",$D29="Low",$E29="High"),$A29&amp;"  "&amp;$B29,"")</f>
        <v/>
      </c>
    </row>
    <row r="30" ht="20" customHeight="1">
      <c r="A30" s="29" t="inlineStr">
        <is>
          <t>③</t>
        </is>
      </c>
      <c r="B30" s="30" t="n"/>
      <c r="C30" s="31" t="n"/>
      <c r="D30" s="31" t="n"/>
      <c r="E30" s="31" t="n"/>
      <c r="F30" s="32" t="n"/>
      <c r="G30" s="33">
        <f>IF(OR($B30="",$D30="",$E30=""),"",IF(OR($C30="Target state",$C30="Exception"),"Out of scope",IF($D30="Low","No tranche",IF($E30="Low","Tranche 1",IF($E30="Medium","Tranche 2",IF($D30="High","Tranche 3","No tranche"))))))</f>
        <v/>
      </c>
      <c r="K30" s="40" t="n"/>
      <c r="L30" s="40" t="n"/>
      <c r="M30" s="40" t="n"/>
      <c r="O30">
        <f>IF(AND($B30&lt;&gt;"",$C30&lt;&gt;"Target state",$C30&lt;&gt;"Exception",$D30="High",$E30="Low"),$A30&amp;"  "&amp;$B30,"")</f>
        <v/>
      </c>
      <c r="P30">
        <f>IF(AND($B30&lt;&gt;"",$C30&lt;&gt;"Target state",$C30&lt;&gt;"Exception",$D30="High",$E30="Medium"),$A30&amp;"  "&amp;$B30,"")</f>
        <v/>
      </c>
      <c r="Q30">
        <f>IF(AND($B30&lt;&gt;"",$C30&lt;&gt;"Target state",$C30&lt;&gt;"Exception",$D30="High",$E30="High"),$A30&amp;"  "&amp;$B30,"")</f>
        <v/>
      </c>
      <c r="R30">
        <f>IF(AND($B30&lt;&gt;"",$C30&lt;&gt;"Target state",$C30&lt;&gt;"Exception",$D30="Medium",$E30="Low"),$A30&amp;"  "&amp;$B30,"")</f>
        <v/>
      </c>
      <c r="S30">
        <f>IF(AND($B30&lt;&gt;"",$C30&lt;&gt;"Target state",$C30&lt;&gt;"Exception",$D30="Medium",$E30="Medium"),$A30&amp;"  "&amp;$B30,"")</f>
        <v/>
      </c>
      <c r="T30">
        <f>IF(AND($B30&lt;&gt;"",$C30&lt;&gt;"Target state",$C30&lt;&gt;"Exception",$D30="Medium",$E30="High"),$A30&amp;"  "&amp;$B30,"")</f>
        <v/>
      </c>
      <c r="U30">
        <f>IF(AND($B30&lt;&gt;"",$C30&lt;&gt;"Target state",$C30&lt;&gt;"Exception",$D30="Low",$E30="Low"),$A30&amp;"  "&amp;$B30,"")</f>
        <v/>
      </c>
      <c r="V30">
        <f>IF(AND($B30&lt;&gt;"",$C30&lt;&gt;"Target state",$C30&lt;&gt;"Exception",$D30="Low",$E30="Medium"),$A30&amp;"  "&amp;$B30,"")</f>
        <v/>
      </c>
      <c r="W30">
        <f>IF(AND($B30&lt;&gt;"",$C30&lt;&gt;"Target state",$C30&lt;&gt;"Exception",$D30="Low",$E30="High"),$A30&amp;"  "&amp;$B30,"")</f>
        <v/>
      </c>
    </row>
    <row r="31" ht="20" customHeight="1">
      <c r="A31" s="29" t="inlineStr">
        <is>
          <t>④</t>
        </is>
      </c>
      <c r="B31" s="30" t="n"/>
      <c r="C31" s="31" t="n"/>
      <c r="D31" s="31" t="n"/>
      <c r="E31" s="31" t="n"/>
      <c r="F31" s="32" t="n"/>
      <c r="G31" s="33">
        <f>IF(OR($B31="",$D31="",$E31=""),"",IF(OR($C31="Target state",$C31="Exception"),"Out of scope",IF($D31="Low","No tranche",IF($E31="Low","Tranche 1",IF($E31="Medium","Tranche 2",IF($D31="High","Tranche 3","No tranche"))))))</f>
        <v/>
      </c>
      <c r="J31" s="35" t="inlineStr">
        <is>
          <t>Medium</t>
        </is>
      </c>
      <c r="K31" s="36">
        <f>"Tranche 1"&amp;CHAR(10)&amp;_xlfn.TEXTJOIN(CHAR(10),TRUE,R$28:R$37)</f>
        <v/>
      </c>
      <c r="L31" s="37">
        <f>"Tranche 2"&amp;CHAR(10)&amp;_xlfn.TEXTJOIN(CHAR(10),TRUE,S$28:S$37)</f>
        <v/>
      </c>
      <c r="M31" s="41">
        <f>_xlfn.TEXTJOIN(CHAR(10),TRUE,T$28:T$37)</f>
        <v/>
      </c>
      <c r="O31">
        <f>IF(AND($B31&lt;&gt;"",$C31&lt;&gt;"Target state",$C31&lt;&gt;"Exception",$D31="High",$E31="Low"),$A31&amp;"  "&amp;$B31,"")</f>
        <v/>
      </c>
      <c r="P31">
        <f>IF(AND($B31&lt;&gt;"",$C31&lt;&gt;"Target state",$C31&lt;&gt;"Exception",$D31="High",$E31="Medium"),$A31&amp;"  "&amp;$B31,"")</f>
        <v/>
      </c>
      <c r="Q31">
        <f>IF(AND($B31&lt;&gt;"",$C31&lt;&gt;"Target state",$C31&lt;&gt;"Exception",$D31="High",$E31="High"),$A31&amp;"  "&amp;$B31,"")</f>
        <v/>
      </c>
      <c r="R31">
        <f>IF(AND($B31&lt;&gt;"",$C31&lt;&gt;"Target state",$C31&lt;&gt;"Exception",$D31="Medium",$E31="Low"),$A31&amp;"  "&amp;$B31,"")</f>
        <v/>
      </c>
      <c r="S31">
        <f>IF(AND($B31&lt;&gt;"",$C31&lt;&gt;"Target state",$C31&lt;&gt;"Exception",$D31="Medium",$E31="Medium"),$A31&amp;"  "&amp;$B31,"")</f>
        <v/>
      </c>
      <c r="T31">
        <f>IF(AND($B31&lt;&gt;"",$C31&lt;&gt;"Target state",$C31&lt;&gt;"Exception",$D31="Medium",$E31="High"),$A31&amp;"  "&amp;$B31,"")</f>
        <v/>
      </c>
      <c r="U31">
        <f>IF(AND($B31&lt;&gt;"",$C31&lt;&gt;"Target state",$C31&lt;&gt;"Exception",$D31="Low",$E31="Low"),$A31&amp;"  "&amp;$B31,"")</f>
        <v/>
      </c>
      <c r="V31">
        <f>IF(AND($B31&lt;&gt;"",$C31&lt;&gt;"Target state",$C31&lt;&gt;"Exception",$D31="Low",$E31="Medium"),$A31&amp;"  "&amp;$B31,"")</f>
        <v/>
      </c>
      <c r="W31">
        <f>IF(AND($B31&lt;&gt;"",$C31&lt;&gt;"Target state",$C31&lt;&gt;"Exception",$D31="Low",$E31="High"),$A31&amp;"  "&amp;$B31,"")</f>
        <v/>
      </c>
    </row>
    <row r="32" ht="20" customHeight="1">
      <c r="A32" s="29" t="inlineStr">
        <is>
          <t>⑤</t>
        </is>
      </c>
      <c r="B32" s="30" t="n"/>
      <c r="C32" s="31" t="n"/>
      <c r="D32" s="31" t="n"/>
      <c r="E32" s="31" t="n"/>
      <c r="F32" s="32" t="n"/>
      <c r="G32" s="33">
        <f>IF(OR($B32="",$D32="",$E32=""),"",IF(OR($C32="Target state",$C32="Exception"),"Out of scope",IF($D32="Low","No tranche",IF($E32="Low","Tranche 1",IF($E32="Medium","Tranche 2",IF($D32="High","Tranche 3","No tranche"))))))</f>
        <v/>
      </c>
      <c r="K32" s="39" t="n"/>
      <c r="L32" s="39" t="n"/>
      <c r="M32" s="39" t="n"/>
      <c r="O32">
        <f>IF(AND($B32&lt;&gt;"",$C32&lt;&gt;"Target state",$C32&lt;&gt;"Exception",$D32="High",$E32="Low"),$A32&amp;"  "&amp;$B32,"")</f>
        <v/>
      </c>
      <c r="P32">
        <f>IF(AND($B32&lt;&gt;"",$C32&lt;&gt;"Target state",$C32&lt;&gt;"Exception",$D32="High",$E32="Medium"),$A32&amp;"  "&amp;$B32,"")</f>
        <v/>
      </c>
      <c r="Q32">
        <f>IF(AND($B32&lt;&gt;"",$C32&lt;&gt;"Target state",$C32&lt;&gt;"Exception",$D32="High",$E32="High"),$A32&amp;"  "&amp;$B32,"")</f>
        <v/>
      </c>
      <c r="R32">
        <f>IF(AND($B32&lt;&gt;"",$C32&lt;&gt;"Target state",$C32&lt;&gt;"Exception",$D32="Medium",$E32="Low"),$A32&amp;"  "&amp;$B32,"")</f>
        <v/>
      </c>
      <c r="S32">
        <f>IF(AND($B32&lt;&gt;"",$C32&lt;&gt;"Target state",$C32&lt;&gt;"Exception",$D32="Medium",$E32="Medium"),$A32&amp;"  "&amp;$B32,"")</f>
        <v/>
      </c>
      <c r="T32">
        <f>IF(AND($B32&lt;&gt;"",$C32&lt;&gt;"Target state",$C32&lt;&gt;"Exception",$D32="Medium",$E32="High"),$A32&amp;"  "&amp;$B32,"")</f>
        <v/>
      </c>
      <c r="U32">
        <f>IF(AND($B32&lt;&gt;"",$C32&lt;&gt;"Target state",$C32&lt;&gt;"Exception",$D32="Low",$E32="Low"),$A32&amp;"  "&amp;$B32,"")</f>
        <v/>
      </c>
      <c r="V32">
        <f>IF(AND($B32&lt;&gt;"",$C32&lt;&gt;"Target state",$C32&lt;&gt;"Exception",$D32="Low",$E32="Medium"),$A32&amp;"  "&amp;$B32,"")</f>
        <v/>
      </c>
      <c r="W32">
        <f>IF(AND($B32&lt;&gt;"",$C32&lt;&gt;"Target state",$C32&lt;&gt;"Exception",$D32="Low",$E32="High"),$A32&amp;"  "&amp;$B32,"")</f>
        <v/>
      </c>
    </row>
    <row r="33" ht="20" customHeight="1">
      <c r="A33" s="29" t="inlineStr">
        <is>
          <t>⑥</t>
        </is>
      </c>
      <c r="B33" s="30" t="n"/>
      <c r="C33" s="31" t="n"/>
      <c r="D33" s="31" t="n"/>
      <c r="E33" s="31" t="n"/>
      <c r="F33" s="32" t="n"/>
      <c r="G33" s="33">
        <f>IF(OR($B33="",$D33="",$E33=""),"",IF(OR($C33="Target state",$C33="Exception"),"Out of scope",IF($D33="Low","No tranche",IF($E33="Low","Tranche 1",IF($E33="Medium","Tranche 2",IF($D33="High","Tranche 3","No tranche"))))))</f>
        <v/>
      </c>
      <c r="K33" s="40" t="n"/>
      <c r="L33" s="40" t="n"/>
      <c r="M33" s="40" t="n"/>
      <c r="O33">
        <f>IF(AND($B33&lt;&gt;"",$C33&lt;&gt;"Target state",$C33&lt;&gt;"Exception",$D33="High",$E33="Low"),$A33&amp;"  "&amp;$B33,"")</f>
        <v/>
      </c>
      <c r="P33">
        <f>IF(AND($B33&lt;&gt;"",$C33&lt;&gt;"Target state",$C33&lt;&gt;"Exception",$D33="High",$E33="Medium"),$A33&amp;"  "&amp;$B33,"")</f>
        <v/>
      </c>
      <c r="Q33">
        <f>IF(AND($B33&lt;&gt;"",$C33&lt;&gt;"Target state",$C33&lt;&gt;"Exception",$D33="High",$E33="High"),$A33&amp;"  "&amp;$B33,"")</f>
        <v/>
      </c>
      <c r="R33">
        <f>IF(AND($B33&lt;&gt;"",$C33&lt;&gt;"Target state",$C33&lt;&gt;"Exception",$D33="Medium",$E33="Low"),$A33&amp;"  "&amp;$B33,"")</f>
        <v/>
      </c>
      <c r="S33">
        <f>IF(AND($B33&lt;&gt;"",$C33&lt;&gt;"Target state",$C33&lt;&gt;"Exception",$D33="Medium",$E33="Medium"),$A33&amp;"  "&amp;$B33,"")</f>
        <v/>
      </c>
      <c r="T33">
        <f>IF(AND($B33&lt;&gt;"",$C33&lt;&gt;"Target state",$C33&lt;&gt;"Exception",$D33="Medium",$E33="High"),$A33&amp;"  "&amp;$B33,"")</f>
        <v/>
      </c>
      <c r="U33">
        <f>IF(AND($B33&lt;&gt;"",$C33&lt;&gt;"Target state",$C33&lt;&gt;"Exception",$D33="Low",$E33="Low"),$A33&amp;"  "&amp;$B33,"")</f>
        <v/>
      </c>
      <c r="V33">
        <f>IF(AND($B33&lt;&gt;"",$C33&lt;&gt;"Target state",$C33&lt;&gt;"Exception",$D33="Low",$E33="Medium"),$A33&amp;"  "&amp;$B33,"")</f>
        <v/>
      </c>
      <c r="W33">
        <f>IF(AND($B33&lt;&gt;"",$C33&lt;&gt;"Target state",$C33&lt;&gt;"Exception",$D33="Low",$E33="High"),$A33&amp;"  "&amp;$B33,"")</f>
        <v/>
      </c>
    </row>
    <row r="34" ht="20" customHeight="1">
      <c r="A34" s="29" t="inlineStr">
        <is>
          <t>⑦</t>
        </is>
      </c>
      <c r="B34" s="30" t="n"/>
      <c r="C34" s="31" t="n"/>
      <c r="D34" s="31" t="n"/>
      <c r="E34" s="31" t="n"/>
      <c r="F34" s="32" t="n"/>
      <c r="G34" s="33">
        <f>IF(OR($B34="",$D34="",$E34=""),"",IF(OR($C34="Target state",$C34="Exception"),"Out of scope",IF($D34="Low","No tranche",IF($E34="Low","Tranche 1",IF($E34="Medium","Tranche 2",IF($D34="High","Tranche 3","No tranche"))))))</f>
        <v/>
      </c>
      <c r="J34" s="35" t="inlineStr">
        <is>
          <t>Low</t>
        </is>
      </c>
      <c r="K34" s="41">
        <f>_xlfn.TEXTJOIN(CHAR(10),TRUE,U$28:U$37)</f>
        <v/>
      </c>
      <c r="L34" s="41">
        <f>_xlfn.TEXTJOIN(CHAR(10),TRUE,V$28:V$37)</f>
        <v/>
      </c>
      <c r="M34" s="41">
        <f>_xlfn.TEXTJOIN(CHAR(10),TRUE,W$28:W$37)</f>
        <v/>
      </c>
      <c r="O34">
        <f>IF(AND($B34&lt;&gt;"",$C34&lt;&gt;"Target state",$C34&lt;&gt;"Exception",$D34="High",$E34="Low"),$A34&amp;"  "&amp;$B34,"")</f>
        <v/>
      </c>
      <c r="P34">
        <f>IF(AND($B34&lt;&gt;"",$C34&lt;&gt;"Target state",$C34&lt;&gt;"Exception",$D34="High",$E34="Medium"),$A34&amp;"  "&amp;$B34,"")</f>
        <v/>
      </c>
      <c r="Q34">
        <f>IF(AND($B34&lt;&gt;"",$C34&lt;&gt;"Target state",$C34&lt;&gt;"Exception",$D34="High",$E34="High"),$A34&amp;"  "&amp;$B34,"")</f>
        <v/>
      </c>
      <c r="R34">
        <f>IF(AND($B34&lt;&gt;"",$C34&lt;&gt;"Target state",$C34&lt;&gt;"Exception",$D34="Medium",$E34="Low"),$A34&amp;"  "&amp;$B34,"")</f>
        <v/>
      </c>
      <c r="S34">
        <f>IF(AND($B34&lt;&gt;"",$C34&lt;&gt;"Target state",$C34&lt;&gt;"Exception",$D34="Medium",$E34="Medium"),$A34&amp;"  "&amp;$B34,"")</f>
        <v/>
      </c>
      <c r="T34">
        <f>IF(AND($B34&lt;&gt;"",$C34&lt;&gt;"Target state",$C34&lt;&gt;"Exception",$D34="Medium",$E34="High"),$A34&amp;"  "&amp;$B34,"")</f>
        <v/>
      </c>
      <c r="U34">
        <f>IF(AND($B34&lt;&gt;"",$C34&lt;&gt;"Target state",$C34&lt;&gt;"Exception",$D34="Low",$E34="Low"),$A34&amp;"  "&amp;$B34,"")</f>
        <v/>
      </c>
      <c r="V34">
        <f>IF(AND($B34&lt;&gt;"",$C34&lt;&gt;"Target state",$C34&lt;&gt;"Exception",$D34="Low",$E34="Medium"),$A34&amp;"  "&amp;$B34,"")</f>
        <v/>
      </c>
      <c r="W34">
        <f>IF(AND($B34&lt;&gt;"",$C34&lt;&gt;"Target state",$C34&lt;&gt;"Exception",$D34="Low",$E34="High"),$A34&amp;"  "&amp;$B34,"")</f>
        <v/>
      </c>
    </row>
    <row r="35" ht="20" customHeight="1">
      <c r="A35" s="29" t="inlineStr">
        <is>
          <t>⑧</t>
        </is>
      </c>
      <c r="B35" s="30" t="n"/>
      <c r="C35" s="31" t="n"/>
      <c r="D35" s="31" t="n"/>
      <c r="E35" s="31" t="n"/>
      <c r="F35" s="32" t="n"/>
      <c r="G35" s="33">
        <f>IF(OR($B35="",$D35="",$E35=""),"",IF(OR($C35="Target state",$C35="Exception"),"Out of scope",IF($D35="Low","No tranche",IF($E35="Low","Tranche 1",IF($E35="Medium","Tranche 2",IF($D35="High","Tranche 3","No tranche"))))))</f>
        <v/>
      </c>
      <c r="K35" s="39" t="n"/>
      <c r="L35" s="39" t="n"/>
      <c r="M35" s="39" t="n"/>
      <c r="O35">
        <f>IF(AND($B35&lt;&gt;"",$C35&lt;&gt;"Target state",$C35&lt;&gt;"Exception",$D35="High",$E35="Low"),$A35&amp;"  "&amp;$B35,"")</f>
        <v/>
      </c>
      <c r="P35">
        <f>IF(AND($B35&lt;&gt;"",$C35&lt;&gt;"Target state",$C35&lt;&gt;"Exception",$D35="High",$E35="Medium"),$A35&amp;"  "&amp;$B35,"")</f>
        <v/>
      </c>
      <c r="Q35">
        <f>IF(AND($B35&lt;&gt;"",$C35&lt;&gt;"Target state",$C35&lt;&gt;"Exception",$D35="High",$E35="High"),$A35&amp;"  "&amp;$B35,"")</f>
        <v/>
      </c>
      <c r="R35">
        <f>IF(AND($B35&lt;&gt;"",$C35&lt;&gt;"Target state",$C35&lt;&gt;"Exception",$D35="Medium",$E35="Low"),$A35&amp;"  "&amp;$B35,"")</f>
        <v/>
      </c>
      <c r="S35">
        <f>IF(AND($B35&lt;&gt;"",$C35&lt;&gt;"Target state",$C35&lt;&gt;"Exception",$D35="Medium",$E35="Medium"),$A35&amp;"  "&amp;$B35,"")</f>
        <v/>
      </c>
      <c r="T35">
        <f>IF(AND($B35&lt;&gt;"",$C35&lt;&gt;"Target state",$C35&lt;&gt;"Exception",$D35="Medium",$E35="High"),$A35&amp;"  "&amp;$B35,"")</f>
        <v/>
      </c>
      <c r="U35">
        <f>IF(AND($B35&lt;&gt;"",$C35&lt;&gt;"Target state",$C35&lt;&gt;"Exception",$D35="Low",$E35="Low"),$A35&amp;"  "&amp;$B35,"")</f>
        <v/>
      </c>
      <c r="V35">
        <f>IF(AND($B35&lt;&gt;"",$C35&lt;&gt;"Target state",$C35&lt;&gt;"Exception",$D35="Low",$E35="Medium"),$A35&amp;"  "&amp;$B35,"")</f>
        <v/>
      </c>
      <c r="W35">
        <f>IF(AND($B35&lt;&gt;"",$C35&lt;&gt;"Target state",$C35&lt;&gt;"Exception",$D35="Low",$E35="High"),$A35&amp;"  "&amp;$B35,"")</f>
        <v/>
      </c>
    </row>
    <row r="36" ht="20" customHeight="1">
      <c r="A36" s="29" t="inlineStr">
        <is>
          <t>⑨</t>
        </is>
      </c>
      <c r="B36" s="30" t="n"/>
      <c r="C36" s="31" t="n"/>
      <c r="D36" s="31" t="n"/>
      <c r="E36" s="31" t="n"/>
      <c r="F36" s="32" t="n"/>
      <c r="G36" s="33">
        <f>IF(OR($B36="",$D36="",$E36=""),"",IF(OR($C36="Target state",$C36="Exception"),"Out of scope",IF($D36="Low","No tranche",IF($E36="Low","Tranche 1",IF($E36="Medium","Tranche 2",IF($D36="High","Tranche 3","No tranche"))))))</f>
        <v/>
      </c>
      <c r="K36" s="40" t="n"/>
      <c r="L36" s="40" t="n"/>
      <c r="M36" s="40" t="n"/>
      <c r="O36">
        <f>IF(AND($B36&lt;&gt;"",$C36&lt;&gt;"Target state",$C36&lt;&gt;"Exception",$D36="High",$E36="Low"),$A36&amp;"  "&amp;$B36,"")</f>
        <v/>
      </c>
      <c r="P36">
        <f>IF(AND($B36&lt;&gt;"",$C36&lt;&gt;"Target state",$C36&lt;&gt;"Exception",$D36="High",$E36="Medium"),$A36&amp;"  "&amp;$B36,"")</f>
        <v/>
      </c>
      <c r="Q36">
        <f>IF(AND($B36&lt;&gt;"",$C36&lt;&gt;"Target state",$C36&lt;&gt;"Exception",$D36="High",$E36="High"),$A36&amp;"  "&amp;$B36,"")</f>
        <v/>
      </c>
      <c r="R36">
        <f>IF(AND($B36&lt;&gt;"",$C36&lt;&gt;"Target state",$C36&lt;&gt;"Exception",$D36="Medium",$E36="Low"),$A36&amp;"  "&amp;$B36,"")</f>
        <v/>
      </c>
      <c r="S36">
        <f>IF(AND($B36&lt;&gt;"",$C36&lt;&gt;"Target state",$C36&lt;&gt;"Exception",$D36="Medium",$E36="Medium"),$A36&amp;"  "&amp;$B36,"")</f>
        <v/>
      </c>
      <c r="T36">
        <f>IF(AND($B36&lt;&gt;"",$C36&lt;&gt;"Target state",$C36&lt;&gt;"Exception",$D36="Medium",$E36="High"),$A36&amp;"  "&amp;$B36,"")</f>
        <v/>
      </c>
      <c r="U36">
        <f>IF(AND($B36&lt;&gt;"",$C36&lt;&gt;"Target state",$C36&lt;&gt;"Exception",$D36="Low",$E36="Low"),$A36&amp;"  "&amp;$B36,"")</f>
        <v/>
      </c>
      <c r="V36">
        <f>IF(AND($B36&lt;&gt;"",$C36&lt;&gt;"Target state",$C36&lt;&gt;"Exception",$D36="Low",$E36="Medium"),$A36&amp;"  "&amp;$B36,"")</f>
        <v/>
      </c>
      <c r="W36">
        <f>IF(AND($B36&lt;&gt;"",$C36&lt;&gt;"Target state",$C36&lt;&gt;"Exception",$D36="Low",$E36="High"),$A36&amp;"  "&amp;$B36,"")</f>
        <v/>
      </c>
    </row>
    <row r="37" ht="20" customHeight="1">
      <c r="A37" s="29" t="inlineStr">
        <is>
          <t>⑩</t>
        </is>
      </c>
      <c r="B37" s="30" t="n"/>
      <c r="C37" s="31" t="n"/>
      <c r="D37" s="31" t="n"/>
      <c r="E37" s="31" t="n"/>
      <c r="F37" s="32" t="n"/>
      <c r="G37" s="33">
        <f>IF(OR($B37="",$D37="",$E37=""),"",IF(OR($C37="Target state",$C37="Exception"),"Out of scope",IF($D37="Low","No tranche",IF($E37="Low","Tranche 1",IF($E37="Medium","Tranche 2",IF($D37="High","Tranche 3","No tranche"))))))</f>
        <v/>
      </c>
      <c r="K37" s="35" t="inlineStr">
        <is>
          <t>Complexity</t>
        </is>
      </c>
      <c r="O37">
        <f>IF(AND($B37&lt;&gt;"",$C37&lt;&gt;"Target state",$C37&lt;&gt;"Exception",$D37="High",$E37="Low"),$A37&amp;"  "&amp;$B37,"")</f>
        <v/>
      </c>
      <c r="P37">
        <f>IF(AND($B37&lt;&gt;"",$C37&lt;&gt;"Target state",$C37&lt;&gt;"Exception",$D37="High",$E37="Medium"),$A37&amp;"  "&amp;$B37,"")</f>
        <v/>
      </c>
      <c r="Q37">
        <f>IF(AND($B37&lt;&gt;"",$C37&lt;&gt;"Target state",$C37&lt;&gt;"Exception",$D37="High",$E37="High"),$A37&amp;"  "&amp;$B37,"")</f>
        <v/>
      </c>
      <c r="R37">
        <f>IF(AND($B37&lt;&gt;"",$C37&lt;&gt;"Target state",$C37&lt;&gt;"Exception",$D37="Medium",$E37="Low"),$A37&amp;"  "&amp;$B37,"")</f>
        <v/>
      </c>
      <c r="S37">
        <f>IF(AND($B37&lt;&gt;"",$C37&lt;&gt;"Target state",$C37&lt;&gt;"Exception",$D37="Medium",$E37="Medium"),$A37&amp;"  "&amp;$B37,"")</f>
        <v/>
      </c>
      <c r="T37">
        <f>IF(AND($B37&lt;&gt;"",$C37&lt;&gt;"Target state",$C37&lt;&gt;"Exception",$D37="Medium",$E37="High"),$A37&amp;"  "&amp;$B37,"")</f>
        <v/>
      </c>
      <c r="U37">
        <f>IF(AND($B37&lt;&gt;"",$C37&lt;&gt;"Target state",$C37&lt;&gt;"Exception",$D37="Low",$E37="Low"),$A37&amp;"  "&amp;$B37,"")</f>
        <v/>
      </c>
      <c r="V37">
        <f>IF(AND($B37&lt;&gt;"",$C37&lt;&gt;"Target state",$C37&lt;&gt;"Exception",$D37="Low",$E37="Medium"),$A37&amp;"  "&amp;$B37,"")</f>
        <v/>
      </c>
      <c r="W37">
        <f>IF(AND($B37&lt;&gt;"",$C37&lt;&gt;"Target state",$C37&lt;&gt;"Exception",$D37="Low",$E37="High"),$A37&amp;"  "&amp;$B37,"")</f>
        <v/>
      </c>
    </row>
    <row r="40" ht="22" customHeight="1">
      <c r="A40" s="24" t="inlineStr">
        <is>
          <t>Clearing Back-end</t>
        </is>
      </c>
      <c r="G40" s="25">
        <f>HYPERLINK("#'Payment Processing'!A4","▲ tracker")</f>
        <v/>
      </c>
      <c r="K40" s="26" t="inlineStr">
        <is>
          <t>Assessment Outcome</t>
        </is>
      </c>
    </row>
    <row r="41" ht="18" customHeight="1">
      <c r="A41" s="27" t="inlineStr">
        <is>
          <t>#</t>
        </is>
      </c>
      <c r="B41" s="27" t="inlineStr">
        <is>
          <t>Platform</t>
        </is>
      </c>
      <c r="C41" s="27" t="inlineStr">
        <is>
          <t>State</t>
        </is>
      </c>
      <c r="D41" s="27" t="inlineStr">
        <is>
          <t>Imperative to exit</t>
        </is>
      </c>
      <c r="E41" s="27" t="inlineStr">
        <is>
          <t>Exit complexity</t>
        </is>
      </c>
      <c r="F41" s="27" t="inlineStr">
        <is>
          <t>Supporting facts</t>
        </is>
      </c>
      <c r="G41" s="27" t="inlineStr">
        <is>
          <t>Tranche (auto)</t>
        </is>
      </c>
      <c r="K41" s="28" t="inlineStr">
        <is>
          <t>Low</t>
        </is>
      </c>
      <c r="L41" s="28" t="inlineStr">
        <is>
          <t>Medium</t>
        </is>
      </c>
      <c r="M41" s="28" t="inlineStr">
        <is>
          <t>High</t>
        </is>
      </c>
    </row>
    <row r="42" ht="20" customHeight="1">
      <c r="A42" s="29" t="inlineStr">
        <is>
          <t>①</t>
        </is>
      </c>
      <c r="B42" s="30" t="n"/>
      <c r="C42" s="31" t="n"/>
      <c r="D42" s="31" t="n"/>
      <c r="E42" s="31" t="n"/>
      <c r="F42" s="32" t="n"/>
      <c r="G42" s="33">
        <f>IF(OR($B42="",$D42="",$E42=""),"",IF(OR($C42="Target state",$C42="Exception"),"Out of scope",IF($D42="Low","No tranche",IF($E42="Low","Tranche 1",IF($E42="Medium","Tranche 2",IF($D42="High","Tranche 3","No tranche"))))))</f>
        <v/>
      </c>
      <c r="I42" s="34" t="inlineStr">
        <is>
          <t>Benefits</t>
        </is>
      </c>
      <c r="J42" s="35" t="inlineStr">
        <is>
          <t>High</t>
        </is>
      </c>
      <c r="K42" s="36">
        <f>"Tranche 1"&amp;CHAR(10)&amp;_xlfn.TEXTJOIN(CHAR(10),TRUE,O$42:O$51)</f>
        <v/>
      </c>
      <c r="L42" s="37">
        <f>"Tranche 2"&amp;CHAR(10)&amp;_xlfn.TEXTJOIN(CHAR(10),TRUE,P$42:P$51)</f>
        <v/>
      </c>
      <c r="M42" s="38">
        <f>"Tranche 3"&amp;CHAR(10)&amp;_xlfn.TEXTJOIN(CHAR(10),TRUE,Q$42:Q$51)</f>
        <v/>
      </c>
      <c r="O42">
        <f>IF(AND($B42&lt;&gt;"",$C42&lt;&gt;"Target state",$C42&lt;&gt;"Exception",$D42="High",$E42="Low"),$A42&amp;"  "&amp;$B42,"")</f>
        <v/>
      </c>
      <c r="P42">
        <f>IF(AND($B42&lt;&gt;"",$C42&lt;&gt;"Target state",$C42&lt;&gt;"Exception",$D42="High",$E42="Medium"),$A42&amp;"  "&amp;$B42,"")</f>
        <v/>
      </c>
      <c r="Q42">
        <f>IF(AND($B42&lt;&gt;"",$C42&lt;&gt;"Target state",$C42&lt;&gt;"Exception",$D42="High",$E42="High"),$A42&amp;"  "&amp;$B42,"")</f>
        <v/>
      </c>
      <c r="R42">
        <f>IF(AND($B42&lt;&gt;"",$C42&lt;&gt;"Target state",$C42&lt;&gt;"Exception",$D42="Medium",$E42="Low"),$A42&amp;"  "&amp;$B42,"")</f>
        <v/>
      </c>
      <c r="S42">
        <f>IF(AND($B42&lt;&gt;"",$C42&lt;&gt;"Target state",$C42&lt;&gt;"Exception",$D42="Medium",$E42="Medium"),$A42&amp;"  "&amp;$B42,"")</f>
        <v/>
      </c>
      <c r="T42">
        <f>IF(AND($B42&lt;&gt;"",$C42&lt;&gt;"Target state",$C42&lt;&gt;"Exception",$D42="Medium",$E42="High"),$A42&amp;"  "&amp;$B42,"")</f>
        <v/>
      </c>
      <c r="U42">
        <f>IF(AND($B42&lt;&gt;"",$C42&lt;&gt;"Target state",$C42&lt;&gt;"Exception",$D42="Low",$E42="Low"),$A42&amp;"  "&amp;$B42,"")</f>
        <v/>
      </c>
      <c r="V42">
        <f>IF(AND($B42&lt;&gt;"",$C42&lt;&gt;"Target state",$C42&lt;&gt;"Exception",$D42="Low",$E42="Medium"),$A42&amp;"  "&amp;$B42,"")</f>
        <v/>
      </c>
      <c r="W42">
        <f>IF(AND($B42&lt;&gt;"",$C42&lt;&gt;"Target state",$C42&lt;&gt;"Exception",$D42="Low",$E42="High"),$A42&amp;"  "&amp;$B42,"")</f>
        <v/>
      </c>
    </row>
    <row r="43" ht="20" customHeight="1">
      <c r="A43" s="29" t="inlineStr">
        <is>
          <t>②</t>
        </is>
      </c>
      <c r="B43" s="30" t="n"/>
      <c r="C43" s="31" t="n"/>
      <c r="D43" s="31" t="n"/>
      <c r="E43" s="31" t="n"/>
      <c r="F43" s="32" t="n"/>
      <c r="G43" s="33">
        <f>IF(OR($B43="",$D43="",$E43=""),"",IF(OR($C43="Target state",$C43="Exception"),"Out of scope",IF($D43="Low","No tranche",IF($E43="Low","Tranche 1",IF($E43="Medium","Tranche 2",IF($D43="High","Tranche 3","No tranche"))))))</f>
        <v/>
      </c>
      <c r="K43" s="39" t="n"/>
      <c r="L43" s="39" t="n"/>
      <c r="M43" s="39" t="n"/>
      <c r="O43">
        <f>IF(AND($B43&lt;&gt;"",$C43&lt;&gt;"Target state",$C43&lt;&gt;"Exception",$D43="High",$E43="Low"),$A43&amp;"  "&amp;$B43,"")</f>
        <v/>
      </c>
      <c r="P43">
        <f>IF(AND($B43&lt;&gt;"",$C43&lt;&gt;"Target state",$C43&lt;&gt;"Exception",$D43="High",$E43="Medium"),$A43&amp;"  "&amp;$B43,"")</f>
        <v/>
      </c>
      <c r="Q43">
        <f>IF(AND($B43&lt;&gt;"",$C43&lt;&gt;"Target state",$C43&lt;&gt;"Exception",$D43="High",$E43="High"),$A43&amp;"  "&amp;$B43,"")</f>
        <v/>
      </c>
      <c r="R43">
        <f>IF(AND($B43&lt;&gt;"",$C43&lt;&gt;"Target state",$C43&lt;&gt;"Exception",$D43="Medium",$E43="Low"),$A43&amp;"  "&amp;$B43,"")</f>
        <v/>
      </c>
      <c r="S43">
        <f>IF(AND($B43&lt;&gt;"",$C43&lt;&gt;"Target state",$C43&lt;&gt;"Exception",$D43="Medium",$E43="Medium"),$A43&amp;"  "&amp;$B43,"")</f>
        <v/>
      </c>
      <c r="T43">
        <f>IF(AND($B43&lt;&gt;"",$C43&lt;&gt;"Target state",$C43&lt;&gt;"Exception",$D43="Medium",$E43="High"),$A43&amp;"  "&amp;$B43,"")</f>
        <v/>
      </c>
      <c r="U43">
        <f>IF(AND($B43&lt;&gt;"",$C43&lt;&gt;"Target state",$C43&lt;&gt;"Exception",$D43="Low",$E43="Low"),$A43&amp;"  "&amp;$B43,"")</f>
        <v/>
      </c>
      <c r="V43">
        <f>IF(AND($B43&lt;&gt;"",$C43&lt;&gt;"Target state",$C43&lt;&gt;"Exception",$D43="Low",$E43="Medium"),$A43&amp;"  "&amp;$B43,"")</f>
        <v/>
      </c>
      <c r="W43">
        <f>IF(AND($B43&lt;&gt;"",$C43&lt;&gt;"Target state",$C43&lt;&gt;"Exception",$D43="Low",$E43="High"),$A43&amp;"  "&amp;$B43,"")</f>
        <v/>
      </c>
    </row>
    <row r="44" ht="20" customHeight="1">
      <c r="A44" s="29" t="inlineStr">
        <is>
          <t>③</t>
        </is>
      </c>
      <c r="B44" s="30" t="n"/>
      <c r="C44" s="31" t="n"/>
      <c r="D44" s="31" t="n"/>
      <c r="E44" s="31" t="n"/>
      <c r="F44" s="32" t="n"/>
      <c r="G44" s="33">
        <f>IF(OR($B44="",$D44="",$E44=""),"",IF(OR($C44="Target state",$C44="Exception"),"Out of scope",IF($D44="Low","No tranche",IF($E44="Low","Tranche 1",IF($E44="Medium","Tranche 2",IF($D44="High","Tranche 3","No tranche"))))))</f>
        <v/>
      </c>
      <c r="K44" s="40" t="n"/>
      <c r="L44" s="40" t="n"/>
      <c r="M44" s="40" t="n"/>
      <c r="O44">
        <f>IF(AND($B44&lt;&gt;"",$C44&lt;&gt;"Target state",$C44&lt;&gt;"Exception",$D44="High",$E44="Low"),$A44&amp;"  "&amp;$B44,"")</f>
        <v/>
      </c>
      <c r="P44">
        <f>IF(AND($B44&lt;&gt;"",$C44&lt;&gt;"Target state",$C44&lt;&gt;"Exception",$D44="High",$E44="Medium"),$A44&amp;"  "&amp;$B44,"")</f>
        <v/>
      </c>
      <c r="Q44">
        <f>IF(AND($B44&lt;&gt;"",$C44&lt;&gt;"Target state",$C44&lt;&gt;"Exception",$D44="High",$E44="High"),$A44&amp;"  "&amp;$B44,"")</f>
        <v/>
      </c>
      <c r="R44">
        <f>IF(AND($B44&lt;&gt;"",$C44&lt;&gt;"Target state",$C44&lt;&gt;"Exception",$D44="Medium",$E44="Low"),$A44&amp;"  "&amp;$B44,"")</f>
        <v/>
      </c>
      <c r="S44">
        <f>IF(AND($B44&lt;&gt;"",$C44&lt;&gt;"Target state",$C44&lt;&gt;"Exception",$D44="Medium",$E44="Medium"),$A44&amp;"  "&amp;$B44,"")</f>
        <v/>
      </c>
      <c r="T44">
        <f>IF(AND($B44&lt;&gt;"",$C44&lt;&gt;"Target state",$C44&lt;&gt;"Exception",$D44="Medium",$E44="High"),$A44&amp;"  "&amp;$B44,"")</f>
        <v/>
      </c>
      <c r="U44">
        <f>IF(AND($B44&lt;&gt;"",$C44&lt;&gt;"Target state",$C44&lt;&gt;"Exception",$D44="Low",$E44="Low"),$A44&amp;"  "&amp;$B44,"")</f>
        <v/>
      </c>
      <c r="V44">
        <f>IF(AND($B44&lt;&gt;"",$C44&lt;&gt;"Target state",$C44&lt;&gt;"Exception",$D44="Low",$E44="Medium"),$A44&amp;"  "&amp;$B44,"")</f>
        <v/>
      </c>
      <c r="W44">
        <f>IF(AND($B44&lt;&gt;"",$C44&lt;&gt;"Target state",$C44&lt;&gt;"Exception",$D44="Low",$E44="High"),$A44&amp;"  "&amp;$B44,"")</f>
        <v/>
      </c>
    </row>
    <row r="45" ht="20" customHeight="1">
      <c r="A45" s="29" t="inlineStr">
        <is>
          <t>④</t>
        </is>
      </c>
      <c r="B45" s="30" t="n"/>
      <c r="C45" s="31" t="n"/>
      <c r="D45" s="31" t="n"/>
      <c r="E45" s="31" t="n"/>
      <c r="F45" s="32" t="n"/>
      <c r="G45" s="33">
        <f>IF(OR($B45="",$D45="",$E45=""),"",IF(OR($C45="Target state",$C45="Exception"),"Out of scope",IF($D45="Low","No tranche",IF($E45="Low","Tranche 1",IF($E45="Medium","Tranche 2",IF($D45="High","Tranche 3","No tranche"))))))</f>
        <v/>
      </c>
      <c r="J45" s="35" t="inlineStr">
        <is>
          <t>Medium</t>
        </is>
      </c>
      <c r="K45" s="36">
        <f>"Tranche 1"&amp;CHAR(10)&amp;_xlfn.TEXTJOIN(CHAR(10),TRUE,R$42:R$51)</f>
        <v/>
      </c>
      <c r="L45" s="37">
        <f>"Tranche 2"&amp;CHAR(10)&amp;_xlfn.TEXTJOIN(CHAR(10),TRUE,S$42:S$51)</f>
        <v/>
      </c>
      <c r="M45" s="41">
        <f>_xlfn.TEXTJOIN(CHAR(10),TRUE,T$42:T$51)</f>
        <v/>
      </c>
      <c r="O45">
        <f>IF(AND($B45&lt;&gt;"",$C45&lt;&gt;"Target state",$C45&lt;&gt;"Exception",$D45="High",$E45="Low"),$A45&amp;"  "&amp;$B45,"")</f>
        <v/>
      </c>
      <c r="P45">
        <f>IF(AND($B45&lt;&gt;"",$C45&lt;&gt;"Target state",$C45&lt;&gt;"Exception",$D45="High",$E45="Medium"),$A45&amp;"  "&amp;$B45,"")</f>
        <v/>
      </c>
      <c r="Q45">
        <f>IF(AND($B45&lt;&gt;"",$C45&lt;&gt;"Target state",$C45&lt;&gt;"Exception",$D45="High",$E45="High"),$A45&amp;"  "&amp;$B45,"")</f>
        <v/>
      </c>
      <c r="R45">
        <f>IF(AND($B45&lt;&gt;"",$C45&lt;&gt;"Target state",$C45&lt;&gt;"Exception",$D45="Medium",$E45="Low"),$A45&amp;"  "&amp;$B45,"")</f>
        <v/>
      </c>
      <c r="S45">
        <f>IF(AND($B45&lt;&gt;"",$C45&lt;&gt;"Target state",$C45&lt;&gt;"Exception",$D45="Medium",$E45="Medium"),$A45&amp;"  "&amp;$B45,"")</f>
        <v/>
      </c>
      <c r="T45">
        <f>IF(AND($B45&lt;&gt;"",$C45&lt;&gt;"Target state",$C45&lt;&gt;"Exception",$D45="Medium",$E45="High"),$A45&amp;"  "&amp;$B45,"")</f>
        <v/>
      </c>
      <c r="U45">
        <f>IF(AND($B45&lt;&gt;"",$C45&lt;&gt;"Target state",$C45&lt;&gt;"Exception",$D45="Low",$E45="Low"),$A45&amp;"  "&amp;$B45,"")</f>
        <v/>
      </c>
      <c r="V45">
        <f>IF(AND($B45&lt;&gt;"",$C45&lt;&gt;"Target state",$C45&lt;&gt;"Exception",$D45="Low",$E45="Medium"),$A45&amp;"  "&amp;$B45,"")</f>
        <v/>
      </c>
      <c r="W45">
        <f>IF(AND($B45&lt;&gt;"",$C45&lt;&gt;"Target state",$C45&lt;&gt;"Exception",$D45="Low",$E45="High"),$A45&amp;"  "&amp;$B45,"")</f>
        <v/>
      </c>
    </row>
    <row r="46" ht="20" customHeight="1">
      <c r="A46" s="29" t="inlineStr">
        <is>
          <t>⑤</t>
        </is>
      </c>
      <c r="B46" s="30" t="n"/>
      <c r="C46" s="31" t="n"/>
      <c r="D46" s="31" t="n"/>
      <c r="E46" s="31" t="n"/>
      <c r="F46" s="32" t="n"/>
      <c r="G46" s="33">
        <f>IF(OR($B46="",$D46="",$E46=""),"",IF(OR($C46="Target state",$C46="Exception"),"Out of scope",IF($D46="Low","No tranche",IF($E46="Low","Tranche 1",IF($E46="Medium","Tranche 2",IF($D46="High","Tranche 3","No tranche"))))))</f>
        <v/>
      </c>
      <c r="K46" s="39" t="n"/>
      <c r="L46" s="39" t="n"/>
      <c r="M46" s="39" t="n"/>
      <c r="O46">
        <f>IF(AND($B46&lt;&gt;"",$C46&lt;&gt;"Target state",$C46&lt;&gt;"Exception",$D46="High",$E46="Low"),$A46&amp;"  "&amp;$B46,"")</f>
        <v/>
      </c>
      <c r="P46">
        <f>IF(AND($B46&lt;&gt;"",$C46&lt;&gt;"Target state",$C46&lt;&gt;"Exception",$D46="High",$E46="Medium"),$A46&amp;"  "&amp;$B46,"")</f>
        <v/>
      </c>
      <c r="Q46">
        <f>IF(AND($B46&lt;&gt;"",$C46&lt;&gt;"Target state",$C46&lt;&gt;"Exception",$D46="High",$E46="High"),$A46&amp;"  "&amp;$B46,"")</f>
        <v/>
      </c>
      <c r="R46">
        <f>IF(AND($B46&lt;&gt;"",$C46&lt;&gt;"Target state",$C46&lt;&gt;"Exception",$D46="Medium",$E46="Low"),$A46&amp;"  "&amp;$B46,"")</f>
        <v/>
      </c>
      <c r="S46">
        <f>IF(AND($B46&lt;&gt;"",$C46&lt;&gt;"Target state",$C46&lt;&gt;"Exception",$D46="Medium",$E46="Medium"),$A46&amp;"  "&amp;$B46,"")</f>
        <v/>
      </c>
      <c r="T46">
        <f>IF(AND($B46&lt;&gt;"",$C46&lt;&gt;"Target state",$C46&lt;&gt;"Exception",$D46="Medium",$E46="High"),$A46&amp;"  "&amp;$B46,"")</f>
        <v/>
      </c>
      <c r="U46">
        <f>IF(AND($B46&lt;&gt;"",$C46&lt;&gt;"Target state",$C46&lt;&gt;"Exception",$D46="Low",$E46="Low"),$A46&amp;"  "&amp;$B46,"")</f>
        <v/>
      </c>
      <c r="V46">
        <f>IF(AND($B46&lt;&gt;"",$C46&lt;&gt;"Target state",$C46&lt;&gt;"Exception",$D46="Low",$E46="Medium"),$A46&amp;"  "&amp;$B46,"")</f>
        <v/>
      </c>
      <c r="W46">
        <f>IF(AND($B46&lt;&gt;"",$C46&lt;&gt;"Target state",$C46&lt;&gt;"Exception",$D46="Low",$E46="High"),$A46&amp;"  "&amp;$B46,"")</f>
        <v/>
      </c>
    </row>
    <row r="47" ht="20" customHeight="1">
      <c r="A47" s="29" t="inlineStr">
        <is>
          <t>⑥</t>
        </is>
      </c>
      <c r="B47" s="30" t="n"/>
      <c r="C47" s="31" t="n"/>
      <c r="D47" s="31" t="n"/>
      <c r="E47" s="31" t="n"/>
      <c r="F47" s="32" t="n"/>
      <c r="G47" s="33">
        <f>IF(OR($B47="",$D47="",$E47=""),"",IF(OR($C47="Target state",$C47="Exception"),"Out of scope",IF($D47="Low","No tranche",IF($E47="Low","Tranche 1",IF($E47="Medium","Tranche 2",IF($D47="High","Tranche 3","No tranche"))))))</f>
        <v/>
      </c>
      <c r="K47" s="40" t="n"/>
      <c r="L47" s="40" t="n"/>
      <c r="M47" s="40" t="n"/>
      <c r="O47">
        <f>IF(AND($B47&lt;&gt;"",$C47&lt;&gt;"Target state",$C47&lt;&gt;"Exception",$D47="High",$E47="Low"),$A47&amp;"  "&amp;$B47,"")</f>
        <v/>
      </c>
      <c r="P47">
        <f>IF(AND($B47&lt;&gt;"",$C47&lt;&gt;"Target state",$C47&lt;&gt;"Exception",$D47="High",$E47="Medium"),$A47&amp;"  "&amp;$B47,"")</f>
        <v/>
      </c>
      <c r="Q47">
        <f>IF(AND($B47&lt;&gt;"",$C47&lt;&gt;"Target state",$C47&lt;&gt;"Exception",$D47="High",$E47="High"),$A47&amp;"  "&amp;$B47,"")</f>
        <v/>
      </c>
      <c r="R47">
        <f>IF(AND($B47&lt;&gt;"",$C47&lt;&gt;"Target state",$C47&lt;&gt;"Exception",$D47="Medium",$E47="Low"),$A47&amp;"  "&amp;$B47,"")</f>
        <v/>
      </c>
      <c r="S47">
        <f>IF(AND($B47&lt;&gt;"",$C47&lt;&gt;"Target state",$C47&lt;&gt;"Exception",$D47="Medium",$E47="Medium"),$A47&amp;"  "&amp;$B47,"")</f>
        <v/>
      </c>
      <c r="T47">
        <f>IF(AND($B47&lt;&gt;"",$C47&lt;&gt;"Target state",$C47&lt;&gt;"Exception",$D47="Medium",$E47="High"),$A47&amp;"  "&amp;$B47,"")</f>
        <v/>
      </c>
      <c r="U47">
        <f>IF(AND($B47&lt;&gt;"",$C47&lt;&gt;"Target state",$C47&lt;&gt;"Exception",$D47="Low",$E47="Low"),$A47&amp;"  "&amp;$B47,"")</f>
        <v/>
      </c>
      <c r="V47">
        <f>IF(AND($B47&lt;&gt;"",$C47&lt;&gt;"Target state",$C47&lt;&gt;"Exception",$D47="Low",$E47="Medium"),$A47&amp;"  "&amp;$B47,"")</f>
        <v/>
      </c>
      <c r="W47">
        <f>IF(AND($B47&lt;&gt;"",$C47&lt;&gt;"Target state",$C47&lt;&gt;"Exception",$D47="Low",$E47="High"),$A47&amp;"  "&amp;$B47,"")</f>
        <v/>
      </c>
    </row>
    <row r="48" ht="20" customHeight="1">
      <c r="A48" s="29" t="inlineStr">
        <is>
          <t>⑦</t>
        </is>
      </c>
      <c r="B48" s="30" t="n"/>
      <c r="C48" s="31" t="n"/>
      <c r="D48" s="31" t="n"/>
      <c r="E48" s="31" t="n"/>
      <c r="F48" s="32" t="n"/>
      <c r="G48" s="33">
        <f>IF(OR($B48="",$D48="",$E48=""),"",IF(OR($C48="Target state",$C48="Exception"),"Out of scope",IF($D48="Low","No tranche",IF($E48="Low","Tranche 1",IF($E48="Medium","Tranche 2",IF($D48="High","Tranche 3","No tranche"))))))</f>
        <v/>
      </c>
      <c r="J48" s="35" t="inlineStr">
        <is>
          <t>Low</t>
        </is>
      </c>
      <c r="K48" s="41">
        <f>_xlfn.TEXTJOIN(CHAR(10),TRUE,U$42:U$51)</f>
        <v/>
      </c>
      <c r="L48" s="41">
        <f>_xlfn.TEXTJOIN(CHAR(10),TRUE,V$42:V$51)</f>
        <v/>
      </c>
      <c r="M48" s="41">
        <f>_xlfn.TEXTJOIN(CHAR(10),TRUE,W$42:W$51)</f>
        <v/>
      </c>
      <c r="O48">
        <f>IF(AND($B48&lt;&gt;"",$C48&lt;&gt;"Target state",$C48&lt;&gt;"Exception",$D48="High",$E48="Low"),$A48&amp;"  "&amp;$B48,"")</f>
        <v/>
      </c>
      <c r="P48">
        <f>IF(AND($B48&lt;&gt;"",$C48&lt;&gt;"Target state",$C48&lt;&gt;"Exception",$D48="High",$E48="Medium"),$A48&amp;"  "&amp;$B48,"")</f>
        <v/>
      </c>
      <c r="Q48">
        <f>IF(AND($B48&lt;&gt;"",$C48&lt;&gt;"Target state",$C48&lt;&gt;"Exception",$D48="High",$E48="High"),$A48&amp;"  "&amp;$B48,"")</f>
        <v/>
      </c>
      <c r="R48">
        <f>IF(AND($B48&lt;&gt;"",$C48&lt;&gt;"Target state",$C48&lt;&gt;"Exception",$D48="Medium",$E48="Low"),$A48&amp;"  "&amp;$B48,"")</f>
        <v/>
      </c>
      <c r="S48">
        <f>IF(AND($B48&lt;&gt;"",$C48&lt;&gt;"Target state",$C48&lt;&gt;"Exception",$D48="Medium",$E48="Medium"),$A48&amp;"  "&amp;$B48,"")</f>
        <v/>
      </c>
      <c r="T48">
        <f>IF(AND($B48&lt;&gt;"",$C48&lt;&gt;"Target state",$C48&lt;&gt;"Exception",$D48="Medium",$E48="High"),$A48&amp;"  "&amp;$B48,"")</f>
        <v/>
      </c>
      <c r="U48">
        <f>IF(AND($B48&lt;&gt;"",$C48&lt;&gt;"Target state",$C48&lt;&gt;"Exception",$D48="Low",$E48="Low"),$A48&amp;"  "&amp;$B48,"")</f>
        <v/>
      </c>
      <c r="V48">
        <f>IF(AND($B48&lt;&gt;"",$C48&lt;&gt;"Target state",$C48&lt;&gt;"Exception",$D48="Low",$E48="Medium"),$A48&amp;"  "&amp;$B48,"")</f>
        <v/>
      </c>
      <c r="W48">
        <f>IF(AND($B48&lt;&gt;"",$C48&lt;&gt;"Target state",$C48&lt;&gt;"Exception",$D48="Low",$E48="High"),$A48&amp;"  "&amp;$B48,"")</f>
        <v/>
      </c>
    </row>
    <row r="49" ht="20" customHeight="1">
      <c r="A49" s="29" t="inlineStr">
        <is>
          <t>⑧</t>
        </is>
      </c>
      <c r="B49" s="30" t="n"/>
      <c r="C49" s="31" t="n"/>
      <c r="D49" s="31" t="n"/>
      <c r="E49" s="31" t="n"/>
      <c r="F49" s="32" t="n"/>
      <c r="G49" s="33">
        <f>IF(OR($B49="",$D49="",$E49=""),"",IF(OR($C49="Target state",$C49="Exception"),"Out of scope",IF($D49="Low","No tranche",IF($E49="Low","Tranche 1",IF($E49="Medium","Tranche 2",IF($D49="High","Tranche 3","No tranche"))))))</f>
        <v/>
      </c>
      <c r="K49" s="39" t="n"/>
      <c r="L49" s="39" t="n"/>
      <c r="M49" s="39" t="n"/>
      <c r="O49">
        <f>IF(AND($B49&lt;&gt;"",$C49&lt;&gt;"Target state",$C49&lt;&gt;"Exception",$D49="High",$E49="Low"),$A49&amp;"  "&amp;$B49,"")</f>
        <v/>
      </c>
      <c r="P49">
        <f>IF(AND($B49&lt;&gt;"",$C49&lt;&gt;"Target state",$C49&lt;&gt;"Exception",$D49="High",$E49="Medium"),$A49&amp;"  "&amp;$B49,"")</f>
        <v/>
      </c>
      <c r="Q49">
        <f>IF(AND($B49&lt;&gt;"",$C49&lt;&gt;"Target state",$C49&lt;&gt;"Exception",$D49="High",$E49="High"),$A49&amp;"  "&amp;$B49,"")</f>
        <v/>
      </c>
      <c r="R49">
        <f>IF(AND($B49&lt;&gt;"",$C49&lt;&gt;"Target state",$C49&lt;&gt;"Exception",$D49="Medium",$E49="Low"),$A49&amp;"  "&amp;$B49,"")</f>
        <v/>
      </c>
      <c r="S49">
        <f>IF(AND($B49&lt;&gt;"",$C49&lt;&gt;"Target state",$C49&lt;&gt;"Exception",$D49="Medium",$E49="Medium"),$A49&amp;"  "&amp;$B49,"")</f>
        <v/>
      </c>
      <c r="T49">
        <f>IF(AND($B49&lt;&gt;"",$C49&lt;&gt;"Target state",$C49&lt;&gt;"Exception",$D49="Medium",$E49="High"),$A49&amp;"  "&amp;$B49,"")</f>
        <v/>
      </c>
      <c r="U49">
        <f>IF(AND($B49&lt;&gt;"",$C49&lt;&gt;"Target state",$C49&lt;&gt;"Exception",$D49="Low",$E49="Low"),$A49&amp;"  "&amp;$B49,"")</f>
        <v/>
      </c>
      <c r="V49">
        <f>IF(AND($B49&lt;&gt;"",$C49&lt;&gt;"Target state",$C49&lt;&gt;"Exception",$D49="Low",$E49="Medium"),$A49&amp;"  "&amp;$B49,"")</f>
        <v/>
      </c>
      <c r="W49">
        <f>IF(AND($B49&lt;&gt;"",$C49&lt;&gt;"Target state",$C49&lt;&gt;"Exception",$D49="Low",$E49="High"),$A49&amp;"  "&amp;$B49,"")</f>
        <v/>
      </c>
    </row>
    <row r="50" ht="20" customHeight="1">
      <c r="A50" s="29" t="inlineStr">
        <is>
          <t>⑨</t>
        </is>
      </c>
      <c r="B50" s="30" t="n"/>
      <c r="C50" s="31" t="n"/>
      <c r="D50" s="31" t="n"/>
      <c r="E50" s="31" t="n"/>
      <c r="F50" s="32" t="n"/>
      <c r="G50" s="33">
        <f>IF(OR($B50="",$D50="",$E50=""),"",IF(OR($C50="Target state",$C50="Exception"),"Out of scope",IF($D50="Low","No tranche",IF($E50="Low","Tranche 1",IF($E50="Medium","Tranche 2",IF($D50="High","Tranche 3","No tranche"))))))</f>
        <v/>
      </c>
      <c r="K50" s="40" t="n"/>
      <c r="L50" s="40" t="n"/>
      <c r="M50" s="40" t="n"/>
      <c r="O50">
        <f>IF(AND($B50&lt;&gt;"",$C50&lt;&gt;"Target state",$C50&lt;&gt;"Exception",$D50="High",$E50="Low"),$A50&amp;"  "&amp;$B50,"")</f>
        <v/>
      </c>
      <c r="P50">
        <f>IF(AND($B50&lt;&gt;"",$C50&lt;&gt;"Target state",$C50&lt;&gt;"Exception",$D50="High",$E50="Medium"),$A50&amp;"  "&amp;$B50,"")</f>
        <v/>
      </c>
      <c r="Q50">
        <f>IF(AND($B50&lt;&gt;"",$C50&lt;&gt;"Target state",$C50&lt;&gt;"Exception",$D50="High",$E50="High"),$A50&amp;"  "&amp;$B50,"")</f>
        <v/>
      </c>
      <c r="R50">
        <f>IF(AND($B50&lt;&gt;"",$C50&lt;&gt;"Target state",$C50&lt;&gt;"Exception",$D50="Medium",$E50="Low"),$A50&amp;"  "&amp;$B50,"")</f>
        <v/>
      </c>
      <c r="S50">
        <f>IF(AND($B50&lt;&gt;"",$C50&lt;&gt;"Target state",$C50&lt;&gt;"Exception",$D50="Medium",$E50="Medium"),$A50&amp;"  "&amp;$B50,"")</f>
        <v/>
      </c>
      <c r="T50">
        <f>IF(AND($B50&lt;&gt;"",$C50&lt;&gt;"Target state",$C50&lt;&gt;"Exception",$D50="Medium",$E50="High"),$A50&amp;"  "&amp;$B50,"")</f>
        <v/>
      </c>
      <c r="U50">
        <f>IF(AND($B50&lt;&gt;"",$C50&lt;&gt;"Target state",$C50&lt;&gt;"Exception",$D50="Low",$E50="Low"),$A50&amp;"  "&amp;$B50,"")</f>
        <v/>
      </c>
      <c r="V50">
        <f>IF(AND($B50&lt;&gt;"",$C50&lt;&gt;"Target state",$C50&lt;&gt;"Exception",$D50="Low",$E50="Medium"),$A50&amp;"  "&amp;$B50,"")</f>
        <v/>
      </c>
      <c r="W50">
        <f>IF(AND($B50&lt;&gt;"",$C50&lt;&gt;"Target state",$C50&lt;&gt;"Exception",$D50="Low",$E50="High"),$A50&amp;"  "&amp;$B50,"")</f>
        <v/>
      </c>
    </row>
    <row r="51" ht="20" customHeight="1">
      <c r="A51" s="29" t="inlineStr">
        <is>
          <t>⑩</t>
        </is>
      </c>
      <c r="B51" s="30" t="n"/>
      <c r="C51" s="31" t="n"/>
      <c r="D51" s="31" t="n"/>
      <c r="E51" s="31" t="n"/>
      <c r="F51" s="32" t="n"/>
      <c r="G51" s="33">
        <f>IF(OR($B51="",$D51="",$E51=""),"",IF(OR($C51="Target state",$C51="Exception"),"Out of scope",IF($D51="Low","No tranche",IF($E51="Low","Tranche 1",IF($E51="Medium","Tranche 2",IF($D51="High","Tranche 3","No tranche"))))))</f>
        <v/>
      </c>
      <c r="K51" s="35" t="inlineStr">
        <is>
          <t>Complexity</t>
        </is>
      </c>
      <c r="O51">
        <f>IF(AND($B51&lt;&gt;"",$C51&lt;&gt;"Target state",$C51&lt;&gt;"Exception",$D51="High",$E51="Low"),$A51&amp;"  "&amp;$B51,"")</f>
        <v/>
      </c>
      <c r="P51">
        <f>IF(AND($B51&lt;&gt;"",$C51&lt;&gt;"Target state",$C51&lt;&gt;"Exception",$D51="High",$E51="Medium"),$A51&amp;"  "&amp;$B51,"")</f>
        <v/>
      </c>
      <c r="Q51">
        <f>IF(AND($B51&lt;&gt;"",$C51&lt;&gt;"Target state",$C51&lt;&gt;"Exception",$D51="High",$E51="High"),$A51&amp;"  "&amp;$B51,"")</f>
        <v/>
      </c>
      <c r="R51">
        <f>IF(AND($B51&lt;&gt;"",$C51&lt;&gt;"Target state",$C51&lt;&gt;"Exception",$D51="Medium",$E51="Low"),$A51&amp;"  "&amp;$B51,"")</f>
        <v/>
      </c>
      <c r="S51">
        <f>IF(AND($B51&lt;&gt;"",$C51&lt;&gt;"Target state",$C51&lt;&gt;"Exception",$D51="Medium",$E51="Medium"),$A51&amp;"  "&amp;$B51,"")</f>
        <v/>
      </c>
      <c r="T51">
        <f>IF(AND($B51&lt;&gt;"",$C51&lt;&gt;"Target state",$C51&lt;&gt;"Exception",$D51="Medium",$E51="High"),$A51&amp;"  "&amp;$B51,"")</f>
        <v/>
      </c>
      <c r="U51">
        <f>IF(AND($B51&lt;&gt;"",$C51&lt;&gt;"Target state",$C51&lt;&gt;"Exception",$D51="Low",$E51="Low"),$A51&amp;"  "&amp;$B51,"")</f>
        <v/>
      </c>
      <c r="V51">
        <f>IF(AND($B51&lt;&gt;"",$C51&lt;&gt;"Target state",$C51&lt;&gt;"Exception",$D51="Low",$E51="Medium"),$A51&amp;"  "&amp;$B51,"")</f>
        <v/>
      </c>
      <c r="W51">
        <f>IF(AND($B51&lt;&gt;"",$C51&lt;&gt;"Target state",$C51&lt;&gt;"Exception",$D51="Low",$E51="High"),$A51&amp;"  "&amp;$B51,"")</f>
        <v/>
      </c>
    </row>
    <row r="54" ht="22" customHeight="1">
      <c r="A54" s="24" t="inlineStr">
        <is>
          <t>Authorization Host</t>
        </is>
      </c>
      <c r="G54" s="25">
        <f>HYPERLINK("#'Payment Processing'!A4","▲ tracker")</f>
        <v/>
      </c>
      <c r="K54" s="26" t="inlineStr">
        <is>
          <t>Assessment Outcome</t>
        </is>
      </c>
    </row>
    <row r="55" ht="18" customHeight="1">
      <c r="A55" s="27" t="inlineStr">
        <is>
          <t>#</t>
        </is>
      </c>
      <c r="B55" s="27" t="inlineStr">
        <is>
          <t>Platform</t>
        </is>
      </c>
      <c r="C55" s="27" t="inlineStr">
        <is>
          <t>State</t>
        </is>
      </c>
      <c r="D55" s="27" t="inlineStr">
        <is>
          <t>Imperative to exit</t>
        </is>
      </c>
      <c r="E55" s="27" t="inlineStr">
        <is>
          <t>Exit complexity</t>
        </is>
      </c>
      <c r="F55" s="27" t="inlineStr">
        <is>
          <t>Supporting facts</t>
        </is>
      </c>
      <c r="G55" s="27" t="inlineStr">
        <is>
          <t>Tranche (auto)</t>
        </is>
      </c>
      <c r="K55" s="28" t="inlineStr">
        <is>
          <t>Low</t>
        </is>
      </c>
      <c r="L55" s="28" t="inlineStr">
        <is>
          <t>Medium</t>
        </is>
      </c>
      <c r="M55" s="28" t="inlineStr">
        <is>
          <t>High</t>
        </is>
      </c>
    </row>
    <row r="56" ht="20" customHeight="1">
      <c r="A56" s="29" t="inlineStr">
        <is>
          <t>①</t>
        </is>
      </c>
      <c r="B56" s="30" t="n"/>
      <c r="C56" s="31" t="n"/>
      <c r="D56" s="31" t="n"/>
      <c r="E56" s="31" t="n"/>
      <c r="F56" s="32" t="n"/>
      <c r="G56" s="33">
        <f>IF(OR($B56="",$D56="",$E56=""),"",IF(OR($C56="Target state",$C56="Exception"),"Out of scope",IF($D56="Low","No tranche",IF($E56="Low","Tranche 1",IF($E56="Medium","Tranche 2",IF($D56="High","Tranche 3","No tranche"))))))</f>
        <v/>
      </c>
      <c r="I56" s="34" t="inlineStr">
        <is>
          <t>Benefits</t>
        </is>
      </c>
      <c r="J56" s="35" t="inlineStr">
        <is>
          <t>High</t>
        </is>
      </c>
      <c r="K56" s="36">
        <f>"Tranche 1"&amp;CHAR(10)&amp;_xlfn.TEXTJOIN(CHAR(10),TRUE,O$56:O$65)</f>
        <v/>
      </c>
      <c r="L56" s="37">
        <f>"Tranche 2"&amp;CHAR(10)&amp;_xlfn.TEXTJOIN(CHAR(10),TRUE,P$56:P$65)</f>
        <v/>
      </c>
      <c r="M56" s="38">
        <f>"Tranche 3"&amp;CHAR(10)&amp;_xlfn.TEXTJOIN(CHAR(10),TRUE,Q$56:Q$65)</f>
        <v/>
      </c>
      <c r="O56">
        <f>IF(AND($B56&lt;&gt;"",$C56&lt;&gt;"Target state",$C56&lt;&gt;"Exception",$D56="High",$E56="Low"),$A56&amp;"  "&amp;$B56,"")</f>
        <v/>
      </c>
      <c r="P56">
        <f>IF(AND($B56&lt;&gt;"",$C56&lt;&gt;"Target state",$C56&lt;&gt;"Exception",$D56="High",$E56="Medium"),$A56&amp;"  "&amp;$B56,"")</f>
        <v/>
      </c>
      <c r="Q56">
        <f>IF(AND($B56&lt;&gt;"",$C56&lt;&gt;"Target state",$C56&lt;&gt;"Exception",$D56="High",$E56="High"),$A56&amp;"  "&amp;$B56,"")</f>
        <v/>
      </c>
      <c r="R56">
        <f>IF(AND($B56&lt;&gt;"",$C56&lt;&gt;"Target state",$C56&lt;&gt;"Exception",$D56="Medium",$E56="Low"),$A56&amp;"  "&amp;$B56,"")</f>
        <v/>
      </c>
      <c r="S56">
        <f>IF(AND($B56&lt;&gt;"",$C56&lt;&gt;"Target state",$C56&lt;&gt;"Exception",$D56="Medium",$E56="Medium"),$A56&amp;"  "&amp;$B56,"")</f>
        <v/>
      </c>
      <c r="T56">
        <f>IF(AND($B56&lt;&gt;"",$C56&lt;&gt;"Target state",$C56&lt;&gt;"Exception",$D56="Medium",$E56="High"),$A56&amp;"  "&amp;$B56,"")</f>
        <v/>
      </c>
      <c r="U56">
        <f>IF(AND($B56&lt;&gt;"",$C56&lt;&gt;"Target state",$C56&lt;&gt;"Exception",$D56="Low",$E56="Low"),$A56&amp;"  "&amp;$B56,"")</f>
        <v/>
      </c>
      <c r="V56">
        <f>IF(AND($B56&lt;&gt;"",$C56&lt;&gt;"Target state",$C56&lt;&gt;"Exception",$D56="Low",$E56="Medium"),$A56&amp;"  "&amp;$B56,"")</f>
        <v/>
      </c>
      <c r="W56">
        <f>IF(AND($B56&lt;&gt;"",$C56&lt;&gt;"Target state",$C56&lt;&gt;"Exception",$D56="Low",$E56="High"),$A56&amp;"  "&amp;$B56,"")</f>
        <v/>
      </c>
    </row>
    <row r="57" ht="20" customHeight="1">
      <c r="A57" s="29" t="inlineStr">
        <is>
          <t>②</t>
        </is>
      </c>
      <c r="B57" s="30" t="n"/>
      <c r="C57" s="31" t="n"/>
      <c r="D57" s="31" t="n"/>
      <c r="E57" s="31" t="n"/>
      <c r="F57" s="32" t="n"/>
      <c r="G57" s="33">
        <f>IF(OR($B57="",$D57="",$E57=""),"",IF(OR($C57="Target state",$C57="Exception"),"Out of scope",IF($D57="Low","No tranche",IF($E57="Low","Tranche 1",IF($E57="Medium","Tranche 2",IF($D57="High","Tranche 3","No tranche"))))))</f>
        <v/>
      </c>
      <c r="K57" s="39" t="n"/>
      <c r="L57" s="39" t="n"/>
      <c r="M57" s="39" t="n"/>
      <c r="O57">
        <f>IF(AND($B57&lt;&gt;"",$C57&lt;&gt;"Target state",$C57&lt;&gt;"Exception",$D57="High",$E57="Low"),$A57&amp;"  "&amp;$B57,"")</f>
        <v/>
      </c>
      <c r="P57">
        <f>IF(AND($B57&lt;&gt;"",$C57&lt;&gt;"Target state",$C57&lt;&gt;"Exception",$D57="High",$E57="Medium"),$A57&amp;"  "&amp;$B57,"")</f>
        <v/>
      </c>
      <c r="Q57">
        <f>IF(AND($B57&lt;&gt;"",$C57&lt;&gt;"Target state",$C57&lt;&gt;"Exception",$D57="High",$E57="High"),$A57&amp;"  "&amp;$B57,"")</f>
        <v/>
      </c>
      <c r="R57">
        <f>IF(AND($B57&lt;&gt;"",$C57&lt;&gt;"Target state",$C57&lt;&gt;"Exception",$D57="Medium",$E57="Low"),$A57&amp;"  "&amp;$B57,"")</f>
        <v/>
      </c>
      <c r="S57">
        <f>IF(AND($B57&lt;&gt;"",$C57&lt;&gt;"Target state",$C57&lt;&gt;"Exception",$D57="Medium",$E57="Medium"),$A57&amp;"  "&amp;$B57,"")</f>
        <v/>
      </c>
      <c r="T57">
        <f>IF(AND($B57&lt;&gt;"",$C57&lt;&gt;"Target state",$C57&lt;&gt;"Exception",$D57="Medium",$E57="High"),$A57&amp;"  "&amp;$B57,"")</f>
        <v/>
      </c>
      <c r="U57">
        <f>IF(AND($B57&lt;&gt;"",$C57&lt;&gt;"Target state",$C57&lt;&gt;"Exception",$D57="Low",$E57="Low"),$A57&amp;"  "&amp;$B57,"")</f>
        <v/>
      </c>
      <c r="V57">
        <f>IF(AND($B57&lt;&gt;"",$C57&lt;&gt;"Target state",$C57&lt;&gt;"Exception",$D57="Low",$E57="Medium"),$A57&amp;"  "&amp;$B57,"")</f>
        <v/>
      </c>
      <c r="W57">
        <f>IF(AND($B57&lt;&gt;"",$C57&lt;&gt;"Target state",$C57&lt;&gt;"Exception",$D57="Low",$E57="High"),$A57&amp;"  "&amp;$B57,"")</f>
        <v/>
      </c>
    </row>
    <row r="58" ht="20" customHeight="1">
      <c r="A58" s="29" t="inlineStr">
        <is>
          <t>③</t>
        </is>
      </c>
      <c r="B58" s="30" t="n"/>
      <c r="C58" s="31" t="n"/>
      <c r="D58" s="31" t="n"/>
      <c r="E58" s="31" t="n"/>
      <c r="F58" s="32" t="n"/>
      <c r="G58" s="33">
        <f>IF(OR($B58="",$D58="",$E58=""),"",IF(OR($C58="Target state",$C58="Exception"),"Out of scope",IF($D58="Low","No tranche",IF($E58="Low","Tranche 1",IF($E58="Medium","Tranche 2",IF($D58="High","Tranche 3","No tranche"))))))</f>
        <v/>
      </c>
      <c r="K58" s="40" t="n"/>
      <c r="L58" s="40" t="n"/>
      <c r="M58" s="40" t="n"/>
      <c r="O58">
        <f>IF(AND($B58&lt;&gt;"",$C58&lt;&gt;"Target state",$C58&lt;&gt;"Exception",$D58="High",$E58="Low"),$A58&amp;"  "&amp;$B58,"")</f>
        <v/>
      </c>
      <c r="P58">
        <f>IF(AND($B58&lt;&gt;"",$C58&lt;&gt;"Target state",$C58&lt;&gt;"Exception",$D58="High",$E58="Medium"),$A58&amp;"  "&amp;$B58,"")</f>
        <v/>
      </c>
      <c r="Q58">
        <f>IF(AND($B58&lt;&gt;"",$C58&lt;&gt;"Target state",$C58&lt;&gt;"Exception",$D58="High",$E58="High"),$A58&amp;"  "&amp;$B58,"")</f>
        <v/>
      </c>
      <c r="R58">
        <f>IF(AND($B58&lt;&gt;"",$C58&lt;&gt;"Target state",$C58&lt;&gt;"Exception",$D58="Medium",$E58="Low"),$A58&amp;"  "&amp;$B58,"")</f>
        <v/>
      </c>
      <c r="S58">
        <f>IF(AND($B58&lt;&gt;"",$C58&lt;&gt;"Target state",$C58&lt;&gt;"Exception",$D58="Medium",$E58="Medium"),$A58&amp;"  "&amp;$B58,"")</f>
        <v/>
      </c>
      <c r="T58">
        <f>IF(AND($B58&lt;&gt;"",$C58&lt;&gt;"Target state",$C58&lt;&gt;"Exception",$D58="Medium",$E58="High"),$A58&amp;"  "&amp;$B58,"")</f>
        <v/>
      </c>
      <c r="U58">
        <f>IF(AND($B58&lt;&gt;"",$C58&lt;&gt;"Target state",$C58&lt;&gt;"Exception",$D58="Low",$E58="Low"),$A58&amp;"  "&amp;$B58,"")</f>
        <v/>
      </c>
      <c r="V58">
        <f>IF(AND($B58&lt;&gt;"",$C58&lt;&gt;"Target state",$C58&lt;&gt;"Exception",$D58="Low",$E58="Medium"),$A58&amp;"  "&amp;$B58,"")</f>
        <v/>
      </c>
      <c r="W58">
        <f>IF(AND($B58&lt;&gt;"",$C58&lt;&gt;"Target state",$C58&lt;&gt;"Exception",$D58="Low",$E58="High"),$A58&amp;"  "&amp;$B58,"")</f>
        <v/>
      </c>
    </row>
    <row r="59" ht="20" customHeight="1">
      <c r="A59" s="29" t="inlineStr">
        <is>
          <t>④</t>
        </is>
      </c>
      <c r="B59" s="30" t="n"/>
      <c r="C59" s="31" t="n"/>
      <c r="D59" s="31" t="n"/>
      <c r="E59" s="31" t="n"/>
      <c r="F59" s="32" t="n"/>
      <c r="G59" s="33">
        <f>IF(OR($B59="",$D59="",$E59=""),"",IF(OR($C59="Target state",$C59="Exception"),"Out of scope",IF($D59="Low","No tranche",IF($E59="Low","Tranche 1",IF($E59="Medium","Tranche 2",IF($D59="High","Tranche 3","No tranche"))))))</f>
        <v/>
      </c>
      <c r="J59" s="35" t="inlineStr">
        <is>
          <t>Medium</t>
        </is>
      </c>
      <c r="K59" s="36">
        <f>"Tranche 1"&amp;CHAR(10)&amp;_xlfn.TEXTJOIN(CHAR(10),TRUE,R$56:R$65)</f>
        <v/>
      </c>
      <c r="L59" s="37">
        <f>"Tranche 2"&amp;CHAR(10)&amp;_xlfn.TEXTJOIN(CHAR(10),TRUE,S$56:S$65)</f>
        <v/>
      </c>
      <c r="M59" s="41">
        <f>_xlfn.TEXTJOIN(CHAR(10),TRUE,T$56:T$65)</f>
        <v/>
      </c>
      <c r="O59">
        <f>IF(AND($B59&lt;&gt;"",$C59&lt;&gt;"Target state",$C59&lt;&gt;"Exception",$D59="High",$E59="Low"),$A59&amp;"  "&amp;$B59,"")</f>
        <v/>
      </c>
      <c r="P59">
        <f>IF(AND($B59&lt;&gt;"",$C59&lt;&gt;"Target state",$C59&lt;&gt;"Exception",$D59="High",$E59="Medium"),$A59&amp;"  "&amp;$B59,"")</f>
        <v/>
      </c>
      <c r="Q59">
        <f>IF(AND($B59&lt;&gt;"",$C59&lt;&gt;"Target state",$C59&lt;&gt;"Exception",$D59="High",$E59="High"),$A59&amp;"  "&amp;$B59,"")</f>
        <v/>
      </c>
      <c r="R59">
        <f>IF(AND($B59&lt;&gt;"",$C59&lt;&gt;"Target state",$C59&lt;&gt;"Exception",$D59="Medium",$E59="Low"),$A59&amp;"  "&amp;$B59,"")</f>
        <v/>
      </c>
      <c r="S59">
        <f>IF(AND($B59&lt;&gt;"",$C59&lt;&gt;"Target state",$C59&lt;&gt;"Exception",$D59="Medium",$E59="Medium"),$A59&amp;"  "&amp;$B59,"")</f>
        <v/>
      </c>
      <c r="T59">
        <f>IF(AND($B59&lt;&gt;"",$C59&lt;&gt;"Target state",$C59&lt;&gt;"Exception",$D59="Medium",$E59="High"),$A59&amp;"  "&amp;$B59,"")</f>
        <v/>
      </c>
      <c r="U59">
        <f>IF(AND($B59&lt;&gt;"",$C59&lt;&gt;"Target state",$C59&lt;&gt;"Exception",$D59="Low",$E59="Low"),$A59&amp;"  "&amp;$B59,"")</f>
        <v/>
      </c>
      <c r="V59">
        <f>IF(AND($B59&lt;&gt;"",$C59&lt;&gt;"Target state",$C59&lt;&gt;"Exception",$D59="Low",$E59="Medium"),$A59&amp;"  "&amp;$B59,"")</f>
        <v/>
      </c>
      <c r="W59">
        <f>IF(AND($B59&lt;&gt;"",$C59&lt;&gt;"Target state",$C59&lt;&gt;"Exception",$D59="Low",$E59="High"),$A59&amp;"  "&amp;$B59,"")</f>
        <v/>
      </c>
    </row>
    <row r="60" ht="20" customHeight="1">
      <c r="A60" s="29" t="inlineStr">
        <is>
          <t>⑤</t>
        </is>
      </c>
      <c r="B60" s="30" t="n"/>
      <c r="C60" s="31" t="n"/>
      <c r="D60" s="31" t="n"/>
      <c r="E60" s="31" t="n"/>
      <c r="F60" s="32" t="n"/>
      <c r="G60" s="33">
        <f>IF(OR($B60="",$D60="",$E60=""),"",IF(OR($C60="Target state",$C60="Exception"),"Out of scope",IF($D60="Low","No tranche",IF($E60="Low","Tranche 1",IF($E60="Medium","Tranche 2",IF($D60="High","Tranche 3","No tranche"))))))</f>
        <v/>
      </c>
      <c r="K60" s="39" t="n"/>
      <c r="L60" s="39" t="n"/>
      <c r="M60" s="39" t="n"/>
      <c r="O60">
        <f>IF(AND($B60&lt;&gt;"",$C60&lt;&gt;"Target state",$C60&lt;&gt;"Exception",$D60="High",$E60="Low"),$A60&amp;"  "&amp;$B60,"")</f>
        <v/>
      </c>
      <c r="P60">
        <f>IF(AND($B60&lt;&gt;"",$C60&lt;&gt;"Target state",$C60&lt;&gt;"Exception",$D60="High",$E60="Medium"),$A60&amp;"  "&amp;$B60,"")</f>
        <v/>
      </c>
      <c r="Q60">
        <f>IF(AND($B60&lt;&gt;"",$C60&lt;&gt;"Target state",$C60&lt;&gt;"Exception",$D60="High",$E60="High"),$A60&amp;"  "&amp;$B60,"")</f>
        <v/>
      </c>
      <c r="R60">
        <f>IF(AND($B60&lt;&gt;"",$C60&lt;&gt;"Target state",$C60&lt;&gt;"Exception",$D60="Medium",$E60="Low"),$A60&amp;"  "&amp;$B60,"")</f>
        <v/>
      </c>
      <c r="S60">
        <f>IF(AND($B60&lt;&gt;"",$C60&lt;&gt;"Target state",$C60&lt;&gt;"Exception",$D60="Medium",$E60="Medium"),$A60&amp;"  "&amp;$B60,"")</f>
        <v/>
      </c>
      <c r="T60">
        <f>IF(AND($B60&lt;&gt;"",$C60&lt;&gt;"Target state",$C60&lt;&gt;"Exception",$D60="Medium",$E60="High"),$A60&amp;"  "&amp;$B60,"")</f>
        <v/>
      </c>
      <c r="U60">
        <f>IF(AND($B60&lt;&gt;"",$C60&lt;&gt;"Target state",$C60&lt;&gt;"Exception",$D60="Low",$E60="Low"),$A60&amp;"  "&amp;$B60,"")</f>
        <v/>
      </c>
      <c r="V60">
        <f>IF(AND($B60&lt;&gt;"",$C60&lt;&gt;"Target state",$C60&lt;&gt;"Exception",$D60="Low",$E60="Medium"),$A60&amp;"  "&amp;$B60,"")</f>
        <v/>
      </c>
      <c r="W60">
        <f>IF(AND($B60&lt;&gt;"",$C60&lt;&gt;"Target state",$C60&lt;&gt;"Exception",$D60="Low",$E60="High"),$A60&amp;"  "&amp;$B60,"")</f>
        <v/>
      </c>
    </row>
    <row r="61" ht="20" customHeight="1">
      <c r="A61" s="29" t="inlineStr">
        <is>
          <t>⑥</t>
        </is>
      </c>
      <c r="B61" s="30" t="n"/>
      <c r="C61" s="31" t="n"/>
      <c r="D61" s="31" t="n"/>
      <c r="E61" s="31" t="n"/>
      <c r="F61" s="32" t="n"/>
      <c r="G61" s="33">
        <f>IF(OR($B61="",$D61="",$E61=""),"",IF(OR($C61="Target state",$C61="Exception"),"Out of scope",IF($D61="Low","No tranche",IF($E61="Low","Tranche 1",IF($E61="Medium","Tranche 2",IF($D61="High","Tranche 3","No tranche"))))))</f>
        <v/>
      </c>
      <c r="K61" s="40" t="n"/>
      <c r="L61" s="40" t="n"/>
      <c r="M61" s="40" t="n"/>
      <c r="O61">
        <f>IF(AND($B61&lt;&gt;"",$C61&lt;&gt;"Target state",$C61&lt;&gt;"Exception",$D61="High",$E61="Low"),$A61&amp;"  "&amp;$B61,"")</f>
        <v/>
      </c>
      <c r="P61">
        <f>IF(AND($B61&lt;&gt;"",$C61&lt;&gt;"Target state",$C61&lt;&gt;"Exception",$D61="High",$E61="Medium"),$A61&amp;"  "&amp;$B61,"")</f>
        <v/>
      </c>
      <c r="Q61">
        <f>IF(AND($B61&lt;&gt;"",$C61&lt;&gt;"Target state",$C61&lt;&gt;"Exception",$D61="High",$E61="High"),$A61&amp;"  "&amp;$B61,"")</f>
        <v/>
      </c>
      <c r="R61">
        <f>IF(AND($B61&lt;&gt;"",$C61&lt;&gt;"Target state",$C61&lt;&gt;"Exception",$D61="Medium",$E61="Low"),$A61&amp;"  "&amp;$B61,"")</f>
        <v/>
      </c>
      <c r="S61">
        <f>IF(AND($B61&lt;&gt;"",$C61&lt;&gt;"Target state",$C61&lt;&gt;"Exception",$D61="Medium",$E61="Medium"),$A61&amp;"  "&amp;$B61,"")</f>
        <v/>
      </c>
      <c r="T61">
        <f>IF(AND($B61&lt;&gt;"",$C61&lt;&gt;"Target state",$C61&lt;&gt;"Exception",$D61="Medium",$E61="High"),$A61&amp;"  "&amp;$B61,"")</f>
        <v/>
      </c>
      <c r="U61">
        <f>IF(AND($B61&lt;&gt;"",$C61&lt;&gt;"Target state",$C61&lt;&gt;"Exception",$D61="Low",$E61="Low"),$A61&amp;"  "&amp;$B61,"")</f>
        <v/>
      </c>
      <c r="V61">
        <f>IF(AND($B61&lt;&gt;"",$C61&lt;&gt;"Target state",$C61&lt;&gt;"Exception",$D61="Low",$E61="Medium"),$A61&amp;"  "&amp;$B61,"")</f>
        <v/>
      </c>
      <c r="W61">
        <f>IF(AND($B61&lt;&gt;"",$C61&lt;&gt;"Target state",$C61&lt;&gt;"Exception",$D61="Low",$E61="High"),$A61&amp;"  "&amp;$B61,"")</f>
        <v/>
      </c>
    </row>
    <row r="62" ht="20" customHeight="1">
      <c r="A62" s="29" t="inlineStr">
        <is>
          <t>⑦</t>
        </is>
      </c>
      <c r="B62" s="30" t="n"/>
      <c r="C62" s="31" t="n"/>
      <c r="D62" s="31" t="n"/>
      <c r="E62" s="31" t="n"/>
      <c r="F62" s="32" t="n"/>
      <c r="G62" s="33">
        <f>IF(OR($B62="",$D62="",$E62=""),"",IF(OR($C62="Target state",$C62="Exception"),"Out of scope",IF($D62="Low","No tranche",IF($E62="Low","Tranche 1",IF($E62="Medium","Tranche 2",IF($D62="High","Tranche 3","No tranche"))))))</f>
        <v/>
      </c>
      <c r="J62" s="35" t="inlineStr">
        <is>
          <t>Low</t>
        </is>
      </c>
      <c r="K62" s="41">
        <f>_xlfn.TEXTJOIN(CHAR(10),TRUE,U$56:U$65)</f>
        <v/>
      </c>
      <c r="L62" s="41">
        <f>_xlfn.TEXTJOIN(CHAR(10),TRUE,V$56:V$65)</f>
        <v/>
      </c>
      <c r="M62" s="41">
        <f>_xlfn.TEXTJOIN(CHAR(10),TRUE,W$56:W$65)</f>
        <v/>
      </c>
      <c r="O62">
        <f>IF(AND($B62&lt;&gt;"",$C62&lt;&gt;"Target state",$C62&lt;&gt;"Exception",$D62="High",$E62="Low"),$A62&amp;"  "&amp;$B62,"")</f>
        <v/>
      </c>
      <c r="P62">
        <f>IF(AND($B62&lt;&gt;"",$C62&lt;&gt;"Target state",$C62&lt;&gt;"Exception",$D62="High",$E62="Medium"),$A62&amp;"  "&amp;$B62,"")</f>
        <v/>
      </c>
      <c r="Q62">
        <f>IF(AND($B62&lt;&gt;"",$C62&lt;&gt;"Target state",$C62&lt;&gt;"Exception",$D62="High",$E62="High"),$A62&amp;"  "&amp;$B62,"")</f>
        <v/>
      </c>
      <c r="R62">
        <f>IF(AND($B62&lt;&gt;"",$C62&lt;&gt;"Target state",$C62&lt;&gt;"Exception",$D62="Medium",$E62="Low"),$A62&amp;"  "&amp;$B62,"")</f>
        <v/>
      </c>
      <c r="S62">
        <f>IF(AND($B62&lt;&gt;"",$C62&lt;&gt;"Target state",$C62&lt;&gt;"Exception",$D62="Medium",$E62="Medium"),$A62&amp;"  "&amp;$B62,"")</f>
        <v/>
      </c>
      <c r="T62">
        <f>IF(AND($B62&lt;&gt;"",$C62&lt;&gt;"Target state",$C62&lt;&gt;"Exception",$D62="Medium",$E62="High"),$A62&amp;"  "&amp;$B62,"")</f>
        <v/>
      </c>
      <c r="U62">
        <f>IF(AND($B62&lt;&gt;"",$C62&lt;&gt;"Target state",$C62&lt;&gt;"Exception",$D62="Low",$E62="Low"),$A62&amp;"  "&amp;$B62,"")</f>
        <v/>
      </c>
      <c r="V62">
        <f>IF(AND($B62&lt;&gt;"",$C62&lt;&gt;"Target state",$C62&lt;&gt;"Exception",$D62="Low",$E62="Medium"),$A62&amp;"  "&amp;$B62,"")</f>
        <v/>
      </c>
      <c r="W62">
        <f>IF(AND($B62&lt;&gt;"",$C62&lt;&gt;"Target state",$C62&lt;&gt;"Exception",$D62="Low",$E62="High"),$A62&amp;"  "&amp;$B62,"")</f>
        <v/>
      </c>
    </row>
    <row r="63" ht="20" customHeight="1">
      <c r="A63" s="29" t="inlineStr">
        <is>
          <t>⑧</t>
        </is>
      </c>
      <c r="B63" s="30" t="n"/>
      <c r="C63" s="31" t="n"/>
      <c r="D63" s="31" t="n"/>
      <c r="E63" s="31" t="n"/>
      <c r="F63" s="32" t="n"/>
      <c r="G63" s="33">
        <f>IF(OR($B63="",$D63="",$E63=""),"",IF(OR($C63="Target state",$C63="Exception"),"Out of scope",IF($D63="Low","No tranche",IF($E63="Low","Tranche 1",IF($E63="Medium","Tranche 2",IF($D63="High","Tranche 3","No tranche"))))))</f>
        <v/>
      </c>
      <c r="K63" s="39" t="n"/>
      <c r="L63" s="39" t="n"/>
      <c r="M63" s="39" t="n"/>
      <c r="O63">
        <f>IF(AND($B63&lt;&gt;"",$C63&lt;&gt;"Target state",$C63&lt;&gt;"Exception",$D63="High",$E63="Low"),$A63&amp;"  "&amp;$B63,"")</f>
        <v/>
      </c>
      <c r="P63">
        <f>IF(AND($B63&lt;&gt;"",$C63&lt;&gt;"Target state",$C63&lt;&gt;"Exception",$D63="High",$E63="Medium"),$A63&amp;"  "&amp;$B63,"")</f>
        <v/>
      </c>
      <c r="Q63">
        <f>IF(AND($B63&lt;&gt;"",$C63&lt;&gt;"Target state",$C63&lt;&gt;"Exception",$D63="High",$E63="High"),$A63&amp;"  "&amp;$B63,"")</f>
        <v/>
      </c>
      <c r="R63">
        <f>IF(AND($B63&lt;&gt;"",$C63&lt;&gt;"Target state",$C63&lt;&gt;"Exception",$D63="Medium",$E63="Low"),$A63&amp;"  "&amp;$B63,"")</f>
        <v/>
      </c>
      <c r="S63">
        <f>IF(AND($B63&lt;&gt;"",$C63&lt;&gt;"Target state",$C63&lt;&gt;"Exception",$D63="Medium",$E63="Medium"),$A63&amp;"  "&amp;$B63,"")</f>
        <v/>
      </c>
      <c r="T63">
        <f>IF(AND($B63&lt;&gt;"",$C63&lt;&gt;"Target state",$C63&lt;&gt;"Exception",$D63="Medium",$E63="High"),$A63&amp;"  "&amp;$B63,"")</f>
        <v/>
      </c>
      <c r="U63">
        <f>IF(AND($B63&lt;&gt;"",$C63&lt;&gt;"Target state",$C63&lt;&gt;"Exception",$D63="Low",$E63="Low"),$A63&amp;"  "&amp;$B63,"")</f>
        <v/>
      </c>
      <c r="V63">
        <f>IF(AND($B63&lt;&gt;"",$C63&lt;&gt;"Target state",$C63&lt;&gt;"Exception",$D63="Low",$E63="Medium"),$A63&amp;"  "&amp;$B63,"")</f>
        <v/>
      </c>
      <c r="W63">
        <f>IF(AND($B63&lt;&gt;"",$C63&lt;&gt;"Target state",$C63&lt;&gt;"Exception",$D63="Low",$E63="High"),$A63&amp;"  "&amp;$B63,"")</f>
        <v/>
      </c>
    </row>
    <row r="64" ht="20" customHeight="1">
      <c r="A64" s="29" t="inlineStr">
        <is>
          <t>⑨</t>
        </is>
      </c>
      <c r="B64" s="30" t="n"/>
      <c r="C64" s="31" t="n"/>
      <c r="D64" s="31" t="n"/>
      <c r="E64" s="31" t="n"/>
      <c r="F64" s="32" t="n"/>
      <c r="G64" s="33">
        <f>IF(OR($B64="",$D64="",$E64=""),"",IF(OR($C64="Target state",$C64="Exception"),"Out of scope",IF($D64="Low","No tranche",IF($E64="Low","Tranche 1",IF($E64="Medium","Tranche 2",IF($D64="High","Tranche 3","No tranche"))))))</f>
        <v/>
      </c>
      <c r="K64" s="40" t="n"/>
      <c r="L64" s="40" t="n"/>
      <c r="M64" s="40" t="n"/>
      <c r="O64">
        <f>IF(AND($B64&lt;&gt;"",$C64&lt;&gt;"Target state",$C64&lt;&gt;"Exception",$D64="High",$E64="Low"),$A64&amp;"  "&amp;$B64,"")</f>
        <v/>
      </c>
      <c r="P64">
        <f>IF(AND($B64&lt;&gt;"",$C64&lt;&gt;"Target state",$C64&lt;&gt;"Exception",$D64="High",$E64="Medium"),$A64&amp;"  "&amp;$B64,"")</f>
        <v/>
      </c>
      <c r="Q64">
        <f>IF(AND($B64&lt;&gt;"",$C64&lt;&gt;"Target state",$C64&lt;&gt;"Exception",$D64="High",$E64="High"),$A64&amp;"  "&amp;$B64,"")</f>
        <v/>
      </c>
      <c r="R64">
        <f>IF(AND($B64&lt;&gt;"",$C64&lt;&gt;"Target state",$C64&lt;&gt;"Exception",$D64="Medium",$E64="Low"),$A64&amp;"  "&amp;$B64,"")</f>
        <v/>
      </c>
      <c r="S64">
        <f>IF(AND($B64&lt;&gt;"",$C64&lt;&gt;"Target state",$C64&lt;&gt;"Exception",$D64="Medium",$E64="Medium"),$A64&amp;"  "&amp;$B64,"")</f>
        <v/>
      </c>
      <c r="T64">
        <f>IF(AND($B64&lt;&gt;"",$C64&lt;&gt;"Target state",$C64&lt;&gt;"Exception",$D64="Medium",$E64="High"),$A64&amp;"  "&amp;$B64,"")</f>
        <v/>
      </c>
      <c r="U64">
        <f>IF(AND($B64&lt;&gt;"",$C64&lt;&gt;"Target state",$C64&lt;&gt;"Exception",$D64="Low",$E64="Low"),$A64&amp;"  "&amp;$B64,"")</f>
        <v/>
      </c>
      <c r="V64">
        <f>IF(AND($B64&lt;&gt;"",$C64&lt;&gt;"Target state",$C64&lt;&gt;"Exception",$D64="Low",$E64="Medium"),$A64&amp;"  "&amp;$B64,"")</f>
        <v/>
      </c>
      <c r="W64">
        <f>IF(AND($B64&lt;&gt;"",$C64&lt;&gt;"Target state",$C64&lt;&gt;"Exception",$D64="Low",$E64="High"),$A64&amp;"  "&amp;$B64,"")</f>
        <v/>
      </c>
    </row>
    <row r="65" ht="20" customHeight="1">
      <c r="A65" s="29" t="inlineStr">
        <is>
          <t>⑩</t>
        </is>
      </c>
      <c r="B65" s="30" t="n"/>
      <c r="C65" s="31" t="n"/>
      <c r="D65" s="31" t="n"/>
      <c r="E65" s="31" t="n"/>
      <c r="F65" s="32" t="n"/>
      <c r="G65" s="33">
        <f>IF(OR($B65="",$D65="",$E65=""),"",IF(OR($C65="Target state",$C65="Exception"),"Out of scope",IF($D65="Low","No tranche",IF($E65="Low","Tranche 1",IF($E65="Medium","Tranche 2",IF($D65="High","Tranche 3","No tranche"))))))</f>
        <v/>
      </c>
      <c r="K65" s="35" t="inlineStr">
        <is>
          <t>Complexity</t>
        </is>
      </c>
      <c r="O65">
        <f>IF(AND($B65&lt;&gt;"",$C65&lt;&gt;"Target state",$C65&lt;&gt;"Exception",$D65="High",$E65="Low"),$A65&amp;"  "&amp;$B65,"")</f>
        <v/>
      </c>
      <c r="P65">
        <f>IF(AND($B65&lt;&gt;"",$C65&lt;&gt;"Target state",$C65&lt;&gt;"Exception",$D65="High",$E65="Medium"),$A65&amp;"  "&amp;$B65,"")</f>
        <v/>
      </c>
      <c r="Q65">
        <f>IF(AND($B65&lt;&gt;"",$C65&lt;&gt;"Target state",$C65&lt;&gt;"Exception",$D65="High",$E65="High"),$A65&amp;"  "&amp;$B65,"")</f>
        <v/>
      </c>
      <c r="R65">
        <f>IF(AND($B65&lt;&gt;"",$C65&lt;&gt;"Target state",$C65&lt;&gt;"Exception",$D65="Medium",$E65="Low"),$A65&amp;"  "&amp;$B65,"")</f>
        <v/>
      </c>
      <c r="S65">
        <f>IF(AND($B65&lt;&gt;"",$C65&lt;&gt;"Target state",$C65&lt;&gt;"Exception",$D65="Medium",$E65="Medium"),$A65&amp;"  "&amp;$B65,"")</f>
        <v/>
      </c>
      <c r="T65">
        <f>IF(AND($B65&lt;&gt;"",$C65&lt;&gt;"Target state",$C65&lt;&gt;"Exception",$D65="Medium",$E65="High"),$A65&amp;"  "&amp;$B65,"")</f>
        <v/>
      </c>
      <c r="U65">
        <f>IF(AND($B65&lt;&gt;"",$C65&lt;&gt;"Target state",$C65&lt;&gt;"Exception",$D65="Low",$E65="Low"),$A65&amp;"  "&amp;$B65,"")</f>
        <v/>
      </c>
      <c r="V65">
        <f>IF(AND($B65&lt;&gt;"",$C65&lt;&gt;"Target state",$C65&lt;&gt;"Exception",$D65="Low",$E65="Medium"),$A65&amp;"  "&amp;$B65,"")</f>
        <v/>
      </c>
      <c r="W65">
        <f>IF(AND($B65&lt;&gt;"",$C65&lt;&gt;"Target state",$C65&lt;&gt;"Exception",$D65="Low",$E65="High"),$A65&amp;"  "&amp;$B65,"")</f>
        <v/>
      </c>
    </row>
    <row r="68" ht="22" customHeight="1">
      <c r="A68" s="24" t="inlineStr">
        <is>
          <t>Transaction monitoring</t>
        </is>
      </c>
      <c r="G68" s="25">
        <f>HYPERLINK("#'Payment Processing'!A4","▲ tracker")</f>
        <v/>
      </c>
      <c r="K68" s="26" t="inlineStr">
        <is>
          <t>Assessment Outcome</t>
        </is>
      </c>
    </row>
    <row r="69" ht="18" customHeight="1">
      <c r="A69" s="27" t="inlineStr">
        <is>
          <t>#</t>
        </is>
      </c>
      <c r="B69" s="27" t="inlineStr">
        <is>
          <t>Platform</t>
        </is>
      </c>
      <c r="C69" s="27" t="inlineStr">
        <is>
          <t>State</t>
        </is>
      </c>
      <c r="D69" s="27" t="inlineStr">
        <is>
          <t>Imperative to exit</t>
        </is>
      </c>
      <c r="E69" s="27" t="inlineStr">
        <is>
          <t>Exit complexity</t>
        </is>
      </c>
      <c r="F69" s="27" t="inlineStr">
        <is>
          <t>Supporting facts</t>
        </is>
      </c>
      <c r="G69" s="27" t="inlineStr">
        <is>
          <t>Tranche (auto)</t>
        </is>
      </c>
      <c r="K69" s="28" t="inlineStr">
        <is>
          <t>Low</t>
        </is>
      </c>
      <c r="L69" s="28" t="inlineStr">
        <is>
          <t>Medium</t>
        </is>
      </c>
      <c r="M69" s="28" t="inlineStr">
        <is>
          <t>High</t>
        </is>
      </c>
    </row>
    <row r="70" ht="20" customHeight="1">
      <c r="A70" s="29" t="inlineStr">
        <is>
          <t>①</t>
        </is>
      </c>
      <c r="B70" s="30" t="n"/>
      <c r="C70" s="31" t="n"/>
      <c r="D70" s="31" t="n"/>
      <c r="E70" s="31" t="n"/>
      <c r="F70" s="32" t="n"/>
      <c r="G70" s="33">
        <f>IF(OR($B70="",$D70="",$E70=""),"",IF(OR($C70="Target state",$C70="Exception"),"Out of scope",IF($D70="Low","No tranche",IF($E70="Low","Tranche 1",IF($E70="Medium","Tranche 2",IF($D70="High","Tranche 3","No tranche"))))))</f>
        <v/>
      </c>
      <c r="I70" s="34" t="inlineStr">
        <is>
          <t>Benefits</t>
        </is>
      </c>
      <c r="J70" s="35" t="inlineStr">
        <is>
          <t>High</t>
        </is>
      </c>
      <c r="K70" s="36">
        <f>"Tranche 1"&amp;CHAR(10)&amp;_xlfn.TEXTJOIN(CHAR(10),TRUE,O$70:O$79)</f>
        <v/>
      </c>
      <c r="L70" s="37">
        <f>"Tranche 2"&amp;CHAR(10)&amp;_xlfn.TEXTJOIN(CHAR(10),TRUE,P$70:P$79)</f>
        <v/>
      </c>
      <c r="M70" s="38">
        <f>"Tranche 3"&amp;CHAR(10)&amp;_xlfn.TEXTJOIN(CHAR(10),TRUE,Q$70:Q$79)</f>
        <v/>
      </c>
      <c r="O70">
        <f>IF(AND($B70&lt;&gt;"",$C70&lt;&gt;"Target state",$C70&lt;&gt;"Exception",$D70="High",$E70="Low"),$A70&amp;"  "&amp;$B70,"")</f>
        <v/>
      </c>
      <c r="P70">
        <f>IF(AND($B70&lt;&gt;"",$C70&lt;&gt;"Target state",$C70&lt;&gt;"Exception",$D70="High",$E70="Medium"),$A70&amp;"  "&amp;$B70,"")</f>
        <v/>
      </c>
      <c r="Q70">
        <f>IF(AND($B70&lt;&gt;"",$C70&lt;&gt;"Target state",$C70&lt;&gt;"Exception",$D70="High",$E70="High"),$A70&amp;"  "&amp;$B70,"")</f>
        <v/>
      </c>
      <c r="R70">
        <f>IF(AND($B70&lt;&gt;"",$C70&lt;&gt;"Target state",$C70&lt;&gt;"Exception",$D70="Medium",$E70="Low"),$A70&amp;"  "&amp;$B70,"")</f>
        <v/>
      </c>
      <c r="S70">
        <f>IF(AND($B70&lt;&gt;"",$C70&lt;&gt;"Target state",$C70&lt;&gt;"Exception",$D70="Medium",$E70="Medium"),$A70&amp;"  "&amp;$B70,"")</f>
        <v/>
      </c>
      <c r="T70">
        <f>IF(AND($B70&lt;&gt;"",$C70&lt;&gt;"Target state",$C70&lt;&gt;"Exception",$D70="Medium",$E70="High"),$A70&amp;"  "&amp;$B70,"")</f>
        <v/>
      </c>
      <c r="U70">
        <f>IF(AND($B70&lt;&gt;"",$C70&lt;&gt;"Target state",$C70&lt;&gt;"Exception",$D70="Low",$E70="Low"),$A70&amp;"  "&amp;$B70,"")</f>
        <v/>
      </c>
      <c r="V70">
        <f>IF(AND($B70&lt;&gt;"",$C70&lt;&gt;"Target state",$C70&lt;&gt;"Exception",$D70="Low",$E70="Medium"),$A70&amp;"  "&amp;$B70,"")</f>
        <v/>
      </c>
      <c r="W70">
        <f>IF(AND($B70&lt;&gt;"",$C70&lt;&gt;"Target state",$C70&lt;&gt;"Exception",$D70="Low",$E70="High"),$A70&amp;"  "&amp;$B70,"")</f>
        <v/>
      </c>
    </row>
    <row r="71" ht="20" customHeight="1">
      <c r="A71" s="29" t="inlineStr">
        <is>
          <t>②</t>
        </is>
      </c>
      <c r="B71" s="30" t="n"/>
      <c r="C71" s="31" t="n"/>
      <c r="D71" s="31" t="n"/>
      <c r="E71" s="31" t="n"/>
      <c r="F71" s="32" t="n"/>
      <c r="G71" s="33">
        <f>IF(OR($B71="",$D71="",$E71=""),"",IF(OR($C71="Target state",$C71="Exception"),"Out of scope",IF($D71="Low","No tranche",IF($E71="Low","Tranche 1",IF($E71="Medium","Tranche 2",IF($D71="High","Tranche 3","No tranche"))))))</f>
        <v/>
      </c>
      <c r="K71" s="39" t="n"/>
      <c r="L71" s="39" t="n"/>
      <c r="M71" s="39" t="n"/>
      <c r="O71">
        <f>IF(AND($B71&lt;&gt;"",$C71&lt;&gt;"Target state",$C71&lt;&gt;"Exception",$D71="High",$E71="Low"),$A71&amp;"  "&amp;$B71,"")</f>
        <v/>
      </c>
      <c r="P71">
        <f>IF(AND($B71&lt;&gt;"",$C71&lt;&gt;"Target state",$C71&lt;&gt;"Exception",$D71="High",$E71="Medium"),$A71&amp;"  "&amp;$B71,"")</f>
        <v/>
      </c>
      <c r="Q71">
        <f>IF(AND($B71&lt;&gt;"",$C71&lt;&gt;"Target state",$C71&lt;&gt;"Exception",$D71="High",$E71="High"),$A71&amp;"  "&amp;$B71,"")</f>
        <v/>
      </c>
      <c r="R71">
        <f>IF(AND($B71&lt;&gt;"",$C71&lt;&gt;"Target state",$C71&lt;&gt;"Exception",$D71="Medium",$E71="Low"),$A71&amp;"  "&amp;$B71,"")</f>
        <v/>
      </c>
      <c r="S71">
        <f>IF(AND($B71&lt;&gt;"",$C71&lt;&gt;"Target state",$C71&lt;&gt;"Exception",$D71="Medium",$E71="Medium"),$A71&amp;"  "&amp;$B71,"")</f>
        <v/>
      </c>
      <c r="T71">
        <f>IF(AND($B71&lt;&gt;"",$C71&lt;&gt;"Target state",$C71&lt;&gt;"Exception",$D71="Medium",$E71="High"),$A71&amp;"  "&amp;$B71,"")</f>
        <v/>
      </c>
      <c r="U71">
        <f>IF(AND($B71&lt;&gt;"",$C71&lt;&gt;"Target state",$C71&lt;&gt;"Exception",$D71="Low",$E71="Low"),$A71&amp;"  "&amp;$B71,"")</f>
        <v/>
      </c>
      <c r="V71">
        <f>IF(AND($B71&lt;&gt;"",$C71&lt;&gt;"Target state",$C71&lt;&gt;"Exception",$D71="Low",$E71="Medium"),$A71&amp;"  "&amp;$B71,"")</f>
        <v/>
      </c>
      <c r="W71">
        <f>IF(AND($B71&lt;&gt;"",$C71&lt;&gt;"Target state",$C71&lt;&gt;"Exception",$D71="Low",$E71="High"),$A71&amp;"  "&amp;$B71,"")</f>
        <v/>
      </c>
    </row>
    <row r="72" ht="20" customHeight="1">
      <c r="A72" s="29" t="inlineStr">
        <is>
          <t>③</t>
        </is>
      </c>
      <c r="B72" s="30" t="n"/>
      <c r="C72" s="31" t="n"/>
      <c r="D72" s="31" t="n"/>
      <c r="E72" s="31" t="n"/>
      <c r="F72" s="32" t="n"/>
      <c r="G72" s="33">
        <f>IF(OR($B72="",$D72="",$E72=""),"",IF(OR($C72="Target state",$C72="Exception"),"Out of scope",IF($D72="Low","No tranche",IF($E72="Low","Tranche 1",IF($E72="Medium","Tranche 2",IF($D72="High","Tranche 3","No tranche"))))))</f>
        <v/>
      </c>
      <c r="K72" s="40" t="n"/>
      <c r="L72" s="40" t="n"/>
      <c r="M72" s="40" t="n"/>
      <c r="O72">
        <f>IF(AND($B72&lt;&gt;"",$C72&lt;&gt;"Target state",$C72&lt;&gt;"Exception",$D72="High",$E72="Low"),$A72&amp;"  "&amp;$B72,"")</f>
        <v/>
      </c>
      <c r="P72">
        <f>IF(AND($B72&lt;&gt;"",$C72&lt;&gt;"Target state",$C72&lt;&gt;"Exception",$D72="High",$E72="Medium"),$A72&amp;"  "&amp;$B72,"")</f>
        <v/>
      </c>
      <c r="Q72">
        <f>IF(AND($B72&lt;&gt;"",$C72&lt;&gt;"Target state",$C72&lt;&gt;"Exception",$D72="High",$E72="High"),$A72&amp;"  "&amp;$B72,"")</f>
        <v/>
      </c>
      <c r="R72">
        <f>IF(AND($B72&lt;&gt;"",$C72&lt;&gt;"Target state",$C72&lt;&gt;"Exception",$D72="Medium",$E72="Low"),$A72&amp;"  "&amp;$B72,"")</f>
        <v/>
      </c>
      <c r="S72">
        <f>IF(AND($B72&lt;&gt;"",$C72&lt;&gt;"Target state",$C72&lt;&gt;"Exception",$D72="Medium",$E72="Medium"),$A72&amp;"  "&amp;$B72,"")</f>
        <v/>
      </c>
      <c r="T72">
        <f>IF(AND($B72&lt;&gt;"",$C72&lt;&gt;"Target state",$C72&lt;&gt;"Exception",$D72="Medium",$E72="High"),$A72&amp;"  "&amp;$B72,"")</f>
        <v/>
      </c>
      <c r="U72">
        <f>IF(AND($B72&lt;&gt;"",$C72&lt;&gt;"Target state",$C72&lt;&gt;"Exception",$D72="Low",$E72="Low"),$A72&amp;"  "&amp;$B72,"")</f>
        <v/>
      </c>
      <c r="V72">
        <f>IF(AND($B72&lt;&gt;"",$C72&lt;&gt;"Target state",$C72&lt;&gt;"Exception",$D72="Low",$E72="Medium"),$A72&amp;"  "&amp;$B72,"")</f>
        <v/>
      </c>
      <c r="W72">
        <f>IF(AND($B72&lt;&gt;"",$C72&lt;&gt;"Target state",$C72&lt;&gt;"Exception",$D72="Low",$E72="High"),$A72&amp;"  "&amp;$B72,"")</f>
        <v/>
      </c>
    </row>
    <row r="73" ht="20" customHeight="1">
      <c r="A73" s="29" t="inlineStr">
        <is>
          <t>④</t>
        </is>
      </c>
      <c r="B73" s="30" t="n"/>
      <c r="C73" s="31" t="n"/>
      <c r="D73" s="31" t="n"/>
      <c r="E73" s="31" t="n"/>
      <c r="F73" s="32" t="n"/>
      <c r="G73" s="33">
        <f>IF(OR($B73="",$D73="",$E73=""),"",IF(OR($C73="Target state",$C73="Exception"),"Out of scope",IF($D73="Low","No tranche",IF($E73="Low","Tranche 1",IF($E73="Medium","Tranche 2",IF($D73="High","Tranche 3","No tranche"))))))</f>
        <v/>
      </c>
      <c r="J73" s="35" t="inlineStr">
        <is>
          <t>Medium</t>
        </is>
      </c>
      <c r="K73" s="36">
        <f>"Tranche 1"&amp;CHAR(10)&amp;_xlfn.TEXTJOIN(CHAR(10),TRUE,R$70:R$79)</f>
        <v/>
      </c>
      <c r="L73" s="37">
        <f>"Tranche 2"&amp;CHAR(10)&amp;_xlfn.TEXTJOIN(CHAR(10),TRUE,S$70:S$79)</f>
        <v/>
      </c>
      <c r="M73" s="41">
        <f>_xlfn.TEXTJOIN(CHAR(10),TRUE,T$70:T$79)</f>
        <v/>
      </c>
      <c r="O73">
        <f>IF(AND($B73&lt;&gt;"",$C73&lt;&gt;"Target state",$C73&lt;&gt;"Exception",$D73="High",$E73="Low"),$A73&amp;"  "&amp;$B73,"")</f>
        <v/>
      </c>
      <c r="P73">
        <f>IF(AND($B73&lt;&gt;"",$C73&lt;&gt;"Target state",$C73&lt;&gt;"Exception",$D73="High",$E73="Medium"),$A73&amp;"  "&amp;$B73,"")</f>
        <v/>
      </c>
      <c r="Q73">
        <f>IF(AND($B73&lt;&gt;"",$C73&lt;&gt;"Target state",$C73&lt;&gt;"Exception",$D73="High",$E73="High"),$A73&amp;"  "&amp;$B73,"")</f>
        <v/>
      </c>
      <c r="R73">
        <f>IF(AND($B73&lt;&gt;"",$C73&lt;&gt;"Target state",$C73&lt;&gt;"Exception",$D73="Medium",$E73="Low"),$A73&amp;"  "&amp;$B73,"")</f>
        <v/>
      </c>
      <c r="S73">
        <f>IF(AND($B73&lt;&gt;"",$C73&lt;&gt;"Target state",$C73&lt;&gt;"Exception",$D73="Medium",$E73="Medium"),$A73&amp;"  "&amp;$B73,"")</f>
        <v/>
      </c>
      <c r="T73">
        <f>IF(AND($B73&lt;&gt;"",$C73&lt;&gt;"Target state",$C73&lt;&gt;"Exception",$D73="Medium",$E73="High"),$A73&amp;"  "&amp;$B73,"")</f>
        <v/>
      </c>
      <c r="U73">
        <f>IF(AND($B73&lt;&gt;"",$C73&lt;&gt;"Target state",$C73&lt;&gt;"Exception",$D73="Low",$E73="Low"),$A73&amp;"  "&amp;$B73,"")</f>
        <v/>
      </c>
      <c r="V73">
        <f>IF(AND($B73&lt;&gt;"",$C73&lt;&gt;"Target state",$C73&lt;&gt;"Exception",$D73="Low",$E73="Medium"),$A73&amp;"  "&amp;$B73,"")</f>
        <v/>
      </c>
      <c r="W73">
        <f>IF(AND($B73&lt;&gt;"",$C73&lt;&gt;"Target state",$C73&lt;&gt;"Exception",$D73="Low",$E73="High"),$A73&amp;"  "&amp;$B73,"")</f>
        <v/>
      </c>
    </row>
    <row r="74" ht="20" customHeight="1">
      <c r="A74" s="29" t="inlineStr">
        <is>
          <t>⑤</t>
        </is>
      </c>
      <c r="B74" s="30" t="n"/>
      <c r="C74" s="31" t="n"/>
      <c r="D74" s="31" t="n"/>
      <c r="E74" s="31" t="n"/>
      <c r="F74" s="32" t="n"/>
      <c r="G74" s="33">
        <f>IF(OR($B74="",$D74="",$E74=""),"",IF(OR($C74="Target state",$C74="Exception"),"Out of scope",IF($D74="Low","No tranche",IF($E74="Low","Tranche 1",IF($E74="Medium","Tranche 2",IF($D74="High","Tranche 3","No tranche"))))))</f>
        <v/>
      </c>
      <c r="K74" s="39" t="n"/>
      <c r="L74" s="39" t="n"/>
      <c r="M74" s="39" t="n"/>
      <c r="O74">
        <f>IF(AND($B74&lt;&gt;"",$C74&lt;&gt;"Target state",$C74&lt;&gt;"Exception",$D74="High",$E74="Low"),$A74&amp;"  "&amp;$B74,"")</f>
        <v/>
      </c>
      <c r="P74">
        <f>IF(AND($B74&lt;&gt;"",$C74&lt;&gt;"Target state",$C74&lt;&gt;"Exception",$D74="High",$E74="Medium"),$A74&amp;"  "&amp;$B74,"")</f>
        <v/>
      </c>
      <c r="Q74">
        <f>IF(AND($B74&lt;&gt;"",$C74&lt;&gt;"Target state",$C74&lt;&gt;"Exception",$D74="High",$E74="High"),$A74&amp;"  "&amp;$B74,"")</f>
        <v/>
      </c>
      <c r="R74">
        <f>IF(AND($B74&lt;&gt;"",$C74&lt;&gt;"Target state",$C74&lt;&gt;"Exception",$D74="Medium",$E74="Low"),$A74&amp;"  "&amp;$B74,"")</f>
        <v/>
      </c>
      <c r="S74">
        <f>IF(AND($B74&lt;&gt;"",$C74&lt;&gt;"Target state",$C74&lt;&gt;"Exception",$D74="Medium",$E74="Medium"),$A74&amp;"  "&amp;$B74,"")</f>
        <v/>
      </c>
      <c r="T74">
        <f>IF(AND($B74&lt;&gt;"",$C74&lt;&gt;"Target state",$C74&lt;&gt;"Exception",$D74="Medium",$E74="High"),$A74&amp;"  "&amp;$B74,"")</f>
        <v/>
      </c>
      <c r="U74">
        <f>IF(AND($B74&lt;&gt;"",$C74&lt;&gt;"Target state",$C74&lt;&gt;"Exception",$D74="Low",$E74="Low"),$A74&amp;"  "&amp;$B74,"")</f>
        <v/>
      </c>
      <c r="V74">
        <f>IF(AND($B74&lt;&gt;"",$C74&lt;&gt;"Target state",$C74&lt;&gt;"Exception",$D74="Low",$E74="Medium"),$A74&amp;"  "&amp;$B74,"")</f>
        <v/>
      </c>
      <c r="W74">
        <f>IF(AND($B74&lt;&gt;"",$C74&lt;&gt;"Target state",$C74&lt;&gt;"Exception",$D74="Low",$E74="High"),$A74&amp;"  "&amp;$B74,"")</f>
        <v/>
      </c>
    </row>
    <row r="75" ht="20" customHeight="1">
      <c r="A75" s="29" t="inlineStr">
        <is>
          <t>⑥</t>
        </is>
      </c>
      <c r="B75" s="30" t="n"/>
      <c r="C75" s="31" t="n"/>
      <c r="D75" s="31" t="n"/>
      <c r="E75" s="31" t="n"/>
      <c r="F75" s="32" t="n"/>
      <c r="G75" s="33">
        <f>IF(OR($B75="",$D75="",$E75=""),"",IF(OR($C75="Target state",$C75="Exception"),"Out of scope",IF($D75="Low","No tranche",IF($E75="Low","Tranche 1",IF($E75="Medium","Tranche 2",IF($D75="High","Tranche 3","No tranche"))))))</f>
        <v/>
      </c>
      <c r="K75" s="40" t="n"/>
      <c r="L75" s="40" t="n"/>
      <c r="M75" s="40" t="n"/>
      <c r="O75">
        <f>IF(AND($B75&lt;&gt;"",$C75&lt;&gt;"Target state",$C75&lt;&gt;"Exception",$D75="High",$E75="Low"),$A75&amp;"  "&amp;$B75,"")</f>
        <v/>
      </c>
      <c r="P75">
        <f>IF(AND($B75&lt;&gt;"",$C75&lt;&gt;"Target state",$C75&lt;&gt;"Exception",$D75="High",$E75="Medium"),$A75&amp;"  "&amp;$B75,"")</f>
        <v/>
      </c>
      <c r="Q75">
        <f>IF(AND($B75&lt;&gt;"",$C75&lt;&gt;"Target state",$C75&lt;&gt;"Exception",$D75="High",$E75="High"),$A75&amp;"  "&amp;$B75,"")</f>
        <v/>
      </c>
      <c r="R75">
        <f>IF(AND($B75&lt;&gt;"",$C75&lt;&gt;"Target state",$C75&lt;&gt;"Exception",$D75="Medium",$E75="Low"),$A75&amp;"  "&amp;$B75,"")</f>
        <v/>
      </c>
      <c r="S75">
        <f>IF(AND($B75&lt;&gt;"",$C75&lt;&gt;"Target state",$C75&lt;&gt;"Exception",$D75="Medium",$E75="Medium"),$A75&amp;"  "&amp;$B75,"")</f>
        <v/>
      </c>
      <c r="T75">
        <f>IF(AND($B75&lt;&gt;"",$C75&lt;&gt;"Target state",$C75&lt;&gt;"Exception",$D75="Medium",$E75="High"),$A75&amp;"  "&amp;$B75,"")</f>
        <v/>
      </c>
      <c r="U75">
        <f>IF(AND($B75&lt;&gt;"",$C75&lt;&gt;"Target state",$C75&lt;&gt;"Exception",$D75="Low",$E75="Low"),$A75&amp;"  "&amp;$B75,"")</f>
        <v/>
      </c>
      <c r="V75">
        <f>IF(AND($B75&lt;&gt;"",$C75&lt;&gt;"Target state",$C75&lt;&gt;"Exception",$D75="Low",$E75="Medium"),$A75&amp;"  "&amp;$B75,"")</f>
        <v/>
      </c>
      <c r="W75">
        <f>IF(AND($B75&lt;&gt;"",$C75&lt;&gt;"Target state",$C75&lt;&gt;"Exception",$D75="Low",$E75="High"),$A75&amp;"  "&amp;$B75,"")</f>
        <v/>
      </c>
    </row>
    <row r="76" ht="20" customHeight="1">
      <c r="A76" s="29" t="inlineStr">
        <is>
          <t>⑦</t>
        </is>
      </c>
      <c r="B76" s="30" t="n"/>
      <c r="C76" s="31" t="n"/>
      <c r="D76" s="31" t="n"/>
      <c r="E76" s="31" t="n"/>
      <c r="F76" s="32" t="n"/>
      <c r="G76" s="33">
        <f>IF(OR($B76="",$D76="",$E76=""),"",IF(OR($C76="Target state",$C76="Exception"),"Out of scope",IF($D76="Low","No tranche",IF($E76="Low","Tranche 1",IF($E76="Medium","Tranche 2",IF($D76="High","Tranche 3","No tranche"))))))</f>
        <v/>
      </c>
      <c r="J76" s="35" t="inlineStr">
        <is>
          <t>Low</t>
        </is>
      </c>
      <c r="K76" s="41">
        <f>_xlfn.TEXTJOIN(CHAR(10),TRUE,U$70:U$79)</f>
        <v/>
      </c>
      <c r="L76" s="41">
        <f>_xlfn.TEXTJOIN(CHAR(10),TRUE,V$70:V$79)</f>
        <v/>
      </c>
      <c r="M76" s="41">
        <f>_xlfn.TEXTJOIN(CHAR(10),TRUE,W$70:W$79)</f>
        <v/>
      </c>
      <c r="O76">
        <f>IF(AND($B76&lt;&gt;"",$C76&lt;&gt;"Target state",$C76&lt;&gt;"Exception",$D76="High",$E76="Low"),$A76&amp;"  "&amp;$B76,"")</f>
        <v/>
      </c>
      <c r="P76">
        <f>IF(AND($B76&lt;&gt;"",$C76&lt;&gt;"Target state",$C76&lt;&gt;"Exception",$D76="High",$E76="Medium"),$A76&amp;"  "&amp;$B76,"")</f>
        <v/>
      </c>
      <c r="Q76">
        <f>IF(AND($B76&lt;&gt;"",$C76&lt;&gt;"Target state",$C76&lt;&gt;"Exception",$D76="High",$E76="High"),$A76&amp;"  "&amp;$B76,"")</f>
        <v/>
      </c>
      <c r="R76">
        <f>IF(AND($B76&lt;&gt;"",$C76&lt;&gt;"Target state",$C76&lt;&gt;"Exception",$D76="Medium",$E76="Low"),$A76&amp;"  "&amp;$B76,"")</f>
        <v/>
      </c>
      <c r="S76">
        <f>IF(AND($B76&lt;&gt;"",$C76&lt;&gt;"Target state",$C76&lt;&gt;"Exception",$D76="Medium",$E76="Medium"),$A76&amp;"  "&amp;$B76,"")</f>
        <v/>
      </c>
      <c r="T76">
        <f>IF(AND($B76&lt;&gt;"",$C76&lt;&gt;"Target state",$C76&lt;&gt;"Exception",$D76="Medium",$E76="High"),$A76&amp;"  "&amp;$B76,"")</f>
        <v/>
      </c>
      <c r="U76">
        <f>IF(AND($B76&lt;&gt;"",$C76&lt;&gt;"Target state",$C76&lt;&gt;"Exception",$D76="Low",$E76="Low"),$A76&amp;"  "&amp;$B76,"")</f>
        <v/>
      </c>
      <c r="V76">
        <f>IF(AND($B76&lt;&gt;"",$C76&lt;&gt;"Target state",$C76&lt;&gt;"Exception",$D76="Low",$E76="Medium"),$A76&amp;"  "&amp;$B76,"")</f>
        <v/>
      </c>
      <c r="W76">
        <f>IF(AND($B76&lt;&gt;"",$C76&lt;&gt;"Target state",$C76&lt;&gt;"Exception",$D76="Low",$E76="High"),$A76&amp;"  "&amp;$B76,"")</f>
        <v/>
      </c>
    </row>
    <row r="77" ht="20" customHeight="1">
      <c r="A77" s="29" t="inlineStr">
        <is>
          <t>⑧</t>
        </is>
      </c>
      <c r="B77" s="30" t="n"/>
      <c r="C77" s="31" t="n"/>
      <c r="D77" s="31" t="n"/>
      <c r="E77" s="31" t="n"/>
      <c r="F77" s="32" t="n"/>
      <c r="G77" s="33">
        <f>IF(OR($B77="",$D77="",$E77=""),"",IF(OR($C77="Target state",$C77="Exception"),"Out of scope",IF($D77="Low","No tranche",IF($E77="Low","Tranche 1",IF($E77="Medium","Tranche 2",IF($D77="High","Tranche 3","No tranche"))))))</f>
        <v/>
      </c>
      <c r="K77" s="39" t="n"/>
      <c r="L77" s="39" t="n"/>
      <c r="M77" s="39" t="n"/>
      <c r="O77">
        <f>IF(AND($B77&lt;&gt;"",$C77&lt;&gt;"Target state",$C77&lt;&gt;"Exception",$D77="High",$E77="Low"),$A77&amp;"  "&amp;$B77,"")</f>
        <v/>
      </c>
      <c r="P77">
        <f>IF(AND($B77&lt;&gt;"",$C77&lt;&gt;"Target state",$C77&lt;&gt;"Exception",$D77="High",$E77="Medium"),$A77&amp;"  "&amp;$B77,"")</f>
        <v/>
      </c>
      <c r="Q77">
        <f>IF(AND($B77&lt;&gt;"",$C77&lt;&gt;"Target state",$C77&lt;&gt;"Exception",$D77="High",$E77="High"),$A77&amp;"  "&amp;$B77,"")</f>
        <v/>
      </c>
      <c r="R77">
        <f>IF(AND($B77&lt;&gt;"",$C77&lt;&gt;"Target state",$C77&lt;&gt;"Exception",$D77="Medium",$E77="Low"),$A77&amp;"  "&amp;$B77,"")</f>
        <v/>
      </c>
      <c r="S77">
        <f>IF(AND($B77&lt;&gt;"",$C77&lt;&gt;"Target state",$C77&lt;&gt;"Exception",$D77="Medium",$E77="Medium"),$A77&amp;"  "&amp;$B77,"")</f>
        <v/>
      </c>
      <c r="T77">
        <f>IF(AND($B77&lt;&gt;"",$C77&lt;&gt;"Target state",$C77&lt;&gt;"Exception",$D77="Medium",$E77="High"),$A77&amp;"  "&amp;$B77,"")</f>
        <v/>
      </c>
      <c r="U77">
        <f>IF(AND($B77&lt;&gt;"",$C77&lt;&gt;"Target state",$C77&lt;&gt;"Exception",$D77="Low",$E77="Low"),$A77&amp;"  "&amp;$B77,"")</f>
        <v/>
      </c>
      <c r="V77">
        <f>IF(AND($B77&lt;&gt;"",$C77&lt;&gt;"Target state",$C77&lt;&gt;"Exception",$D77="Low",$E77="Medium"),$A77&amp;"  "&amp;$B77,"")</f>
        <v/>
      </c>
      <c r="W77">
        <f>IF(AND($B77&lt;&gt;"",$C77&lt;&gt;"Target state",$C77&lt;&gt;"Exception",$D77="Low",$E77="High"),$A77&amp;"  "&amp;$B77,"")</f>
        <v/>
      </c>
    </row>
    <row r="78" ht="20" customHeight="1">
      <c r="A78" s="29" t="inlineStr">
        <is>
          <t>⑨</t>
        </is>
      </c>
      <c r="B78" s="30" t="n"/>
      <c r="C78" s="31" t="n"/>
      <c r="D78" s="31" t="n"/>
      <c r="E78" s="31" t="n"/>
      <c r="F78" s="32" t="n"/>
      <c r="G78" s="33">
        <f>IF(OR($B78="",$D78="",$E78=""),"",IF(OR($C78="Target state",$C78="Exception"),"Out of scope",IF($D78="Low","No tranche",IF($E78="Low","Tranche 1",IF($E78="Medium","Tranche 2",IF($D78="High","Tranche 3","No tranche"))))))</f>
        <v/>
      </c>
      <c r="K78" s="40" t="n"/>
      <c r="L78" s="40" t="n"/>
      <c r="M78" s="40" t="n"/>
      <c r="O78">
        <f>IF(AND($B78&lt;&gt;"",$C78&lt;&gt;"Target state",$C78&lt;&gt;"Exception",$D78="High",$E78="Low"),$A78&amp;"  "&amp;$B78,"")</f>
        <v/>
      </c>
      <c r="P78">
        <f>IF(AND($B78&lt;&gt;"",$C78&lt;&gt;"Target state",$C78&lt;&gt;"Exception",$D78="High",$E78="Medium"),$A78&amp;"  "&amp;$B78,"")</f>
        <v/>
      </c>
      <c r="Q78">
        <f>IF(AND($B78&lt;&gt;"",$C78&lt;&gt;"Target state",$C78&lt;&gt;"Exception",$D78="High",$E78="High"),$A78&amp;"  "&amp;$B78,"")</f>
        <v/>
      </c>
      <c r="R78">
        <f>IF(AND($B78&lt;&gt;"",$C78&lt;&gt;"Target state",$C78&lt;&gt;"Exception",$D78="Medium",$E78="Low"),$A78&amp;"  "&amp;$B78,"")</f>
        <v/>
      </c>
      <c r="S78">
        <f>IF(AND($B78&lt;&gt;"",$C78&lt;&gt;"Target state",$C78&lt;&gt;"Exception",$D78="Medium",$E78="Medium"),$A78&amp;"  "&amp;$B78,"")</f>
        <v/>
      </c>
      <c r="T78">
        <f>IF(AND($B78&lt;&gt;"",$C78&lt;&gt;"Target state",$C78&lt;&gt;"Exception",$D78="Medium",$E78="High"),$A78&amp;"  "&amp;$B78,"")</f>
        <v/>
      </c>
      <c r="U78">
        <f>IF(AND($B78&lt;&gt;"",$C78&lt;&gt;"Target state",$C78&lt;&gt;"Exception",$D78="Low",$E78="Low"),$A78&amp;"  "&amp;$B78,"")</f>
        <v/>
      </c>
      <c r="V78">
        <f>IF(AND($B78&lt;&gt;"",$C78&lt;&gt;"Target state",$C78&lt;&gt;"Exception",$D78="Low",$E78="Medium"),$A78&amp;"  "&amp;$B78,"")</f>
        <v/>
      </c>
      <c r="W78">
        <f>IF(AND($B78&lt;&gt;"",$C78&lt;&gt;"Target state",$C78&lt;&gt;"Exception",$D78="Low",$E78="High"),$A78&amp;"  "&amp;$B78,"")</f>
        <v/>
      </c>
    </row>
    <row r="79" ht="20" customHeight="1">
      <c r="A79" s="29" t="inlineStr">
        <is>
          <t>⑩</t>
        </is>
      </c>
      <c r="B79" s="30" t="n"/>
      <c r="C79" s="31" t="n"/>
      <c r="D79" s="31" t="n"/>
      <c r="E79" s="31" t="n"/>
      <c r="F79" s="32" t="n"/>
      <c r="G79" s="33">
        <f>IF(OR($B79="",$D79="",$E79=""),"",IF(OR($C79="Target state",$C79="Exception"),"Out of scope",IF($D79="Low","No tranche",IF($E79="Low","Tranche 1",IF($E79="Medium","Tranche 2",IF($D79="High","Tranche 3","No tranche"))))))</f>
        <v/>
      </c>
      <c r="K79" s="35" t="inlineStr">
        <is>
          <t>Complexity</t>
        </is>
      </c>
      <c r="O79">
        <f>IF(AND($B79&lt;&gt;"",$C79&lt;&gt;"Target state",$C79&lt;&gt;"Exception",$D79="High",$E79="Low"),$A79&amp;"  "&amp;$B79,"")</f>
        <v/>
      </c>
      <c r="P79">
        <f>IF(AND($B79&lt;&gt;"",$C79&lt;&gt;"Target state",$C79&lt;&gt;"Exception",$D79="High",$E79="Medium"),$A79&amp;"  "&amp;$B79,"")</f>
        <v/>
      </c>
      <c r="Q79">
        <f>IF(AND($B79&lt;&gt;"",$C79&lt;&gt;"Target state",$C79&lt;&gt;"Exception",$D79="High",$E79="High"),$A79&amp;"  "&amp;$B79,"")</f>
        <v/>
      </c>
      <c r="R79">
        <f>IF(AND($B79&lt;&gt;"",$C79&lt;&gt;"Target state",$C79&lt;&gt;"Exception",$D79="Medium",$E79="Low"),$A79&amp;"  "&amp;$B79,"")</f>
        <v/>
      </c>
      <c r="S79">
        <f>IF(AND($B79&lt;&gt;"",$C79&lt;&gt;"Target state",$C79&lt;&gt;"Exception",$D79="Medium",$E79="Medium"),$A79&amp;"  "&amp;$B79,"")</f>
        <v/>
      </c>
      <c r="T79">
        <f>IF(AND($B79&lt;&gt;"",$C79&lt;&gt;"Target state",$C79&lt;&gt;"Exception",$D79="Medium",$E79="High"),$A79&amp;"  "&amp;$B79,"")</f>
        <v/>
      </c>
      <c r="U79">
        <f>IF(AND($B79&lt;&gt;"",$C79&lt;&gt;"Target state",$C79&lt;&gt;"Exception",$D79="Low",$E79="Low"),$A79&amp;"  "&amp;$B79,"")</f>
        <v/>
      </c>
      <c r="V79">
        <f>IF(AND($B79&lt;&gt;"",$C79&lt;&gt;"Target state",$C79&lt;&gt;"Exception",$D79="Low",$E79="Medium"),$A79&amp;"  "&amp;$B79,"")</f>
        <v/>
      </c>
      <c r="W79">
        <f>IF(AND($B79&lt;&gt;"",$C79&lt;&gt;"Target state",$C79&lt;&gt;"Exception",$D79="Low",$E79="High"),$A79&amp;"  "&amp;$B79,"")</f>
        <v/>
      </c>
    </row>
    <row r="82" ht="22" customHeight="1">
      <c r="A82" s="24" t="inlineStr">
        <is>
          <t>APMs/LPMs</t>
        </is>
      </c>
      <c r="G82" s="25">
        <f>HYPERLINK("#'Payment Processing'!A4","▲ tracker")</f>
        <v/>
      </c>
      <c r="K82" s="26" t="inlineStr">
        <is>
          <t>Assessment Outcome</t>
        </is>
      </c>
    </row>
    <row r="83" ht="18" customHeight="1">
      <c r="A83" s="27" t="inlineStr">
        <is>
          <t>#</t>
        </is>
      </c>
      <c r="B83" s="27" t="inlineStr">
        <is>
          <t>Platform</t>
        </is>
      </c>
      <c r="C83" s="27" t="inlineStr">
        <is>
          <t>State</t>
        </is>
      </c>
      <c r="D83" s="27" t="inlineStr">
        <is>
          <t>Imperative to exit</t>
        </is>
      </c>
      <c r="E83" s="27" t="inlineStr">
        <is>
          <t>Exit complexity</t>
        </is>
      </c>
      <c r="F83" s="27" t="inlineStr">
        <is>
          <t>Supporting facts</t>
        </is>
      </c>
      <c r="G83" s="27" t="inlineStr">
        <is>
          <t>Tranche (auto)</t>
        </is>
      </c>
      <c r="K83" s="28" t="inlineStr">
        <is>
          <t>Low</t>
        </is>
      </c>
      <c r="L83" s="28" t="inlineStr">
        <is>
          <t>Medium</t>
        </is>
      </c>
      <c r="M83" s="28" t="inlineStr">
        <is>
          <t>High</t>
        </is>
      </c>
    </row>
    <row r="84" ht="20" customHeight="1">
      <c r="A84" s="29" t="inlineStr">
        <is>
          <t>①</t>
        </is>
      </c>
      <c r="B84" s="30" t="n"/>
      <c r="C84" s="31" t="n"/>
      <c r="D84" s="31" t="n"/>
      <c r="E84" s="31" t="n"/>
      <c r="F84" s="32" t="n"/>
      <c r="G84" s="33">
        <f>IF(OR($B84="",$D84="",$E84=""),"",IF(OR($C84="Target state",$C84="Exception"),"Out of scope",IF($D84="Low","No tranche",IF($E84="Low","Tranche 1",IF($E84="Medium","Tranche 2",IF($D84="High","Tranche 3","No tranche"))))))</f>
        <v/>
      </c>
      <c r="I84" s="34" t="inlineStr">
        <is>
          <t>Benefits</t>
        </is>
      </c>
      <c r="J84" s="35" t="inlineStr">
        <is>
          <t>High</t>
        </is>
      </c>
      <c r="K84" s="36">
        <f>"Tranche 1"&amp;CHAR(10)&amp;_xlfn.TEXTJOIN(CHAR(10),TRUE,O$84:O$93)</f>
        <v/>
      </c>
      <c r="L84" s="37">
        <f>"Tranche 2"&amp;CHAR(10)&amp;_xlfn.TEXTJOIN(CHAR(10),TRUE,P$84:P$93)</f>
        <v/>
      </c>
      <c r="M84" s="38">
        <f>"Tranche 3"&amp;CHAR(10)&amp;_xlfn.TEXTJOIN(CHAR(10),TRUE,Q$84:Q$93)</f>
        <v/>
      </c>
      <c r="O84">
        <f>IF(AND($B84&lt;&gt;"",$C84&lt;&gt;"Target state",$C84&lt;&gt;"Exception",$D84="High",$E84="Low"),$A84&amp;"  "&amp;$B84,"")</f>
        <v/>
      </c>
      <c r="P84">
        <f>IF(AND($B84&lt;&gt;"",$C84&lt;&gt;"Target state",$C84&lt;&gt;"Exception",$D84="High",$E84="Medium"),$A84&amp;"  "&amp;$B84,"")</f>
        <v/>
      </c>
      <c r="Q84">
        <f>IF(AND($B84&lt;&gt;"",$C84&lt;&gt;"Target state",$C84&lt;&gt;"Exception",$D84="High",$E84="High"),$A84&amp;"  "&amp;$B84,"")</f>
        <v/>
      </c>
      <c r="R84">
        <f>IF(AND($B84&lt;&gt;"",$C84&lt;&gt;"Target state",$C84&lt;&gt;"Exception",$D84="Medium",$E84="Low"),$A84&amp;"  "&amp;$B84,"")</f>
        <v/>
      </c>
      <c r="S84">
        <f>IF(AND($B84&lt;&gt;"",$C84&lt;&gt;"Target state",$C84&lt;&gt;"Exception",$D84="Medium",$E84="Medium"),$A84&amp;"  "&amp;$B84,"")</f>
        <v/>
      </c>
      <c r="T84">
        <f>IF(AND($B84&lt;&gt;"",$C84&lt;&gt;"Target state",$C84&lt;&gt;"Exception",$D84="Medium",$E84="High"),$A84&amp;"  "&amp;$B84,"")</f>
        <v/>
      </c>
      <c r="U84">
        <f>IF(AND($B84&lt;&gt;"",$C84&lt;&gt;"Target state",$C84&lt;&gt;"Exception",$D84="Low",$E84="Low"),$A84&amp;"  "&amp;$B84,"")</f>
        <v/>
      </c>
      <c r="V84">
        <f>IF(AND($B84&lt;&gt;"",$C84&lt;&gt;"Target state",$C84&lt;&gt;"Exception",$D84="Low",$E84="Medium"),$A84&amp;"  "&amp;$B84,"")</f>
        <v/>
      </c>
      <c r="W84">
        <f>IF(AND($B84&lt;&gt;"",$C84&lt;&gt;"Target state",$C84&lt;&gt;"Exception",$D84="Low",$E84="High"),$A84&amp;"  "&amp;$B84,"")</f>
        <v/>
      </c>
    </row>
    <row r="85" ht="20" customHeight="1">
      <c r="A85" s="29" t="inlineStr">
        <is>
          <t>②</t>
        </is>
      </c>
      <c r="B85" s="30" t="n"/>
      <c r="C85" s="31" t="n"/>
      <c r="D85" s="31" t="n"/>
      <c r="E85" s="31" t="n"/>
      <c r="F85" s="32" t="n"/>
      <c r="G85" s="33">
        <f>IF(OR($B85="",$D85="",$E85=""),"",IF(OR($C85="Target state",$C85="Exception"),"Out of scope",IF($D85="Low","No tranche",IF($E85="Low","Tranche 1",IF($E85="Medium","Tranche 2",IF($D85="High","Tranche 3","No tranche"))))))</f>
        <v/>
      </c>
      <c r="K85" s="39" t="n"/>
      <c r="L85" s="39" t="n"/>
      <c r="M85" s="39" t="n"/>
      <c r="O85">
        <f>IF(AND($B85&lt;&gt;"",$C85&lt;&gt;"Target state",$C85&lt;&gt;"Exception",$D85="High",$E85="Low"),$A85&amp;"  "&amp;$B85,"")</f>
        <v/>
      </c>
      <c r="P85">
        <f>IF(AND($B85&lt;&gt;"",$C85&lt;&gt;"Target state",$C85&lt;&gt;"Exception",$D85="High",$E85="Medium"),$A85&amp;"  "&amp;$B85,"")</f>
        <v/>
      </c>
      <c r="Q85">
        <f>IF(AND($B85&lt;&gt;"",$C85&lt;&gt;"Target state",$C85&lt;&gt;"Exception",$D85="High",$E85="High"),$A85&amp;"  "&amp;$B85,"")</f>
        <v/>
      </c>
      <c r="R85">
        <f>IF(AND($B85&lt;&gt;"",$C85&lt;&gt;"Target state",$C85&lt;&gt;"Exception",$D85="Medium",$E85="Low"),$A85&amp;"  "&amp;$B85,"")</f>
        <v/>
      </c>
      <c r="S85">
        <f>IF(AND($B85&lt;&gt;"",$C85&lt;&gt;"Target state",$C85&lt;&gt;"Exception",$D85="Medium",$E85="Medium"),$A85&amp;"  "&amp;$B85,"")</f>
        <v/>
      </c>
      <c r="T85">
        <f>IF(AND($B85&lt;&gt;"",$C85&lt;&gt;"Target state",$C85&lt;&gt;"Exception",$D85="Medium",$E85="High"),$A85&amp;"  "&amp;$B85,"")</f>
        <v/>
      </c>
      <c r="U85">
        <f>IF(AND($B85&lt;&gt;"",$C85&lt;&gt;"Target state",$C85&lt;&gt;"Exception",$D85="Low",$E85="Low"),$A85&amp;"  "&amp;$B85,"")</f>
        <v/>
      </c>
      <c r="V85">
        <f>IF(AND($B85&lt;&gt;"",$C85&lt;&gt;"Target state",$C85&lt;&gt;"Exception",$D85="Low",$E85="Medium"),$A85&amp;"  "&amp;$B85,"")</f>
        <v/>
      </c>
      <c r="W85">
        <f>IF(AND($B85&lt;&gt;"",$C85&lt;&gt;"Target state",$C85&lt;&gt;"Exception",$D85="Low",$E85="High"),$A85&amp;"  "&amp;$B85,"")</f>
        <v/>
      </c>
    </row>
    <row r="86" ht="20" customHeight="1">
      <c r="A86" s="29" t="inlineStr">
        <is>
          <t>③</t>
        </is>
      </c>
      <c r="B86" s="30" t="n"/>
      <c r="C86" s="31" t="n"/>
      <c r="D86" s="31" t="n"/>
      <c r="E86" s="31" t="n"/>
      <c r="F86" s="32" t="n"/>
      <c r="G86" s="33">
        <f>IF(OR($B86="",$D86="",$E86=""),"",IF(OR($C86="Target state",$C86="Exception"),"Out of scope",IF($D86="Low","No tranche",IF($E86="Low","Tranche 1",IF($E86="Medium","Tranche 2",IF($D86="High","Tranche 3","No tranche"))))))</f>
        <v/>
      </c>
      <c r="K86" s="40" t="n"/>
      <c r="L86" s="40" t="n"/>
      <c r="M86" s="40" t="n"/>
      <c r="O86">
        <f>IF(AND($B86&lt;&gt;"",$C86&lt;&gt;"Target state",$C86&lt;&gt;"Exception",$D86="High",$E86="Low"),$A86&amp;"  "&amp;$B86,"")</f>
        <v/>
      </c>
      <c r="P86">
        <f>IF(AND($B86&lt;&gt;"",$C86&lt;&gt;"Target state",$C86&lt;&gt;"Exception",$D86="High",$E86="Medium"),$A86&amp;"  "&amp;$B86,"")</f>
        <v/>
      </c>
      <c r="Q86">
        <f>IF(AND($B86&lt;&gt;"",$C86&lt;&gt;"Target state",$C86&lt;&gt;"Exception",$D86="High",$E86="High"),$A86&amp;"  "&amp;$B86,"")</f>
        <v/>
      </c>
      <c r="R86">
        <f>IF(AND($B86&lt;&gt;"",$C86&lt;&gt;"Target state",$C86&lt;&gt;"Exception",$D86="Medium",$E86="Low"),$A86&amp;"  "&amp;$B86,"")</f>
        <v/>
      </c>
      <c r="S86">
        <f>IF(AND($B86&lt;&gt;"",$C86&lt;&gt;"Target state",$C86&lt;&gt;"Exception",$D86="Medium",$E86="Medium"),$A86&amp;"  "&amp;$B86,"")</f>
        <v/>
      </c>
      <c r="T86">
        <f>IF(AND($B86&lt;&gt;"",$C86&lt;&gt;"Target state",$C86&lt;&gt;"Exception",$D86="Medium",$E86="High"),$A86&amp;"  "&amp;$B86,"")</f>
        <v/>
      </c>
      <c r="U86">
        <f>IF(AND($B86&lt;&gt;"",$C86&lt;&gt;"Target state",$C86&lt;&gt;"Exception",$D86="Low",$E86="Low"),$A86&amp;"  "&amp;$B86,"")</f>
        <v/>
      </c>
      <c r="V86">
        <f>IF(AND($B86&lt;&gt;"",$C86&lt;&gt;"Target state",$C86&lt;&gt;"Exception",$D86="Low",$E86="Medium"),$A86&amp;"  "&amp;$B86,"")</f>
        <v/>
      </c>
      <c r="W86">
        <f>IF(AND($B86&lt;&gt;"",$C86&lt;&gt;"Target state",$C86&lt;&gt;"Exception",$D86="Low",$E86="High"),$A86&amp;"  "&amp;$B86,"")</f>
        <v/>
      </c>
    </row>
    <row r="87" ht="20" customHeight="1">
      <c r="A87" s="29" t="inlineStr">
        <is>
          <t>④</t>
        </is>
      </c>
      <c r="B87" s="30" t="n"/>
      <c r="C87" s="31" t="n"/>
      <c r="D87" s="31" t="n"/>
      <c r="E87" s="31" t="n"/>
      <c r="F87" s="32" t="n"/>
      <c r="G87" s="33">
        <f>IF(OR($B87="",$D87="",$E87=""),"",IF(OR($C87="Target state",$C87="Exception"),"Out of scope",IF($D87="Low","No tranche",IF($E87="Low","Tranche 1",IF($E87="Medium","Tranche 2",IF($D87="High","Tranche 3","No tranche"))))))</f>
        <v/>
      </c>
      <c r="J87" s="35" t="inlineStr">
        <is>
          <t>Medium</t>
        </is>
      </c>
      <c r="K87" s="36">
        <f>"Tranche 1"&amp;CHAR(10)&amp;_xlfn.TEXTJOIN(CHAR(10),TRUE,R$84:R$93)</f>
        <v/>
      </c>
      <c r="L87" s="37">
        <f>"Tranche 2"&amp;CHAR(10)&amp;_xlfn.TEXTJOIN(CHAR(10),TRUE,S$84:S$93)</f>
        <v/>
      </c>
      <c r="M87" s="41">
        <f>_xlfn.TEXTJOIN(CHAR(10),TRUE,T$84:T$93)</f>
        <v/>
      </c>
      <c r="O87">
        <f>IF(AND($B87&lt;&gt;"",$C87&lt;&gt;"Target state",$C87&lt;&gt;"Exception",$D87="High",$E87="Low"),$A87&amp;"  "&amp;$B87,"")</f>
        <v/>
      </c>
      <c r="P87">
        <f>IF(AND($B87&lt;&gt;"",$C87&lt;&gt;"Target state",$C87&lt;&gt;"Exception",$D87="High",$E87="Medium"),$A87&amp;"  "&amp;$B87,"")</f>
        <v/>
      </c>
      <c r="Q87">
        <f>IF(AND($B87&lt;&gt;"",$C87&lt;&gt;"Target state",$C87&lt;&gt;"Exception",$D87="High",$E87="High"),$A87&amp;"  "&amp;$B87,"")</f>
        <v/>
      </c>
      <c r="R87">
        <f>IF(AND($B87&lt;&gt;"",$C87&lt;&gt;"Target state",$C87&lt;&gt;"Exception",$D87="Medium",$E87="Low"),$A87&amp;"  "&amp;$B87,"")</f>
        <v/>
      </c>
      <c r="S87">
        <f>IF(AND($B87&lt;&gt;"",$C87&lt;&gt;"Target state",$C87&lt;&gt;"Exception",$D87="Medium",$E87="Medium"),$A87&amp;"  "&amp;$B87,"")</f>
        <v/>
      </c>
      <c r="T87">
        <f>IF(AND($B87&lt;&gt;"",$C87&lt;&gt;"Target state",$C87&lt;&gt;"Exception",$D87="Medium",$E87="High"),$A87&amp;"  "&amp;$B87,"")</f>
        <v/>
      </c>
      <c r="U87">
        <f>IF(AND($B87&lt;&gt;"",$C87&lt;&gt;"Target state",$C87&lt;&gt;"Exception",$D87="Low",$E87="Low"),$A87&amp;"  "&amp;$B87,"")</f>
        <v/>
      </c>
      <c r="V87">
        <f>IF(AND($B87&lt;&gt;"",$C87&lt;&gt;"Target state",$C87&lt;&gt;"Exception",$D87="Low",$E87="Medium"),$A87&amp;"  "&amp;$B87,"")</f>
        <v/>
      </c>
      <c r="W87">
        <f>IF(AND($B87&lt;&gt;"",$C87&lt;&gt;"Target state",$C87&lt;&gt;"Exception",$D87="Low",$E87="High"),$A87&amp;"  "&amp;$B87,"")</f>
        <v/>
      </c>
    </row>
    <row r="88" ht="20" customHeight="1">
      <c r="A88" s="29" t="inlineStr">
        <is>
          <t>⑤</t>
        </is>
      </c>
      <c r="B88" s="30" t="n"/>
      <c r="C88" s="31" t="n"/>
      <c r="D88" s="31" t="n"/>
      <c r="E88" s="31" t="n"/>
      <c r="F88" s="32" t="n"/>
      <c r="G88" s="33">
        <f>IF(OR($B88="",$D88="",$E88=""),"",IF(OR($C88="Target state",$C88="Exception"),"Out of scope",IF($D88="Low","No tranche",IF($E88="Low","Tranche 1",IF($E88="Medium","Tranche 2",IF($D88="High","Tranche 3","No tranche"))))))</f>
        <v/>
      </c>
      <c r="K88" s="39" t="n"/>
      <c r="L88" s="39" t="n"/>
      <c r="M88" s="39" t="n"/>
      <c r="O88">
        <f>IF(AND($B88&lt;&gt;"",$C88&lt;&gt;"Target state",$C88&lt;&gt;"Exception",$D88="High",$E88="Low"),$A88&amp;"  "&amp;$B88,"")</f>
        <v/>
      </c>
      <c r="P88">
        <f>IF(AND($B88&lt;&gt;"",$C88&lt;&gt;"Target state",$C88&lt;&gt;"Exception",$D88="High",$E88="Medium"),$A88&amp;"  "&amp;$B88,"")</f>
        <v/>
      </c>
      <c r="Q88">
        <f>IF(AND($B88&lt;&gt;"",$C88&lt;&gt;"Target state",$C88&lt;&gt;"Exception",$D88="High",$E88="High"),$A88&amp;"  "&amp;$B88,"")</f>
        <v/>
      </c>
      <c r="R88">
        <f>IF(AND($B88&lt;&gt;"",$C88&lt;&gt;"Target state",$C88&lt;&gt;"Exception",$D88="Medium",$E88="Low"),$A88&amp;"  "&amp;$B88,"")</f>
        <v/>
      </c>
      <c r="S88">
        <f>IF(AND($B88&lt;&gt;"",$C88&lt;&gt;"Target state",$C88&lt;&gt;"Exception",$D88="Medium",$E88="Medium"),$A88&amp;"  "&amp;$B88,"")</f>
        <v/>
      </c>
      <c r="T88">
        <f>IF(AND($B88&lt;&gt;"",$C88&lt;&gt;"Target state",$C88&lt;&gt;"Exception",$D88="Medium",$E88="High"),$A88&amp;"  "&amp;$B88,"")</f>
        <v/>
      </c>
      <c r="U88">
        <f>IF(AND($B88&lt;&gt;"",$C88&lt;&gt;"Target state",$C88&lt;&gt;"Exception",$D88="Low",$E88="Low"),$A88&amp;"  "&amp;$B88,"")</f>
        <v/>
      </c>
      <c r="V88">
        <f>IF(AND($B88&lt;&gt;"",$C88&lt;&gt;"Target state",$C88&lt;&gt;"Exception",$D88="Low",$E88="Medium"),$A88&amp;"  "&amp;$B88,"")</f>
        <v/>
      </c>
      <c r="W88">
        <f>IF(AND($B88&lt;&gt;"",$C88&lt;&gt;"Target state",$C88&lt;&gt;"Exception",$D88="Low",$E88="High"),$A88&amp;"  "&amp;$B88,"")</f>
        <v/>
      </c>
    </row>
    <row r="89" ht="20" customHeight="1">
      <c r="A89" s="29" t="inlineStr">
        <is>
          <t>⑥</t>
        </is>
      </c>
      <c r="B89" s="30" t="n"/>
      <c r="C89" s="31" t="n"/>
      <c r="D89" s="31" t="n"/>
      <c r="E89" s="31" t="n"/>
      <c r="F89" s="32" t="n"/>
      <c r="G89" s="33">
        <f>IF(OR($B89="",$D89="",$E89=""),"",IF(OR($C89="Target state",$C89="Exception"),"Out of scope",IF($D89="Low","No tranche",IF($E89="Low","Tranche 1",IF($E89="Medium","Tranche 2",IF($D89="High","Tranche 3","No tranche"))))))</f>
        <v/>
      </c>
      <c r="K89" s="40" t="n"/>
      <c r="L89" s="40" t="n"/>
      <c r="M89" s="40" t="n"/>
      <c r="O89">
        <f>IF(AND($B89&lt;&gt;"",$C89&lt;&gt;"Target state",$C89&lt;&gt;"Exception",$D89="High",$E89="Low"),$A89&amp;"  "&amp;$B89,"")</f>
        <v/>
      </c>
      <c r="P89">
        <f>IF(AND($B89&lt;&gt;"",$C89&lt;&gt;"Target state",$C89&lt;&gt;"Exception",$D89="High",$E89="Medium"),$A89&amp;"  "&amp;$B89,"")</f>
        <v/>
      </c>
      <c r="Q89">
        <f>IF(AND($B89&lt;&gt;"",$C89&lt;&gt;"Target state",$C89&lt;&gt;"Exception",$D89="High",$E89="High"),$A89&amp;"  "&amp;$B89,"")</f>
        <v/>
      </c>
      <c r="R89">
        <f>IF(AND($B89&lt;&gt;"",$C89&lt;&gt;"Target state",$C89&lt;&gt;"Exception",$D89="Medium",$E89="Low"),$A89&amp;"  "&amp;$B89,"")</f>
        <v/>
      </c>
      <c r="S89">
        <f>IF(AND($B89&lt;&gt;"",$C89&lt;&gt;"Target state",$C89&lt;&gt;"Exception",$D89="Medium",$E89="Medium"),$A89&amp;"  "&amp;$B89,"")</f>
        <v/>
      </c>
      <c r="T89">
        <f>IF(AND($B89&lt;&gt;"",$C89&lt;&gt;"Target state",$C89&lt;&gt;"Exception",$D89="Medium",$E89="High"),$A89&amp;"  "&amp;$B89,"")</f>
        <v/>
      </c>
      <c r="U89">
        <f>IF(AND($B89&lt;&gt;"",$C89&lt;&gt;"Target state",$C89&lt;&gt;"Exception",$D89="Low",$E89="Low"),$A89&amp;"  "&amp;$B89,"")</f>
        <v/>
      </c>
      <c r="V89">
        <f>IF(AND($B89&lt;&gt;"",$C89&lt;&gt;"Target state",$C89&lt;&gt;"Exception",$D89="Low",$E89="Medium"),$A89&amp;"  "&amp;$B89,"")</f>
        <v/>
      </c>
      <c r="W89">
        <f>IF(AND($B89&lt;&gt;"",$C89&lt;&gt;"Target state",$C89&lt;&gt;"Exception",$D89="Low",$E89="High"),$A89&amp;"  "&amp;$B89,"")</f>
        <v/>
      </c>
    </row>
    <row r="90" ht="20" customHeight="1">
      <c r="A90" s="29" t="inlineStr">
        <is>
          <t>⑦</t>
        </is>
      </c>
      <c r="B90" s="30" t="n"/>
      <c r="C90" s="31" t="n"/>
      <c r="D90" s="31" t="n"/>
      <c r="E90" s="31" t="n"/>
      <c r="F90" s="32" t="n"/>
      <c r="G90" s="33">
        <f>IF(OR($B90="",$D90="",$E90=""),"",IF(OR($C90="Target state",$C90="Exception"),"Out of scope",IF($D90="Low","No tranche",IF($E90="Low","Tranche 1",IF($E90="Medium","Tranche 2",IF($D90="High","Tranche 3","No tranche"))))))</f>
        <v/>
      </c>
      <c r="J90" s="35" t="inlineStr">
        <is>
          <t>Low</t>
        </is>
      </c>
      <c r="K90" s="41">
        <f>_xlfn.TEXTJOIN(CHAR(10),TRUE,U$84:U$93)</f>
        <v/>
      </c>
      <c r="L90" s="41">
        <f>_xlfn.TEXTJOIN(CHAR(10),TRUE,V$84:V$93)</f>
        <v/>
      </c>
      <c r="M90" s="41">
        <f>_xlfn.TEXTJOIN(CHAR(10),TRUE,W$84:W$93)</f>
        <v/>
      </c>
      <c r="O90">
        <f>IF(AND($B90&lt;&gt;"",$C90&lt;&gt;"Target state",$C90&lt;&gt;"Exception",$D90="High",$E90="Low"),$A90&amp;"  "&amp;$B90,"")</f>
        <v/>
      </c>
      <c r="P90">
        <f>IF(AND($B90&lt;&gt;"",$C90&lt;&gt;"Target state",$C90&lt;&gt;"Exception",$D90="High",$E90="Medium"),$A90&amp;"  "&amp;$B90,"")</f>
        <v/>
      </c>
      <c r="Q90">
        <f>IF(AND($B90&lt;&gt;"",$C90&lt;&gt;"Target state",$C90&lt;&gt;"Exception",$D90="High",$E90="High"),$A90&amp;"  "&amp;$B90,"")</f>
        <v/>
      </c>
      <c r="R90">
        <f>IF(AND($B90&lt;&gt;"",$C90&lt;&gt;"Target state",$C90&lt;&gt;"Exception",$D90="Medium",$E90="Low"),$A90&amp;"  "&amp;$B90,"")</f>
        <v/>
      </c>
      <c r="S90">
        <f>IF(AND($B90&lt;&gt;"",$C90&lt;&gt;"Target state",$C90&lt;&gt;"Exception",$D90="Medium",$E90="Medium"),$A90&amp;"  "&amp;$B90,"")</f>
        <v/>
      </c>
      <c r="T90">
        <f>IF(AND($B90&lt;&gt;"",$C90&lt;&gt;"Target state",$C90&lt;&gt;"Exception",$D90="Medium",$E90="High"),$A90&amp;"  "&amp;$B90,"")</f>
        <v/>
      </c>
      <c r="U90">
        <f>IF(AND($B90&lt;&gt;"",$C90&lt;&gt;"Target state",$C90&lt;&gt;"Exception",$D90="Low",$E90="Low"),$A90&amp;"  "&amp;$B90,"")</f>
        <v/>
      </c>
      <c r="V90">
        <f>IF(AND($B90&lt;&gt;"",$C90&lt;&gt;"Target state",$C90&lt;&gt;"Exception",$D90="Low",$E90="Medium"),$A90&amp;"  "&amp;$B90,"")</f>
        <v/>
      </c>
      <c r="W90">
        <f>IF(AND($B90&lt;&gt;"",$C90&lt;&gt;"Target state",$C90&lt;&gt;"Exception",$D90="Low",$E90="High"),$A90&amp;"  "&amp;$B90,"")</f>
        <v/>
      </c>
    </row>
    <row r="91" ht="20" customHeight="1">
      <c r="A91" s="29" t="inlineStr">
        <is>
          <t>⑧</t>
        </is>
      </c>
      <c r="B91" s="30" t="n"/>
      <c r="C91" s="31" t="n"/>
      <c r="D91" s="31" t="n"/>
      <c r="E91" s="31" t="n"/>
      <c r="F91" s="32" t="n"/>
      <c r="G91" s="33">
        <f>IF(OR($B91="",$D91="",$E91=""),"",IF(OR($C91="Target state",$C91="Exception"),"Out of scope",IF($D91="Low","No tranche",IF($E91="Low","Tranche 1",IF($E91="Medium","Tranche 2",IF($D91="High","Tranche 3","No tranche"))))))</f>
        <v/>
      </c>
      <c r="K91" s="39" t="n"/>
      <c r="L91" s="39" t="n"/>
      <c r="M91" s="39" t="n"/>
      <c r="O91">
        <f>IF(AND($B91&lt;&gt;"",$C91&lt;&gt;"Target state",$C91&lt;&gt;"Exception",$D91="High",$E91="Low"),$A91&amp;"  "&amp;$B91,"")</f>
        <v/>
      </c>
      <c r="P91">
        <f>IF(AND($B91&lt;&gt;"",$C91&lt;&gt;"Target state",$C91&lt;&gt;"Exception",$D91="High",$E91="Medium"),$A91&amp;"  "&amp;$B91,"")</f>
        <v/>
      </c>
      <c r="Q91">
        <f>IF(AND($B91&lt;&gt;"",$C91&lt;&gt;"Target state",$C91&lt;&gt;"Exception",$D91="High",$E91="High"),$A91&amp;"  "&amp;$B91,"")</f>
        <v/>
      </c>
      <c r="R91">
        <f>IF(AND($B91&lt;&gt;"",$C91&lt;&gt;"Target state",$C91&lt;&gt;"Exception",$D91="Medium",$E91="Low"),$A91&amp;"  "&amp;$B91,"")</f>
        <v/>
      </c>
      <c r="S91">
        <f>IF(AND($B91&lt;&gt;"",$C91&lt;&gt;"Target state",$C91&lt;&gt;"Exception",$D91="Medium",$E91="Medium"),$A91&amp;"  "&amp;$B91,"")</f>
        <v/>
      </c>
      <c r="T91">
        <f>IF(AND($B91&lt;&gt;"",$C91&lt;&gt;"Target state",$C91&lt;&gt;"Exception",$D91="Medium",$E91="High"),$A91&amp;"  "&amp;$B91,"")</f>
        <v/>
      </c>
      <c r="U91">
        <f>IF(AND($B91&lt;&gt;"",$C91&lt;&gt;"Target state",$C91&lt;&gt;"Exception",$D91="Low",$E91="Low"),$A91&amp;"  "&amp;$B91,"")</f>
        <v/>
      </c>
      <c r="V91">
        <f>IF(AND($B91&lt;&gt;"",$C91&lt;&gt;"Target state",$C91&lt;&gt;"Exception",$D91="Low",$E91="Medium"),$A91&amp;"  "&amp;$B91,"")</f>
        <v/>
      </c>
      <c r="W91">
        <f>IF(AND($B91&lt;&gt;"",$C91&lt;&gt;"Target state",$C91&lt;&gt;"Exception",$D91="Low",$E91="High"),$A91&amp;"  "&amp;$B91,"")</f>
        <v/>
      </c>
    </row>
    <row r="92" ht="20" customHeight="1">
      <c r="A92" s="29" t="inlineStr">
        <is>
          <t>⑨</t>
        </is>
      </c>
      <c r="B92" s="30" t="n"/>
      <c r="C92" s="31" t="n"/>
      <c r="D92" s="31" t="n"/>
      <c r="E92" s="31" t="n"/>
      <c r="F92" s="32" t="n"/>
      <c r="G92" s="33">
        <f>IF(OR($B92="",$D92="",$E92=""),"",IF(OR($C92="Target state",$C92="Exception"),"Out of scope",IF($D92="Low","No tranche",IF($E92="Low","Tranche 1",IF($E92="Medium","Tranche 2",IF($D92="High","Tranche 3","No tranche"))))))</f>
        <v/>
      </c>
      <c r="K92" s="40" t="n"/>
      <c r="L92" s="40" t="n"/>
      <c r="M92" s="40" t="n"/>
      <c r="O92">
        <f>IF(AND($B92&lt;&gt;"",$C92&lt;&gt;"Target state",$C92&lt;&gt;"Exception",$D92="High",$E92="Low"),$A92&amp;"  "&amp;$B92,"")</f>
        <v/>
      </c>
      <c r="P92">
        <f>IF(AND($B92&lt;&gt;"",$C92&lt;&gt;"Target state",$C92&lt;&gt;"Exception",$D92="High",$E92="Medium"),$A92&amp;"  "&amp;$B92,"")</f>
        <v/>
      </c>
      <c r="Q92">
        <f>IF(AND($B92&lt;&gt;"",$C92&lt;&gt;"Target state",$C92&lt;&gt;"Exception",$D92="High",$E92="High"),$A92&amp;"  "&amp;$B92,"")</f>
        <v/>
      </c>
      <c r="R92">
        <f>IF(AND($B92&lt;&gt;"",$C92&lt;&gt;"Target state",$C92&lt;&gt;"Exception",$D92="Medium",$E92="Low"),$A92&amp;"  "&amp;$B92,"")</f>
        <v/>
      </c>
      <c r="S92">
        <f>IF(AND($B92&lt;&gt;"",$C92&lt;&gt;"Target state",$C92&lt;&gt;"Exception",$D92="Medium",$E92="Medium"),$A92&amp;"  "&amp;$B92,"")</f>
        <v/>
      </c>
      <c r="T92">
        <f>IF(AND($B92&lt;&gt;"",$C92&lt;&gt;"Target state",$C92&lt;&gt;"Exception",$D92="Medium",$E92="High"),$A92&amp;"  "&amp;$B92,"")</f>
        <v/>
      </c>
      <c r="U92">
        <f>IF(AND($B92&lt;&gt;"",$C92&lt;&gt;"Target state",$C92&lt;&gt;"Exception",$D92="Low",$E92="Low"),$A92&amp;"  "&amp;$B92,"")</f>
        <v/>
      </c>
      <c r="V92">
        <f>IF(AND($B92&lt;&gt;"",$C92&lt;&gt;"Target state",$C92&lt;&gt;"Exception",$D92="Low",$E92="Medium"),$A92&amp;"  "&amp;$B92,"")</f>
        <v/>
      </c>
      <c r="W92">
        <f>IF(AND($B92&lt;&gt;"",$C92&lt;&gt;"Target state",$C92&lt;&gt;"Exception",$D92="Low",$E92="High"),$A92&amp;"  "&amp;$B92,"")</f>
        <v/>
      </c>
    </row>
    <row r="93" ht="20" customHeight="1">
      <c r="A93" s="29" t="inlineStr">
        <is>
          <t>⑩</t>
        </is>
      </c>
      <c r="B93" s="30" t="n"/>
      <c r="C93" s="31" t="n"/>
      <c r="D93" s="31" t="n"/>
      <c r="E93" s="31" t="n"/>
      <c r="F93" s="32" t="n"/>
      <c r="G93" s="33">
        <f>IF(OR($B93="",$D93="",$E93=""),"",IF(OR($C93="Target state",$C93="Exception"),"Out of scope",IF($D93="Low","No tranche",IF($E93="Low","Tranche 1",IF($E93="Medium","Tranche 2",IF($D93="High","Tranche 3","No tranche"))))))</f>
        <v/>
      </c>
      <c r="K93" s="35" t="inlineStr">
        <is>
          <t>Complexity</t>
        </is>
      </c>
      <c r="O93">
        <f>IF(AND($B93&lt;&gt;"",$C93&lt;&gt;"Target state",$C93&lt;&gt;"Exception",$D93="High",$E93="Low"),$A93&amp;"  "&amp;$B93,"")</f>
        <v/>
      </c>
      <c r="P93">
        <f>IF(AND($B93&lt;&gt;"",$C93&lt;&gt;"Target state",$C93&lt;&gt;"Exception",$D93="High",$E93="Medium"),$A93&amp;"  "&amp;$B93,"")</f>
        <v/>
      </c>
      <c r="Q93">
        <f>IF(AND($B93&lt;&gt;"",$C93&lt;&gt;"Target state",$C93&lt;&gt;"Exception",$D93="High",$E93="High"),$A93&amp;"  "&amp;$B93,"")</f>
        <v/>
      </c>
      <c r="R93">
        <f>IF(AND($B93&lt;&gt;"",$C93&lt;&gt;"Target state",$C93&lt;&gt;"Exception",$D93="Medium",$E93="Low"),$A93&amp;"  "&amp;$B93,"")</f>
        <v/>
      </c>
      <c r="S93">
        <f>IF(AND($B93&lt;&gt;"",$C93&lt;&gt;"Target state",$C93&lt;&gt;"Exception",$D93="Medium",$E93="Medium"),$A93&amp;"  "&amp;$B93,"")</f>
        <v/>
      </c>
      <c r="T93">
        <f>IF(AND($B93&lt;&gt;"",$C93&lt;&gt;"Target state",$C93&lt;&gt;"Exception",$D93="Medium",$E93="High"),$A93&amp;"  "&amp;$B93,"")</f>
        <v/>
      </c>
      <c r="U93">
        <f>IF(AND($B93&lt;&gt;"",$C93&lt;&gt;"Target state",$C93&lt;&gt;"Exception",$D93="Low",$E93="Low"),$A93&amp;"  "&amp;$B93,"")</f>
        <v/>
      </c>
      <c r="V93">
        <f>IF(AND($B93&lt;&gt;"",$C93&lt;&gt;"Target state",$C93&lt;&gt;"Exception",$D93="Low",$E93="Medium"),$A93&amp;"  "&amp;$B93,"")</f>
        <v/>
      </c>
      <c r="W93">
        <f>IF(AND($B93&lt;&gt;"",$C93&lt;&gt;"Target state",$C93&lt;&gt;"Exception",$D93="Low",$E93="High"),$A93&amp;"  "&amp;$B93,"")</f>
        <v/>
      </c>
    </row>
  </sheetData>
  <mergeCells count="97">
    <mergeCell ref="I28:I36"/>
    <mergeCell ref="K70:K72"/>
    <mergeCell ref="K48:K50"/>
    <mergeCell ref="K40:M40"/>
    <mergeCell ref="L76:L78"/>
    <mergeCell ref="L34:L36"/>
    <mergeCell ref="M14:M16"/>
    <mergeCell ref="I14:I22"/>
    <mergeCell ref="M56:M58"/>
    <mergeCell ref="K82:M82"/>
    <mergeCell ref="M20:M22"/>
    <mergeCell ref="L48:L50"/>
    <mergeCell ref="A40:F40"/>
    <mergeCell ref="K76:K78"/>
    <mergeCell ref="J84:J86"/>
    <mergeCell ref="K68:M68"/>
    <mergeCell ref="K59:K61"/>
    <mergeCell ref="A82:F82"/>
    <mergeCell ref="K84:K86"/>
    <mergeCell ref="M84:M86"/>
    <mergeCell ref="J70:J72"/>
    <mergeCell ref="M45:M47"/>
    <mergeCell ref="J90:J92"/>
    <mergeCell ref="K12:M12"/>
    <mergeCell ref="K14:K16"/>
    <mergeCell ref="L90:L92"/>
    <mergeCell ref="K87:K89"/>
    <mergeCell ref="K23:M23"/>
    <mergeCell ref="M87:M89"/>
    <mergeCell ref="I42:I50"/>
    <mergeCell ref="J42:J44"/>
    <mergeCell ref="A4:C4"/>
    <mergeCell ref="K65:M65"/>
    <mergeCell ref="I84:I92"/>
    <mergeCell ref="J34:J36"/>
    <mergeCell ref="M73:M75"/>
    <mergeCell ref="J28:J30"/>
    <mergeCell ref="L28:L30"/>
    <mergeCell ref="M70:M72"/>
    <mergeCell ref="I70:I78"/>
    <mergeCell ref="J20:J22"/>
    <mergeCell ref="L14:L16"/>
    <mergeCell ref="A54:F54"/>
    <mergeCell ref="K42:K44"/>
    <mergeCell ref="J62:J64"/>
    <mergeCell ref="K17:K19"/>
    <mergeCell ref="I56:I64"/>
    <mergeCell ref="L56:L58"/>
    <mergeCell ref="M42:M44"/>
    <mergeCell ref="A26:F26"/>
    <mergeCell ref="M17:M19"/>
    <mergeCell ref="K28:K30"/>
    <mergeCell ref="J56:J58"/>
    <mergeCell ref="K62:K64"/>
    <mergeCell ref="M62:M64"/>
    <mergeCell ref="J48:J50"/>
    <mergeCell ref="J76:J78"/>
    <mergeCell ref="J17:J19"/>
    <mergeCell ref="J73:J75"/>
    <mergeCell ref="L17:L19"/>
    <mergeCell ref="M48:M50"/>
    <mergeCell ref="A68:F68"/>
    <mergeCell ref="K56:K58"/>
    <mergeCell ref="J59:J61"/>
    <mergeCell ref="K79:M79"/>
    <mergeCell ref="K90:K92"/>
    <mergeCell ref="K51:M51"/>
    <mergeCell ref="K26:M26"/>
    <mergeCell ref="M90:M92"/>
    <mergeCell ref="J45:J47"/>
    <mergeCell ref="L45:L47"/>
    <mergeCell ref="L59:L61"/>
    <mergeCell ref="L20:L22"/>
    <mergeCell ref="K73:K75"/>
    <mergeCell ref="A12:F12"/>
    <mergeCell ref="M76:M78"/>
    <mergeCell ref="L84:L86"/>
    <mergeCell ref="J31:J33"/>
    <mergeCell ref="L31:L33"/>
    <mergeCell ref="K34:K36"/>
    <mergeCell ref="J14:J16"/>
    <mergeCell ref="L70:L72"/>
    <mergeCell ref="M59:M61"/>
    <mergeCell ref="M34:M36"/>
    <mergeCell ref="K45:K47"/>
    <mergeCell ref="K93:M93"/>
    <mergeCell ref="K37:M37"/>
    <mergeCell ref="J87:J89"/>
    <mergeCell ref="K20:K22"/>
    <mergeCell ref="L87:L89"/>
    <mergeCell ref="L62:L64"/>
    <mergeCell ref="K31:K33"/>
    <mergeCell ref="M31:M33"/>
    <mergeCell ref="K54:M54"/>
    <mergeCell ref="L73:L75"/>
    <mergeCell ref="L42:L44"/>
    <mergeCell ref="M28:M30"/>
  </mergeCells>
  <conditionalFormatting sqref="A14:G23">
    <cfRule type="expression" priority="1" dxfId="0">
      <formula>OR($C14="Target state",$C14="Exception")</formula>
    </cfRule>
  </conditionalFormatting>
  <conditionalFormatting sqref="A28:G37">
    <cfRule type="expression" priority="2" dxfId="0">
      <formula>OR($C28="Target state",$C28="Exception")</formula>
    </cfRule>
  </conditionalFormatting>
  <conditionalFormatting sqref="A42:G51">
    <cfRule type="expression" priority="3" dxfId="0">
      <formula>OR($C42="Target state",$C42="Exception")</formula>
    </cfRule>
  </conditionalFormatting>
  <conditionalFormatting sqref="A56:G65">
    <cfRule type="expression" priority="4" dxfId="0">
      <formula>OR($C56="Target state",$C56="Exception")</formula>
    </cfRule>
  </conditionalFormatting>
  <conditionalFormatting sqref="A70:G79">
    <cfRule type="expression" priority="5" dxfId="0">
      <formula>OR($C70="Target state",$C70="Exception")</formula>
    </cfRule>
  </conditionalFormatting>
  <conditionalFormatting sqref="A84:G93">
    <cfRule type="expression" priority="6" dxfId="0">
      <formula>OR($C84="Target state",$C84="Exception")</formula>
    </cfRule>
  </conditionalFormatting>
  <dataValidations count="2">
    <dataValidation sqref="C14:C23 C28:C37 C42:C51 C56:C65 C70:C79 C84:C93" showDropDown="0" showInputMessage="0" showErrorMessage="0" allowBlank="1" type="list">
      <formula1>"Target state,Non-target state,Exception"</formula1>
    </dataValidation>
    <dataValidation sqref="D14:E23 D28:E37 D42:E51 D56:E65 D70:E79 D84:E93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W1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7" customWidth="1" min="3" max="3"/>
    <col width="16" customWidth="1" min="4" max="4"/>
    <col width="15" customWidth="1" min="5" max="5"/>
    <col width="44" customWidth="1" min="6" max="6"/>
    <col width="14" customWidth="1" min="7" max="7"/>
    <col width="2" customWidth="1" min="8" max="8"/>
    <col width="4" customWidth="1" min="9" max="9"/>
    <col width="9" customWidth="1" min="10" max="10"/>
    <col width="26" customWidth="1" min="11" max="11"/>
    <col width="26" customWidth="1" min="12" max="12"/>
    <col width="26" customWidth="1" min="13" max="13"/>
    <col width="2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</cols>
  <sheetData>
    <row r="1">
      <c r="A1" s="19" t="inlineStr">
        <is>
          <t>VAS — Platform Assessment</t>
        </is>
      </c>
    </row>
    <row r="2">
      <c r="A2" s="20">
        <f>HYPERLINK("#'Summary'!A1","← Back to Summary")</f>
        <v/>
      </c>
      <c r="C2" s="21" t="inlineStr">
        <is>
          <t>Pick a State, score High / Medium / Low — the tranche, the matrix and the Summary update automatically.</t>
        </is>
      </c>
    </row>
    <row r="4">
      <c r="A4" s="22" t="inlineStr">
        <is>
          <t>Tracker — jump to a sub-capability:</t>
        </is>
      </c>
    </row>
    <row r="5">
      <c r="A5" s="23" t="inlineStr">
        <is>
          <t>1.</t>
        </is>
      </c>
      <c r="B5" s="20">
        <f>HYPERLINK("#'VAS'!A15","Routing")</f>
        <v/>
      </c>
    </row>
    <row r="6">
      <c r="A6" s="23" t="inlineStr">
        <is>
          <t>2.</t>
        </is>
      </c>
      <c r="B6" s="20">
        <f>HYPERLINK("#'VAS'!A29","Networking Payment Tokens")</f>
        <v/>
      </c>
    </row>
    <row r="7">
      <c r="A7" s="23" t="inlineStr">
        <is>
          <t>3.</t>
        </is>
      </c>
      <c r="B7" s="20">
        <f>HYPERLINK("#'VAS'!A43","DCC eDCC")</f>
        <v/>
      </c>
    </row>
    <row r="8">
      <c r="A8" s="23" t="inlineStr">
        <is>
          <t>4.</t>
        </is>
      </c>
      <c r="B8" s="20">
        <f>HYPERLINK("#'VAS'!A57","Fraud")</f>
        <v/>
      </c>
    </row>
    <row r="9">
      <c r="A9" s="23" t="inlineStr">
        <is>
          <t>5.</t>
        </is>
      </c>
      <c r="B9" s="20">
        <f>HYPERLINK("#'VAS'!A71","Credential Management")</f>
        <v/>
      </c>
    </row>
    <row r="10">
      <c r="A10" s="23" t="inlineStr">
        <is>
          <t>6.</t>
        </is>
      </c>
      <c r="B10" s="20">
        <f>HYPERLINK("#'VAS'!A85","Gifts")</f>
        <v/>
      </c>
    </row>
    <row r="11">
      <c r="A11" s="23" t="inlineStr">
        <is>
          <t>7.</t>
        </is>
      </c>
      <c r="B11" s="20">
        <f>HYPERLINK("#'VAS'!A99","Managed Optimization")</f>
        <v/>
      </c>
    </row>
    <row r="12">
      <c r="A12" s="23" t="inlineStr">
        <is>
          <t>8.</t>
        </is>
      </c>
      <c r="B12" s="20">
        <f>HYPERLINK("#'VAS'!A113","3DS / exemptions")</f>
        <v/>
      </c>
    </row>
    <row r="13">
      <c r="A13" s="23" t="inlineStr">
        <is>
          <t>9.</t>
        </is>
      </c>
      <c r="B13" s="20">
        <f>HYPERLINK("#'VAS'!A127","FX")</f>
        <v/>
      </c>
    </row>
    <row r="15" ht="22" customHeight="1">
      <c r="A15" s="24" t="inlineStr">
        <is>
          <t>Routing</t>
        </is>
      </c>
      <c r="G15" s="25">
        <f>HYPERLINK("#'VAS'!A4","▲ tracker")</f>
        <v/>
      </c>
      <c r="K15" s="26" t="inlineStr">
        <is>
          <t>Assessment Outcome</t>
        </is>
      </c>
    </row>
    <row r="16" ht="18" customHeight="1">
      <c r="A16" s="27" t="inlineStr">
        <is>
          <t>#</t>
        </is>
      </c>
      <c r="B16" s="27" t="inlineStr">
        <is>
          <t>Platform</t>
        </is>
      </c>
      <c r="C16" s="27" t="inlineStr">
        <is>
          <t>State</t>
        </is>
      </c>
      <c r="D16" s="27" t="inlineStr">
        <is>
          <t>Imperative to exit</t>
        </is>
      </c>
      <c r="E16" s="27" t="inlineStr">
        <is>
          <t>Exit complexity</t>
        </is>
      </c>
      <c r="F16" s="27" t="inlineStr">
        <is>
          <t>Supporting facts</t>
        </is>
      </c>
      <c r="G16" s="27" t="inlineStr">
        <is>
          <t>Tranche (auto)</t>
        </is>
      </c>
      <c r="K16" s="28" t="inlineStr">
        <is>
          <t>Low</t>
        </is>
      </c>
      <c r="L16" s="28" t="inlineStr">
        <is>
          <t>Medium</t>
        </is>
      </c>
      <c r="M16" s="28" t="inlineStr">
        <is>
          <t>High</t>
        </is>
      </c>
    </row>
    <row r="17" ht="20" customHeight="1">
      <c r="A17" s="29" t="inlineStr">
        <is>
          <t>①</t>
        </is>
      </c>
      <c r="B17" s="30" t="n"/>
      <c r="C17" s="31" t="n"/>
      <c r="D17" s="31" t="n"/>
      <c r="E17" s="31" t="n"/>
      <c r="F17" s="32" t="n"/>
      <c r="G17" s="33">
        <f>IF(OR($B17="",$D17="",$E17=""),"",IF(OR($C17="Target state",$C17="Exception"),"Out of scope",IF($D17="Low","No tranche",IF($E17="Low","Tranche 1",IF($E17="Medium","Tranche 2",IF($D17="High","Tranche 3","No tranche"))))))</f>
        <v/>
      </c>
      <c r="I17" s="34" t="inlineStr">
        <is>
          <t>Benefits</t>
        </is>
      </c>
      <c r="J17" s="35" t="inlineStr">
        <is>
          <t>High</t>
        </is>
      </c>
      <c r="K17" s="36">
        <f>"Tranche 1"&amp;CHAR(10)&amp;_xlfn.TEXTJOIN(CHAR(10),TRUE,O$17:O$26)</f>
        <v/>
      </c>
      <c r="L17" s="37">
        <f>"Tranche 2"&amp;CHAR(10)&amp;_xlfn.TEXTJOIN(CHAR(10),TRUE,P$17:P$26)</f>
        <v/>
      </c>
      <c r="M17" s="38">
        <f>"Tranche 3"&amp;CHAR(10)&amp;_xlfn.TEXTJOIN(CHAR(10),TRUE,Q$17:Q$26)</f>
        <v/>
      </c>
      <c r="O17">
        <f>IF(AND($B17&lt;&gt;"",$C17&lt;&gt;"Target state",$C17&lt;&gt;"Exception",$D17="High",$E17="Low"),$A17&amp;"  "&amp;$B17,"")</f>
        <v/>
      </c>
      <c r="P17">
        <f>IF(AND($B17&lt;&gt;"",$C17&lt;&gt;"Target state",$C17&lt;&gt;"Exception",$D17="High",$E17="Medium"),$A17&amp;"  "&amp;$B17,"")</f>
        <v/>
      </c>
      <c r="Q17">
        <f>IF(AND($B17&lt;&gt;"",$C17&lt;&gt;"Target state",$C17&lt;&gt;"Exception",$D17="High",$E17="High"),$A17&amp;"  "&amp;$B17,"")</f>
        <v/>
      </c>
      <c r="R17">
        <f>IF(AND($B17&lt;&gt;"",$C17&lt;&gt;"Target state",$C17&lt;&gt;"Exception",$D17="Medium",$E17="Low"),$A17&amp;"  "&amp;$B17,"")</f>
        <v/>
      </c>
      <c r="S17">
        <f>IF(AND($B17&lt;&gt;"",$C17&lt;&gt;"Target state",$C17&lt;&gt;"Exception",$D17="Medium",$E17="Medium"),$A17&amp;"  "&amp;$B17,"")</f>
        <v/>
      </c>
      <c r="T17">
        <f>IF(AND($B17&lt;&gt;"",$C17&lt;&gt;"Target state",$C17&lt;&gt;"Exception",$D17="Medium",$E17="High"),$A17&amp;"  "&amp;$B17,"")</f>
        <v/>
      </c>
      <c r="U17">
        <f>IF(AND($B17&lt;&gt;"",$C17&lt;&gt;"Target state",$C17&lt;&gt;"Exception",$D17="Low",$E17="Low"),$A17&amp;"  "&amp;$B17,"")</f>
        <v/>
      </c>
      <c r="V17">
        <f>IF(AND($B17&lt;&gt;"",$C17&lt;&gt;"Target state",$C17&lt;&gt;"Exception",$D17="Low",$E17="Medium"),$A17&amp;"  "&amp;$B17,"")</f>
        <v/>
      </c>
      <c r="W17">
        <f>IF(AND($B17&lt;&gt;"",$C17&lt;&gt;"Target state",$C17&lt;&gt;"Exception",$D17="Low",$E17="High"),$A17&amp;"  "&amp;$B17,"")</f>
        <v/>
      </c>
    </row>
    <row r="18" ht="20" customHeight="1">
      <c r="A18" s="29" t="inlineStr">
        <is>
          <t>②</t>
        </is>
      </c>
      <c r="B18" s="30" t="n"/>
      <c r="C18" s="31" t="n"/>
      <c r="D18" s="31" t="n"/>
      <c r="E18" s="31" t="n"/>
      <c r="F18" s="32" t="n"/>
      <c r="G18" s="33">
        <f>IF(OR($B18="",$D18="",$E18=""),"",IF(OR($C18="Target state",$C18="Exception"),"Out of scope",IF($D18="Low","No tranche",IF($E18="Low","Tranche 1",IF($E18="Medium","Tranche 2",IF($D18="High","Tranche 3","No tranche"))))))</f>
        <v/>
      </c>
      <c r="K18" s="39" t="n"/>
      <c r="L18" s="39" t="n"/>
      <c r="M18" s="39" t="n"/>
      <c r="O18">
        <f>IF(AND($B18&lt;&gt;"",$C18&lt;&gt;"Target state",$C18&lt;&gt;"Exception",$D18="High",$E18="Low"),$A18&amp;"  "&amp;$B18,"")</f>
        <v/>
      </c>
      <c r="P18">
        <f>IF(AND($B18&lt;&gt;"",$C18&lt;&gt;"Target state",$C18&lt;&gt;"Exception",$D18="High",$E18="Medium"),$A18&amp;"  "&amp;$B18,"")</f>
        <v/>
      </c>
      <c r="Q18">
        <f>IF(AND($B18&lt;&gt;"",$C18&lt;&gt;"Target state",$C18&lt;&gt;"Exception",$D18="High",$E18="High"),$A18&amp;"  "&amp;$B18,"")</f>
        <v/>
      </c>
      <c r="R18">
        <f>IF(AND($B18&lt;&gt;"",$C18&lt;&gt;"Target state",$C18&lt;&gt;"Exception",$D18="Medium",$E18="Low"),$A18&amp;"  "&amp;$B18,"")</f>
        <v/>
      </c>
      <c r="S18">
        <f>IF(AND($B18&lt;&gt;"",$C18&lt;&gt;"Target state",$C18&lt;&gt;"Exception",$D18="Medium",$E18="Medium"),$A18&amp;"  "&amp;$B18,"")</f>
        <v/>
      </c>
      <c r="T18">
        <f>IF(AND($B18&lt;&gt;"",$C18&lt;&gt;"Target state",$C18&lt;&gt;"Exception",$D18="Medium",$E18="High"),$A18&amp;"  "&amp;$B18,"")</f>
        <v/>
      </c>
      <c r="U18">
        <f>IF(AND($B18&lt;&gt;"",$C18&lt;&gt;"Target state",$C18&lt;&gt;"Exception",$D18="Low",$E18="Low"),$A18&amp;"  "&amp;$B18,"")</f>
        <v/>
      </c>
      <c r="V18">
        <f>IF(AND($B18&lt;&gt;"",$C18&lt;&gt;"Target state",$C18&lt;&gt;"Exception",$D18="Low",$E18="Medium"),$A18&amp;"  "&amp;$B18,"")</f>
        <v/>
      </c>
      <c r="W18">
        <f>IF(AND($B18&lt;&gt;"",$C18&lt;&gt;"Target state",$C18&lt;&gt;"Exception",$D18="Low",$E18="High"),$A18&amp;"  "&amp;$B18,"")</f>
        <v/>
      </c>
    </row>
    <row r="19" ht="20" customHeight="1">
      <c r="A19" s="29" t="inlineStr">
        <is>
          <t>③</t>
        </is>
      </c>
      <c r="B19" s="30" t="n"/>
      <c r="C19" s="31" t="n"/>
      <c r="D19" s="31" t="n"/>
      <c r="E19" s="31" t="n"/>
      <c r="F19" s="32" t="n"/>
      <c r="G19" s="33">
        <f>IF(OR($B19="",$D19="",$E19=""),"",IF(OR($C19="Target state",$C19="Exception"),"Out of scope",IF($D19="Low","No tranche",IF($E19="Low","Tranche 1",IF($E19="Medium","Tranche 2",IF($D19="High","Tranche 3","No tranche"))))))</f>
        <v/>
      </c>
      <c r="K19" s="40" t="n"/>
      <c r="L19" s="40" t="n"/>
      <c r="M19" s="40" t="n"/>
      <c r="O19">
        <f>IF(AND($B19&lt;&gt;"",$C19&lt;&gt;"Target state",$C19&lt;&gt;"Exception",$D19="High",$E19="Low"),$A19&amp;"  "&amp;$B19,"")</f>
        <v/>
      </c>
      <c r="P19">
        <f>IF(AND($B19&lt;&gt;"",$C19&lt;&gt;"Target state",$C19&lt;&gt;"Exception",$D19="High",$E19="Medium"),$A19&amp;"  "&amp;$B19,"")</f>
        <v/>
      </c>
      <c r="Q19">
        <f>IF(AND($B19&lt;&gt;"",$C19&lt;&gt;"Target state",$C19&lt;&gt;"Exception",$D19="High",$E19="High"),$A19&amp;"  "&amp;$B19,"")</f>
        <v/>
      </c>
      <c r="R19">
        <f>IF(AND($B19&lt;&gt;"",$C19&lt;&gt;"Target state",$C19&lt;&gt;"Exception",$D19="Medium",$E19="Low"),$A19&amp;"  "&amp;$B19,"")</f>
        <v/>
      </c>
      <c r="S19">
        <f>IF(AND($B19&lt;&gt;"",$C19&lt;&gt;"Target state",$C19&lt;&gt;"Exception",$D19="Medium",$E19="Medium"),$A19&amp;"  "&amp;$B19,"")</f>
        <v/>
      </c>
      <c r="T19">
        <f>IF(AND($B19&lt;&gt;"",$C19&lt;&gt;"Target state",$C19&lt;&gt;"Exception",$D19="Medium",$E19="High"),$A19&amp;"  "&amp;$B19,"")</f>
        <v/>
      </c>
      <c r="U19">
        <f>IF(AND($B19&lt;&gt;"",$C19&lt;&gt;"Target state",$C19&lt;&gt;"Exception",$D19="Low",$E19="Low"),$A19&amp;"  "&amp;$B19,"")</f>
        <v/>
      </c>
      <c r="V19">
        <f>IF(AND($B19&lt;&gt;"",$C19&lt;&gt;"Target state",$C19&lt;&gt;"Exception",$D19="Low",$E19="Medium"),$A19&amp;"  "&amp;$B19,"")</f>
        <v/>
      </c>
      <c r="W19">
        <f>IF(AND($B19&lt;&gt;"",$C19&lt;&gt;"Target state",$C19&lt;&gt;"Exception",$D19="Low",$E19="High"),$A19&amp;"  "&amp;$B19,"")</f>
        <v/>
      </c>
    </row>
    <row r="20" ht="20" customHeight="1">
      <c r="A20" s="29" t="inlineStr">
        <is>
          <t>④</t>
        </is>
      </c>
      <c r="B20" s="30" t="n"/>
      <c r="C20" s="31" t="n"/>
      <c r="D20" s="31" t="n"/>
      <c r="E20" s="31" t="n"/>
      <c r="F20" s="32" t="n"/>
      <c r="G20" s="33">
        <f>IF(OR($B20="",$D20="",$E20=""),"",IF(OR($C20="Target state",$C20="Exception"),"Out of scope",IF($D20="Low","No tranche",IF($E20="Low","Tranche 1",IF($E20="Medium","Tranche 2",IF($D20="High","Tranche 3","No tranche"))))))</f>
        <v/>
      </c>
      <c r="J20" s="35" t="inlineStr">
        <is>
          <t>Medium</t>
        </is>
      </c>
      <c r="K20" s="36">
        <f>"Tranche 1"&amp;CHAR(10)&amp;_xlfn.TEXTJOIN(CHAR(10),TRUE,R$17:R$26)</f>
        <v/>
      </c>
      <c r="L20" s="37">
        <f>"Tranche 2"&amp;CHAR(10)&amp;_xlfn.TEXTJOIN(CHAR(10),TRUE,S$17:S$26)</f>
        <v/>
      </c>
      <c r="M20" s="41">
        <f>_xlfn.TEXTJOIN(CHAR(10),TRUE,T$17:T$26)</f>
        <v/>
      </c>
      <c r="O20">
        <f>IF(AND($B20&lt;&gt;"",$C20&lt;&gt;"Target state",$C20&lt;&gt;"Exception",$D20="High",$E20="Low"),$A20&amp;"  "&amp;$B20,"")</f>
        <v/>
      </c>
      <c r="P20">
        <f>IF(AND($B20&lt;&gt;"",$C20&lt;&gt;"Target state",$C20&lt;&gt;"Exception",$D20="High",$E20="Medium"),$A20&amp;"  "&amp;$B20,"")</f>
        <v/>
      </c>
      <c r="Q20">
        <f>IF(AND($B20&lt;&gt;"",$C20&lt;&gt;"Target state",$C20&lt;&gt;"Exception",$D20="High",$E20="High"),$A20&amp;"  "&amp;$B20,"")</f>
        <v/>
      </c>
      <c r="R20">
        <f>IF(AND($B20&lt;&gt;"",$C20&lt;&gt;"Target state",$C20&lt;&gt;"Exception",$D20="Medium",$E20="Low"),$A20&amp;"  "&amp;$B20,"")</f>
        <v/>
      </c>
      <c r="S20">
        <f>IF(AND($B20&lt;&gt;"",$C20&lt;&gt;"Target state",$C20&lt;&gt;"Exception",$D20="Medium",$E20="Medium"),$A20&amp;"  "&amp;$B20,"")</f>
        <v/>
      </c>
      <c r="T20">
        <f>IF(AND($B20&lt;&gt;"",$C20&lt;&gt;"Target state",$C20&lt;&gt;"Exception",$D20="Medium",$E20="High"),$A20&amp;"  "&amp;$B20,"")</f>
        <v/>
      </c>
      <c r="U20">
        <f>IF(AND($B20&lt;&gt;"",$C20&lt;&gt;"Target state",$C20&lt;&gt;"Exception",$D20="Low",$E20="Low"),$A20&amp;"  "&amp;$B20,"")</f>
        <v/>
      </c>
      <c r="V20">
        <f>IF(AND($B20&lt;&gt;"",$C20&lt;&gt;"Target state",$C20&lt;&gt;"Exception",$D20="Low",$E20="Medium"),$A20&amp;"  "&amp;$B20,"")</f>
        <v/>
      </c>
      <c r="W20">
        <f>IF(AND($B20&lt;&gt;"",$C20&lt;&gt;"Target state",$C20&lt;&gt;"Exception",$D20="Low",$E20="High"),$A20&amp;"  "&amp;$B20,"")</f>
        <v/>
      </c>
    </row>
    <row r="21" ht="20" customHeight="1">
      <c r="A21" s="29" t="inlineStr">
        <is>
          <t>⑤</t>
        </is>
      </c>
      <c r="B21" s="30" t="n"/>
      <c r="C21" s="31" t="n"/>
      <c r="D21" s="31" t="n"/>
      <c r="E21" s="31" t="n"/>
      <c r="F21" s="32" t="n"/>
      <c r="G21" s="33">
        <f>IF(OR($B21="",$D21="",$E21=""),"",IF(OR($C21="Target state",$C21="Exception"),"Out of scope",IF($D21="Low","No tranche",IF($E21="Low","Tranche 1",IF($E21="Medium","Tranche 2",IF($D21="High","Tranche 3","No tranche"))))))</f>
        <v/>
      </c>
      <c r="K21" s="39" t="n"/>
      <c r="L21" s="39" t="n"/>
      <c r="M21" s="39" t="n"/>
      <c r="O21">
        <f>IF(AND($B21&lt;&gt;"",$C21&lt;&gt;"Target state",$C21&lt;&gt;"Exception",$D21="High",$E21="Low"),$A21&amp;"  "&amp;$B21,"")</f>
        <v/>
      </c>
      <c r="P21">
        <f>IF(AND($B21&lt;&gt;"",$C21&lt;&gt;"Target state",$C21&lt;&gt;"Exception",$D21="High",$E21="Medium"),$A21&amp;"  "&amp;$B21,"")</f>
        <v/>
      </c>
      <c r="Q21">
        <f>IF(AND($B21&lt;&gt;"",$C21&lt;&gt;"Target state",$C21&lt;&gt;"Exception",$D21="High",$E21="High"),$A21&amp;"  "&amp;$B21,"")</f>
        <v/>
      </c>
      <c r="R21">
        <f>IF(AND($B21&lt;&gt;"",$C21&lt;&gt;"Target state",$C21&lt;&gt;"Exception",$D21="Medium",$E21="Low"),$A21&amp;"  "&amp;$B21,"")</f>
        <v/>
      </c>
      <c r="S21">
        <f>IF(AND($B21&lt;&gt;"",$C21&lt;&gt;"Target state",$C21&lt;&gt;"Exception",$D21="Medium",$E21="Medium"),$A21&amp;"  "&amp;$B21,"")</f>
        <v/>
      </c>
      <c r="T21">
        <f>IF(AND($B21&lt;&gt;"",$C21&lt;&gt;"Target state",$C21&lt;&gt;"Exception",$D21="Medium",$E21="High"),$A21&amp;"  "&amp;$B21,"")</f>
        <v/>
      </c>
      <c r="U21">
        <f>IF(AND($B21&lt;&gt;"",$C21&lt;&gt;"Target state",$C21&lt;&gt;"Exception",$D21="Low",$E21="Low"),$A21&amp;"  "&amp;$B21,"")</f>
        <v/>
      </c>
      <c r="V21">
        <f>IF(AND($B21&lt;&gt;"",$C21&lt;&gt;"Target state",$C21&lt;&gt;"Exception",$D21="Low",$E21="Medium"),$A21&amp;"  "&amp;$B21,"")</f>
        <v/>
      </c>
      <c r="W21">
        <f>IF(AND($B21&lt;&gt;"",$C21&lt;&gt;"Target state",$C21&lt;&gt;"Exception",$D21="Low",$E21="High"),$A21&amp;"  "&amp;$B21,"")</f>
        <v/>
      </c>
    </row>
    <row r="22" ht="20" customHeight="1">
      <c r="A22" s="29" t="inlineStr">
        <is>
          <t>⑥</t>
        </is>
      </c>
      <c r="B22" s="30" t="n"/>
      <c r="C22" s="31" t="n"/>
      <c r="D22" s="31" t="n"/>
      <c r="E22" s="31" t="n"/>
      <c r="F22" s="32" t="n"/>
      <c r="G22" s="33">
        <f>IF(OR($B22="",$D22="",$E22=""),"",IF(OR($C22="Target state",$C22="Exception"),"Out of scope",IF($D22="Low","No tranche",IF($E22="Low","Tranche 1",IF($E22="Medium","Tranche 2",IF($D22="High","Tranche 3","No tranche"))))))</f>
        <v/>
      </c>
      <c r="K22" s="40" t="n"/>
      <c r="L22" s="40" t="n"/>
      <c r="M22" s="40" t="n"/>
      <c r="O22">
        <f>IF(AND($B22&lt;&gt;"",$C22&lt;&gt;"Target state",$C22&lt;&gt;"Exception",$D22="High",$E22="Low"),$A22&amp;"  "&amp;$B22,"")</f>
        <v/>
      </c>
      <c r="P22">
        <f>IF(AND($B22&lt;&gt;"",$C22&lt;&gt;"Target state",$C22&lt;&gt;"Exception",$D22="High",$E22="Medium"),$A22&amp;"  "&amp;$B22,"")</f>
        <v/>
      </c>
      <c r="Q22">
        <f>IF(AND($B22&lt;&gt;"",$C22&lt;&gt;"Target state",$C22&lt;&gt;"Exception",$D22="High",$E22="High"),$A22&amp;"  "&amp;$B22,"")</f>
        <v/>
      </c>
      <c r="R22">
        <f>IF(AND($B22&lt;&gt;"",$C22&lt;&gt;"Target state",$C22&lt;&gt;"Exception",$D22="Medium",$E22="Low"),$A22&amp;"  "&amp;$B22,"")</f>
        <v/>
      </c>
      <c r="S22">
        <f>IF(AND($B22&lt;&gt;"",$C22&lt;&gt;"Target state",$C22&lt;&gt;"Exception",$D22="Medium",$E22="Medium"),$A22&amp;"  "&amp;$B22,"")</f>
        <v/>
      </c>
      <c r="T22">
        <f>IF(AND($B22&lt;&gt;"",$C22&lt;&gt;"Target state",$C22&lt;&gt;"Exception",$D22="Medium",$E22="High"),$A22&amp;"  "&amp;$B22,"")</f>
        <v/>
      </c>
      <c r="U22">
        <f>IF(AND($B22&lt;&gt;"",$C22&lt;&gt;"Target state",$C22&lt;&gt;"Exception",$D22="Low",$E22="Low"),$A22&amp;"  "&amp;$B22,"")</f>
        <v/>
      </c>
      <c r="V22">
        <f>IF(AND($B22&lt;&gt;"",$C22&lt;&gt;"Target state",$C22&lt;&gt;"Exception",$D22="Low",$E22="Medium"),$A22&amp;"  "&amp;$B22,"")</f>
        <v/>
      </c>
      <c r="W22">
        <f>IF(AND($B22&lt;&gt;"",$C22&lt;&gt;"Target state",$C22&lt;&gt;"Exception",$D22="Low",$E22="High"),$A22&amp;"  "&amp;$B22,"")</f>
        <v/>
      </c>
    </row>
    <row r="23" ht="20" customHeight="1">
      <c r="A23" s="29" t="inlineStr">
        <is>
          <t>⑦</t>
        </is>
      </c>
      <c r="B23" s="30" t="n"/>
      <c r="C23" s="31" t="n"/>
      <c r="D23" s="31" t="n"/>
      <c r="E23" s="31" t="n"/>
      <c r="F23" s="32" t="n"/>
      <c r="G23" s="33">
        <f>IF(OR($B23="",$D23="",$E23=""),"",IF(OR($C23="Target state",$C23="Exception"),"Out of scope",IF($D23="Low","No tranche",IF($E23="Low","Tranche 1",IF($E23="Medium","Tranche 2",IF($D23="High","Tranche 3","No tranche"))))))</f>
        <v/>
      </c>
      <c r="J23" s="35" t="inlineStr">
        <is>
          <t>Low</t>
        </is>
      </c>
      <c r="K23" s="41">
        <f>_xlfn.TEXTJOIN(CHAR(10),TRUE,U$17:U$26)</f>
        <v/>
      </c>
      <c r="L23" s="41">
        <f>_xlfn.TEXTJOIN(CHAR(10),TRUE,V$17:V$26)</f>
        <v/>
      </c>
      <c r="M23" s="41">
        <f>_xlfn.TEXTJOIN(CHAR(10),TRUE,W$17:W$26)</f>
        <v/>
      </c>
      <c r="O23">
        <f>IF(AND($B23&lt;&gt;"",$C23&lt;&gt;"Target state",$C23&lt;&gt;"Exception",$D23="High",$E23="Low"),$A23&amp;"  "&amp;$B23,"")</f>
        <v/>
      </c>
      <c r="P23">
        <f>IF(AND($B23&lt;&gt;"",$C23&lt;&gt;"Target state",$C23&lt;&gt;"Exception",$D23="High",$E23="Medium"),$A23&amp;"  "&amp;$B23,"")</f>
        <v/>
      </c>
      <c r="Q23">
        <f>IF(AND($B23&lt;&gt;"",$C23&lt;&gt;"Target state",$C23&lt;&gt;"Exception",$D23="High",$E23="High"),$A23&amp;"  "&amp;$B23,"")</f>
        <v/>
      </c>
      <c r="R23">
        <f>IF(AND($B23&lt;&gt;"",$C23&lt;&gt;"Target state",$C23&lt;&gt;"Exception",$D23="Medium",$E23="Low"),$A23&amp;"  "&amp;$B23,"")</f>
        <v/>
      </c>
      <c r="S23">
        <f>IF(AND($B23&lt;&gt;"",$C23&lt;&gt;"Target state",$C23&lt;&gt;"Exception",$D23="Medium",$E23="Medium"),$A23&amp;"  "&amp;$B23,"")</f>
        <v/>
      </c>
      <c r="T23">
        <f>IF(AND($B23&lt;&gt;"",$C23&lt;&gt;"Target state",$C23&lt;&gt;"Exception",$D23="Medium",$E23="High"),$A23&amp;"  "&amp;$B23,"")</f>
        <v/>
      </c>
      <c r="U23">
        <f>IF(AND($B23&lt;&gt;"",$C23&lt;&gt;"Target state",$C23&lt;&gt;"Exception",$D23="Low",$E23="Low"),$A23&amp;"  "&amp;$B23,"")</f>
        <v/>
      </c>
      <c r="V23">
        <f>IF(AND($B23&lt;&gt;"",$C23&lt;&gt;"Target state",$C23&lt;&gt;"Exception",$D23="Low",$E23="Medium"),$A23&amp;"  "&amp;$B23,"")</f>
        <v/>
      </c>
      <c r="W23">
        <f>IF(AND($B23&lt;&gt;"",$C23&lt;&gt;"Target state",$C23&lt;&gt;"Exception",$D23="Low",$E23="High"),$A23&amp;"  "&amp;$B23,"")</f>
        <v/>
      </c>
    </row>
    <row r="24" ht="20" customHeight="1">
      <c r="A24" s="29" t="inlineStr">
        <is>
          <t>⑧</t>
        </is>
      </c>
      <c r="B24" s="30" t="n"/>
      <c r="C24" s="31" t="n"/>
      <c r="D24" s="31" t="n"/>
      <c r="E24" s="31" t="n"/>
      <c r="F24" s="32" t="n"/>
      <c r="G24" s="33">
        <f>IF(OR($B24="",$D24="",$E24=""),"",IF(OR($C24="Target state",$C24="Exception"),"Out of scope",IF($D24="Low","No tranche",IF($E24="Low","Tranche 1",IF($E24="Medium","Tranche 2",IF($D24="High","Tranche 3","No tranche"))))))</f>
        <v/>
      </c>
      <c r="K24" s="39" t="n"/>
      <c r="L24" s="39" t="n"/>
      <c r="M24" s="39" t="n"/>
      <c r="O24">
        <f>IF(AND($B24&lt;&gt;"",$C24&lt;&gt;"Target state",$C24&lt;&gt;"Exception",$D24="High",$E24="Low"),$A24&amp;"  "&amp;$B24,"")</f>
        <v/>
      </c>
      <c r="P24">
        <f>IF(AND($B24&lt;&gt;"",$C24&lt;&gt;"Target state",$C24&lt;&gt;"Exception",$D24="High",$E24="Medium"),$A24&amp;"  "&amp;$B24,"")</f>
        <v/>
      </c>
      <c r="Q24">
        <f>IF(AND($B24&lt;&gt;"",$C24&lt;&gt;"Target state",$C24&lt;&gt;"Exception",$D24="High",$E24="High"),$A24&amp;"  "&amp;$B24,"")</f>
        <v/>
      </c>
      <c r="R24">
        <f>IF(AND($B24&lt;&gt;"",$C24&lt;&gt;"Target state",$C24&lt;&gt;"Exception",$D24="Medium",$E24="Low"),$A24&amp;"  "&amp;$B24,"")</f>
        <v/>
      </c>
      <c r="S24">
        <f>IF(AND($B24&lt;&gt;"",$C24&lt;&gt;"Target state",$C24&lt;&gt;"Exception",$D24="Medium",$E24="Medium"),$A24&amp;"  "&amp;$B24,"")</f>
        <v/>
      </c>
      <c r="T24">
        <f>IF(AND($B24&lt;&gt;"",$C24&lt;&gt;"Target state",$C24&lt;&gt;"Exception",$D24="Medium",$E24="High"),$A24&amp;"  "&amp;$B24,"")</f>
        <v/>
      </c>
      <c r="U24">
        <f>IF(AND($B24&lt;&gt;"",$C24&lt;&gt;"Target state",$C24&lt;&gt;"Exception",$D24="Low",$E24="Low"),$A24&amp;"  "&amp;$B24,"")</f>
        <v/>
      </c>
      <c r="V24">
        <f>IF(AND($B24&lt;&gt;"",$C24&lt;&gt;"Target state",$C24&lt;&gt;"Exception",$D24="Low",$E24="Medium"),$A24&amp;"  "&amp;$B24,"")</f>
        <v/>
      </c>
      <c r="W24">
        <f>IF(AND($B24&lt;&gt;"",$C24&lt;&gt;"Target state",$C24&lt;&gt;"Exception",$D24="Low",$E24="High"),$A24&amp;"  "&amp;$B24,"")</f>
        <v/>
      </c>
    </row>
    <row r="25" ht="20" customHeight="1">
      <c r="A25" s="29" t="inlineStr">
        <is>
          <t>⑨</t>
        </is>
      </c>
      <c r="B25" s="30" t="n"/>
      <c r="C25" s="31" t="n"/>
      <c r="D25" s="31" t="n"/>
      <c r="E25" s="31" t="n"/>
      <c r="F25" s="32" t="n"/>
      <c r="G25" s="33">
        <f>IF(OR($B25="",$D25="",$E25=""),"",IF(OR($C25="Target state",$C25="Exception"),"Out of scope",IF($D25="Low","No tranche",IF($E25="Low","Tranche 1",IF($E25="Medium","Tranche 2",IF($D25="High","Tranche 3","No tranche"))))))</f>
        <v/>
      </c>
      <c r="K25" s="40" t="n"/>
      <c r="L25" s="40" t="n"/>
      <c r="M25" s="40" t="n"/>
      <c r="O25">
        <f>IF(AND($B25&lt;&gt;"",$C25&lt;&gt;"Target state",$C25&lt;&gt;"Exception",$D25="High",$E25="Low"),$A25&amp;"  "&amp;$B25,"")</f>
        <v/>
      </c>
      <c r="P25">
        <f>IF(AND($B25&lt;&gt;"",$C25&lt;&gt;"Target state",$C25&lt;&gt;"Exception",$D25="High",$E25="Medium"),$A25&amp;"  "&amp;$B25,"")</f>
        <v/>
      </c>
      <c r="Q25">
        <f>IF(AND($B25&lt;&gt;"",$C25&lt;&gt;"Target state",$C25&lt;&gt;"Exception",$D25="High",$E25="High"),$A25&amp;"  "&amp;$B25,"")</f>
        <v/>
      </c>
      <c r="R25">
        <f>IF(AND($B25&lt;&gt;"",$C25&lt;&gt;"Target state",$C25&lt;&gt;"Exception",$D25="Medium",$E25="Low"),$A25&amp;"  "&amp;$B25,"")</f>
        <v/>
      </c>
      <c r="S25">
        <f>IF(AND($B25&lt;&gt;"",$C25&lt;&gt;"Target state",$C25&lt;&gt;"Exception",$D25="Medium",$E25="Medium"),$A25&amp;"  "&amp;$B25,"")</f>
        <v/>
      </c>
      <c r="T25">
        <f>IF(AND($B25&lt;&gt;"",$C25&lt;&gt;"Target state",$C25&lt;&gt;"Exception",$D25="Medium",$E25="High"),$A25&amp;"  "&amp;$B25,"")</f>
        <v/>
      </c>
      <c r="U25">
        <f>IF(AND($B25&lt;&gt;"",$C25&lt;&gt;"Target state",$C25&lt;&gt;"Exception",$D25="Low",$E25="Low"),$A25&amp;"  "&amp;$B25,"")</f>
        <v/>
      </c>
      <c r="V25">
        <f>IF(AND($B25&lt;&gt;"",$C25&lt;&gt;"Target state",$C25&lt;&gt;"Exception",$D25="Low",$E25="Medium"),$A25&amp;"  "&amp;$B25,"")</f>
        <v/>
      </c>
      <c r="W25">
        <f>IF(AND($B25&lt;&gt;"",$C25&lt;&gt;"Target state",$C25&lt;&gt;"Exception",$D25="Low",$E25="High"),$A25&amp;"  "&amp;$B25,"")</f>
        <v/>
      </c>
    </row>
    <row r="26" ht="20" customHeight="1">
      <c r="A26" s="29" t="inlineStr">
        <is>
          <t>⑩</t>
        </is>
      </c>
      <c r="B26" s="30" t="n"/>
      <c r="C26" s="31" t="n"/>
      <c r="D26" s="31" t="n"/>
      <c r="E26" s="31" t="n"/>
      <c r="F26" s="32" t="n"/>
      <c r="G26" s="33">
        <f>IF(OR($B26="",$D26="",$E26=""),"",IF(OR($C26="Target state",$C26="Exception"),"Out of scope",IF($D26="Low","No tranche",IF($E26="Low","Tranche 1",IF($E26="Medium","Tranche 2",IF($D26="High","Tranche 3","No tranche"))))))</f>
        <v/>
      </c>
      <c r="K26" s="35" t="inlineStr">
        <is>
          <t>Complexity</t>
        </is>
      </c>
      <c r="O26">
        <f>IF(AND($B26&lt;&gt;"",$C26&lt;&gt;"Target state",$C26&lt;&gt;"Exception",$D26="High",$E26="Low"),$A26&amp;"  "&amp;$B26,"")</f>
        <v/>
      </c>
      <c r="P26">
        <f>IF(AND($B26&lt;&gt;"",$C26&lt;&gt;"Target state",$C26&lt;&gt;"Exception",$D26="High",$E26="Medium"),$A26&amp;"  "&amp;$B26,"")</f>
        <v/>
      </c>
      <c r="Q26">
        <f>IF(AND($B26&lt;&gt;"",$C26&lt;&gt;"Target state",$C26&lt;&gt;"Exception",$D26="High",$E26="High"),$A26&amp;"  "&amp;$B26,"")</f>
        <v/>
      </c>
      <c r="R26">
        <f>IF(AND($B26&lt;&gt;"",$C26&lt;&gt;"Target state",$C26&lt;&gt;"Exception",$D26="Medium",$E26="Low"),$A26&amp;"  "&amp;$B26,"")</f>
        <v/>
      </c>
      <c r="S26">
        <f>IF(AND($B26&lt;&gt;"",$C26&lt;&gt;"Target state",$C26&lt;&gt;"Exception",$D26="Medium",$E26="Medium"),$A26&amp;"  "&amp;$B26,"")</f>
        <v/>
      </c>
      <c r="T26">
        <f>IF(AND($B26&lt;&gt;"",$C26&lt;&gt;"Target state",$C26&lt;&gt;"Exception",$D26="Medium",$E26="High"),$A26&amp;"  "&amp;$B26,"")</f>
        <v/>
      </c>
      <c r="U26">
        <f>IF(AND($B26&lt;&gt;"",$C26&lt;&gt;"Target state",$C26&lt;&gt;"Exception",$D26="Low",$E26="Low"),$A26&amp;"  "&amp;$B26,"")</f>
        <v/>
      </c>
      <c r="V26">
        <f>IF(AND($B26&lt;&gt;"",$C26&lt;&gt;"Target state",$C26&lt;&gt;"Exception",$D26="Low",$E26="Medium"),$A26&amp;"  "&amp;$B26,"")</f>
        <v/>
      </c>
      <c r="W26">
        <f>IF(AND($B26&lt;&gt;"",$C26&lt;&gt;"Target state",$C26&lt;&gt;"Exception",$D26="Low",$E26="High"),$A26&amp;"  "&amp;$B26,"")</f>
        <v/>
      </c>
    </row>
    <row r="29" ht="22" customHeight="1">
      <c r="A29" s="24" t="inlineStr">
        <is>
          <t>Networking Payment Tokens</t>
        </is>
      </c>
      <c r="G29" s="25">
        <f>HYPERLINK("#'VAS'!A4","▲ tracker")</f>
        <v/>
      </c>
      <c r="K29" s="26" t="inlineStr">
        <is>
          <t>Assessment Outcome</t>
        </is>
      </c>
    </row>
    <row r="30" ht="18" customHeight="1">
      <c r="A30" s="27" t="inlineStr">
        <is>
          <t>#</t>
        </is>
      </c>
      <c r="B30" s="27" t="inlineStr">
        <is>
          <t>Platform</t>
        </is>
      </c>
      <c r="C30" s="27" t="inlineStr">
        <is>
          <t>State</t>
        </is>
      </c>
      <c r="D30" s="27" t="inlineStr">
        <is>
          <t>Imperative to exit</t>
        </is>
      </c>
      <c r="E30" s="27" t="inlineStr">
        <is>
          <t>Exit complexity</t>
        </is>
      </c>
      <c r="F30" s="27" t="inlineStr">
        <is>
          <t>Supporting facts</t>
        </is>
      </c>
      <c r="G30" s="27" t="inlineStr">
        <is>
          <t>Tranche (auto)</t>
        </is>
      </c>
      <c r="K30" s="28" t="inlineStr">
        <is>
          <t>Low</t>
        </is>
      </c>
      <c r="L30" s="28" t="inlineStr">
        <is>
          <t>Medium</t>
        </is>
      </c>
      <c r="M30" s="28" t="inlineStr">
        <is>
          <t>High</t>
        </is>
      </c>
    </row>
    <row r="31" ht="20" customHeight="1">
      <c r="A31" s="29" t="inlineStr">
        <is>
          <t>①</t>
        </is>
      </c>
      <c r="B31" s="30" t="n"/>
      <c r="C31" s="31" t="n"/>
      <c r="D31" s="31" t="n"/>
      <c r="E31" s="31" t="n"/>
      <c r="F31" s="32" t="n"/>
      <c r="G31" s="33">
        <f>IF(OR($B31="",$D31="",$E31=""),"",IF(OR($C31="Target state",$C31="Exception"),"Out of scope",IF($D31="Low","No tranche",IF($E31="Low","Tranche 1",IF($E31="Medium","Tranche 2",IF($D31="High","Tranche 3","No tranche"))))))</f>
        <v/>
      </c>
      <c r="I31" s="34" t="inlineStr">
        <is>
          <t>Benefits</t>
        </is>
      </c>
      <c r="J31" s="35" t="inlineStr">
        <is>
          <t>High</t>
        </is>
      </c>
      <c r="K31" s="36">
        <f>"Tranche 1"&amp;CHAR(10)&amp;_xlfn.TEXTJOIN(CHAR(10),TRUE,O$31:O$40)</f>
        <v/>
      </c>
      <c r="L31" s="37">
        <f>"Tranche 2"&amp;CHAR(10)&amp;_xlfn.TEXTJOIN(CHAR(10),TRUE,P$31:P$40)</f>
        <v/>
      </c>
      <c r="M31" s="38">
        <f>"Tranche 3"&amp;CHAR(10)&amp;_xlfn.TEXTJOIN(CHAR(10),TRUE,Q$31:Q$40)</f>
        <v/>
      </c>
      <c r="O31">
        <f>IF(AND($B31&lt;&gt;"",$C31&lt;&gt;"Target state",$C31&lt;&gt;"Exception",$D31="High",$E31="Low"),$A31&amp;"  "&amp;$B31,"")</f>
        <v/>
      </c>
      <c r="P31">
        <f>IF(AND($B31&lt;&gt;"",$C31&lt;&gt;"Target state",$C31&lt;&gt;"Exception",$D31="High",$E31="Medium"),$A31&amp;"  "&amp;$B31,"")</f>
        <v/>
      </c>
      <c r="Q31">
        <f>IF(AND($B31&lt;&gt;"",$C31&lt;&gt;"Target state",$C31&lt;&gt;"Exception",$D31="High",$E31="High"),$A31&amp;"  "&amp;$B31,"")</f>
        <v/>
      </c>
      <c r="R31">
        <f>IF(AND($B31&lt;&gt;"",$C31&lt;&gt;"Target state",$C31&lt;&gt;"Exception",$D31="Medium",$E31="Low"),$A31&amp;"  "&amp;$B31,"")</f>
        <v/>
      </c>
      <c r="S31">
        <f>IF(AND($B31&lt;&gt;"",$C31&lt;&gt;"Target state",$C31&lt;&gt;"Exception",$D31="Medium",$E31="Medium"),$A31&amp;"  "&amp;$B31,"")</f>
        <v/>
      </c>
      <c r="T31">
        <f>IF(AND($B31&lt;&gt;"",$C31&lt;&gt;"Target state",$C31&lt;&gt;"Exception",$D31="Medium",$E31="High"),$A31&amp;"  "&amp;$B31,"")</f>
        <v/>
      </c>
      <c r="U31">
        <f>IF(AND($B31&lt;&gt;"",$C31&lt;&gt;"Target state",$C31&lt;&gt;"Exception",$D31="Low",$E31="Low"),$A31&amp;"  "&amp;$B31,"")</f>
        <v/>
      </c>
      <c r="V31">
        <f>IF(AND($B31&lt;&gt;"",$C31&lt;&gt;"Target state",$C31&lt;&gt;"Exception",$D31="Low",$E31="Medium"),$A31&amp;"  "&amp;$B31,"")</f>
        <v/>
      </c>
      <c r="W31">
        <f>IF(AND($B31&lt;&gt;"",$C31&lt;&gt;"Target state",$C31&lt;&gt;"Exception",$D31="Low",$E31="High"),$A31&amp;"  "&amp;$B31,"")</f>
        <v/>
      </c>
    </row>
    <row r="32" ht="20" customHeight="1">
      <c r="A32" s="29" t="inlineStr">
        <is>
          <t>②</t>
        </is>
      </c>
      <c r="B32" s="30" t="n"/>
      <c r="C32" s="31" t="n"/>
      <c r="D32" s="31" t="n"/>
      <c r="E32" s="31" t="n"/>
      <c r="F32" s="32" t="n"/>
      <c r="G32" s="33">
        <f>IF(OR($B32="",$D32="",$E32=""),"",IF(OR($C32="Target state",$C32="Exception"),"Out of scope",IF($D32="Low","No tranche",IF($E32="Low","Tranche 1",IF($E32="Medium","Tranche 2",IF($D32="High","Tranche 3","No tranche"))))))</f>
        <v/>
      </c>
      <c r="K32" s="39" t="n"/>
      <c r="L32" s="39" t="n"/>
      <c r="M32" s="39" t="n"/>
      <c r="O32">
        <f>IF(AND($B32&lt;&gt;"",$C32&lt;&gt;"Target state",$C32&lt;&gt;"Exception",$D32="High",$E32="Low"),$A32&amp;"  "&amp;$B32,"")</f>
        <v/>
      </c>
      <c r="P32">
        <f>IF(AND($B32&lt;&gt;"",$C32&lt;&gt;"Target state",$C32&lt;&gt;"Exception",$D32="High",$E32="Medium"),$A32&amp;"  "&amp;$B32,"")</f>
        <v/>
      </c>
      <c r="Q32">
        <f>IF(AND($B32&lt;&gt;"",$C32&lt;&gt;"Target state",$C32&lt;&gt;"Exception",$D32="High",$E32="High"),$A32&amp;"  "&amp;$B32,"")</f>
        <v/>
      </c>
      <c r="R32">
        <f>IF(AND($B32&lt;&gt;"",$C32&lt;&gt;"Target state",$C32&lt;&gt;"Exception",$D32="Medium",$E32="Low"),$A32&amp;"  "&amp;$B32,"")</f>
        <v/>
      </c>
      <c r="S32">
        <f>IF(AND($B32&lt;&gt;"",$C32&lt;&gt;"Target state",$C32&lt;&gt;"Exception",$D32="Medium",$E32="Medium"),$A32&amp;"  "&amp;$B32,"")</f>
        <v/>
      </c>
      <c r="T32">
        <f>IF(AND($B32&lt;&gt;"",$C32&lt;&gt;"Target state",$C32&lt;&gt;"Exception",$D32="Medium",$E32="High"),$A32&amp;"  "&amp;$B32,"")</f>
        <v/>
      </c>
      <c r="U32">
        <f>IF(AND($B32&lt;&gt;"",$C32&lt;&gt;"Target state",$C32&lt;&gt;"Exception",$D32="Low",$E32="Low"),$A32&amp;"  "&amp;$B32,"")</f>
        <v/>
      </c>
      <c r="V32">
        <f>IF(AND($B32&lt;&gt;"",$C32&lt;&gt;"Target state",$C32&lt;&gt;"Exception",$D32="Low",$E32="Medium"),$A32&amp;"  "&amp;$B32,"")</f>
        <v/>
      </c>
      <c r="W32">
        <f>IF(AND($B32&lt;&gt;"",$C32&lt;&gt;"Target state",$C32&lt;&gt;"Exception",$D32="Low",$E32="High"),$A32&amp;"  "&amp;$B32,"")</f>
        <v/>
      </c>
    </row>
    <row r="33" ht="20" customHeight="1">
      <c r="A33" s="29" t="inlineStr">
        <is>
          <t>③</t>
        </is>
      </c>
      <c r="B33" s="30" t="n"/>
      <c r="C33" s="31" t="n"/>
      <c r="D33" s="31" t="n"/>
      <c r="E33" s="31" t="n"/>
      <c r="F33" s="32" t="n"/>
      <c r="G33" s="33">
        <f>IF(OR($B33="",$D33="",$E33=""),"",IF(OR($C33="Target state",$C33="Exception"),"Out of scope",IF($D33="Low","No tranche",IF($E33="Low","Tranche 1",IF($E33="Medium","Tranche 2",IF($D33="High","Tranche 3","No tranche"))))))</f>
        <v/>
      </c>
      <c r="K33" s="40" t="n"/>
      <c r="L33" s="40" t="n"/>
      <c r="M33" s="40" t="n"/>
      <c r="O33">
        <f>IF(AND($B33&lt;&gt;"",$C33&lt;&gt;"Target state",$C33&lt;&gt;"Exception",$D33="High",$E33="Low"),$A33&amp;"  "&amp;$B33,"")</f>
        <v/>
      </c>
      <c r="P33">
        <f>IF(AND($B33&lt;&gt;"",$C33&lt;&gt;"Target state",$C33&lt;&gt;"Exception",$D33="High",$E33="Medium"),$A33&amp;"  "&amp;$B33,"")</f>
        <v/>
      </c>
      <c r="Q33">
        <f>IF(AND($B33&lt;&gt;"",$C33&lt;&gt;"Target state",$C33&lt;&gt;"Exception",$D33="High",$E33="High"),$A33&amp;"  "&amp;$B33,"")</f>
        <v/>
      </c>
      <c r="R33">
        <f>IF(AND($B33&lt;&gt;"",$C33&lt;&gt;"Target state",$C33&lt;&gt;"Exception",$D33="Medium",$E33="Low"),$A33&amp;"  "&amp;$B33,"")</f>
        <v/>
      </c>
      <c r="S33">
        <f>IF(AND($B33&lt;&gt;"",$C33&lt;&gt;"Target state",$C33&lt;&gt;"Exception",$D33="Medium",$E33="Medium"),$A33&amp;"  "&amp;$B33,"")</f>
        <v/>
      </c>
      <c r="T33">
        <f>IF(AND($B33&lt;&gt;"",$C33&lt;&gt;"Target state",$C33&lt;&gt;"Exception",$D33="Medium",$E33="High"),$A33&amp;"  "&amp;$B33,"")</f>
        <v/>
      </c>
      <c r="U33">
        <f>IF(AND($B33&lt;&gt;"",$C33&lt;&gt;"Target state",$C33&lt;&gt;"Exception",$D33="Low",$E33="Low"),$A33&amp;"  "&amp;$B33,"")</f>
        <v/>
      </c>
      <c r="V33">
        <f>IF(AND($B33&lt;&gt;"",$C33&lt;&gt;"Target state",$C33&lt;&gt;"Exception",$D33="Low",$E33="Medium"),$A33&amp;"  "&amp;$B33,"")</f>
        <v/>
      </c>
      <c r="W33">
        <f>IF(AND($B33&lt;&gt;"",$C33&lt;&gt;"Target state",$C33&lt;&gt;"Exception",$D33="Low",$E33="High"),$A33&amp;"  "&amp;$B33,"")</f>
        <v/>
      </c>
    </row>
    <row r="34" ht="20" customHeight="1">
      <c r="A34" s="29" t="inlineStr">
        <is>
          <t>④</t>
        </is>
      </c>
      <c r="B34" s="30" t="n"/>
      <c r="C34" s="31" t="n"/>
      <c r="D34" s="31" t="n"/>
      <c r="E34" s="31" t="n"/>
      <c r="F34" s="32" t="n"/>
      <c r="G34" s="33">
        <f>IF(OR($B34="",$D34="",$E34=""),"",IF(OR($C34="Target state",$C34="Exception"),"Out of scope",IF($D34="Low","No tranche",IF($E34="Low","Tranche 1",IF($E34="Medium","Tranche 2",IF($D34="High","Tranche 3","No tranche"))))))</f>
        <v/>
      </c>
      <c r="J34" s="35" t="inlineStr">
        <is>
          <t>Medium</t>
        </is>
      </c>
      <c r="K34" s="36">
        <f>"Tranche 1"&amp;CHAR(10)&amp;_xlfn.TEXTJOIN(CHAR(10),TRUE,R$31:R$40)</f>
        <v/>
      </c>
      <c r="L34" s="37">
        <f>"Tranche 2"&amp;CHAR(10)&amp;_xlfn.TEXTJOIN(CHAR(10),TRUE,S$31:S$40)</f>
        <v/>
      </c>
      <c r="M34" s="41">
        <f>_xlfn.TEXTJOIN(CHAR(10),TRUE,T$31:T$40)</f>
        <v/>
      </c>
      <c r="O34">
        <f>IF(AND($B34&lt;&gt;"",$C34&lt;&gt;"Target state",$C34&lt;&gt;"Exception",$D34="High",$E34="Low"),$A34&amp;"  "&amp;$B34,"")</f>
        <v/>
      </c>
      <c r="P34">
        <f>IF(AND($B34&lt;&gt;"",$C34&lt;&gt;"Target state",$C34&lt;&gt;"Exception",$D34="High",$E34="Medium"),$A34&amp;"  "&amp;$B34,"")</f>
        <v/>
      </c>
      <c r="Q34">
        <f>IF(AND($B34&lt;&gt;"",$C34&lt;&gt;"Target state",$C34&lt;&gt;"Exception",$D34="High",$E34="High"),$A34&amp;"  "&amp;$B34,"")</f>
        <v/>
      </c>
      <c r="R34">
        <f>IF(AND($B34&lt;&gt;"",$C34&lt;&gt;"Target state",$C34&lt;&gt;"Exception",$D34="Medium",$E34="Low"),$A34&amp;"  "&amp;$B34,"")</f>
        <v/>
      </c>
      <c r="S34">
        <f>IF(AND($B34&lt;&gt;"",$C34&lt;&gt;"Target state",$C34&lt;&gt;"Exception",$D34="Medium",$E34="Medium"),$A34&amp;"  "&amp;$B34,"")</f>
        <v/>
      </c>
      <c r="T34">
        <f>IF(AND($B34&lt;&gt;"",$C34&lt;&gt;"Target state",$C34&lt;&gt;"Exception",$D34="Medium",$E34="High"),$A34&amp;"  "&amp;$B34,"")</f>
        <v/>
      </c>
      <c r="U34">
        <f>IF(AND($B34&lt;&gt;"",$C34&lt;&gt;"Target state",$C34&lt;&gt;"Exception",$D34="Low",$E34="Low"),$A34&amp;"  "&amp;$B34,"")</f>
        <v/>
      </c>
      <c r="V34">
        <f>IF(AND($B34&lt;&gt;"",$C34&lt;&gt;"Target state",$C34&lt;&gt;"Exception",$D34="Low",$E34="Medium"),$A34&amp;"  "&amp;$B34,"")</f>
        <v/>
      </c>
      <c r="W34">
        <f>IF(AND($B34&lt;&gt;"",$C34&lt;&gt;"Target state",$C34&lt;&gt;"Exception",$D34="Low",$E34="High"),$A34&amp;"  "&amp;$B34,"")</f>
        <v/>
      </c>
    </row>
    <row r="35" ht="20" customHeight="1">
      <c r="A35" s="29" t="inlineStr">
        <is>
          <t>⑤</t>
        </is>
      </c>
      <c r="B35" s="30" t="n"/>
      <c r="C35" s="31" t="n"/>
      <c r="D35" s="31" t="n"/>
      <c r="E35" s="31" t="n"/>
      <c r="F35" s="32" t="n"/>
      <c r="G35" s="33">
        <f>IF(OR($B35="",$D35="",$E35=""),"",IF(OR($C35="Target state",$C35="Exception"),"Out of scope",IF($D35="Low","No tranche",IF($E35="Low","Tranche 1",IF($E35="Medium","Tranche 2",IF($D35="High","Tranche 3","No tranche"))))))</f>
        <v/>
      </c>
      <c r="K35" s="39" t="n"/>
      <c r="L35" s="39" t="n"/>
      <c r="M35" s="39" t="n"/>
      <c r="O35">
        <f>IF(AND($B35&lt;&gt;"",$C35&lt;&gt;"Target state",$C35&lt;&gt;"Exception",$D35="High",$E35="Low"),$A35&amp;"  "&amp;$B35,"")</f>
        <v/>
      </c>
      <c r="P35">
        <f>IF(AND($B35&lt;&gt;"",$C35&lt;&gt;"Target state",$C35&lt;&gt;"Exception",$D35="High",$E35="Medium"),$A35&amp;"  "&amp;$B35,"")</f>
        <v/>
      </c>
      <c r="Q35">
        <f>IF(AND($B35&lt;&gt;"",$C35&lt;&gt;"Target state",$C35&lt;&gt;"Exception",$D35="High",$E35="High"),$A35&amp;"  "&amp;$B35,"")</f>
        <v/>
      </c>
      <c r="R35">
        <f>IF(AND($B35&lt;&gt;"",$C35&lt;&gt;"Target state",$C35&lt;&gt;"Exception",$D35="Medium",$E35="Low"),$A35&amp;"  "&amp;$B35,"")</f>
        <v/>
      </c>
      <c r="S35">
        <f>IF(AND($B35&lt;&gt;"",$C35&lt;&gt;"Target state",$C35&lt;&gt;"Exception",$D35="Medium",$E35="Medium"),$A35&amp;"  "&amp;$B35,"")</f>
        <v/>
      </c>
      <c r="T35">
        <f>IF(AND($B35&lt;&gt;"",$C35&lt;&gt;"Target state",$C35&lt;&gt;"Exception",$D35="Medium",$E35="High"),$A35&amp;"  "&amp;$B35,"")</f>
        <v/>
      </c>
      <c r="U35">
        <f>IF(AND($B35&lt;&gt;"",$C35&lt;&gt;"Target state",$C35&lt;&gt;"Exception",$D35="Low",$E35="Low"),$A35&amp;"  "&amp;$B35,"")</f>
        <v/>
      </c>
      <c r="V35">
        <f>IF(AND($B35&lt;&gt;"",$C35&lt;&gt;"Target state",$C35&lt;&gt;"Exception",$D35="Low",$E35="Medium"),$A35&amp;"  "&amp;$B35,"")</f>
        <v/>
      </c>
      <c r="W35">
        <f>IF(AND($B35&lt;&gt;"",$C35&lt;&gt;"Target state",$C35&lt;&gt;"Exception",$D35="Low",$E35="High"),$A35&amp;"  "&amp;$B35,"")</f>
        <v/>
      </c>
    </row>
    <row r="36" ht="20" customHeight="1">
      <c r="A36" s="29" t="inlineStr">
        <is>
          <t>⑥</t>
        </is>
      </c>
      <c r="B36" s="30" t="n"/>
      <c r="C36" s="31" t="n"/>
      <c r="D36" s="31" t="n"/>
      <c r="E36" s="31" t="n"/>
      <c r="F36" s="32" t="n"/>
      <c r="G36" s="33">
        <f>IF(OR($B36="",$D36="",$E36=""),"",IF(OR($C36="Target state",$C36="Exception"),"Out of scope",IF($D36="Low","No tranche",IF($E36="Low","Tranche 1",IF($E36="Medium","Tranche 2",IF($D36="High","Tranche 3","No tranche"))))))</f>
        <v/>
      </c>
      <c r="K36" s="40" t="n"/>
      <c r="L36" s="40" t="n"/>
      <c r="M36" s="40" t="n"/>
      <c r="O36">
        <f>IF(AND($B36&lt;&gt;"",$C36&lt;&gt;"Target state",$C36&lt;&gt;"Exception",$D36="High",$E36="Low"),$A36&amp;"  "&amp;$B36,"")</f>
        <v/>
      </c>
      <c r="P36">
        <f>IF(AND($B36&lt;&gt;"",$C36&lt;&gt;"Target state",$C36&lt;&gt;"Exception",$D36="High",$E36="Medium"),$A36&amp;"  "&amp;$B36,"")</f>
        <v/>
      </c>
      <c r="Q36">
        <f>IF(AND($B36&lt;&gt;"",$C36&lt;&gt;"Target state",$C36&lt;&gt;"Exception",$D36="High",$E36="High"),$A36&amp;"  "&amp;$B36,"")</f>
        <v/>
      </c>
      <c r="R36">
        <f>IF(AND($B36&lt;&gt;"",$C36&lt;&gt;"Target state",$C36&lt;&gt;"Exception",$D36="Medium",$E36="Low"),$A36&amp;"  "&amp;$B36,"")</f>
        <v/>
      </c>
      <c r="S36">
        <f>IF(AND($B36&lt;&gt;"",$C36&lt;&gt;"Target state",$C36&lt;&gt;"Exception",$D36="Medium",$E36="Medium"),$A36&amp;"  "&amp;$B36,"")</f>
        <v/>
      </c>
      <c r="T36">
        <f>IF(AND($B36&lt;&gt;"",$C36&lt;&gt;"Target state",$C36&lt;&gt;"Exception",$D36="Medium",$E36="High"),$A36&amp;"  "&amp;$B36,"")</f>
        <v/>
      </c>
      <c r="U36">
        <f>IF(AND($B36&lt;&gt;"",$C36&lt;&gt;"Target state",$C36&lt;&gt;"Exception",$D36="Low",$E36="Low"),$A36&amp;"  "&amp;$B36,"")</f>
        <v/>
      </c>
      <c r="V36">
        <f>IF(AND($B36&lt;&gt;"",$C36&lt;&gt;"Target state",$C36&lt;&gt;"Exception",$D36="Low",$E36="Medium"),$A36&amp;"  "&amp;$B36,"")</f>
        <v/>
      </c>
      <c r="W36">
        <f>IF(AND($B36&lt;&gt;"",$C36&lt;&gt;"Target state",$C36&lt;&gt;"Exception",$D36="Low",$E36="High"),$A36&amp;"  "&amp;$B36,"")</f>
        <v/>
      </c>
    </row>
    <row r="37" ht="20" customHeight="1">
      <c r="A37" s="29" t="inlineStr">
        <is>
          <t>⑦</t>
        </is>
      </c>
      <c r="B37" s="30" t="n"/>
      <c r="C37" s="31" t="n"/>
      <c r="D37" s="31" t="n"/>
      <c r="E37" s="31" t="n"/>
      <c r="F37" s="32" t="n"/>
      <c r="G37" s="33">
        <f>IF(OR($B37="",$D37="",$E37=""),"",IF(OR($C37="Target state",$C37="Exception"),"Out of scope",IF($D37="Low","No tranche",IF($E37="Low","Tranche 1",IF($E37="Medium","Tranche 2",IF($D37="High","Tranche 3","No tranche"))))))</f>
        <v/>
      </c>
      <c r="J37" s="35" t="inlineStr">
        <is>
          <t>Low</t>
        </is>
      </c>
      <c r="K37" s="41">
        <f>_xlfn.TEXTJOIN(CHAR(10),TRUE,U$31:U$40)</f>
        <v/>
      </c>
      <c r="L37" s="41">
        <f>_xlfn.TEXTJOIN(CHAR(10),TRUE,V$31:V$40)</f>
        <v/>
      </c>
      <c r="M37" s="41">
        <f>_xlfn.TEXTJOIN(CHAR(10),TRUE,W$31:W$40)</f>
        <v/>
      </c>
      <c r="O37">
        <f>IF(AND($B37&lt;&gt;"",$C37&lt;&gt;"Target state",$C37&lt;&gt;"Exception",$D37="High",$E37="Low"),$A37&amp;"  "&amp;$B37,"")</f>
        <v/>
      </c>
      <c r="P37">
        <f>IF(AND($B37&lt;&gt;"",$C37&lt;&gt;"Target state",$C37&lt;&gt;"Exception",$D37="High",$E37="Medium"),$A37&amp;"  "&amp;$B37,"")</f>
        <v/>
      </c>
      <c r="Q37">
        <f>IF(AND($B37&lt;&gt;"",$C37&lt;&gt;"Target state",$C37&lt;&gt;"Exception",$D37="High",$E37="High"),$A37&amp;"  "&amp;$B37,"")</f>
        <v/>
      </c>
      <c r="R37">
        <f>IF(AND($B37&lt;&gt;"",$C37&lt;&gt;"Target state",$C37&lt;&gt;"Exception",$D37="Medium",$E37="Low"),$A37&amp;"  "&amp;$B37,"")</f>
        <v/>
      </c>
      <c r="S37">
        <f>IF(AND($B37&lt;&gt;"",$C37&lt;&gt;"Target state",$C37&lt;&gt;"Exception",$D37="Medium",$E37="Medium"),$A37&amp;"  "&amp;$B37,"")</f>
        <v/>
      </c>
      <c r="T37">
        <f>IF(AND($B37&lt;&gt;"",$C37&lt;&gt;"Target state",$C37&lt;&gt;"Exception",$D37="Medium",$E37="High"),$A37&amp;"  "&amp;$B37,"")</f>
        <v/>
      </c>
      <c r="U37">
        <f>IF(AND($B37&lt;&gt;"",$C37&lt;&gt;"Target state",$C37&lt;&gt;"Exception",$D37="Low",$E37="Low"),$A37&amp;"  "&amp;$B37,"")</f>
        <v/>
      </c>
      <c r="V37">
        <f>IF(AND($B37&lt;&gt;"",$C37&lt;&gt;"Target state",$C37&lt;&gt;"Exception",$D37="Low",$E37="Medium"),$A37&amp;"  "&amp;$B37,"")</f>
        <v/>
      </c>
      <c r="W37">
        <f>IF(AND($B37&lt;&gt;"",$C37&lt;&gt;"Target state",$C37&lt;&gt;"Exception",$D37="Low",$E37="High"),$A37&amp;"  "&amp;$B37,"")</f>
        <v/>
      </c>
    </row>
    <row r="38" ht="20" customHeight="1">
      <c r="A38" s="29" t="inlineStr">
        <is>
          <t>⑧</t>
        </is>
      </c>
      <c r="B38" s="30" t="n"/>
      <c r="C38" s="31" t="n"/>
      <c r="D38" s="31" t="n"/>
      <c r="E38" s="31" t="n"/>
      <c r="F38" s="32" t="n"/>
      <c r="G38" s="33">
        <f>IF(OR($B38="",$D38="",$E38=""),"",IF(OR($C38="Target state",$C38="Exception"),"Out of scope",IF($D38="Low","No tranche",IF($E38="Low","Tranche 1",IF($E38="Medium","Tranche 2",IF($D38="High","Tranche 3","No tranche"))))))</f>
        <v/>
      </c>
      <c r="K38" s="39" t="n"/>
      <c r="L38" s="39" t="n"/>
      <c r="M38" s="39" t="n"/>
      <c r="O38">
        <f>IF(AND($B38&lt;&gt;"",$C38&lt;&gt;"Target state",$C38&lt;&gt;"Exception",$D38="High",$E38="Low"),$A38&amp;"  "&amp;$B38,"")</f>
        <v/>
      </c>
      <c r="P38">
        <f>IF(AND($B38&lt;&gt;"",$C38&lt;&gt;"Target state",$C38&lt;&gt;"Exception",$D38="High",$E38="Medium"),$A38&amp;"  "&amp;$B38,"")</f>
        <v/>
      </c>
      <c r="Q38">
        <f>IF(AND($B38&lt;&gt;"",$C38&lt;&gt;"Target state",$C38&lt;&gt;"Exception",$D38="High",$E38="High"),$A38&amp;"  "&amp;$B38,"")</f>
        <v/>
      </c>
      <c r="R38">
        <f>IF(AND($B38&lt;&gt;"",$C38&lt;&gt;"Target state",$C38&lt;&gt;"Exception",$D38="Medium",$E38="Low"),$A38&amp;"  "&amp;$B38,"")</f>
        <v/>
      </c>
      <c r="S38">
        <f>IF(AND($B38&lt;&gt;"",$C38&lt;&gt;"Target state",$C38&lt;&gt;"Exception",$D38="Medium",$E38="Medium"),$A38&amp;"  "&amp;$B38,"")</f>
        <v/>
      </c>
      <c r="T38">
        <f>IF(AND($B38&lt;&gt;"",$C38&lt;&gt;"Target state",$C38&lt;&gt;"Exception",$D38="Medium",$E38="High"),$A38&amp;"  "&amp;$B38,"")</f>
        <v/>
      </c>
      <c r="U38">
        <f>IF(AND($B38&lt;&gt;"",$C38&lt;&gt;"Target state",$C38&lt;&gt;"Exception",$D38="Low",$E38="Low"),$A38&amp;"  "&amp;$B38,"")</f>
        <v/>
      </c>
      <c r="V38">
        <f>IF(AND($B38&lt;&gt;"",$C38&lt;&gt;"Target state",$C38&lt;&gt;"Exception",$D38="Low",$E38="Medium"),$A38&amp;"  "&amp;$B38,"")</f>
        <v/>
      </c>
      <c r="W38">
        <f>IF(AND($B38&lt;&gt;"",$C38&lt;&gt;"Target state",$C38&lt;&gt;"Exception",$D38="Low",$E38="High"),$A38&amp;"  "&amp;$B38,"")</f>
        <v/>
      </c>
    </row>
    <row r="39" ht="20" customHeight="1">
      <c r="A39" s="29" t="inlineStr">
        <is>
          <t>⑨</t>
        </is>
      </c>
      <c r="B39" s="30" t="n"/>
      <c r="C39" s="31" t="n"/>
      <c r="D39" s="31" t="n"/>
      <c r="E39" s="31" t="n"/>
      <c r="F39" s="32" t="n"/>
      <c r="G39" s="33">
        <f>IF(OR($B39="",$D39="",$E39=""),"",IF(OR($C39="Target state",$C39="Exception"),"Out of scope",IF($D39="Low","No tranche",IF($E39="Low","Tranche 1",IF($E39="Medium","Tranche 2",IF($D39="High","Tranche 3","No tranche"))))))</f>
        <v/>
      </c>
      <c r="K39" s="40" t="n"/>
      <c r="L39" s="40" t="n"/>
      <c r="M39" s="40" t="n"/>
      <c r="O39">
        <f>IF(AND($B39&lt;&gt;"",$C39&lt;&gt;"Target state",$C39&lt;&gt;"Exception",$D39="High",$E39="Low"),$A39&amp;"  "&amp;$B39,"")</f>
        <v/>
      </c>
      <c r="P39">
        <f>IF(AND($B39&lt;&gt;"",$C39&lt;&gt;"Target state",$C39&lt;&gt;"Exception",$D39="High",$E39="Medium"),$A39&amp;"  "&amp;$B39,"")</f>
        <v/>
      </c>
      <c r="Q39">
        <f>IF(AND($B39&lt;&gt;"",$C39&lt;&gt;"Target state",$C39&lt;&gt;"Exception",$D39="High",$E39="High"),$A39&amp;"  "&amp;$B39,"")</f>
        <v/>
      </c>
      <c r="R39">
        <f>IF(AND($B39&lt;&gt;"",$C39&lt;&gt;"Target state",$C39&lt;&gt;"Exception",$D39="Medium",$E39="Low"),$A39&amp;"  "&amp;$B39,"")</f>
        <v/>
      </c>
      <c r="S39">
        <f>IF(AND($B39&lt;&gt;"",$C39&lt;&gt;"Target state",$C39&lt;&gt;"Exception",$D39="Medium",$E39="Medium"),$A39&amp;"  "&amp;$B39,"")</f>
        <v/>
      </c>
      <c r="T39">
        <f>IF(AND($B39&lt;&gt;"",$C39&lt;&gt;"Target state",$C39&lt;&gt;"Exception",$D39="Medium",$E39="High"),$A39&amp;"  "&amp;$B39,"")</f>
        <v/>
      </c>
      <c r="U39">
        <f>IF(AND($B39&lt;&gt;"",$C39&lt;&gt;"Target state",$C39&lt;&gt;"Exception",$D39="Low",$E39="Low"),$A39&amp;"  "&amp;$B39,"")</f>
        <v/>
      </c>
      <c r="V39">
        <f>IF(AND($B39&lt;&gt;"",$C39&lt;&gt;"Target state",$C39&lt;&gt;"Exception",$D39="Low",$E39="Medium"),$A39&amp;"  "&amp;$B39,"")</f>
        <v/>
      </c>
      <c r="W39">
        <f>IF(AND($B39&lt;&gt;"",$C39&lt;&gt;"Target state",$C39&lt;&gt;"Exception",$D39="Low",$E39="High"),$A39&amp;"  "&amp;$B39,"")</f>
        <v/>
      </c>
    </row>
    <row r="40" ht="20" customHeight="1">
      <c r="A40" s="29" t="inlineStr">
        <is>
          <t>⑩</t>
        </is>
      </c>
      <c r="B40" s="30" t="n"/>
      <c r="C40" s="31" t="n"/>
      <c r="D40" s="31" t="n"/>
      <c r="E40" s="31" t="n"/>
      <c r="F40" s="32" t="n"/>
      <c r="G40" s="33">
        <f>IF(OR($B40="",$D40="",$E40=""),"",IF(OR($C40="Target state",$C40="Exception"),"Out of scope",IF($D40="Low","No tranche",IF($E40="Low","Tranche 1",IF($E40="Medium","Tranche 2",IF($D40="High","Tranche 3","No tranche"))))))</f>
        <v/>
      </c>
      <c r="K40" s="35" t="inlineStr">
        <is>
          <t>Complexity</t>
        </is>
      </c>
      <c r="O40">
        <f>IF(AND($B40&lt;&gt;"",$C40&lt;&gt;"Target state",$C40&lt;&gt;"Exception",$D40="High",$E40="Low"),$A40&amp;"  "&amp;$B40,"")</f>
        <v/>
      </c>
      <c r="P40">
        <f>IF(AND($B40&lt;&gt;"",$C40&lt;&gt;"Target state",$C40&lt;&gt;"Exception",$D40="High",$E40="Medium"),$A40&amp;"  "&amp;$B40,"")</f>
        <v/>
      </c>
      <c r="Q40">
        <f>IF(AND($B40&lt;&gt;"",$C40&lt;&gt;"Target state",$C40&lt;&gt;"Exception",$D40="High",$E40="High"),$A40&amp;"  "&amp;$B40,"")</f>
        <v/>
      </c>
      <c r="R40">
        <f>IF(AND($B40&lt;&gt;"",$C40&lt;&gt;"Target state",$C40&lt;&gt;"Exception",$D40="Medium",$E40="Low"),$A40&amp;"  "&amp;$B40,"")</f>
        <v/>
      </c>
      <c r="S40">
        <f>IF(AND($B40&lt;&gt;"",$C40&lt;&gt;"Target state",$C40&lt;&gt;"Exception",$D40="Medium",$E40="Medium"),$A40&amp;"  "&amp;$B40,"")</f>
        <v/>
      </c>
      <c r="T40">
        <f>IF(AND($B40&lt;&gt;"",$C40&lt;&gt;"Target state",$C40&lt;&gt;"Exception",$D40="Medium",$E40="High"),$A40&amp;"  "&amp;$B40,"")</f>
        <v/>
      </c>
      <c r="U40">
        <f>IF(AND($B40&lt;&gt;"",$C40&lt;&gt;"Target state",$C40&lt;&gt;"Exception",$D40="Low",$E40="Low"),$A40&amp;"  "&amp;$B40,"")</f>
        <v/>
      </c>
      <c r="V40">
        <f>IF(AND($B40&lt;&gt;"",$C40&lt;&gt;"Target state",$C40&lt;&gt;"Exception",$D40="Low",$E40="Medium"),$A40&amp;"  "&amp;$B40,"")</f>
        <v/>
      </c>
      <c r="W40">
        <f>IF(AND($B40&lt;&gt;"",$C40&lt;&gt;"Target state",$C40&lt;&gt;"Exception",$D40="Low",$E40="High"),$A40&amp;"  "&amp;$B40,"")</f>
        <v/>
      </c>
    </row>
    <row r="43" ht="22" customHeight="1">
      <c r="A43" s="24" t="inlineStr">
        <is>
          <t>DCC eDCC</t>
        </is>
      </c>
      <c r="G43" s="25">
        <f>HYPERLINK("#'VAS'!A4","▲ tracker")</f>
        <v/>
      </c>
      <c r="K43" s="26" t="inlineStr">
        <is>
          <t>Assessment Outcome</t>
        </is>
      </c>
    </row>
    <row r="44" ht="18" customHeight="1">
      <c r="A44" s="27" t="inlineStr">
        <is>
          <t>#</t>
        </is>
      </c>
      <c r="B44" s="27" t="inlineStr">
        <is>
          <t>Platform</t>
        </is>
      </c>
      <c r="C44" s="27" t="inlineStr">
        <is>
          <t>State</t>
        </is>
      </c>
      <c r="D44" s="27" t="inlineStr">
        <is>
          <t>Imperative to exit</t>
        </is>
      </c>
      <c r="E44" s="27" t="inlineStr">
        <is>
          <t>Exit complexity</t>
        </is>
      </c>
      <c r="F44" s="27" t="inlineStr">
        <is>
          <t>Supporting facts</t>
        </is>
      </c>
      <c r="G44" s="27" t="inlineStr">
        <is>
          <t>Tranche (auto)</t>
        </is>
      </c>
      <c r="K44" s="28" t="inlineStr">
        <is>
          <t>Low</t>
        </is>
      </c>
      <c r="L44" s="28" t="inlineStr">
        <is>
          <t>Medium</t>
        </is>
      </c>
      <c r="M44" s="28" t="inlineStr">
        <is>
          <t>High</t>
        </is>
      </c>
    </row>
    <row r="45" ht="20" customHeight="1">
      <c r="A45" s="29" t="inlineStr">
        <is>
          <t>①</t>
        </is>
      </c>
      <c r="B45" s="30" t="n"/>
      <c r="C45" s="31" t="n"/>
      <c r="D45" s="31" t="n"/>
      <c r="E45" s="31" t="n"/>
      <c r="F45" s="32" t="n"/>
      <c r="G45" s="33">
        <f>IF(OR($B45="",$D45="",$E45=""),"",IF(OR($C45="Target state",$C45="Exception"),"Out of scope",IF($D45="Low","No tranche",IF($E45="Low","Tranche 1",IF($E45="Medium","Tranche 2",IF($D45="High","Tranche 3","No tranche"))))))</f>
        <v/>
      </c>
      <c r="I45" s="34" t="inlineStr">
        <is>
          <t>Benefits</t>
        </is>
      </c>
      <c r="J45" s="35" t="inlineStr">
        <is>
          <t>High</t>
        </is>
      </c>
      <c r="K45" s="36">
        <f>"Tranche 1"&amp;CHAR(10)&amp;_xlfn.TEXTJOIN(CHAR(10),TRUE,O$45:O$54)</f>
        <v/>
      </c>
      <c r="L45" s="37">
        <f>"Tranche 2"&amp;CHAR(10)&amp;_xlfn.TEXTJOIN(CHAR(10),TRUE,P$45:P$54)</f>
        <v/>
      </c>
      <c r="M45" s="38">
        <f>"Tranche 3"&amp;CHAR(10)&amp;_xlfn.TEXTJOIN(CHAR(10),TRUE,Q$45:Q$54)</f>
        <v/>
      </c>
      <c r="O45">
        <f>IF(AND($B45&lt;&gt;"",$C45&lt;&gt;"Target state",$C45&lt;&gt;"Exception",$D45="High",$E45="Low"),$A45&amp;"  "&amp;$B45,"")</f>
        <v/>
      </c>
      <c r="P45">
        <f>IF(AND($B45&lt;&gt;"",$C45&lt;&gt;"Target state",$C45&lt;&gt;"Exception",$D45="High",$E45="Medium"),$A45&amp;"  "&amp;$B45,"")</f>
        <v/>
      </c>
      <c r="Q45">
        <f>IF(AND($B45&lt;&gt;"",$C45&lt;&gt;"Target state",$C45&lt;&gt;"Exception",$D45="High",$E45="High"),$A45&amp;"  "&amp;$B45,"")</f>
        <v/>
      </c>
      <c r="R45">
        <f>IF(AND($B45&lt;&gt;"",$C45&lt;&gt;"Target state",$C45&lt;&gt;"Exception",$D45="Medium",$E45="Low"),$A45&amp;"  "&amp;$B45,"")</f>
        <v/>
      </c>
      <c r="S45">
        <f>IF(AND($B45&lt;&gt;"",$C45&lt;&gt;"Target state",$C45&lt;&gt;"Exception",$D45="Medium",$E45="Medium"),$A45&amp;"  "&amp;$B45,"")</f>
        <v/>
      </c>
      <c r="T45">
        <f>IF(AND($B45&lt;&gt;"",$C45&lt;&gt;"Target state",$C45&lt;&gt;"Exception",$D45="Medium",$E45="High"),$A45&amp;"  "&amp;$B45,"")</f>
        <v/>
      </c>
      <c r="U45">
        <f>IF(AND($B45&lt;&gt;"",$C45&lt;&gt;"Target state",$C45&lt;&gt;"Exception",$D45="Low",$E45="Low"),$A45&amp;"  "&amp;$B45,"")</f>
        <v/>
      </c>
      <c r="V45">
        <f>IF(AND($B45&lt;&gt;"",$C45&lt;&gt;"Target state",$C45&lt;&gt;"Exception",$D45="Low",$E45="Medium"),$A45&amp;"  "&amp;$B45,"")</f>
        <v/>
      </c>
      <c r="W45">
        <f>IF(AND($B45&lt;&gt;"",$C45&lt;&gt;"Target state",$C45&lt;&gt;"Exception",$D45="Low",$E45="High"),$A45&amp;"  "&amp;$B45,"")</f>
        <v/>
      </c>
    </row>
    <row r="46" ht="20" customHeight="1">
      <c r="A46" s="29" t="inlineStr">
        <is>
          <t>②</t>
        </is>
      </c>
      <c r="B46" s="30" t="n"/>
      <c r="C46" s="31" t="n"/>
      <c r="D46" s="31" t="n"/>
      <c r="E46" s="31" t="n"/>
      <c r="F46" s="32" t="n"/>
      <c r="G46" s="33">
        <f>IF(OR($B46="",$D46="",$E46=""),"",IF(OR($C46="Target state",$C46="Exception"),"Out of scope",IF($D46="Low","No tranche",IF($E46="Low","Tranche 1",IF($E46="Medium","Tranche 2",IF($D46="High","Tranche 3","No tranche"))))))</f>
        <v/>
      </c>
      <c r="K46" s="39" t="n"/>
      <c r="L46" s="39" t="n"/>
      <c r="M46" s="39" t="n"/>
      <c r="O46">
        <f>IF(AND($B46&lt;&gt;"",$C46&lt;&gt;"Target state",$C46&lt;&gt;"Exception",$D46="High",$E46="Low"),$A46&amp;"  "&amp;$B46,"")</f>
        <v/>
      </c>
      <c r="P46">
        <f>IF(AND($B46&lt;&gt;"",$C46&lt;&gt;"Target state",$C46&lt;&gt;"Exception",$D46="High",$E46="Medium"),$A46&amp;"  "&amp;$B46,"")</f>
        <v/>
      </c>
      <c r="Q46">
        <f>IF(AND($B46&lt;&gt;"",$C46&lt;&gt;"Target state",$C46&lt;&gt;"Exception",$D46="High",$E46="High"),$A46&amp;"  "&amp;$B46,"")</f>
        <v/>
      </c>
      <c r="R46">
        <f>IF(AND($B46&lt;&gt;"",$C46&lt;&gt;"Target state",$C46&lt;&gt;"Exception",$D46="Medium",$E46="Low"),$A46&amp;"  "&amp;$B46,"")</f>
        <v/>
      </c>
      <c r="S46">
        <f>IF(AND($B46&lt;&gt;"",$C46&lt;&gt;"Target state",$C46&lt;&gt;"Exception",$D46="Medium",$E46="Medium"),$A46&amp;"  "&amp;$B46,"")</f>
        <v/>
      </c>
      <c r="T46">
        <f>IF(AND($B46&lt;&gt;"",$C46&lt;&gt;"Target state",$C46&lt;&gt;"Exception",$D46="Medium",$E46="High"),$A46&amp;"  "&amp;$B46,"")</f>
        <v/>
      </c>
      <c r="U46">
        <f>IF(AND($B46&lt;&gt;"",$C46&lt;&gt;"Target state",$C46&lt;&gt;"Exception",$D46="Low",$E46="Low"),$A46&amp;"  "&amp;$B46,"")</f>
        <v/>
      </c>
      <c r="V46">
        <f>IF(AND($B46&lt;&gt;"",$C46&lt;&gt;"Target state",$C46&lt;&gt;"Exception",$D46="Low",$E46="Medium"),$A46&amp;"  "&amp;$B46,"")</f>
        <v/>
      </c>
      <c r="W46">
        <f>IF(AND($B46&lt;&gt;"",$C46&lt;&gt;"Target state",$C46&lt;&gt;"Exception",$D46="Low",$E46="High"),$A46&amp;"  "&amp;$B46,"")</f>
        <v/>
      </c>
    </row>
    <row r="47" ht="20" customHeight="1">
      <c r="A47" s="29" t="inlineStr">
        <is>
          <t>③</t>
        </is>
      </c>
      <c r="B47" s="30" t="n"/>
      <c r="C47" s="31" t="n"/>
      <c r="D47" s="31" t="n"/>
      <c r="E47" s="31" t="n"/>
      <c r="F47" s="32" t="n"/>
      <c r="G47" s="33">
        <f>IF(OR($B47="",$D47="",$E47=""),"",IF(OR($C47="Target state",$C47="Exception"),"Out of scope",IF($D47="Low","No tranche",IF($E47="Low","Tranche 1",IF($E47="Medium","Tranche 2",IF($D47="High","Tranche 3","No tranche"))))))</f>
        <v/>
      </c>
      <c r="K47" s="40" t="n"/>
      <c r="L47" s="40" t="n"/>
      <c r="M47" s="40" t="n"/>
      <c r="O47">
        <f>IF(AND($B47&lt;&gt;"",$C47&lt;&gt;"Target state",$C47&lt;&gt;"Exception",$D47="High",$E47="Low"),$A47&amp;"  "&amp;$B47,"")</f>
        <v/>
      </c>
      <c r="P47">
        <f>IF(AND($B47&lt;&gt;"",$C47&lt;&gt;"Target state",$C47&lt;&gt;"Exception",$D47="High",$E47="Medium"),$A47&amp;"  "&amp;$B47,"")</f>
        <v/>
      </c>
      <c r="Q47">
        <f>IF(AND($B47&lt;&gt;"",$C47&lt;&gt;"Target state",$C47&lt;&gt;"Exception",$D47="High",$E47="High"),$A47&amp;"  "&amp;$B47,"")</f>
        <v/>
      </c>
      <c r="R47">
        <f>IF(AND($B47&lt;&gt;"",$C47&lt;&gt;"Target state",$C47&lt;&gt;"Exception",$D47="Medium",$E47="Low"),$A47&amp;"  "&amp;$B47,"")</f>
        <v/>
      </c>
      <c r="S47">
        <f>IF(AND($B47&lt;&gt;"",$C47&lt;&gt;"Target state",$C47&lt;&gt;"Exception",$D47="Medium",$E47="Medium"),$A47&amp;"  "&amp;$B47,"")</f>
        <v/>
      </c>
      <c r="T47">
        <f>IF(AND($B47&lt;&gt;"",$C47&lt;&gt;"Target state",$C47&lt;&gt;"Exception",$D47="Medium",$E47="High"),$A47&amp;"  "&amp;$B47,"")</f>
        <v/>
      </c>
      <c r="U47">
        <f>IF(AND($B47&lt;&gt;"",$C47&lt;&gt;"Target state",$C47&lt;&gt;"Exception",$D47="Low",$E47="Low"),$A47&amp;"  "&amp;$B47,"")</f>
        <v/>
      </c>
      <c r="V47">
        <f>IF(AND($B47&lt;&gt;"",$C47&lt;&gt;"Target state",$C47&lt;&gt;"Exception",$D47="Low",$E47="Medium"),$A47&amp;"  "&amp;$B47,"")</f>
        <v/>
      </c>
      <c r="W47">
        <f>IF(AND($B47&lt;&gt;"",$C47&lt;&gt;"Target state",$C47&lt;&gt;"Exception",$D47="Low",$E47="High"),$A47&amp;"  "&amp;$B47,"")</f>
        <v/>
      </c>
    </row>
    <row r="48" ht="20" customHeight="1">
      <c r="A48" s="29" t="inlineStr">
        <is>
          <t>④</t>
        </is>
      </c>
      <c r="B48" s="30" t="n"/>
      <c r="C48" s="31" t="n"/>
      <c r="D48" s="31" t="n"/>
      <c r="E48" s="31" t="n"/>
      <c r="F48" s="32" t="n"/>
      <c r="G48" s="33">
        <f>IF(OR($B48="",$D48="",$E48=""),"",IF(OR($C48="Target state",$C48="Exception"),"Out of scope",IF($D48="Low","No tranche",IF($E48="Low","Tranche 1",IF($E48="Medium","Tranche 2",IF($D48="High","Tranche 3","No tranche"))))))</f>
        <v/>
      </c>
      <c r="J48" s="35" t="inlineStr">
        <is>
          <t>Medium</t>
        </is>
      </c>
      <c r="K48" s="36">
        <f>"Tranche 1"&amp;CHAR(10)&amp;_xlfn.TEXTJOIN(CHAR(10),TRUE,R$45:R$54)</f>
        <v/>
      </c>
      <c r="L48" s="37">
        <f>"Tranche 2"&amp;CHAR(10)&amp;_xlfn.TEXTJOIN(CHAR(10),TRUE,S$45:S$54)</f>
        <v/>
      </c>
      <c r="M48" s="41">
        <f>_xlfn.TEXTJOIN(CHAR(10),TRUE,T$45:T$54)</f>
        <v/>
      </c>
      <c r="O48">
        <f>IF(AND($B48&lt;&gt;"",$C48&lt;&gt;"Target state",$C48&lt;&gt;"Exception",$D48="High",$E48="Low"),$A48&amp;"  "&amp;$B48,"")</f>
        <v/>
      </c>
      <c r="P48">
        <f>IF(AND($B48&lt;&gt;"",$C48&lt;&gt;"Target state",$C48&lt;&gt;"Exception",$D48="High",$E48="Medium"),$A48&amp;"  "&amp;$B48,"")</f>
        <v/>
      </c>
      <c r="Q48">
        <f>IF(AND($B48&lt;&gt;"",$C48&lt;&gt;"Target state",$C48&lt;&gt;"Exception",$D48="High",$E48="High"),$A48&amp;"  "&amp;$B48,"")</f>
        <v/>
      </c>
      <c r="R48">
        <f>IF(AND($B48&lt;&gt;"",$C48&lt;&gt;"Target state",$C48&lt;&gt;"Exception",$D48="Medium",$E48="Low"),$A48&amp;"  "&amp;$B48,"")</f>
        <v/>
      </c>
      <c r="S48">
        <f>IF(AND($B48&lt;&gt;"",$C48&lt;&gt;"Target state",$C48&lt;&gt;"Exception",$D48="Medium",$E48="Medium"),$A48&amp;"  "&amp;$B48,"")</f>
        <v/>
      </c>
      <c r="T48">
        <f>IF(AND($B48&lt;&gt;"",$C48&lt;&gt;"Target state",$C48&lt;&gt;"Exception",$D48="Medium",$E48="High"),$A48&amp;"  "&amp;$B48,"")</f>
        <v/>
      </c>
      <c r="U48">
        <f>IF(AND($B48&lt;&gt;"",$C48&lt;&gt;"Target state",$C48&lt;&gt;"Exception",$D48="Low",$E48="Low"),$A48&amp;"  "&amp;$B48,"")</f>
        <v/>
      </c>
      <c r="V48">
        <f>IF(AND($B48&lt;&gt;"",$C48&lt;&gt;"Target state",$C48&lt;&gt;"Exception",$D48="Low",$E48="Medium"),$A48&amp;"  "&amp;$B48,"")</f>
        <v/>
      </c>
      <c r="W48">
        <f>IF(AND($B48&lt;&gt;"",$C48&lt;&gt;"Target state",$C48&lt;&gt;"Exception",$D48="Low",$E48="High"),$A48&amp;"  "&amp;$B48,"")</f>
        <v/>
      </c>
    </row>
    <row r="49" ht="20" customHeight="1">
      <c r="A49" s="29" t="inlineStr">
        <is>
          <t>⑤</t>
        </is>
      </c>
      <c r="B49" s="30" t="n"/>
      <c r="C49" s="31" t="n"/>
      <c r="D49" s="31" t="n"/>
      <c r="E49" s="31" t="n"/>
      <c r="F49" s="32" t="n"/>
      <c r="G49" s="33">
        <f>IF(OR($B49="",$D49="",$E49=""),"",IF(OR($C49="Target state",$C49="Exception"),"Out of scope",IF($D49="Low","No tranche",IF($E49="Low","Tranche 1",IF($E49="Medium","Tranche 2",IF($D49="High","Tranche 3","No tranche"))))))</f>
        <v/>
      </c>
      <c r="K49" s="39" t="n"/>
      <c r="L49" s="39" t="n"/>
      <c r="M49" s="39" t="n"/>
      <c r="O49">
        <f>IF(AND($B49&lt;&gt;"",$C49&lt;&gt;"Target state",$C49&lt;&gt;"Exception",$D49="High",$E49="Low"),$A49&amp;"  "&amp;$B49,"")</f>
        <v/>
      </c>
      <c r="P49">
        <f>IF(AND($B49&lt;&gt;"",$C49&lt;&gt;"Target state",$C49&lt;&gt;"Exception",$D49="High",$E49="Medium"),$A49&amp;"  "&amp;$B49,"")</f>
        <v/>
      </c>
      <c r="Q49">
        <f>IF(AND($B49&lt;&gt;"",$C49&lt;&gt;"Target state",$C49&lt;&gt;"Exception",$D49="High",$E49="High"),$A49&amp;"  "&amp;$B49,"")</f>
        <v/>
      </c>
      <c r="R49">
        <f>IF(AND($B49&lt;&gt;"",$C49&lt;&gt;"Target state",$C49&lt;&gt;"Exception",$D49="Medium",$E49="Low"),$A49&amp;"  "&amp;$B49,"")</f>
        <v/>
      </c>
      <c r="S49">
        <f>IF(AND($B49&lt;&gt;"",$C49&lt;&gt;"Target state",$C49&lt;&gt;"Exception",$D49="Medium",$E49="Medium"),$A49&amp;"  "&amp;$B49,"")</f>
        <v/>
      </c>
      <c r="T49">
        <f>IF(AND($B49&lt;&gt;"",$C49&lt;&gt;"Target state",$C49&lt;&gt;"Exception",$D49="Medium",$E49="High"),$A49&amp;"  "&amp;$B49,"")</f>
        <v/>
      </c>
      <c r="U49">
        <f>IF(AND($B49&lt;&gt;"",$C49&lt;&gt;"Target state",$C49&lt;&gt;"Exception",$D49="Low",$E49="Low"),$A49&amp;"  "&amp;$B49,"")</f>
        <v/>
      </c>
      <c r="V49">
        <f>IF(AND($B49&lt;&gt;"",$C49&lt;&gt;"Target state",$C49&lt;&gt;"Exception",$D49="Low",$E49="Medium"),$A49&amp;"  "&amp;$B49,"")</f>
        <v/>
      </c>
      <c r="W49">
        <f>IF(AND($B49&lt;&gt;"",$C49&lt;&gt;"Target state",$C49&lt;&gt;"Exception",$D49="Low",$E49="High"),$A49&amp;"  "&amp;$B49,"")</f>
        <v/>
      </c>
    </row>
    <row r="50" ht="20" customHeight="1">
      <c r="A50" s="29" t="inlineStr">
        <is>
          <t>⑥</t>
        </is>
      </c>
      <c r="B50" s="30" t="n"/>
      <c r="C50" s="31" t="n"/>
      <c r="D50" s="31" t="n"/>
      <c r="E50" s="31" t="n"/>
      <c r="F50" s="32" t="n"/>
      <c r="G50" s="33">
        <f>IF(OR($B50="",$D50="",$E50=""),"",IF(OR($C50="Target state",$C50="Exception"),"Out of scope",IF($D50="Low","No tranche",IF($E50="Low","Tranche 1",IF($E50="Medium","Tranche 2",IF($D50="High","Tranche 3","No tranche"))))))</f>
        <v/>
      </c>
      <c r="K50" s="40" t="n"/>
      <c r="L50" s="40" t="n"/>
      <c r="M50" s="40" t="n"/>
      <c r="O50">
        <f>IF(AND($B50&lt;&gt;"",$C50&lt;&gt;"Target state",$C50&lt;&gt;"Exception",$D50="High",$E50="Low"),$A50&amp;"  "&amp;$B50,"")</f>
        <v/>
      </c>
      <c r="P50">
        <f>IF(AND($B50&lt;&gt;"",$C50&lt;&gt;"Target state",$C50&lt;&gt;"Exception",$D50="High",$E50="Medium"),$A50&amp;"  "&amp;$B50,"")</f>
        <v/>
      </c>
      <c r="Q50">
        <f>IF(AND($B50&lt;&gt;"",$C50&lt;&gt;"Target state",$C50&lt;&gt;"Exception",$D50="High",$E50="High"),$A50&amp;"  "&amp;$B50,"")</f>
        <v/>
      </c>
      <c r="R50">
        <f>IF(AND($B50&lt;&gt;"",$C50&lt;&gt;"Target state",$C50&lt;&gt;"Exception",$D50="Medium",$E50="Low"),$A50&amp;"  "&amp;$B50,"")</f>
        <v/>
      </c>
      <c r="S50">
        <f>IF(AND($B50&lt;&gt;"",$C50&lt;&gt;"Target state",$C50&lt;&gt;"Exception",$D50="Medium",$E50="Medium"),$A50&amp;"  "&amp;$B50,"")</f>
        <v/>
      </c>
      <c r="T50">
        <f>IF(AND($B50&lt;&gt;"",$C50&lt;&gt;"Target state",$C50&lt;&gt;"Exception",$D50="Medium",$E50="High"),$A50&amp;"  "&amp;$B50,"")</f>
        <v/>
      </c>
      <c r="U50">
        <f>IF(AND($B50&lt;&gt;"",$C50&lt;&gt;"Target state",$C50&lt;&gt;"Exception",$D50="Low",$E50="Low"),$A50&amp;"  "&amp;$B50,"")</f>
        <v/>
      </c>
      <c r="V50">
        <f>IF(AND($B50&lt;&gt;"",$C50&lt;&gt;"Target state",$C50&lt;&gt;"Exception",$D50="Low",$E50="Medium"),$A50&amp;"  "&amp;$B50,"")</f>
        <v/>
      </c>
      <c r="W50">
        <f>IF(AND($B50&lt;&gt;"",$C50&lt;&gt;"Target state",$C50&lt;&gt;"Exception",$D50="Low",$E50="High"),$A50&amp;"  "&amp;$B50,"")</f>
        <v/>
      </c>
    </row>
    <row r="51" ht="20" customHeight="1">
      <c r="A51" s="29" t="inlineStr">
        <is>
          <t>⑦</t>
        </is>
      </c>
      <c r="B51" s="30" t="n"/>
      <c r="C51" s="31" t="n"/>
      <c r="D51" s="31" t="n"/>
      <c r="E51" s="31" t="n"/>
      <c r="F51" s="32" t="n"/>
      <c r="G51" s="33">
        <f>IF(OR($B51="",$D51="",$E51=""),"",IF(OR($C51="Target state",$C51="Exception"),"Out of scope",IF($D51="Low","No tranche",IF($E51="Low","Tranche 1",IF($E51="Medium","Tranche 2",IF($D51="High","Tranche 3","No tranche"))))))</f>
        <v/>
      </c>
      <c r="J51" s="35" t="inlineStr">
        <is>
          <t>Low</t>
        </is>
      </c>
      <c r="K51" s="41">
        <f>_xlfn.TEXTJOIN(CHAR(10),TRUE,U$45:U$54)</f>
        <v/>
      </c>
      <c r="L51" s="41">
        <f>_xlfn.TEXTJOIN(CHAR(10),TRUE,V$45:V$54)</f>
        <v/>
      </c>
      <c r="M51" s="41">
        <f>_xlfn.TEXTJOIN(CHAR(10),TRUE,W$45:W$54)</f>
        <v/>
      </c>
      <c r="O51">
        <f>IF(AND($B51&lt;&gt;"",$C51&lt;&gt;"Target state",$C51&lt;&gt;"Exception",$D51="High",$E51="Low"),$A51&amp;"  "&amp;$B51,"")</f>
        <v/>
      </c>
      <c r="P51">
        <f>IF(AND($B51&lt;&gt;"",$C51&lt;&gt;"Target state",$C51&lt;&gt;"Exception",$D51="High",$E51="Medium"),$A51&amp;"  "&amp;$B51,"")</f>
        <v/>
      </c>
      <c r="Q51">
        <f>IF(AND($B51&lt;&gt;"",$C51&lt;&gt;"Target state",$C51&lt;&gt;"Exception",$D51="High",$E51="High"),$A51&amp;"  "&amp;$B51,"")</f>
        <v/>
      </c>
      <c r="R51">
        <f>IF(AND($B51&lt;&gt;"",$C51&lt;&gt;"Target state",$C51&lt;&gt;"Exception",$D51="Medium",$E51="Low"),$A51&amp;"  "&amp;$B51,"")</f>
        <v/>
      </c>
      <c r="S51">
        <f>IF(AND($B51&lt;&gt;"",$C51&lt;&gt;"Target state",$C51&lt;&gt;"Exception",$D51="Medium",$E51="Medium"),$A51&amp;"  "&amp;$B51,"")</f>
        <v/>
      </c>
      <c r="T51">
        <f>IF(AND($B51&lt;&gt;"",$C51&lt;&gt;"Target state",$C51&lt;&gt;"Exception",$D51="Medium",$E51="High"),$A51&amp;"  "&amp;$B51,"")</f>
        <v/>
      </c>
      <c r="U51">
        <f>IF(AND($B51&lt;&gt;"",$C51&lt;&gt;"Target state",$C51&lt;&gt;"Exception",$D51="Low",$E51="Low"),$A51&amp;"  "&amp;$B51,"")</f>
        <v/>
      </c>
      <c r="V51">
        <f>IF(AND($B51&lt;&gt;"",$C51&lt;&gt;"Target state",$C51&lt;&gt;"Exception",$D51="Low",$E51="Medium"),$A51&amp;"  "&amp;$B51,"")</f>
        <v/>
      </c>
      <c r="W51">
        <f>IF(AND($B51&lt;&gt;"",$C51&lt;&gt;"Target state",$C51&lt;&gt;"Exception",$D51="Low",$E51="High"),$A51&amp;"  "&amp;$B51,"")</f>
        <v/>
      </c>
    </row>
    <row r="52" ht="20" customHeight="1">
      <c r="A52" s="29" t="inlineStr">
        <is>
          <t>⑧</t>
        </is>
      </c>
      <c r="B52" s="30" t="n"/>
      <c r="C52" s="31" t="n"/>
      <c r="D52" s="31" t="n"/>
      <c r="E52" s="31" t="n"/>
      <c r="F52" s="32" t="n"/>
      <c r="G52" s="33">
        <f>IF(OR($B52="",$D52="",$E52=""),"",IF(OR($C52="Target state",$C52="Exception"),"Out of scope",IF($D52="Low","No tranche",IF($E52="Low","Tranche 1",IF($E52="Medium","Tranche 2",IF($D52="High","Tranche 3","No tranche"))))))</f>
        <v/>
      </c>
      <c r="K52" s="39" t="n"/>
      <c r="L52" s="39" t="n"/>
      <c r="M52" s="39" t="n"/>
      <c r="O52">
        <f>IF(AND($B52&lt;&gt;"",$C52&lt;&gt;"Target state",$C52&lt;&gt;"Exception",$D52="High",$E52="Low"),$A52&amp;"  "&amp;$B52,"")</f>
        <v/>
      </c>
      <c r="P52">
        <f>IF(AND($B52&lt;&gt;"",$C52&lt;&gt;"Target state",$C52&lt;&gt;"Exception",$D52="High",$E52="Medium"),$A52&amp;"  "&amp;$B52,"")</f>
        <v/>
      </c>
      <c r="Q52">
        <f>IF(AND($B52&lt;&gt;"",$C52&lt;&gt;"Target state",$C52&lt;&gt;"Exception",$D52="High",$E52="High"),$A52&amp;"  "&amp;$B52,"")</f>
        <v/>
      </c>
      <c r="R52">
        <f>IF(AND($B52&lt;&gt;"",$C52&lt;&gt;"Target state",$C52&lt;&gt;"Exception",$D52="Medium",$E52="Low"),$A52&amp;"  "&amp;$B52,"")</f>
        <v/>
      </c>
      <c r="S52">
        <f>IF(AND($B52&lt;&gt;"",$C52&lt;&gt;"Target state",$C52&lt;&gt;"Exception",$D52="Medium",$E52="Medium"),$A52&amp;"  "&amp;$B52,"")</f>
        <v/>
      </c>
      <c r="T52">
        <f>IF(AND($B52&lt;&gt;"",$C52&lt;&gt;"Target state",$C52&lt;&gt;"Exception",$D52="Medium",$E52="High"),$A52&amp;"  "&amp;$B52,"")</f>
        <v/>
      </c>
      <c r="U52">
        <f>IF(AND($B52&lt;&gt;"",$C52&lt;&gt;"Target state",$C52&lt;&gt;"Exception",$D52="Low",$E52="Low"),$A52&amp;"  "&amp;$B52,"")</f>
        <v/>
      </c>
      <c r="V52">
        <f>IF(AND($B52&lt;&gt;"",$C52&lt;&gt;"Target state",$C52&lt;&gt;"Exception",$D52="Low",$E52="Medium"),$A52&amp;"  "&amp;$B52,"")</f>
        <v/>
      </c>
      <c r="W52">
        <f>IF(AND($B52&lt;&gt;"",$C52&lt;&gt;"Target state",$C52&lt;&gt;"Exception",$D52="Low",$E52="High"),$A52&amp;"  "&amp;$B52,"")</f>
        <v/>
      </c>
    </row>
    <row r="53" ht="20" customHeight="1">
      <c r="A53" s="29" t="inlineStr">
        <is>
          <t>⑨</t>
        </is>
      </c>
      <c r="B53" s="30" t="n"/>
      <c r="C53" s="31" t="n"/>
      <c r="D53" s="31" t="n"/>
      <c r="E53" s="31" t="n"/>
      <c r="F53" s="32" t="n"/>
      <c r="G53" s="33">
        <f>IF(OR($B53="",$D53="",$E53=""),"",IF(OR($C53="Target state",$C53="Exception"),"Out of scope",IF($D53="Low","No tranche",IF($E53="Low","Tranche 1",IF($E53="Medium","Tranche 2",IF($D53="High","Tranche 3","No tranche"))))))</f>
        <v/>
      </c>
      <c r="K53" s="40" t="n"/>
      <c r="L53" s="40" t="n"/>
      <c r="M53" s="40" t="n"/>
      <c r="O53">
        <f>IF(AND($B53&lt;&gt;"",$C53&lt;&gt;"Target state",$C53&lt;&gt;"Exception",$D53="High",$E53="Low"),$A53&amp;"  "&amp;$B53,"")</f>
        <v/>
      </c>
      <c r="P53">
        <f>IF(AND($B53&lt;&gt;"",$C53&lt;&gt;"Target state",$C53&lt;&gt;"Exception",$D53="High",$E53="Medium"),$A53&amp;"  "&amp;$B53,"")</f>
        <v/>
      </c>
      <c r="Q53">
        <f>IF(AND($B53&lt;&gt;"",$C53&lt;&gt;"Target state",$C53&lt;&gt;"Exception",$D53="High",$E53="High"),$A53&amp;"  "&amp;$B53,"")</f>
        <v/>
      </c>
      <c r="R53">
        <f>IF(AND($B53&lt;&gt;"",$C53&lt;&gt;"Target state",$C53&lt;&gt;"Exception",$D53="Medium",$E53="Low"),$A53&amp;"  "&amp;$B53,"")</f>
        <v/>
      </c>
      <c r="S53">
        <f>IF(AND($B53&lt;&gt;"",$C53&lt;&gt;"Target state",$C53&lt;&gt;"Exception",$D53="Medium",$E53="Medium"),$A53&amp;"  "&amp;$B53,"")</f>
        <v/>
      </c>
      <c r="T53">
        <f>IF(AND($B53&lt;&gt;"",$C53&lt;&gt;"Target state",$C53&lt;&gt;"Exception",$D53="Medium",$E53="High"),$A53&amp;"  "&amp;$B53,"")</f>
        <v/>
      </c>
      <c r="U53">
        <f>IF(AND($B53&lt;&gt;"",$C53&lt;&gt;"Target state",$C53&lt;&gt;"Exception",$D53="Low",$E53="Low"),$A53&amp;"  "&amp;$B53,"")</f>
        <v/>
      </c>
      <c r="V53">
        <f>IF(AND($B53&lt;&gt;"",$C53&lt;&gt;"Target state",$C53&lt;&gt;"Exception",$D53="Low",$E53="Medium"),$A53&amp;"  "&amp;$B53,"")</f>
        <v/>
      </c>
      <c r="W53">
        <f>IF(AND($B53&lt;&gt;"",$C53&lt;&gt;"Target state",$C53&lt;&gt;"Exception",$D53="Low",$E53="High"),$A53&amp;"  "&amp;$B53,"")</f>
        <v/>
      </c>
    </row>
    <row r="54" ht="20" customHeight="1">
      <c r="A54" s="29" t="inlineStr">
        <is>
          <t>⑩</t>
        </is>
      </c>
      <c r="B54" s="30" t="n"/>
      <c r="C54" s="31" t="n"/>
      <c r="D54" s="31" t="n"/>
      <c r="E54" s="31" t="n"/>
      <c r="F54" s="32" t="n"/>
      <c r="G54" s="33">
        <f>IF(OR($B54="",$D54="",$E54=""),"",IF(OR($C54="Target state",$C54="Exception"),"Out of scope",IF($D54="Low","No tranche",IF($E54="Low","Tranche 1",IF($E54="Medium","Tranche 2",IF($D54="High","Tranche 3","No tranche"))))))</f>
        <v/>
      </c>
      <c r="K54" s="35" t="inlineStr">
        <is>
          <t>Complexity</t>
        </is>
      </c>
      <c r="O54">
        <f>IF(AND($B54&lt;&gt;"",$C54&lt;&gt;"Target state",$C54&lt;&gt;"Exception",$D54="High",$E54="Low"),$A54&amp;"  "&amp;$B54,"")</f>
        <v/>
      </c>
      <c r="P54">
        <f>IF(AND($B54&lt;&gt;"",$C54&lt;&gt;"Target state",$C54&lt;&gt;"Exception",$D54="High",$E54="Medium"),$A54&amp;"  "&amp;$B54,"")</f>
        <v/>
      </c>
      <c r="Q54">
        <f>IF(AND($B54&lt;&gt;"",$C54&lt;&gt;"Target state",$C54&lt;&gt;"Exception",$D54="High",$E54="High"),$A54&amp;"  "&amp;$B54,"")</f>
        <v/>
      </c>
      <c r="R54">
        <f>IF(AND($B54&lt;&gt;"",$C54&lt;&gt;"Target state",$C54&lt;&gt;"Exception",$D54="Medium",$E54="Low"),$A54&amp;"  "&amp;$B54,"")</f>
        <v/>
      </c>
      <c r="S54">
        <f>IF(AND($B54&lt;&gt;"",$C54&lt;&gt;"Target state",$C54&lt;&gt;"Exception",$D54="Medium",$E54="Medium"),$A54&amp;"  "&amp;$B54,"")</f>
        <v/>
      </c>
      <c r="T54">
        <f>IF(AND($B54&lt;&gt;"",$C54&lt;&gt;"Target state",$C54&lt;&gt;"Exception",$D54="Medium",$E54="High"),$A54&amp;"  "&amp;$B54,"")</f>
        <v/>
      </c>
      <c r="U54">
        <f>IF(AND($B54&lt;&gt;"",$C54&lt;&gt;"Target state",$C54&lt;&gt;"Exception",$D54="Low",$E54="Low"),$A54&amp;"  "&amp;$B54,"")</f>
        <v/>
      </c>
      <c r="V54">
        <f>IF(AND($B54&lt;&gt;"",$C54&lt;&gt;"Target state",$C54&lt;&gt;"Exception",$D54="Low",$E54="Medium"),$A54&amp;"  "&amp;$B54,"")</f>
        <v/>
      </c>
      <c r="W54">
        <f>IF(AND($B54&lt;&gt;"",$C54&lt;&gt;"Target state",$C54&lt;&gt;"Exception",$D54="Low",$E54="High"),$A54&amp;"  "&amp;$B54,"")</f>
        <v/>
      </c>
    </row>
    <row r="57" ht="22" customHeight="1">
      <c r="A57" s="24" t="inlineStr">
        <is>
          <t>Fraud</t>
        </is>
      </c>
      <c r="G57" s="25">
        <f>HYPERLINK("#'VAS'!A4","▲ tracker")</f>
        <v/>
      </c>
      <c r="K57" s="26" t="inlineStr">
        <is>
          <t>Assessment Outcome</t>
        </is>
      </c>
    </row>
    <row r="58" ht="18" customHeight="1">
      <c r="A58" s="27" t="inlineStr">
        <is>
          <t>#</t>
        </is>
      </c>
      <c r="B58" s="27" t="inlineStr">
        <is>
          <t>Platform</t>
        </is>
      </c>
      <c r="C58" s="27" t="inlineStr">
        <is>
          <t>State</t>
        </is>
      </c>
      <c r="D58" s="27" t="inlineStr">
        <is>
          <t>Imperative to exit</t>
        </is>
      </c>
      <c r="E58" s="27" t="inlineStr">
        <is>
          <t>Exit complexity</t>
        </is>
      </c>
      <c r="F58" s="27" t="inlineStr">
        <is>
          <t>Supporting facts</t>
        </is>
      </c>
      <c r="G58" s="27" t="inlineStr">
        <is>
          <t>Tranche (auto)</t>
        </is>
      </c>
      <c r="K58" s="28" t="inlineStr">
        <is>
          <t>Low</t>
        </is>
      </c>
      <c r="L58" s="28" t="inlineStr">
        <is>
          <t>Medium</t>
        </is>
      </c>
      <c r="M58" s="28" t="inlineStr">
        <is>
          <t>High</t>
        </is>
      </c>
    </row>
    <row r="59" ht="20" customHeight="1">
      <c r="A59" s="29" t="inlineStr">
        <is>
          <t>①</t>
        </is>
      </c>
      <c r="B59" s="30" t="n"/>
      <c r="C59" s="31" t="n"/>
      <c r="D59" s="31" t="n"/>
      <c r="E59" s="31" t="n"/>
      <c r="F59" s="32" t="n"/>
      <c r="G59" s="33">
        <f>IF(OR($B59="",$D59="",$E59=""),"",IF(OR($C59="Target state",$C59="Exception"),"Out of scope",IF($D59="Low","No tranche",IF($E59="Low","Tranche 1",IF($E59="Medium","Tranche 2",IF($D59="High","Tranche 3","No tranche"))))))</f>
        <v/>
      </c>
      <c r="I59" s="34" t="inlineStr">
        <is>
          <t>Benefits</t>
        </is>
      </c>
      <c r="J59" s="35" t="inlineStr">
        <is>
          <t>High</t>
        </is>
      </c>
      <c r="K59" s="36">
        <f>"Tranche 1"&amp;CHAR(10)&amp;_xlfn.TEXTJOIN(CHAR(10),TRUE,O$59:O$68)</f>
        <v/>
      </c>
      <c r="L59" s="37">
        <f>"Tranche 2"&amp;CHAR(10)&amp;_xlfn.TEXTJOIN(CHAR(10),TRUE,P$59:P$68)</f>
        <v/>
      </c>
      <c r="M59" s="38">
        <f>"Tranche 3"&amp;CHAR(10)&amp;_xlfn.TEXTJOIN(CHAR(10),TRUE,Q$59:Q$68)</f>
        <v/>
      </c>
      <c r="O59">
        <f>IF(AND($B59&lt;&gt;"",$C59&lt;&gt;"Target state",$C59&lt;&gt;"Exception",$D59="High",$E59="Low"),$A59&amp;"  "&amp;$B59,"")</f>
        <v/>
      </c>
      <c r="P59">
        <f>IF(AND($B59&lt;&gt;"",$C59&lt;&gt;"Target state",$C59&lt;&gt;"Exception",$D59="High",$E59="Medium"),$A59&amp;"  "&amp;$B59,"")</f>
        <v/>
      </c>
      <c r="Q59">
        <f>IF(AND($B59&lt;&gt;"",$C59&lt;&gt;"Target state",$C59&lt;&gt;"Exception",$D59="High",$E59="High"),$A59&amp;"  "&amp;$B59,"")</f>
        <v/>
      </c>
      <c r="R59">
        <f>IF(AND($B59&lt;&gt;"",$C59&lt;&gt;"Target state",$C59&lt;&gt;"Exception",$D59="Medium",$E59="Low"),$A59&amp;"  "&amp;$B59,"")</f>
        <v/>
      </c>
      <c r="S59">
        <f>IF(AND($B59&lt;&gt;"",$C59&lt;&gt;"Target state",$C59&lt;&gt;"Exception",$D59="Medium",$E59="Medium"),$A59&amp;"  "&amp;$B59,"")</f>
        <v/>
      </c>
      <c r="T59">
        <f>IF(AND($B59&lt;&gt;"",$C59&lt;&gt;"Target state",$C59&lt;&gt;"Exception",$D59="Medium",$E59="High"),$A59&amp;"  "&amp;$B59,"")</f>
        <v/>
      </c>
      <c r="U59">
        <f>IF(AND($B59&lt;&gt;"",$C59&lt;&gt;"Target state",$C59&lt;&gt;"Exception",$D59="Low",$E59="Low"),$A59&amp;"  "&amp;$B59,"")</f>
        <v/>
      </c>
      <c r="V59">
        <f>IF(AND($B59&lt;&gt;"",$C59&lt;&gt;"Target state",$C59&lt;&gt;"Exception",$D59="Low",$E59="Medium"),$A59&amp;"  "&amp;$B59,"")</f>
        <v/>
      </c>
      <c r="W59">
        <f>IF(AND($B59&lt;&gt;"",$C59&lt;&gt;"Target state",$C59&lt;&gt;"Exception",$D59="Low",$E59="High"),$A59&amp;"  "&amp;$B59,"")</f>
        <v/>
      </c>
    </row>
    <row r="60" ht="20" customHeight="1">
      <c r="A60" s="29" t="inlineStr">
        <is>
          <t>②</t>
        </is>
      </c>
      <c r="B60" s="30" t="n"/>
      <c r="C60" s="31" t="n"/>
      <c r="D60" s="31" t="n"/>
      <c r="E60" s="31" t="n"/>
      <c r="F60" s="32" t="n"/>
      <c r="G60" s="33">
        <f>IF(OR($B60="",$D60="",$E60=""),"",IF(OR($C60="Target state",$C60="Exception"),"Out of scope",IF($D60="Low","No tranche",IF($E60="Low","Tranche 1",IF($E60="Medium","Tranche 2",IF($D60="High","Tranche 3","No tranche"))))))</f>
        <v/>
      </c>
      <c r="K60" s="39" t="n"/>
      <c r="L60" s="39" t="n"/>
      <c r="M60" s="39" t="n"/>
      <c r="O60">
        <f>IF(AND($B60&lt;&gt;"",$C60&lt;&gt;"Target state",$C60&lt;&gt;"Exception",$D60="High",$E60="Low"),$A60&amp;"  "&amp;$B60,"")</f>
        <v/>
      </c>
      <c r="P60">
        <f>IF(AND($B60&lt;&gt;"",$C60&lt;&gt;"Target state",$C60&lt;&gt;"Exception",$D60="High",$E60="Medium"),$A60&amp;"  "&amp;$B60,"")</f>
        <v/>
      </c>
      <c r="Q60">
        <f>IF(AND($B60&lt;&gt;"",$C60&lt;&gt;"Target state",$C60&lt;&gt;"Exception",$D60="High",$E60="High"),$A60&amp;"  "&amp;$B60,"")</f>
        <v/>
      </c>
      <c r="R60">
        <f>IF(AND($B60&lt;&gt;"",$C60&lt;&gt;"Target state",$C60&lt;&gt;"Exception",$D60="Medium",$E60="Low"),$A60&amp;"  "&amp;$B60,"")</f>
        <v/>
      </c>
      <c r="S60">
        <f>IF(AND($B60&lt;&gt;"",$C60&lt;&gt;"Target state",$C60&lt;&gt;"Exception",$D60="Medium",$E60="Medium"),$A60&amp;"  "&amp;$B60,"")</f>
        <v/>
      </c>
      <c r="T60">
        <f>IF(AND($B60&lt;&gt;"",$C60&lt;&gt;"Target state",$C60&lt;&gt;"Exception",$D60="Medium",$E60="High"),$A60&amp;"  "&amp;$B60,"")</f>
        <v/>
      </c>
      <c r="U60">
        <f>IF(AND($B60&lt;&gt;"",$C60&lt;&gt;"Target state",$C60&lt;&gt;"Exception",$D60="Low",$E60="Low"),$A60&amp;"  "&amp;$B60,"")</f>
        <v/>
      </c>
      <c r="V60">
        <f>IF(AND($B60&lt;&gt;"",$C60&lt;&gt;"Target state",$C60&lt;&gt;"Exception",$D60="Low",$E60="Medium"),$A60&amp;"  "&amp;$B60,"")</f>
        <v/>
      </c>
      <c r="W60">
        <f>IF(AND($B60&lt;&gt;"",$C60&lt;&gt;"Target state",$C60&lt;&gt;"Exception",$D60="Low",$E60="High"),$A60&amp;"  "&amp;$B60,"")</f>
        <v/>
      </c>
    </row>
    <row r="61" ht="20" customHeight="1">
      <c r="A61" s="29" t="inlineStr">
        <is>
          <t>③</t>
        </is>
      </c>
      <c r="B61" s="30" t="n"/>
      <c r="C61" s="31" t="n"/>
      <c r="D61" s="31" t="n"/>
      <c r="E61" s="31" t="n"/>
      <c r="F61" s="32" t="n"/>
      <c r="G61" s="33">
        <f>IF(OR($B61="",$D61="",$E61=""),"",IF(OR($C61="Target state",$C61="Exception"),"Out of scope",IF($D61="Low","No tranche",IF($E61="Low","Tranche 1",IF($E61="Medium","Tranche 2",IF($D61="High","Tranche 3","No tranche"))))))</f>
        <v/>
      </c>
      <c r="K61" s="40" t="n"/>
      <c r="L61" s="40" t="n"/>
      <c r="M61" s="40" t="n"/>
      <c r="O61">
        <f>IF(AND($B61&lt;&gt;"",$C61&lt;&gt;"Target state",$C61&lt;&gt;"Exception",$D61="High",$E61="Low"),$A61&amp;"  "&amp;$B61,"")</f>
        <v/>
      </c>
      <c r="P61">
        <f>IF(AND($B61&lt;&gt;"",$C61&lt;&gt;"Target state",$C61&lt;&gt;"Exception",$D61="High",$E61="Medium"),$A61&amp;"  "&amp;$B61,"")</f>
        <v/>
      </c>
      <c r="Q61">
        <f>IF(AND($B61&lt;&gt;"",$C61&lt;&gt;"Target state",$C61&lt;&gt;"Exception",$D61="High",$E61="High"),$A61&amp;"  "&amp;$B61,"")</f>
        <v/>
      </c>
      <c r="R61">
        <f>IF(AND($B61&lt;&gt;"",$C61&lt;&gt;"Target state",$C61&lt;&gt;"Exception",$D61="Medium",$E61="Low"),$A61&amp;"  "&amp;$B61,"")</f>
        <v/>
      </c>
      <c r="S61">
        <f>IF(AND($B61&lt;&gt;"",$C61&lt;&gt;"Target state",$C61&lt;&gt;"Exception",$D61="Medium",$E61="Medium"),$A61&amp;"  "&amp;$B61,"")</f>
        <v/>
      </c>
      <c r="T61">
        <f>IF(AND($B61&lt;&gt;"",$C61&lt;&gt;"Target state",$C61&lt;&gt;"Exception",$D61="Medium",$E61="High"),$A61&amp;"  "&amp;$B61,"")</f>
        <v/>
      </c>
      <c r="U61">
        <f>IF(AND($B61&lt;&gt;"",$C61&lt;&gt;"Target state",$C61&lt;&gt;"Exception",$D61="Low",$E61="Low"),$A61&amp;"  "&amp;$B61,"")</f>
        <v/>
      </c>
      <c r="V61">
        <f>IF(AND($B61&lt;&gt;"",$C61&lt;&gt;"Target state",$C61&lt;&gt;"Exception",$D61="Low",$E61="Medium"),$A61&amp;"  "&amp;$B61,"")</f>
        <v/>
      </c>
      <c r="W61">
        <f>IF(AND($B61&lt;&gt;"",$C61&lt;&gt;"Target state",$C61&lt;&gt;"Exception",$D61="Low",$E61="High"),$A61&amp;"  "&amp;$B61,"")</f>
        <v/>
      </c>
    </row>
    <row r="62" ht="20" customHeight="1">
      <c r="A62" s="29" t="inlineStr">
        <is>
          <t>④</t>
        </is>
      </c>
      <c r="B62" s="30" t="n"/>
      <c r="C62" s="31" t="n"/>
      <c r="D62" s="31" t="n"/>
      <c r="E62" s="31" t="n"/>
      <c r="F62" s="32" t="n"/>
      <c r="G62" s="33">
        <f>IF(OR($B62="",$D62="",$E62=""),"",IF(OR($C62="Target state",$C62="Exception"),"Out of scope",IF($D62="Low","No tranche",IF($E62="Low","Tranche 1",IF($E62="Medium","Tranche 2",IF($D62="High","Tranche 3","No tranche"))))))</f>
        <v/>
      </c>
      <c r="J62" s="35" t="inlineStr">
        <is>
          <t>Medium</t>
        </is>
      </c>
      <c r="K62" s="36">
        <f>"Tranche 1"&amp;CHAR(10)&amp;_xlfn.TEXTJOIN(CHAR(10),TRUE,R$59:R$68)</f>
        <v/>
      </c>
      <c r="L62" s="37">
        <f>"Tranche 2"&amp;CHAR(10)&amp;_xlfn.TEXTJOIN(CHAR(10),TRUE,S$59:S$68)</f>
        <v/>
      </c>
      <c r="M62" s="41">
        <f>_xlfn.TEXTJOIN(CHAR(10),TRUE,T$59:T$68)</f>
        <v/>
      </c>
      <c r="O62">
        <f>IF(AND($B62&lt;&gt;"",$C62&lt;&gt;"Target state",$C62&lt;&gt;"Exception",$D62="High",$E62="Low"),$A62&amp;"  "&amp;$B62,"")</f>
        <v/>
      </c>
      <c r="P62">
        <f>IF(AND($B62&lt;&gt;"",$C62&lt;&gt;"Target state",$C62&lt;&gt;"Exception",$D62="High",$E62="Medium"),$A62&amp;"  "&amp;$B62,"")</f>
        <v/>
      </c>
      <c r="Q62">
        <f>IF(AND($B62&lt;&gt;"",$C62&lt;&gt;"Target state",$C62&lt;&gt;"Exception",$D62="High",$E62="High"),$A62&amp;"  "&amp;$B62,"")</f>
        <v/>
      </c>
      <c r="R62">
        <f>IF(AND($B62&lt;&gt;"",$C62&lt;&gt;"Target state",$C62&lt;&gt;"Exception",$D62="Medium",$E62="Low"),$A62&amp;"  "&amp;$B62,"")</f>
        <v/>
      </c>
      <c r="S62">
        <f>IF(AND($B62&lt;&gt;"",$C62&lt;&gt;"Target state",$C62&lt;&gt;"Exception",$D62="Medium",$E62="Medium"),$A62&amp;"  "&amp;$B62,"")</f>
        <v/>
      </c>
      <c r="T62">
        <f>IF(AND($B62&lt;&gt;"",$C62&lt;&gt;"Target state",$C62&lt;&gt;"Exception",$D62="Medium",$E62="High"),$A62&amp;"  "&amp;$B62,"")</f>
        <v/>
      </c>
      <c r="U62">
        <f>IF(AND($B62&lt;&gt;"",$C62&lt;&gt;"Target state",$C62&lt;&gt;"Exception",$D62="Low",$E62="Low"),$A62&amp;"  "&amp;$B62,"")</f>
        <v/>
      </c>
      <c r="V62">
        <f>IF(AND($B62&lt;&gt;"",$C62&lt;&gt;"Target state",$C62&lt;&gt;"Exception",$D62="Low",$E62="Medium"),$A62&amp;"  "&amp;$B62,"")</f>
        <v/>
      </c>
      <c r="W62">
        <f>IF(AND($B62&lt;&gt;"",$C62&lt;&gt;"Target state",$C62&lt;&gt;"Exception",$D62="Low",$E62="High"),$A62&amp;"  "&amp;$B62,"")</f>
        <v/>
      </c>
    </row>
    <row r="63" ht="20" customHeight="1">
      <c r="A63" s="29" t="inlineStr">
        <is>
          <t>⑤</t>
        </is>
      </c>
      <c r="B63" s="30" t="n"/>
      <c r="C63" s="31" t="n"/>
      <c r="D63" s="31" t="n"/>
      <c r="E63" s="31" t="n"/>
      <c r="F63" s="32" t="n"/>
      <c r="G63" s="33">
        <f>IF(OR($B63="",$D63="",$E63=""),"",IF(OR($C63="Target state",$C63="Exception"),"Out of scope",IF($D63="Low","No tranche",IF($E63="Low","Tranche 1",IF($E63="Medium","Tranche 2",IF($D63="High","Tranche 3","No tranche"))))))</f>
        <v/>
      </c>
      <c r="K63" s="39" t="n"/>
      <c r="L63" s="39" t="n"/>
      <c r="M63" s="39" t="n"/>
      <c r="O63">
        <f>IF(AND($B63&lt;&gt;"",$C63&lt;&gt;"Target state",$C63&lt;&gt;"Exception",$D63="High",$E63="Low"),$A63&amp;"  "&amp;$B63,"")</f>
        <v/>
      </c>
      <c r="P63">
        <f>IF(AND($B63&lt;&gt;"",$C63&lt;&gt;"Target state",$C63&lt;&gt;"Exception",$D63="High",$E63="Medium"),$A63&amp;"  "&amp;$B63,"")</f>
        <v/>
      </c>
      <c r="Q63">
        <f>IF(AND($B63&lt;&gt;"",$C63&lt;&gt;"Target state",$C63&lt;&gt;"Exception",$D63="High",$E63="High"),$A63&amp;"  "&amp;$B63,"")</f>
        <v/>
      </c>
      <c r="R63">
        <f>IF(AND($B63&lt;&gt;"",$C63&lt;&gt;"Target state",$C63&lt;&gt;"Exception",$D63="Medium",$E63="Low"),$A63&amp;"  "&amp;$B63,"")</f>
        <v/>
      </c>
      <c r="S63">
        <f>IF(AND($B63&lt;&gt;"",$C63&lt;&gt;"Target state",$C63&lt;&gt;"Exception",$D63="Medium",$E63="Medium"),$A63&amp;"  "&amp;$B63,"")</f>
        <v/>
      </c>
      <c r="T63">
        <f>IF(AND($B63&lt;&gt;"",$C63&lt;&gt;"Target state",$C63&lt;&gt;"Exception",$D63="Medium",$E63="High"),$A63&amp;"  "&amp;$B63,"")</f>
        <v/>
      </c>
      <c r="U63">
        <f>IF(AND($B63&lt;&gt;"",$C63&lt;&gt;"Target state",$C63&lt;&gt;"Exception",$D63="Low",$E63="Low"),$A63&amp;"  "&amp;$B63,"")</f>
        <v/>
      </c>
      <c r="V63">
        <f>IF(AND($B63&lt;&gt;"",$C63&lt;&gt;"Target state",$C63&lt;&gt;"Exception",$D63="Low",$E63="Medium"),$A63&amp;"  "&amp;$B63,"")</f>
        <v/>
      </c>
      <c r="W63">
        <f>IF(AND($B63&lt;&gt;"",$C63&lt;&gt;"Target state",$C63&lt;&gt;"Exception",$D63="Low",$E63="High"),$A63&amp;"  "&amp;$B63,"")</f>
        <v/>
      </c>
    </row>
    <row r="64" ht="20" customHeight="1">
      <c r="A64" s="29" t="inlineStr">
        <is>
          <t>⑥</t>
        </is>
      </c>
      <c r="B64" s="30" t="n"/>
      <c r="C64" s="31" t="n"/>
      <c r="D64" s="31" t="n"/>
      <c r="E64" s="31" t="n"/>
      <c r="F64" s="32" t="n"/>
      <c r="G64" s="33">
        <f>IF(OR($B64="",$D64="",$E64=""),"",IF(OR($C64="Target state",$C64="Exception"),"Out of scope",IF($D64="Low","No tranche",IF($E64="Low","Tranche 1",IF($E64="Medium","Tranche 2",IF($D64="High","Tranche 3","No tranche"))))))</f>
        <v/>
      </c>
      <c r="K64" s="40" t="n"/>
      <c r="L64" s="40" t="n"/>
      <c r="M64" s="40" t="n"/>
      <c r="O64">
        <f>IF(AND($B64&lt;&gt;"",$C64&lt;&gt;"Target state",$C64&lt;&gt;"Exception",$D64="High",$E64="Low"),$A64&amp;"  "&amp;$B64,"")</f>
        <v/>
      </c>
      <c r="P64">
        <f>IF(AND($B64&lt;&gt;"",$C64&lt;&gt;"Target state",$C64&lt;&gt;"Exception",$D64="High",$E64="Medium"),$A64&amp;"  "&amp;$B64,"")</f>
        <v/>
      </c>
      <c r="Q64">
        <f>IF(AND($B64&lt;&gt;"",$C64&lt;&gt;"Target state",$C64&lt;&gt;"Exception",$D64="High",$E64="High"),$A64&amp;"  "&amp;$B64,"")</f>
        <v/>
      </c>
      <c r="R64">
        <f>IF(AND($B64&lt;&gt;"",$C64&lt;&gt;"Target state",$C64&lt;&gt;"Exception",$D64="Medium",$E64="Low"),$A64&amp;"  "&amp;$B64,"")</f>
        <v/>
      </c>
      <c r="S64">
        <f>IF(AND($B64&lt;&gt;"",$C64&lt;&gt;"Target state",$C64&lt;&gt;"Exception",$D64="Medium",$E64="Medium"),$A64&amp;"  "&amp;$B64,"")</f>
        <v/>
      </c>
      <c r="T64">
        <f>IF(AND($B64&lt;&gt;"",$C64&lt;&gt;"Target state",$C64&lt;&gt;"Exception",$D64="Medium",$E64="High"),$A64&amp;"  "&amp;$B64,"")</f>
        <v/>
      </c>
      <c r="U64">
        <f>IF(AND($B64&lt;&gt;"",$C64&lt;&gt;"Target state",$C64&lt;&gt;"Exception",$D64="Low",$E64="Low"),$A64&amp;"  "&amp;$B64,"")</f>
        <v/>
      </c>
      <c r="V64">
        <f>IF(AND($B64&lt;&gt;"",$C64&lt;&gt;"Target state",$C64&lt;&gt;"Exception",$D64="Low",$E64="Medium"),$A64&amp;"  "&amp;$B64,"")</f>
        <v/>
      </c>
      <c r="W64">
        <f>IF(AND($B64&lt;&gt;"",$C64&lt;&gt;"Target state",$C64&lt;&gt;"Exception",$D64="Low",$E64="High"),$A64&amp;"  "&amp;$B64,"")</f>
        <v/>
      </c>
    </row>
    <row r="65" ht="20" customHeight="1">
      <c r="A65" s="29" t="inlineStr">
        <is>
          <t>⑦</t>
        </is>
      </c>
      <c r="B65" s="30" t="n"/>
      <c r="C65" s="31" t="n"/>
      <c r="D65" s="31" t="n"/>
      <c r="E65" s="31" t="n"/>
      <c r="F65" s="32" t="n"/>
      <c r="G65" s="33">
        <f>IF(OR($B65="",$D65="",$E65=""),"",IF(OR($C65="Target state",$C65="Exception"),"Out of scope",IF($D65="Low","No tranche",IF($E65="Low","Tranche 1",IF($E65="Medium","Tranche 2",IF($D65="High","Tranche 3","No tranche"))))))</f>
        <v/>
      </c>
      <c r="J65" s="35" t="inlineStr">
        <is>
          <t>Low</t>
        </is>
      </c>
      <c r="K65" s="41">
        <f>_xlfn.TEXTJOIN(CHAR(10),TRUE,U$59:U$68)</f>
        <v/>
      </c>
      <c r="L65" s="41">
        <f>_xlfn.TEXTJOIN(CHAR(10),TRUE,V$59:V$68)</f>
        <v/>
      </c>
      <c r="M65" s="41">
        <f>_xlfn.TEXTJOIN(CHAR(10),TRUE,W$59:W$68)</f>
        <v/>
      </c>
      <c r="O65">
        <f>IF(AND($B65&lt;&gt;"",$C65&lt;&gt;"Target state",$C65&lt;&gt;"Exception",$D65="High",$E65="Low"),$A65&amp;"  "&amp;$B65,"")</f>
        <v/>
      </c>
      <c r="P65">
        <f>IF(AND($B65&lt;&gt;"",$C65&lt;&gt;"Target state",$C65&lt;&gt;"Exception",$D65="High",$E65="Medium"),$A65&amp;"  "&amp;$B65,"")</f>
        <v/>
      </c>
      <c r="Q65">
        <f>IF(AND($B65&lt;&gt;"",$C65&lt;&gt;"Target state",$C65&lt;&gt;"Exception",$D65="High",$E65="High"),$A65&amp;"  "&amp;$B65,"")</f>
        <v/>
      </c>
      <c r="R65">
        <f>IF(AND($B65&lt;&gt;"",$C65&lt;&gt;"Target state",$C65&lt;&gt;"Exception",$D65="Medium",$E65="Low"),$A65&amp;"  "&amp;$B65,"")</f>
        <v/>
      </c>
      <c r="S65">
        <f>IF(AND($B65&lt;&gt;"",$C65&lt;&gt;"Target state",$C65&lt;&gt;"Exception",$D65="Medium",$E65="Medium"),$A65&amp;"  "&amp;$B65,"")</f>
        <v/>
      </c>
      <c r="T65">
        <f>IF(AND($B65&lt;&gt;"",$C65&lt;&gt;"Target state",$C65&lt;&gt;"Exception",$D65="Medium",$E65="High"),$A65&amp;"  "&amp;$B65,"")</f>
        <v/>
      </c>
      <c r="U65">
        <f>IF(AND($B65&lt;&gt;"",$C65&lt;&gt;"Target state",$C65&lt;&gt;"Exception",$D65="Low",$E65="Low"),$A65&amp;"  "&amp;$B65,"")</f>
        <v/>
      </c>
      <c r="V65">
        <f>IF(AND($B65&lt;&gt;"",$C65&lt;&gt;"Target state",$C65&lt;&gt;"Exception",$D65="Low",$E65="Medium"),$A65&amp;"  "&amp;$B65,"")</f>
        <v/>
      </c>
      <c r="W65">
        <f>IF(AND($B65&lt;&gt;"",$C65&lt;&gt;"Target state",$C65&lt;&gt;"Exception",$D65="Low",$E65="High"),$A65&amp;"  "&amp;$B65,"")</f>
        <v/>
      </c>
    </row>
    <row r="66" ht="20" customHeight="1">
      <c r="A66" s="29" t="inlineStr">
        <is>
          <t>⑧</t>
        </is>
      </c>
      <c r="B66" s="30" t="n"/>
      <c r="C66" s="31" t="n"/>
      <c r="D66" s="31" t="n"/>
      <c r="E66" s="31" t="n"/>
      <c r="F66" s="32" t="n"/>
      <c r="G66" s="33">
        <f>IF(OR($B66="",$D66="",$E66=""),"",IF(OR($C66="Target state",$C66="Exception"),"Out of scope",IF($D66="Low","No tranche",IF($E66="Low","Tranche 1",IF($E66="Medium","Tranche 2",IF($D66="High","Tranche 3","No tranche"))))))</f>
        <v/>
      </c>
      <c r="K66" s="39" t="n"/>
      <c r="L66" s="39" t="n"/>
      <c r="M66" s="39" t="n"/>
      <c r="O66">
        <f>IF(AND($B66&lt;&gt;"",$C66&lt;&gt;"Target state",$C66&lt;&gt;"Exception",$D66="High",$E66="Low"),$A66&amp;"  "&amp;$B66,"")</f>
        <v/>
      </c>
      <c r="P66">
        <f>IF(AND($B66&lt;&gt;"",$C66&lt;&gt;"Target state",$C66&lt;&gt;"Exception",$D66="High",$E66="Medium"),$A66&amp;"  "&amp;$B66,"")</f>
        <v/>
      </c>
      <c r="Q66">
        <f>IF(AND($B66&lt;&gt;"",$C66&lt;&gt;"Target state",$C66&lt;&gt;"Exception",$D66="High",$E66="High"),$A66&amp;"  "&amp;$B66,"")</f>
        <v/>
      </c>
      <c r="R66">
        <f>IF(AND($B66&lt;&gt;"",$C66&lt;&gt;"Target state",$C66&lt;&gt;"Exception",$D66="Medium",$E66="Low"),$A66&amp;"  "&amp;$B66,"")</f>
        <v/>
      </c>
      <c r="S66">
        <f>IF(AND($B66&lt;&gt;"",$C66&lt;&gt;"Target state",$C66&lt;&gt;"Exception",$D66="Medium",$E66="Medium"),$A66&amp;"  "&amp;$B66,"")</f>
        <v/>
      </c>
      <c r="T66">
        <f>IF(AND($B66&lt;&gt;"",$C66&lt;&gt;"Target state",$C66&lt;&gt;"Exception",$D66="Medium",$E66="High"),$A66&amp;"  "&amp;$B66,"")</f>
        <v/>
      </c>
      <c r="U66">
        <f>IF(AND($B66&lt;&gt;"",$C66&lt;&gt;"Target state",$C66&lt;&gt;"Exception",$D66="Low",$E66="Low"),$A66&amp;"  "&amp;$B66,"")</f>
        <v/>
      </c>
      <c r="V66">
        <f>IF(AND($B66&lt;&gt;"",$C66&lt;&gt;"Target state",$C66&lt;&gt;"Exception",$D66="Low",$E66="Medium"),$A66&amp;"  "&amp;$B66,"")</f>
        <v/>
      </c>
      <c r="W66">
        <f>IF(AND($B66&lt;&gt;"",$C66&lt;&gt;"Target state",$C66&lt;&gt;"Exception",$D66="Low",$E66="High"),$A66&amp;"  "&amp;$B66,"")</f>
        <v/>
      </c>
    </row>
    <row r="67" ht="20" customHeight="1">
      <c r="A67" s="29" t="inlineStr">
        <is>
          <t>⑨</t>
        </is>
      </c>
      <c r="B67" s="30" t="n"/>
      <c r="C67" s="31" t="n"/>
      <c r="D67" s="31" t="n"/>
      <c r="E67" s="31" t="n"/>
      <c r="F67" s="32" t="n"/>
      <c r="G67" s="33">
        <f>IF(OR($B67="",$D67="",$E67=""),"",IF(OR($C67="Target state",$C67="Exception"),"Out of scope",IF($D67="Low","No tranche",IF($E67="Low","Tranche 1",IF($E67="Medium","Tranche 2",IF($D67="High","Tranche 3","No tranche"))))))</f>
        <v/>
      </c>
      <c r="K67" s="40" t="n"/>
      <c r="L67" s="40" t="n"/>
      <c r="M67" s="40" t="n"/>
      <c r="O67">
        <f>IF(AND($B67&lt;&gt;"",$C67&lt;&gt;"Target state",$C67&lt;&gt;"Exception",$D67="High",$E67="Low"),$A67&amp;"  "&amp;$B67,"")</f>
        <v/>
      </c>
      <c r="P67">
        <f>IF(AND($B67&lt;&gt;"",$C67&lt;&gt;"Target state",$C67&lt;&gt;"Exception",$D67="High",$E67="Medium"),$A67&amp;"  "&amp;$B67,"")</f>
        <v/>
      </c>
      <c r="Q67">
        <f>IF(AND($B67&lt;&gt;"",$C67&lt;&gt;"Target state",$C67&lt;&gt;"Exception",$D67="High",$E67="High"),$A67&amp;"  "&amp;$B67,"")</f>
        <v/>
      </c>
      <c r="R67">
        <f>IF(AND($B67&lt;&gt;"",$C67&lt;&gt;"Target state",$C67&lt;&gt;"Exception",$D67="Medium",$E67="Low"),$A67&amp;"  "&amp;$B67,"")</f>
        <v/>
      </c>
      <c r="S67">
        <f>IF(AND($B67&lt;&gt;"",$C67&lt;&gt;"Target state",$C67&lt;&gt;"Exception",$D67="Medium",$E67="Medium"),$A67&amp;"  "&amp;$B67,"")</f>
        <v/>
      </c>
      <c r="T67">
        <f>IF(AND($B67&lt;&gt;"",$C67&lt;&gt;"Target state",$C67&lt;&gt;"Exception",$D67="Medium",$E67="High"),$A67&amp;"  "&amp;$B67,"")</f>
        <v/>
      </c>
      <c r="U67">
        <f>IF(AND($B67&lt;&gt;"",$C67&lt;&gt;"Target state",$C67&lt;&gt;"Exception",$D67="Low",$E67="Low"),$A67&amp;"  "&amp;$B67,"")</f>
        <v/>
      </c>
      <c r="V67">
        <f>IF(AND($B67&lt;&gt;"",$C67&lt;&gt;"Target state",$C67&lt;&gt;"Exception",$D67="Low",$E67="Medium"),$A67&amp;"  "&amp;$B67,"")</f>
        <v/>
      </c>
      <c r="W67">
        <f>IF(AND($B67&lt;&gt;"",$C67&lt;&gt;"Target state",$C67&lt;&gt;"Exception",$D67="Low",$E67="High"),$A67&amp;"  "&amp;$B67,"")</f>
        <v/>
      </c>
    </row>
    <row r="68" ht="20" customHeight="1">
      <c r="A68" s="29" t="inlineStr">
        <is>
          <t>⑩</t>
        </is>
      </c>
      <c r="B68" s="30" t="n"/>
      <c r="C68" s="31" t="n"/>
      <c r="D68" s="31" t="n"/>
      <c r="E68" s="31" t="n"/>
      <c r="F68" s="32" t="n"/>
      <c r="G68" s="33">
        <f>IF(OR($B68="",$D68="",$E68=""),"",IF(OR($C68="Target state",$C68="Exception"),"Out of scope",IF($D68="Low","No tranche",IF($E68="Low","Tranche 1",IF($E68="Medium","Tranche 2",IF($D68="High","Tranche 3","No tranche"))))))</f>
        <v/>
      </c>
      <c r="K68" s="35" t="inlineStr">
        <is>
          <t>Complexity</t>
        </is>
      </c>
      <c r="O68">
        <f>IF(AND($B68&lt;&gt;"",$C68&lt;&gt;"Target state",$C68&lt;&gt;"Exception",$D68="High",$E68="Low"),$A68&amp;"  "&amp;$B68,"")</f>
        <v/>
      </c>
      <c r="P68">
        <f>IF(AND($B68&lt;&gt;"",$C68&lt;&gt;"Target state",$C68&lt;&gt;"Exception",$D68="High",$E68="Medium"),$A68&amp;"  "&amp;$B68,"")</f>
        <v/>
      </c>
      <c r="Q68">
        <f>IF(AND($B68&lt;&gt;"",$C68&lt;&gt;"Target state",$C68&lt;&gt;"Exception",$D68="High",$E68="High"),$A68&amp;"  "&amp;$B68,"")</f>
        <v/>
      </c>
      <c r="R68">
        <f>IF(AND($B68&lt;&gt;"",$C68&lt;&gt;"Target state",$C68&lt;&gt;"Exception",$D68="Medium",$E68="Low"),$A68&amp;"  "&amp;$B68,"")</f>
        <v/>
      </c>
      <c r="S68">
        <f>IF(AND($B68&lt;&gt;"",$C68&lt;&gt;"Target state",$C68&lt;&gt;"Exception",$D68="Medium",$E68="Medium"),$A68&amp;"  "&amp;$B68,"")</f>
        <v/>
      </c>
      <c r="T68">
        <f>IF(AND($B68&lt;&gt;"",$C68&lt;&gt;"Target state",$C68&lt;&gt;"Exception",$D68="Medium",$E68="High"),$A68&amp;"  "&amp;$B68,"")</f>
        <v/>
      </c>
      <c r="U68">
        <f>IF(AND($B68&lt;&gt;"",$C68&lt;&gt;"Target state",$C68&lt;&gt;"Exception",$D68="Low",$E68="Low"),$A68&amp;"  "&amp;$B68,"")</f>
        <v/>
      </c>
      <c r="V68">
        <f>IF(AND($B68&lt;&gt;"",$C68&lt;&gt;"Target state",$C68&lt;&gt;"Exception",$D68="Low",$E68="Medium"),$A68&amp;"  "&amp;$B68,"")</f>
        <v/>
      </c>
      <c r="W68">
        <f>IF(AND($B68&lt;&gt;"",$C68&lt;&gt;"Target state",$C68&lt;&gt;"Exception",$D68="Low",$E68="High"),$A68&amp;"  "&amp;$B68,"")</f>
        <v/>
      </c>
    </row>
    <row r="71" ht="22" customHeight="1">
      <c r="A71" s="24" t="inlineStr">
        <is>
          <t>Credential Management</t>
        </is>
      </c>
      <c r="G71" s="25">
        <f>HYPERLINK("#'VAS'!A4","▲ tracker")</f>
        <v/>
      </c>
      <c r="K71" s="26" t="inlineStr">
        <is>
          <t>Assessment Outcome</t>
        </is>
      </c>
    </row>
    <row r="72" ht="18" customHeight="1">
      <c r="A72" s="27" t="inlineStr">
        <is>
          <t>#</t>
        </is>
      </c>
      <c r="B72" s="27" t="inlineStr">
        <is>
          <t>Platform</t>
        </is>
      </c>
      <c r="C72" s="27" t="inlineStr">
        <is>
          <t>State</t>
        </is>
      </c>
      <c r="D72" s="27" t="inlineStr">
        <is>
          <t>Imperative to exit</t>
        </is>
      </c>
      <c r="E72" s="27" t="inlineStr">
        <is>
          <t>Exit complexity</t>
        </is>
      </c>
      <c r="F72" s="27" t="inlineStr">
        <is>
          <t>Supporting facts</t>
        </is>
      </c>
      <c r="G72" s="27" t="inlineStr">
        <is>
          <t>Tranche (auto)</t>
        </is>
      </c>
      <c r="K72" s="28" t="inlineStr">
        <is>
          <t>Low</t>
        </is>
      </c>
      <c r="L72" s="28" t="inlineStr">
        <is>
          <t>Medium</t>
        </is>
      </c>
      <c r="M72" s="28" t="inlineStr">
        <is>
          <t>High</t>
        </is>
      </c>
    </row>
    <row r="73" ht="20" customHeight="1">
      <c r="A73" s="29" t="inlineStr">
        <is>
          <t>①</t>
        </is>
      </c>
      <c r="B73" s="30" t="n"/>
      <c r="C73" s="31" t="n"/>
      <c r="D73" s="31" t="n"/>
      <c r="E73" s="31" t="n"/>
      <c r="F73" s="32" t="n"/>
      <c r="G73" s="33">
        <f>IF(OR($B73="",$D73="",$E73=""),"",IF(OR($C73="Target state",$C73="Exception"),"Out of scope",IF($D73="Low","No tranche",IF($E73="Low","Tranche 1",IF($E73="Medium","Tranche 2",IF($D73="High","Tranche 3","No tranche"))))))</f>
        <v/>
      </c>
      <c r="I73" s="34" t="inlineStr">
        <is>
          <t>Benefits</t>
        </is>
      </c>
      <c r="J73" s="35" t="inlineStr">
        <is>
          <t>High</t>
        </is>
      </c>
      <c r="K73" s="36">
        <f>"Tranche 1"&amp;CHAR(10)&amp;_xlfn.TEXTJOIN(CHAR(10),TRUE,O$73:O$82)</f>
        <v/>
      </c>
      <c r="L73" s="37">
        <f>"Tranche 2"&amp;CHAR(10)&amp;_xlfn.TEXTJOIN(CHAR(10),TRUE,P$73:P$82)</f>
        <v/>
      </c>
      <c r="M73" s="38">
        <f>"Tranche 3"&amp;CHAR(10)&amp;_xlfn.TEXTJOIN(CHAR(10),TRUE,Q$73:Q$82)</f>
        <v/>
      </c>
      <c r="O73">
        <f>IF(AND($B73&lt;&gt;"",$C73&lt;&gt;"Target state",$C73&lt;&gt;"Exception",$D73="High",$E73="Low"),$A73&amp;"  "&amp;$B73,"")</f>
        <v/>
      </c>
      <c r="P73">
        <f>IF(AND($B73&lt;&gt;"",$C73&lt;&gt;"Target state",$C73&lt;&gt;"Exception",$D73="High",$E73="Medium"),$A73&amp;"  "&amp;$B73,"")</f>
        <v/>
      </c>
      <c r="Q73">
        <f>IF(AND($B73&lt;&gt;"",$C73&lt;&gt;"Target state",$C73&lt;&gt;"Exception",$D73="High",$E73="High"),$A73&amp;"  "&amp;$B73,"")</f>
        <v/>
      </c>
      <c r="R73">
        <f>IF(AND($B73&lt;&gt;"",$C73&lt;&gt;"Target state",$C73&lt;&gt;"Exception",$D73="Medium",$E73="Low"),$A73&amp;"  "&amp;$B73,"")</f>
        <v/>
      </c>
      <c r="S73">
        <f>IF(AND($B73&lt;&gt;"",$C73&lt;&gt;"Target state",$C73&lt;&gt;"Exception",$D73="Medium",$E73="Medium"),$A73&amp;"  "&amp;$B73,"")</f>
        <v/>
      </c>
      <c r="T73">
        <f>IF(AND($B73&lt;&gt;"",$C73&lt;&gt;"Target state",$C73&lt;&gt;"Exception",$D73="Medium",$E73="High"),$A73&amp;"  "&amp;$B73,"")</f>
        <v/>
      </c>
      <c r="U73">
        <f>IF(AND($B73&lt;&gt;"",$C73&lt;&gt;"Target state",$C73&lt;&gt;"Exception",$D73="Low",$E73="Low"),$A73&amp;"  "&amp;$B73,"")</f>
        <v/>
      </c>
      <c r="V73">
        <f>IF(AND($B73&lt;&gt;"",$C73&lt;&gt;"Target state",$C73&lt;&gt;"Exception",$D73="Low",$E73="Medium"),$A73&amp;"  "&amp;$B73,"")</f>
        <v/>
      </c>
      <c r="W73">
        <f>IF(AND($B73&lt;&gt;"",$C73&lt;&gt;"Target state",$C73&lt;&gt;"Exception",$D73="Low",$E73="High"),$A73&amp;"  "&amp;$B73,"")</f>
        <v/>
      </c>
    </row>
    <row r="74" ht="20" customHeight="1">
      <c r="A74" s="29" t="inlineStr">
        <is>
          <t>②</t>
        </is>
      </c>
      <c r="B74" s="30" t="n"/>
      <c r="C74" s="31" t="n"/>
      <c r="D74" s="31" t="n"/>
      <c r="E74" s="31" t="n"/>
      <c r="F74" s="32" t="n"/>
      <c r="G74" s="33">
        <f>IF(OR($B74="",$D74="",$E74=""),"",IF(OR($C74="Target state",$C74="Exception"),"Out of scope",IF($D74="Low","No tranche",IF($E74="Low","Tranche 1",IF($E74="Medium","Tranche 2",IF($D74="High","Tranche 3","No tranche"))))))</f>
        <v/>
      </c>
      <c r="K74" s="39" t="n"/>
      <c r="L74" s="39" t="n"/>
      <c r="M74" s="39" t="n"/>
      <c r="O74">
        <f>IF(AND($B74&lt;&gt;"",$C74&lt;&gt;"Target state",$C74&lt;&gt;"Exception",$D74="High",$E74="Low"),$A74&amp;"  "&amp;$B74,"")</f>
        <v/>
      </c>
      <c r="P74">
        <f>IF(AND($B74&lt;&gt;"",$C74&lt;&gt;"Target state",$C74&lt;&gt;"Exception",$D74="High",$E74="Medium"),$A74&amp;"  "&amp;$B74,"")</f>
        <v/>
      </c>
      <c r="Q74">
        <f>IF(AND($B74&lt;&gt;"",$C74&lt;&gt;"Target state",$C74&lt;&gt;"Exception",$D74="High",$E74="High"),$A74&amp;"  "&amp;$B74,"")</f>
        <v/>
      </c>
      <c r="R74">
        <f>IF(AND($B74&lt;&gt;"",$C74&lt;&gt;"Target state",$C74&lt;&gt;"Exception",$D74="Medium",$E74="Low"),$A74&amp;"  "&amp;$B74,"")</f>
        <v/>
      </c>
      <c r="S74">
        <f>IF(AND($B74&lt;&gt;"",$C74&lt;&gt;"Target state",$C74&lt;&gt;"Exception",$D74="Medium",$E74="Medium"),$A74&amp;"  "&amp;$B74,"")</f>
        <v/>
      </c>
      <c r="T74">
        <f>IF(AND($B74&lt;&gt;"",$C74&lt;&gt;"Target state",$C74&lt;&gt;"Exception",$D74="Medium",$E74="High"),$A74&amp;"  "&amp;$B74,"")</f>
        <v/>
      </c>
      <c r="U74">
        <f>IF(AND($B74&lt;&gt;"",$C74&lt;&gt;"Target state",$C74&lt;&gt;"Exception",$D74="Low",$E74="Low"),$A74&amp;"  "&amp;$B74,"")</f>
        <v/>
      </c>
      <c r="V74">
        <f>IF(AND($B74&lt;&gt;"",$C74&lt;&gt;"Target state",$C74&lt;&gt;"Exception",$D74="Low",$E74="Medium"),$A74&amp;"  "&amp;$B74,"")</f>
        <v/>
      </c>
      <c r="W74">
        <f>IF(AND($B74&lt;&gt;"",$C74&lt;&gt;"Target state",$C74&lt;&gt;"Exception",$D74="Low",$E74="High"),$A74&amp;"  "&amp;$B74,"")</f>
        <v/>
      </c>
    </row>
    <row r="75" ht="20" customHeight="1">
      <c r="A75" s="29" t="inlineStr">
        <is>
          <t>③</t>
        </is>
      </c>
      <c r="B75" s="30" t="n"/>
      <c r="C75" s="31" t="n"/>
      <c r="D75" s="31" t="n"/>
      <c r="E75" s="31" t="n"/>
      <c r="F75" s="32" t="n"/>
      <c r="G75" s="33">
        <f>IF(OR($B75="",$D75="",$E75=""),"",IF(OR($C75="Target state",$C75="Exception"),"Out of scope",IF($D75="Low","No tranche",IF($E75="Low","Tranche 1",IF($E75="Medium","Tranche 2",IF($D75="High","Tranche 3","No tranche"))))))</f>
        <v/>
      </c>
      <c r="K75" s="40" t="n"/>
      <c r="L75" s="40" t="n"/>
      <c r="M75" s="40" t="n"/>
      <c r="O75">
        <f>IF(AND($B75&lt;&gt;"",$C75&lt;&gt;"Target state",$C75&lt;&gt;"Exception",$D75="High",$E75="Low"),$A75&amp;"  "&amp;$B75,"")</f>
        <v/>
      </c>
      <c r="P75">
        <f>IF(AND($B75&lt;&gt;"",$C75&lt;&gt;"Target state",$C75&lt;&gt;"Exception",$D75="High",$E75="Medium"),$A75&amp;"  "&amp;$B75,"")</f>
        <v/>
      </c>
      <c r="Q75">
        <f>IF(AND($B75&lt;&gt;"",$C75&lt;&gt;"Target state",$C75&lt;&gt;"Exception",$D75="High",$E75="High"),$A75&amp;"  "&amp;$B75,"")</f>
        <v/>
      </c>
      <c r="R75">
        <f>IF(AND($B75&lt;&gt;"",$C75&lt;&gt;"Target state",$C75&lt;&gt;"Exception",$D75="Medium",$E75="Low"),$A75&amp;"  "&amp;$B75,"")</f>
        <v/>
      </c>
      <c r="S75">
        <f>IF(AND($B75&lt;&gt;"",$C75&lt;&gt;"Target state",$C75&lt;&gt;"Exception",$D75="Medium",$E75="Medium"),$A75&amp;"  "&amp;$B75,"")</f>
        <v/>
      </c>
      <c r="T75">
        <f>IF(AND($B75&lt;&gt;"",$C75&lt;&gt;"Target state",$C75&lt;&gt;"Exception",$D75="Medium",$E75="High"),$A75&amp;"  "&amp;$B75,"")</f>
        <v/>
      </c>
      <c r="U75">
        <f>IF(AND($B75&lt;&gt;"",$C75&lt;&gt;"Target state",$C75&lt;&gt;"Exception",$D75="Low",$E75="Low"),$A75&amp;"  "&amp;$B75,"")</f>
        <v/>
      </c>
      <c r="V75">
        <f>IF(AND($B75&lt;&gt;"",$C75&lt;&gt;"Target state",$C75&lt;&gt;"Exception",$D75="Low",$E75="Medium"),$A75&amp;"  "&amp;$B75,"")</f>
        <v/>
      </c>
      <c r="W75">
        <f>IF(AND($B75&lt;&gt;"",$C75&lt;&gt;"Target state",$C75&lt;&gt;"Exception",$D75="Low",$E75="High"),$A75&amp;"  "&amp;$B75,"")</f>
        <v/>
      </c>
    </row>
    <row r="76" ht="20" customHeight="1">
      <c r="A76" s="29" t="inlineStr">
        <is>
          <t>④</t>
        </is>
      </c>
      <c r="B76" s="30" t="n"/>
      <c r="C76" s="31" t="n"/>
      <c r="D76" s="31" t="n"/>
      <c r="E76" s="31" t="n"/>
      <c r="F76" s="32" t="n"/>
      <c r="G76" s="33">
        <f>IF(OR($B76="",$D76="",$E76=""),"",IF(OR($C76="Target state",$C76="Exception"),"Out of scope",IF($D76="Low","No tranche",IF($E76="Low","Tranche 1",IF($E76="Medium","Tranche 2",IF($D76="High","Tranche 3","No tranche"))))))</f>
        <v/>
      </c>
      <c r="J76" s="35" t="inlineStr">
        <is>
          <t>Medium</t>
        </is>
      </c>
      <c r="K76" s="36">
        <f>"Tranche 1"&amp;CHAR(10)&amp;_xlfn.TEXTJOIN(CHAR(10),TRUE,R$73:R$82)</f>
        <v/>
      </c>
      <c r="L76" s="37">
        <f>"Tranche 2"&amp;CHAR(10)&amp;_xlfn.TEXTJOIN(CHAR(10),TRUE,S$73:S$82)</f>
        <v/>
      </c>
      <c r="M76" s="41">
        <f>_xlfn.TEXTJOIN(CHAR(10),TRUE,T$73:T$82)</f>
        <v/>
      </c>
      <c r="O76">
        <f>IF(AND($B76&lt;&gt;"",$C76&lt;&gt;"Target state",$C76&lt;&gt;"Exception",$D76="High",$E76="Low"),$A76&amp;"  "&amp;$B76,"")</f>
        <v/>
      </c>
      <c r="P76">
        <f>IF(AND($B76&lt;&gt;"",$C76&lt;&gt;"Target state",$C76&lt;&gt;"Exception",$D76="High",$E76="Medium"),$A76&amp;"  "&amp;$B76,"")</f>
        <v/>
      </c>
      <c r="Q76">
        <f>IF(AND($B76&lt;&gt;"",$C76&lt;&gt;"Target state",$C76&lt;&gt;"Exception",$D76="High",$E76="High"),$A76&amp;"  "&amp;$B76,"")</f>
        <v/>
      </c>
      <c r="R76">
        <f>IF(AND($B76&lt;&gt;"",$C76&lt;&gt;"Target state",$C76&lt;&gt;"Exception",$D76="Medium",$E76="Low"),$A76&amp;"  "&amp;$B76,"")</f>
        <v/>
      </c>
      <c r="S76">
        <f>IF(AND($B76&lt;&gt;"",$C76&lt;&gt;"Target state",$C76&lt;&gt;"Exception",$D76="Medium",$E76="Medium"),$A76&amp;"  "&amp;$B76,"")</f>
        <v/>
      </c>
      <c r="T76">
        <f>IF(AND($B76&lt;&gt;"",$C76&lt;&gt;"Target state",$C76&lt;&gt;"Exception",$D76="Medium",$E76="High"),$A76&amp;"  "&amp;$B76,"")</f>
        <v/>
      </c>
      <c r="U76">
        <f>IF(AND($B76&lt;&gt;"",$C76&lt;&gt;"Target state",$C76&lt;&gt;"Exception",$D76="Low",$E76="Low"),$A76&amp;"  "&amp;$B76,"")</f>
        <v/>
      </c>
      <c r="V76">
        <f>IF(AND($B76&lt;&gt;"",$C76&lt;&gt;"Target state",$C76&lt;&gt;"Exception",$D76="Low",$E76="Medium"),$A76&amp;"  "&amp;$B76,"")</f>
        <v/>
      </c>
      <c r="W76">
        <f>IF(AND($B76&lt;&gt;"",$C76&lt;&gt;"Target state",$C76&lt;&gt;"Exception",$D76="Low",$E76="High"),$A76&amp;"  "&amp;$B76,"")</f>
        <v/>
      </c>
    </row>
    <row r="77" ht="20" customHeight="1">
      <c r="A77" s="29" t="inlineStr">
        <is>
          <t>⑤</t>
        </is>
      </c>
      <c r="B77" s="30" t="n"/>
      <c r="C77" s="31" t="n"/>
      <c r="D77" s="31" t="n"/>
      <c r="E77" s="31" t="n"/>
      <c r="F77" s="32" t="n"/>
      <c r="G77" s="33">
        <f>IF(OR($B77="",$D77="",$E77=""),"",IF(OR($C77="Target state",$C77="Exception"),"Out of scope",IF($D77="Low","No tranche",IF($E77="Low","Tranche 1",IF($E77="Medium","Tranche 2",IF($D77="High","Tranche 3","No tranche"))))))</f>
        <v/>
      </c>
      <c r="K77" s="39" t="n"/>
      <c r="L77" s="39" t="n"/>
      <c r="M77" s="39" t="n"/>
      <c r="O77">
        <f>IF(AND($B77&lt;&gt;"",$C77&lt;&gt;"Target state",$C77&lt;&gt;"Exception",$D77="High",$E77="Low"),$A77&amp;"  "&amp;$B77,"")</f>
        <v/>
      </c>
      <c r="P77">
        <f>IF(AND($B77&lt;&gt;"",$C77&lt;&gt;"Target state",$C77&lt;&gt;"Exception",$D77="High",$E77="Medium"),$A77&amp;"  "&amp;$B77,"")</f>
        <v/>
      </c>
      <c r="Q77">
        <f>IF(AND($B77&lt;&gt;"",$C77&lt;&gt;"Target state",$C77&lt;&gt;"Exception",$D77="High",$E77="High"),$A77&amp;"  "&amp;$B77,"")</f>
        <v/>
      </c>
      <c r="R77">
        <f>IF(AND($B77&lt;&gt;"",$C77&lt;&gt;"Target state",$C77&lt;&gt;"Exception",$D77="Medium",$E77="Low"),$A77&amp;"  "&amp;$B77,"")</f>
        <v/>
      </c>
      <c r="S77">
        <f>IF(AND($B77&lt;&gt;"",$C77&lt;&gt;"Target state",$C77&lt;&gt;"Exception",$D77="Medium",$E77="Medium"),$A77&amp;"  "&amp;$B77,"")</f>
        <v/>
      </c>
      <c r="T77">
        <f>IF(AND($B77&lt;&gt;"",$C77&lt;&gt;"Target state",$C77&lt;&gt;"Exception",$D77="Medium",$E77="High"),$A77&amp;"  "&amp;$B77,"")</f>
        <v/>
      </c>
      <c r="U77">
        <f>IF(AND($B77&lt;&gt;"",$C77&lt;&gt;"Target state",$C77&lt;&gt;"Exception",$D77="Low",$E77="Low"),$A77&amp;"  "&amp;$B77,"")</f>
        <v/>
      </c>
      <c r="V77">
        <f>IF(AND($B77&lt;&gt;"",$C77&lt;&gt;"Target state",$C77&lt;&gt;"Exception",$D77="Low",$E77="Medium"),$A77&amp;"  "&amp;$B77,"")</f>
        <v/>
      </c>
      <c r="W77">
        <f>IF(AND($B77&lt;&gt;"",$C77&lt;&gt;"Target state",$C77&lt;&gt;"Exception",$D77="Low",$E77="High"),$A77&amp;"  "&amp;$B77,"")</f>
        <v/>
      </c>
    </row>
    <row r="78" ht="20" customHeight="1">
      <c r="A78" s="29" t="inlineStr">
        <is>
          <t>⑥</t>
        </is>
      </c>
      <c r="B78" s="30" t="n"/>
      <c r="C78" s="31" t="n"/>
      <c r="D78" s="31" t="n"/>
      <c r="E78" s="31" t="n"/>
      <c r="F78" s="32" t="n"/>
      <c r="G78" s="33">
        <f>IF(OR($B78="",$D78="",$E78=""),"",IF(OR($C78="Target state",$C78="Exception"),"Out of scope",IF($D78="Low","No tranche",IF($E78="Low","Tranche 1",IF($E78="Medium","Tranche 2",IF($D78="High","Tranche 3","No tranche"))))))</f>
        <v/>
      </c>
      <c r="K78" s="40" t="n"/>
      <c r="L78" s="40" t="n"/>
      <c r="M78" s="40" t="n"/>
      <c r="O78">
        <f>IF(AND($B78&lt;&gt;"",$C78&lt;&gt;"Target state",$C78&lt;&gt;"Exception",$D78="High",$E78="Low"),$A78&amp;"  "&amp;$B78,"")</f>
        <v/>
      </c>
      <c r="P78">
        <f>IF(AND($B78&lt;&gt;"",$C78&lt;&gt;"Target state",$C78&lt;&gt;"Exception",$D78="High",$E78="Medium"),$A78&amp;"  "&amp;$B78,"")</f>
        <v/>
      </c>
      <c r="Q78">
        <f>IF(AND($B78&lt;&gt;"",$C78&lt;&gt;"Target state",$C78&lt;&gt;"Exception",$D78="High",$E78="High"),$A78&amp;"  "&amp;$B78,"")</f>
        <v/>
      </c>
      <c r="R78">
        <f>IF(AND($B78&lt;&gt;"",$C78&lt;&gt;"Target state",$C78&lt;&gt;"Exception",$D78="Medium",$E78="Low"),$A78&amp;"  "&amp;$B78,"")</f>
        <v/>
      </c>
      <c r="S78">
        <f>IF(AND($B78&lt;&gt;"",$C78&lt;&gt;"Target state",$C78&lt;&gt;"Exception",$D78="Medium",$E78="Medium"),$A78&amp;"  "&amp;$B78,"")</f>
        <v/>
      </c>
      <c r="T78">
        <f>IF(AND($B78&lt;&gt;"",$C78&lt;&gt;"Target state",$C78&lt;&gt;"Exception",$D78="Medium",$E78="High"),$A78&amp;"  "&amp;$B78,"")</f>
        <v/>
      </c>
      <c r="U78">
        <f>IF(AND($B78&lt;&gt;"",$C78&lt;&gt;"Target state",$C78&lt;&gt;"Exception",$D78="Low",$E78="Low"),$A78&amp;"  "&amp;$B78,"")</f>
        <v/>
      </c>
      <c r="V78">
        <f>IF(AND($B78&lt;&gt;"",$C78&lt;&gt;"Target state",$C78&lt;&gt;"Exception",$D78="Low",$E78="Medium"),$A78&amp;"  "&amp;$B78,"")</f>
        <v/>
      </c>
      <c r="W78">
        <f>IF(AND($B78&lt;&gt;"",$C78&lt;&gt;"Target state",$C78&lt;&gt;"Exception",$D78="Low",$E78="High"),$A78&amp;"  "&amp;$B78,"")</f>
        <v/>
      </c>
    </row>
    <row r="79" ht="20" customHeight="1">
      <c r="A79" s="29" t="inlineStr">
        <is>
          <t>⑦</t>
        </is>
      </c>
      <c r="B79" s="30" t="n"/>
      <c r="C79" s="31" t="n"/>
      <c r="D79" s="31" t="n"/>
      <c r="E79" s="31" t="n"/>
      <c r="F79" s="32" t="n"/>
      <c r="G79" s="33">
        <f>IF(OR($B79="",$D79="",$E79=""),"",IF(OR($C79="Target state",$C79="Exception"),"Out of scope",IF($D79="Low","No tranche",IF($E79="Low","Tranche 1",IF($E79="Medium","Tranche 2",IF($D79="High","Tranche 3","No tranche"))))))</f>
        <v/>
      </c>
      <c r="J79" s="35" t="inlineStr">
        <is>
          <t>Low</t>
        </is>
      </c>
      <c r="K79" s="41">
        <f>_xlfn.TEXTJOIN(CHAR(10),TRUE,U$73:U$82)</f>
        <v/>
      </c>
      <c r="L79" s="41">
        <f>_xlfn.TEXTJOIN(CHAR(10),TRUE,V$73:V$82)</f>
        <v/>
      </c>
      <c r="M79" s="41">
        <f>_xlfn.TEXTJOIN(CHAR(10),TRUE,W$73:W$82)</f>
        <v/>
      </c>
      <c r="O79">
        <f>IF(AND($B79&lt;&gt;"",$C79&lt;&gt;"Target state",$C79&lt;&gt;"Exception",$D79="High",$E79="Low"),$A79&amp;"  "&amp;$B79,"")</f>
        <v/>
      </c>
      <c r="P79">
        <f>IF(AND($B79&lt;&gt;"",$C79&lt;&gt;"Target state",$C79&lt;&gt;"Exception",$D79="High",$E79="Medium"),$A79&amp;"  "&amp;$B79,"")</f>
        <v/>
      </c>
      <c r="Q79">
        <f>IF(AND($B79&lt;&gt;"",$C79&lt;&gt;"Target state",$C79&lt;&gt;"Exception",$D79="High",$E79="High"),$A79&amp;"  "&amp;$B79,"")</f>
        <v/>
      </c>
      <c r="R79">
        <f>IF(AND($B79&lt;&gt;"",$C79&lt;&gt;"Target state",$C79&lt;&gt;"Exception",$D79="Medium",$E79="Low"),$A79&amp;"  "&amp;$B79,"")</f>
        <v/>
      </c>
      <c r="S79">
        <f>IF(AND($B79&lt;&gt;"",$C79&lt;&gt;"Target state",$C79&lt;&gt;"Exception",$D79="Medium",$E79="Medium"),$A79&amp;"  "&amp;$B79,"")</f>
        <v/>
      </c>
      <c r="T79">
        <f>IF(AND($B79&lt;&gt;"",$C79&lt;&gt;"Target state",$C79&lt;&gt;"Exception",$D79="Medium",$E79="High"),$A79&amp;"  "&amp;$B79,"")</f>
        <v/>
      </c>
      <c r="U79">
        <f>IF(AND($B79&lt;&gt;"",$C79&lt;&gt;"Target state",$C79&lt;&gt;"Exception",$D79="Low",$E79="Low"),$A79&amp;"  "&amp;$B79,"")</f>
        <v/>
      </c>
      <c r="V79">
        <f>IF(AND($B79&lt;&gt;"",$C79&lt;&gt;"Target state",$C79&lt;&gt;"Exception",$D79="Low",$E79="Medium"),$A79&amp;"  "&amp;$B79,"")</f>
        <v/>
      </c>
      <c r="W79">
        <f>IF(AND($B79&lt;&gt;"",$C79&lt;&gt;"Target state",$C79&lt;&gt;"Exception",$D79="Low",$E79="High"),$A79&amp;"  "&amp;$B79,"")</f>
        <v/>
      </c>
    </row>
    <row r="80" ht="20" customHeight="1">
      <c r="A80" s="29" t="inlineStr">
        <is>
          <t>⑧</t>
        </is>
      </c>
      <c r="B80" s="30" t="n"/>
      <c r="C80" s="31" t="n"/>
      <c r="D80" s="31" t="n"/>
      <c r="E80" s="31" t="n"/>
      <c r="F80" s="32" t="n"/>
      <c r="G80" s="33">
        <f>IF(OR($B80="",$D80="",$E80=""),"",IF(OR($C80="Target state",$C80="Exception"),"Out of scope",IF($D80="Low","No tranche",IF($E80="Low","Tranche 1",IF($E80="Medium","Tranche 2",IF($D80="High","Tranche 3","No tranche"))))))</f>
        <v/>
      </c>
      <c r="K80" s="39" t="n"/>
      <c r="L80" s="39" t="n"/>
      <c r="M80" s="39" t="n"/>
      <c r="O80">
        <f>IF(AND($B80&lt;&gt;"",$C80&lt;&gt;"Target state",$C80&lt;&gt;"Exception",$D80="High",$E80="Low"),$A80&amp;"  "&amp;$B80,"")</f>
        <v/>
      </c>
      <c r="P80">
        <f>IF(AND($B80&lt;&gt;"",$C80&lt;&gt;"Target state",$C80&lt;&gt;"Exception",$D80="High",$E80="Medium"),$A80&amp;"  "&amp;$B80,"")</f>
        <v/>
      </c>
      <c r="Q80">
        <f>IF(AND($B80&lt;&gt;"",$C80&lt;&gt;"Target state",$C80&lt;&gt;"Exception",$D80="High",$E80="High"),$A80&amp;"  "&amp;$B80,"")</f>
        <v/>
      </c>
      <c r="R80">
        <f>IF(AND($B80&lt;&gt;"",$C80&lt;&gt;"Target state",$C80&lt;&gt;"Exception",$D80="Medium",$E80="Low"),$A80&amp;"  "&amp;$B80,"")</f>
        <v/>
      </c>
      <c r="S80">
        <f>IF(AND($B80&lt;&gt;"",$C80&lt;&gt;"Target state",$C80&lt;&gt;"Exception",$D80="Medium",$E80="Medium"),$A80&amp;"  "&amp;$B80,"")</f>
        <v/>
      </c>
      <c r="T80">
        <f>IF(AND($B80&lt;&gt;"",$C80&lt;&gt;"Target state",$C80&lt;&gt;"Exception",$D80="Medium",$E80="High"),$A80&amp;"  "&amp;$B80,"")</f>
        <v/>
      </c>
      <c r="U80">
        <f>IF(AND($B80&lt;&gt;"",$C80&lt;&gt;"Target state",$C80&lt;&gt;"Exception",$D80="Low",$E80="Low"),$A80&amp;"  "&amp;$B80,"")</f>
        <v/>
      </c>
      <c r="V80">
        <f>IF(AND($B80&lt;&gt;"",$C80&lt;&gt;"Target state",$C80&lt;&gt;"Exception",$D80="Low",$E80="Medium"),$A80&amp;"  "&amp;$B80,"")</f>
        <v/>
      </c>
      <c r="W80">
        <f>IF(AND($B80&lt;&gt;"",$C80&lt;&gt;"Target state",$C80&lt;&gt;"Exception",$D80="Low",$E80="High"),$A80&amp;"  "&amp;$B80,"")</f>
        <v/>
      </c>
    </row>
    <row r="81" ht="20" customHeight="1">
      <c r="A81" s="29" t="inlineStr">
        <is>
          <t>⑨</t>
        </is>
      </c>
      <c r="B81" s="30" t="n"/>
      <c r="C81" s="31" t="n"/>
      <c r="D81" s="31" t="n"/>
      <c r="E81" s="31" t="n"/>
      <c r="F81" s="32" t="n"/>
      <c r="G81" s="33">
        <f>IF(OR($B81="",$D81="",$E81=""),"",IF(OR($C81="Target state",$C81="Exception"),"Out of scope",IF($D81="Low","No tranche",IF($E81="Low","Tranche 1",IF($E81="Medium","Tranche 2",IF($D81="High","Tranche 3","No tranche"))))))</f>
        <v/>
      </c>
      <c r="K81" s="40" t="n"/>
      <c r="L81" s="40" t="n"/>
      <c r="M81" s="40" t="n"/>
      <c r="O81">
        <f>IF(AND($B81&lt;&gt;"",$C81&lt;&gt;"Target state",$C81&lt;&gt;"Exception",$D81="High",$E81="Low"),$A81&amp;"  "&amp;$B81,"")</f>
        <v/>
      </c>
      <c r="P81">
        <f>IF(AND($B81&lt;&gt;"",$C81&lt;&gt;"Target state",$C81&lt;&gt;"Exception",$D81="High",$E81="Medium"),$A81&amp;"  "&amp;$B81,"")</f>
        <v/>
      </c>
      <c r="Q81">
        <f>IF(AND($B81&lt;&gt;"",$C81&lt;&gt;"Target state",$C81&lt;&gt;"Exception",$D81="High",$E81="High"),$A81&amp;"  "&amp;$B81,"")</f>
        <v/>
      </c>
      <c r="R81">
        <f>IF(AND($B81&lt;&gt;"",$C81&lt;&gt;"Target state",$C81&lt;&gt;"Exception",$D81="Medium",$E81="Low"),$A81&amp;"  "&amp;$B81,"")</f>
        <v/>
      </c>
      <c r="S81">
        <f>IF(AND($B81&lt;&gt;"",$C81&lt;&gt;"Target state",$C81&lt;&gt;"Exception",$D81="Medium",$E81="Medium"),$A81&amp;"  "&amp;$B81,"")</f>
        <v/>
      </c>
      <c r="T81">
        <f>IF(AND($B81&lt;&gt;"",$C81&lt;&gt;"Target state",$C81&lt;&gt;"Exception",$D81="Medium",$E81="High"),$A81&amp;"  "&amp;$B81,"")</f>
        <v/>
      </c>
      <c r="U81">
        <f>IF(AND($B81&lt;&gt;"",$C81&lt;&gt;"Target state",$C81&lt;&gt;"Exception",$D81="Low",$E81="Low"),$A81&amp;"  "&amp;$B81,"")</f>
        <v/>
      </c>
      <c r="V81">
        <f>IF(AND($B81&lt;&gt;"",$C81&lt;&gt;"Target state",$C81&lt;&gt;"Exception",$D81="Low",$E81="Medium"),$A81&amp;"  "&amp;$B81,"")</f>
        <v/>
      </c>
      <c r="W81">
        <f>IF(AND($B81&lt;&gt;"",$C81&lt;&gt;"Target state",$C81&lt;&gt;"Exception",$D81="Low",$E81="High"),$A81&amp;"  "&amp;$B81,"")</f>
        <v/>
      </c>
    </row>
    <row r="82" ht="20" customHeight="1">
      <c r="A82" s="29" t="inlineStr">
        <is>
          <t>⑩</t>
        </is>
      </c>
      <c r="B82" s="30" t="n"/>
      <c r="C82" s="31" t="n"/>
      <c r="D82" s="31" t="n"/>
      <c r="E82" s="31" t="n"/>
      <c r="F82" s="32" t="n"/>
      <c r="G82" s="33">
        <f>IF(OR($B82="",$D82="",$E82=""),"",IF(OR($C82="Target state",$C82="Exception"),"Out of scope",IF($D82="Low","No tranche",IF($E82="Low","Tranche 1",IF($E82="Medium","Tranche 2",IF($D82="High","Tranche 3","No tranche"))))))</f>
        <v/>
      </c>
      <c r="K82" s="35" t="inlineStr">
        <is>
          <t>Complexity</t>
        </is>
      </c>
      <c r="O82">
        <f>IF(AND($B82&lt;&gt;"",$C82&lt;&gt;"Target state",$C82&lt;&gt;"Exception",$D82="High",$E82="Low"),$A82&amp;"  "&amp;$B82,"")</f>
        <v/>
      </c>
      <c r="P82">
        <f>IF(AND($B82&lt;&gt;"",$C82&lt;&gt;"Target state",$C82&lt;&gt;"Exception",$D82="High",$E82="Medium"),$A82&amp;"  "&amp;$B82,"")</f>
        <v/>
      </c>
      <c r="Q82">
        <f>IF(AND($B82&lt;&gt;"",$C82&lt;&gt;"Target state",$C82&lt;&gt;"Exception",$D82="High",$E82="High"),$A82&amp;"  "&amp;$B82,"")</f>
        <v/>
      </c>
      <c r="R82">
        <f>IF(AND($B82&lt;&gt;"",$C82&lt;&gt;"Target state",$C82&lt;&gt;"Exception",$D82="Medium",$E82="Low"),$A82&amp;"  "&amp;$B82,"")</f>
        <v/>
      </c>
      <c r="S82">
        <f>IF(AND($B82&lt;&gt;"",$C82&lt;&gt;"Target state",$C82&lt;&gt;"Exception",$D82="Medium",$E82="Medium"),$A82&amp;"  "&amp;$B82,"")</f>
        <v/>
      </c>
      <c r="T82">
        <f>IF(AND($B82&lt;&gt;"",$C82&lt;&gt;"Target state",$C82&lt;&gt;"Exception",$D82="Medium",$E82="High"),$A82&amp;"  "&amp;$B82,"")</f>
        <v/>
      </c>
      <c r="U82">
        <f>IF(AND($B82&lt;&gt;"",$C82&lt;&gt;"Target state",$C82&lt;&gt;"Exception",$D82="Low",$E82="Low"),$A82&amp;"  "&amp;$B82,"")</f>
        <v/>
      </c>
      <c r="V82">
        <f>IF(AND($B82&lt;&gt;"",$C82&lt;&gt;"Target state",$C82&lt;&gt;"Exception",$D82="Low",$E82="Medium"),$A82&amp;"  "&amp;$B82,"")</f>
        <v/>
      </c>
      <c r="W82">
        <f>IF(AND($B82&lt;&gt;"",$C82&lt;&gt;"Target state",$C82&lt;&gt;"Exception",$D82="Low",$E82="High"),$A82&amp;"  "&amp;$B82,"")</f>
        <v/>
      </c>
    </row>
    <row r="85" ht="22" customHeight="1">
      <c r="A85" s="24" t="inlineStr">
        <is>
          <t>Gifts</t>
        </is>
      </c>
      <c r="G85" s="25">
        <f>HYPERLINK("#'VAS'!A4","▲ tracker")</f>
        <v/>
      </c>
      <c r="K85" s="26" t="inlineStr">
        <is>
          <t>Assessment Outcome</t>
        </is>
      </c>
    </row>
    <row r="86" ht="18" customHeight="1">
      <c r="A86" s="27" t="inlineStr">
        <is>
          <t>#</t>
        </is>
      </c>
      <c r="B86" s="27" t="inlineStr">
        <is>
          <t>Platform</t>
        </is>
      </c>
      <c r="C86" s="27" t="inlineStr">
        <is>
          <t>State</t>
        </is>
      </c>
      <c r="D86" s="27" t="inlineStr">
        <is>
          <t>Imperative to exit</t>
        </is>
      </c>
      <c r="E86" s="27" t="inlineStr">
        <is>
          <t>Exit complexity</t>
        </is>
      </c>
      <c r="F86" s="27" t="inlineStr">
        <is>
          <t>Supporting facts</t>
        </is>
      </c>
      <c r="G86" s="27" t="inlineStr">
        <is>
          <t>Tranche (auto)</t>
        </is>
      </c>
      <c r="K86" s="28" t="inlineStr">
        <is>
          <t>Low</t>
        </is>
      </c>
      <c r="L86" s="28" t="inlineStr">
        <is>
          <t>Medium</t>
        </is>
      </c>
      <c r="M86" s="28" t="inlineStr">
        <is>
          <t>High</t>
        </is>
      </c>
    </row>
    <row r="87" ht="20" customHeight="1">
      <c r="A87" s="29" t="inlineStr">
        <is>
          <t>①</t>
        </is>
      </c>
      <c r="B87" s="30" t="n"/>
      <c r="C87" s="31" t="n"/>
      <c r="D87" s="31" t="n"/>
      <c r="E87" s="31" t="n"/>
      <c r="F87" s="32" t="n"/>
      <c r="G87" s="33">
        <f>IF(OR($B87="",$D87="",$E87=""),"",IF(OR($C87="Target state",$C87="Exception"),"Out of scope",IF($D87="Low","No tranche",IF($E87="Low","Tranche 1",IF($E87="Medium","Tranche 2",IF($D87="High","Tranche 3","No tranche"))))))</f>
        <v/>
      </c>
      <c r="I87" s="34" t="inlineStr">
        <is>
          <t>Benefits</t>
        </is>
      </c>
      <c r="J87" s="35" t="inlineStr">
        <is>
          <t>High</t>
        </is>
      </c>
      <c r="K87" s="36">
        <f>"Tranche 1"&amp;CHAR(10)&amp;_xlfn.TEXTJOIN(CHAR(10),TRUE,O$87:O$96)</f>
        <v/>
      </c>
      <c r="L87" s="37">
        <f>"Tranche 2"&amp;CHAR(10)&amp;_xlfn.TEXTJOIN(CHAR(10),TRUE,P$87:P$96)</f>
        <v/>
      </c>
      <c r="M87" s="38">
        <f>"Tranche 3"&amp;CHAR(10)&amp;_xlfn.TEXTJOIN(CHAR(10),TRUE,Q$87:Q$96)</f>
        <v/>
      </c>
      <c r="O87">
        <f>IF(AND($B87&lt;&gt;"",$C87&lt;&gt;"Target state",$C87&lt;&gt;"Exception",$D87="High",$E87="Low"),$A87&amp;"  "&amp;$B87,"")</f>
        <v/>
      </c>
      <c r="P87">
        <f>IF(AND($B87&lt;&gt;"",$C87&lt;&gt;"Target state",$C87&lt;&gt;"Exception",$D87="High",$E87="Medium"),$A87&amp;"  "&amp;$B87,"")</f>
        <v/>
      </c>
      <c r="Q87">
        <f>IF(AND($B87&lt;&gt;"",$C87&lt;&gt;"Target state",$C87&lt;&gt;"Exception",$D87="High",$E87="High"),$A87&amp;"  "&amp;$B87,"")</f>
        <v/>
      </c>
      <c r="R87">
        <f>IF(AND($B87&lt;&gt;"",$C87&lt;&gt;"Target state",$C87&lt;&gt;"Exception",$D87="Medium",$E87="Low"),$A87&amp;"  "&amp;$B87,"")</f>
        <v/>
      </c>
      <c r="S87">
        <f>IF(AND($B87&lt;&gt;"",$C87&lt;&gt;"Target state",$C87&lt;&gt;"Exception",$D87="Medium",$E87="Medium"),$A87&amp;"  "&amp;$B87,"")</f>
        <v/>
      </c>
      <c r="T87">
        <f>IF(AND($B87&lt;&gt;"",$C87&lt;&gt;"Target state",$C87&lt;&gt;"Exception",$D87="Medium",$E87="High"),$A87&amp;"  "&amp;$B87,"")</f>
        <v/>
      </c>
      <c r="U87">
        <f>IF(AND($B87&lt;&gt;"",$C87&lt;&gt;"Target state",$C87&lt;&gt;"Exception",$D87="Low",$E87="Low"),$A87&amp;"  "&amp;$B87,"")</f>
        <v/>
      </c>
      <c r="V87">
        <f>IF(AND($B87&lt;&gt;"",$C87&lt;&gt;"Target state",$C87&lt;&gt;"Exception",$D87="Low",$E87="Medium"),$A87&amp;"  "&amp;$B87,"")</f>
        <v/>
      </c>
      <c r="W87">
        <f>IF(AND($B87&lt;&gt;"",$C87&lt;&gt;"Target state",$C87&lt;&gt;"Exception",$D87="Low",$E87="High"),$A87&amp;"  "&amp;$B87,"")</f>
        <v/>
      </c>
    </row>
    <row r="88" ht="20" customHeight="1">
      <c r="A88" s="29" t="inlineStr">
        <is>
          <t>②</t>
        </is>
      </c>
      <c r="B88" s="30" t="n"/>
      <c r="C88" s="31" t="n"/>
      <c r="D88" s="31" t="n"/>
      <c r="E88" s="31" t="n"/>
      <c r="F88" s="32" t="n"/>
      <c r="G88" s="33">
        <f>IF(OR($B88="",$D88="",$E88=""),"",IF(OR($C88="Target state",$C88="Exception"),"Out of scope",IF($D88="Low","No tranche",IF($E88="Low","Tranche 1",IF($E88="Medium","Tranche 2",IF($D88="High","Tranche 3","No tranche"))))))</f>
        <v/>
      </c>
      <c r="K88" s="39" t="n"/>
      <c r="L88" s="39" t="n"/>
      <c r="M88" s="39" t="n"/>
      <c r="O88">
        <f>IF(AND($B88&lt;&gt;"",$C88&lt;&gt;"Target state",$C88&lt;&gt;"Exception",$D88="High",$E88="Low"),$A88&amp;"  "&amp;$B88,"")</f>
        <v/>
      </c>
      <c r="P88">
        <f>IF(AND($B88&lt;&gt;"",$C88&lt;&gt;"Target state",$C88&lt;&gt;"Exception",$D88="High",$E88="Medium"),$A88&amp;"  "&amp;$B88,"")</f>
        <v/>
      </c>
      <c r="Q88">
        <f>IF(AND($B88&lt;&gt;"",$C88&lt;&gt;"Target state",$C88&lt;&gt;"Exception",$D88="High",$E88="High"),$A88&amp;"  "&amp;$B88,"")</f>
        <v/>
      </c>
      <c r="R88">
        <f>IF(AND($B88&lt;&gt;"",$C88&lt;&gt;"Target state",$C88&lt;&gt;"Exception",$D88="Medium",$E88="Low"),$A88&amp;"  "&amp;$B88,"")</f>
        <v/>
      </c>
      <c r="S88">
        <f>IF(AND($B88&lt;&gt;"",$C88&lt;&gt;"Target state",$C88&lt;&gt;"Exception",$D88="Medium",$E88="Medium"),$A88&amp;"  "&amp;$B88,"")</f>
        <v/>
      </c>
      <c r="T88">
        <f>IF(AND($B88&lt;&gt;"",$C88&lt;&gt;"Target state",$C88&lt;&gt;"Exception",$D88="Medium",$E88="High"),$A88&amp;"  "&amp;$B88,"")</f>
        <v/>
      </c>
      <c r="U88">
        <f>IF(AND($B88&lt;&gt;"",$C88&lt;&gt;"Target state",$C88&lt;&gt;"Exception",$D88="Low",$E88="Low"),$A88&amp;"  "&amp;$B88,"")</f>
        <v/>
      </c>
      <c r="V88">
        <f>IF(AND($B88&lt;&gt;"",$C88&lt;&gt;"Target state",$C88&lt;&gt;"Exception",$D88="Low",$E88="Medium"),$A88&amp;"  "&amp;$B88,"")</f>
        <v/>
      </c>
      <c r="W88">
        <f>IF(AND($B88&lt;&gt;"",$C88&lt;&gt;"Target state",$C88&lt;&gt;"Exception",$D88="Low",$E88="High"),$A88&amp;"  "&amp;$B88,"")</f>
        <v/>
      </c>
    </row>
    <row r="89" ht="20" customHeight="1">
      <c r="A89" s="29" t="inlineStr">
        <is>
          <t>③</t>
        </is>
      </c>
      <c r="B89" s="30" t="n"/>
      <c r="C89" s="31" t="n"/>
      <c r="D89" s="31" t="n"/>
      <c r="E89" s="31" t="n"/>
      <c r="F89" s="32" t="n"/>
      <c r="G89" s="33">
        <f>IF(OR($B89="",$D89="",$E89=""),"",IF(OR($C89="Target state",$C89="Exception"),"Out of scope",IF($D89="Low","No tranche",IF($E89="Low","Tranche 1",IF($E89="Medium","Tranche 2",IF($D89="High","Tranche 3","No tranche"))))))</f>
        <v/>
      </c>
      <c r="K89" s="40" t="n"/>
      <c r="L89" s="40" t="n"/>
      <c r="M89" s="40" t="n"/>
      <c r="O89">
        <f>IF(AND($B89&lt;&gt;"",$C89&lt;&gt;"Target state",$C89&lt;&gt;"Exception",$D89="High",$E89="Low"),$A89&amp;"  "&amp;$B89,"")</f>
        <v/>
      </c>
      <c r="P89">
        <f>IF(AND($B89&lt;&gt;"",$C89&lt;&gt;"Target state",$C89&lt;&gt;"Exception",$D89="High",$E89="Medium"),$A89&amp;"  "&amp;$B89,"")</f>
        <v/>
      </c>
      <c r="Q89">
        <f>IF(AND($B89&lt;&gt;"",$C89&lt;&gt;"Target state",$C89&lt;&gt;"Exception",$D89="High",$E89="High"),$A89&amp;"  "&amp;$B89,"")</f>
        <v/>
      </c>
      <c r="R89">
        <f>IF(AND($B89&lt;&gt;"",$C89&lt;&gt;"Target state",$C89&lt;&gt;"Exception",$D89="Medium",$E89="Low"),$A89&amp;"  "&amp;$B89,"")</f>
        <v/>
      </c>
      <c r="S89">
        <f>IF(AND($B89&lt;&gt;"",$C89&lt;&gt;"Target state",$C89&lt;&gt;"Exception",$D89="Medium",$E89="Medium"),$A89&amp;"  "&amp;$B89,"")</f>
        <v/>
      </c>
      <c r="T89">
        <f>IF(AND($B89&lt;&gt;"",$C89&lt;&gt;"Target state",$C89&lt;&gt;"Exception",$D89="Medium",$E89="High"),$A89&amp;"  "&amp;$B89,"")</f>
        <v/>
      </c>
      <c r="U89">
        <f>IF(AND($B89&lt;&gt;"",$C89&lt;&gt;"Target state",$C89&lt;&gt;"Exception",$D89="Low",$E89="Low"),$A89&amp;"  "&amp;$B89,"")</f>
        <v/>
      </c>
      <c r="V89">
        <f>IF(AND($B89&lt;&gt;"",$C89&lt;&gt;"Target state",$C89&lt;&gt;"Exception",$D89="Low",$E89="Medium"),$A89&amp;"  "&amp;$B89,"")</f>
        <v/>
      </c>
      <c r="W89">
        <f>IF(AND($B89&lt;&gt;"",$C89&lt;&gt;"Target state",$C89&lt;&gt;"Exception",$D89="Low",$E89="High"),$A89&amp;"  "&amp;$B89,"")</f>
        <v/>
      </c>
    </row>
    <row r="90" ht="20" customHeight="1">
      <c r="A90" s="29" t="inlineStr">
        <is>
          <t>④</t>
        </is>
      </c>
      <c r="B90" s="30" t="n"/>
      <c r="C90" s="31" t="n"/>
      <c r="D90" s="31" t="n"/>
      <c r="E90" s="31" t="n"/>
      <c r="F90" s="32" t="n"/>
      <c r="G90" s="33">
        <f>IF(OR($B90="",$D90="",$E90=""),"",IF(OR($C90="Target state",$C90="Exception"),"Out of scope",IF($D90="Low","No tranche",IF($E90="Low","Tranche 1",IF($E90="Medium","Tranche 2",IF($D90="High","Tranche 3","No tranche"))))))</f>
        <v/>
      </c>
      <c r="J90" s="35" t="inlineStr">
        <is>
          <t>Medium</t>
        </is>
      </c>
      <c r="K90" s="36">
        <f>"Tranche 1"&amp;CHAR(10)&amp;_xlfn.TEXTJOIN(CHAR(10),TRUE,R$87:R$96)</f>
        <v/>
      </c>
      <c r="L90" s="37">
        <f>"Tranche 2"&amp;CHAR(10)&amp;_xlfn.TEXTJOIN(CHAR(10),TRUE,S$87:S$96)</f>
        <v/>
      </c>
      <c r="M90" s="41">
        <f>_xlfn.TEXTJOIN(CHAR(10),TRUE,T$87:T$96)</f>
        <v/>
      </c>
      <c r="O90">
        <f>IF(AND($B90&lt;&gt;"",$C90&lt;&gt;"Target state",$C90&lt;&gt;"Exception",$D90="High",$E90="Low"),$A90&amp;"  "&amp;$B90,"")</f>
        <v/>
      </c>
      <c r="P90">
        <f>IF(AND($B90&lt;&gt;"",$C90&lt;&gt;"Target state",$C90&lt;&gt;"Exception",$D90="High",$E90="Medium"),$A90&amp;"  "&amp;$B90,"")</f>
        <v/>
      </c>
      <c r="Q90">
        <f>IF(AND($B90&lt;&gt;"",$C90&lt;&gt;"Target state",$C90&lt;&gt;"Exception",$D90="High",$E90="High"),$A90&amp;"  "&amp;$B90,"")</f>
        <v/>
      </c>
      <c r="R90">
        <f>IF(AND($B90&lt;&gt;"",$C90&lt;&gt;"Target state",$C90&lt;&gt;"Exception",$D90="Medium",$E90="Low"),$A90&amp;"  "&amp;$B90,"")</f>
        <v/>
      </c>
      <c r="S90">
        <f>IF(AND($B90&lt;&gt;"",$C90&lt;&gt;"Target state",$C90&lt;&gt;"Exception",$D90="Medium",$E90="Medium"),$A90&amp;"  "&amp;$B90,"")</f>
        <v/>
      </c>
      <c r="T90">
        <f>IF(AND($B90&lt;&gt;"",$C90&lt;&gt;"Target state",$C90&lt;&gt;"Exception",$D90="Medium",$E90="High"),$A90&amp;"  "&amp;$B90,"")</f>
        <v/>
      </c>
      <c r="U90">
        <f>IF(AND($B90&lt;&gt;"",$C90&lt;&gt;"Target state",$C90&lt;&gt;"Exception",$D90="Low",$E90="Low"),$A90&amp;"  "&amp;$B90,"")</f>
        <v/>
      </c>
      <c r="V90">
        <f>IF(AND($B90&lt;&gt;"",$C90&lt;&gt;"Target state",$C90&lt;&gt;"Exception",$D90="Low",$E90="Medium"),$A90&amp;"  "&amp;$B90,"")</f>
        <v/>
      </c>
      <c r="W90">
        <f>IF(AND($B90&lt;&gt;"",$C90&lt;&gt;"Target state",$C90&lt;&gt;"Exception",$D90="Low",$E90="High"),$A90&amp;"  "&amp;$B90,"")</f>
        <v/>
      </c>
    </row>
    <row r="91" ht="20" customHeight="1">
      <c r="A91" s="29" t="inlineStr">
        <is>
          <t>⑤</t>
        </is>
      </c>
      <c r="B91" s="30" t="n"/>
      <c r="C91" s="31" t="n"/>
      <c r="D91" s="31" t="n"/>
      <c r="E91" s="31" t="n"/>
      <c r="F91" s="32" t="n"/>
      <c r="G91" s="33">
        <f>IF(OR($B91="",$D91="",$E91=""),"",IF(OR($C91="Target state",$C91="Exception"),"Out of scope",IF($D91="Low","No tranche",IF($E91="Low","Tranche 1",IF($E91="Medium","Tranche 2",IF($D91="High","Tranche 3","No tranche"))))))</f>
        <v/>
      </c>
      <c r="K91" s="39" t="n"/>
      <c r="L91" s="39" t="n"/>
      <c r="M91" s="39" t="n"/>
      <c r="O91">
        <f>IF(AND($B91&lt;&gt;"",$C91&lt;&gt;"Target state",$C91&lt;&gt;"Exception",$D91="High",$E91="Low"),$A91&amp;"  "&amp;$B91,"")</f>
        <v/>
      </c>
      <c r="P91">
        <f>IF(AND($B91&lt;&gt;"",$C91&lt;&gt;"Target state",$C91&lt;&gt;"Exception",$D91="High",$E91="Medium"),$A91&amp;"  "&amp;$B91,"")</f>
        <v/>
      </c>
      <c r="Q91">
        <f>IF(AND($B91&lt;&gt;"",$C91&lt;&gt;"Target state",$C91&lt;&gt;"Exception",$D91="High",$E91="High"),$A91&amp;"  "&amp;$B91,"")</f>
        <v/>
      </c>
      <c r="R91">
        <f>IF(AND($B91&lt;&gt;"",$C91&lt;&gt;"Target state",$C91&lt;&gt;"Exception",$D91="Medium",$E91="Low"),$A91&amp;"  "&amp;$B91,"")</f>
        <v/>
      </c>
      <c r="S91">
        <f>IF(AND($B91&lt;&gt;"",$C91&lt;&gt;"Target state",$C91&lt;&gt;"Exception",$D91="Medium",$E91="Medium"),$A91&amp;"  "&amp;$B91,"")</f>
        <v/>
      </c>
      <c r="T91">
        <f>IF(AND($B91&lt;&gt;"",$C91&lt;&gt;"Target state",$C91&lt;&gt;"Exception",$D91="Medium",$E91="High"),$A91&amp;"  "&amp;$B91,"")</f>
        <v/>
      </c>
      <c r="U91">
        <f>IF(AND($B91&lt;&gt;"",$C91&lt;&gt;"Target state",$C91&lt;&gt;"Exception",$D91="Low",$E91="Low"),$A91&amp;"  "&amp;$B91,"")</f>
        <v/>
      </c>
      <c r="V91">
        <f>IF(AND($B91&lt;&gt;"",$C91&lt;&gt;"Target state",$C91&lt;&gt;"Exception",$D91="Low",$E91="Medium"),$A91&amp;"  "&amp;$B91,"")</f>
        <v/>
      </c>
      <c r="W91">
        <f>IF(AND($B91&lt;&gt;"",$C91&lt;&gt;"Target state",$C91&lt;&gt;"Exception",$D91="Low",$E91="High"),$A91&amp;"  "&amp;$B91,"")</f>
        <v/>
      </c>
    </row>
    <row r="92" ht="20" customHeight="1">
      <c r="A92" s="29" t="inlineStr">
        <is>
          <t>⑥</t>
        </is>
      </c>
      <c r="B92" s="30" t="n"/>
      <c r="C92" s="31" t="n"/>
      <c r="D92" s="31" t="n"/>
      <c r="E92" s="31" t="n"/>
      <c r="F92" s="32" t="n"/>
      <c r="G92" s="33">
        <f>IF(OR($B92="",$D92="",$E92=""),"",IF(OR($C92="Target state",$C92="Exception"),"Out of scope",IF($D92="Low","No tranche",IF($E92="Low","Tranche 1",IF($E92="Medium","Tranche 2",IF($D92="High","Tranche 3","No tranche"))))))</f>
        <v/>
      </c>
      <c r="K92" s="40" t="n"/>
      <c r="L92" s="40" t="n"/>
      <c r="M92" s="40" t="n"/>
      <c r="O92">
        <f>IF(AND($B92&lt;&gt;"",$C92&lt;&gt;"Target state",$C92&lt;&gt;"Exception",$D92="High",$E92="Low"),$A92&amp;"  "&amp;$B92,"")</f>
        <v/>
      </c>
      <c r="P92">
        <f>IF(AND($B92&lt;&gt;"",$C92&lt;&gt;"Target state",$C92&lt;&gt;"Exception",$D92="High",$E92="Medium"),$A92&amp;"  "&amp;$B92,"")</f>
        <v/>
      </c>
      <c r="Q92">
        <f>IF(AND($B92&lt;&gt;"",$C92&lt;&gt;"Target state",$C92&lt;&gt;"Exception",$D92="High",$E92="High"),$A92&amp;"  "&amp;$B92,"")</f>
        <v/>
      </c>
      <c r="R92">
        <f>IF(AND($B92&lt;&gt;"",$C92&lt;&gt;"Target state",$C92&lt;&gt;"Exception",$D92="Medium",$E92="Low"),$A92&amp;"  "&amp;$B92,"")</f>
        <v/>
      </c>
      <c r="S92">
        <f>IF(AND($B92&lt;&gt;"",$C92&lt;&gt;"Target state",$C92&lt;&gt;"Exception",$D92="Medium",$E92="Medium"),$A92&amp;"  "&amp;$B92,"")</f>
        <v/>
      </c>
      <c r="T92">
        <f>IF(AND($B92&lt;&gt;"",$C92&lt;&gt;"Target state",$C92&lt;&gt;"Exception",$D92="Medium",$E92="High"),$A92&amp;"  "&amp;$B92,"")</f>
        <v/>
      </c>
      <c r="U92">
        <f>IF(AND($B92&lt;&gt;"",$C92&lt;&gt;"Target state",$C92&lt;&gt;"Exception",$D92="Low",$E92="Low"),$A92&amp;"  "&amp;$B92,"")</f>
        <v/>
      </c>
      <c r="V92">
        <f>IF(AND($B92&lt;&gt;"",$C92&lt;&gt;"Target state",$C92&lt;&gt;"Exception",$D92="Low",$E92="Medium"),$A92&amp;"  "&amp;$B92,"")</f>
        <v/>
      </c>
      <c r="W92">
        <f>IF(AND($B92&lt;&gt;"",$C92&lt;&gt;"Target state",$C92&lt;&gt;"Exception",$D92="Low",$E92="High"),$A92&amp;"  "&amp;$B92,"")</f>
        <v/>
      </c>
    </row>
    <row r="93" ht="20" customHeight="1">
      <c r="A93" s="29" t="inlineStr">
        <is>
          <t>⑦</t>
        </is>
      </c>
      <c r="B93" s="30" t="n"/>
      <c r="C93" s="31" t="n"/>
      <c r="D93" s="31" t="n"/>
      <c r="E93" s="31" t="n"/>
      <c r="F93" s="32" t="n"/>
      <c r="G93" s="33">
        <f>IF(OR($B93="",$D93="",$E93=""),"",IF(OR($C93="Target state",$C93="Exception"),"Out of scope",IF($D93="Low","No tranche",IF($E93="Low","Tranche 1",IF($E93="Medium","Tranche 2",IF($D93="High","Tranche 3","No tranche"))))))</f>
        <v/>
      </c>
      <c r="J93" s="35" t="inlineStr">
        <is>
          <t>Low</t>
        </is>
      </c>
      <c r="K93" s="41">
        <f>_xlfn.TEXTJOIN(CHAR(10),TRUE,U$87:U$96)</f>
        <v/>
      </c>
      <c r="L93" s="41">
        <f>_xlfn.TEXTJOIN(CHAR(10),TRUE,V$87:V$96)</f>
        <v/>
      </c>
      <c r="M93" s="41">
        <f>_xlfn.TEXTJOIN(CHAR(10),TRUE,W$87:W$96)</f>
        <v/>
      </c>
      <c r="O93">
        <f>IF(AND($B93&lt;&gt;"",$C93&lt;&gt;"Target state",$C93&lt;&gt;"Exception",$D93="High",$E93="Low"),$A93&amp;"  "&amp;$B93,"")</f>
        <v/>
      </c>
      <c r="P93">
        <f>IF(AND($B93&lt;&gt;"",$C93&lt;&gt;"Target state",$C93&lt;&gt;"Exception",$D93="High",$E93="Medium"),$A93&amp;"  "&amp;$B93,"")</f>
        <v/>
      </c>
      <c r="Q93">
        <f>IF(AND($B93&lt;&gt;"",$C93&lt;&gt;"Target state",$C93&lt;&gt;"Exception",$D93="High",$E93="High"),$A93&amp;"  "&amp;$B93,"")</f>
        <v/>
      </c>
      <c r="R93">
        <f>IF(AND($B93&lt;&gt;"",$C93&lt;&gt;"Target state",$C93&lt;&gt;"Exception",$D93="Medium",$E93="Low"),$A93&amp;"  "&amp;$B93,"")</f>
        <v/>
      </c>
      <c r="S93">
        <f>IF(AND($B93&lt;&gt;"",$C93&lt;&gt;"Target state",$C93&lt;&gt;"Exception",$D93="Medium",$E93="Medium"),$A93&amp;"  "&amp;$B93,"")</f>
        <v/>
      </c>
      <c r="T93">
        <f>IF(AND($B93&lt;&gt;"",$C93&lt;&gt;"Target state",$C93&lt;&gt;"Exception",$D93="Medium",$E93="High"),$A93&amp;"  "&amp;$B93,"")</f>
        <v/>
      </c>
      <c r="U93">
        <f>IF(AND($B93&lt;&gt;"",$C93&lt;&gt;"Target state",$C93&lt;&gt;"Exception",$D93="Low",$E93="Low"),$A93&amp;"  "&amp;$B93,"")</f>
        <v/>
      </c>
      <c r="V93">
        <f>IF(AND($B93&lt;&gt;"",$C93&lt;&gt;"Target state",$C93&lt;&gt;"Exception",$D93="Low",$E93="Medium"),$A93&amp;"  "&amp;$B93,"")</f>
        <v/>
      </c>
      <c r="W93">
        <f>IF(AND($B93&lt;&gt;"",$C93&lt;&gt;"Target state",$C93&lt;&gt;"Exception",$D93="Low",$E93="High"),$A93&amp;"  "&amp;$B93,"")</f>
        <v/>
      </c>
    </row>
    <row r="94" ht="20" customHeight="1">
      <c r="A94" s="29" t="inlineStr">
        <is>
          <t>⑧</t>
        </is>
      </c>
      <c r="B94" s="30" t="n"/>
      <c r="C94" s="31" t="n"/>
      <c r="D94" s="31" t="n"/>
      <c r="E94" s="31" t="n"/>
      <c r="F94" s="32" t="n"/>
      <c r="G94" s="33">
        <f>IF(OR($B94="",$D94="",$E94=""),"",IF(OR($C94="Target state",$C94="Exception"),"Out of scope",IF($D94="Low","No tranche",IF($E94="Low","Tranche 1",IF($E94="Medium","Tranche 2",IF($D94="High","Tranche 3","No tranche"))))))</f>
        <v/>
      </c>
      <c r="K94" s="39" t="n"/>
      <c r="L94" s="39" t="n"/>
      <c r="M94" s="39" t="n"/>
      <c r="O94">
        <f>IF(AND($B94&lt;&gt;"",$C94&lt;&gt;"Target state",$C94&lt;&gt;"Exception",$D94="High",$E94="Low"),$A94&amp;"  "&amp;$B94,"")</f>
        <v/>
      </c>
      <c r="P94">
        <f>IF(AND($B94&lt;&gt;"",$C94&lt;&gt;"Target state",$C94&lt;&gt;"Exception",$D94="High",$E94="Medium"),$A94&amp;"  "&amp;$B94,"")</f>
        <v/>
      </c>
      <c r="Q94">
        <f>IF(AND($B94&lt;&gt;"",$C94&lt;&gt;"Target state",$C94&lt;&gt;"Exception",$D94="High",$E94="High"),$A94&amp;"  "&amp;$B94,"")</f>
        <v/>
      </c>
      <c r="R94">
        <f>IF(AND($B94&lt;&gt;"",$C94&lt;&gt;"Target state",$C94&lt;&gt;"Exception",$D94="Medium",$E94="Low"),$A94&amp;"  "&amp;$B94,"")</f>
        <v/>
      </c>
      <c r="S94">
        <f>IF(AND($B94&lt;&gt;"",$C94&lt;&gt;"Target state",$C94&lt;&gt;"Exception",$D94="Medium",$E94="Medium"),$A94&amp;"  "&amp;$B94,"")</f>
        <v/>
      </c>
      <c r="T94">
        <f>IF(AND($B94&lt;&gt;"",$C94&lt;&gt;"Target state",$C94&lt;&gt;"Exception",$D94="Medium",$E94="High"),$A94&amp;"  "&amp;$B94,"")</f>
        <v/>
      </c>
      <c r="U94">
        <f>IF(AND($B94&lt;&gt;"",$C94&lt;&gt;"Target state",$C94&lt;&gt;"Exception",$D94="Low",$E94="Low"),$A94&amp;"  "&amp;$B94,"")</f>
        <v/>
      </c>
      <c r="V94">
        <f>IF(AND($B94&lt;&gt;"",$C94&lt;&gt;"Target state",$C94&lt;&gt;"Exception",$D94="Low",$E94="Medium"),$A94&amp;"  "&amp;$B94,"")</f>
        <v/>
      </c>
      <c r="W94">
        <f>IF(AND($B94&lt;&gt;"",$C94&lt;&gt;"Target state",$C94&lt;&gt;"Exception",$D94="Low",$E94="High"),$A94&amp;"  "&amp;$B94,"")</f>
        <v/>
      </c>
    </row>
    <row r="95" ht="20" customHeight="1">
      <c r="A95" s="29" t="inlineStr">
        <is>
          <t>⑨</t>
        </is>
      </c>
      <c r="B95" s="30" t="n"/>
      <c r="C95" s="31" t="n"/>
      <c r="D95" s="31" t="n"/>
      <c r="E95" s="31" t="n"/>
      <c r="F95" s="32" t="n"/>
      <c r="G95" s="33">
        <f>IF(OR($B95="",$D95="",$E95=""),"",IF(OR($C95="Target state",$C95="Exception"),"Out of scope",IF($D95="Low","No tranche",IF($E95="Low","Tranche 1",IF($E95="Medium","Tranche 2",IF($D95="High","Tranche 3","No tranche"))))))</f>
        <v/>
      </c>
      <c r="K95" s="40" t="n"/>
      <c r="L95" s="40" t="n"/>
      <c r="M95" s="40" t="n"/>
      <c r="O95">
        <f>IF(AND($B95&lt;&gt;"",$C95&lt;&gt;"Target state",$C95&lt;&gt;"Exception",$D95="High",$E95="Low"),$A95&amp;"  "&amp;$B95,"")</f>
        <v/>
      </c>
      <c r="P95">
        <f>IF(AND($B95&lt;&gt;"",$C95&lt;&gt;"Target state",$C95&lt;&gt;"Exception",$D95="High",$E95="Medium"),$A95&amp;"  "&amp;$B95,"")</f>
        <v/>
      </c>
      <c r="Q95">
        <f>IF(AND($B95&lt;&gt;"",$C95&lt;&gt;"Target state",$C95&lt;&gt;"Exception",$D95="High",$E95="High"),$A95&amp;"  "&amp;$B95,"")</f>
        <v/>
      </c>
      <c r="R95">
        <f>IF(AND($B95&lt;&gt;"",$C95&lt;&gt;"Target state",$C95&lt;&gt;"Exception",$D95="Medium",$E95="Low"),$A95&amp;"  "&amp;$B95,"")</f>
        <v/>
      </c>
      <c r="S95">
        <f>IF(AND($B95&lt;&gt;"",$C95&lt;&gt;"Target state",$C95&lt;&gt;"Exception",$D95="Medium",$E95="Medium"),$A95&amp;"  "&amp;$B95,"")</f>
        <v/>
      </c>
      <c r="T95">
        <f>IF(AND($B95&lt;&gt;"",$C95&lt;&gt;"Target state",$C95&lt;&gt;"Exception",$D95="Medium",$E95="High"),$A95&amp;"  "&amp;$B95,"")</f>
        <v/>
      </c>
      <c r="U95">
        <f>IF(AND($B95&lt;&gt;"",$C95&lt;&gt;"Target state",$C95&lt;&gt;"Exception",$D95="Low",$E95="Low"),$A95&amp;"  "&amp;$B95,"")</f>
        <v/>
      </c>
      <c r="V95">
        <f>IF(AND($B95&lt;&gt;"",$C95&lt;&gt;"Target state",$C95&lt;&gt;"Exception",$D95="Low",$E95="Medium"),$A95&amp;"  "&amp;$B95,"")</f>
        <v/>
      </c>
      <c r="W95">
        <f>IF(AND($B95&lt;&gt;"",$C95&lt;&gt;"Target state",$C95&lt;&gt;"Exception",$D95="Low",$E95="High"),$A95&amp;"  "&amp;$B95,"")</f>
        <v/>
      </c>
    </row>
    <row r="96" ht="20" customHeight="1">
      <c r="A96" s="29" t="inlineStr">
        <is>
          <t>⑩</t>
        </is>
      </c>
      <c r="B96" s="30" t="n"/>
      <c r="C96" s="31" t="n"/>
      <c r="D96" s="31" t="n"/>
      <c r="E96" s="31" t="n"/>
      <c r="F96" s="32" t="n"/>
      <c r="G96" s="33">
        <f>IF(OR($B96="",$D96="",$E96=""),"",IF(OR($C96="Target state",$C96="Exception"),"Out of scope",IF($D96="Low","No tranche",IF($E96="Low","Tranche 1",IF($E96="Medium","Tranche 2",IF($D96="High","Tranche 3","No tranche"))))))</f>
        <v/>
      </c>
      <c r="K96" s="35" t="inlineStr">
        <is>
          <t>Complexity</t>
        </is>
      </c>
      <c r="O96">
        <f>IF(AND($B96&lt;&gt;"",$C96&lt;&gt;"Target state",$C96&lt;&gt;"Exception",$D96="High",$E96="Low"),$A96&amp;"  "&amp;$B96,"")</f>
        <v/>
      </c>
      <c r="P96">
        <f>IF(AND($B96&lt;&gt;"",$C96&lt;&gt;"Target state",$C96&lt;&gt;"Exception",$D96="High",$E96="Medium"),$A96&amp;"  "&amp;$B96,"")</f>
        <v/>
      </c>
      <c r="Q96">
        <f>IF(AND($B96&lt;&gt;"",$C96&lt;&gt;"Target state",$C96&lt;&gt;"Exception",$D96="High",$E96="High"),$A96&amp;"  "&amp;$B96,"")</f>
        <v/>
      </c>
      <c r="R96">
        <f>IF(AND($B96&lt;&gt;"",$C96&lt;&gt;"Target state",$C96&lt;&gt;"Exception",$D96="Medium",$E96="Low"),$A96&amp;"  "&amp;$B96,"")</f>
        <v/>
      </c>
      <c r="S96">
        <f>IF(AND($B96&lt;&gt;"",$C96&lt;&gt;"Target state",$C96&lt;&gt;"Exception",$D96="Medium",$E96="Medium"),$A96&amp;"  "&amp;$B96,"")</f>
        <v/>
      </c>
      <c r="T96">
        <f>IF(AND($B96&lt;&gt;"",$C96&lt;&gt;"Target state",$C96&lt;&gt;"Exception",$D96="Medium",$E96="High"),$A96&amp;"  "&amp;$B96,"")</f>
        <v/>
      </c>
      <c r="U96">
        <f>IF(AND($B96&lt;&gt;"",$C96&lt;&gt;"Target state",$C96&lt;&gt;"Exception",$D96="Low",$E96="Low"),$A96&amp;"  "&amp;$B96,"")</f>
        <v/>
      </c>
      <c r="V96">
        <f>IF(AND($B96&lt;&gt;"",$C96&lt;&gt;"Target state",$C96&lt;&gt;"Exception",$D96="Low",$E96="Medium"),$A96&amp;"  "&amp;$B96,"")</f>
        <v/>
      </c>
      <c r="W96">
        <f>IF(AND($B96&lt;&gt;"",$C96&lt;&gt;"Target state",$C96&lt;&gt;"Exception",$D96="Low",$E96="High"),$A96&amp;"  "&amp;$B96,"")</f>
        <v/>
      </c>
    </row>
    <row r="99" ht="22" customHeight="1">
      <c r="A99" s="24" t="inlineStr">
        <is>
          <t>Managed Optimization</t>
        </is>
      </c>
      <c r="G99" s="25">
        <f>HYPERLINK("#'VAS'!A4","▲ tracker")</f>
        <v/>
      </c>
      <c r="K99" s="26" t="inlineStr">
        <is>
          <t>Assessment Outcome</t>
        </is>
      </c>
    </row>
    <row r="100" ht="18" customHeight="1">
      <c r="A100" s="27" t="inlineStr">
        <is>
          <t>#</t>
        </is>
      </c>
      <c r="B100" s="27" t="inlineStr">
        <is>
          <t>Platform</t>
        </is>
      </c>
      <c r="C100" s="27" t="inlineStr">
        <is>
          <t>State</t>
        </is>
      </c>
      <c r="D100" s="27" t="inlineStr">
        <is>
          <t>Imperative to exit</t>
        </is>
      </c>
      <c r="E100" s="27" t="inlineStr">
        <is>
          <t>Exit complexity</t>
        </is>
      </c>
      <c r="F100" s="27" t="inlineStr">
        <is>
          <t>Supporting facts</t>
        </is>
      </c>
      <c r="G100" s="27" t="inlineStr">
        <is>
          <t>Tranche (auto)</t>
        </is>
      </c>
      <c r="K100" s="28" t="inlineStr">
        <is>
          <t>Low</t>
        </is>
      </c>
      <c r="L100" s="28" t="inlineStr">
        <is>
          <t>Medium</t>
        </is>
      </c>
      <c r="M100" s="28" t="inlineStr">
        <is>
          <t>High</t>
        </is>
      </c>
    </row>
    <row r="101" ht="20" customHeight="1">
      <c r="A101" s="29" t="inlineStr">
        <is>
          <t>①</t>
        </is>
      </c>
      <c r="B101" s="30" t="n"/>
      <c r="C101" s="31" t="n"/>
      <c r="D101" s="31" t="n"/>
      <c r="E101" s="31" t="n"/>
      <c r="F101" s="32" t="n"/>
      <c r="G101" s="33">
        <f>IF(OR($B101="",$D101="",$E101=""),"",IF(OR($C101="Target state",$C101="Exception"),"Out of scope",IF($D101="Low","No tranche",IF($E101="Low","Tranche 1",IF($E101="Medium","Tranche 2",IF($D101="High","Tranche 3","No tranche"))))))</f>
        <v/>
      </c>
      <c r="I101" s="34" t="inlineStr">
        <is>
          <t>Benefits</t>
        </is>
      </c>
      <c r="J101" s="35" t="inlineStr">
        <is>
          <t>High</t>
        </is>
      </c>
      <c r="K101" s="36">
        <f>"Tranche 1"&amp;CHAR(10)&amp;_xlfn.TEXTJOIN(CHAR(10),TRUE,O$101:O$110)</f>
        <v/>
      </c>
      <c r="L101" s="37">
        <f>"Tranche 2"&amp;CHAR(10)&amp;_xlfn.TEXTJOIN(CHAR(10),TRUE,P$101:P$110)</f>
        <v/>
      </c>
      <c r="M101" s="38">
        <f>"Tranche 3"&amp;CHAR(10)&amp;_xlfn.TEXTJOIN(CHAR(10),TRUE,Q$101:Q$110)</f>
        <v/>
      </c>
      <c r="O101">
        <f>IF(AND($B101&lt;&gt;"",$C101&lt;&gt;"Target state",$C101&lt;&gt;"Exception",$D101="High",$E101="Low"),$A101&amp;"  "&amp;$B101,"")</f>
        <v/>
      </c>
      <c r="P101">
        <f>IF(AND($B101&lt;&gt;"",$C101&lt;&gt;"Target state",$C101&lt;&gt;"Exception",$D101="High",$E101="Medium"),$A101&amp;"  "&amp;$B101,"")</f>
        <v/>
      </c>
      <c r="Q101">
        <f>IF(AND($B101&lt;&gt;"",$C101&lt;&gt;"Target state",$C101&lt;&gt;"Exception",$D101="High",$E101="High"),$A101&amp;"  "&amp;$B101,"")</f>
        <v/>
      </c>
      <c r="R101">
        <f>IF(AND($B101&lt;&gt;"",$C101&lt;&gt;"Target state",$C101&lt;&gt;"Exception",$D101="Medium",$E101="Low"),$A101&amp;"  "&amp;$B101,"")</f>
        <v/>
      </c>
      <c r="S101">
        <f>IF(AND($B101&lt;&gt;"",$C101&lt;&gt;"Target state",$C101&lt;&gt;"Exception",$D101="Medium",$E101="Medium"),$A101&amp;"  "&amp;$B101,"")</f>
        <v/>
      </c>
      <c r="T101">
        <f>IF(AND($B101&lt;&gt;"",$C101&lt;&gt;"Target state",$C101&lt;&gt;"Exception",$D101="Medium",$E101="High"),$A101&amp;"  "&amp;$B101,"")</f>
        <v/>
      </c>
      <c r="U101">
        <f>IF(AND($B101&lt;&gt;"",$C101&lt;&gt;"Target state",$C101&lt;&gt;"Exception",$D101="Low",$E101="Low"),$A101&amp;"  "&amp;$B101,"")</f>
        <v/>
      </c>
      <c r="V101">
        <f>IF(AND($B101&lt;&gt;"",$C101&lt;&gt;"Target state",$C101&lt;&gt;"Exception",$D101="Low",$E101="Medium"),$A101&amp;"  "&amp;$B101,"")</f>
        <v/>
      </c>
      <c r="W101">
        <f>IF(AND($B101&lt;&gt;"",$C101&lt;&gt;"Target state",$C101&lt;&gt;"Exception",$D101="Low",$E101="High"),$A101&amp;"  "&amp;$B101,"")</f>
        <v/>
      </c>
    </row>
    <row r="102" ht="20" customHeight="1">
      <c r="A102" s="29" t="inlineStr">
        <is>
          <t>②</t>
        </is>
      </c>
      <c r="B102" s="30" t="n"/>
      <c r="C102" s="31" t="n"/>
      <c r="D102" s="31" t="n"/>
      <c r="E102" s="31" t="n"/>
      <c r="F102" s="32" t="n"/>
      <c r="G102" s="33">
        <f>IF(OR($B102="",$D102="",$E102=""),"",IF(OR($C102="Target state",$C102="Exception"),"Out of scope",IF($D102="Low","No tranche",IF($E102="Low","Tranche 1",IF($E102="Medium","Tranche 2",IF($D102="High","Tranche 3","No tranche"))))))</f>
        <v/>
      </c>
      <c r="K102" s="39" t="n"/>
      <c r="L102" s="39" t="n"/>
      <c r="M102" s="39" t="n"/>
      <c r="O102">
        <f>IF(AND($B102&lt;&gt;"",$C102&lt;&gt;"Target state",$C102&lt;&gt;"Exception",$D102="High",$E102="Low"),$A102&amp;"  "&amp;$B102,"")</f>
        <v/>
      </c>
      <c r="P102">
        <f>IF(AND($B102&lt;&gt;"",$C102&lt;&gt;"Target state",$C102&lt;&gt;"Exception",$D102="High",$E102="Medium"),$A102&amp;"  "&amp;$B102,"")</f>
        <v/>
      </c>
      <c r="Q102">
        <f>IF(AND($B102&lt;&gt;"",$C102&lt;&gt;"Target state",$C102&lt;&gt;"Exception",$D102="High",$E102="High"),$A102&amp;"  "&amp;$B102,"")</f>
        <v/>
      </c>
      <c r="R102">
        <f>IF(AND($B102&lt;&gt;"",$C102&lt;&gt;"Target state",$C102&lt;&gt;"Exception",$D102="Medium",$E102="Low"),$A102&amp;"  "&amp;$B102,"")</f>
        <v/>
      </c>
      <c r="S102">
        <f>IF(AND($B102&lt;&gt;"",$C102&lt;&gt;"Target state",$C102&lt;&gt;"Exception",$D102="Medium",$E102="Medium"),$A102&amp;"  "&amp;$B102,"")</f>
        <v/>
      </c>
      <c r="T102">
        <f>IF(AND($B102&lt;&gt;"",$C102&lt;&gt;"Target state",$C102&lt;&gt;"Exception",$D102="Medium",$E102="High"),$A102&amp;"  "&amp;$B102,"")</f>
        <v/>
      </c>
      <c r="U102">
        <f>IF(AND($B102&lt;&gt;"",$C102&lt;&gt;"Target state",$C102&lt;&gt;"Exception",$D102="Low",$E102="Low"),$A102&amp;"  "&amp;$B102,"")</f>
        <v/>
      </c>
      <c r="V102">
        <f>IF(AND($B102&lt;&gt;"",$C102&lt;&gt;"Target state",$C102&lt;&gt;"Exception",$D102="Low",$E102="Medium"),$A102&amp;"  "&amp;$B102,"")</f>
        <v/>
      </c>
      <c r="W102">
        <f>IF(AND($B102&lt;&gt;"",$C102&lt;&gt;"Target state",$C102&lt;&gt;"Exception",$D102="Low",$E102="High"),$A102&amp;"  "&amp;$B102,"")</f>
        <v/>
      </c>
    </row>
    <row r="103" ht="20" customHeight="1">
      <c r="A103" s="29" t="inlineStr">
        <is>
          <t>③</t>
        </is>
      </c>
      <c r="B103" s="30" t="n"/>
      <c r="C103" s="31" t="n"/>
      <c r="D103" s="31" t="n"/>
      <c r="E103" s="31" t="n"/>
      <c r="F103" s="32" t="n"/>
      <c r="G103" s="33">
        <f>IF(OR($B103="",$D103="",$E103=""),"",IF(OR($C103="Target state",$C103="Exception"),"Out of scope",IF($D103="Low","No tranche",IF($E103="Low","Tranche 1",IF($E103="Medium","Tranche 2",IF($D103="High","Tranche 3","No tranche"))))))</f>
        <v/>
      </c>
      <c r="K103" s="40" t="n"/>
      <c r="L103" s="40" t="n"/>
      <c r="M103" s="40" t="n"/>
      <c r="O103">
        <f>IF(AND($B103&lt;&gt;"",$C103&lt;&gt;"Target state",$C103&lt;&gt;"Exception",$D103="High",$E103="Low"),$A103&amp;"  "&amp;$B103,"")</f>
        <v/>
      </c>
      <c r="P103">
        <f>IF(AND($B103&lt;&gt;"",$C103&lt;&gt;"Target state",$C103&lt;&gt;"Exception",$D103="High",$E103="Medium"),$A103&amp;"  "&amp;$B103,"")</f>
        <v/>
      </c>
      <c r="Q103">
        <f>IF(AND($B103&lt;&gt;"",$C103&lt;&gt;"Target state",$C103&lt;&gt;"Exception",$D103="High",$E103="High"),$A103&amp;"  "&amp;$B103,"")</f>
        <v/>
      </c>
      <c r="R103">
        <f>IF(AND($B103&lt;&gt;"",$C103&lt;&gt;"Target state",$C103&lt;&gt;"Exception",$D103="Medium",$E103="Low"),$A103&amp;"  "&amp;$B103,"")</f>
        <v/>
      </c>
      <c r="S103">
        <f>IF(AND($B103&lt;&gt;"",$C103&lt;&gt;"Target state",$C103&lt;&gt;"Exception",$D103="Medium",$E103="Medium"),$A103&amp;"  "&amp;$B103,"")</f>
        <v/>
      </c>
      <c r="T103">
        <f>IF(AND($B103&lt;&gt;"",$C103&lt;&gt;"Target state",$C103&lt;&gt;"Exception",$D103="Medium",$E103="High"),$A103&amp;"  "&amp;$B103,"")</f>
        <v/>
      </c>
      <c r="U103">
        <f>IF(AND($B103&lt;&gt;"",$C103&lt;&gt;"Target state",$C103&lt;&gt;"Exception",$D103="Low",$E103="Low"),$A103&amp;"  "&amp;$B103,"")</f>
        <v/>
      </c>
      <c r="V103">
        <f>IF(AND($B103&lt;&gt;"",$C103&lt;&gt;"Target state",$C103&lt;&gt;"Exception",$D103="Low",$E103="Medium"),$A103&amp;"  "&amp;$B103,"")</f>
        <v/>
      </c>
      <c r="W103">
        <f>IF(AND($B103&lt;&gt;"",$C103&lt;&gt;"Target state",$C103&lt;&gt;"Exception",$D103="Low",$E103="High"),$A103&amp;"  "&amp;$B103,"")</f>
        <v/>
      </c>
    </row>
    <row r="104" ht="20" customHeight="1">
      <c r="A104" s="29" t="inlineStr">
        <is>
          <t>④</t>
        </is>
      </c>
      <c r="B104" s="30" t="n"/>
      <c r="C104" s="31" t="n"/>
      <c r="D104" s="31" t="n"/>
      <c r="E104" s="31" t="n"/>
      <c r="F104" s="32" t="n"/>
      <c r="G104" s="33">
        <f>IF(OR($B104="",$D104="",$E104=""),"",IF(OR($C104="Target state",$C104="Exception"),"Out of scope",IF($D104="Low","No tranche",IF($E104="Low","Tranche 1",IF($E104="Medium","Tranche 2",IF($D104="High","Tranche 3","No tranche"))))))</f>
        <v/>
      </c>
      <c r="J104" s="35" t="inlineStr">
        <is>
          <t>Medium</t>
        </is>
      </c>
      <c r="K104" s="36">
        <f>"Tranche 1"&amp;CHAR(10)&amp;_xlfn.TEXTJOIN(CHAR(10),TRUE,R$101:R$110)</f>
        <v/>
      </c>
      <c r="L104" s="37">
        <f>"Tranche 2"&amp;CHAR(10)&amp;_xlfn.TEXTJOIN(CHAR(10),TRUE,S$101:S$110)</f>
        <v/>
      </c>
      <c r="M104" s="41">
        <f>_xlfn.TEXTJOIN(CHAR(10),TRUE,T$101:T$110)</f>
        <v/>
      </c>
      <c r="O104">
        <f>IF(AND($B104&lt;&gt;"",$C104&lt;&gt;"Target state",$C104&lt;&gt;"Exception",$D104="High",$E104="Low"),$A104&amp;"  "&amp;$B104,"")</f>
        <v/>
      </c>
      <c r="P104">
        <f>IF(AND($B104&lt;&gt;"",$C104&lt;&gt;"Target state",$C104&lt;&gt;"Exception",$D104="High",$E104="Medium"),$A104&amp;"  "&amp;$B104,"")</f>
        <v/>
      </c>
      <c r="Q104">
        <f>IF(AND($B104&lt;&gt;"",$C104&lt;&gt;"Target state",$C104&lt;&gt;"Exception",$D104="High",$E104="High"),$A104&amp;"  "&amp;$B104,"")</f>
        <v/>
      </c>
      <c r="R104">
        <f>IF(AND($B104&lt;&gt;"",$C104&lt;&gt;"Target state",$C104&lt;&gt;"Exception",$D104="Medium",$E104="Low"),$A104&amp;"  "&amp;$B104,"")</f>
        <v/>
      </c>
      <c r="S104">
        <f>IF(AND($B104&lt;&gt;"",$C104&lt;&gt;"Target state",$C104&lt;&gt;"Exception",$D104="Medium",$E104="Medium"),$A104&amp;"  "&amp;$B104,"")</f>
        <v/>
      </c>
      <c r="T104">
        <f>IF(AND($B104&lt;&gt;"",$C104&lt;&gt;"Target state",$C104&lt;&gt;"Exception",$D104="Medium",$E104="High"),$A104&amp;"  "&amp;$B104,"")</f>
        <v/>
      </c>
      <c r="U104">
        <f>IF(AND($B104&lt;&gt;"",$C104&lt;&gt;"Target state",$C104&lt;&gt;"Exception",$D104="Low",$E104="Low"),$A104&amp;"  "&amp;$B104,"")</f>
        <v/>
      </c>
      <c r="V104">
        <f>IF(AND($B104&lt;&gt;"",$C104&lt;&gt;"Target state",$C104&lt;&gt;"Exception",$D104="Low",$E104="Medium"),$A104&amp;"  "&amp;$B104,"")</f>
        <v/>
      </c>
      <c r="W104">
        <f>IF(AND($B104&lt;&gt;"",$C104&lt;&gt;"Target state",$C104&lt;&gt;"Exception",$D104="Low",$E104="High"),$A104&amp;"  "&amp;$B104,"")</f>
        <v/>
      </c>
    </row>
    <row r="105" ht="20" customHeight="1">
      <c r="A105" s="29" t="inlineStr">
        <is>
          <t>⑤</t>
        </is>
      </c>
      <c r="B105" s="30" t="n"/>
      <c r="C105" s="31" t="n"/>
      <c r="D105" s="31" t="n"/>
      <c r="E105" s="31" t="n"/>
      <c r="F105" s="32" t="n"/>
      <c r="G105" s="33">
        <f>IF(OR($B105="",$D105="",$E105=""),"",IF(OR($C105="Target state",$C105="Exception"),"Out of scope",IF($D105="Low","No tranche",IF($E105="Low","Tranche 1",IF($E105="Medium","Tranche 2",IF($D105="High","Tranche 3","No tranche"))))))</f>
        <v/>
      </c>
      <c r="K105" s="39" t="n"/>
      <c r="L105" s="39" t="n"/>
      <c r="M105" s="39" t="n"/>
      <c r="O105">
        <f>IF(AND($B105&lt;&gt;"",$C105&lt;&gt;"Target state",$C105&lt;&gt;"Exception",$D105="High",$E105="Low"),$A105&amp;"  "&amp;$B105,"")</f>
        <v/>
      </c>
      <c r="P105">
        <f>IF(AND($B105&lt;&gt;"",$C105&lt;&gt;"Target state",$C105&lt;&gt;"Exception",$D105="High",$E105="Medium"),$A105&amp;"  "&amp;$B105,"")</f>
        <v/>
      </c>
      <c r="Q105">
        <f>IF(AND($B105&lt;&gt;"",$C105&lt;&gt;"Target state",$C105&lt;&gt;"Exception",$D105="High",$E105="High"),$A105&amp;"  "&amp;$B105,"")</f>
        <v/>
      </c>
      <c r="R105">
        <f>IF(AND($B105&lt;&gt;"",$C105&lt;&gt;"Target state",$C105&lt;&gt;"Exception",$D105="Medium",$E105="Low"),$A105&amp;"  "&amp;$B105,"")</f>
        <v/>
      </c>
      <c r="S105">
        <f>IF(AND($B105&lt;&gt;"",$C105&lt;&gt;"Target state",$C105&lt;&gt;"Exception",$D105="Medium",$E105="Medium"),$A105&amp;"  "&amp;$B105,"")</f>
        <v/>
      </c>
      <c r="T105">
        <f>IF(AND($B105&lt;&gt;"",$C105&lt;&gt;"Target state",$C105&lt;&gt;"Exception",$D105="Medium",$E105="High"),$A105&amp;"  "&amp;$B105,"")</f>
        <v/>
      </c>
      <c r="U105">
        <f>IF(AND($B105&lt;&gt;"",$C105&lt;&gt;"Target state",$C105&lt;&gt;"Exception",$D105="Low",$E105="Low"),$A105&amp;"  "&amp;$B105,"")</f>
        <v/>
      </c>
      <c r="V105">
        <f>IF(AND($B105&lt;&gt;"",$C105&lt;&gt;"Target state",$C105&lt;&gt;"Exception",$D105="Low",$E105="Medium"),$A105&amp;"  "&amp;$B105,"")</f>
        <v/>
      </c>
      <c r="W105">
        <f>IF(AND($B105&lt;&gt;"",$C105&lt;&gt;"Target state",$C105&lt;&gt;"Exception",$D105="Low",$E105="High"),$A105&amp;"  "&amp;$B105,"")</f>
        <v/>
      </c>
    </row>
    <row r="106" ht="20" customHeight="1">
      <c r="A106" s="29" t="inlineStr">
        <is>
          <t>⑥</t>
        </is>
      </c>
      <c r="B106" s="30" t="n"/>
      <c r="C106" s="31" t="n"/>
      <c r="D106" s="31" t="n"/>
      <c r="E106" s="31" t="n"/>
      <c r="F106" s="32" t="n"/>
      <c r="G106" s="33">
        <f>IF(OR($B106="",$D106="",$E106=""),"",IF(OR($C106="Target state",$C106="Exception"),"Out of scope",IF($D106="Low","No tranche",IF($E106="Low","Tranche 1",IF($E106="Medium","Tranche 2",IF($D106="High","Tranche 3","No tranche"))))))</f>
        <v/>
      </c>
      <c r="K106" s="40" t="n"/>
      <c r="L106" s="40" t="n"/>
      <c r="M106" s="40" t="n"/>
      <c r="O106">
        <f>IF(AND($B106&lt;&gt;"",$C106&lt;&gt;"Target state",$C106&lt;&gt;"Exception",$D106="High",$E106="Low"),$A106&amp;"  "&amp;$B106,"")</f>
        <v/>
      </c>
      <c r="P106">
        <f>IF(AND($B106&lt;&gt;"",$C106&lt;&gt;"Target state",$C106&lt;&gt;"Exception",$D106="High",$E106="Medium"),$A106&amp;"  "&amp;$B106,"")</f>
        <v/>
      </c>
      <c r="Q106">
        <f>IF(AND($B106&lt;&gt;"",$C106&lt;&gt;"Target state",$C106&lt;&gt;"Exception",$D106="High",$E106="High"),$A106&amp;"  "&amp;$B106,"")</f>
        <v/>
      </c>
      <c r="R106">
        <f>IF(AND($B106&lt;&gt;"",$C106&lt;&gt;"Target state",$C106&lt;&gt;"Exception",$D106="Medium",$E106="Low"),$A106&amp;"  "&amp;$B106,"")</f>
        <v/>
      </c>
      <c r="S106">
        <f>IF(AND($B106&lt;&gt;"",$C106&lt;&gt;"Target state",$C106&lt;&gt;"Exception",$D106="Medium",$E106="Medium"),$A106&amp;"  "&amp;$B106,"")</f>
        <v/>
      </c>
      <c r="T106">
        <f>IF(AND($B106&lt;&gt;"",$C106&lt;&gt;"Target state",$C106&lt;&gt;"Exception",$D106="Medium",$E106="High"),$A106&amp;"  "&amp;$B106,"")</f>
        <v/>
      </c>
      <c r="U106">
        <f>IF(AND($B106&lt;&gt;"",$C106&lt;&gt;"Target state",$C106&lt;&gt;"Exception",$D106="Low",$E106="Low"),$A106&amp;"  "&amp;$B106,"")</f>
        <v/>
      </c>
      <c r="V106">
        <f>IF(AND($B106&lt;&gt;"",$C106&lt;&gt;"Target state",$C106&lt;&gt;"Exception",$D106="Low",$E106="Medium"),$A106&amp;"  "&amp;$B106,"")</f>
        <v/>
      </c>
      <c r="W106">
        <f>IF(AND($B106&lt;&gt;"",$C106&lt;&gt;"Target state",$C106&lt;&gt;"Exception",$D106="Low",$E106="High"),$A106&amp;"  "&amp;$B106,"")</f>
        <v/>
      </c>
    </row>
    <row r="107" ht="20" customHeight="1">
      <c r="A107" s="29" t="inlineStr">
        <is>
          <t>⑦</t>
        </is>
      </c>
      <c r="B107" s="30" t="n"/>
      <c r="C107" s="31" t="n"/>
      <c r="D107" s="31" t="n"/>
      <c r="E107" s="31" t="n"/>
      <c r="F107" s="32" t="n"/>
      <c r="G107" s="33">
        <f>IF(OR($B107="",$D107="",$E107=""),"",IF(OR($C107="Target state",$C107="Exception"),"Out of scope",IF($D107="Low","No tranche",IF($E107="Low","Tranche 1",IF($E107="Medium","Tranche 2",IF($D107="High","Tranche 3","No tranche"))))))</f>
        <v/>
      </c>
      <c r="J107" s="35" t="inlineStr">
        <is>
          <t>Low</t>
        </is>
      </c>
      <c r="K107" s="41">
        <f>_xlfn.TEXTJOIN(CHAR(10),TRUE,U$101:U$110)</f>
        <v/>
      </c>
      <c r="L107" s="41">
        <f>_xlfn.TEXTJOIN(CHAR(10),TRUE,V$101:V$110)</f>
        <v/>
      </c>
      <c r="M107" s="41">
        <f>_xlfn.TEXTJOIN(CHAR(10),TRUE,W$101:W$110)</f>
        <v/>
      </c>
      <c r="O107">
        <f>IF(AND($B107&lt;&gt;"",$C107&lt;&gt;"Target state",$C107&lt;&gt;"Exception",$D107="High",$E107="Low"),$A107&amp;"  "&amp;$B107,"")</f>
        <v/>
      </c>
      <c r="P107">
        <f>IF(AND($B107&lt;&gt;"",$C107&lt;&gt;"Target state",$C107&lt;&gt;"Exception",$D107="High",$E107="Medium"),$A107&amp;"  "&amp;$B107,"")</f>
        <v/>
      </c>
      <c r="Q107">
        <f>IF(AND($B107&lt;&gt;"",$C107&lt;&gt;"Target state",$C107&lt;&gt;"Exception",$D107="High",$E107="High"),$A107&amp;"  "&amp;$B107,"")</f>
        <v/>
      </c>
      <c r="R107">
        <f>IF(AND($B107&lt;&gt;"",$C107&lt;&gt;"Target state",$C107&lt;&gt;"Exception",$D107="Medium",$E107="Low"),$A107&amp;"  "&amp;$B107,"")</f>
        <v/>
      </c>
      <c r="S107">
        <f>IF(AND($B107&lt;&gt;"",$C107&lt;&gt;"Target state",$C107&lt;&gt;"Exception",$D107="Medium",$E107="Medium"),$A107&amp;"  "&amp;$B107,"")</f>
        <v/>
      </c>
      <c r="T107">
        <f>IF(AND($B107&lt;&gt;"",$C107&lt;&gt;"Target state",$C107&lt;&gt;"Exception",$D107="Medium",$E107="High"),$A107&amp;"  "&amp;$B107,"")</f>
        <v/>
      </c>
      <c r="U107">
        <f>IF(AND($B107&lt;&gt;"",$C107&lt;&gt;"Target state",$C107&lt;&gt;"Exception",$D107="Low",$E107="Low"),$A107&amp;"  "&amp;$B107,"")</f>
        <v/>
      </c>
      <c r="V107">
        <f>IF(AND($B107&lt;&gt;"",$C107&lt;&gt;"Target state",$C107&lt;&gt;"Exception",$D107="Low",$E107="Medium"),$A107&amp;"  "&amp;$B107,"")</f>
        <v/>
      </c>
      <c r="W107">
        <f>IF(AND($B107&lt;&gt;"",$C107&lt;&gt;"Target state",$C107&lt;&gt;"Exception",$D107="Low",$E107="High"),$A107&amp;"  "&amp;$B107,"")</f>
        <v/>
      </c>
    </row>
    <row r="108" ht="20" customHeight="1">
      <c r="A108" s="29" t="inlineStr">
        <is>
          <t>⑧</t>
        </is>
      </c>
      <c r="B108" s="30" t="n"/>
      <c r="C108" s="31" t="n"/>
      <c r="D108" s="31" t="n"/>
      <c r="E108" s="31" t="n"/>
      <c r="F108" s="32" t="n"/>
      <c r="G108" s="33">
        <f>IF(OR($B108="",$D108="",$E108=""),"",IF(OR($C108="Target state",$C108="Exception"),"Out of scope",IF($D108="Low","No tranche",IF($E108="Low","Tranche 1",IF($E108="Medium","Tranche 2",IF($D108="High","Tranche 3","No tranche"))))))</f>
        <v/>
      </c>
      <c r="K108" s="39" t="n"/>
      <c r="L108" s="39" t="n"/>
      <c r="M108" s="39" t="n"/>
      <c r="O108">
        <f>IF(AND($B108&lt;&gt;"",$C108&lt;&gt;"Target state",$C108&lt;&gt;"Exception",$D108="High",$E108="Low"),$A108&amp;"  "&amp;$B108,"")</f>
        <v/>
      </c>
      <c r="P108">
        <f>IF(AND($B108&lt;&gt;"",$C108&lt;&gt;"Target state",$C108&lt;&gt;"Exception",$D108="High",$E108="Medium"),$A108&amp;"  "&amp;$B108,"")</f>
        <v/>
      </c>
      <c r="Q108">
        <f>IF(AND($B108&lt;&gt;"",$C108&lt;&gt;"Target state",$C108&lt;&gt;"Exception",$D108="High",$E108="High"),$A108&amp;"  "&amp;$B108,"")</f>
        <v/>
      </c>
      <c r="R108">
        <f>IF(AND($B108&lt;&gt;"",$C108&lt;&gt;"Target state",$C108&lt;&gt;"Exception",$D108="Medium",$E108="Low"),$A108&amp;"  "&amp;$B108,"")</f>
        <v/>
      </c>
      <c r="S108">
        <f>IF(AND($B108&lt;&gt;"",$C108&lt;&gt;"Target state",$C108&lt;&gt;"Exception",$D108="Medium",$E108="Medium"),$A108&amp;"  "&amp;$B108,"")</f>
        <v/>
      </c>
      <c r="T108">
        <f>IF(AND($B108&lt;&gt;"",$C108&lt;&gt;"Target state",$C108&lt;&gt;"Exception",$D108="Medium",$E108="High"),$A108&amp;"  "&amp;$B108,"")</f>
        <v/>
      </c>
      <c r="U108">
        <f>IF(AND($B108&lt;&gt;"",$C108&lt;&gt;"Target state",$C108&lt;&gt;"Exception",$D108="Low",$E108="Low"),$A108&amp;"  "&amp;$B108,"")</f>
        <v/>
      </c>
      <c r="V108">
        <f>IF(AND($B108&lt;&gt;"",$C108&lt;&gt;"Target state",$C108&lt;&gt;"Exception",$D108="Low",$E108="Medium"),$A108&amp;"  "&amp;$B108,"")</f>
        <v/>
      </c>
      <c r="W108">
        <f>IF(AND($B108&lt;&gt;"",$C108&lt;&gt;"Target state",$C108&lt;&gt;"Exception",$D108="Low",$E108="High"),$A108&amp;"  "&amp;$B108,"")</f>
        <v/>
      </c>
    </row>
    <row r="109" ht="20" customHeight="1">
      <c r="A109" s="29" t="inlineStr">
        <is>
          <t>⑨</t>
        </is>
      </c>
      <c r="B109" s="30" t="n"/>
      <c r="C109" s="31" t="n"/>
      <c r="D109" s="31" t="n"/>
      <c r="E109" s="31" t="n"/>
      <c r="F109" s="32" t="n"/>
      <c r="G109" s="33">
        <f>IF(OR($B109="",$D109="",$E109=""),"",IF(OR($C109="Target state",$C109="Exception"),"Out of scope",IF($D109="Low","No tranche",IF($E109="Low","Tranche 1",IF($E109="Medium","Tranche 2",IF($D109="High","Tranche 3","No tranche"))))))</f>
        <v/>
      </c>
      <c r="K109" s="40" t="n"/>
      <c r="L109" s="40" t="n"/>
      <c r="M109" s="40" t="n"/>
      <c r="O109">
        <f>IF(AND($B109&lt;&gt;"",$C109&lt;&gt;"Target state",$C109&lt;&gt;"Exception",$D109="High",$E109="Low"),$A109&amp;"  "&amp;$B109,"")</f>
        <v/>
      </c>
      <c r="P109">
        <f>IF(AND($B109&lt;&gt;"",$C109&lt;&gt;"Target state",$C109&lt;&gt;"Exception",$D109="High",$E109="Medium"),$A109&amp;"  "&amp;$B109,"")</f>
        <v/>
      </c>
      <c r="Q109">
        <f>IF(AND($B109&lt;&gt;"",$C109&lt;&gt;"Target state",$C109&lt;&gt;"Exception",$D109="High",$E109="High"),$A109&amp;"  "&amp;$B109,"")</f>
        <v/>
      </c>
      <c r="R109">
        <f>IF(AND($B109&lt;&gt;"",$C109&lt;&gt;"Target state",$C109&lt;&gt;"Exception",$D109="Medium",$E109="Low"),$A109&amp;"  "&amp;$B109,"")</f>
        <v/>
      </c>
      <c r="S109">
        <f>IF(AND($B109&lt;&gt;"",$C109&lt;&gt;"Target state",$C109&lt;&gt;"Exception",$D109="Medium",$E109="Medium"),$A109&amp;"  "&amp;$B109,"")</f>
        <v/>
      </c>
      <c r="T109">
        <f>IF(AND($B109&lt;&gt;"",$C109&lt;&gt;"Target state",$C109&lt;&gt;"Exception",$D109="Medium",$E109="High"),$A109&amp;"  "&amp;$B109,"")</f>
        <v/>
      </c>
      <c r="U109">
        <f>IF(AND($B109&lt;&gt;"",$C109&lt;&gt;"Target state",$C109&lt;&gt;"Exception",$D109="Low",$E109="Low"),$A109&amp;"  "&amp;$B109,"")</f>
        <v/>
      </c>
      <c r="V109">
        <f>IF(AND($B109&lt;&gt;"",$C109&lt;&gt;"Target state",$C109&lt;&gt;"Exception",$D109="Low",$E109="Medium"),$A109&amp;"  "&amp;$B109,"")</f>
        <v/>
      </c>
      <c r="W109">
        <f>IF(AND($B109&lt;&gt;"",$C109&lt;&gt;"Target state",$C109&lt;&gt;"Exception",$D109="Low",$E109="High"),$A109&amp;"  "&amp;$B109,"")</f>
        <v/>
      </c>
    </row>
    <row r="110" ht="20" customHeight="1">
      <c r="A110" s="29" t="inlineStr">
        <is>
          <t>⑩</t>
        </is>
      </c>
      <c r="B110" s="30" t="n"/>
      <c r="C110" s="31" t="n"/>
      <c r="D110" s="31" t="n"/>
      <c r="E110" s="31" t="n"/>
      <c r="F110" s="32" t="n"/>
      <c r="G110" s="33">
        <f>IF(OR($B110="",$D110="",$E110=""),"",IF(OR($C110="Target state",$C110="Exception"),"Out of scope",IF($D110="Low","No tranche",IF($E110="Low","Tranche 1",IF($E110="Medium","Tranche 2",IF($D110="High","Tranche 3","No tranche"))))))</f>
        <v/>
      </c>
      <c r="K110" s="35" t="inlineStr">
        <is>
          <t>Complexity</t>
        </is>
      </c>
      <c r="O110">
        <f>IF(AND($B110&lt;&gt;"",$C110&lt;&gt;"Target state",$C110&lt;&gt;"Exception",$D110="High",$E110="Low"),$A110&amp;"  "&amp;$B110,"")</f>
        <v/>
      </c>
      <c r="P110">
        <f>IF(AND($B110&lt;&gt;"",$C110&lt;&gt;"Target state",$C110&lt;&gt;"Exception",$D110="High",$E110="Medium"),$A110&amp;"  "&amp;$B110,"")</f>
        <v/>
      </c>
      <c r="Q110">
        <f>IF(AND($B110&lt;&gt;"",$C110&lt;&gt;"Target state",$C110&lt;&gt;"Exception",$D110="High",$E110="High"),$A110&amp;"  "&amp;$B110,"")</f>
        <v/>
      </c>
      <c r="R110">
        <f>IF(AND($B110&lt;&gt;"",$C110&lt;&gt;"Target state",$C110&lt;&gt;"Exception",$D110="Medium",$E110="Low"),$A110&amp;"  "&amp;$B110,"")</f>
        <v/>
      </c>
      <c r="S110">
        <f>IF(AND($B110&lt;&gt;"",$C110&lt;&gt;"Target state",$C110&lt;&gt;"Exception",$D110="Medium",$E110="Medium"),$A110&amp;"  "&amp;$B110,"")</f>
        <v/>
      </c>
      <c r="T110">
        <f>IF(AND($B110&lt;&gt;"",$C110&lt;&gt;"Target state",$C110&lt;&gt;"Exception",$D110="Medium",$E110="High"),$A110&amp;"  "&amp;$B110,"")</f>
        <v/>
      </c>
      <c r="U110">
        <f>IF(AND($B110&lt;&gt;"",$C110&lt;&gt;"Target state",$C110&lt;&gt;"Exception",$D110="Low",$E110="Low"),$A110&amp;"  "&amp;$B110,"")</f>
        <v/>
      </c>
      <c r="V110">
        <f>IF(AND($B110&lt;&gt;"",$C110&lt;&gt;"Target state",$C110&lt;&gt;"Exception",$D110="Low",$E110="Medium"),$A110&amp;"  "&amp;$B110,"")</f>
        <v/>
      </c>
      <c r="W110">
        <f>IF(AND($B110&lt;&gt;"",$C110&lt;&gt;"Target state",$C110&lt;&gt;"Exception",$D110="Low",$E110="High"),$A110&amp;"  "&amp;$B110,"")</f>
        <v/>
      </c>
    </row>
    <row r="113" ht="22" customHeight="1">
      <c r="A113" s="24" t="inlineStr">
        <is>
          <t>3DS / exemptions</t>
        </is>
      </c>
      <c r="G113" s="25">
        <f>HYPERLINK("#'VAS'!A4","▲ tracker")</f>
        <v/>
      </c>
      <c r="K113" s="26" t="inlineStr">
        <is>
          <t>Assessment Outcome</t>
        </is>
      </c>
    </row>
    <row r="114" ht="18" customHeight="1">
      <c r="A114" s="27" t="inlineStr">
        <is>
          <t>#</t>
        </is>
      </c>
      <c r="B114" s="27" t="inlineStr">
        <is>
          <t>Platform</t>
        </is>
      </c>
      <c r="C114" s="27" t="inlineStr">
        <is>
          <t>State</t>
        </is>
      </c>
      <c r="D114" s="27" t="inlineStr">
        <is>
          <t>Imperative to exit</t>
        </is>
      </c>
      <c r="E114" s="27" t="inlineStr">
        <is>
          <t>Exit complexity</t>
        </is>
      </c>
      <c r="F114" s="27" t="inlineStr">
        <is>
          <t>Supporting facts</t>
        </is>
      </c>
      <c r="G114" s="27" t="inlineStr">
        <is>
          <t>Tranche (auto)</t>
        </is>
      </c>
      <c r="K114" s="28" t="inlineStr">
        <is>
          <t>Low</t>
        </is>
      </c>
      <c r="L114" s="28" t="inlineStr">
        <is>
          <t>Medium</t>
        </is>
      </c>
      <c r="M114" s="28" t="inlineStr">
        <is>
          <t>High</t>
        </is>
      </c>
    </row>
    <row r="115" ht="20" customHeight="1">
      <c r="A115" s="29" t="inlineStr">
        <is>
          <t>①</t>
        </is>
      </c>
      <c r="B115" s="30" t="n"/>
      <c r="C115" s="31" t="n"/>
      <c r="D115" s="31" t="n"/>
      <c r="E115" s="31" t="n"/>
      <c r="F115" s="32" t="n"/>
      <c r="G115" s="33">
        <f>IF(OR($B115="",$D115="",$E115=""),"",IF(OR($C115="Target state",$C115="Exception"),"Out of scope",IF($D115="Low","No tranche",IF($E115="Low","Tranche 1",IF($E115="Medium","Tranche 2",IF($D115="High","Tranche 3","No tranche"))))))</f>
        <v/>
      </c>
      <c r="I115" s="34" t="inlineStr">
        <is>
          <t>Benefits</t>
        </is>
      </c>
      <c r="J115" s="35" t="inlineStr">
        <is>
          <t>High</t>
        </is>
      </c>
      <c r="K115" s="36">
        <f>"Tranche 1"&amp;CHAR(10)&amp;_xlfn.TEXTJOIN(CHAR(10),TRUE,O$115:O$124)</f>
        <v/>
      </c>
      <c r="L115" s="37">
        <f>"Tranche 2"&amp;CHAR(10)&amp;_xlfn.TEXTJOIN(CHAR(10),TRUE,P$115:P$124)</f>
        <v/>
      </c>
      <c r="M115" s="38">
        <f>"Tranche 3"&amp;CHAR(10)&amp;_xlfn.TEXTJOIN(CHAR(10),TRUE,Q$115:Q$124)</f>
        <v/>
      </c>
      <c r="O115">
        <f>IF(AND($B115&lt;&gt;"",$C115&lt;&gt;"Target state",$C115&lt;&gt;"Exception",$D115="High",$E115="Low"),$A115&amp;"  "&amp;$B115,"")</f>
        <v/>
      </c>
      <c r="P115">
        <f>IF(AND($B115&lt;&gt;"",$C115&lt;&gt;"Target state",$C115&lt;&gt;"Exception",$D115="High",$E115="Medium"),$A115&amp;"  "&amp;$B115,"")</f>
        <v/>
      </c>
      <c r="Q115">
        <f>IF(AND($B115&lt;&gt;"",$C115&lt;&gt;"Target state",$C115&lt;&gt;"Exception",$D115="High",$E115="High"),$A115&amp;"  "&amp;$B115,"")</f>
        <v/>
      </c>
      <c r="R115">
        <f>IF(AND($B115&lt;&gt;"",$C115&lt;&gt;"Target state",$C115&lt;&gt;"Exception",$D115="Medium",$E115="Low"),$A115&amp;"  "&amp;$B115,"")</f>
        <v/>
      </c>
      <c r="S115">
        <f>IF(AND($B115&lt;&gt;"",$C115&lt;&gt;"Target state",$C115&lt;&gt;"Exception",$D115="Medium",$E115="Medium"),$A115&amp;"  "&amp;$B115,"")</f>
        <v/>
      </c>
      <c r="T115">
        <f>IF(AND($B115&lt;&gt;"",$C115&lt;&gt;"Target state",$C115&lt;&gt;"Exception",$D115="Medium",$E115="High"),$A115&amp;"  "&amp;$B115,"")</f>
        <v/>
      </c>
      <c r="U115">
        <f>IF(AND($B115&lt;&gt;"",$C115&lt;&gt;"Target state",$C115&lt;&gt;"Exception",$D115="Low",$E115="Low"),$A115&amp;"  "&amp;$B115,"")</f>
        <v/>
      </c>
      <c r="V115">
        <f>IF(AND($B115&lt;&gt;"",$C115&lt;&gt;"Target state",$C115&lt;&gt;"Exception",$D115="Low",$E115="Medium"),$A115&amp;"  "&amp;$B115,"")</f>
        <v/>
      </c>
      <c r="W115">
        <f>IF(AND($B115&lt;&gt;"",$C115&lt;&gt;"Target state",$C115&lt;&gt;"Exception",$D115="Low",$E115="High"),$A115&amp;"  "&amp;$B115,"")</f>
        <v/>
      </c>
    </row>
    <row r="116" ht="20" customHeight="1">
      <c r="A116" s="29" t="inlineStr">
        <is>
          <t>②</t>
        </is>
      </c>
      <c r="B116" s="30" t="n"/>
      <c r="C116" s="31" t="n"/>
      <c r="D116" s="31" t="n"/>
      <c r="E116" s="31" t="n"/>
      <c r="F116" s="32" t="n"/>
      <c r="G116" s="33">
        <f>IF(OR($B116="",$D116="",$E116=""),"",IF(OR($C116="Target state",$C116="Exception"),"Out of scope",IF($D116="Low","No tranche",IF($E116="Low","Tranche 1",IF($E116="Medium","Tranche 2",IF($D116="High","Tranche 3","No tranche"))))))</f>
        <v/>
      </c>
      <c r="K116" s="39" t="n"/>
      <c r="L116" s="39" t="n"/>
      <c r="M116" s="39" t="n"/>
      <c r="O116">
        <f>IF(AND($B116&lt;&gt;"",$C116&lt;&gt;"Target state",$C116&lt;&gt;"Exception",$D116="High",$E116="Low"),$A116&amp;"  "&amp;$B116,"")</f>
        <v/>
      </c>
      <c r="P116">
        <f>IF(AND($B116&lt;&gt;"",$C116&lt;&gt;"Target state",$C116&lt;&gt;"Exception",$D116="High",$E116="Medium"),$A116&amp;"  "&amp;$B116,"")</f>
        <v/>
      </c>
      <c r="Q116">
        <f>IF(AND($B116&lt;&gt;"",$C116&lt;&gt;"Target state",$C116&lt;&gt;"Exception",$D116="High",$E116="High"),$A116&amp;"  "&amp;$B116,"")</f>
        <v/>
      </c>
      <c r="R116">
        <f>IF(AND($B116&lt;&gt;"",$C116&lt;&gt;"Target state",$C116&lt;&gt;"Exception",$D116="Medium",$E116="Low"),$A116&amp;"  "&amp;$B116,"")</f>
        <v/>
      </c>
      <c r="S116">
        <f>IF(AND($B116&lt;&gt;"",$C116&lt;&gt;"Target state",$C116&lt;&gt;"Exception",$D116="Medium",$E116="Medium"),$A116&amp;"  "&amp;$B116,"")</f>
        <v/>
      </c>
      <c r="T116">
        <f>IF(AND($B116&lt;&gt;"",$C116&lt;&gt;"Target state",$C116&lt;&gt;"Exception",$D116="Medium",$E116="High"),$A116&amp;"  "&amp;$B116,"")</f>
        <v/>
      </c>
      <c r="U116">
        <f>IF(AND($B116&lt;&gt;"",$C116&lt;&gt;"Target state",$C116&lt;&gt;"Exception",$D116="Low",$E116="Low"),$A116&amp;"  "&amp;$B116,"")</f>
        <v/>
      </c>
      <c r="V116">
        <f>IF(AND($B116&lt;&gt;"",$C116&lt;&gt;"Target state",$C116&lt;&gt;"Exception",$D116="Low",$E116="Medium"),$A116&amp;"  "&amp;$B116,"")</f>
        <v/>
      </c>
      <c r="W116">
        <f>IF(AND($B116&lt;&gt;"",$C116&lt;&gt;"Target state",$C116&lt;&gt;"Exception",$D116="Low",$E116="High"),$A116&amp;"  "&amp;$B116,"")</f>
        <v/>
      </c>
    </row>
    <row r="117" ht="20" customHeight="1">
      <c r="A117" s="29" t="inlineStr">
        <is>
          <t>③</t>
        </is>
      </c>
      <c r="B117" s="30" t="n"/>
      <c r="C117" s="31" t="n"/>
      <c r="D117" s="31" t="n"/>
      <c r="E117" s="31" t="n"/>
      <c r="F117" s="32" t="n"/>
      <c r="G117" s="33">
        <f>IF(OR($B117="",$D117="",$E117=""),"",IF(OR($C117="Target state",$C117="Exception"),"Out of scope",IF($D117="Low","No tranche",IF($E117="Low","Tranche 1",IF($E117="Medium","Tranche 2",IF($D117="High","Tranche 3","No tranche"))))))</f>
        <v/>
      </c>
      <c r="K117" s="40" t="n"/>
      <c r="L117" s="40" t="n"/>
      <c r="M117" s="40" t="n"/>
      <c r="O117">
        <f>IF(AND($B117&lt;&gt;"",$C117&lt;&gt;"Target state",$C117&lt;&gt;"Exception",$D117="High",$E117="Low"),$A117&amp;"  "&amp;$B117,"")</f>
        <v/>
      </c>
      <c r="P117">
        <f>IF(AND($B117&lt;&gt;"",$C117&lt;&gt;"Target state",$C117&lt;&gt;"Exception",$D117="High",$E117="Medium"),$A117&amp;"  "&amp;$B117,"")</f>
        <v/>
      </c>
      <c r="Q117">
        <f>IF(AND($B117&lt;&gt;"",$C117&lt;&gt;"Target state",$C117&lt;&gt;"Exception",$D117="High",$E117="High"),$A117&amp;"  "&amp;$B117,"")</f>
        <v/>
      </c>
      <c r="R117">
        <f>IF(AND($B117&lt;&gt;"",$C117&lt;&gt;"Target state",$C117&lt;&gt;"Exception",$D117="Medium",$E117="Low"),$A117&amp;"  "&amp;$B117,"")</f>
        <v/>
      </c>
      <c r="S117">
        <f>IF(AND($B117&lt;&gt;"",$C117&lt;&gt;"Target state",$C117&lt;&gt;"Exception",$D117="Medium",$E117="Medium"),$A117&amp;"  "&amp;$B117,"")</f>
        <v/>
      </c>
      <c r="T117">
        <f>IF(AND($B117&lt;&gt;"",$C117&lt;&gt;"Target state",$C117&lt;&gt;"Exception",$D117="Medium",$E117="High"),$A117&amp;"  "&amp;$B117,"")</f>
        <v/>
      </c>
      <c r="U117">
        <f>IF(AND($B117&lt;&gt;"",$C117&lt;&gt;"Target state",$C117&lt;&gt;"Exception",$D117="Low",$E117="Low"),$A117&amp;"  "&amp;$B117,"")</f>
        <v/>
      </c>
      <c r="V117">
        <f>IF(AND($B117&lt;&gt;"",$C117&lt;&gt;"Target state",$C117&lt;&gt;"Exception",$D117="Low",$E117="Medium"),$A117&amp;"  "&amp;$B117,"")</f>
        <v/>
      </c>
      <c r="W117">
        <f>IF(AND($B117&lt;&gt;"",$C117&lt;&gt;"Target state",$C117&lt;&gt;"Exception",$D117="Low",$E117="High"),$A117&amp;"  "&amp;$B117,"")</f>
        <v/>
      </c>
    </row>
    <row r="118" ht="20" customHeight="1">
      <c r="A118" s="29" t="inlineStr">
        <is>
          <t>④</t>
        </is>
      </c>
      <c r="B118" s="30" t="n"/>
      <c r="C118" s="31" t="n"/>
      <c r="D118" s="31" t="n"/>
      <c r="E118" s="31" t="n"/>
      <c r="F118" s="32" t="n"/>
      <c r="G118" s="33">
        <f>IF(OR($B118="",$D118="",$E118=""),"",IF(OR($C118="Target state",$C118="Exception"),"Out of scope",IF($D118="Low","No tranche",IF($E118="Low","Tranche 1",IF($E118="Medium","Tranche 2",IF($D118="High","Tranche 3","No tranche"))))))</f>
        <v/>
      </c>
      <c r="J118" s="35" t="inlineStr">
        <is>
          <t>Medium</t>
        </is>
      </c>
      <c r="K118" s="36">
        <f>"Tranche 1"&amp;CHAR(10)&amp;_xlfn.TEXTJOIN(CHAR(10),TRUE,R$115:R$124)</f>
        <v/>
      </c>
      <c r="L118" s="37">
        <f>"Tranche 2"&amp;CHAR(10)&amp;_xlfn.TEXTJOIN(CHAR(10),TRUE,S$115:S$124)</f>
        <v/>
      </c>
      <c r="M118" s="41">
        <f>_xlfn.TEXTJOIN(CHAR(10),TRUE,T$115:T$124)</f>
        <v/>
      </c>
      <c r="O118">
        <f>IF(AND($B118&lt;&gt;"",$C118&lt;&gt;"Target state",$C118&lt;&gt;"Exception",$D118="High",$E118="Low"),$A118&amp;"  "&amp;$B118,"")</f>
        <v/>
      </c>
      <c r="P118">
        <f>IF(AND($B118&lt;&gt;"",$C118&lt;&gt;"Target state",$C118&lt;&gt;"Exception",$D118="High",$E118="Medium"),$A118&amp;"  "&amp;$B118,"")</f>
        <v/>
      </c>
      <c r="Q118">
        <f>IF(AND($B118&lt;&gt;"",$C118&lt;&gt;"Target state",$C118&lt;&gt;"Exception",$D118="High",$E118="High"),$A118&amp;"  "&amp;$B118,"")</f>
        <v/>
      </c>
      <c r="R118">
        <f>IF(AND($B118&lt;&gt;"",$C118&lt;&gt;"Target state",$C118&lt;&gt;"Exception",$D118="Medium",$E118="Low"),$A118&amp;"  "&amp;$B118,"")</f>
        <v/>
      </c>
      <c r="S118">
        <f>IF(AND($B118&lt;&gt;"",$C118&lt;&gt;"Target state",$C118&lt;&gt;"Exception",$D118="Medium",$E118="Medium"),$A118&amp;"  "&amp;$B118,"")</f>
        <v/>
      </c>
      <c r="T118">
        <f>IF(AND($B118&lt;&gt;"",$C118&lt;&gt;"Target state",$C118&lt;&gt;"Exception",$D118="Medium",$E118="High"),$A118&amp;"  "&amp;$B118,"")</f>
        <v/>
      </c>
      <c r="U118">
        <f>IF(AND($B118&lt;&gt;"",$C118&lt;&gt;"Target state",$C118&lt;&gt;"Exception",$D118="Low",$E118="Low"),$A118&amp;"  "&amp;$B118,"")</f>
        <v/>
      </c>
      <c r="V118">
        <f>IF(AND($B118&lt;&gt;"",$C118&lt;&gt;"Target state",$C118&lt;&gt;"Exception",$D118="Low",$E118="Medium"),$A118&amp;"  "&amp;$B118,"")</f>
        <v/>
      </c>
      <c r="W118">
        <f>IF(AND($B118&lt;&gt;"",$C118&lt;&gt;"Target state",$C118&lt;&gt;"Exception",$D118="Low",$E118="High"),$A118&amp;"  "&amp;$B118,"")</f>
        <v/>
      </c>
    </row>
    <row r="119" ht="20" customHeight="1">
      <c r="A119" s="29" t="inlineStr">
        <is>
          <t>⑤</t>
        </is>
      </c>
      <c r="B119" s="30" t="n"/>
      <c r="C119" s="31" t="n"/>
      <c r="D119" s="31" t="n"/>
      <c r="E119" s="31" t="n"/>
      <c r="F119" s="32" t="n"/>
      <c r="G119" s="33">
        <f>IF(OR($B119="",$D119="",$E119=""),"",IF(OR($C119="Target state",$C119="Exception"),"Out of scope",IF($D119="Low","No tranche",IF($E119="Low","Tranche 1",IF($E119="Medium","Tranche 2",IF($D119="High","Tranche 3","No tranche"))))))</f>
        <v/>
      </c>
      <c r="K119" s="39" t="n"/>
      <c r="L119" s="39" t="n"/>
      <c r="M119" s="39" t="n"/>
      <c r="O119">
        <f>IF(AND($B119&lt;&gt;"",$C119&lt;&gt;"Target state",$C119&lt;&gt;"Exception",$D119="High",$E119="Low"),$A119&amp;"  "&amp;$B119,"")</f>
        <v/>
      </c>
      <c r="P119">
        <f>IF(AND($B119&lt;&gt;"",$C119&lt;&gt;"Target state",$C119&lt;&gt;"Exception",$D119="High",$E119="Medium"),$A119&amp;"  "&amp;$B119,"")</f>
        <v/>
      </c>
      <c r="Q119">
        <f>IF(AND($B119&lt;&gt;"",$C119&lt;&gt;"Target state",$C119&lt;&gt;"Exception",$D119="High",$E119="High"),$A119&amp;"  "&amp;$B119,"")</f>
        <v/>
      </c>
      <c r="R119">
        <f>IF(AND($B119&lt;&gt;"",$C119&lt;&gt;"Target state",$C119&lt;&gt;"Exception",$D119="Medium",$E119="Low"),$A119&amp;"  "&amp;$B119,"")</f>
        <v/>
      </c>
      <c r="S119">
        <f>IF(AND($B119&lt;&gt;"",$C119&lt;&gt;"Target state",$C119&lt;&gt;"Exception",$D119="Medium",$E119="Medium"),$A119&amp;"  "&amp;$B119,"")</f>
        <v/>
      </c>
      <c r="T119">
        <f>IF(AND($B119&lt;&gt;"",$C119&lt;&gt;"Target state",$C119&lt;&gt;"Exception",$D119="Medium",$E119="High"),$A119&amp;"  "&amp;$B119,"")</f>
        <v/>
      </c>
      <c r="U119">
        <f>IF(AND($B119&lt;&gt;"",$C119&lt;&gt;"Target state",$C119&lt;&gt;"Exception",$D119="Low",$E119="Low"),$A119&amp;"  "&amp;$B119,"")</f>
        <v/>
      </c>
      <c r="V119">
        <f>IF(AND($B119&lt;&gt;"",$C119&lt;&gt;"Target state",$C119&lt;&gt;"Exception",$D119="Low",$E119="Medium"),$A119&amp;"  "&amp;$B119,"")</f>
        <v/>
      </c>
      <c r="W119">
        <f>IF(AND($B119&lt;&gt;"",$C119&lt;&gt;"Target state",$C119&lt;&gt;"Exception",$D119="Low",$E119="High"),$A119&amp;"  "&amp;$B119,"")</f>
        <v/>
      </c>
    </row>
    <row r="120" ht="20" customHeight="1">
      <c r="A120" s="29" t="inlineStr">
        <is>
          <t>⑥</t>
        </is>
      </c>
      <c r="B120" s="30" t="n"/>
      <c r="C120" s="31" t="n"/>
      <c r="D120" s="31" t="n"/>
      <c r="E120" s="31" t="n"/>
      <c r="F120" s="32" t="n"/>
      <c r="G120" s="33">
        <f>IF(OR($B120="",$D120="",$E120=""),"",IF(OR($C120="Target state",$C120="Exception"),"Out of scope",IF($D120="Low","No tranche",IF($E120="Low","Tranche 1",IF($E120="Medium","Tranche 2",IF($D120="High","Tranche 3","No tranche"))))))</f>
        <v/>
      </c>
      <c r="K120" s="40" t="n"/>
      <c r="L120" s="40" t="n"/>
      <c r="M120" s="40" t="n"/>
      <c r="O120">
        <f>IF(AND($B120&lt;&gt;"",$C120&lt;&gt;"Target state",$C120&lt;&gt;"Exception",$D120="High",$E120="Low"),$A120&amp;"  "&amp;$B120,"")</f>
        <v/>
      </c>
      <c r="P120">
        <f>IF(AND($B120&lt;&gt;"",$C120&lt;&gt;"Target state",$C120&lt;&gt;"Exception",$D120="High",$E120="Medium"),$A120&amp;"  "&amp;$B120,"")</f>
        <v/>
      </c>
      <c r="Q120">
        <f>IF(AND($B120&lt;&gt;"",$C120&lt;&gt;"Target state",$C120&lt;&gt;"Exception",$D120="High",$E120="High"),$A120&amp;"  "&amp;$B120,"")</f>
        <v/>
      </c>
      <c r="R120">
        <f>IF(AND($B120&lt;&gt;"",$C120&lt;&gt;"Target state",$C120&lt;&gt;"Exception",$D120="Medium",$E120="Low"),$A120&amp;"  "&amp;$B120,"")</f>
        <v/>
      </c>
      <c r="S120">
        <f>IF(AND($B120&lt;&gt;"",$C120&lt;&gt;"Target state",$C120&lt;&gt;"Exception",$D120="Medium",$E120="Medium"),$A120&amp;"  "&amp;$B120,"")</f>
        <v/>
      </c>
      <c r="T120">
        <f>IF(AND($B120&lt;&gt;"",$C120&lt;&gt;"Target state",$C120&lt;&gt;"Exception",$D120="Medium",$E120="High"),$A120&amp;"  "&amp;$B120,"")</f>
        <v/>
      </c>
      <c r="U120">
        <f>IF(AND($B120&lt;&gt;"",$C120&lt;&gt;"Target state",$C120&lt;&gt;"Exception",$D120="Low",$E120="Low"),$A120&amp;"  "&amp;$B120,"")</f>
        <v/>
      </c>
      <c r="V120">
        <f>IF(AND($B120&lt;&gt;"",$C120&lt;&gt;"Target state",$C120&lt;&gt;"Exception",$D120="Low",$E120="Medium"),$A120&amp;"  "&amp;$B120,"")</f>
        <v/>
      </c>
      <c r="W120">
        <f>IF(AND($B120&lt;&gt;"",$C120&lt;&gt;"Target state",$C120&lt;&gt;"Exception",$D120="Low",$E120="High"),$A120&amp;"  "&amp;$B120,"")</f>
        <v/>
      </c>
    </row>
    <row r="121" ht="20" customHeight="1">
      <c r="A121" s="29" t="inlineStr">
        <is>
          <t>⑦</t>
        </is>
      </c>
      <c r="B121" s="30" t="n"/>
      <c r="C121" s="31" t="n"/>
      <c r="D121" s="31" t="n"/>
      <c r="E121" s="31" t="n"/>
      <c r="F121" s="32" t="n"/>
      <c r="G121" s="33">
        <f>IF(OR($B121="",$D121="",$E121=""),"",IF(OR($C121="Target state",$C121="Exception"),"Out of scope",IF($D121="Low","No tranche",IF($E121="Low","Tranche 1",IF($E121="Medium","Tranche 2",IF($D121="High","Tranche 3","No tranche"))))))</f>
        <v/>
      </c>
      <c r="J121" s="35" t="inlineStr">
        <is>
          <t>Low</t>
        </is>
      </c>
      <c r="K121" s="41">
        <f>_xlfn.TEXTJOIN(CHAR(10),TRUE,U$115:U$124)</f>
        <v/>
      </c>
      <c r="L121" s="41">
        <f>_xlfn.TEXTJOIN(CHAR(10),TRUE,V$115:V$124)</f>
        <v/>
      </c>
      <c r="M121" s="41">
        <f>_xlfn.TEXTJOIN(CHAR(10),TRUE,W$115:W$124)</f>
        <v/>
      </c>
      <c r="O121">
        <f>IF(AND($B121&lt;&gt;"",$C121&lt;&gt;"Target state",$C121&lt;&gt;"Exception",$D121="High",$E121="Low"),$A121&amp;"  "&amp;$B121,"")</f>
        <v/>
      </c>
      <c r="P121">
        <f>IF(AND($B121&lt;&gt;"",$C121&lt;&gt;"Target state",$C121&lt;&gt;"Exception",$D121="High",$E121="Medium"),$A121&amp;"  "&amp;$B121,"")</f>
        <v/>
      </c>
      <c r="Q121">
        <f>IF(AND($B121&lt;&gt;"",$C121&lt;&gt;"Target state",$C121&lt;&gt;"Exception",$D121="High",$E121="High"),$A121&amp;"  "&amp;$B121,"")</f>
        <v/>
      </c>
      <c r="R121">
        <f>IF(AND($B121&lt;&gt;"",$C121&lt;&gt;"Target state",$C121&lt;&gt;"Exception",$D121="Medium",$E121="Low"),$A121&amp;"  "&amp;$B121,"")</f>
        <v/>
      </c>
      <c r="S121">
        <f>IF(AND($B121&lt;&gt;"",$C121&lt;&gt;"Target state",$C121&lt;&gt;"Exception",$D121="Medium",$E121="Medium"),$A121&amp;"  "&amp;$B121,"")</f>
        <v/>
      </c>
      <c r="T121">
        <f>IF(AND($B121&lt;&gt;"",$C121&lt;&gt;"Target state",$C121&lt;&gt;"Exception",$D121="Medium",$E121="High"),$A121&amp;"  "&amp;$B121,"")</f>
        <v/>
      </c>
      <c r="U121">
        <f>IF(AND($B121&lt;&gt;"",$C121&lt;&gt;"Target state",$C121&lt;&gt;"Exception",$D121="Low",$E121="Low"),$A121&amp;"  "&amp;$B121,"")</f>
        <v/>
      </c>
      <c r="V121">
        <f>IF(AND($B121&lt;&gt;"",$C121&lt;&gt;"Target state",$C121&lt;&gt;"Exception",$D121="Low",$E121="Medium"),$A121&amp;"  "&amp;$B121,"")</f>
        <v/>
      </c>
      <c r="W121">
        <f>IF(AND($B121&lt;&gt;"",$C121&lt;&gt;"Target state",$C121&lt;&gt;"Exception",$D121="Low",$E121="High"),$A121&amp;"  "&amp;$B121,"")</f>
        <v/>
      </c>
    </row>
    <row r="122" ht="20" customHeight="1">
      <c r="A122" s="29" t="inlineStr">
        <is>
          <t>⑧</t>
        </is>
      </c>
      <c r="B122" s="30" t="n"/>
      <c r="C122" s="31" t="n"/>
      <c r="D122" s="31" t="n"/>
      <c r="E122" s="31" t="n"/>
      <c r="F122" s="32" t="n"/>
      <c r="G122" s="33">
        <f>IF(OR($B122="",$D122="",$E122=""),"",IF(OR($C122="Target state",$C122="Exception"),"Out of scope",IF($D122="Low","No tranche",IF($E122="Low","Tranche 1",IF($E122="Medium","Tranche 2",IF($D122="High","Tranche 3","No tranche"))))))</f>
        <v/>
      </c>
      <c r="K122" s="39" t="n"/>
      <c r="L122" s="39" t="n"/>
      <c r="M122" s="39" t="n"/>
      <c r="O122">
        <f>IF(AND($B122&lt;&gt;"",$C122&lt;&gt;"Target state",$C122&lt;&gt;"Exception",$D122="High",$E122="Low"),$A122&amp;"  "&amp;$B122,"")</f>
        <v/>
      </c>
      <c r="P122">
        <f>IF(AND($B122&lt;&gt;"",$C122&lt;&gt;"Target state",$C122&lt;&gt;"Exception",$D122="High",$E122="Medium"),$A122&amp;"  "&amp;$B122,"")</f>
        <v/>
      </c>
      <c r="Q122">
        <f>IF(AND($B122&lt;&gt;"",$C122&lt;&gt;"Target state",$C122&lt;&gt;"Exception",$D122="High",$E122="High"),$A122&amp;"  "&amp;$B122,"")</f>
        <v/>
      </c>
      <c r="R122">
        <f>IF(AND($B122&lt;&gt;"",$C122&lt;&gt;"Target state",$C122&lt;&gt;"Exception",$D122="Medium",$E122="Low"),$A122&amp;"  "&amp;$B122,"")</f>
        <v/>
      </c>
      <c r="S122">
        <f>IF(AND($B122&lt;&gt;"",$C122&lt;&gt;"Target state",$C122&lt;&gt;"Exception",$D122="Medium",$E122="Medium"),$A122&amp;"  "&amp;$B122,"")</f>
        <v/>
      </c>
      <c r="T122">
        <f>IF(AND($B122&lt;&gt;"",$C122&lt;&gt;"Target state",$C122&lt;&gt;"Exception",$D122="Medium",$E122="High"),$A122&amp;"  "&amp;$B122,"")</f>
        <v/>
      </c>
      <c r="U122">
        <f>IF(AND($B122&lt;&gt;"",$C122&lt;&gt;"Target state",$C122&lt;&gt;"Exception",$D122="Low",$E122="Low"),$A122&amp;"  "&amp;$B122,"")</f>
        <v/>
      </c>
      <c r="V122">
        <f>IF(AND($B122&lt;&gt;"",$C122&lt;&gt;"Target state",$C122&lt;&gt;"Exception",$D122="Low",$E122="Medium"),$A122&amp;"  "&amp;$B122,"")</f>
        <v/>
      </c>
      <c r="W122">
        <f>IF(AND($B122&lt;&gt;"",$C122&lt;&gt;"Target state",$C122&lt;&gt;"Exception",$D122="Low",$E122="High"),$A122&amp;"  "&amp;$B122,"")</f>
        <v/>
      </c>
    </row>
    <row r="123" ht="20" customHeight="1">
      <c r="A123" s="29" t="inlineStr">
        <is>
          <t>⑨</t>
        </is>
      </c>
      <c r="B123" s="30" t="n"/>
      <c r="C123" s="31" t="n"/>
      <c r="D123" s="31" t="n"/>
      <c r="E123" s="31" t="n"/>
      <c r="F123" s="32" t="n"/>
      <c r="G123" s="33">
        <f>IF(OR($B123="",$D123="",$E123=""),"",IF(OR($C123="Target state",$C123="Exception"),"Out of scope",IF($D123="Low","No tranche",IF($E123="Low","Tranche 1",IF($E123="Medium","Tranche 2",IF($D123="High","Tranche 3","No tranche"))))))</f>
        <v/>
      </c>
      <c r="K123" s="40" t="n"/>
      <c r="L123" s="40" t="n"/>
      <c r="M123" s="40" t="n"/>
      <c r="O123">
        <f>IF(AND($B123&lt;&gt;"",$C123&lt;&gt;"Target state",$C123&lt;&gt;"Exception",$D123="High",$E123="Low"),$A123&amp;"  "&amp;$B123,"")</f>
        <v/>
      </c>
      <c r="P123">
        <f>IF(AND($B123&lt;&gt;"",$C123&lt;&gt;"Target state",$C123&lt;&gt;"Exception",$D123="High",$E123="Medium"),$A123&amp;"  "&amp;$B123,"")</f>
        <v/>
      </c>
      <c r="Q123">
        <f>IF(AND($B123&lt;&gt;"",$C123&lt;&gt;"Target state",$C123&lt;&gt;"Exception",$D123="High",$E123="High"),$A123&amp;"  "&amp;$B123,"")</f>
        <v/>
      </c>
      <c r="R123">
        <f>IF(AND($B123&lt;&gt;"",$C123&lt;&gt;"Target state",$C123&lt;&gt;"Exception",$D123="Medium",$E123="Low"),$A123&amp;"  "&amp;$B123,"")</f>
        <v/>
      </c>
      <c r="S123">
        <f>IF(AND($B123&lt;&gt;"",$C123&lt;&gt;"Target state",$C123&lt;&gt;"Exception",$D123="Medium",$E123="Medium"),$A123&amp;"  "&amp;$B123,"")</f>
        <v/>
      </c>
      <c r="T123">
        <f>IF(AND($B123&lt;&gt;"",$C123&lt;&gt;"Target state",$C123&lt;&gt;"Exception",$D123="Medium",$E123="High"),$A123&amp;"  "&amp;$B123,"")</f>
        <v/>
      </c>
      <c r="U123">
        <f>IF(AND($B123&lt;&gt;"",$C123&lt;&gt;"Target state",$C123&lt;&gt;"Exception",$D123="Low",$E123="Low"),$A123&amp;"  "&amp;$B123,"")</f>
        <v/>
      </c>
      <c r="V123">
        <f>IF(AND($B123&lt;&gt;"",$C123&lt;&gt;"Target state",$C123&lt;&gt;"Exception",$D123="Low",$E123="Medium"),$A123&amp;"  "&amp;$B123,"")</f>
        <v/>
      </c>
      <c r="W123">
        <f>IF(AND($B123&lt;&gt;"",$C123&lt;&gt;"Target state",$C123&lt;&gt;"Exception",$D123="Low",$E123="High"),$A123&amp;"  "&amp;$B123,"")</f>
        <v/>
      </c>
    </row>
    <row r="124" ht="20" customHeight="1">
      <c r="A124" s="29" t="inlineStr">
        <is>
          <t>⑩</t>
        </is>
      </c>
      <c r="B124" s="30" t="n"/>
      <c r="C124" s="31" t="n"/>
      <c r="D124" s="31" t="n"/>
      <c r="E124" s="31" t="n"/>
      <c r="F124" s="32" t="n"/>
      <c r="G124" s="33">
        <f>IF(OR($B124="",$D124="",$E124=""),"",IF(OR($C124="Target state",$C124="Exception"),"Out of scope",IF($D124="Low","No tranche",IF($E124="Low","Tranche 1",IF($E124="Medium","Tranche 2",IF($D124="High","Tranche 3","No tranche"))))))</f>
        <v/>
      </c>
      <c r="K124" s="35" t="inlineStr">
        <is>
          <t>Complexity</t>
        </is>
      </c>
      <c r="O124">
        <f>IF(AND($B124&lt;&gt;"",$C124&lt;&gt;"Target state",$C124&lt;&gt;"Exception",$D124="High",$E124="Low"),$A124&amp;"  "&amp;$B124,"")</f>
        <v/>
      </c>
      <c r="P124">
        <f>IF(AND($B124&lt;&gt;"",$C124&lt;&gt;"Target state",$C124&lt;&gt;"Exception",$D124="High",$E124="Medium"),$A124&amp;"  "&amp;$B124,"")</f>
        <v/>
      </c>
      <c r="Q124">
        <f>IF(AND($B124&lt;&gt;"",$C124&lt;&gt;"Target state",$C124&lt;&gt;"Exception",$D124="High",$E124="High"),$A124&amp;"  "&amp;$B124,"")</f>
        <v/>
      </c>
      <c r="R124">
        <f>IF(AND($B124&lt;&gt;"",$C124&lt;&gt;"Target state",$C124&lt;&gt;"Exception",$D124="Medium",$E124="Low"),$A124&amp;"  "&amp;$B124,"")</f>
        <v/>
      </c>
      <c r="S124">
        <f>IF(AND($B124&lt;&gt;"",$C124&lt;&gt;"Target state",$C124&lt;&gt;"Exception",$D124="Medium",$E124="Medium"),$A124&amp;"  "&amp;$B124,"")</f>
        <v/>
      </c>
      <c r="T124">
        <f>IF(AND($B124&lt;&gt;"",$C124&lt;&gt;"Target state",$C124&lt;&gt;"Exception",$D124="Medium",$E124="High"),$A124&amp;"  "&amp;$B124,"")</f>
        <v/>
      </c>
      <c r="U124">
        <f>IF(AND($B124&lt;&gt;"",$C124&lt;&gt;"Target state",$C124&lt;&gt;"Exception",$D124="Low",$E124="Low"),$A124&amp;"  "&amp;$B124,"")</f>
        <v/>
      </c>
      <c r="V124">
        <f>IF(AND($B124&lt;&gt;"",$C124&lt;&gt;"Target state",$C124&lt;&gt;"Exception",$D124="Low",$E124="Medium"),$A124&amp;"  "&amp;$B124,"")</f>
        <v/>
      </c>
      <c r="W124">
        <f>IF(AND($B124&lt;&gt;"",$C124&lt;&gt;"Target state",$C124&lt;&gt;"Exception",$D124="Low",$E124="High"),$A124&amp;"  "&amp;$B124,"")</f>
        <v/>
      </c>
    </row>
    <row r="127" ht="22" customHeight="1">
      <c r="A127" s="24" t="inlineStr">
        <is>
          <t>FX</t>
        </is>
      </c>
      <c r="G127" s="25">
        <f>HYPERLINK("#'VAS'!A4","▲ tracker")</f>
        <v/>
      </c>
      <c r="K127" s="26" t="inlineStr">
        <is>
          <t>Assessment Outcome</t>
        </is>
      </c>
    </row>
    <row r="128" ht="18" customHeight="1">
      <c r="A128" s="27" t="inlineStr">
        <is>
          <t>#</t>
        </is>
      </c>
      <c r="B128" s="27" t="inlineStr">
        <is>
          <t>Platform</t>
        </is>
      </c>
      <c r="C128" s="27" t="inlineStr">
        <is>
          <t>State</t>
        </is>
      </c>
      <c r="D128" s="27" t="inlineStr">
        <is>
          <t>Imperative to exit</t>
        </is>
      </c>
      <c r="E128" s="27" t="inlineStr">
        <is>
          <t>Exit complexity</t>
        </is>
      </c>
      <c r="F128" s="27" t="inlineStr">
        <is>
          <t>Supporting facts</t>
        </is>
      </c>
      <c r="G128" s="27" t="inlineStr">
        <is>
          <t>Tranche (auto)</t>
        </is>
      </c>
      <c r="K128" s="28" t="inlineStr">
        <is>
          <t>Low</t>
        </is>
      </c>
      <c r="L128" s="28" t="inlineStr">
        <is>
          <t>Medium</t>
        </is>
      </c>
      <c r="M128" s="28" t="inlineStr">
        <is>
          <t>High</t>
        </is>
      </c>
    </row>
    <row r="129" ht="20" customHeight="1">
      <c r="A129" s="29" t="inlineStr">
        <is>
          <t>①</t>
        </is>
      </c>
      <c r="B129" s="30" t="n"/>
      <c r="C129" s="31" t="n"/>
      <c r="D129" s="31" t="n"/>
      <c r="E129" s="31" t="n"/>
      <c r="F129" s="32" t="n"/>
      <c r="G129" s="33">
        <f>IF(OR($B129="",$D129="",$E129=""),"",IF(OR($C129="Target state",$C129="Exception"),"Out of scope",IF($D129="Low","No tranche",IF($E129="Low","Tranche 1",IF($E129="Medium","Tranche 2",IF($D129="High","Tranche 3","No tranche"))))))</f>
        <v/>
      </c>
      <c r="I129" s="34" t="inlineStr">
        <is>
          <t>Benefits</t>
        </is>
      </c>
      <c r="J129" s="35" t="inlineStr">
        <is>
          <t>High</t>
        </is>
      </c>
      <c r="K129" s="36">
        <f>"Tranche 1"&amp;CHAR(10)&amp;_xlfn.TEXTJOIN(CHAR(10),TRUE,O$129:O$138)</f>
        <v/>
      </c>
      <c r="L129" s="37">
        <f>"Tranche 2"&amp;CHAR(10)&amp;_xlfn.TEXTJOIN(CHAR(10),TRUE,P$129:P$138)</f>
        <v/>
      </c>
      <c r="M129" s="38">
        <f>"Tranche 3"&amp;CHAR(10)&amp;_xlfn.TEXTJOIN(CHAR(10),TRUE,Q$129:Q$138)</f>
        <v/>
      </c>
      <c r="O129">
        <f>IF(AND($B129&lt;&gt;"",$C129&lt;&gt;"Target state",$C129&lt;&gt;"Exception",$D129="High",$E129="Low"),$A129&amp;"  "&amp;$B129,"")</f>
        <v/>
      </c>
      <c r="P129">
        <f>IF(AND($B129&lt;&gt;"",$C129&lt;&gt;"Target state",$C129&lt;&gt;"Exception",$D129="High",$E129="Medium"),$A129&amp;"  "&amp;$B129,"")</f>
        <v/>
      </c>
      <c r="Q129">
        <f>IF(AND($B129&lt;&gt;"",$C129&lt;&gt;"Target state",$C129&lt;&gt;"Exception",$D129="High",$E129="High"),$A129&amp;"  "&amp;$B129,"")</f>
        <v/>
      </c>
      <c r="R129">
        <f>IF(AND($B129&lt;&gt;"",$C129&lt;&gt;"Target state",$C129&lt;&gt;"Exception",$D129="Medium",$E129="Low"),$A129&amp;"  "&amp;$B129,"")</f>
        <v/>
      </c>
      <c r="S129">
        <f>IF(AND($B129&lt;&gt;"",$C129&lt;&gt;"Target state",$C129&lt;&gt;"Exception",$D129="Medium",$E129="Medium"),$A129&amp;"  "&amp;$B129,"")</f>
        <v/>
      </c>
      <c r="T129">
        <f>IF(AND($B129&lt;&gt;"",$C129&lt;&gt;"Target state",$C129&lt;&gt;"Exception",$D129="Medium",$E129="High"),$A129&amp;"  "&amp;$B129,"")</f>
        <v/>
      </c>
      <c r="U129">
        <f>IF(AND($B129&lt;&gt;"",$C129&lt;&gt;"Target state",$C129&lt;&gt;"Exception",$D129="Low",$E129="Low"),$A129&amp;"  "&amp;$B129,"")</f>
        <v/>
      </c>
      <c r="V129">
        <f>IF(AND($B129&lt;&gt;"",$C129&lt;&gt;"Target state",$C129&lt;&gt;"Exception",$D129="Low",$E129="Medium"),$A129&amp;"  "&amp;$B129,"")</f>
        <v/>
      </c>
      <c r="W129">
        <f>IF(AND($B129&lt;&gt;"",$C129&lt;&gt;"Target state",$C129&lt;&gt;"Exception",$D129="Low",$E129="High"),$A129&amp;"  "&amp;$B129,"")</f>
        <v/>
      </c>
    </row>
    <row r="130" ht="20" customHeight="1">
      <c r="A130" s="29" t="inlineStr">
        <is>
          <t>②</t>
        </is>
      </c>
      <c r="B130" s="30" t="n"/>
      <c r="C130" s="31" t="n"/>
      <c r="D130" s="31" t="n"/>
      <c r="E130" s="31" t="n"/>
      <c r="F130" s="32" t="n"/>
      <c r="G130" s="33">
        <f>IF(OR($B130="",$D130="",$E130=""),"",IF(OR($C130="Target state",$C130="Exception"),"Out of scope",IF($D130="Low","No tranche",IF($E130="Low","Tranche 1",IF($E130="Medium","Tranche 2",IF($D130="High","Tranche 3","No tranche"))))))</f>
        <v/>
      </c>
      <c r="K130" s="39" t="n"/>
      <c r="L130" s="39" t="n"/>
      <c r="M130" s="39" t="n"/>
      <c r="O130">
        <f>IF(AND($B130&lt;&gt;"",$C130&lt;&gt;"Target state",$C130&lt;&gt;"Exception",$D130="High",$E130="Low"),$A130&amp;"  "&amp;$B130,"")</f>
        <v/>
      </c>
      <c r="P130">
        <f>IF(AND($B130&lt;&gt;"",$C130&lt;&gt;"Target state",$C130&lt;&gt;"Exception",$D130="High",$E130="Medium"),$A130&amp;"  "&amp;$B130,"")</f>
        <v/>
      </c>
      <c r="Q130">
        <f>IF(AND($B130&lt;&gt;"",$C130&lt;&gt;"Target state",$C130&lt;&gt;"Exception",$D130="High",$E130="High"),$A130&amp;"  "&amp;$B130,"")</f>
        <v/>
      </c>
      <c r="R130">
        <f>IF(AND($B130&lt;&gt;"",$C130&lt;&gt;"Target state",$C130&lt;&gt;"Exception",$D130="Medium",$E130="Low"),$A130&amp;"  "&amp;$B130,"")</f>
        <v/>
      </c>
      <c r="S130">
        <f>IF(AND($B130&lt;&gt;"",$C130&lt;&gt;"Target state",$C130&lt;&gt;"Exception",$D130="Medium",$E130="Medium"),$A130&amp;"  "&amp;$B130,"")</f>
        <v/>
      </c>
      <c r="T130">
        <f>IF(AND($B130&lt;&gt;"",$C130&lt;&gt;"Target state",$C130&lt;&gt;"Exception",$D130="Medium",$E130="High"),$A130&amp;"  "&amp;$B130,"")</f>
        <v/>
      </c>
      <c r="U130">
        <f>IF(AND($B130&lt;&gt;"",$C130&lt;&gt;"Target state",$C130&lt;&gt;"Exception",$D130="Low",$E130="Low"),$A130&amp;"  "&amp;$B130,"")</f>
        <v/>
      </c>
      <c r="V130">
        <f>IF(AND($B130&lt;&gt;"",$C130&lt;&gt;"Target state",$C130&lt;&gt;"Exception",$D130="Low",$E130="Medium"),$A130&amp;"  "&amp;$B130,"")</f>
        <v/>
      </c>
      <c r="W130">
        <f>IF(AND($B130&lt;&gt;"",$C130&lt;&gt;"Target state",$C130&lt;&gt;"Exception",$D130="Low",$E130="High"),$A130&amp;"  "&amp;$B130,"")</f>
        <v/>
      </c>
    </row>
    <row r="131" ht="20" customHeight="1">
      <c r="A131" s="29" t="inlineStr">
        <is>
          <t>③</t>
        </is>
      </c>
      <c r="B131" s="30" t="n"/>
      <c r="C131" s="31" t="n"/>
      <c r="D131" s="31" t="n"/>
      <c r="E131" s="31" t="n"/>
      <c r="F131" s="32" t="n"/>
      <c r="G131" s="33">
        <f>IF(OR($B131="",$D131="",$E131=""),"",IF(OR($C131="Target state",$C131="Exception"),"Out of scope",IF($D131="Low","No tranche",IF($E131="Low","Tranche 1",IF($E131="Medium","Tranche 2",IF($D131="High","Tranche 3","No tranche"))))))</f>
        <v/>
      </c>
      <c r="K131" s="40" t="n"/>
      <c r="L131" s="40" t="n"/>
      <c r="M131" s="40" t="n"/>
      <c r="O131">
        <f>IF(AND($B131&lt;&gt;"",$C131&lt;&gt;"Target state",$C131&lt;&gt;"Exception",$D131="High",$E131="Low"),$A131&amp;"  "&amp;$B131,"")</f>
        <v/>
      </c>
      <c r="P131">
        <f>IF(AND($B131&lt;&gt;"",$C131&lt;&gt;"Target state",$C131&lt;&gt;"Exception",$D131="High",$E131="Medium"),$A131&amp;"  "&amp;$B131,"")</f>
        <v/>
      </c>
      <c r="Q131">
        <f>IF(AND($B131&lt;&gt;"",$C131&lt;&gt;"Target state",$C131&lt;&gt;"Exception",$D131="High",$E131="High"),$A131&amp;"  "&amp;$B131,"")</f>
        <v/>
      </c>
      <c r="R131">
        <f>IF(AND($B131&lt;&gt;"",$C131&lt;&gt;"Target state",$C131&lt;&gt;"Exception",$D131="Medium",$E131="Low"),$A131&amp;"  "&amp;$B131,"")</f>
        <v/>
      </c>
      <c r="S131">
        <f>IF(AND($B131&lt;&gt;"",$C131&lt;&gt;"Target state",$C131&lt;&gt;"Exception",$D131="Medium",$E131="Medium"),$A131&amp;"  "&amp;$B131,"")</f>
        <v/>
      </c>
      <c r="T131">
        <f>IF(AND($B131&lt;&gt;"",$C131&lt;&gt;"Target state",$C131&lt;&gt;"Exception",$D131="Medium",$E131="High"),$A131&amp;"  "&amp;$B131,"")</f>
        <v/>
      </c>
      <c r="U131">
        <f>IF(AND($B131&lt;&gt;"",$C131&lt;&gt;"Target state",$C131&lt;&gt;"Exception",$D131="Low",$E131="Low"),$A131&amp;"  "&amp;$B131,"")</f>
        <v/>
      </c>
      <c r="V131">
        <f>IF(AND($B131&lt;&gt;"",$C131&lt;&gt;"Target state",$C131&lt;&gt;"Exception",$D131="Low",$E131="Medium"),$A131&amp;"  "&amp;$B131,"")</f>
        <v/>
      </c>
      <c r="W131">
        <f>IF(AND($B131&lt;&gt;"",$C131&lt;&gt;"Target state",$C131&lt;&gt;"Exception",$D131="Low",$E131="High"),$A131&amp;"  "&amp;$B131,"")</f>
        <v/>
      </c>
    </row>
    <row r="132" ht="20" customHeight="1">
      <c r="A132" s="29" t="inlineStr">
        <is>
          <t>④</t>
        </is>
      </c>
      <c r="B132" s="30" t="n"/>
      <c r="C132" s="31" t="n"/>
      <c r="D132" s="31" t="n"/>
      <c r="E132" s="31" t="n"/>
      <c r="F132" s="32" t="n"/>
      <c r="G132" s="33">
        <f>IF(OR($B132="",$D132="",$E132=""),"",IF(OR($C132="Target state",$C132="Exception"),"Out of scope",IF($D132="Low","No tranche",IF($E132="Low","Tranche 1",IF($E132="Medium","Tranche 2",IF($D132="High","Tranche 3","No tranche"))))))</f>
        <v/>
      </c>
      <c r="J132" s="35" t="inlineStr">
        <is>
          <t>Medium</t>
        </is>
      </c>
      <c r="K132" s="36">
        <f>"Tranche 1"&amp;CHAR(10)&amp;_xlfn.TEXTJOIN(CHAR(10),TRUE,R$129:R$138)</f>
        <v/>
      </c>
      <c r="L132" s="37">
        <f>"Tranche 2"&amp;CHAR(10)&amp;_xlfn.TEXTJOIN(CHAR(10),TRUE,S$129:S$138)</f>
        <v/>
      </c>
      <c r="M132" s="41">
        <f>_xlfn.TEXTJOIN(CHAR(10),TRUE,T$129:T$138)</f>
        <v/>
      </c>
      <c r="O132">
        <f>IF(AND($B132&lt;&gt;"",$C132&lt;&gt;"Target state",$C132&lt;&gt;"Exception",$D132="High",$E132="Low"),$A132&amp;"  "&amp;$B132,"")</f>
        <v/>
      </c>
      <c r="P132">
        <f>IF(AND($B132&lt;&gt;"",$C132&lt;&gt;"Target state",$C132&lt;&gt;"Exception",$D132="High",$E132="Medium"),$A132&amp;"  "&amp;$B132,"")</f>
        <v/>
      </c>
      <c r="Q132">
        <f>IF(AND($B132&lt;&gt;"",$C132&lt;&gt;"Target state",$C132&lt;&gt;"Exception",$D132="High",$E132="High"),$A132&amp;"  "&amp;$B132,"")</f>
        <v/>
      </c>
      <c r="R132">
        <f>IF(AND($B132&lt;&gt;"",$C132&lt;&gt;"Target state",$C132&lt;&gt;"Exception",$D132="Medium",$E132="Low"),$A132&amp;"  "&amp;$B132,"")</f>
        <v/>
      </c>
      <c r="S132">
        <f>IF(AND($B132&lt;&gt;"",$C132&lt;&gt;"Target state",$C132&lt;&gt;"Exception",$D132="Medium",$E132="Medium"),$A132&amp;"  "&amp;$B132,"")</f>
        <v/>
      </c>
      <c r="T132">
        <f>IF(AND($B132&lt;&gt;"",$C132&lt;&gt;"Target state",$C132&lt;&gt;"Exception",$D132="Medium",$E132="High"),$A132&amp;"  "&amp;$B132,"")</f>
        <v/>
      </c>
      <c r="U132">
        <f>IF(AND($B132&lt;&gt;"",$C132&lt;&gt;"Target state",$C132&lt;&gt;"Exception",$D132="Low",$E132="Low"),$A132&amp;"  "&amp;$B132,"")</f>
        <v/>
      </c>
      <c r="V132">
        <f>IF(AND($B132&lt;&gt;"",$C132&lt;&gt;"Target state",$C132&lt;&gt;"Exception",$D132="Low",$E132="Medium"),$A132&amp;"  "&amp;$B132,"")</f>
        <v/>
      </c>
      <c r="W132">
        <f>IF(AND($B132&lt;&gt;"",$C132&lt;&gt;"Target state",$C132&lt;&gt;"Exception",$D132="Low",$E132="High"),$A132&amp;"  "&amp;$B132,"")</f>
        <v/>
      </c>
    </row>
    <row r="133" ht="20" customHeight="1">
      <c r="A133" s="29" t="inlineStr">
        <is>
          <t>⑤</t>
        </is>
      </c>
      <c r="B133" s="30" t="n"/>
      <c r="C133" s="31" t="n"/>
      <c r="D133" s="31" t="n"/>
      <c r="E133" s="31" t="n"/>
      <c r="F133" s="32" t="n"/>
      <c r="G133" s="33">
        <f>IF(OR($B133="",$D133="",$E133=""),"",IF(OR($C133="Target state",$C133="Exception"),"Out of scope",IF($D133="Low","No tranche",IF($E133="Low","Tranche 1",IF($E133="Medium","Tranche 2",IF($D133="High","Tranche 3","No tranche"))))))</f>
        <v/>
      </c>
      <c r="K133" s="39" t="n"/>
      <c r="L133" s="39" t="n"/>
      <c r="M133" s="39" t="n"/>
      <c r="O133">
        <f>IF(AND($B133&lt;&gt;"",$C133&lt;&gt;"Target state",$C133&lt;&gt;"Exception",$D133="High",$E133="Low"),$A133&amp;"  "&amp;$B133,"")</f>
        <v/>
      </c>
      <c r="P133">
        <f>IF(AND($B133&lt;&gt;"",$C133&lt;&gt;"Target state",$C133&lt;&gt;"Exception",$D133="High",$E133="Medium"),$A133&amp;"  "&amp;$B133,"")</f>
        <v/>
      </c>
      <c r="Q133">
        <f>IF(AND($B133&lt;&gt;"",$C133&lt;&gt;"Target state",$C133&lt;&gt;"Exception",$D133="High",$E133="High"),$A133&amp;"  "&amp;$B133,"")</f>
        <v/>
      </c>
      <c r="R133">
        <f>IF(AND($B133&lt;&gt;"",$C133&lt;&gt;"Target state",$C133&lt;&gt;"Exception",$D133="Medium",$E133="Low"),$A133&amp;"  "&amp;$B133,"")</f>
        <v/>
      </c>
      <c r="S133">
        <f>IF(AND($B133&lt;&gt;"",$C133&lt;&gt;"Target state",$C133&lt;&gt;"Exception",$D133="Medium",$E133="Medium"),$A133&amp;"  "&amp;$B133,"")</f>
        <v/>
      </c>
      <c r="T133">
        <f>IF(AND($B133&lt;&gt;"",$C133&lt;&gt;"Target state",$C133&lt;&gt;"Exception",$D133="Medium",$E133="High"),$A133&amp;"  "&amp;$B133,"")</f>
        <v/>
      </c>
      <c r="U133">
        <f>IF(AND($B133&lt;&gt;"",$C133&lt;&gt;"Target state",$C133&lt;&gt;"Exception",$D133="Low",$E133="Low"),$A133&amp;"  "&amp;$B133,"")</f>
        <v/>
      </c>
      <c r="V133">
        <f>IF(AND($B133&lt;&gt;"",$C133&lt;&gt;"Target state",$C133&lt;&gt;"Exception",$D133="Low",$E133="Medium"),$A133&amp;"  "&amp;$B133,"")</f>
        <v/>
      </c>
      <c r="W133">
        <f>IF(AND($B133&lt;&gt;"",$C133&lt;&gt;"Target state",$C133&lt;&gt;"Exception",$D133="Low",$E133="High"),$A133&amp;"  "&amp;$B133,"")</f>
        <v/>
      </c>
    </row>
    <row r="134" ht="20" customHeight="1">
      <c r="A134" s="29" t="inlineStr">
        <is>
          <t>⑥</t>
        </is>
      </c>
      <c r="B134" s="30" t="n"/>
      <c r="C134" s="31" t="n"/>
      <c r="D134" s="31" t="n"/>
      <c r="E134" s="31" t="n"/>
      <c r="F134" s="32" t="n"/>
      <c r="G134" s="33">
        <f>IF(OR($B134="",$D134="",$E134=""),"",IF(OR($C134="Target state",$C134="Exception"),"Out of scope",IF($D134="Low","No tranche",IF($E134="Low","Tranche 1",IF($E134="Medium","Tranche 2",IF($D134="High","Tranche 3","No tranche"))))))</f>
        <v/>
      </c>
      <c r="K134" s="40" t="n"/>
      <c r="L134" s="40" t="n"/>
      <c r="M134" s="40" t="n"/>
      <c r="O134">
        <f>IF(AND($B134&lt;&gt;"",$C134&lt;&gt;"Target state",$C134&lt;&gt;"Exception",$D134="High",$E134="Low"),$A134&amp;"  "&amp;$B134,"")</f>
        <v/>
      </c>
      <c r="P134">
        <f>IF(AND($B134&lt;&gt;"",$C134&lt;&gt;"Target state",$C134&lt;&gt;"Exception",$D134="High",$E134="Medium"),$A134&amp;"  "&amp;$B134,"")</f>
        <v/>
      </c>
      <c r="Q134">
        <f>IF(AND($B134&lt;&gt;"",$C134&lt;&gt;"Target state",$C134&lt;&gt;"Exception",$D134="High",$E134="High"),$A134&amp;"  "&amp;$B134,"")</f>
        <v/>
      </c>
      <c r="R134">
        <f>IF(AND($B134&lt;&gt;"",$C134&lt;&gt;"Target state",$C134&lt;&gt;"Exception",$D134="Medium",$E134="Low"),$A134&amp;"  "&amp;$B134,"")</f>
        <v/>
      </c>
      <c r="S134">
        <f>IF(AND($B134&lt;&gt;"",$C134&lt;&gt;"Target state",$C134&lt;&gt;"Exception",$D134="Medium",$E134="Medium"),$A134&amp;"  "&amp;$B134,"")</f>
        <v/>
      </c>
      <c r="T134">
        <f>IF(AND($B134&lt;&gt;"",$C134&lt;&gt;"Target state",$C134&lt;&gt;"Exception",$D134="Medium",$E134="High"),$A134&amp;"  "&amp;$B134,"")</f>
        <v/>
      </c>
      <c r="U134">
        <f>IF(AND($B134&lt;&gt;"",$C134&lt;&gt;"Target state",$C134&lt;&gt;"Exception",$D134="Low",$E134="Low"),$A134&amp;"  "&amp;$B134,"")</f>
        <v/>
      </c>
      <c r="V134">
        <f>IF(AND($B134&lt;&gt;"",$C134&lt;&gt;"Target state",$C134&lt;&gt;"Exception",$D134="Low",$E134="Medium"),$A134&amp;"  "&amp;$B134,"")</f>
        <v/>
      </c>
      <c r="W134">
        <f>IF(AND($B134&lt;&gt;"",$C134&lt;&gt;"Target state",$C134&lt;&gt;"Exception",$D134="Low",$E134="High"),$A134&amp;"  "&amp;$B134,"")</f>
        <v/>
      </c>
    </row>
    <row r="135" ht="20" customHeight="1">
      <c r="A135" s="29" t="inlineStr">
        <is>
          <t>⑦</t>
        </is>
      </c>
      <c r="B135" s="30" t="n"/>
      <c r="C135" s="31" t="n"/>
      <c r="D135" s="31" t="n"/>
      <c r="E135" s="31" t="n"/>
      <c r="F135" s="32" t="n"/>
      <c r="G135" s="33">
        <f>IF(OR($B135="",$D135="",$E135=""),"",IF(OR($C135="Target state",$C135="Exception"),"Out of scope",IF($D135="Low","No tranche",IF($E135="Low","Tranche 1",IF($E135="Medium","Tranche 2",IF($D135="High","Tranche 3","No tranche"))))))</f>
        <v/>
      </c>
      <c r="J135" s="35" t="inlineStr">
        <is>
          <t>Low</t>
        </is>
      </c>
      <c r="K135" s="41">
        <f>_xlfn.TEXTJOIN(CHAR(10),TRUE,U$129:U$138)</f>
        <v/>
      </c>
      <c r="L135" s="41">
        <f>_xlfn.TEXTJOIN(CHAR(10),TRUE,V$129:V$138)</f>
        <v/>
      </c>
      <c r="M135" s="41">
        <f>_xlfn.TEXTJOIN(CHAR(10),TRUE,W$129:W$138)</f>
        <v/>
      </c>
      <c r="O135">
        <f>IF(AND($B135&lt;&gt;"",$C135&lt;&gt;"Target state",$C135&lt;&gt;"Exception",$D135="High",$E135="Low"),$A135&amp;"  "&amp;$B135,"")</f>
        <v/>
      </c>
      <c r="P135">
        <f>IF(AND($B135&lt;&gt;"",$C135&lt;&gt;"Target state",$C135&lt;&gt;"Exception",$D135="High",$E135="Medium"),$A135&amp;"  "&amp;$B135,"")</f>
        <v/>
      </c>
      <c r="Q135">
        <f>IF(AND($B135&lt;&gt;"",$C135&lt;&gt;"Target state",$C135&lt;&gt;"Exception",$D135="High",$E135="High"),$A135&amp;"  "&amp;$B135,"")</f>
        <v/>
      </c>
      <c r="R135">
        <f>IF(AND($B135&lt;&gt;"",$C135&lt;&gt;"Target state",$C135&lt;&gt;"Exception",$D135="Medium",$E135="Low"),$A135&amp;"  "&amp;$B135,"")</f>
        <v/>
      </c>
      <c r="S135">
        <f>IF(AND($B135&lt;&gt;"",$C135&lt;&gt;"Target state",$C135&lt;&gt;"Exception",$D135="Medium",$E135="Medium"),$A135&amp;"  "&amp;$B135,"")</f>
        <v/>
      </c>
      <c r="T135">
        <f>IF(AND($B135&lt;&gt;"",$C135&lt;&gt;"Target state",$C135&lt;&gt;"Exception",$D135="Medium",$E135="High"),$A135&amp;"  "&amp;$B135,"")</f>
        <v/>
      </c>
      <c r="U135">
        <f>IF(AND($B135&lt;&gt;"",$C135&lt;&gt;"Target state",$C135&lt;&gt;"Exception",$D135="Low",$E135="Low"),$A135&amp;"  "&amp;$B135,"")</f>
        <v/>
      </c>
      <c r="V135">
        <f>IF(AND($B135&lt;&gt;"",$C135&lt;&gt;"Target state",$C135&lt;&gt;"Exception",$D135="Low",$E135="Medium"),$A135&amp;"  "&amp;$B135,"")</f>
        <v/>
      </c>
      <c r="W135">
        <f>IF(AND($B135&lt;&gt;"",$C135&lt;&gt;"Target state",$C135&lt;&gt;"Exception",$D135="Low",$E135="High"),$A135&amp;"  "&amp;$B135,"")</f>
        <v/>
      </c>
    </row>
    <row r="136" ht="20" customHeight="1">
      <c r="A136" s="29" t="inlineStr">
        <is>
          <t>⑧</t>
        </is>
      </c>
      <c r="B136" s="30" t="n"/>
      <c r="C136" s="31" t="n"/>
      <c r="D136" s="31" t="n"/>
      <c r="E136" s="31" t="n"/>
      <c r="F136" s="32" t="n"/>
      <c r="G136" s="33">
        <f>IF(OR($B136="",$D136="",$E136=""),"",IF(OR($C136="Target state",$C136="Exception"),"Out of scope",IF($D136="Low","No tranche",IF($E136="Low","Tranche 1",IF($E136="Medium","Tranche 2",IF($D136="High","Tranche 3","No tranche"))))))</f>
        <v/>
      </c>
      <c r="K136" s="39" t="n"/>
      <c r="L136" s="39" t="n"/>
      <c r="M136" s="39" t="n"/>
      <c r="O136">
        <f>IF(AND($B136&lt;&gt;"",$C136&lt;&gt;"Target state",$C136&lt;&gt;"Exception",$D136="High",$E136="Low"),$A136&amp;"  "&amp;$B136,"")</f>
        <v/>
      </c>
      <c r="P136">
        <f>IF(AND($B136&lt;&gt;"",$C136&lt;&gt;"Target state",$C136&lt;&gt;"Exception",$D136="High",$E136="Medium"),$A136&amp;"  "&amp;$B136,"")</f>
        <v/>
      </c>
      <c r="Q136">
        <f>IF(AND($B136&lt;&gt;"",$C136&lt;&gt;"Target state",$C136&lt;&gt;"Exception",$D136="High",$E136="High"),$A136&amp;"  "&amp;$B136,"")</f>
        <v/>
      </c>
      <c r="R136">
        <f>IF(AND($B136&lt;&gt;"",$C136&lt;&gt;"Target state",$C136&lt;&gt;"Exception",$D136="Medium",$E136="Low"),$A136&amp;"  "&amp;$B136,"")</f>
        <v/>
      </c>
      <c r="S136">
        <f>IF(AND($B136&lt;&gt;"",$C136&lt;&gt;"Target state",$C136&lt;&gt;"Exception",$D136="Medium",$E136="Medium"),$A136&amp;"  "&amp;$B136,"")</f>
        <v/>
      </c>
      <c r="T136">
        <f>IF(AND($B136&lt;&gt;"",$C136&lt;&gt;"Target state",$C136&lt;&gt;"Exception",$D136="Medium",$E136="High"),$A136&amp;"  "&amp;$B136,"")</f>
        <v/>
      </c>
      <c r="U136">
        <f>IF(AND($B136&lt;&gt;"",$C136&lt;&gt;"Target state",$C136&lt;&gt;"Exception",$D136="Low",$E136="Low"),$A136&amp;"  "&amp;$B136,"")</f>
        <v/>
      </c>
      <c r="V136">
        <f>IF(AND($B136&lt;&gt;"",$C136&lt;&gt;"Target state",$C136&lt;&gt;"Exception",$D136="Low",$E136="Medium"),$A136&amp;"  "&amp;$B136,"")</f>
        <v/>
      </c>
      <c r="W136">
        <f>IF(AND($B136&lt;&gt;"",$C136&lt;&gt;"Target state",$C136&lt;&gt;"Exception",$D136="Low",$E136="High"),$A136&amp;"  "&amp;$B136,"")</f>
        <v/>
      </c>
    </row>
    <row r="137" ht="20" customHeight="1">
      <c r="A137" s="29" t="inlineStr">
        <is>
          <t>⑨</t>
        </is>
      </c>
      <c r="B137" s="30" t="n"/>
      <c r="C137" s="31" t="n"/>
      <c r="D137" s="31" t="n"/>
      <c r="E137" s="31" t="n"/>
      <c r="F137" s="32" t="n"/>
      <c r="G137" s="33">
        <f>IF(OR($B137="",$D137="",$E137=""),"",IF(OR($C137="Target state",$C137="Exception"),"Out of scope",IF($D137="Low","No tranche",IF($E137="Low","Tranche 1",IF($E137="Medium","Tranche 2",IF($D137="High","Tranche 3","No tranche"))))))</f>
        <v/>
      </c>
      <c r="K137" s="40" t="n"/>
      <c r="L137" s="40" t="n"/>
      <c r="M137" s="40" t="n"/>
      <c r="O137">
        <f>IF(AND($B137&lt;&gt;"",$C137&lt;&gt;"Target state",$C137&lt;&gt;"Exception",$D137="High",$E137="Low"),$A137&amp;"  "&amp;$B137,"")</f>
        <v/>
      </c>
      <c r="P137">
        <f>IF(AND($B137&lt;&gt;"",$C137&lt;&gt;"Target state",$C137&lt;&gt;"Exception",$D137="High",$E137="Medium"),$A137&amp;"  "&amp;$B137,"")</f>
        <v/>
      </c>
      <c r="Q137">
        <f>IF(AND($B137&lt;&gt;"",$C137&lt;&gt;"Target state",$C137&lt;&gt;"Exception",$D137="High",$E137="High"),$A137&amp;"  "&amp;$B137,"")</f>
        <v/>
      </c>
      <c r="R137">
        <f>IF(AND($B137&lt;&gt;"",$C137&lt;&gt;"Target state",$C137&lt;&gt;"Exception",$D137="Medium",$E137="Low"),$A137&amp;"  "&amp;$B137,"")</f>
        <v/>
      </c>
      <c r="S137">
        <f>IF(AND($B137&lt;&gt;"",$C137&lt;&gt;"Target state",$C137&lt;&gt;"Exception",$D137="Medium",$E137="Medium"),$A137&amp;"  "&amp;$B137,"")</f>
        <v/>
      </c>
      <c r="T137">
        <f>IF(AND($B137&lt;&gt;"",$C137&lt;&gt;"Target state",$C137&lt;&gt;"Exception",$D137="Medium",$E137="High"),$A137&amp;"  "&amp;$B137,"")</f>
        <v/>
      </c>
      <c r="U137">
        <f>IF(AND($B137&lt;&gt;"",$C137&lt;&gt;"Target state",$C137&lt;&gt;"Exception",$D137="Low",$E137="Low"),$A137&amp;"  "&amp;$B137,"")</f>
        <v/>
      </c>
      <c r="V137">
        <f>IF(AND($B137&lt;&gt;"",$C137&lt;&gt;"Target state",$C137&lt;&gt;"Exception",$D137="Low",$E137="Medium"),$A137&amp;"  "&amp;$B137,"")</f>
        <v/>
      </c>
      <c r="W137">
        <f>IF(AND($B137&lt;&gt;"",$C137&lt;&gt;"Target state",$C137&lt;&gt;"Exception",$D137="Low",$E137="High"),$A137&amp;"  "&amp;$B137,"")</f>
        <v/>
      </c>
    </row>
    <row r="138" ht="20" customHeight="1">
      <c r="A138" s="29" t="inlineStr">
        <is>
          <t>⑩</t>
        </is>
      </c>
      <c r="B138" s="30" t="n"/>
      <c r="C138" s="31" t="n"/>
      <c r="D138" s="31" t="n"/>
      <c r="E138" s="31" t="n"/>
      <c r="F138" s="32" t="n"/>
      <c r="G138" s="33">
        <f>IF(OR($B138="",$D138="",$E138=""),"",IF(OR($C138="Target state",$C138="Exception"),"Out of scope",IF($D138="Low","No tranche",IF($E138="Low","Tranche 1",IF($E138="Medium","Tranche 2",IF($D138="High","Tranche 3","No tranche"))))))</f>
        <v/>
      </c>
      <c r="K138" s="35" t="inlineStr">
        <is>
          <t>Complexity</t>
        </is>
      </c>
      <c r="O138">
        <f>IF(AND($B138&lt;&gt;"",$C138&lt;&gt;"Target state",$C138&lt;&gt;"Exception",$D138="High",$E138="Low"),$A138&amp;"  "&amp;$B138,"")</f>
        <v/>
      </c>
      <c r="P138">
        <f>IF(AND($B138&lt;&gt;"",$C138&lt;&gt;"Target state",$C138&lt;&gt;"Exception",$D138="High",$E138="Medium"),$A138&amp;"  "&amp;$B138,"")</f>
        <v/>
      </c>
      <c r="Q138">
        <f>IF(AND($B138&lt;&gt;"",$C138&lt;&gt;"Target state",$C138&lt;&gt;"Exception",$D138="High",$E138="High"),$A138&amp;"  "&amp;$B138,"")</f>
        <v/>
      </c>
      <c r="R138">
        <f>IF(AND($B138&lt;&gt;"",$C138&lt;&gt;"Target state",$C138&lt;&gt;"Exception",$D138="Medium",$E138="Low"),$A138&amp;"  "&amp;$B138,"")</f>
        <v/>
      </c>
      <c r="S138">
        <f>IF(AND($B138&lt;&gt;"",$C138&lt;&gt;"Target state",$C138&lt;&gt;"Exception",$D138="Medium",$E138="Medium"),$A138&amp;"  "&amp;$B138,"")</f>
        <v/>
      </c>
      <c r="T138">
        <f>IF(AND($B138&lt;&gt;"",$C138&lt;&gt;"Target state",$C138&lt;&gt;"Exception",$D138="Medium",$E138="High"),$A138&amp;"  "&amp;$B138,"")</f>
        <v/>
      </c>
      <c r="U138">
        <f>IF(AND($B138&lt;&gt;"",$C138&lt;&gt;"Target state",$C138&lt;&gt;"Exception",$D138="Low",$E138="Low"),$A138&amp;"  "&amp;$B138,"")</f>
        <v/>
      </c>
      <c r="V138">
        <f>IF(AND($B138&lt;&gt;"",$C138&lt;&gt;"Target state",$C138&lt;&gt;"Exception",$D138="Low",$E138="Medium"),$A138&amp;"  "&amp;$B138,"")</f>
        <v/>
      </c>
      <c r="W138">
        <f>IF(AND($B138&lt;&gt;"",$C138&lt;&gt;"Target state",$C138&lt;&gt;"Exception",$D138="Low",$E138="High"),$A138&amp;"  "&amp;$B138,"")</f>
        <v/>
      </c>
    </row>
  </sheetData>
  <mergeCells count="145">
    <mergeCell ref="J101:J103"/>
    <mergeCell ref="K48:K50"/>
    <mergeCell ref="L115:L117"/>
    <mergeCell ref="K40:M40"/>
    <mergeCell ref="M104:M106"/>
    <mergeCell ref="L76:L78"/>
    <mergeCell ref="L34:L36"/>
    <mergeCell ref="K96:M96"/>
    <mergeCell ref="L135:L137"/>
    <mergeCell ref="M23:M25"/>
    <mergeCell ref="K121:K123"/>
    <mergeCell ref="K71:M71"/>
    <mergeCell ref="L101:L103"/>
    <mergeCell ref="J135:J137"/>
    <mergeCell ref="A29:F29"/>
    <mergeCell ref="K82:M82"/>
    <mergeCell ref="M20:M22"/>
    <mergeCell ref="K57:M57"/>
    <mergeCell ref="L48:L50"/>
    <mergeCell ref="K124:M124"/>
    <mergeCell ref="K76:K78"/>
    <mergeCell ref="A15:F15"/>
    <mergeCell ref="K68:M68"/>
    <mergeCell ref="K59:K61"/>
    <mergeCell ref="M132:M134"/>
    <mergeCell ref="L118:L120"/>
    <mergeCell ref="K110:M110"/>
    <mergeCell ref="I129:I137"/>
    <mergeCell ref="J104:J106"/>
    <mergeCell ref="L129:L131"/>
    <mergeCell ref="L104:L106"/>
    <mergeCell ref="K29:M29"/>
    <mergeCell ref="J79:J81"/>
    <mergeCell ref="L79:L81"/>
    <mergeCell ref="M45:M47"/>
    <mergeCell ref="A99:F99"/>
    <mergeCell ref="J118:J120"/>
    <mergeCell ref="J90:J92"/>
    <mergeCell ref="J121:J123"/>
    <mergeCell ref="I115:I123"/>
    <mergeCell ref="L90:L92"/>
    <mergeCell ref="K23:K25"/>
    <mergeCell ref="K37:K39"/>
    <mergeCell ref="L65:L67"/>
    <mergeCell ref="A85:F85"/>
    <mergeCell ref="K87:K89"/>
    <mergeCell ref="K65:K67"/>
    <mergeCell ref="M87:M89"/>
    <mergeCell ref="M121:M123"/>
    <mergeCell ref="L107:L109"/>
    <mergeCell ref="A4:C4"/>
    <mergeCell ref="K129:K131"/>
    <mergeCell ref="M129:M131"/>
    <mergeCell ref="I31:I39"/>
    <mergeCell ref="K51:K53"/>
    <mergeCell ref="J34:J36"/>
    <mergeCell ref="M73:M75"/>
    <mergeCell ref="M51:M53"/>
    <mergeCell ref="M107:M109"/>
    <mergeCell ref="A127:F127"/>
    <mergeCell ref="J37:J39"/>
    <mergeCell ref="L93:L95"/>
    <mergeCell ref="L37:L39"/>
    <mergeCell ref="K113:M113"/>
    <mergeCell ref="K115:K117"/>
    <mergeCell ref="J20:J22"/>
    <mergeCell ref="L23:L25"/>
    <mergeCell ref="K138:M138"/>
    <mergeCell ref="K85:M85"/>
    <mergeCell ref="K99:M99"/>
    <mergeCell ref="K101:K103"/>
    <mergeCell ref="J62:J64"/>
    <mergeCell ref="K17:K19"/>
    <mergeCell ref="M101:M103"/>
    <mergeCell ref="M17:M19"/>
    <mergeCell ref="K132:K134"/>
    <mergeCell ref="A71:F71"/>
    <mergeCell ref="M135:M137"/>
    <mergeCell ref="K62:K64"/>
    <mergeCell ref="M62:M64"/>
    <mergeCell ref="I17:I25"/>
    <mergeCell ref="J48:J50"/>
    <mergeCell ref="J76:J78"/>
    <mergeCell ref="K118:K120"/>
    <mergeCell ref="J17:J19"/>
    <mergeCell ref="J73:J75"/>
    <mergeCell ref="L17:L19"/>
    <mergeCell ref="M48:M50"/>
    <mergeCell ref="K104:K106"/>
    <mergeCell ref="K127:M127"/>
    <mergeCell ref="I59:I67"/>
    <mergeCell ref="J59:J61"/>
    <mergeCell ref="K79:K81"/>
    <mergeCell ref="K15:M15"/>
    <mergeCell ref="L121:L123"/>
    <mergeCell ref="K90:K92"/>
    <mergeCell ref="K26:M26"/>
    <mergeCell ref="M90:M92"/>
    <mergeCell ref="I45:I53"/>
    <mergeCell ref="I101:I109"/>
    <mergeCell ref="J45:J47"/>
    <mergeCell ref="L132:L134"/>
    <mergeCell ref="L45:L47"/>
    <mergeCell ref="L59:L61"/>
    <mergeCell ref="L20:L22"/>
    <mergeCell ref="I87:I95"/>
    <mergeCell ref="K73:K75"/>
    <mergeCell ref="K107:K109"/>
    <mergeCell ref="K43:M43"/>
    <mergeCell ref="M76:M78"/>
    <mergeCell ref="J115:J117"/>
    <mergeCell ref="J31:J33"/>
    <mergeCell ref="L31:L33"/>
    <mergeCell ref="A57:F57"/>
    <mergeCell ref="A113:F113"/>
    <mergeCell ref="J129:J131"/>
    <mergeCell ref="J51:J53"/>
    <mergeCell ref="M118:M120"/>
    <mergeCell ref="K34:K36"/>
    <mergeCell ref="I73:I81"/>
    <mergeCell ref="K93:K95"/>
    <mergeCell ref="M115:M117"/>
    <mergeCell ref="M93:M95"/>
    <mergeCell ref="J23:J25"/>
    <mergeCell ref="M59:M61"/>
    <mergeCell ref="A43:F43"/>
    <mergeCell ref="M34:M36"/>
    <mergeCell ref="K45:K47"/>
    <mergeCell ref="J87:J89"/>
    <mergeCell ref="M79:M81"/>
    <mergeCell ref="J65:J67"/>
    <mergeCell ref="K20:K22"/>
    <mergeCell ref="L87:L89"/>
    <mergeCell ref="L62:L64"/>
    <mergeCell ref="J93:J95"/>
    <mergeCell ref="J107:J109"/>
    <mergeCell ref="K135:K137"/>
    <mergeCell ref="K31:K33"/>
    <mergeCell ref="M31:M33"/>
    <mergeCell ref="K54:M54"/>
    <mergeCell ref="M65:M67"/>
    <mergeCell ref="L73:L75"/>
    <mergeCell ref="L51:L53"/>
    <mergeCell ref="J132:J134"/>
    <mergeCell ref="M37:M39"/>
  </mergeCells>
  <conditionalFormatting sqref="A17:G26">
    <cfRule type="expression" priority="1" dxfId="0">
      <formula>OR($C17="Target state",$C17="Exception")</formula>
    </cfRule>
  </conditionalFormatting>
  <conditionalFormatting sqref="A31:G40">
    <cfRule type="expression" priority="2" dxfId="0">
      <formula>OR($C31="Target state",$C31="Exception")</formula>
    </cfRule>
  </conditionalFormatting>
  <conditionalFormatting sqref="A45:G54">
    <cfRule type="expression" priority="3" dxfId="0">
      <formula>OR($C45="Target state",$C45="Exception")</formula>
    </cfRule>
  </conditionalFormatting>
  <conditionalFormatting sqref="A59:G68">
    <cfRule type="expression" priority="4" dxfId="0">
      <formula>OR($C59="Target state",$C59="Exception")</formula>
    </cfRule>
  </conditionalFormatting>
  <conditionalFormatting sqref="A73:G82">
    <cfRule type="expression" priority="5" dxfId="0">
      <formula>OR($C73="Target state",$C73="Exception")</formula>
    </cfRule>
  </conditionalFormatting>
  <conditionalFormatting sqref="A87:G96">
    <cfRule type="expression" priority="6" dxfId="0">
      <formula>OR($C87="Target state",$C87="Exception")</formula>
    </cfRule>
  </conditionalFormatting>
  <conditionalFormatting sqref="A101:G110">
    <cfRule type="expression" priority="7" dxfId="0">
      <formula>OR($C101="Target state",$C101="Exception")</formula>
    </cfRule>
  </conditionalFormatting>
  <conditionalFormatting sqref="A115:G124">
    <cfRule type="expression" priority="8" dxfId="0">
      <formula>OR($C115="Target state",$C115="Exception")</formula>
    </cfRule>
  </conditionalFormatting>
  <conditionalFormatting sqref="A129:G138">
    <cfRule type="expression" priority="9" dxfId="0">
      <formula>OR($C129="Target state",$C129="Exception")</formula>
    </cfRule>
  </conditionalFormatting>
  <dataValidations count="2">
    <dataValidation sqref="C17:C26 C31:C40 C45:C54 C59:C68 C73:C82 C87:C96 C101:C110 C115:C124 C129:C138" showDropDown="0" showInputMessage="0" showErrorMessage="0" allowBlank="1" type="list">
      <formula1>"Target state,Non-target state,Exception"</formula1>
    </dataValidation>
    <dataValidation sqref="D17:E26 D31:E40 D45:E54 D59:E68 D73:E82 D87:E96 D101:E110 D115:E124 D129:E138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50"/>
    <outlinePr summaryBelow="1" summaryRight="1"/>
    <pageSetUpPr/>
  </sheetPr>
  <dimension ref="A1:W1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7" customWidth="1" min="3" max="3"/>
    <col width="16" customWidth="1" min="4" max="4"/>
    <col width="15" customWidth="1" min="5" max="5"/>
    <col width="44" customWidth="1" min="6" max="6"/>
    <col width="14" customWidth="1" min="7" max="7"/>
    <col width="2" customWidth="1" min="8" max="8"/>
    <col width="4" customWidth="1" min="9" max="9"/>
    <col width="9" customWidth="1" min="10" max="10"/>
    <col width="26" customWidth="1" min="11" max="11"/>
    <col width="26" customWidth="1" min="12" max="12"/>
    <col width="26" customWidth="1" min="13" max="13"/>
    <col width="2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</cols>
  <sheetData>
    <row r="1">
      <c r="A1" s="19" t="inlineStr">
        <is>
          <t>Unified Data and AI — Platform Assessment</t>
        </is>
      </c>
    </row>
    <row r="2">
      <c r="A2" s="20">
        <f>HYPERLINK("#'Summary'!A1","← Back to Summary")</f>
        <v/>
      </c>
      <c r="C2" s="21" t="inlineStr">
        <is>
          <t>Pick a State, score High / Medium / Low — the tranche, the matrix and the Summary update automatically.</t>
        </is>
      </c>
    </row>
    <row r="4">
      <c r="A4" s="22" t="inlineStr">
        <is>
          <t>Tracker — jump to a sub-capability:</t>
        </is>
      </c>
    </row>
    <row r="5">
      <c r="A5" s="23" t="inlineStr">
        <is>
          <t>1.</t>
        </is>
      </c>
      <c r="B5" s="20">
        <f>HYPERLINK("#'Unified Data and AI'!A7","Overall")</f>
        <v/>
      </c>
    </row>
    <row r="7" ht="22" customHeight="1">
      <c r="A7" s="24" t="inlineStr">
        <is>
          <t>Overall</t>
        </is>
      </c>
      <c r="G7" s="25">
        <f>HYPERLINK("#'Unified Data and AI'!A4","▲ tracker")</f>
        <v/>
      </c>
      <c r="K7" s="26" t="inlineStr">
        <is>
          <t>Assessment Outcome</t>
        </is>
      </c>
    </row>
    <row r="8" ht="18" customHeight="1">
      <c r="A8" s="27" t="inlineStr">
        <is>
          <t>#</t>
        </is>
      </c>
      <c r="B8" s="27" t="inlineStr">
        <is>
          <t>Platform</t>
        </is>
      </c>
      <c r="C8" s="27" t="inlineStr">
        <is>
          <t>State</t>
        </is>
      </c>
      <c r="D8" s="27" t="inlineStr">
        <is>
          <t>Imperative to exit</t>
        </is>
      </c>
      <c r="E8" s="27" t="inlineStr">
        <is>
          <t>Exit complexity</t>
        </is>
      </c>
      <c r="F8" s="27" t="inlineStr">
        <is>
          <t>Supporting facts</t>
        </is>
      </c>
      <c r="G8" s="27" t="inlineStr">
        <is>
          <t>Tranche (auto)</t>
        </is>
      </c>
      <c r="K8" s="28" t="inlineStr">
        <is>
          <t>Low</t>
        </is>
      </c>
      <c r="L8" s="28" t="inlineStr">
        <is>
          <t>Medium</t>
        </is>
      </c>
      <c r="M8" s="28" t="inlineStr">
        <is>
          <t>High</t>
        </is>
      </c>
    </row>
    <row r="9" ht="20" customHeight="1">
      <c r="A9" s="29" t="inlineStr">
        <is>
          <t>①</t>
        </is>
      </c>
      <c r="B9" s="30" t="n"/>
      <c r="C9" s="31" t="n"/>
      <c r="D9" s="31" t="n"/>
      <c r="E9" s="31" t="n"/>
      <c r="F9" s="32" t="n"/>
      <c r="G9" s="33">
        <f>IF(OR($B9="",$D9="",$E9=""),"",IF(OR($C9="Target state",$C9="Exception"),"Out of scope",IF($D9="Low","No tranche",IF($E9="Low","Tranche 1",IF($E9="Medium","Tranche 2",IF($D9="High","Tranche 3","No tranche"))))))</f>
        <v/>
      </c>
      <c r="I9" s="34" t="inlineStr">
        <is>
          <t>Benefits</t>
        </is>
      </c>
      <c r="J9" s="35" t="inlineStr">
        <is>
          <t>High</t>
        </is>
      </c>
      <c r="K9" s="36">
        <f>"Tranche 1"&amp;CHAR(10)&amp;_xlfn.TEXTJOIN(CHAR(10),TRUE,O$9:O$18)</f>
        <v/>
      </c>
      <c r="L9" s="37">
        <f>"Tranche 2"&amp;CHAR(10)&amp;_xlfn.TEXTJOIN(CHAR(10),TRUE,P$9:P$18)</f>
        <v/>
      </c>
      <c r="M9" s="38">
        <f>"Tranche 3"&amp;CHAR(10)&amp;_xlfn.TEXTJOIN(CHAR(10),TRUE,Q$9:Q$18)</f>
        <v/>
      </c>
      <c r="O9">
        <f>IF(AND($B9&lt;&gt;"",$C9&lt;&gt;"Target state",$C9&lt;&gt;"Exception",$D9="High",$E9="Low"),$A9&amp;"  "&amp;$B9,"")</f>
        <v/>
      </c>
      <c r="P9">
        <f>IF(AND($B9&lt;&gt;"",$C9&lt;&gt;"Target state",$C9&lt;&gt;"Exception",$D9="High",$E9="Medium"),$A9&amp;"  "&amp;$B9,"")</f>
        <v/>
      </c>
      <c r="Q9">
        <f>IF(AND($B9&lt;&gt;"",$C9&lt;&gt;"Target state",$C9&lt;&gt;"Exception",$D9="High",$E9="High"),$A9&amp;"  "&amp;$B9,"")</f>
        <v/>
      </c>
      <c r="R9">
        <f>IF(AND($B9&lt;&gt;"",$C9&lt;&gt;"Target state",$C9&lt;&gt;"Exception",$D9="Medium",$E9="Low"),$A9&amp;"  "&amp;$B9,"")</f>
        <v/>
      </c>
      <c r="S9">
        <f>IF(AND($B9&lt;&gt;"",$C9&lt;&gt;"Target state",$C9&lt;&gt;"Exception",$D9="Medium",$E9="Medium"),$A9&amp;"  "&amp;$B9,"")</f>
        <v/>
      </c>
      <c r="T9">
        <f>IF(AND($B9&lt;&gt;"",$C9&lt;&gt;"Target state",$C9&lt;&gt;"Exception",$D9="Medium",$E9="High"),$A9&amp;"  "&amp;$B9,"")</f>
        <v/>
      </c>
      <c r="U9">
        <f>IF(AND($B9&lt;&gt;"",$C9&lt;&gt;"Target state",$C9&lt;&gt;"Exception",$D9="Low",$E9="Low"),$A9&amp;"  "&amp;$B9,"")</f>
        <v/>
      </c>
      <c r="V9">
        <f>IF(AND($B9&lt;&gt;"",$C9&lt;&gt;"Target state",$C9&lt;&gt;"Exception",$D9="Low",$E9="Medium"),$A9&amp;"  "&amp;$B9,"")</f>
        <v/>
      </c>
      <c r="W9">
        <f>IF(AND($B9&lt;&gt;"",$C9&lt;&gt;"Target state",$C9&lt;&gt;"Exception",$D9="Low",$E9="High"),$A9&amp;"  "&amp;$B9,"")</f>
        <v/>
      </c>
    </row>
    <row r="10" ht="20" customHeight="1">
      <c r="A10" s="29" t="inlineStr">
        <is>
          <t>②</t>
        </is>
      </c>
      <c r="B10" s="30" t="n"/>
      <c r="C10" s="31" t="n"/>
      <c r="D10" s="31" t="n"/>
      <c r="E10" s="31" t="n"/>
      <c r="F10" s="32" t="n"/>
      <c r="G10" s="33">
        <f>IF(OR($B10="",$D10="",$E10=""),"",IF(OR($C10="Target state",$C10="Exception"),"Out of scope",IF($D10="Low","No tranche",IF($E10="Low","Tranche 1",IF($E10="Medium","Tranche 2",IF($D10="High","Tranche 3","No tranche"))))))</f>
        <v/>
      </c>
      <c r="K10" s="39" t="n"/>
      <c r="L10" s="39" t="n"/>
      <c r="M10" s="39" t="n"/>
      <c r="O10">
        <f>IF(AND($B10&lt;&gt;"",$C10&lt;&gt;"Target state",$C10&lt;&gt;"Exception",$D10="High",$E10="Low"),$A10&amp;"  "&amp;$B10,"")</f>
        <v/>
      </c>
      <c r="P10">
        <f>IF(AND($B10&lt;&gt;"",$C10&lt;&gt;"Target state",$C10&lt;&gt;"Exception",$D10="High",$E10="Medium"),$A10&amp;"  "&amp;$B10,"")</f>
        <v/>
      </c>
      <c r="Q10">
        <f>IF(AND($B10&lt;&gt;"",$C10&lt;&gt;"Target state",$C10&lt;&gt;"Exception",$D10="High",$E10="High"),$A10&amp;"  "&amp;$B10,"")</f>
        <v/>
      </c>
      <c r="R10">
        <f>IF(AND($B10&lt;&gt;"",$C10&lt;&gt;"Target state",$C10&lt;&gt;"Exception",$D10="Medium",$E10="Low"),$A10&amp;"  "&amp;$B10,"")</f>
        <v/>
      </c>
      <c r="S10">
        <f>IF(AND($B10&lt;&gt;"",$C10&lt;&gt;"Target state",$C10&lt;&gt;"Exception",$D10="Medium",$E10="Medium"),$A10&amp;"  "&amp;$B10,"")</f>
        <v/>
      </c>
      <c r="T10">
        <f>IF(AND($B10&lt;&gt;"",$C10&lt;&gt;"Target state",$C10&lt;&gt;"Exception",$D10="Medium",$E10="High"),$A10&amp;"  "&amp;$B10,"")</f>
        <v/>
      </c>
      <c r="U10">
        <f>IF(AND($B10&lt;&gt;"",$C10&lt;&gt;"Target state",$C10&lt;&gt;"Exception",$D10="Low",$E10="Low"),$A10&amp;"  "&amp;$B10,"")</f>
        <v/>
      </c>
      <c r="V10">
        <f>IF(AND($B10&lt;&gt;"",$C10&lt;&gt;"Target state",$C10&lt;&gt;"Exception",$D10="Low",$E10="Medium"),$A10&amp;"  "&amp;$B10,"")</f>
        <v/>
      </c>
      <c r="W10">
        <f>IF(AND($B10&lt;&gt;"",$C10&lt;&gt;"Target state",$C10&lt;&gt;"Exception",$D10="Low",$E10="High"),$A10&amp;"  "&amp;$B10,"")</f>
        <v/>
      </c>
    </row>
    <row r="11" ht="20" customHeight="1">
      <c r="A11" s="29" t="inlineStr">
        <is>
          <t>③</t>
        </is>
      </c>
      <c r="B11" s="30" t="n"/>
      <c r="C11" s="31" t="n"/>
      <c r="D11" s="31" t="n"/>
      <c r="E11" s="31" t="n"/>
      <c r="F11" s="32" t="n"/>
      <c r="G11" s="33">
        <f>IF(OR($B11="",$D11="",$E11=""),"",IF(OR($C11="Target state",$C11="Exception"),"Out of scope",IF($D11="Low","No tranche",IF($E11="Low","Tranche 1",IF($E11="Medium","Tranche 2",IF($D11="High","Tranche 3","No tranche"))))))</f>
        <v/>
      </c>
      <c r="K11" s="40" t="n"/>
      <c r="L11" s="40" t="n"/>
      <c r="M11" s="40" t="n"/>
      <c r="O11">
        <f>IF(AND($B11&lt;&gt;"",$C11&lt;&gt;"Target state",$C11&lt;&gt;"Exception",$D11="High",$E11="Low"),$A11&amp;"  "&amp;$B11,"")</f>
        <v/>
      </c>
      <c r="P11">
        <f>IF(AND($B11&lt;&gt;"",$C11&lt;&gt;"Target state",$C11&lt;&gt;"Exception",$D11="High",$E11="Medium"),$A11&amp;"  "&amp;$B11,"")</f>
        <v/>
      </c>
      <c r="Q11">
        <f>IF(AND($B11&lt;&gt;"",$C11&lt;&gt;"Target state",$C11&lt;&gt;"Exception",$D11="High",$E11="High"),$A11&amp;"  "&amp;$B11,"")</f>
        <v/>
      </c>
      <c r="R11">
        <f>IF(AND($B11&lt;&gt;"",$C11&lt;&gt;"Target state",$C11&lt;&gt;"Exception",$D11="Medium",$E11="Low"),$A11&amp;"  "&amp;$B11,"")</f>
        <v/>
      </c>
      <c r="S11">
        <f>IF(AND($B11&lt;&gt;"",$C11&lt;&gt;"Target state",$C11&lt;&gt;"Exception",$D11="Medium",$E11="Medium"),$A11&amp;"  "&amp;$B11,"")</f>
        <v/>
      </c>
      <c r="T11">
        <f>IF(AND($B11&lt;&gt;"",$C11&lt;&gt;"Target state",$C11&lt;&gt;"Exception",$D11="Medium",$E11="High"),$A11&amp;"  "&amp;$B11,"")</f>
        <v/>
      </c>
      <c r="U11">
        <f>IF(AND($B11&lt;&gt;"",$C11&lt;&gt;"Target state",$C11&lt;&gt;"Exception",$D11="Low",$E11="Low"),$A11&amp;"  "&amp;$B11,"")</f>
        <v/>
      </c>
      <c r="V11">
        <f>IF(AND($B11&lt;&gt;"",$C11&lt;&gt;"Target state",$C11&lt;&gt;"Exception",$D11="Low",$E11="Medium"),$A11&amp;"  "&amp;$B11,"")</f>
        <v/>
      </c>
      <c r="W11">
        <f>IF(AND($B11&lt;&gt;"",$C11&lt;&gt;"Target state",$C11&lt;&gt;"Exception",$D11="Low",$E11="High"),$A11&amp;"  "&amp;$B11,"")</f>
        <v/>
      </c>
    </row>
    <row r="12" ht="20" customHeight="1">
      <c r="A12" s="29" t="inlineStr">
        <is>
          <t>④</t>
        </is>
      </c>
      <c r="B12" s="30" t="n"/>
      <c r="C12" s="31" t="n"/>
      <c r="D12" s="31" t="n"/>
      <c r="E12" s="31" t="n"/>
      <c r="F12" s="32" t="n"/>
      <c r="G12" s="33">
        <f>IF(OR($B12="",$D12="",$E12=""),"",IF(OR($C12="Target state",$C12="Exception"),"Out of scope",IF($D12="Low","No tranche",IF($E12="Low","Tranche 1",IF($E12="Medium","Tranche 2",IF($D12="High","Tranche 3","No tranche"))))))</f>
        <v/>
      </c>
      <c r="J12" s="35" t="inlineStr">
        <is>
          <t>Medium</t>
        </is>
      </c>
      <c r="K12" s="36">
        <f>"Tranche 1"&amp;CHAR(10)&amp;_xlfn.TEXTJOIN(CHAR(10),TRUE,R$9:R$18)</f>
        <v/>
      </c>
      <c r="L12" s="37">
        <f>"Tranche 2"&amp;CHAR(10)&amp;_xlfn.TEXTJOIN(CHAR(10),TRUE,S$9:S$18)</f>
        <v/>
      </c>
      <c r="M12" s="41">
        <f>_xlfn.TEXTJOIN(CHAR(10),TRUE,T$9:T$18)</f>
        <v/>
      </c>
      <c r="O12">
        <f>IF(AND($B12&lt;&gt;"",$C12&lt;&gt;"Target state",$C12&lt;&gt;"Exception",$D12="High",$E12="Low"),$A12&amp;"  "&amp;$B12,"")</f>
        <v/>
      </c>
      <c r="P12">
        <f>IF(AND($B12&lt;&gt;"",$C12&lt;&gt;"Target state",$C12&lt;&gt;"Exception",$D12="High",$E12="Medium"),$A12&amp;"  "&amp;$B12,"")</f>
        <v/>
      </c>
      <c r="Q12">
        <f>IF(AND($B12&lt;&gt;"",$C12&lt;&gt;"Target state",$C12&lt;&gt;"Exception",$D12="High",$E12="High"),$A12&amp;"  "&amp;$B12,"")</f>
        <v/>
      </c>
      <c r="R12">
        <f>IF(AND($B12&lt;&gt;"",$C12&lt;&gt;"Target state",$C12&lt;&gt;"Exception",$D12="Medium",$E12="Low"),$A12&amp;"  "&amp;$B12,"")</f>
        <v/>
      </c>
      <c r="S12">
        <f>IF(AND($B12&lt;&gt;"",$C12&lt;&gt;"Target state",$C12&lt;&gt;"Exception",$D12="Medium",$E12="Medium"),$A12&amp;"  "&amp;$B12,"")</f>
        <v/>
      </c>
      <c r="T12">
        <f>IF(AND($B12&lt;&gt;"",$C12&lt;&gt;"Target state",$C12&lt;&gt;"Exception",$D12="Medium",$E12="High"),$A12&amp;"  "&amp;$B12,"")</f>
        <v/>
      </c>
      <c r="U12">
        <f>IF(AND($B12&lt;&gt;"",$C12&lt;&gt;"Target state",$C12&lt;&gt;"Exception",$D12="Low",$E12="Low"),$A12&amp;"  "&amp;$B12,"")</f>
        <v/>
      </c>
      <c r="V12">
        <f>IF(AND($B12&lt;&gt;"",$C12&lt;&gt;"Target state",$C12&lt;&gt;"Exception",$D12="Low",$E12="Medium"),$A12&amp;"  "&amp;$B12,"")</f>
        <v/>
      </c>
      <c r="W12">
        <f>IF(AND($B12&lt;&gt;"",$C12&lt;&gt;"Target state",$C12&lt;&gt;"Exception",$D12="Low",$E12="High"),$A12&amp;"  "&amp;$B12,"")</f>
        <v/>
      </c>
    </row>
    <row r="13" ht="20" customHeight="1">
      <c r="A13" s="29" t="inlineStr">
        <is>
          <t>⑤</t>
        </is>
      </c>
      <c r="B13" s="30" t="n"/>
      <c r="C13" s="31" t="n"/>
      <c r="D13" s="31" t="n"/>
      <c r="E13" s="31" t="n"/>
      <c r="F13" s="32" t="n"/>
      <c r="G13" s="33">
        <f>IF(OR($B13="",$D13="",$E13=""),"",IF(OR($C13="Target state",$C13="Exception"),"Out of scope",IF($D13="Low","No tranche",IF($E13="Low","Tranche 1",IF($E13="Medium","Tranche 2",IF($D13="High","Tranche 3","No tranche"))))))</f>
        <v/>
      </c>
      <c r="K13" s="39" t="n"/>
      <c r="L13" s="39" t="n"/>
      <c r="M13" s="39" t="n"/>
      <c r="O13">
        <f>IF(AND($B13&lt;&gt;"",$C13&lt;&gt;"Target state",$C13&lt;&gt;"Exception",$D13="High",$E13="Low"),$A13&amp;"  "&amp;$B13,"")</f>
        <v/>
      </c>
      <c r="P13">
        <f>IF(AND($B13&lt;&gt;"",$C13&lt;&gt;"Target state",$C13&lt;&gt;"Exception",$D13="High",$E13="Medium"),$A13&amp;"  "&amp;$B13,"")</f>
        <v/>
      </c>
      <c r="Q13">
        <f>IF(AND($B13&lt;&gt;"",$C13&lt;&gt;"Target state",$C13&lt;&gt;"Exception",$D13="High",$E13="High"),$A13&amp;"  "&amp;$B13,"")</f>
        <v/>
      </c>
      <c r="R13">
        <f>IF(AND($B13&lt;&gt;"",$C13&lt;&gt;"Target state",$C13&lt;&gt;"Exception",$D13="Medium",$E13="Low"),$A13&amp;"  "&amp;$B13,"")</f>
        <v/>
      </c>
      <c r="S13">
        <f>IF(AND($B13&lt;&gt;"",$C13&lt;&gt;"Target state",$C13&lt;&gt;"Exception",$D13="Medium",$E13="Medium"),$A13&amp;"  "&amp;$B13,"")</f>
        <v/>
      </c>
      <c r="T13">
        <f>IF(AND($B13&lt;&gt;"",$C13&lt;&gt;"Target state",$C13&lt;&gt;"Exception",$D13="Medium",$E13="High"),$A13&amp;"  "&amp;$B13,"")</f>
        <v/>
      </c>
      <c r="U13">
        <f>IF(AND($B13&lt;&gt;"",$C13&lt;&gt;"Target state",$C13&lt;&gt;"Exception",$D13="Low",$E13="Low"),$A13&amp;"  "&amp;$B13,"")</f>
        <v/>
      </c>
      <c r="V13">
        <f>IF(AND($B13&lt;&gt;"",$C13&lt;&gt;"Target state",$C13&lt;&gt;"Exception",$D13="Low",$E13="Medium"),$A13&amp;"  "&amp;$B13,"")</f>
        <v/>
      </c>
      <c r="W13">
        <f>IF(AND($B13&lt;&gt;"",$C13&lt;&gt;"Target state",$C13&lt;&gt;"Exception",$D13="Low",$E13="High"),$A13&amp;"  "&amp;$B13,"")</f>
        <v/>
      </c>
    </row>
    <row r="14" ht="20" customHeight="1">
      <c r="A14" s="29" t="inlineStr">
        <is>
          <t>⑥</t>
        </is>
      </c>
      <c r="B14" s="30" t="n"/>
      <c r="C14" s="31" t="n"/>
      <c r="D14" s="31" t="n"/>
      <c r="E14" s="31" t="n"/>
      <c r="F14" s="32" t="n"/>
      <c r="G14" s="33">
        <f>IF(OR($B14="",$D14="",$E14=""),"",IF(OR($C14="Target state",$C14="Exception"),"Out of scope",IF($D14="Low","No tranche",IF($E14="Low","Tranche 1",IF($E14="Medium","Tranche 2",IF($D14="High","Tranche 3","No tranche"))))))</f>
        <v/>
      </c>
      <c r="K14" s="40" t="n"/>
      <c r="L14" s="40" t="n"/>
      <c r="M14" s="40" t="n"/>
      <c r="O14">
        <f>IF(AND($B14&lt;&gt;"",$C14&lt;&gt;"Target state",$C14&lt;&gt;"Exception",$D14="High",$E14="Low"),$A14&amp;"  "&amp;$B14,"")</f>
        <v/>
      </c>
      <c r="P14">
        <f>IF(AND($B14&lt;&gt;"",$C14&lt;&gt;"Target state",$C14&lt;&gt;"Exception",$D14="High",$E14="Medium"),$A14&amp;"  "&amp;$B14,"")</f>
        <v/>
      </c>
      <c r="Q14">
        <f>IF(AND($B14&lt;&gt;"",$C14&lt;&gt;"Target state",$C14&lt;&gt;"Exception",$D14="High",$E14="High"),$A14&amp;"  "&amp;$B14,"")</f>
        <v/>
      </c>
      <c r="R14">
        <f>IF(AND($B14&lt;&gt;"",$C14&lt;&gt;"Target state",$C14&lt;&gt;"Exception",$D14="Medium",$E14="Low"),$A14&amp;"  "&amp;$B14,"")</f>
        <v/>
      </c>
      <c r="S14">
        <f>IF(AND($B14&lt;&gt;"",$C14&lt;&gt;"Target state",$C14&lt;&gt;"Exception",$D14="Medium",$E14="Medium"),$A14&amp;"  "&amp;$B14,"")</f>
        <v/>
      </c>
      <c r="T14">
        <f>IF(AND($B14&lt;&gt;"",$C14&lt;&gt;"Target state",$C14&lt;&gt;"Exception",$D14="Medium",$E14="High"),$A14&amp;"  "&amp;$B14,"")</f>
        <v/>
      </c>
      <c r="U14">
        <f>IF(AND($B14&lt;&gt;"",$C14&lt;&gt;"Target state",$C14&lt;&gt;"Exception",$D14="Low",$E14="Low"),$A14&amp;"  "&amp;$B14,"")</f>
        <v/>
      </c>
      <c r="V14">
        <f>IF(AND($B14&lt;&gt;"",$C14&lt;&gt;"Target state",$C14&lt;&gt;"Exception",$D14="Low",$E14="Medium"),$A14&amp;"  "&amp;$B14,"")</f>
        <v/>
      </c>
      <c r="W14">
        <f>IF(AND($B14&lt;&gt;"",$C14&lt;&gt;"Target state",$C14&lt;&gt;"Exception",$D14="Low",$E14="High"),$A14&amp;"  "&amp;$B14,"")</f>
        <v/>
      </c>
    </row>
    <row r="15" ht="20" customHeight="1">
      <c r="A15" s="29" t="inlineStr">
        <is>
          <t>⑦</t>
        </is>
      </c>
      <c r="B15" s="30" t="n"/>
      <c r="C15" s="31" t="n"/>
      <c r="D15" s="31" t="n"/>
      <c r="E15" s="31" t="n"/>
      <c r="F15" s="32" t="n"/>
      <c r="G15" s="33">
        <f>IF(OR($B15="",$D15="",$E15=""),"",IF(OR($C15="Target state",$C15="Exception"),"Out of scope",IF($D15="Low","No tranche",IF($E15="Low","Tranche 1",IF($E15="Medium","Tranche 2",IF($D15="High","Tranche 3","No tranche"))))))</f>
        <v/>
      </c>
      <c r="J15" s="35" t="inlineStr">
        <is>
          <t>Low</t>
        </is>
      </c>
      <c r="K15" s="41">
        <f>_xlfn.TEXTJOIN(CHAR(10),TRUE,U$9:U$18)</f>
        <v/>
      </c>
      <c r="L15" s="41">
        <f>_xlfn.TEXTJOIN(CHAR(10),TRUE,V$9:V$18)</f>
        <v/>
      </c>
      <c r="M15" s="41">
        <f>_xlfn.TEXTJOIN(CHAR(10),TRUE,W$9:W$18)</f>
        <v/>
      </c>
      <c r="O15">
        <f>IF(AND($B15&lt;&gt;"",$C15&lt;&gt;"Target state",$C15&lt;&gt;"Exception",$D15="High",$E15="Low"),$A15&amp;"  "&amp;$B15,"")</f>
        <v/>
      </c>
      <c r="P15">
        <f>IF(AND($B15&lt;&gt;"",$C15&lt;&gt;"Target state",$C15&lt;&gt;"Exception",$D15="High",$E15="Medium"),$A15&amp;"  "&amp;$B15,"")</f>
        <v/>
      </c>
      <c r="Q15">
        <f>IF(AND($B15&lt;&gt;"",$C15&lt;&gt;"Target state",$C15&lt;&gt;"Exception",$D15="High",$E15="High"),$A15&amp;"  "&amp;$B15,"")</f>
        <v/>
      </c>
      <c r="R15">
        <f>IF(AND($B15&lt;&gt;"",$C15&lt;&gt;"Target state",$C15&lt;&gt;"Exception",$D15="Medium",$E15="Low"),$A15&amp;"  "&amp;$B15,"")</f>
        <v/>
      </c>
      <c r="S15">
        <f>IF(AND($B15&lt;&gt;"",$C15&lt;&gt;"Target state",$C15&lt;&gt;"Exception",$D15="Medium",$E15="Medium"),$A15&amp;"  "&amp;$B15,"")</f>
        <v/>
      </c>
      <c r="T15">
        <f>IF(AND($B15&lt;&gt;"",$C15&lt;&gt;"Target state",$C15&lt;&gt;"Exception",$D15="Medium",$E15="High"),$A15&amp;"  "&amp;$B15,"")</f>
        <v/>
      </c>
      <c r="U15">
        <f>IF(AND($B15&lt;&gt;"",$C15&lt;&gt;"Target state",$C15&lt;&gt;"Exception",$D15="Low",$E15="Low"),$A15&amp;"  "&amp;$B15,"")</f>
        <v/>
      </c>
      <c r="V15">
        <f>IF(AND($B15&lt;&gt;"",$C15&lt;&gt;"Target state",$C15&lt;&gt;"Exception",$D15="Low",$E15="Medium"),$A15&amp;"  "&amp;$B15,"")</f>
        <v/>
      </c>
      <c r="W15">
        <f>IF(AND($B15&lt;&gt;"",$C15&lt;&gt;"Target state",$C15&lt;&gt;"Exception",$D15="Low",$E15="High"),$A15&amp;"  "&amp;$B15,"")</f>
        <v/>
      </c>
    </row>
    <row r="16" ht="20" customHeight="1">
      <c r="A16" s="29" t="inlineStr">
        <is>
          <t>⑧</t>
        </is>
      </c>
      <c r="B16" s="30" t="n"/>
      <c r="C16" s="31" t="n"/>
      <c r="D16" s="31" t="n"/>
      <c r="E16" s="31" t="n"/>
      <c r="F16" s="32" t="n"/>
      <c r="G16" s="33">
        <f>IF(OR($B16="",$D16="",$E16=""),"",IF(OR($C16="Target state",$C16="Exception"),"Out of scope",IF($D16="Low","No tranche",IF($E16="Low","Tranche 1",IF($E16="Medium","Tranche 2",IF($D16="High","Tranche 3","No tranche"))))))</f>
        <v/>
      </c>
      <c r="K16" s="39" t="n"/>
      <c r="L16" s="39" t="n"/>
      <c r="M16" s="39" t="n"/>
      <c r="O16">
        <f>IF(AND($B16&lt;&gt;"",$C16&lt;&gt;"Target state",$C16&lt;&gt;"Exception",$D16="High",$E16="Low"),$A16&amp;"  "&amp;$B16,"")</f>
        <v/>
      </c>
      <c r="P16">
        <f>IF(AND($B16&lt;&gt;"",$C16&lt;&gt;"Target state",$C16&lt;&gt;"Exception",$D16="High",$E16="Medium"),$A16&amp;"  "&amp;$B16,"")</f>
        <v/>
      </c>
      <c r="Q16">
        <f>IF(AND($B16&lt;&gt;"",$C16&lt;&gt;"Target state",$C16&lt;&gt;"Exception",$D16="High",$E16="High"),$A16&amp;"  "&amp;$B16,"")</f>
        <v/>
      </c>
      <c r="R16">
        <f>IF(AND($B16&lt;&gt;"",$C16&lt;&gt;"Target state",$C16&lt;&gt;"Exception",$D16="Medium",$E16="Low"),$A16&amp;"  "&amp;$B16,"")</f>
        <v/>
      </c>
      <c r="S16">
        <f>IF(AND($B16&lt;&gt;"",$C16&lt;&gt;"Target state",$C16&lt;&gt;"Exception",$D16="Medium",$E16="Medium"),$A16&amp;"  "&amp;$B16,"")</f>
        <v/>
      </c>
      <c r="T16">
        <f>IF(AND($B16&lt;&gt;"",$C16&lt;&gt;"Target state",$C16&lt;&gt;"Exception",$D16="Medium",$E16="High"),$A16&amp;"  "&amp;$B16,"")</f>
        <v/>
      </c>
      <c r="U16">
        <f>IF(AND($B16&lt;&gt;"",$C16&lt;&gt;"Target state",$C16&lt;&gt;"Exception",$D16="Low",$E16="Low"),$A16&amp;"  "&amp;$B16,"")</f>
        <v/>
      </c>
      <c r="V16">
        <f>IF(AND($B16&lt;&gt;"",$C16&lt;&gt;"Target state",$C16&lt;&gt;"Exception",$D16="Low",$E16="Medium"),$A16&amp;"  "&amp;$B16,"")</f>
        <v/>
      </c>
      <c r="W16">
        <f>IF(AND($B16&lt;&gt;"",$C16&lt;&gt;"Target state",$C16&lt;&gt;"Exception",$D16="Low",$E16="High"),$A16&amp;"  "&amp;$B16,"")</f>
        <v/>
      </c>
    </row>
    <row r="17" ht="20" customHeight="1">
      <c r="A17" s="29" t="inlineStr">
        <is>
          <t>⑨</t>
        </is>
      </c>
      <c r="B17" s="30" t="n"/>
      <c r="C17" s="31" t="n"/>
      <c r="D17" s="31" t="n"/>
      <c r="E17" s="31" t="n"/>
      <c r="F17" s="32" t="n"/>
      <c r="G17" s="33">
        <f>IF(OR($B17="",$D17="",$E17=""),"",IF(OR($C17="Target state",$C17="Exception"),"Out of scope",IF($D17="Low","No tranche",IF($E17="Low","Tranche 1",IF($E17="Medium","Tranche 2",IF($D17="High","Tranche 3","No tranche"))))))</f>
        <v/>
      </c>
      <c r="K17" s="40" t="n"/>
      <c r="L17" s="40" t="n"/>
      <c r="M17" s="40" t="n"/>
      <c r="O17">
        <f>IF(AND($B17&lt;&gt;"",$C17&lt;&gt;"Target state",$C17&lt;&gt;"Exception",$D17="High",$E17="Low"),$A17&amp;"  "&amp;$B17,"")</f>
        <v/>
      </c>
      <c r="P17">
        <f>IF(AND($B17&lt;&gt;"",$C17&lt;&gt;"Target state",$C17&lt;&gt;"Exception",$D17="High",$E17="Medium"),$A17&amp;"  "&amp;$B17,"")</f>
        <v/>
      </c>
      <c r="Q17">
        <f>IF(AND($B17&lt;&gt;"",$C17&lt;&gt;"Target state",$C17&lt;&gt;"Exception",$D17="High",$E17="High"),$A17&amp;"  "&amp;$B17,"")</f>
        <v/>
      </c>
      <c r="R17">
        <f>IF(AND($B17&lt;&gt;"",$C17&lt;&gt;"Target state",$C17&lt;&gt;"Exception",$D17="Medium",$E17="Low"),$A17&amp;"  "&amp;$B17,"")</f>
        <v/>
      </c>
      <c r="S17">
        <f>IF(AND($B17&lt;&gt;"",$C17&lt;&gt;"Target state",$C17&lt;&gt;"Exception",$D17="Medium",$E17="Medium"),$A17&amp;"  "&amp;$B17,"")</f>
        <v/>
      </c>
      <c r="T17">
        <f>IF(AND($B17&lt;&gt;"",$C17&lt;&gt;"Target state",$C17&lt;&gt;"Exception",$D17="Medium",$E17="High"),$A17&amp;"  "&amp;$B17,"")</f>
        <v/>
      </c>
      <c r="U17">
        <f>IF(AND($B17&lt;&gt;"",$C17&lt;&gt;"Target state",$C17&lt;&gt;"Exception",$D17="Low",$E17="Low"),$A17&amp;"  "&amp;$B17,"")</f>
        <v/>
      </c>
      <c r="V17">
        <f>IF(AND($B17&lt;&gt;"",$C17&lt;&gt;"Target state",$C17&lt;&gt;"Exception",$D17="Low",$E17="Medium"),$A17&amp;"  "&amp;$B17,"")</f>
        <v/>
      </c>
      <c r="W17">
        <f>IF(AND($B17&lt;&gt;"",$C17&lt;&gt;"Target state",$C17&lt;&gt;"Exception",$D17="Low",$E17="High"),$A17&amp;"  "&amp;$B17,"")</f>
        <v/>
      </c>
    </row>
    <row r="18" ht="20" customHeight="1">
      <c r="A18" s="29" t="inlineStr">
        <is>
          <t>⑩</t>
        </is>
      </c>
      <c r="B18" s="30" t="n"/>
      <c r="C18" s="31" t="n"/>
      <c r="D18" s="31" t="n"/>
      <c r="E18" s="31" t="n"/>
      <c r="F18" s="32" t="n"/>
      <c r="G18" s="33">
        <f>IF(OR($B18="",$D18="",$E18=""),"",IF(OR($C18="Target state",$C18="Exception"),"Out of scope",IF($D18="Low","No tranche",IF($E18="Low","Tranche 1",IF($E18="Medium","Tranche 2",IF($D18="High","Tranche 3","No tranche"))))))</f>
        <v/>
      </c>
      <c r="K18" s="35" t="inlineStr">
        <is>
          <t>Complexity</t>
        </is>
      </c>
      <c r="O18">
        <f>IF(AND($B18&lt;&gt;"",$C18&lt;&gt;"Target state",$C18&lt;&gt;"Exception",$D18="High",$E18="Low"),$A18&amp;"  "&amp;$B18,"")</f>
        <v/>
      </c>
      <c r="P18">
        <f>IF(AND($B18&lt;&gt;"",$C18&lt;&gt;"Target state",$C18&lt;&gt;"Exception",$D18="High",$E18="Medium"),$A18&amp;"  "&amp;$B18,"")</f>
        <v/>
      </c>
      <c r="Q18">
        <f>IF(AND($B18&lt;&gt;"",$C18&lt;&gt;"Target state",$C18&lt;&gt;"Exception",$D18="High",$E18="High"),$A18&amp;"  "&amp;$B18,"")</f>
        <v/>
      </c>
      <c r="R18">
        <f>IF(AND($B18&lt;&gt;"",$C18&lt;&gt;"Target state",$C18&lt;&gt;"Exception",$D18="Medium",$E18="Low"),$A18&amp;"  "&amp;$B18,"")</f>
        <v/>
      </c>
      <c r="S18">
        <f>IF(AND($B18&lt;&gt;"",$C18&lt;&gt;"Target state",$C18&lt;&gt;"Exception",$D18="Medium",$E18="Medium"),$A18&amp;"  "&amp;$B18,"")</f>
        <v/>
      </c>
      <c r="T18">
        <f>IF(AND($B18&lt;&gt;"",$C18&lt;&gt;"Target state",$C18&lt;&gt;"Exception",$D18="Medium",$E18="High"),$A18&amp;"  "&amp;$B18,"")</f>
        <v/>
      </c>
      <c r="U18">
        <f>IF(AND($B18&lt;&gt;"",$C18&lt;&gt;"Target state",$C18&lt;&gt;"Exception",$D18="Low",$E18="Low"),$A18&amp;"  "&amp;$B18,"")</f>
        <v/>
      </c>
      <c r="V18">
        <f>IF(AND($B18&lt;&gt;"",$C18&lt;&gt;"Target state",$C18&lt;&gt;"Exception",$D18="Low",$E18="Medium"),$A18&amp;"  "&amp;$B18,"")</f>
        <v/>
      </c>
      <c r="W18">
        <f>IF(AND($B18&lt;&gt;"",$C18&lt;&gt;"Target state",$C18&lt;&gt;"Exception",$D18="Low",$E18="High"),$A18&amp;"  "&amp;$B18,"")</f>
        <v/>
      </c>
    </row>
  </sheetData>
  <mergeCells count="17">
    <mergeCell ref="L12:L14"/>
    <mergeCell ref="J9:J11"/>
    <mergeCell ref="J12:J14"/>
    <mergeCell ref="K9:K11"/>
    <mergeCell ref="M12:M14"/>
    <mergeCell ref="K15:K17"/>
    <mergeCell ref="I9:I17"/>
    <mergeCell ref="J15:J17"/>
    <mergeCell ref="L9:L11"/>
    <mergeCell ref="L15:L17"/>
    <mergeCell ref="K12:K14"/>
    <mergeCell ref="K18:M18"/>
    <mergeCell ref="M15:M17"/>
    <mergeCell ref="A4:C4"/>
    <mergeCell ref="K7:M7"/>
    <mergeCell ref="A7:F7"/>
    <mergeCell ref="M9:M11"/>
  </mergeCells>
  <conditionalFormatting sqref="A9:G18">
    <cfRule type="expression" priority="1" dxfId="0">
      <formula>OR($C9="Target state",$C9="Exception")</formula>
    </cfRule>
  </conditionalFormatting>
  <dataValidations count="2">
    <dataValidation sqref="C9:C18" showDropDown="0" showInputMessage="0" showErrorMessage="0" allowBlank="1" type="list">
      <formula1>"Target state,Non-target state,Exception"</formula1>
    </dataValidation>
    <dataValidation sqref="D9:E18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W9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7" customWidth="1" min="3" max="3"/>
    <col width="16" customWidth="1" min="4" max="4"/>
    <col width="15" customWidth="1" min="5" max="5"/>
    <col width="44" customWidth="1" min="6" max="6"/>
    <col width="14" customWidth="1" min="7" max="7"/>
    <col width="2" customWidth="1" min="8" max="8"/>
    <col width="4" customWidth="1" min="9" max="9"/>
    <col width="9" customWidth="1" min="10" max="10"/>
    <col width="26" customWidth="1" min="11" max="11"/>
    <col width="26" customWidth="1" min="12" max="12"/>
    <col width="26" customWidth="1" min="13" max="13"/>
    <col width="2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</cols>
  <sheetData>
    <row r="1">
      <c r="A1" s="19" t="inlineStr">
        <is>
          <t>Global Infrastructure — Platform Assessment</t>
        </is>
      </c>
    </row>
    <row r="2">
      <c r="A2" s="20">
        <f>HYPERLINK("#'Summary'!A1","← Back to Summary")</f>
        <v/>
      </c>
      <c r="C2" s="21" t="inlineStr">
        <is>
          <t>Pick a State, score High / Medium / Low — the tranche, the matrix and the Summary update automatically.</t>
        </is>
      </c>
    </row>
    <row r="4">
      <c r="A4" s="22" t="inlineStr">
        <is>
          <t>Tracker — jump to a sub-capability:</t>
        </is>
      </c>
    </row>
    <row r="5">
      <c r="A5" s="23" t="inlineStr">
        <is>
          <t>1.</t>
        </is>
      </c>
      <c r="B5" s="20">
        <f>HYPERLINK("#'Global Infrastructure'!A12","Data Centers")</f>
        <v/>
      </c>
    </row>
    <row r="6">
      <c r="A6" s="23" t="inlineStr">
        <is>
          <t>2.</t>
        </is>
      </c>
      <c r="B6" s="20">
        <f>HYPERLINK("#'Global Infrastructure'!A26","Cloud")</f>
        <v/>
      </c>
    </row>
    <row r="7">
      <c r="A7" s="23" t="inlineStr">
        <is>
          <t>3.</t>
        </is>
      </c>
      <c r="B7" s="20">
        <f>HYPERLINK("#'Global Infrastructure'!A40","Observability")</f>
        <v/>
      </c>
    </row>
    <row r="8">
      <c r="A8" s="23" t="inlineStr">
        <is>
          <t>4.</t>
        </is>
      </c>
      <c r="B8" s="20">
        <f>HYPERLINK("#'Global Infrastructure'!A54","Security")</f>
        <v/>
      </c>
    </row>
    <row r="9">
      <c r="A9" s="23" t="inlineStr">
        <is>
          <t>5.</t>
        </is>
      </c>
      <c r="B9" s="20">
        <f>HYPERLINK("#'Global Infrastructure'!A68","AI Tools")</f>
        <v/>
      </c>
    </row>
    <row r="10">
      <c r="A10" s="23" t="inlineStr">
        <is>
          <t>6.</t>
        </is>
      </c>
      <c r="B10" s="20">
        <f>HYPERLINK("#'Global Infrastructure'!A82","Design Systems")</f>
        <v/>
      </c>
    </row>
    <row r="12" ht="22" customHeight="1">
      <c r="A12" s="24" t="inlineStr">
        <is>
          <t>Data Centers</t>
        </is>
      </c>
      <c r="G12" s="25">
        <f>HYPERLINK("#'Global Infrastructure'!A4","▲ tracker")</f>
        <v/>
      </c>
      <c r="K12" s="26" t="inlineStr">
        <is>
          <t>Assessment Outcome</t>
        </is>
      </c>
    </row>
    <row r="13" ht="18" customHeight="1">
      <c r="A13" s="27" t="inlineStr">
        <is>
          <t>#</t>
        </is>
      </c>
      <c r="B13" s="27" t="inlineStr">
        <is>
          <t>Platform</t>
        </is>
      </c>
      <c r="C13" s="27" t="inlineStr">
        <is>
          <t>State</t>
        </is>
      </c>
      <c r="D13" s="27" t="inlineStr">
        <is>
          <t>Imperative to exit</t>
        </is>
      </c>
      <c r="E13" s="27" t="inlineStr">
        <is>
          <t>Exit complexity</t>
        </is>
      </c>
      <c r="F13" s="27" t="inlineStr">
        <is>
          <t>Supporting facts</t>
        </is>
      </c>
      <c r="G13" s="27" t="inlineStr">
        <is>
          <t>Tranche (auto)</t>
        </is>
      </c>
      <c r="K13" s="28" t="inlineStr">
        <is>
          <t>Low</t>
        </is>
      </c>
      <c r="L13" s="28" t="inlineStr">
        <is>
          <t>Medium</t>
        </is>
      </c>
      <c r="M13" s="28" t="inlineStr">
        <is>
          <t>High</t>
        </is>
      </c>
    </row>
    <row r="14" ht="20" customHeight="1">
      <c r="A14" s="29" t="inlineStr">
        <is>
          <t>①</t>
        </is>
      </c>
      <c r="B14" s="30" t="n"/>
      <c r="C14" s="31" t="n"/>
      <c r="D14" s="31" t="n"/>
      <c r="E14" s="31" t="n"/>
      <c r="F14" s="32" t="n"/>
      <c r="G14" s="33">
        <f>IF(OR($B14="",$D14="",$E14=""),"",IF(OR($C14="Target state",$C14="Exception"),"Out of scope",IF($D14="Low","No tranche",IF($E14="Low","Tranche 1",IF($E14="Medium","Tranche 2",IF($D14="High","Tranche 3","No tranche"))))))</f>
        <v/>
      </c>
      <c r="I14" s="34" t="inlineStr">
        <is>
          <t>Benefits</t>
        </is>
      </c>
      <c r="J14" s="35" t="inlineStr">
        <is>
          <t>High</t>
        </is>
      </c>
      <c r="K14" s="36">
        <f>"Tranche 1"&amp;CHAR(10)&amp;_xlfn.TEXTJOIN(CHAR(10),TRUE,O$14:O$23)</f>
        <v/>
      </c>
      <c r="L14" s="37">
        <f>"Tranche 2"&amp;CHAR(10)&amp;_xlfn.TEXTJOIN(CHAR(10),TRUE,P$14:P$23)</f>
        <v/>
      </c>
      <c r="M14" s="38">
        <f>"Tranche 3"&amp;CHAR(10)&amp;_xlfn.TEXTJOIN(CHAR(10),TRUE,Q$14:Q$23)</f>
        <v/>
      </c>
      <c r="O14">
        <f>IF(AND($B14&lt;&gt;"",$C14&lt;&gt;"Target state",$C14&lt;&gt;"Exception",$D14="High",$E14="Low"),$A14&amp;"  "&amp;$B14,"")</f>
        <v/>
      </c>
      <c r="P14">
        <f>IF(AND($B14&lt;&gt;"",$C14&lt;&gt;"Target state",$C14&lt;&gt;"Exception",$D14="High",$E14="Medium"),$A14&amp;"  "&amp;$B14,"")</f>
        <v/>
      </c>
      <c r="Q14">
        <f>IF(AND($B14&lt;&gt;"",$C14&lt;&gt;"Target state",$C14&lt;&gt;"Exception",$D14="High",$E14="High"),$A14&amp;"  "&amp;$B14,"")</f>
        <v/>
      </c>
      <c r="R14">
        <f>IF(AND($B14&lt;&gt;"",$C14&lt;&gt;"Target state",$C14&lt;&gt;"Exception",$D14="Medium",$E14="Low"),$A14&amp;"  "&amp;$B14,"")</f>
        <v/>
      </c>
      <c r="S14">
        <f>IF(AND($B14&lt;&gt;"",$C14&lt;&gt;"Target state",$C14&lt;&gt;"Exception",$D14="Medium",$E14="Medium"),$A14&amp;"  "&amp;$B14,"")</f>
        <v/>
      </c>
      <c r="T14">
        <f>IF(AND($B14&lt;&gt;"",$C14&lt;&gt;"Target state",$C14&lt;&gt;"Exception",$D14="Medium",$E14="High"),$A14&amp;"  "&amp;$B14,"")</f>
        <v/>
      </c>
      <c r="U14">
        <f>IF(AND($B14&lt;&gt;"",$C14&lt;&gt;"Target state",$C14&lt;&gt;"Exception",$D14="Low",$E14="Low"),$A14&amp;"  "&amp;$B14,"")</f>
        <v/>
      </c>
      <c r="V14">
        <f>IF(AND($B14&lt;&gt;"",$C14&lt;&gt;"Target state",$C14&lt;&gt;"Exception",$D14="Low",$E14="Medium"),$A14&amp;"  "&amp;$B14,"")</f>
        <v/>
      </c>
      <c r="W14">
        <f>IF(AND($B14&lt;&gt;"",$C14&lt;&gt;"Target state",$C14&lt;&gt;"Exception",$D14="Low",$E14="High"),$A14&amp;"  "&amp;$B14,"")</f>
        <v/>
      </c>
    </row>
    <row r="15" ht="20" customHeight="1">
      <c r="A15" s="29" t="inlineStr">
        <is>
          <t>②</t>
        </is>
      </c>
      <c r="B15" s="30" t="n"/>
      <c r="C15" s="31" t="n"/>
      <c r="D15" s="31" t="n"/>
      <c r="E15" s="31" t="n"/>
      <c r="F15" s="32" t="n"/>
      <c r="G15" s="33">
        <f>IF(OR($B15="",$D15="",$E15=""),"",IF(OR($C15="Target state",$C15="Exception"),"Out of scope",IF($D15="Low","No tranche",IF($E15="Low","Tranche 1",IF($E15="Medium","Tranche 2",IF($D15="High","Tranche 3","No tranche"))))))</f>
        <v/>
      </c>
      <c r="K15" s="39" t="n"/>
      <c r="L15" s="39" t="n"/>
      <c r="M15" s="39" t="n"/>
      <c r="O15">
        <f>IF(AND($B15&lt;&gt;"",$C15&lt;&gt;"Target state",$C15&lt;&gt;"Exception",$D15="High",$E15="Low"),$A15&amp;"  "&amp;$B15,"")</f>
        <v/>
      </c>
      <c r="P15">
        <f>IF(AND($B15&lt;&gt;"",$C15&lt;&gt;"Target state",$C15&lt;&gt;"Exception",$D15="High",$E15="Medium"),$A15&amp;"  "&amp;$B15,"")</f>
        <v/>
      </c>
      <c r="Q15">
        <f>IF(AND($B15&lt;&gt;"",$C15&lt;&gt;"Target state",$C15&lt;&gt;"Exception",$D15="High",$E15="High"),$A15&amp;"  "&amp;$B15,"")</f>
        <v/>
      </c>
      <c r="R15">
        <f>IF(AND($B15&lt;&gt;"",$C15&lt;&gt;"Target state",$C15&lt;&gt;"Exception",$D15="Medium",$E15="Low"),$A15&amp;"  "&amp;$B15,"")</f>
        <v/>
      </c>
      <c r="S15">
        <f>IF(AND($B15&lt;&gt;"",$C15&lt;&gt;"Target state",$C15&lt;&gt;"Exception",$D15="Medium",$E15="Medium"),$A15&amp;"  "&amp;$B15,"")</f>
        <v/>
      </c>
      <c r="T15">
        <f>IF(AND($B15&lt;&gt;"",$C15&lt;&gt;"Target state",$C15&lt;&gt;"Exception",$D15="Medium",$E15="High"),$A15&amp;"  "&amp;$B15,"")</f>
        <v/>
      </c>
      <c r="U15">
        <f>IF(AND($B15&lt;&gt;"",$C15&lt;&gt;"Target state",$C15&lt;&gt;"Exception",$D15="Low",$E15="Low"),$A15&amp;"  "&amp;$B15,"")</f>
        <v/>
      </c>
      <c r="V15">
        <f>IF(AND($B15&lt;&gt;"",$C15&lt;&gt;"Target state",$C15&lt;&gt;"Exception",$D15="Low",$E15="Medium"),$A15&amp;"  "&amp;$B15,"")</f>
        <v/>
      </c>
      <c r="W15">
        <f>IF(AND($B15&lt;&gt;"",$C15&lt;&gt;"Target state",$C15&lt;&gt;"Exception",$D15="Low",$E15="High"),$A15&amp;"  "&amp;$B15,"")</f>
        <v/>
      </c>
    </row>
    <row r="16" ht="20" customHeight="1">
      <c r="A16" s="29" t="inlineStr">
        <is>
          <t>③</t>
        </is>
      </c>
      <c r="B16" s="30" t="n"/>
      <c r="C16" s="31" t="n"/>
      <c r="D16" s="31" t="n"/>
      <c r="E16" s="31" t="n"/>
      <c r="F16" s="32" t="n"/>
      <c r="G16" s="33">
        <f>IF(OR($B16="",$D16="",$E16=""),"",IF(OR($C16="Target state",$C16="Exception"),"Out of scope",IF($D16="Low","No tranche",IF($E16="Low","Tranche 1",IF($E16="Medium","Tranche 2",IF($D16="High","Tranche 3","No tranche"))))))</f>
        <v/>
      </c>
      <c r="K16" s="40" t="n"/>
      <c r="L16" s="40" t="n"/>
      <c r="M16" s="40" t="n"/>
      <c r="O16">
        <f>IF(AND($B16&lt;&gt;"",$C16&lt;&gt;"Target state",$C16&lt;&gt;"Exception",$D16="High",$E16="Low"),$A16&amp;"  "&amp;$B16,"")</f>
        <v/>
      </c>
      <c r="P16">
        <f>IF(AND($B16&lt;&gt;"",$C16&lt;&gt;"Target state",$C16&lt;&gt;"Exception",$D16="High",$E16="Medium"),$A16&amp;"  "&amp;$B16,"")</f>
        <v/>
      </c>
      <c r="Q16">
        <f>IF(AND($B16&lt;&gt;"",$C16&lt;&gt;"Target state",$C16&lt;&gt;"Exception",$D16="High",$E16="High"),$A16&amp;"  "&amp;$B16,"")</f>
        <v/>
      </c>
      <c r="R16">
        <f>IF(AND($B16&lt;&gt;"",$C16&lt;&gt;"Target state",$C16&lt;&gt;"Exception",$D16="Medium",$E16="Low"),$A16&amp;"  "&amp;$B16,"")</f>
        <v/>
      </c>
      <c r="S16">
        <f>IF(AND($B16&lt;&gt;"",$C16&lt;&gt;"Target state",$C16&lt;&gt;"Exception",$D16="Medium",$E16="Medium"),$A16&amp;"  "&amp;$B16,"")</f>
        <v/>
      </c>
      <c r="T16">
        <f>IF(AND($B16&lt;&gt;"",$C16&lt;&gt;"Target state",$C16&lt;&gt;"Exception",$D16="Medium",$E16="High"),$A16&amp;"  "&amp;$B16,"")</f>
        <v/>
      </c>
      <c r="U16">
        <f>IF(AND($B16&lt;&gt;"",$C16&lt;&gt;"Target state",$C16&lt;&gt;"Exception",$D16="Low",$E16="Low"),$A16&amp;"  "&amp;$B16,"")</f>
        <v/>
      </c>
      <c r="V16">
        <f>IF(AND($B16&lt;&gt;"",$C16&lt;&gt;"Target state",$C16&lt;&gt;"Exception",$D16="Low",$E16="Medium"),$A16&amp;"  "&amp;$B16,"")</f>
        <v/>
      </c>
      <c r="W16">
        <f>IF(AND($B16&lt;&gt;"",$C16&lt;&gt;"Target state",$C16&lt;&gt;"Exception",$D16="Low",$E16="High"),$A16&amp;"  "&amp;$B16,"")</f>
        <v/>
      </c>
    </row>
    <row r="17" ht="20" customHeight="1">
      <c r="A17" s="29" t="inlineStr">
        <is>
          <t>④</t>
        </is>
      </c>
      <c r="B17" s="30" t="n"/>
      <c r="C17" s="31" t="n"/>
      <c r="D17" s="31" t="n"/>
      <c r="E17" s="31" t="n"/>
      <c r="F17" s="32" t="n"/>
      <c r="G17" s="33">
        <f>IF(OR($B17="",$D17="",$E17=""),"",IF(OR($C17="Target state",$C17="Exception"),"Out of scope",IF($D17="Low","No tranche",IF($E17="Low","Tranche 1",IF($E17="Medium","Tranche 2",IF($D17="High","Tranche 3","No tranche"))))))</f>
        <v/>
      </c>
      <c r="J17" s="35" t="inlineStr">
        <is>
          <t>Medium</t>
        </is>
      </c>
      <c r="K17" s="36">
        <f>"Tranche 1"&amp;CHAR(10)&amp;_xlfn.TEXTJOIN(CHAR(10),TRUE,R$14:R$23)</f>
        <v/>
      </c>
      <c r="L17" s="37">
        <f>"Tranche 2"&amp;CHAR(10)&amp;_xlfn.TEXTJOIN(CHAR(10),TRUE,S$14:S$23)</f>
        <v/>
      </c>
      <c r="M17" s="41">
        <f>_xlfn.TEXTJOIN(CHAR(10),TRUE,T$14:T$23)</f>
        <v/>
      </c>
      <c r="O17">
        <f>IF(AND($B17&lt;&gt;"",$C17&lt;&gt;"Target state",$C17&lt;&gt;"Exception",$D17="High",$E17="Low"),$A17&amp;"  "&amp;$B17,"")</f>
        <v/>
      </c>
      <c r="P17">
        <f>IF(AND($B17&lt;&gt;"",$C17&lt;&gt;"Target state",$C17&lt;&gt;"Exception",$D17="High",$E17="Medium"),$A17&amp;"  "&amp;$B17,"")</f>
        <v/>
      </c>
      <c r="Q17">
        <f>IF(AND($B17&lt;&gt;"",$C17&lt;&gt;"Target state",$C17&lt;&gt;"Exception",$D17="High",$E17="High"),$A17&amp;"  "&amp;$B17,"")</f>
        <v/>
      </c>
      <c r="R17">
        <f>IF(AND($B17&lt;&gt;"",$C17&lt;&gt;"Target state",$C17&lt;&gt;"Exception",$D17="Medium",$E17="Low"),$A17&amp;"  "&amp;$B17,"")</f>
        <v/>
      </c>
      <c r="S17">
        <f>IF(AND($B17&lt;&gt;"",$C17&lt;&gt;"Target state",$C17&lt;&gt;"Exception",$D17="Medium",$E17="Medium"),$A17&amp;"  "&amp;$B17,"")</f>
        <v/>
      </c>
      <c r="T17">
        <f>IF(AND($B17&lt;&gt;"",$C17&lt;&gt;"Target state",$C17&lt;&gt;"Exception",$D17="Medium",$E17="High"),$A17&amp;"  "&amp;$B17,"")</f>
        <v/>
      </c>
      <c r="U17">
        <f>IF(AND($B17&lt;&gt;"",$C17&lt;&gt;"Target state",$C17&lt;&gt;"Exception",$D17="Low",$E17="Low"),$A17&amp;"  "&amp;$B17,"")</f>
        <v/>
      </c>
      <c r="V17">
        <f>IF(AND($B17&lt;&gt;"",$C17&lt;&gt;"Target state",$C17&lt;&gt;"Exception",$D17="Low",$E17="Medium"),$A17&amp;"  "&amp;$B17,"")</f>
        <v/>
      </c>
      <c r="W17">
        <f>IF(AND($B17&lt;&gt;"",$C17&lt;&gt;"Target state",$C17&lt;&gt;"Exception",$D17="Low",$E17="High"),$A17&amp;"  "&amp;$B17,"")</f>
        <v/>
      </c>
    </row>
    <row r="18" ht="20" customHeight="1">
      <c r="A18" s="29" t="inlineStr">
        <is>
          <t>⑤</t>
        </is>
      </c>
      <c r="B18" s="30" t="n"/>
      <c r="C18" s="31" t="n"/>
      <c r="D18" s="31" t="n"/>
      <c r="E18" s="31" t="n"/>
      <c r="F18" s="32" t="n"/>
      <c r="G18" s="33">
        <f>IF(OR($B18="",$D18="",$E18=""),"",IF(OR($C18="Target state",$C18="Exception"),"Out of scope",IF($D18="Low","No tranche",IF($E18="Low","Tranche 1",IF($E18="Medium","Tranche 2",IF($D18="High","Tranche 3","No tranche"))))))</f>
        <v/>
      </c>
      <c r="K18" s="39" t="n"/>
      <c r="L18" s="39" t="n"/>
      <c r="M18" s="39" t="n"/>
      <c r="O18">
        <f>IF(AND($B18&lt;&gt;"",$C18&lt;&gt;"Target state",$C18&lt;&gt;"Exception",$D18="High",$E18="Low"),$A18&amp;"  "&amp;$B18,"")</f>
        <v/>
      </c>
      <c r="P18">
        <f>IF(AND($B18&lt;&gt;"",$C18&lt;&gt;"Target state",$C18&lt;&gt;"Exception",$D18="High",$E18="Medium"),$A18&amp;"  "&amp;$B18,"")</f>
        <v/>
      </c>
      <c r="Q18">
        <f>IF(AND($B18&lt;&gt;"",$C18&lt;&gt;"Target state",$C18&lt;&gt;"Exception",$D18="High",$E18="High"),$A18&amp;"  "&amp;$B18,"")</f>
        <v/>
      </c>
      <c r="R18">
        <f>IF(AND($B18&lt;&gt;"",$C18&lt;&gt;"Target state",$C18&lt;&gt;"Exception",$D18="Medium",$E18="Low"),$A18&amp;"  "&amp;$B18,"")</f>
        <v/>
      </c>
      <c r="S18">
        <f>IF(AND($B18&lt;&gt;"",$C18&lt;&gt;"Target state",$C18&lt;&gt;"Exception",$D18="Medium",$E18="Medium"),$A18&amp;"  "&amp;$B18,"")</f>
        <v/>
      </c>
      <c r="T18">
        <f>IF(AND($B18&lt;&gt;"",$C18&lt;&gt;"Target state",$C18&lt;&gt;"Exception",$D18="Medium",$E18="High"),$A18&amp;"  "&amp;$B18,"")</f>
        <v/>
      </c>
      <c r="U18">
        <f>IF(AND($B18&lt;&gt;"",$C18&lt;&gt;"Target state",$C18&lt;&gt;"Exception",$D18="Low",$E18="Low"),$A18&amp;"  "&amp;$B18,"")</f>
        <v/>
      </c>
      <c r="V18">
        <f>IF(AND($B18&lt;&gt;"",$C18&lt;&gt;"Target state",$C18&lt;&gt;"Exception",$D18="Low",$E18="Medium"),$A18&amp;"  "&amp;$B18,"")</f>
        <v/>
      </c>
      <c r="W18">
        <f>IF(AND($B18&lt;&gt;"",$C18&lt;&gt;"Target state",$C18&lt;&gt;"Exception",$D18="Low",$E18="High"),$A18&amp;"  "&amp;$B18,"")</f>
        <v/>
      </c>
    </row>
    <row r="19" ht="20" customHeight="1">
      <c r="A19" s="29" t="inlineStr">
        <is>
          <t>⑥</t>
        </is>
      </c>
      <c r="B19" s="30" t="n"/>
      <c r="C19" s="31" t="n"/>
      <c r="D19" s="31" t="n"/>
      <c r="E19" s="31" t="n"/>
      <c r="F19" s="32" t="n"/>
      <c r="G19" s="33">
        <f>IF(OR($B19="",$D19="",$E19=""),"",IF(OR($C19="Target state",$C19="Exception"),"Out of scope",IF($D19="Low","No tranche",IF($E19="Low","Tranche 1",IF($E19="Medium","Tranche 2",IF($D19="High","Tranche 3","No tranche"))))))</f>
        <v/>
      </c>
      <c r="K19" s="40" t="n"/>
      <c r="L19" s="40" t="n"/>
      <c r="M19" s="40" t="n"/>
      <c r="O19">
        <f>IF(AND($B19&lt;&gt;"",$C19&lt;&gt;"Target state",$C19&lt;&gt;"Exception",$D19="High",$E19="Low"),$A19&amp;"  "&amp;$B19,"")</f>
        <v/>
      </c>
      <c r="P19">
        <f>IF(AND($B19&lt;&gt;"",$C19&lt;&gt;"Target state",$C19&lt;&gt;"Exception",$D19="High",$E19="Medium"),$A19&amp;"  "&amp;$B19,"")</f>
        <v/>
      </c>
      <c r="Q19">
        <f>IF(AND($B19&lt;&gt;"",$C19&lt;&gt;"Target state",$C19&lt;&gt;"Exception",$D19="High",$E19="High"),$A19&amp;"  "&amp;$B19,"")</f>
        <v/>
      </c>
      <c r="R19">
        <f>IF(AND($B19&lt;&gt;"",$C19&lt;&gt;"Target state",$C19&lt;&gt;"Exception",$D19="Medium",$E19="Low"),$A19&amp;"  "&amp;$B19,"")</f>
        <v/>
      </c>
      <c r="S19">
        <f>IF(AND($B19&lt;&gt;"",$C19&lt;&gt;"Target state",$C19&lt;&gt;"Exception",$D19="Medium",$E19="Medium"),$A19&amp;"  "&amp;$B19,"")</f>
        <v/>
      </c>
      <c r="T19">
        <f>IF(AND($B19&lt;&gt;"",$C19&lt;&gt;"Target state",$C19&lt;&gt;"Exception",$D19="Medium",$E19="High"),$A19&amp;"  "&amp;$B19,"")</f>
        <v/>
      </c>
      <c r="U19">
        <f>IF(AND($B19&lt;&gt;"",$C19&lt;&gt;"Target state",$C19&lt;&gt;"Exception",$D19="Low",$E19="Low"),$A19&amp;"  "&amp;$B19,"")</f>
        <v/>
      </c>
      <c r="V19">
        <f>IF(AND($B19&lt;&gt;"",$C19&lt;&gt;"Target state",$C19&lt;&gt;"Exception",$D19="Low",$E19="Medium"),$A19&amp;"  "&amp;$B19,"")</f>
        <v/>
      </c>
      <c r="W19">
        <f>IF(AND($B19&lt;&gt;"",$C19&lt;&gt;"Target state",$C19&lt;&gt;"Exception",$D19="Low",$E19="High"),$A19&amp;"  "&amp;$B19,"")</f>
        <v/>
      </c>
    </row>
    <row r="20" ht="20" customHeight="1">
      <c r="A20" s="29" t="inlineStr">
        <is>
          <t>⑦</t>
        </is>
      </c>
      <c r="B20" s="30" t="n"/>
      <c r="C20" s="31" t="n"/>
      <c r="D20" s="31" t="n"/>
      <c r="E20" s="31" t="n"/>
      <c r="F20" s="32" t="n"/>
      <c r="G20" s="33">
        <f>IF(OR($B20="",$D20="",$E20=""),"",IF(OR($C20="Target state",$C20="Exception"),"Out of scope",IF($D20="Low","No tranche",IF($E20="Low","Tranche 1",IF($E20="Medium","Tranche 2",IF($D20="High","Tranche 3","No tranche"))))))</f>
        <v/>
      </c>
      <c r="J20" s="35" t="inlineStr">
        <is>
          <t>Low</t>
        </is>
      </c>
      <c r="K20" s="41">
        <f>_xlfn.TEXTJOIN(CHAR(10),TRUE,U$14:U$23)</f>
        <v/>
      </c>
      <c r="L20" s="41">
        <f>_xlfn.TEXTJOIN(CHAR(10),TRUE,V$14:V$23)</f>
        <v/>
      </c>
      <c r="M20" s="41">
        <f>_xlfn.TEXTJOIN(CHAR(10),TRUE,W$14:W$23)</f>
        <v/>
      </c>
      <c r="O20">
        <f>IF(AND($B20&lt;&gt;"",$C20&lt;&gt;"Target state",$C20&lt;&gt;"Exception",$D20="High",$E20="Low"),$A20&amp;"  "&amp;$B20,"")</f>
        <v/>
      </c>
      <c r="P20">
        <f>IF(AND($B20&lt;&gt;"",$C20&lt;&gt;"Target state",$C20&lt;&gt;"Exception",$D20="High",$E20="Medium"),$A20&amp;"  "&amp;$B20,"")</f>
        <v/>
      </c>
      <c r="Q20">
        <f>IF(AND($B20&lt;&gt;"",$C20&lt;&gt;"Target state",$C20&lt;&gt;"Exception",$D20="High",$E20="High"),$A20&amp;"  "&amp;$B20,"")</f>
        <v/>
      </c>
      <c r="R20">
        <f>IF(AND($B20&lt;&gt;"",$C20&lt;&gt;"Target state",$C20&lt;&gt;"Exception",$D20="Medium",$E20="Low"),$A20&amp;"  "&amp;$B20,"")</f>
        <v/>
      </c>
      <c r="S20">
        <f>IF(AND($B20&lt;&gt;"",$C20&lt;&gt;"Target state",$C20&lt;&gt;"Exception",$D20="Medium",$E20="Medium"),$A20&amp;"  "&amp;$B20,"")</f>
        <v/>
      </c>
      <c r="T20">
        <f>IF(AND($B20&lt;&gt;"",$C20&lt;&gt;"Target state",$C20&lt;&gt;"Exception",$D20="Medium",$E20="High"),$A20&amp;"  "&amp;$B20,"")</f>
        <v/>
      </c>
      <c r="U20">
        <f>IF(AND($B20&lt;&gt;"",$C20&lt;&gt;"Target state",$C20&lt;&gt;"Exception",$D20="Low",$E20="Low"),$A20&amp;"  "&amp;$B20,"")</f>
        <v/>
      </c>
      <c r="V20">
        <f>IF(AND($B20&lt;&gt;"",$C20&lt;&gt;"Target state",$C20&lt;&gt;"Exception",$D20="Low",$E20="Medium"),$A20&amp;"  "&amp;$B20,"")</f>
        <v/>
      </c>
      <c r="W20">
        <f>IF(AND($B20&lt;&gt;"",$C20&lt;&gt;"Target state",$C20&lt;&gt;"Exception",$D20="Low",$E20="High"),$A20&amp;"  "&amp;$B20,"")</f>
        <v/>
      </c>
    </row>
    <row r="21" ht="20" customHeight="1">
      <c r="A21" s="29" t="inlineStr">
        <is>
          <t>⑧</t>
        </is>
      </c>
      <c r="B21" s="30" t="n"/>
      <c r="C21" s="31" t="n"/>
      <c r="D21" s="31" t="n"/>
      <c r="E21" s="31" t="n"/>
      <c r="F21" s="32" t="n"/>
      <c r="G21" s="33">
        <f>IF(OR($B21="",$D21="",$E21=""),"",IF(OR($C21="Target state",$C21="Exception"),"Out of scope",IF($D21="Low","No tranche",IF($E21="Low","Tranche 1",IF($E21="Medium","Tranche 2",IF($D21="High","Tranche 3","No tranche"))))))</f>
        <v/>
      </c>
      <c r="K21" s="39" t="n"/>
      <c r="L21" s="39" t="n"/>
      <c r="M21" s="39" t="n"/>
      <c r="O21">
        <f>IF(AND($B21&lt;&gt;"",$C21&lt;&gt;"Target state",$C21&lt;&gt;"Exception",$D21="High",$E21="Low"),$A21&amp;"  "&amp;$B21,"")</f>
        <v/>
      </c>
      <c r="P21">
        <f>IF(AND($B21&lt;&gt;"",$C21&lt;&gt;"Target state",$C21&lt;&gt;"Exception",$D21="High",$E21="Medium"),$A21&amp;"  "&amp;$B21,"")</f>
        <v/>
      </c>
      <c r="Q21">
        <f>IF(AND($B21&lt;&gt;"",$C21&lt;&gt;"Target state",$C21&lt;&gt;"Exception",$D21="High",$E21="High"),$A21&amp;"  "&amp;$B21,"")</f>
        <v/>
      </c>
      <c r="R21">
        <f>IF(AND($B21&lt;&gt;"",$C21&lt;&gt;"Target state",$C21&lt;&gt;"Exception",$D21="Medium",$E21="Low"),$A21&amp;"  "&amp;$B21,"")</f>
        <v/>
      </c>
      <c r="S21">
        <f>IF(AND($B21&lt;&gt;"",$C21&lt;&gt;"Target state",$C21&lt;&gt;"Exception",$D21="Medium",$E21="Medium"),$A21&amp;"  "&amp;$B21,"")</f>
        <v/>
      </c>
      <c r="T21">
        <f>IF(AND($B21&lt;&gt;"",$C21&lt;&gt;"Target state",$C21&lt;&gt;"Exception",$D21="Medium",$E21="High"),$A21&amp;"  "&amp;$B21,"")</f>
        <v/>
      </c>
      <c r="U21">
        <f>IF(AND($B21&lt;&gt;"",$C21&lt;&gt;"Target state",$C21&lt;&gt;"Exception",$D21="Low",$E21="Low"),$A21&amp;"  "&amp;$B21,"")</f>
        <v/>
      </c>
      <c r="V21">
        <f>IF(AND($B21&lt;&gt;"",$C21&lt;&gt;"Target state",$C21&lt;&gt;"Exception",$D21="Low",$E21="Medium"),$A21&amp;"  "&amp;$B21,"")</f>
        <v/>
      </c>
      <c r="W21">
        <f>IF(AND($B21&lt;&gt;"",$C21&lt;&gt;"Target state",$C21&lt;&gt;"Exception",$D21="Low",$E21="High"),$A21&amp;"  "&amp;$B21,"")</f>
        <v/>
      </c>
    </row>
    <row r="22" ht="20" customHeight="1">
      <c r="A22" s="29" t="inlineStr">
        <is>
          <t>⑨</t>
        </is>
      </c>
      <c r="B22" s="30" t="n"/>
      <c r="C22" s="31" t="n"/>
      <c r="D22" s="31" t="n"/>
      <c r="E22" s="31" t="n"/>
      <c r="F22" s="32" t="n"/>
      <c r="G22" s="33">
        <f>IF(OR($B22="",$D22="",$E22=""),"",IF(OR($C22="Target state",$C22="Exception"),"Out of scope",IF($D22="Low","No tranche",IF($E22="Low","Tranche 1",IF($E22="Medium","Tranche 2",IF($D22="High","Tranche 3","No tranche"))))))</f>
        <v/>
      </c>
      <c r="K22" s="40" t="n"/>
      <c r="L22" s="40" t="n"/>
      <c r="M22" s="40" t="n"/>
      <c r="O22">
        <f>IF(AND($B22&lt;&gt;"",$C22&lt;&gt;"Target state",$C22&lt;&gt;"Exception",$D22="High",$E22="Low"),$A22&amp;"  "&amp;$B22,"")</f>
        <v/>
      </c>
      <c r="P22">
        <f>IF(AND($B22&lt;&gt;"",$C22&lt;&gt;"Target state",$C22&lt;&gt;"Exception",$D22="High",$E22="Medium"),$A22&amp;"  "&amp;$B22,"")</f>
        <v/>
      </c>
      <c r="Q22">
        <f>IF(AND($B22&lt;&gt;"",$C22&lt;&gt;"Target state",$C22&lt;&gt;"Exception",$D22="High",$E22="High"),$A22&amp;"  "&amp;$B22,"")</f>
        <v/>
      </c>
      <c r="R22">
        <f>IF(AND($B22&lt;&gt;"",$C22&lt;&gt;"Target state",$C22&lt;&gt;"Exception",$D22="Medium",$E22="Low"),$A22&amp;"  "&amp;$B22,"")</f>
        <v/>
      </c>
      <c r="S22">
        <f>IF(AND($B22&lt;&gt;"",$C22&lt;&gt;"Target state",$C22&lt;&gt;"Exception",$D22="Medium",$E22="Medium"),$A22&amp;"  "&amp;$B22,"")</f>
        <v/>
      </c>
      <c r="T22">
        <f>IF(AND($B22&lt;&gt;"",$C22&lt;&gt;"Target state",$C22&lt;&gt;"Exception",$D22="Medium",$E22="High"),$A22&amp;"  "&amp;$B22,"")</f>
        <v/>
      </c>
      <c r="U22">
        <f>IF(AND($B22&lt;&gt;"",$C22&lt;&gt;"Target state",$C22&lt;&gt;"Exception",$D22="Low",$E22="Low"),$A22&amp;"  "&amp;$B22,"")</f>
        <v/>
      </c>
      <c r="V22">
        <f>IF(AND($B22&lt;&gt;"",$C22&lt;&gt;"Target state",$C22&lt;&gt;"Exception",$D22="Low",$E22="Medium"),$A22&amp;"  "&amp;$B22,"")</f>
        <v/>
      </c>
      <c r="W22">
        <f>IF(AND($B22&lt;&gt;"",$C22&lt;&gt;"Target state",$C22&lt;&gt;"Exception",$D22="Low",$E22="High"),$A22&amp;"  "&amp;$B22,"")</f>
        <v/>
      </c>
    </row>
    <row r="23" ht="20" customHeight="1">
      <c r="A23" s="29" t="inlineStr">
        <is>
          <t>⑩</t>
        </is>
      </c>
      <c r="B23" s="30" t="n"/>
      <c r="C23" s="31" t="n"/>
      <c r="D23" s="31" t="n"/>
      <c r="E23" s="31" t="n"/>
      <c r="F23" s="32" t="n"/>
      <c r="G23" s="33">
        <f>IF(OR($B23="",$D23="",$E23=""),"",IF(OR($C23="Target state",$C23="Exception"),"Out of scope",IF($D23="Low","No tranche",IF($E23="Low","Tranche 1",IF($E23="Medium","Tranche 2",IF($D23="High","Tranche 3","No tranche"))))))</f>
        <v/>
      </c>
      <c r="K23" s="35" t="inlineStr">
        <is>
          <t>Complexity</t>
        </is>
      </c>
      <c r="O23">
        <f>IF(AND($B23&lt;&gt;"",$C23&lt;&gt;"Target state",$C23&lt;&gt;"Exception",$D23="High",$E23="Low"),$A23&amp;"  "&amp;$B23,"")</f>
        <v/>
      </c>
      <c r="P23">
        <f>IF(AND($B23&lt;&gt;"",$C23&lt;&gt;"Target state",$C23&lt;&gt;"Exception",$D23="High",$E23="Medium"),$A23&amp;"  "&amp;$B23,"")</f>
        <v/>
      </c>
      <c r="Q23">
        <f>IF(AND($B23&lt;&gt;"",$C23&lt;&gt;"Target state",$C23&lt;&gt;"Exception",$D23="High",$E23="High"),$A23&amp;"  "&amp;$B23,"")</f>
        <v/>
      </c>
      <c r="R23">
        <f>IF(AND($B23&lt;&gt;"",$C23&lt;&gt;"Target state",$C23&lt;&gt;"Exception",$D23="Medium",$E23="Low"),$A23&amp;"  "&amp;$B23,"")</f>
        <v/>
      </c>
      <c r="S23">
        <f>IF(AND($B23&lt;&gt;"",$C23&lt;&gt;"Target state",$C23&lt;&gt;"Exception",$D23="Medium",$E23="Medium"),$A23&amp;"  "&amp;$B23,"")</f>
        <v/>
      </c>
      <c r="T23">
        <f>IF(AND($B23&lt;&gt;"",$C23&lt;&gt;"Target state",$C23&lt;&gt;"Exception",$D23="Medium",$E23="High"),$A23&amp;"  "&amp;$B23,"")</f>
        <v/>
      </c>
      <c r="U23">
        <f>IF(AND($B23&lt;&gt;"",$C23&lt;&gt;"Target state",$C23&lt;&gt;"Exception",$D23="Low",$E23="Low"),$A23&amp;"  "&amp;$B23,"")</f>
        <v/>
      </c>
      <c r="V23">
        <f>IF(AND($B23&lt;&gt;"",$C23&lt;&gt;"Target state",$C23&lt;&gt;"Exception",$D23="Low",$E23="Medium"),$A23&amp;"  "&amp;$B23,"")</f>
        <v/>
      </c>
      <c r="W23">
        <f>IF(AND($B23&lt;&gt;"",$C23&lt;&gt;"Target state",$C23&lt;&gt;"Exception",$D23="Low",$E23="High"),$A23&amp;"  "&amp;$B23,"")</f>
        <v/>
      </c>
    </row>
    <row r="26" ht="22" customHeight="1">
      <c r="A26" s="24" t="inlineStr">
        <is>
          <t>Cloud</t>
        </is>
      </c>
      <c r="G26" s="25">
        <f>HYPERLINK("#'Global Infrastructure'!A4","▲ tracker")</f>
        <v/>
      </c>
      <c r="K26" s="26" t="inlineStr">
        <is>
          <t>Assessment Outcome</t>
        </is>
      </c>
    </row>
    <row r="27" ht="18" customHeight="1">
      <c r="A27" s="27" t="inlineStr">
        <is>
          <t>#</t>
        </is>
      </c>
      <c r="B27" s="27" t="inlineStr">
        <is>
          <t>Platform</t>
        </is>
      </c>
      <c r="C27" s="27" t="inlineStr">
        <is>
          <t>State</t>
        </is>
      </c>
      <c r="D27" s="27" t="inlineStr">
        <is>
          <t>Imperative to exit</t>
        </is>
      </c>
      <c r="E27" s="27" t="inlineStr">
        <is>
          <t>Exit complexity</t>
        </is>
      </c>
      <c r="F27" s="27" t="inlineStr">
        <is>
          <t>Supporting facts</t>
        </is>
      </c>
      <c r="G27" s="27" t="inlineStr">
        <is>
          <t>Tranche (auto)</t>
        </is>
      </c>
      <c r="K27" s="28" t="inlineStr">
        <is>
          <t>Low</t>
        </is>
      </c>
      <c r="L27" s="28" t="inlineStr">
        <is>
          <t>Medium</t>
        </is>
      </c>
      <c r="M27" s="28" t="inlineStr">
        <is>
          <t>High</t>
        </is>
      </c>
    </row>
    <row r="28" ht="20" customHeight="1">
      <c r="A28" s="29" t="inlineStr">
        <is>
          <t>①</t>
        </is>
      </c>
      <c r="B28" s="30" t="n"/>
      <c r="C28" s="31" t="n"/>
      <c r="D28" s="31" t="n"/>
      <c r="E28" s="31" t="n"/>
      <c r="F28" s="32" t="n"/>
      <c r="G28" s="33">
        <f>IF(OR($B28="",$D28="",$E28=""),"",IF(OR($C28="Target state",$C28="Exception"),"Out of scope",IF($D28="Low","No tranche",IF($E28="Low","Tranche 1",IF($E28="Medium","Tranche 2",IF($D28="High","Tranche 3","No tranche"))))))</f>
        <v/>
      </c>
      <c r="I28" s="34" t="inlineStr">
        <is>
          <t>Benefits</t>
        </is>
      </c>
      <c r="J28" s="35" t="inlineStr">
        <is>
          <t>High</t>
        </is>
      </c>
      <c r="K28" s="36">
        <f>"Tranche 1"&amp;CHAR(10)&amp;_xlfn.TEXTJOIN(CHAR(10),TRUE,O$28:O$37)</f>
        <v/>
      </c>
      <c r="L28" s="37">
        <f>"Tranche 2"&amp;CHAR(10)&amp;_xlfn.TEXTJOIN(CHAR(10),TRUE,P$28:P$37)</f>
        <v/>
      </c>
      <c r="M28" s="38">
        <f>"Tranche 3"&amp;CHAR(10)&amp;_xlfn.TEXTJOIN(CHAR(10),TRUE,Q$28:Q$37)</f>
        <v/>
      </c>
      <c r="O28">
        <f>IF(AND($B28&lt;&gt;"",$C28&lt;&gt;"Target state",$C28&lt;&gt;"Exception",$D28="High",$E28="Low"),$A28&amp;"  "&amp;$B28,"")</f>
        <v/>
      </c>
      <c r="P28">
        <f>IF(AND($B28&lt;&gt;"",$C28&lt;&gt;"Target state",$C28&lt;&gt;"Exception",$D28="High",$E28="Medium"),$A28&amp;"  "&amp;$B28,"")</f>
        <v/>
      </c>
      <c r="Q28">
        <f>IF(AND($B28&lt;&gt;"",$C28&lt;&gt;"Target state",$C28&lt;&gt;"Exception",$D28="High",$E28="High"),$A28&amp;"  "&amp;$B28,"")</f>
        <v/>
      </c>
      <c r="R28">
        <f>IF(AND($B28&lt;&gt;"",$C28&lt;&gt;"Target state",$C28&lt;&gt;"Exception",$D28="Medium",$E28="Low"),$A28&amp;"  "&amp;$B28,"")</f>
        <v/>
      </c>
      <c r="S28">
        <f>IF(AND($B28&lt;&gt;"",$C28&lt;&gt;"Target state",$C28&lt;&gt;"Exception",$D28="Medium",$E28="Medium"),$A28&amp;"  "&amp;$B28,"")</f>
        <v/>
      </c>
      <c r="T28">
        <f>IF(AND($B28&lt;&gt;"",$C28&lt;&gt;"Target state",$C28&lt;&gt;"Exception",$D28="Medium",$E28="High"),$A28&amp;"  "&amp;$B28,"")</f>
        <v/>
      </c>
      <c r="U28">
        <f>IF(AND($B28&lt;&gt;"",$C28&lt;&gt;"Target state",$C28&lt;&gt;"Exception",$D28="Low",$E28="Low"),$A28&amp;"  "&amp;$B28,"")</f>
        <v/>
      </c>
      <c r="V28">
        <f>IF(AND($B28&lt;&gt;"",$C28&lt;&gt;"Target state",$C28&lt;&gt;"Exception",$D28="Low",$E28="Medium"),$A28&amp;"  "&amp;$B28,"")</f>
        <v/>
      </c>
      <c r="W28">
        <f>IF(AND($B28&lt;&gt;"",$C28&lt;&gt;"Target state",$C28&lt;&gt;"Exception",$D28="Low",$E28="High"),$A28&amp;"  "&amp;$B28,"")</f>
        <v/>
      </c>
    </row>
    <row r="29" ht="20" customHeight="1">
      <c r="A29" s="29" t="inlineStr">
        <is>
          <t>②</t>
        </is>
      </c>
      <c r="B29" s="30" t="n"/>
      <c r="C29" s="31" t="n"/>
      <c r="D29" s="31" t="n"/>
      <c r="E29" s="31" t="n"/>
      <c r="F29" s="32" t="n"/>
      <c r="G29" s="33">
        <f>IF(OR($B29="",$D29="",$E29=""),"",IF(OR($C29="Target state",$C29="Exception"),"Out of scope",IF($D29="Low","No tranche",IF($E29="Low","Tranche 1",IF($E29="Medium","Tranche 2",IF($D29="High","Tranche 3","No tranche"))))))</f>
        <v/>
      </c>
      <c r="K29" s="39" t="n"/>
      <c r="L29" s="39" t="n"/>
      <c r="M29" s="39" t="n"/>
      <c r="O29">
        <f>IF(AND($B29&lt;&gt;"",$C29&lt;&gt;"Target state",$C29&lt;&gt;"Exception",$D29="High",$E29="Low"),$A29&amp;"  "&amp;$B29,"")</f>
        <v/>
      </c>
      <c r="P29">
        <f>IF(AND($B29&lt;&gt;"",$C29&lt;&gt;"Target state",$C29&lt;&gt;"Exception",$D29="High",$E29="Medium"),$A29&amp;"  "&amp;$B29,"")</f>
        <v/>
      </c>
      <c r="Q29">
        <f>IF(AND($B29&lt;&gt;"",$C29&lt;&gt;"Target state",$C29&lt;&gt;"Exception",$D29="High",$E29="High"),$A29&amp;"  "&amp;$B29,"")</f>
        <v/>
      </c>
      <c r="R29">
        <f>IF(AND($B29&lt;&gt;"",$C29&lt;&gt;"Target state",$C29&lt;&gt;"Exception",$D29="Medium",$E29="Low"),$A29&amp;"  "&amp;$B29,"")</f>
        <v/>
      </c>
      <c r="S29">
        <f>IF(AND($B29&lt;&gt;"",$C29&lt;&gt;"Target state",$C29&lt;&gt;"Exception",$D29="Medium",$E29="Medium"),$A29&amp;"  "&amp;$B29,"")</f>
        <v/>
      </c>
      <c r="T29">
        <f>IF(AND($B29&lt;&gt;"",$C29&lt;&gt;"Target state",$C29&lt;&gt;"Exception",$D29="Medium",$E29="High"),$A29&amp;"  "&amp;$B29,"")</f>
        <v/>
      </c>
      <c r="U29">
        <f>IF(AND($B29&lt;&gt;"",$C29&lt;&gt;"Target state",$C29&lt;&gt;"Exception",$D29="Low",$E29="Low"),$A29&amp;"  "&amp;$B29,"")</f>
        <v/>
      </c>
      <c r="V29">
        <f>IF(AND($B29&lt;&gt;"",$C29&lt;&gt;"Target state",$C29&lt;&gt;"Exception",$D29="Low",$E29="Medium"),$A29&amp;"  "&amp;$B29,"")</f>
        <v/>
      </c>
      <c r="W29">
        <f>IF(AND($B29&lt;&gt;"",$C29&lt;&gt;"Target state",$C29&lt;&gt;"Exception",$D29="Low",$E29="High"),$A29&amp;"  "&amp;$B29,"")</f>
        <v/>
      </c>
    </row>
    <row r="30" ht="20" customHeight="1">
      <c r="A30" s="29" t="inlineStr">
        <is>
          <t>③</t>
        </is>
      </c>
      <c r="B30" s="30" t="n"/>
      <c r="C30" s="31" t="n"/>
      <c r="D30" s="31" t="n"/>
      <c r="E30" s="31" t="n"/>
      <c r="F30" s="32" t="n"/>
      <c r="G30" s="33">
        <f>IF(OR($B30="",$D30="",$E30=""),"",IF(OR($C30="Target state",$C30="Exception"),"Out of scope",IF($D30="Low","No tranche",IF($E30="Low","Tranche 1",IF($E30="Medium","Tranche 2",IF($D30="High","Tranche 3","No tranche"))))))</f>
        <v/>
      </c>
      <c r="K30" s="40" t="n"/>
      <c r="L30" s="40" t="n"/>
      <c r="M30" s="40" t="n"/>
      <c r="O30">
        <f>IF(AND($B30&lt;&gt;"",$C30&lt;&gt;"Target state",$C30&lt;&gt;"Exception",$D30="High",$E30="Low"),$A30&amp;"  "&amp;$B30,"")</f>
        <v/>
      </c>
      <c r="P30">
        <f>IF(AND($B30&lt;&gt;"",$C30&lt;&gt;"Target state",$C30&lt;&gt;"Exception",$D30="High",$E30="Medium"),$A30&amp;"  "&amp;$B30,"")</f>
        <v/>
      </c>
      <c r="Q30">
        <f>IF(AND($B30&lt;&gt;"",$C30&lt;&gt;"Target state",$C30&lt;&gt;"Exception",$D30="High",$E30="High"),$A30&amp;"  "&amp;$B30,"")</f>
        <v/>
      </c>
      <c r="R30">
        <f>IF(AND($B30&lt;&gt;"",$C30&lt;&gt;"Target state",$C30&lt;&gt;"Exception",$D30="Medium",$E30="Low"),$A30&amp;"  "&amp;$B30,"")</f>
        <v/>
      </c>
      <c r="S30">
        <f>IF(AND($B30&lt;&gt;"",$C30&lt;&gt;"Target state",$C30&lt;&gt;"Exception",$D30="Medium",$E30="Medium"),$A30&amp;"  "&amp;$B30,"")</f>
        <v/>
      </c>
      <c r="T30">
        <f>IF(AND($B30&lt;&gt;"",$C30&lt;&gt;"Target state",$C30&lt;&gt;"Exception",$D30="Medium",$E30="High"),$A30&amp;"  "&amp;$B30,"")</f>
        <v/>
      </c>
      <c r="U30">
        <f>IF(AND($B30&lt;&gt;"",$C30&lt;&gt;"Target state",$C30&lt;&gt;"Exception",$D30="Low",$E30="Low"),$A30&amp;"  "&amp;$B30,"")</f>
        <v/>
      </c>
      <c r="V30">
        <f>IF(AND($B30&lt;&gt;"",$C30&lt;&gt;"Target state",$C30&lt;&gt;"Exception",$D30="Low",$E30="Medium"),$A30&amp;"  "&amp;$B30,"")</f>
        <v/>
      </c>
      <c r="W30">
        <f>IF(AND($B30&lt;&gt;"",$C30&lt;&gt;"Target state",$C30&lt;&gt;"Exception",$D30="Low",$E30="High"),$A30&amp;"  "&amp;$B30,"")</f>
        <v/>
      </c>
    </row>
    <row r="31" ht="20" customHeight="1">
      <c r="A31" s="29" t="inlineStr">
        <is>
          <t>④</t>
        </is>
      </c>
      <c r="B31" s="30" t="n"/>
      <c r="C31" s="31" t="n"/>
      <c r="D31" s="31" t="n"/>
      <c r="E31" s="31" t="n"/>
      <c r="F31" s="32" t="n"/>
      <c r="G31" s="33">
        <f>IF(OR($B31="",$D31="",$E31=""),"",IF(OR($C31="Target state",$C31="Exception"),"Out of scope",IF($D31="Low","No tranche",IF($E31="Low","Tranche 1",IF($E31="Medium","Tranche 2",IF($D31="High","Tranche 3","No tranche"))))))</f>
        <v/>
      </c>
      <c r="J31" s="35" t="inlineStr">
        <is>
          <t>Medium</t>
        </is>
      </c>
      <c r="K31" s="36">
        <f>"Tranche 1"&amp;CHAR(10)&amp;_xlfn.TEXTJOIN(CHAR(10),TRUE,R$28:R$37)</f>
        <v/>
      </c>
      <c r="L31" s="37">
        <f>"Tranche 2"&amp;CHAR(10)&amp;_xlfn.TEXTJOIN(CHAR(10),TRUE,S$28:S$37)</f>
        <v/>
      </c>
      <c r="M31" s="41">
        <f>_xlfn.TEXTJOIN(CHAR(10),TRUE,T$28:T$37)</f>
        <v/>
      </c>
      <c r="O31">
        <f>IF(AND($B31&lt;&gt;"",$C31&lt;&gt;"Target state",$C31&lt;&gt;"Exception",$D31="High",$E31="Low"),$A31&amp;"  "&amp;$B31,"")</f>
        <v/>
      </c>
      <c r="P31">
        <f>IF(AND($B31&lt;&gt;"",$C31&lt;&gt;"Target state",$C31&lt;&gt;"Exception",$D31="High",$E31="Medium"),$A31&amp;"  "&amp;$B31,"")</f>
        <v/>
      </c>
      <c r="Q31">
        <f>IF(AND($B31&lt;&gt;"",$C31&lt;&gt;"Target state",$C31&lt;&gt;"Exception",$D31="High",$E31="High"),$A31&amp;"  "&amp;$B31,"")</f>
        <v/>
      </c>
      <c r="R31">
        <f>IF(AND($B31&lt;&gt;"",$C31&lt;&gt;"Target state",$C31&lt;&gt;"Exception",$D31="Medium",$E31="Low"),$A31&amp;"  "&amp;$B31,"")</f>
        <v/>
      </c>
      <c r="S31">
        <f>IF(AND($B31&lt;&gt;"",$C31&lt;&gt;"Target state",$C31&lt;&gt;"Exception",$D31="Medium",$E31="Medium"),$A31&amp;"  "&amp;$B31,"")</f>
        <v/>
      </c>
      <c r="T31">
        <f>IF(AND($B31&lt;&gt;"",$C31&lt;&gt;"Target state",$C31&lt;&gt;"Exception",$D31="Medium",$E31="High"),$A31&amp;"  "&amp;$B31,"")</f>
        <v/>
      </c>
      <c r="U31">
        <f>IF(AND($B31&lt;&gt;"",$C31&lt;&gt;"Target state",$C31&lt;&gt;"Exception",$D31="Low",$E31="Low"),$A31&amp;"  "&amp;$B31,"")</f>
        <v/>
      </c>
      <c r="V31">
        <f>IF(AND($B31&lt;&gt;"",$C31&lt;&gt;"Target state",$C31&lt;&gt;"Exception",$D31="Low",$E31="Medium"),$A31&amp;"  "&amp;$B31,"")</f>
        <v/>
      </c>
      <c r="W31">
        <f>IF(AND($B31&lt;&gt;"",$C31&lt;&gt;"Target state",$C31&lt;&gt;"Exception",$D31="Low",$E31="High"),$A31&amp;"  "&amp;$B31,"")</f>
        <v/>
      </c>
    </row>
    <row r="32" ht="20" customHeight="1">
      <c r="A32" s="29" t="inlineStr">
        <is>
          <t>⑤</t>
        </is>
      </c>
      <c r="B32" s="30" t="n"/>
      <c r="C32" s="31" t="n"/>
      <c r="D32" s="31" t="n"/>
      <c r="E32" s="31" t="n"/>
      <c r="F32" s="32" t="n"/>
      <c r="G32" s="33">
        <f>IF(OR($B32="",$D32="",$E32=""),"",IF(OR($C32="Target state",$C32="Exception"),"Out of scope",IF($D32="Low","No tranche",IF($E32="Low","Tranche 1",IF($E32="Medium","Tranche 2",IF($D32="High","Tranche 3","No tranche"))))))</f>
        <v/>
      </c>
      <c r="K32" s="39" t="n"/>
      <c r="L32" s="39" t="n"/>
      <c r="M32" s="39" t="n"/>
      <c r="O32">
        <f>IF(AND($B32&lt;&gt;"",$C32&lt;&gt;"Target state",$C32&lt;&gt;"Exception",$D32="High",$E32="Low"),$A32&amp;"  "&amp;$B32,"")</f>
        <v/>
      </c>
      <c r="P32">
        <f>IF(AND($B32&lt;&gt;"",$C32&lt;&gt;"Target state",$C32&lt;&gt;"Exception",$D32="High",$E32="Medium"),$A32&amp;"  "&amp;$B32,"")</f>
        <v/>
      </c>
      <c r="Q32">
        <f>IF(AND($B32&lt;&gt;"",$C32&lt;&gt;"Target state",$C32&lt;&gt;"Exception",$D32="High",$E32="High"),$A32&amp;"  "&amp;$B32,"")</f>
        <v/>
      </c>
      <c r="R32">
        <f>IF(AND($B32&lt;&gt;"",$C32&lt;&gt;"Target state",$C32&lt;&gt;"Exception",$D32="Medium",$E32="Low"),$A32&amp;"  "&amp;$B32,"")</f>
        <v/>
      </c>
      <c r="S32">
        <f>IF(AND($B32&lt;&gt;"",$C32&lt;&gt;"Target state",$C32&lt;&gt;"Exception",$D32="Medium",$E32="Medium"),$A32&amp;"  "&amp;$B32,"")</f>
        <v/>
      </c>
      <c r="T32">
        <f>IF(AND($B32&lt;&gt;"",$C32&lt;&gt;"Target state",$C32&lt;&gt;"Exception",$D32="Medium",$E32="High"),$A32&amp;"  "&amp;$B32,"")</f>
        <v/>
      </c>
      <c r="U32">
        <f>IF(AND($B32&lt;&gt;"",$C32&lt;&gt;"Target state",$C32&lt;&gt;"Exception",$D32="Low",$E32="Low"),$A32&amp;"  "&amp;$B32,"")</f>
        <v/>
      </c>
      <c r="V32">
        <f>IF(AND($B32&lt;&gt;"",$C32&lt;&gt;"Target state",$C32&lt;&gt;"Exception",$D32="Low",$E32="Medium"),$A32&amp;"  "&amp;$B32,"")</f>
        <v/>
      </c>
      <c r="W32">
        <f>IF(AND($B32&lt;&gt;"",$C32&lt;&gt;"Target state",$C32&lt;&gt;"Exception",$D32="Low",$E32="High"),$A32&amp;"  "&amp;$B32,"")</f>
        <v/>
      </c>
    </row>
    <row r="33" ht="20" customHeight="1">
      <c r="A33" s="29" t="inlineStr">
        <is>
          <t>⑥</t>
        </is>
      </c>
      <c r="B33" s="30" t="n"/>
      <c r="C33" s="31" t="n"/>
      <c r="D33" s="31" t="n"/>
      <c r="E33" s="31" t="n"/>
      <c r="F33" s="32" t="n"/>
      <c r="G33" s="33">
        <f>IF(OR($B33="",$D33="",$E33=""),"",IF(OR($C33="Target state",$C33="Exception"),"Out of scope",IF($D33="Low","No tranche",IF($E33="Low","Tranche 1",IF($E33="Medium","Tranche 2",IF($D33="High","Tranche 3","No tranche"))))))</f>
        <v/>
      </c>
      <c r="K33" s="40" t="n"/>
      <c r="L33" s="40" t="n"/>
      <c r="M33" s="40" t="n"/>
      <c r="O33">
        <f>IF(AND($B33&lt;&gt;"",$C33&lt;&gt;"Target state",$C33&lt;&gt;"Exception",$D33="High",$E33="Low"),$A33&amp;"  "&amp;$B33,"")</f>
        <v/>
      </c>
      <c r="P33">
        <f>IF(AND($B33&lt;&gt;"",$C33&lt;&gt;"Target state",$C33&lt;&gt;"Exception",$D33="High",$E33="Medium"),$A33&amp;"  "&amp;$B33,"")</f>
        <v/>
      </c>
      <c r="Q33">
        <f>IF(AND($B33&lt;&gt;"",$C33&lt;&gt;"Target state",$C33&lt;&gt;"Exception",$D33="High",$E33="High"),$A33&amp;"  "&amp;$B33,"")</f>
        <v/>
      </c>
      <c r="R33">
        <f>IF(AND($B33&lt;&gt;"",$C33&lt;&gt;"Target state",$C33&lt;&gt;"Exception",$D33="Medium",$E33="Low"),$A33&amp;"  "&amp;$B33,"")</f>
        <v/>
      </c>
      <c r="S33">
        <f>IF(AND($B33&lt;&gt;"",$C33&lt;&gt;"Target state",$C33&lt;&gt;"Exception",$D33="Medium",$E33="Medium"),$A33&amp;"  "&amp;$B33,"")</f>
        <v/>
      </c>
      <c r="T33">
        <f>IF(AND($B33&lt;&gt;"",$C33&lt;&gt;"Target state",$C33&lt;&gt;"Exception",$D33="Medium",$E33="High"),$A33&amp;"  "&amp;$B33,"")</f>
        <v/>
      </c>
      <c r="U33">
        <f>IF(AND($B33&lt;&gt;"",$C33&lt;&gt;"Target state",$C33&lt;&gt;"Exception",$D33="Low",$E33="Low"),$A33&amp;"  "&amp;$B33,"")</f>
        <v/>
      </c>
      <c r="V33">
        <f>IF(AND($B33&lt;&gt;"",$C33&lt;&gt;"Target state",$C33&lt;&gt;"Exception",$D33="Low",$E33="Medium"),$A33&amp;"  "&amp;$B33,"")</f>
        <v/>
      </c>
      <c r="W33">
        <f>IF(AND($B33&lt;&gt;"",$C33&lt;&gt;"Target state",$C33&lt;&gt;"Exception",$D33="Low",$E33="High"),$A33&amp;"  "&amp;$B33,"")</f>
        <v/>
      </c>
    </row>
    <row r="34" ht="20" customHeight="1">
      <c r="A34" s="29" t="inlineStr">
        <is>
          <t>⑦</t>
        </is>
      </c>
      <c r="B34" s="30" t="n"/>
      <c r="C34" s="31" t="n"/>
      <c r="D34" s="31" t="n"/>
      <c r="E34" s="31" t="n"/>
      <c r="F34" s="32" t="n"/>
      <c r="G34" s="33">
        <f>IF(OR($B34="",$D34="",$E34=""),"",IF(OR($C34="Target state",$C34="Exception"),"Out of scope",IF($D34="Low","No tranche",IF($E34="Low","Tranche 1",IF($E34="Medium","Tranche 2",IF($D34="High","Tranche 3","No tranche"))))))</f>
        <v/>
      </c>
      <c r="J34" s="35" t="inlineStr">
        <is>
          <t>Low</t>
        </is>
      </c>
      <c r="K34" s="41">
        <f>_xlfn.TEXTJOIN(CHAR(10),TRUE,U$28:U$37)</f>
        <v/>
      </c>
      <c r="L34" s="41">
        <f>_xlfn.TEXTJOIN(CHAR(10),TRUE,V$28:V$37)</f>
        <v/>
      </c>
      <c r="M34" s="41">
        <f>_xlfn.TEXTJOIN(CHAR(10),TRUE,W$28:W$37)</f>
        <v/>
      </c>
      <c r="O34">
        <f>IF(AND($B34&lt;&gt;"",$C34&lt;&gt;"Target state",$C34&lt;&gt;"Exception",$D34="High",$E34="Low"),$A34&amp;"  "&amp;$B34,"")</f>
        <v/>
      </c>
      <c r="P34">
        <f>IF(AND($B34&lt;&gt;"",$C34&lt;&gt;"Target state",$C34&lt;&gt;"Exception",$D34="High",$E34="Medium"),$A34&amp;"  "&amp;$B34,"")</f>
        <v/>
      </c>
      <c r="Q34">
        <f>IF(AND($B34&lt;&gt;"",$C34&lt;&gt;"Target state",$C34&lt;&gt;"Exception",$D34="High",$E34="High"),$A34&amp;"  "&amp;$B34,"")</f>
        <v/>
      </c>
      <c r="R34">
        <f>IF(AND($B34&lt;&gt;"",$C34&lt;&gt;"Target state",$C34&lt;&gt;"Exception",$D34="Medium",$E34="Low"),$A34&amp;"  "&amp;$B34,"")</f>
        <v/>
      </c>
      <c r="S34">
        <f>IF(AND($B34&lt;&gt;"",$C34&lt;&gt;"Target state",$C34&lt;&gt;"Exception",$D34="Medium",$E34="Medium"),$A34&amp;"  "&amp;$B34,"")</f>
        <v/>
      </c>
      <c r="T34">
        <f>IF(AND($B34&lt;&gt;"",$C34&lt;&gt;"Target state",$C34&lt;&gt;"Exception",$D34="Medium",$E34="High"),$A34&amp;"  "&amp;$B34,"")</f>
        <v/>
      </c>
      <c r="U34">
        <f>IF(AND($B34&lt;&gt;"",$C34&lt;&gt;"Target state",$C34&lt;&gt;"Exception",$D34="Low",$E34="Low"),$A34&amp;"  "&amp;$B34,"")</f>
        <v/>
      </c>
      <c r="V34">
        <f>IF(AND($B34&lt;&gt;"",$C34&lt;&gt;"Target state",$C34&lt;&gt;"Exception",$D34="Low",$E34="Medium"),$A34&amp;"  "&amp;$B34,"")</f>
        <v/>
      </c>
      <c r="W34">
        <f>IF(AND($B34&lt;&gt;"",$C34&lt;&gt;"Target state",$C34&lt;&gt;"Exception",$D34="Low",$E34="High"),$A34&amp;"  "&amp;$B34,"")</f>
        <v/>
      </c>
    </row>
    <row r="35" ht="20" customHeight="1">
      <c r="A35" s="29" t="inlineStr">
        <is>
          <t>⑧</t>
        </is>
      </c>
      <c r="B35" s="30" t="n"/>
      <c r="C35" s="31" t="n"/>
      <c r="D35" s="31" t="n"/>
      <c r="E35" s="31" t="n"/>
      <c r="F35" s="32" t="n"/>
      <c r="G35" s="33">
        <f>IF(OR($B35="",$D35="",$E35=""),"",IF(OR($C35="Target state",$C35="Exception"),"Out of scope",IF($D35="Low","No tranche",IF($E35="Low","Tranche 1",IF($E35="Medium","Tranche 2",IF($D35="High","Tranche 3","No tranche"))))))</f>
        <v/>
      </c>
      <c r="K35" s="39" t="n"/>
      <c r="L35" s="39" t="n"/>
      <c r="M35" s="39" t="n"/>
      <c r="O35">
        <f>IF(AND($B35&lt;&gt;"",$C35&lt;&gt;"Target state",$C35&lt;&gt;"Exception",$D35="High",$E35="Low"),$A35&amp;"  "&amp;$B35,"")</f>
        <v/>
      </c>
      <c r="P35">
        <f>IF(AND($B35&lt;&gt;"",$C35&lt;&gt;"Target state",$C35&lt;&gt;"Exception",$D35="High",$E35="Medium"),$A35&amp;"  "&amp;$B35,"")</f>
        <v/>
      </c>
      <c r="Q35">
        <f>IF(AND($B35&lt;&gt;"",$C35&lt;&gt;"Target state",$C35&lt;&gt;"Exception",$D35="High",$E35="High"),$A35&amp;"  "&amp;$B35,"")</f>
        <v/>
      </c>
      <c r="R35">
        <f>IF(AND($B35&lt;&gt;"",$C35&lt;&gt;"Target state",$C35&lt;&gt;"Exception",$D35="Medium",$E35="Low"),$A35&amp;"  "&amp;$B35,"")</f>
        <v/>
      </c>
      <c r="S35">
        <f>IF(AND($B35&lt;&gt;"",$C35&lt;&gt;"Target state",$C35&lt;&gt;"Exception",$D35="Medium",$E35="Medium"),$A35&amp;"  "&amp;$B35,"")</f>
        <v/>
      </c>
      <c r="T35">
        <f>IF(AND($B35&lt;&gt;"",$C35&lt;&gt;"Target state",$C35&lt;&gt;"Exception",$D35="Medium",$E35="High"),$A35&amp;"  "&amp;$B35,"")</f>
        <v/>
      </c>
      <c r="U35">
        <f>IF(AND($B35&lt;&gt;"",$C35&lt;&gt;"Target state",$C35&lt;&gt;"Exception",$D35="Low",$E35="Low"),$A35&amp;"  "&amp;$B35,"")</f>
        <v/>
      </c>
      <c r="V35">
        <f>IF(AND($B35&lt;&gt;"",$C35&lt;&gt;"Target state",$C35&lt;&gt;"Exception",$D35="Low",$E35="Medium"),$A35&amp;"  "&amp;$B35,"")</f>
        <v/>
      </c>
      <c r="W35">
        <f>IF(AND($B35&lt;&gt;"",$C35&lt;&gt;"Target state",$C35&lt;&gt;"Exception",$D35="Low",$E35="High"),$A35&amp;"  "&amp;$B35,"")</f>
        <v/>
      </c>
    </row>
    <row r="36" ht="20" customHeight="1">
      <c r="A36" s="29" t="inlineStr">
        <is>
          <t>⑨</t>
        </is>
      </c>
      <c r="B36" s="30" t="n"/>
      <c r="C36" s="31" t="n"/>
      <c r="D36" s="31" t="n"/>
      <c r="E36" s="31" t="n"/>
      <c r="F36" s="32" t="n"/>
      <c r="G36" s="33">
        <f>IF(OR($B36="",$D36="",$E36=""),"",IF(OR($C36="Target state",$C36="Exception"),"Out of scope",IF($D36="Low","No tranche",IF($E36="Low","Tranche 1",IF($E36="Medium","Tranche 2",IF($D36="High","Tranche 3","No tranche"))))))</f>
        <v/>
      </c>
      <c r="K36" s="40" t="n"/>
      <c r="L36" s="40" t="n"/>
      <c r="M36" s="40" t="n"/>
      <c r="O36">
        <f>IF(AND($B36&lt;&gt;"",$C36&lt;&gt;"Target state",$C36&lt;&gt;"Exception",$D36="High",$E36="Low"),$A36&amp;"  "&amp;$B36,"")</f>
        <v/>
      </c>
      <c r="P36">
        <f>IF(AND($B36&lt;&gt;"",$C36&lt;&gt;"Target state",$C36&lt;&gt;"Exception",$D36="High",$E36="Medium"),$A36&amp;"  "&amp;$B36,"")</f>
        <v/>
      </c>
      <c r="Q36">
        <f>IF(AND($B36&lt;&gt;"",$C36&lt;&gt;"Target state",$C36&lt;&gt;"Exception",$D36="High",$E36="High"),$A36&amp;"  "&amp;$B36,"")</f>
        <v/>
      </c>
      <c r="R36">
        <f>IF(AND($B36&lt;&gt;"",$C36&lt;&gt;"Target state",$C36&lt;&gt;"Exception",$D36="Medium",$E36="Low"),$A36&amp;"  "&amp;$B36,"")</f>
        <v/>
      </c>
      <c r="S36">
        <f>IF(AND($B36&lt;&gt;"",$C36&lt;&gt;"Target state",$C36&lt;&gt;"Exception",$D36="Medium",$E36="Medium"),$A36&amp;"  "&amp;$B36,"")</f>
        <v/>
      </c>
      <c r="T36">
        <f>IF(AND($B36&lt;&gt;"",$C36&lt;&gt;"Target state",$C36&lt;&gt;"Exception",$D36="Medium",$E36="High"),$A36&amp;"  "&amp;$B36,"")</f>
        <v/>
      </c>
      <c r="U36">
        <f>IF(AND($B36&lt;&gt;"",$C36&lt;&gt;"Target state",$C36&lt;&gt;"Exception",$D36="Low",$E36="Low"),$A36&amp;"  "&amp;$B36,"")</f>
        <v/>
      </c>
      <c r="V36">
        <f>IF(AND($B36&lt;&gt;"",$C36&lt;&gt;"Target state",$C36&lt;&gt;"Exception",$D36="Low",$E36="Medium"),$A36&amp;"  "&amp;$B36,"")</f>
        <v/>
      </c>
      <c r="W36">
        <f>IF(AND($B36&lt;&gt;"",$C36&lt;&gt;"Target state",$C36&lt;&gt;"Exception",$D36="Low",$E36="High"),$A36&amp;"  "&amp;$B36,"")</f>
        <v/>
      </c>
    </row>
    <row r="37" ht="20" customHeight="1">
      <c r="A37" s="29" t="inlineStr">
        <is>
          <t>⑩</t>
        </is>
      </c>
      <c r="B37" s="30" t="n"/>
      <c r="C37" s="31" t="n"/>
      <c r="D37" s="31" t="n"/>
      <c r="E37" s="31" t="n"/>
      <c r="F37" s="32" t="n"/>
      <c r="G37" s="33">
        <f>IF(OR($B37="",$D37="",$E37=""),"",IF(OR($C37="Target state",$C37="Exception"),"Out of scope",IF($D37="Low","No tranche",IF($E37="Low","Tranche 1",IF($E37="Medium","Tranche 2",IF($D37="High","Tranche 3","No tranche"))))))</f>
        <v/>
      </c>
      <c r="K37" s="35" t="inlineStr">
        <is>
          <t>Complexity</t>
        </is>
      </c>
      <c r="O37">
        <f>IF(AND($B37&lt;&gt;"",$C37&lt;&gt;"Target state",$C37&lt;&gt;"Exception",$D37="High",$E37="Low"),$A37&amp;"  "&amp;$B37,"")</f>
        <v/>
      </c>
      <c r="P37">
        <f>IF(AND($B37&lt;&gt;"",$C37&lt;&gt;"Target state",$C37&lt;&gt;"Exception",$D37="High",$E37="Medium"),$A37&amp;"  "&amp;$B37,"")</f>
        <v/>
      </c>
      <c r="Q37">
        <f>IF(AND($B37&lt;&gt;"",$C37&lt;&gt;"Target state",$C37&lt;&gt;"Exception",$D37="High",$E37="High"),$A37&amp;"  "&amp;$B37,"")</f>
        <v/>
      </c>
      <c r="R37">
        <f>IF(AND($B37&lt;&gt;"",$C37&lt;&gt;"Target state",$C37&lt;&gt;"Exception",$D37="Medium",$E37="Low"),$A37&amp;"  "&amp;$B37,"")</f>
        <v/>
      </c>
      <c r="S37">
        <f>IF(AND($B37&lt;&gt;"",$C37&lt;&gt;"Target state",$C37&lt;&gt;"Exception",$D37="Medium",$E37="Medium"),$A37&amp;"  "&amp;$B37,"")</f>
        <v/>
      </c>
      <c r="T37">
        <f>IF(AND($B37&lt;&gt;"",$C37&lt;&gt;"Target state",$C37&lt;&gt;"Exception",$D37="Medium",$E37="High"),$A37&amp;"  "&amp;$B37,"")</f>
        <v/>
      </c>
      <c r="U37">
        <f>IF(AND($B37&lt;&gt;"",$C37&lt;&gt;"Target state",$C37&lt;&gt;"Exception",$D37="Low",$E37="Low"),$A37&amp;"  "&amp;$B37,"")</f>
        <v/>
      </c>
      <c r="V37">
        <f>IF(AND($B37&lt;&gt;"",$C37&lt;&gt;"Target state",$C37&lt;&gt;"Exception",$D37="Low",$E37="Medium"),$A37&amp;"  "&amp;$B37,"")</f>
        <v/>
      </c>
      <c r="W37">
        <f>IF(AND($B37&lt;&gt;"",$C37&lt;&gt;"Target state",$C37&lt;&gt;"Exception",$D37="Low",$E37="High"),$A37&amp;"  "&amp;$B37,"")</f>
        <v/>
      </c>
    </row>
    <row r="40" ht="22" customHeight="1">
      <c r="A40" s="24" t="inlineStr">
        <is>
          <t>Observability</t>
        </is>
      </c>
      <c r="G40" s="25">
        <f>HYPERLINK("#'Global Infrastructure'!A4","▲ tracker")</f>
        <v/>
      </c>
      <c r="K40" s="26" t="inlineStr">
        <is>
          <t>Assessment Outcome</t>
        </is>
      </c>
    </row>
    <row r="41" ht="18" customHeight="1">
      <c r="A41" s="27" t="inlineStr">
        <is>
          <t>#</t>
        </is>
      </c>
      <c r="B41" s="27" t="inlineStr">
        <is>
          <t>Platform</t>
        </is>
      </c>
      <c r="C41" s="27" t="inlineStr">
        <is>
          <t>State</t>
        </is>
      </c>
      <c r="D41" s="27" t="inlineStr">
        <is>
          <t>Imperative to exit</t>
        </is>
      </c>
      <c r="E41" s="27" t="inlineStr">
        <is>
          <t>Exit complexity</t>
        </is>
      </c>
      <c r="F41" s="27" t="inlineStr">
        <is>
          <t>Supporting facts</t>
        </is>
      </c>
      <c r="G41" s="27" t="inlineStr">
        <is>
          <t>Tranche (auto)</t>
        </is>
      </c>
      <c r="K41" s="28" t="inlineStr">
        <is>
          <t>Low</t>
        </is>
      </c>
      <c r="L41" s="28" t="inlineStr">
        <is>
          <t>Medium</t>
        </is>
      </c>
      <c r="M41" s="28" t="inlineStr">
        <is>
          <t>High</t>
        </is>
      </c>
    </row>
    <row r="42" ht="20" customHeight="1">
      <c r="A42" s="29" t="inlineStr">
        <is>
          <t>①</t>
        </is>
      </c>
      <c r="B42" s="30" t="n"/>
      <c r="C42" s="31" t="n"/>
      <c r="D42" s="31" t="n"/>
      <c r="E42" s="31" t="n"/>
      <c r="F42" s="32" t="n"/>
      <c r="G42" s="33">
        <f>IF(OR($B42="",$D42="",$E42=""),"",IF(OR($C42="Target state",$C42="Exception"),"Out of scope",IF($D42="Low","No tranche",IF($E42="Low","Tranche 1",IF($E42="Medium","Tranche 2",IF($D42="High","Tranche 3","No tranche"))))))</f>
        <v/>
      </c>
      <c r="I42" s="34" t="inlineStr">
        <is>
          <t>Benefits</t>
        </is>
      </c>
      <c r="J42" s="35" t="inlineStr">
        <is>
          <t>High</t>
        </is>
      </c>
      <c r="K42" s="36">
        <f>"Tranche 1"&amp;CHAR(10)&amp;_xlfn.TEXTJOIN(CHAR(10),TRUE,O$42:O$51)</f>
        <v/>
      </c>
      <c r="L42" s="37">
        <f>"Tranche 2"&amp;CHAR(10)&amp;_xlfn.TEXTJOIN(CHAR(10),TRUE,P$42:P$51)</f>
        <v/>
      </c>
      <c r="M42" s="38">
        <f>"Tranche 3"&amp;CHAR(10)&amp;_xlfn.TEXTJOIN(CHAR(10),TRUE,Q$42:Q$51)</f>
        <v/>
      </c>
      <c r="O42">
        <f>IF(AND($B42&lt;&gt;"",$C42&lt;&gt;"Target state",$C42&lt;&gt;"Exception",$D42="High",$E42="Low"),$A42&amp;"  "&amp;$B42,"")</f>
        <v/>
      </c>
      <c r="P42">
        <f>IF(AND($B42&lt;&gt;"",$C42&lt;&gt;"Target state",$C42&lt;&gt;"Exception",$D42="High",$E42="Medium"),$A42&amp;"  "&amp;$B42,"")</f>
        <v/>
      </c>
      <c r="Q42">
        <f>IF(AND($B42&lt;&gt;"",$C42&lt;&gt;"Target state",$C42&lt;&gt;"Exception",$D42="High",$E42="High"),$A42&amp;"  "&amp;$B42,"")</f>
        <v/>
      </c>
      <c r="R42">
        <f>IF(AND($B42&lt;&gt;"",$C42&lt;&gt;"Target state",$C42&lt;&gt;"Exception",$D42="Medium",$E42="Low"),$A42&amp;"  "&amp;$B42,"")</f>
        <v/>
      </c>
      <c r="S42">
        <f>IF(AND($B42&lt;&gt;"",$C42&lt;&gt;"Target state",$C42&lt;&gt;"Exception",$D42="Medium",$E42="Medium"),$A42&amp;"  "&amp;$B42,"")</f>
        <v/>
      </c>
      <c r="T42">
        <f>IF(AND($B42&lt;&gt;"",$C42&lt;&gt;"Target state",$C42&lt;&gt;"Exception",$D42="Medium",$E42="High"),$A42&amp;"  "&amp;$B42,"")</f>
        <v/>
      </c>
      <c r="U42">
        <f>IF(AND($B42&lt;&gt;"",$C42&lt;&gt;"Target state",$C42&lt;&gt;"Exception",$D42="Low",$E42="Low"),$A42&amp;"  "&amp;$B42,"")</f>
        <v/>
      </c>
      <c r="V42">
        <f>IF(AND($B42&lt;&gt;"",$C42&lt;&gt;"Target state",$C42&lt;&gt;"Exception",$D42="Low",$E42="Medium"),$A42&amp;"  "&amp;$B42,"")</f>
        <v/>
      </c>
      <c r="W42">
        <f>IF(AND($B42&lt;&gt;"",$C42&lt;&gt;"Target state",$C42&lt;&gt;"Exception",$D42="Low",$E42="High"),$A42&amp;"  "&amp;$B42,"")</f>
        <v/>
      </c>
    </row>
    <row r="43" ht="20" customHeight="1">
      <c r="A43" s="29" t="inlineStr">
        <is>
          <t>②</t>
        </is>
      </c>
      <c r="B43" s="30" t="n"/>
      <c r="C43" s="31" t="n"/>
      <c r="D43" s="31" t="n"/>
      <c r="E43" s="31" t="n"/>
      <c r="F43" s="32" t="n"/>
      <c r="G43" s="33">
        <f>IF(OR($B43="",$D43="",$E43=""),"",IF(OR($C43="Target state",$C43="Exception"),"Out of scope",IF($D43="Low","No tranche",IF($E43="Low","Tranche 1",IF($E43="Medium","Tranche 2",IF($D43="High","Tranche 3","No tranche"))))))</f>
        <v/>
      </c>
      <c r="K43" s="39" t="n"/>
      <c r="L43" s="39" t="n"/>
      <c r="M43" s="39" t="n"/>
      <c r="O43">
        <f>IF(AND($B43&lt;&gt;"",$C43&lt;&gt;"Target state",$C43&lt;&gt;"Exception",$D43="High",$E43="Low"),$A43&amp;"  "&amp;$B43,"")</f>
        <v/>
      </c>
      <c r="P43">
        <f>IF(AND($B43&lt;&gt;"",$C43&lt;&gt;"Target state",$C43&lt;&gt;"Exception",$D43="High",$E43="Medium"),$A43&amp;"  "&amp;$B43,"")</f>
        <v/>
      </c>
      <c r="Q43">
        <f>IF(AND($B43&lt;&gt;"",$C43&lt;&gt;"Target state",$C43&lt;&gt;"Exception",$D43="High",$E43="High"),$A43&amp;"  "&amp;$B43,"")</f>
        <v/>
      </c>
      <c r="R43">
        <f>IF(AND($B43&lt;&gt;"",$C43&lt;&gt;"Target state",$C43&lt;&gt;"Exception",$D43="Medium",$E43="Low"),$A43&amp;"  "&amp;$B43,"")</f>
        <v/>
      </c>
      <c r="S43">
        <f>IF(AND($B43&lt;&gt;"",$C43&lt;&gt;"Target state",$C43&lt;&gt;"Exception",$D43="Medium",$E43="Medium"),$A43&amp;"  "&amp;$B43,"")</f>
        <v/>
      </c>
      <c r="T43">
        <f>IF(AND($B43&lt;&gt;"",$C43&lt;&gt;"Target state",$C43&lt;&gt;"Exception",$D43="Medium",$E43="High"),$A43&amp;"  "&amp;$B43,"")</f>
        <v/>
      </c>
      <c r="U43">
        <f>IF(AND($B43&lt;&gt;"",$C43&lt;&gt;"Target state",$C43&lt;&gt;"Exception",$D43="Low",$E43="Low"),$A43&amp;"  "&amp;$B43,"")</f>
        <v/>
      </c>
      <c r="V43">
        <f>IF(AND($B43&lt;&gt;"",$C43&lt;&gt;"Target state",$C43&lt;&gt;"Exception",$D43="Low",$E43="Medium"),$A43&amp;"  "&amp;$B43,"")</f>
        <v/>
      </c>
      <c r="W43">
        <f>IF(AND($B43&lt;&gt;"",$C43&lt;&gt;"Target state",$C43&lt;&gt;"Exception",$D43="Low",$E43="High"),$A43&amp;"  "&amp;$B43,"")</f>
        <v/>
      </c>
    </row>
    <row r="44" ht="20" customHeight="1">
      <c r="A44" s="29" t="inlineStr">
        <is>
          <t>③</t>
        </is>
      </c>
      <c r="B44" s="30" t="n"/>
      <c r="C44" s="31" t="n"/>
      <c r="D44" s="31" t="n"/>
      <c r="E44" s="31" t="n"/>
      <c r="F44" s="32" t="n"/>
      <c r="G44" s="33">
        <f>IF(OR($B44="",$D44="",$E44=""),"",IF(OR($C44="Target state",$C44="Exception"),"Out of scope",IF($D44="Low","No tranche",IF($E44="Low","Tranche 1",IF($E44="Medium","Tranche 2",IF($D44="High","Tranche 3","No tranche"))))))</f>
        <v/>
      </c>
      <c r="K44" s="40" t="n"/>
      <c r="L44" s="40" t="n"/>
      <c r="M44" s="40" t="n"/>
      <c r="O44">
        <f>IF(AND($B44&lt;&gt;"",$C44&lt;&gt;"Target state",$C44&lt;&gt;"Exception",$D44="High",$E44="Low"),$A44&amp;"  "&amp;$B44,"")</f>
        <v/>
      </c>
      <c r="P44">
        <f>IF(AND($B44&lt;&gt;"",$C44&lt;&gt;"Target state",$C44&lt;&gt;"Exception",$D44="High",$E44="Medium"),$A44&amp;"  "&amp;$B44,"")</f>
        <v/>
      </c>
      <c r="Q44">
        <f>IF(AND($B44&lt;&gt;"",$C44&lt;&gt;"Target state",$C44&lt;&gt;"Exception",$D44="High",$E44="High"),$A44&amp;"  "&amp;$B44,"")</f>
        <v/>
      </c>
      <c r="R44">
        <f>IF(AND($B44&lt;&gt;"",$C44&lt;&gt;"Target state",$C44&lt;&gt;"Exception",$D44="Medium",$E44="Low"),$A44&amp;"  "&amp;$B44,"")</f>
        <v/>
      </c>
      <c r="S44">
        <f>IF(AND($B44&lt;&gt;"",$C44&lt;&gt;"Target state",$C44&lt;&gt;"Exception",$D44="Medium",$E44="Medium"),$A44&amp;"  "&amp;$B44,"")</f>
        <v/>
      </c>
      <c r="T44">
        <f>IF(AND($B44&lt;&gt;"",$C44&lt;&gt;"Target state",$C44&lt;&gt;"Exception",$D44="Medium",$E44="High"),$A44&amp;"  "&amp;$B44,"")</f>
        <v/>
      </c>
      <c r="U44">
        <f>IF(AND($B44&lt;&gt;"",$C44&lt;&gt;"Target state",$C44&lt;&gt;"Exception",$D44="Low",$E44="Low"),$A44&amp;"  "&amp;$B44,"")</f>
        <v/>
      </c>
      <c r="V44">
        <f>IF(AND($B44&lt;&gt;"",$C44&lt;&gt;"Target state",$C44&lt;&gt;"Exception",$D44="Low",$E44="Medium"),$A44&amp;"  "&amp;$B44,"")</f>
        <v/>
      </c>
      <c r="W44">
        <f>IF(AND($B44&lt;&gt;"",$C44&lt;&gt;"Target state",$C44&lt;&gt;"Exception",$D44="Low",$E44="High"),$A44&amp;"  "&amp;$B44,"")</f>
        <v/>
      </c>
    </row>
    <row r="45" ht="20" customHeight="1">
      <c r="A45" s="29" t="inlineStr">
        <is>
          <t>④</t>
        </is>
      </c>
      <c r="B45" s="30" t="n"/>
      <c r="C45" s="31" t="n"/>
      <c r="D45" s="31" t="n"/>
      <c r="E45" s="31" t="n"/>
      <c r="F45" s="32" t="n"/>
      <c r="G45" s="33">
        <f>IF(OR($B45="",$D45="",$E45=""),"",IF(OR($C45="Target state",$C45="Exception"),"Out of scope",IF($D45="Low","No tranche",IF($E45="Low","Tranche 1",IF($E45="Medium","Tranche 2",IF($D45="High","Tranche 3","No tranche"))))))</f>
        <v/>
      </c>
      <c r="J45" s="35" t="inlineStr">
        <is>
          <t>Medium</t>
        </is>
      </c>
      <c r="K45" s="36">
        <f>"Tranche 1"&amp;CHAR(10)&amp;_xlfn.TEXTJOIN(CHAR(10),TRUE,R$42:R$51)</f>
        <v/>
      </c>
      <c r="L45" s="37">
        <f>"Tranche 2"&amp;CHAR(10)&amp;_xlfn.TEXTJOIN(CHAR(10),TRUE,S$42:S$51)</f>
        <v/>
      </c>
      <c r="M45" s="41">
        <f>_xlfn.TEXTJOIN(CHAR(10),TRUE,T$42:T$51)</f>
        <v/>
      </c>
      <c r="O45">
        <f>IF(AND($B45&lt;&gt;"",$C45&lt;&gt;"Target state",$C45&lt;&gt;"Exception",$D45="High",$E45="Low"),$A45&amp;"  "&amp;$B45,"")</f>
        <v/>
      </c>
      <c r="P45">
        <f>IF(AND($B45&lt;&gt;"",$C45&lt;&gt;"Target state",$C45&lt;&gt;"Exception",$D45="High",$E45="Medium"),$A45&amp;"  "&amp;$B45,"")</f>
        <v/>
      </c>
      <c r="Q45">
        <f>IF(AND($B45&lt;&gt;"",$C45&lt;&gt;"Target state",$C45&lt;&gt;"Exception",$D45="High",$E45="High"),$A45&amp;"  "&amp;$B45,"")</f>
        <v/>
      </c>
      <c r="R45">
        <f>IF(AND($B45&lt;&gt;"",$C45&lt;&gt;"Target state",$C45&lt;&gt;"Exception",$D45="Medium",$E45="Low"),$A45&amp;"  "&amp;$B45,"")</f>
        <v/>
      </c>
      <c r="S45">
        <f>IF(AND($B45&lt;&gt;"",$C45&lt;&gt;"Target state",$C45&lt;&gt;"Exception",$D45="Medium",$E45="Medium"),$A45&amp;"  "&amp;$B45,"")</f>
        <v/>
      </c>
      <c r="T45">
        <f>IF(AND($B45&lt;&gt;"",$C45&lt;&gt;"Target state",$C45&lt;&gt;"Exception",$D45="Medium",$E45="High"),$A45&amp;"  "&amp;$B45,"")</f>
        <v/>
      </c>
      <c r="U45">
        <f>IF(AND($B45&lt;&gt;"",$C45&lt;&gt;"Target state",$C45&lt;&gt;"Exception",$D45="Low",$E45="Low"),$A45&amp;"  "&amp;$B45,"")</f>
        <v/>
      </c>
      <c r="V45">
        <f>IF(AND($B45&lt;&gt;"",$C45&lt;&gt;"Target state",$C45&lt;&gt;"Exception",$D45="Low",$E45="Medium"),$A45&amp;"  "&amp;$B45,"")</f>
        <v/>
      </c>
      <c r="W45">
        <f>IF(AND($B45&lt;&gt;"",$C45&lt;&gt;"Target state",$C45&lt;&gt;"Exception",$D45="Low",$E45="High"),$A45&amp;"  "&amp;$B45,"")</f>
        <v/>
      </c>
    </row>
    <row r="46" ht="20" customHeight="1">
      <c r="A46" s="29" t="inlineStr">
        <is>
          <t>⑤</t>
        </is>
      </c>
      <c r="B46" s="30" t="n"/>
      <c r="C46" s="31" t="n"/>
      <c r="D46" s="31" t="n"/>
      <c r="E46" s="31" t="n"/>
      <c r="F46" s="32" t="n"/>
      <c r="G46" s="33">
        <f>IF(OR($B46="",$D46="",$E46=""),"",IF(OR($C46="Target state",$C46="Exception"),"Out of scope",IF($D46="Low","No tranche",IF($E46="Low","Tranche 1",IF($E46="Medium","Tranche 2",IF($D46="High","Tranche 3","No tranche"))))))</f>
        <v/>
      </c>
      <c r="K46" s="39" t="n"/>
      <c r="L46" s="39" t="n"/>
      <c r="M46" s="39" t="n"/>
      <c r="O46">
        <f>IF(AND($B46&lt;&gt;"",$C46&lt;&gt;"Target state",$C46&lt;&gt;"Exception",$D46="High",$E46="Low"),$A46&amp;"  "&amp;$B46,"")</f>
        <v/>
      </c>
      <c r="P46">
        <f>IF(AND($B46&lt;&gt;"",$C46&lt;&gt;"Target state",$C46&lt;&gt;"Exception",$D46="High",$E46="Medium"),$A46&amp;"  "&amp;$B46,"")</f>
        <v/>
      </c>
      <c r="Q46">
        <f>IF(AND($B46&lt;&gt;"",$C46&lt;&gt;"Target state",$C46&lt;&gt;"Exception",$D46="High",$E46="High"),$A46&amp;"  "&amp;$B46,"")</f>
        <v/>
      </c>
      <c r="R46">
        <f>IF(AND($B46&lt;&gt;"",$C46&lt;&gt;"Target state",$C46&lt;&gt;"Exception",$D46="Medium",$E46="Low"),$A46&amp;"  "&amp;$B46,"")</f>
        <v/>
      </c>
      <c r="S46">
        <f>IF(AND($B46&lt;&gt;"",$C46&lt;&gt;"Target state",$C46&lt;&gt;"Exception",$D46="Medium",$E46="Medium"),$A46&amp;"  "&amp;$B46,"")</f>
        <v/>
      </c>
      <c r="T46">
        <f>IF(AND($B46&lt;&gt;"",$C46&lt;&gt;"Target state",$C46&lt;&gt;"Exception",$D46="Medium",$E46="High"),$A46&amp;"  "&amp;$B46,"")</f>
        <v/>
      </c>
      <c r="U46">
        <f>IF(AND($B46&lt;&gt;"",$C46&lt;&gt;"Target state",$C46&lt;&gt;"Exception",$D46="Low",$E46="Low"),$A46&amp;"  "&amp;$B46,"")</f>
        <v/>
      </c>
      <c r="V46">
        <f>IF(AND($B46&lt;&gt;"",$C46&lt;&gt;"Target state",$C46&lt;&gt;"Exception",$D46="Low",$E46="Medium"),$A46&amp;"  "&amp;$B46,"")</f>
        <v/>
      </c>
      <c r="W46">
        <f>IF(AND($B46&lt;&gt;"",$C46&lt;&gt;"Target state",$C46&lt;&gt;"Exception",$D46="Low",$E46="High"),$A46&amp;"  "&amp;$B46,"")</f>
        <v/>
      </c>
    </row>
    <row r="47" ht="20" customHeight="1">
      <c r="A47" s="29" t="inlineStr">
        <is>
          <t>⑥</t>
        </is>
      </c>
      <c r="B47" s="30" t="n"/>
      <c r="C47" s="31" t="n"/>
      <c r="D47" s="31" t="n"/>
      <c r="E47" s="31" t="n"/>
      <c r="F47" s="32" t="n"/>
      <c r="G47" s="33">
        <f>IF(OR($B47="",$D47="",$E47=""),"",IF(OR($C47="Target state",$C47="Exception"),"Out of scope",IF($D47="Low","No tranche",IF($E47="Low","Tranche 1",IF($E47="Medium","Tranche 2",IF($D47="High","Tranche 3","No tranche"))))))</f>
        <v/>
      </c>
      <c r="K47" s="40" t="n"/>
      <c r="L47" s="40" t="n"/>
      <c r="M47" s="40" t="n"/>
      <c r="O47">
        <f>IF(AND($B47&lt;&gt;"",$C47&lt;&gt;"Target state",$C47&lt;&gt;"Exception",$D47="High",$E47="Low"),$A47&amp;"  "&amp;$B47,"")</f>
        <v/>
      </c>
      <c r="P47">
        <f>IF(AND($B47&lt;&gt;"",$C47&lt;&gt;"Target state",$C47&lt;&gt;"Exception",$D47="High",$E47="Medium"),$A47&amp;"  "&amp;$B47,"")</f>
        <v/>
      </c>
      <c r="Q47">
        <f>IF(AND($B47&lt;&gt;"",$C47&lt;&gt;"Target state",$C47&lt;&gt;"Exception",$D47="High",$E47="High"),$A47&amp;"  "&amp;$B47,"")</f>
        <v/>
      </c>
      <c r="R47">
        <f>IF(AND($B47&lt;&gt;"",$C47&lt;&gt;"Target state",$C47&lt;&gt;"Exception",$D47="Medium",$E47="Low"),$A47&amp;"  "&amp;$B47,"")</f>
        <v/>
      </c>
      <c r="S47">
        <f>IF(AND($B47&lt;&gt;"",$C47&lt;&gt;"Target state",$C47&lt;&gt;"Exception",$D47="Medium",$E47="Medium"),$A47&amp;"  "&amp;$B47,"")</f>
        <v/>
      </c>
      <c r="T47">
        <f>IF(AND($B47&lt;&gt;"",$C47&lt;&gt;"Target state",$C47&lt;&gt;"Exception",$D47="Medium",$E47="High"),$A47&amp;"  "&amp;$B47,"")</f>
        <v/>
      </c>
      <c r="U47">
        <f>IF(AND($B47&lt;&gt;"",$C47&lt;&gt;"Target state",$C47&lt;&gt;"Exception",$D47="Low",$E47="Low"),$A47&amp;"  "&amp;$B47,"")</f>
        <v/>
      </c>
      <c r="V47">
        <f>IF(AND($B47&lt;&gt;"",$C47&lt;&gt;"Target state",$C47&lt;&gt;"Exception",$D47="Low",$E47="Medium"),$A47&amp;"  "&amp;$B47,"")</f>
        <v/>
      </c>
      <c r="W47">
        <f>IF(AND($B47&lt;&gt;"",$C47&lt;&gt;"Target state",$C47&lt;&gt;"Exception",$D47="Low",$E47="High"),$A47&amp;"  "&amp;$B47,"")</f>
        <v/>
      </c>
    </row>
    <row r="48" ht="20" customHeight="1">
      <c r="A48" s="29" t="inlineStr">
        <is>
          <t>⑦</t>
        </is>
      </c>
      <c r="B48" s="30" t="n"/>
      <c r="C48" s="31" t="n"/>
      <c r="D48" s="31" t="n"/>
      <c r="E48" s="31" t="n"/>
      <c r="F48" s="32" t="n"/>
      <c r="G48" s="33">
        <f>IF(OR($B48="",$D48="",$E48=""),"",IF(OR($C48="Target state",$C48="Exception"),"Out of scope",IF($D48="Low","No tranche",IF($E48="Low","Tranche 1",IF($E48="Medium","Tranche 2",IF($D48="High","Tranche 3","No tranche"))))))</f>
        <v/>
      </c>
      <c r="J48" s="35" t="inlineStr">
        <is>
          <t>Low</t>
        </is>
      </c>
      <c r="K48" s="41">
        <f>_xlfn.TEXTJOIN(CHAR(10),TRUE,U$42:U$51)</f>
        <v/>
      </c>
      <c r="L48" s="41">
        <f>_xlfn.TEXTJOIN(CHAR(10),TRUE,V$42:V$51)</f>
        <v/>
      </c>
      <c r="M48" s="41">
        <f>_xlfn.TEXTJOIN(CHAR(10),TRUE,W$42:W$51)</f>
        <v/>
      </c>
      <c r="O48">
        <f>IF(AND($B48&lt;&gt;"",$C48&lt;&gt;"Target state",$C48&lt;&gt;"Exception",$D48="High",$E48="Low"),$A48&amp;"  "&amp;$B48,"")</f>
        <v/>
      </c>
      <c r="P48">
        <f>IF(AND($B48&lt;&gt;"",$C48&lt;&gt;"Target state",$C48&lt;&gt;"Exception",$D48="High",$E48="Medium"),$A48&amp;"  "&amp;$B48,"")</f>
        <v/>
      </c>
      <c r="Q48">
        <f>IF(AND($B48&lt;&gt;"",$C48&lt;&gt;"Target state",$C48&lt;&gt;"Exception",$D48="High",$E48="High"),$A48&amp;"  "&amp;$B48,"")</f>
        <v/>
      </c>
      <c r="R48">
        <f>IF(AND($B48&lt;&gt;"",$C48&lt;&gt;"Target state",$C48&lt;&gt;"Exception",$D48="Medium",$E48="Low"),$A48&amp;"  "&amp;$B48,"")</f>
        <v/>
      </c>
      <c r="S48">
        <f>IF(AND($B48&lt;&gt;"",$C48&lt;&gt;"Target state",$C48&lt;&gt;"Exception",$D48="Medium",$E48="Medium"),$A48&amp;"  "&amp;$B48,"")</f>
        <v/>
      </c>
      <c r="T48">
        <f>IF(AND($B48&lt;&gt;"",$C48&lt;&gt;"Target state",$C48&lt;&gt;"Exception",$D48="Medium",$E48="High"),$A48&amp;"  "&amp;$B48,"")</f>
        <v/>
      </c>
      <c r="U48">
        <f>IF(AND($B48&lt;&gt;"",$C48&lt;&gt;"Target state",$C48&lt;&gt;"Exception",$D48="Low",$E48="Low"),$A48&amp;"  "&amp;$B48,"")</f>
        <v/>
      </c>
      <c r="V48">
        <f>IF(AND($B48&lt;&gt;"",$C48&lt;&gt;"Target state",$C48&lt;&gt;"Exception",$D48="Low",$E48="Medium"),$A48&amp;"  "&amp;$B48,"")</f>
        <v/>
      </c>
      <c r="W48">
        <f>IF(AND($B48&lt;&gt;"",$C48&lt;&gt;"Target state",$C48&lt;&gt;"Exception",$D48="Low",$E48="High"),$A48&amp;"  "&amp;$B48,"")</f>
        <v/>
      </c>
    </row>
    <row r="49" ht="20" customHeight="1">
      <c r="A49" s="29" t="inlineStr">
        <is>
          <t>⑧</t>
        </is>
      </c>
      <c r="B49" s="30" t="n"/>
      <c r="C49" s="31" t="n"/>
      <c r="D49" s="31" t="n"/>
      <c r="E49" s="31" t="n"/>
      <c r="F49" s="32" t="n"/>
      <c r="G49" s="33">
        <f>IF(OR($B49="",$D49="",$E49=""),"",IF(OR($C49="Target state",$C49="Exception"),"Out of scope",IF($D49="Low","No tranche",IF($E49="Low","Tranche 1",IF($E49="Medium","Tranche 2",IF($D49="High","Tranche 3","No tranche"))))))</f>
        <v/>
      </c>
      <c r="K49" s="39" t="n"/>
      <c r="L49" s="39" t="n"/>
      <c r="M49" s="39" t="n"/>
      <c r="O49">
        <f>IF(AND($B49&lt;&gt;"",$C49&lt;&gt;"Target state",$C49&lt;&gt;"Exception",$D49="High",$E49="Low"),$A49&amp;"  "&amp;$B49,"")</f>
        <v/>
      </c>
      <c r="P49">
        <f>IF(AND($B49&lt;&gt;"",$C49&lt;&gt;"Target state",$C49&lt;&gt;"Exception",$D49="High",$E49="Medium"),$A49&amp;"  "&amp;$B49,"")</f>
        <v/>
      </c>
      <c r="Q49">
        <f>IF(AND($B49&lt;&gt;"",$C49&lt;&gt;"Target state",$C49&lt;&gt;"Exception",$D49="High",$E49="High"),$A49&amp;"  "&amp;$B49,"")</f>
        <v/>
      </c>
      <c r="R49">
        <f>IF(AND($B49&lt;&gt;"",$C49&lt;&gt;"Target state",$C49&lt;&gt;"Exception",$D49="Medium",$E49="Low"),$A49&amp;"  "&amp;$B49,"")</f>
        <v/>
      </c>
      <c r="S49">
        <f>IF(AND($B49&lt;&gt;"",$C49&lt;&gt;"Target state",$C49&lt;&gt;"Exception",$D49="Medium",$E49="Medium"),$A49&amp;"  "&amp;$B49,"")</f>
        <v/>
      </c>
      <c r="T49">
        <f>IF(AND($B49&lt;&gt;"",$C49&lt;&gt;"Target state",$C49&lt;&gt;"Exception",$D49="Medium",$E49="High"),$A49&amp;"  "&amp;$B49,"")</f>
        <v/>
      </c>
      <c r="U49">
        <f>IF(AND($B49&lt;&gt;"",$C49&lt;&gt;"Target state",$C49&lt;&gt;"Exception",$D49="Low",$E49="Low"),$A49&amp;"  "&amp;$B49,"")</f>
        <v/>
      </c>
      <c r="V49">
        <f>IF(AND($B49&lt;&gt;"",$C49&lt;&gt;"Target state",$C49&lt;&gt;"Exception",$D49="Low",$E49="Medium"),$A49&amp;"  "&amp;$B49,"")</f>
        <v/>
      </c>
      <c r="W49">
        <f>IF(AND($B49&lt;&gt;"",$C49&lt;&gt;"Target state",$C49&lt;&gt;"Exception",$D49="Low",$E49="High"),$A49&amp;"  "&amp;$B49,"")</f>
        <v/>
      </c>
    </row>
    <row r="50" ht="20" customHeight="1">
      <c r="A50" s="29" t="inlineStr">
        <is>
          <t>⑨</t>
        </is>
      </c>
      <c r="B50" s="30" t="n"/>
      <c r="C50" s="31" t="n"/>
      <c r="D50" s="31" t="n"/>
      <c r="E50" s="31" t="n"/>
      <c r="F50" s="32" t="n"/>
      <c r="G50" s="33">
        <f>IF(OR($B50="",$D50="",$E50=""),"",IF(OR($C50="Target state",$C50="Exception"),"Out of scope",IF($D50="Low","No tranche",IF($E50="Low","Tranche 1",IF($E50="Medium","Tranche 2",IF($D50="High","Tranche 3","No tranche"))))))</f>
        <v/>
      </c>
      <c r="K50" s="40" t="n"/>
      <c r="L50" s="40" t="n"/>
      <c r="M50" s="40" t="n"/>
      <c r="O50">
        <f>IF(AND($B50&lt;&gt;"",$C50&lt;&gt;"Target state",$C50&lt;&gt;"Exception",$D50="High",$E50="Low"),$A50&amp;"  "&amp;$B50,"")</f>
        <v/>
      </c>
      <c r="P50">
        <f>IF(AND($B50&lt;&gt;"",$C50&lt;&gt;"Target state",$C50&lt;&gt;"Exception",$D50="High",$E50="Medium"),$A50&amp;"  "&amp;$B50,"")</f>
        <v/>
      </c>
      <c r="Q50">
        <f>IF(AND($B50&lt;&gt;"",$C50&lt;&gt;"Target state",$C50&lt;&gt;"Exception",$D50="High",$E50="High"),$A50&amp;"  "&amp;$B50,"")</f>
        <v/>
      </c>
      <c r="R50">
        <f>IF(AND($B50&lt;&gt;"",$C50&lt;&gt;"Target state",$C50&lt;&gt;"Exception",$D50="Medium",$E50="Low"),$A50&amp;"  "&amp;$B50,"")</f>
        <v/>
      </c>
      <c r="S50">
        <f>IF(AND($B50&lt;&gt;"",$C50&lt;&gt;"Target state",$C50&lt;&gt;"Exception",$D50="Medium",$E50="Medium"),$A50&amp;"  "&amp;$B50,"")</f>
        <v/>
      </c>
      <c r="T50">
        <f>IF(AND($B50&lt;&gt;"",$C50&lt;&gt;"Target state",$C50&lt;&gt;"Exception",$D50="Medium",$E50="High"),$A50&amp;"  "&amp;$B50,"")</f>
        <v/>
      </c>
      <c r="U50">
        <f>IF(AND($B50&lt;&gt;"",$C50&lt;&gt;"Target state",$C50&lt;&gt;"Exception",$D50="Low",$E50="Low"),$A50&amp;"  "&amp;$B50,"")</f>
        <v/>
      </c>
      <c r="V50">
        <f>IF(AND($B50&lt;&gt;"",$C50&lt;&gt;"Target state",$C50&lt;&gt;"Exception",$D50="Low",$E50="Medium"),$A50&amp;"  "&amp;$B50,"")</f>
        <v/>
      </c>
      <c r="W50">
        <f>IF(AND($B50&lt;&gt;"",$C50&lt;&gt;"Target state",$C50&lt;&gt;"Exception",$D50="Low",$E50="High"),$A50&amp;"  "&amp;$B50,"")</f>
        <v/>
      </c>
    </row>
    <row r="51" ht="20" customHeight="1">
      <c r="A51" s="29" t="inlineStr">
        <is>
          <t>⑩</t>
        </is>
      </c>
      <c r="B51" s="30" t="n"/>
      <c r="C51" s="31" t="n"/>
      <c r="D51" s="31" t="n"/>
      <c r="E51" s="31" t="n"/>
      <c r="F51" s="32" t="n"/>
      <c r="G51" s="33">
        <f>IF(OR($B51="",$D51="",$E51=""),"",IF(OR($C51="Target state",$C51="Exception"),"Out of scope",IF($D51="Low","No tranche",IF($E51="Low","Tranche 1",IF($E51="Medium","Tranche 2",IF($D51="High","Tranche 3","No tranche"))))))</f>
        <v/>
      </c>
      <c r="K51" s="35" t="inlineStr">
        <is>
          <t>Complexity</t>
        </is>
      </c>
      <c r="O51">
        <f>IF(AND($B51&lt;&gt;"",$C51&lt;&gt;"Target state",$C51&lt;&gt;"Exception",$D51="High",$E51="Low"),$A51&amp;"  "&amp;$B51,"")</f>
        <v/>
      </c>
      <c r="P51">
        <f>IF(AND($B51&lt;&gt;"",$C51&lt;&gt;"Target state",$C51&lt;&gt;"Exception",$D51="High",$E51="Medium"),$A51&amp;"  "&amp;$B51,"")</f>
        <v/>
      </c>
      <c r="Q51">
        <f>IF(AND($B51&lt;&gt;"",$C51&lt;&gt;"Target state",$C51&lt;&gt;"Exception",$D51="High",$E51="High"),$A51&amp;"  "&amp;$B51,"")</f>
        <v/>
      </c>
      <c r="R51">
        <f>IF(AND($B51&lt;&gt;"",$C51&lt;&gt;"Target state",$C51&lt;&gt;"Exception",$D51="Medium",$E51="Low"),$A51&amp;"  "&amp;$B51,"")</f>
        <v/>
      </c>
      <c r="S51">
        <f>IF(AND($B51&lt;&gt;"",$C51&lt;&gt;"Target state",$C51&lt;&gt;"Exception",$D51="Medium",$E51="Medium"),$A51&amp;"  "&amp;$B51,"")</f>
        <v/>
      </c>
      <c r="T51">
        <f>IF(AND($B51&lt;&gt;"",$C51&lt;&gt;"Target state",$C51&lt;&gt;"Exception",$D51="Medium",$E51="High"),$A51&amp;"  "&amp;$B51,"")</f>
        <v/>
      </c>
      <c r="U51">
        <f>IF(AND($B51&lt;&gt;"",$C51&lt;&gt;"Target state",$C51&lt;&gt;"Exception",$D51="Low",$E51="Low"),$A51&amp;"  "&amp;$B51,"")</f>
        <v/>
      </c>
      <c r="V51">
        <f>IF(AND($B51&lt;&gt;"",$C51&lt;&gt;"Target state",$C51&lt;&gt;"Exception",$D51="Low",$E51="Medium"),$A51&amp;"  "&amp;$B51,"")</f>
        <v/>
      </c>
      <c r="W51">
        <f>IF(AND($B51&lt;&gt;"",$C51&lt;&gt;"Target state",$C51&lt;&gt;"Exception",$D51="Low",$E51="High"),$A51&amp;"  "&amp;$B51,"")</f>
        <v/>
      </c>
    </row>
    <row r="54" ht="22" customHeight="1">
      <c r="A54" s="24" t="inlineStr">
        <is>
          <t>Security</t>
        </is>
      </c>
      <c r="G54" s="25">
        <f>HYPERLINK("#'Global Infrastructure'!A4","▲ tracker")</f>
        <v/>
      </c>
      <c r="K54" s="26" t="inlineStr">
        <is>
          <t>Assessment Outcome</t>
        </is>
      </c>
    </row>
    <row r="55" ht="18" customHeight="1">
      <c r="A55" s="27" t="inlineStr">
        <is>
          <t>#</t>
        </is>
      </c>
      <c r="B55" s="27" t="inlineStr">
        <is>
          <t>Platform</t>
        </is>
      </c>
      <c r="C55" s="27" t="inlineStr">
        <is>
          <t>State</t>
        </is>
      </c>
      <c r="D55" s="27" t="inlineStr">
        <is>
          <t>Imperative to exit</t>
        </is>
      </c>
      <c r="E55" s="27" t="inlineStr">
        <is>
          <t>Exit complexity</t>
        </is>
      </c>
      <c r="F55" s="27" t="inlineStr">
        <is>
          <t>Supporting facts</t>
        </is>
      </c>
      <c r="G55" s="27" t="inlineStr">
        <is>
          <t>Tranche (auto)</t>
        </is>
      </c>
      <c r="K55" s="28" t="inlineStr">
        <is>
          <t>Low</t>
        </is>
      </c>
      <c r="L55" s="28" t="inlineStr">
        <is>
          <t>Medium</t>
        </is>
      </c>
      <c r="M55" s="28" t="inlineStr">
        <is>
          <t>High</t>
        </is>
      </c>
    </row>
    <row r="56" ht="20" customHeight="1">
      <c r="A56" s="29" t="inlineStr">
        <is>
          <t>①</t>
        </is>
      </c>
      <c r="B56" s="30" t="n"/>
      <c r="C56" s="31" t="n"/>
      <c r="D56" s="31" t="n"/>
      <c r="E56" s="31" t="n"/>
      <c r="F56" s="32" t="n"/>
      <c r="G56" s="33">
        <f>IF(OR($B56="",$D56="",$E56=""),"",IF(OR($C56="Target state",$C56="Exception"),"Out of scope",IF($D56="Low","No tranche",IF($E56="Low","Tranche 1",IF($E56="Medium","Tranche 2",IF($D56="High","Tranche 3","No tranche"))))))</f>
        <v/>
      </c>
      <c r="I56" s="34" t="inlineStr">
        <is>
          <t>Benefits</t>
        </is>
      </c>
      <c r="J56" s="35" t="inlineStr">
        <is>
          <t>High</t>
        </is>
      </c>
      <c r="K56" s="36">
        <f>"Tranche 1"&amp;CHAR(10)&amp;_xlfn.TEXTJOIN(CHAR(10),TRUE,O$56:O$65)</f>
        <v/>
      </c>
      <c r="L56" s="37">
        <f>"Tranche 2"&amp;CHAR(10)&amp;_xlfn.TEXTJOIN(CHAR(10),TRUE,P$56:P$65)</f>
        <v/>
      </c>
      <c r="M56" s="38">
        <f>"Tranche 3"&amp;CHAR(10)&amp;_xlfn.TEXTJOIN(CHAR(10),TRUE,Q$56:Q$65)</f>
        <v/>
      </c>
      <c r="O56">
        <f>IF(AND($B56&lt;&gt;"",$C56&lt;&gt;"Target state",$C56&lt;&gt;"Exception",$D56="High",$E56="Low"),$A56&amp;"  "&amp;$B56,"")</f>
        <v/>
      </c>
      <c r="P56">
        <f>IF(AND($B56&lt;&gt;"",$C56&lt;&gt;"Target state",$C56&lt;&gt;"Exception",$D56="High",$E56="Medium"),$A56&amp;"  "&amp;$B56,"")</f>
        <v/>
      </c>
      <c r="Q56">
        <f>IF(AND($B56&lt;&gt;"",$C56&lt;&gt;"Target state",$C56&lt;&gt;"Exception",$D56="High",$E56="High"),$A56&amp;"  "&amp;$B56,"")</f>
        <v/>
      </c>
      <c r="R56">
        <f>IF(AND($B56&lt;&gt;"",$C56&lt;&gt;"Target state",$C56&lt;&gt;"Exception",$D56="Medium",$E56="Low"),$A56&amp;"  "&amp;$B56,"")</f>
        <v/>
      </c>
      <c r="S56">
        <f>IF(AND($B56&lt;&gt;"",$C56&lt;&gt;"Target state",$C56&lt;&gt;"Exception",$D56="Medium",$E56="Medium"),$A56&amp;"  "&amp;$B56,"")</f>
        <v/>
      </c>
      <c r="T56">
        <f>IF(AND($B56&lt;&gt;"",$C56&lt;&gt;"Target state",$C56&lt;&gt;"Exception",$D56="Medium",$E56="High"),$A56&amp;"  "&amp;$B56,"")</f>
        <v/>
      </c>
      <c r="U56">
        <f>IF(AND($B56&lt;&gt;"",$C56&lt;&gt;"Target state",$C56&lt;&gt;"Exception",$D56="Low",$E56="Low"),$A56&amp;"  "&amp;$B56,"")</f>
        <v/>
      </c>
      <c r="V56">
        <f>IF(AND($B56&lt;&gt;"",$C56&lt;&gt;"Target state",$C56&lt;&gt;"Exception",$D56="Low",$E56="Medium"),$A56&amp;"  "&amp;$B56,"")</f>
        <v/>
      </c>
      <c r="W56">
        <f>IF(AND($B56&lt;&gt;"",$C56&lt;&gt;"Target state",$C56&lt;&gt;"Exception",$D56="Low",$E56="High"),$A56&amp;"  "&amp;$B56,"")</f>
        <v/>
      </c>
    </row>
    <row r="57" ht="20" customHeight="1">
      <c r="A57" s="29" t="inlineStr">
        <is>
          <t>②</t>
        </is>
      </c>
      <c r="B57" s="30" t="n"/>
      <c r="C57" s="31" t="n"/>
      <c r="D57" s="31" t="n"/>
      <c r="E57" s="31" t="n"/>
      <c r="F57" s="32" t="n"/>
      <c r="G57" s="33">
        <f>IF(OR($B57="",$D57="",$E57=""),"",IF(OR($C57="Target state",$C57="Exception"),"Out of scope",IF($D57="Low","No tranche",IF($E57="Low","Tranche 1",IF($E57="Medium","Tranche 2",IF($D57="High","Tranche 3","No tranche"))))))</f>
        <v/>
      </c>
      <c r="K57" s="39" t="n"/>
      <c r="L57" s="39" t="n"/>
      <c r="M57" s="39" t="n"/>
      <c r="O57">
        <f>IF(AND($B57&lt;&gt;"",$C57&lt;&gt;"Target state",$C57&lt;&gt;"Exception",$D57="High",$E57="Low"),$A57&amp;"  "&amp;$B57,"")</f>
        <v/>
      </c>
      <c r="P57">
        <f>IF(AND($B57&lt;&gt;"",$C57&lt;&gt;"Target state",$C57&lt;&gt;"Exception",$D57="High",$E57="Medium"),$A57&amp;"  "&amp;$B57,"")</f>
        <v/>
      </c>
      <c r="Q57">
        <f>IF(AND($B57&lt;&gt;"",$C57&lt;&gt;"Target state",$C57&lt;&gt;"Exception",$D57="High",$E57="High"),$A57&amp;"  "&amp;$B57,"")</f>
        <v/>
      </c>
      <c r="R57">
        <f>IF(AND($B57&lt;&gt;"",$C57&lt;&gt;"Target state",$C57&lt;&gt;"Exception",$D57="Medium",$E57="Low"),$A57&amp;"  "&amp;$B57,"")</f>
        <v/>
      </c>
      <c r="S57">
        <f>IF(AND($B57&lt;&gt;"",$C57&lt;&gt;"Target state",$C57&lt;&gt;"Exception",$D57="Medium",$E57="Medium"),$A57&amp;"  "&amp;$B57,"")</f>
        <v/>
      </c>
      <c r="T57">
        <f>IF(AND($B57&lt;&gt;"",$C57&lt;&gt;"Target state",$C57&lt;&gt;"Exception",$D57="Medium",$E57="High"),$A57&amp;"  "&amp;$B57,"")</f>
        <v/>
      </c>
      <c r="U57">
        <f>IF(AND($B57&lt;&gt;"",$C57&lt;&gt;"Target state",$C57&lt;&gt;"Exception",$D57="Low",$E57="Low"),$A57&amp;"  "&amp;$B57,"")</f>
        <v/>
      </c>
      <c r="V57">
        <f>IF(AND($B57&lt;&gt;"",$C57&lt;&gt;"Target state",$C57&lt;&gt;"Exception",$D57="Low",$E57="Medium"),$A57&amp;"  "&amp;$B57,"")</f>
        <v/>
      </c>
      <c r="W57">
        <f>IF(AND($B57&lt;&gt;"",$C57&lt;&gt;"Target state",$C57&lt;&gt;"Exception",$D57="Low",$E57="High"),$A57&amp;"  "&amp;$B57,"")</f>
        <v/>
      </c>
    </row>
    <row r="58" ht="20" customHeight="1">
      <c r="A58" s="29" t="inlineStr">
        <is>
          <t>③</t>
        </is>
      </c>
      <c r="B58" s="30" t="n"/>
      <c r="C58" s="31" t="n"/>
      <c r="D58" s="31" t="n"/>
      <c r="E58" s="31" t="n"/>
      <c r="F58" s="32" t="n"/>
      <c r="G58" s="33">
        <f>IF(OR($B58="",$D58="",$E58=""),"",IF(OR($C58="Target state",$C58="Exception"),"Out of scope",IF($D58="Low","No tranche",IF($E58="Low","Tranche 1",IF($E58="Medium","Tranche 2",IF($D58="High","Tranche 3","No tranche"))))))</f>
        <v/>
      </c>
      <c r="K58" s="40" t="n"/>
      <c r="L58" s="40" t="n"/>
      <c r="M58" s="40" t="n"/>
      <c r="O58">
        <f>IF(AND($B58&lt;&gt;"",$C58&lt;&gt;"Target state",$C58&lt;&gt;"Exception",$D58="High",$E58="Low"),$A58&amp;"  "&amp;$B58,"")</f>
        <v/>
      </c>
      <c r="P58">
        <f>IF(AND($B58&lt;&gt;"",$C58&lt;&gt;"Target state",$C58&lt;&gt;"Exception",$D58="High",$E58="Medium"),$A58&amp;"  "&amp;$B58,"")</f>
        <v/>
      </c>
      <c r="Q58">
        <f>IF(AND($B58&lt;&gt;"",$C58&lt;&gt;"Target state",$C58&lt;&gt;"Exception",$D58="High",$E58="High"),$A58&amp;"  "&amp;$B58,"")</f>
        <v/>
      </c>
      <c r="R58">
        <f>IF(AND($B58&lt;&gt;"",$C58&lt;&gt;"Target state",$C58&lt;&gt;"Exception",$D58="Medium",$E58="Low"),$A58&amp;"  "&amp;$B58,"")</f>
        <v/>
      </c>
      <c r="S58">
        <f>IF(AND($B58&lt;&gt;"",$C58&lt;&gt;"Target state",$C58&lt;&gt;"Exception",$D58="Medium",$E58="Medium"),$A58&amp;"  "&amp;$B58,"")</f>
        <v/>
      </c>
      <c r="T58">
        <f>IF(AND($B58&lt;&gt;"",$C58&lt;&gt;"Target state",$C58&lt;&gt;"Exception",$D58="Medium",$E58="High"),$A58&amp;"  "&amp;$B58,"")</f>
        <v/>
      </c>
      <c r="U58">
        <f>IF(AND($B58&lt;&gt;"",$C58&lt;&gt;"Target state",$C58&lt;&gt;"Exception",$D58="Low",$E58="Low"),$A58&amp;"  "&amp;$B58,"")</f>
        <v/>
      </c>
      <c r="V58">
        <f>IF(AND($B58&lt;&gt;"",$C58&lt;&gt;"Target state",$C58&lt;&gt;"Exception",$D58="Low",$E58="Medium"),$A58&amp;"  "&amp;$B58,"")</f>
        <v/>
      </c>
      <c r="W58">
        <f>IF(AND($B58&lt;&gt;"",$C58&lt;&gt;"Target state",$C58&lt;&gt;"Exception",$D58="Low",$E58="High"),$A58&amp;"  "&amp;$B58,"")</f>
        <v/>
      </c>
    </row>
    <row r="59" ht="20" customHeight="1">
      <c r="A59" s="29" t="inlineStr">
        <is>
          <t>④</t>
        </is>
      </c>
      <c r="B59" s="30" t="n"/>
      <c r="C59" s="31" t="n"/>
      <c r="D59" s="31" t="n"/>
      <c r="E59" s="31" t="n"/>
      <c r="F59" s="32" t="n"/>
      <c r="G59" s="33">
        <f>IF(OR($B59="",$D59="",$E59=""),"",IF(OR($C59="Target state",$C59="Exception"),"Out of scope",IF($D59="Low","No tranche",IF($E59="Low","Tranche 1",IF($E59="Medium","Tranche 2",IF($D59="High","Tranche 3","No tranche"))))))</f>
        <v/>
      </c>
      <c r="J59" s="35" t="inlineStr">
        <is>
          <t>Medium</t>
        </is>
      </c>
      <c r="K59" s="36">
        <f>"Tranche 1"&amp;CHAR(10)&amp;_xlfn.TEXTJOIN(CHAR(10),TRUE,R$56:R$65)</f>
        <v/>
      </c>
      <c r="L59" s="37">
        <f>"Tranche 2"&amp;CHAR(10)&amp;_xlfn.TEXTJOIN(CHAR(10),TRUE,S$56:S$65)</f>
        <v/>
      </c>
      <c r="M59" s="41">
        <f>_xlfn.TEXTJOIN(CHAR(10),TRUE,T$56:T$65)</f>
        <v/>
      </c>
      <c r="O59">
        <f>IF(AND($B59&lt;&gt;"",$C59&lt;&gt;"Target state",$C59&lt;&gt;"Exception",$D59="High",$E59="Low"),$A59&amp;"  "&amp;$B59,"")</f>
        <v/>
      </c>
      <c r="P59">
        <f>IF(AND($B59&lt;&gt;"",$C59&lt;&gt;"Target state",$C59&lt;&gt;"Exception",$D59="High",$E59="Medium"),$A59&amp;"  "&amp;$B59,"")</f>
        <v/>
      </c>
      <c r="Q59">
        <f>IF(AND($B59&lt;&gt;"",$C59&lt;&gt;"Target state",$C59&lt;&gt;"Exception",$D59="High",$E59="High"),$A59&amp;"  "&amp;$B59,"")</f>
        <v/>
      </c>
      <c r="R59">
        <f>IF(AND($B59&lt;&gt;"",$C59&lt;&gt;"Target state",$C59&lt;&gt;"Exception",$D59="Medium",$E59="Low"),$A59&amp;"  "&amp;$B59,"")</f>
        <v/>
      </c>
      <c r="S59">
        <f>IF(AND($B59&lt;&gt;"",$C59&lt;&gt;"Target state",$C59&lt;&gt;"Exception",$D59="Medium",$E59="Medium"),$A59&amp;"  "&amp;$B59,"")</f>
        <v/>
      </c>
      <c r="T59">
        <f>IF(AND($B59&lt;&gt;"",$C59&lt;&gt;"Target state",$C59&lt;&gt;"Exception",$D59="Medium",$E59="High"),$A59&amp;"  "&amp;$B59,"")</f>
        <v/>
      </c>
      <c r="U59">
        <f>IF(AND($B59&lt;&gt;"",$C59&lt;&gt;"Target state",$C59&lt;&gt;"Exception",$D59="Low",$E59="Low"),$A59&amp;"  "&amp;$B59,"")</f>
        <v/>
      </c>
      <c r="V59">
        <f>IF(AND($B59&lt;&gt;"",$C59&lt;&gt;"Target state",$C59&lt;&gt;"Exception",$D59="Low",$E59="Medium"),$A59&amp;"  "&amp;$B59,"")</f>
        <v/>
      </c>
      <c r="W59">
        <f>IF(AND($B59&lt;&gt;"",$C59&lt;&gt;"Target state",$C59&lt;&gt;"Exception",$D59="Low",$E59="High"),$A59&amp;"  "&amp;$B59,"")</f>
        <v/>
      </c>
    </row>
    <row r="60" ht="20" customHeight="1">
      <c r="A60" s="29" t="inlineStr">
        <is>
          <t>⑤</t>
        </is>
      </c>
      <c r="B60" s="30" t="n"/>
      <c r="C60" s="31" t="n"/>
      <c r="D60" s="31" t="n"/>
      <c r="E60" s="31" t="n"/>
      <c r="F60" s="32" t="n"/>
      <c r="G60" s="33">
        <f>IF(OR($B60="",$D60="",$E60=""),"",IF(OR($C60="Target state",$C60="Exception"),"Out of scope",IF($D60="Low","No tranche",IF($E60="Low","Tranche 1",IF($E60="Medium","Tranche 2",IF($D60="High","Tranche 3","No tranche"))))))</f>
        <v/>
      </c>
      <c r="K60" s="39" t="n"/>
      <c r="L60" s="39" t="n"/>
      <c r="M60" s="39" t="n"/>
      <c r="O60">
        <f>IF(AND($B60&lt;&gt;"",$C60&lt;&gt;"Target state",$C60&lt;&gt;"Exception",$D60="High",$E60="Low"),$A60&amp;"  "&amp;$B60,"")</f>
        <v/>
      </c>
      <c r="P60">
        <f>IF(AND($B60&lt;&gt;"",$C60&lt;&gt;"Target state",$C60&lt;&gt;"Exception",$D60="High",$E60="Medium"),$A60&amp;"  "&amp;$B60,"")</f>
        <v/>
      </c>
      <c r="Q60">
        <f>IF(AND($B60&lt;&gt;"",$C60&lt;&gt;"Target state",$C60&lt;&gt;"Exception",$D60="High",$E60="High"),$A60&amp;"  "&amp;$B60,"")</f>
        <v/>
      </c>
      <c r="R60">
        <f>IF(AND($B60&lt;&gt;"",$C60&lt;&gt;"Target state",$C60&lt;&gt;"Exception",$D60="Medium",$E60="Low"),$A60&amp;"  "&amp;$B60,"")</f>
        <v/>
      </c>
      <c r="S60">
        <f>IF(AND($B60&lt;&gt;"",$C60&lt;&gt;"Target state",$C60&lt;&gt;"Exception",$D60="Medium",$E60="Medium"),$A60&amp;"  "&amp;$B60,"")</f>
        <v/>
      </c>
      <c r="T60">
        <f>IF(AND($B60&lt;&gt;"",$C60&lt;&gt;"Target state",$C60&lt;&gt;"Exception",$D60="Medium",$E60="High"),$A60&amp;"  "&amp;$B60,"")</f>
        <v/>
      </c>
      <c r="U60">
        <f>IF(AND($B60&lt;&gt;"",$C60&lt;&gt;"Target state",$C60&lt;&gt;"Exception",$D60="Low",$E60="Low"),$A60&amp;"  "&amp;$B60,"")</f>
        <v/>
      </c>
      <c r="V60">
        <f>IF(AND($B60&lt;&gt;"",$C60&lt;&gt;"Target state",$C60&lt;&gt;"Exception",$D60="Low",$E60="Medium"),$A60&amp;"  "&amp;$B60,"")</f>
        <v/>
      </c>
      <c r="W60">
        <f>IF(AND($B60&lt;&gt;"",$C60&lt;&gt;"Target state",$C60&lt;&gt;"Exception",$D60="Low",$E60="High"),$A60&amp;"  "&amp;$B60,"")</f>
        <v/>
      </c>
    </row>
    <row r="61" ht="20" customHeight="1">
      <c r="A61" s="29" t="inlineStr">
        <is>
          <t>⑥</t>
        </is>
      </c>
      <c r="B61" s="30" t="n"/>
      <c r="C61" s="31" t="n"/>
      <c r="D61" s="31" t="n"/>
      <c r="E61" s="31" t="n"/>
      <c r="F61" s="32" t="n"/>
      <c r="G61" s="33">
        <f>IF(OR($B61="",$D61="",$E61=""),"",IF(OR($C61="Target state",$C61="Exception"),"Out of scope",IF($D61="Low","No tranche",IF($E61="Low","Tranche 1",IF($E61="Medium","Tranche 2",IF($D61="High","Tranche 3","No tranche"))))))</f>
        <v/>
      </c>
      <c r="K61" s="40" t="n"/>
      <c r="L61" s="40" t="n"/>
      <c r="M61" s="40" t="n"/>
      <c r="O61">
        <f>IF(AND($B61&lt;&gt;"",$C61&lt;&gt;"Target state",$C61&lt;&gt;"Exception",$D61="High",$E61="Low"),$A61&amp;"  "&amp;$B61,"")</f>
        <v/>
      </c>
      <c r="P61">
        <f>IF(AND($B61&lt;&gt;"",$C61&lt;&gt;"Target state",$C61&lt;&gt;"Exception",$D61="High",$E61="Medium"),$A61&amp;"  "&amp;$B61,"")</f>
        <v/>
      </c>
      <c r="Q61">
        <f>IF(AND($B61&lt;&gt;"",$C61&lt;&gt;"Target state",$C61&lt;&gt;"Exception",$D61="High",$E61="High"),$A61&amp;"  "&amp;$B61,"")</f>
        <v/>
      </c>
      <c r="R61">
        <f>IF(AND($B61&lt;&gt;"",$C61&lt;&gt;"Target state",$C61&lt;&gt;"Exception",$D61="Medium",$E61="Low"),$A61&amp;"  "&amp;$B61,"")</f>
        <v/>
      </c>
      <c r="S61">
        <f>IF(AND($B61&lt;&gt;"",$C61&lt;&gt;"Target state",$C61&lt;&gt;"Exception",$D61="Medium",$E61="Medium"),$A61&amp;"  "&amp;$B61,"")</f>
        <v/>
      </c>
      <c r="T61">
        <f>IF(AND($B61&lt;&gt;"",$C61&lt;&gt;"Target state",$C61&lt;&gt;"Exception",$D61="Medium",$E61="High"),$A61&amp;"  "&amp;$B61,"")</f>
        <v/>
      </c>
      <c r="U61">
        <f>IF(AND($B61&lt;&gt;"",$C61&lt;&gt;"Target state",$C61&lt;&gt;"Exception",$D61="Low",$E61="Low"),$A61&amp;"  "&amp;$B61,"")</f>
        <v/>
      </c>
      <c r="V61">
        <f>IF(AND($B61&lt;&gt;"",$C61&lt;&gt;"Target state",$C61&lt;&gt;"Exception",$D61="Low",$E61="Medium"),$A61&amp;"  "&amp;$B61,"")</f>
        <v/>
      </c>
      <c r="W61">
        <f>IF(AND($B61&lt;&gt;"",$C61&lt;&gt;"Target state",$C61&lt;&gt;"Exception",$D61="Low",$E61="High"),$A61&amp;"  "&amp;$B61,"")</f>
        <v/>
      </c>
    </row>
    <row r="62" ht="20" customHeight="1">
      <c r="A62" s="29" t="inlineStr">
        <is>
          <t>⑦</t>
        </is>
      </c>
      <c r="B62" s="30" t="n"/>
      <c r="C62" s="31" t="n"/>
      <c r="D62" s="31" t="n"/>
      <c r="E62" s="31" t="n"/>
      <c r="F62" s="32" t="n"/>
      <c r="G62" s="33">
        <f>IF(OR($B62="",$D62="",$E62=""),"",IF(OR($C62="Target state",$C62="Exception"),"Out of scope",IF($D62="Low","No tranche",IF($E62="Low","Tranche 1",IF($E62="Medium","Tranche 2",IF($D62="High","Tranche 3","No tranche"))))))</f>
        <v/>
      </c>
      <c r="J62" s="35" t="inlineStr">
        <is>
          <t>Low</t>
        </is>
      </c>
      <c r="K62" s="41">
        <f>_xlfn.TEXTJOIN(CHAR(10),TRUE,U$56:U$65)</f>
        <v/>
      </c>
      <c r="L62" s="41">
        <f>_xlfn.TEXTJOIN(CHAR(10),TRUE,V$56:V$65)</f>
        <v/>
      </c>
      <c r="M62" s="41">
        <f>_xlfn.TEXTJOIN(CHAR(10),TRUE,W$56:W$65)</f>
        <v/>
      </c>
      <c r="O62">
        <f>IF(AND($B62&lt;&gt;"",$C62&lt;&gt;"Target state",$C62&lt;&gt;"Exception",$D62="High",$E62="Low"),$A62&amp;"  "&amp;$B62,"")</f>
        <v/>
      </c>
      <c r="P62">
        <f>IF(AND($B62&lt;&gt;"",$C62&lt;&gt;"Target state",$C62&lt;&gt;"Exception",$D62="High",$E62="Medium"),$A62&amp;"  "&amp;$B62,"")</f>
        <v/>
      </c>
      <c r="Q62">
        <f>IF(AND($B62&lt;&gt;"",$C62&lt;&gt;"Target state",$C62&lt;&gt;"Exception",$D62="High",$E62="High"),$A62&amp;"  "&amp;$B62,"")</f>
        <v/>
      </c>
      <c r="R62">
        <f>IF(AND($B62&lt;&gt;"",$C62&lt;&gt;"Target state",$C62&lt;&gt;"Exception",$D62="Medium",$E62="Low"),$A62&amp;"  "&amp;$B62,"")</f>
        <v/>
      </c>
      <c r="S62">
        <f>IF(AND($B62&lt;&gt;"",$C62&lt;&gt;"Target state",$C62&lt;&gt;"Exception",$D62="Medium",$E62="Medium"),$A62&amp;"  "&amp;$B62,"")</f>
        <v/>
      </c>
      <c r="T62">
        <f>IF(AND($B62&lt;&gt;"",$C62&lt;&gt;"Target state",$C62&lt;&gt;"Exception",$D62="Medium",$E62="High"),$A62&amp;"  "&amp;$B62,"")</f>
        <v/>
      </c>
      <c r="U62">
        <f>IF(AND($B62&lt;&gt;"",$C62&lt;&gt;"Target state",$C62&lt;&gt;"Exception",$D62="Low",$E62="Low"),$A62&amp;"  "&amp;$B62,"")</f>
        <v/>
      </c>
      <c r="V62">
        <f>IF(AND($B62&lt;&gt;"",$C62&lt;&gt;"Target state",$C62&lt;&gt;"Exception",$D62="Low",$E62="Medium"),$A62&amp;"  "&amp;$B62,"")</f>
        <v/>
      </c>
      <c r="W62">
        <f>IF(AND($B62&lt;&gt;"",$C62&lt;&gt;"Target state",$C62&lt;&gt;"Exception",$D62="Low",$E62="High"),$A62&amp;"  "&amp;$B62,"")</f>
        <v/>
      </c>
    </row>
    <row r="63" ht="20" customHeight="1">
      <c r="A63" s="29" t="inlineStr">
        <is>
          <t>⑧</t>
        </is>
      </c>
      <c r="B63" s="30" t="n"/>
      <c r="C63" s="31" t="n"/>
      <c r="D63" s="31" t="n"/>
      <c r="E63" s="31" t="n"/>
      <c r="F63" s="32" t="n"/>
      <c r="G63" s="33">
        <f>IF(OR($B63="",$D63="",$E63=""),"",IF(OR($C63="Target state",$C63="Exception"),"Out of scope",IF($D63="Low","No tranche",IF($E63="Low","Tranche 1",IF($E63="Medium","Tranche 2",IF($D63="High","Tranche 3","No tranche"))))))</f>
        <v/>
      </c>
      <c r="K63" s="39" t="n"/>
      <c r="L63" s="39" t="n"/>
      <c r="M63" s="39" t="n"/>
      <c r="O63">
        <f>IF(AND($B63&lt;&gt;"",$C63&lt;&gt;"Target state",$C63&lt;&gt;"Exception",$D63="High",$E63="Low"),$A63&amp;"  "&amp;$B63,"")</f>
        <v/>
      </c>
      <c r="P63">
        <f>IF(AND($B63&lt;&gt;"",$C63&lt;&gt;"Target state",$C63&lt;&gt;"Exception",$D63="High",$E63="Medium"),$A63&amp;"  "&amp;$B63,"")</f>
        <v/>
      </c>
      <c r="Q63">
        <f>IF(AND($B63&lt;&gt;"",$C63&lt;&gt;"Target state",$C63&lt;&gt;"Exception",$D63="High",$E63="High"),$A63&amp;"  "&amp;$B63,"")</f>
        <v/>
      </c>
      <c r="R63">
        <f>IF(AND($B63&lt;&gt;"",$C63&lt;&gt;"Target state",$C63&lt;&gt;"Exception",$D63="Medium",$E63="Low"),$A63&amp;"  "&amp;$B63,"")</f>
        <v/>
      </c>
      <c r="S63">
        <f>IF(AND($B63&lt;&gt;"",$C63&lt;&gt;"Target state",$C63&lt;&gt;"Exception",$D63="Medium",$E63="Medium"),$A63&amp;"  "&amp;$B63,"")</f>
        <v/>
      </c>
      <c r="T63">
        <f>IF(AND($B63&lt;&gt;"",$C63&lt;&gt;"Target state",$C63&lt;&gt;"Exception",$D63="Medium",$E63="High"),$A63&amp;"  "&amp;$B63,"")</f>
        <v/>
      </c>
      <c r="U63">
        <f>IF(AND($B63&lt;&gt;"",$C63&lt;&gt;"Target state",$C63&lt;&gt;"Exception",$D63="Low",$E63="Low"),$A63&amp;"  "&amp;$B63,"")</f>
        <v/>
      </c>
      <c r="V63">
        <f>IF(AND($B63&lt;&gt;"",$C63&lt;&gt;"Target state",$C63&lt;&gt;"Exception",$D63="Low",$E63="Medium"),$A63&amp;"  "&amp;$B63,"")</f>
        <v/>
      </c>
      <c r="W63">
        <f>IF(AND($B63&lt;&gt;"",$C63&lt;&gt;"Target state",$C63&lt;&gt;"Exception",$D63="Low",$E63="High"),$A63&amp;"  "&amp;$B63,"")</f>
        <v/>
      </c>
    </row>
    <row r="64" ht="20" customHeight="1">
      <c r="A64" s="29" t="inlineStr">
        <is>
          <t>⑨</t>
        </is>
      </c>
      <c r="B64" s="30" t="n"/>
      <c r="C64" s="31" t="n"/>
      <c r="D64" s="31" t="n"/>
      <c r="E64" s="31" t="n"/>
      <c r="F64" s="32" t="n"/>
      <c r="G64" s="33">
        <f>IF(OR($B64="",$D64="",$E64=""),"",IF(OR($C64="Target state",$C64="Exception"),"Out of scope",IF($D64="Low","No tranche",IF($E64="Low","Tranche 1",IF($E64="Medium","Tranche 2",IF($D64="High","Tranche 3","No tranche"))))))</f>
        <v/>
      </c>
      <c r="K64" s="40" t="n"/>
      <c r="L64" s="40" t="n"/>
      <c r="M64" s="40" t="n"/>
      <c r="O64">
        <f>IF(AND($B64&lt;&gt;"",$C64&lt;&gt;"Target state",$C64&lt;&gt;"Exception",$D64="High",$E64="Low"),$A64&amp;"  "&amp;$B64,"")</f>
        <v/>
      </c>
      <c r="P64">
        <f>IF(AND($B64&lt;&gt;"",$C64&lt;&gt;"Target state",$C64&lt;&gt;"Exception",$D64="High",$E64="Medium"),$A64&amp;"  "&amp;$B64,"")</f>
        <v/>
      </c>
      <c r="Q64">
        <f>IF(AND($B64&lt;&gt;"",$C64&lt;&gt;"Target state",$C64&lt;&gt;"Exception",$D64="High",$E64="High"),$A64&amp;"  "&amp;$B64,"")</f>
        <v/>
      </c>
      <c r="R64">
        <f>IF(AND($B64&lt;&gt;"",$C64&lt;&gt;"Target state",$C64&lt;&gt;"Exception",$D64="Medium",$E64="Low"),$A64&amp;"  "&amp;$B64,"")</f>
        <v/>
      </c>
      <c r="S64">
        <f>IF(AND($B64&lt;&gt;"",$C64&lt;&gt;"Target state",$C64&lt;&gt;"Exception",$D64="Medium",$E64="Medium"),$A64&amp;"  "&amp;$B64,"")</f>
        <v/>
      </c>
      <c r="T64">
        <f>IF(AND($B64&lt;&gt;"",$C64&lt;&gt;"Target state",$C64&lt;&gt;"Exception",$D64="Medium",$E64="High"),$A64&amp;"  "&amp;$B64,"")</f>
        <v/>
      </c>
      <c r="U64">
        <f>IF(AND($B64&lt;&gt;"",$C64&lt;&gt;"Target state",$C64&lt;&gt;"Exception",$D64="Low",$E64="Low"),$A64&amp;"  "&amp;$B64,"")</f>
        <v/>
      </c>
      <c r="V64">
        <f>IF(AND($B64&lt;&gt;"",$C64&lt;&gt;"Target state",$C64&lt;&gt;"Exception",$D64="Low",$E64="Medium"),$A64&amp;"  "&amp;$B64,"")</f>
        <v/>
      </c>
      <c r="W64">
        <f>IF(AND($B64&lt;&gt;"",$C64&lt;&gt;"Target state",$C64&lt;&gt;"Exception",$D64="Low",$E64="High"),$A64&amp;"  "&amp;$B64,"")</f>
        <v/>
      </c>
    </row>
    <row r="65" ht="20" customHeight="1">
      <c r="A65" s="29" t="inlineStr">
        <is>
          <t>⑩</t>
        </is>
      </c>
      <c r="B65" s="30" t="n"/>
      <c r="C65" s="31" t="n"/>
      <c r="D65" s="31" t="n"/>
      <c r="E65" s="31" t="n"/>
      <c r="F65" s="32" t="n"/>
      <c r="G65" s="33">
        <f>IF(OR($B65="",$D65="",$E65=""),"",IF(OR($C65="Target state",$C65="Exception"),"Out of scope",IF($D65="Low","No tranche",IF($E65="Low","Tranche 1",IF($E65="Medium","Tranche 2",IF($D65="High","Tranche 3","No tranche"))))))</f>
        <v/>
      </c>
      <c r="K65" s="35" t="inlineStr">
        <is>
          <t>Complexity</t>
        </is>
      </c>
      <c r="O65">
        <f>IF(AND($B65&lt;&gt;"",$C65&lt;&gt;"Target state",$C65&lt;&gt;"Exception",$D65="High",$E65="Low"),$A65&amp;"  "&amp;$B65,"")</f>
        <v/>
      </c>
      <c r="P65">
        <f>IF(AND($B65&lt;&gt;"",$C65&lt;&gt;"Target state",$C65&lt;&gt;"Exception",$D65="High",$E65="Medium"),$A65&amp;"  "&amp;$B65,"")</f>
        <v/>
      </c>
      <c r="Q65">
        <f>IF(AND($B65&lt;&gt;"",$C65&lt;&gt;"Target state",$C65&lt;&gt;"Exception",$D65="High",$E65="High"),$A65&amp;"  "&amp;$B65,"")</f>
        <v/>
      </c>
      <c r="R65">
        <f>IF(AND($B65&lt;&gt;"",$C65&lt;&gt;"Target state",$C65&lt;&gt;"Exception",$D65="Medium",$E65="Low"),$A65&amp;"  "&amp;$B65,"")</f>
        <v/>
      </c>
      <c r="S65">
        <f>IF(AND($B65&lt;&gt;"",$C65&lt;&gt;"Target state",$C65&lt;&gt;"Exception",$D65="Medium",$E65="Medium"),$A65&amp;"  "&amp;$B65,"")</f>
        <v/>
      </c>
      <c r="T65">
        <f>IF(AND($B65&lt;&gt;"",$C65&lt;&gt;"Target state",$C65&lt;&gt;"Exception",$D65="Medium",$E65="High"),$A65&amp;"  "&amp;$B65,"")</f>
        <v/>
      </c>
      <c r="U65">
        <f>IF(AND($B65&lt;&gt;"",$C65&lt;&gt;"Target state",$C65&lt;&gt;"Exception",$D65="Low",$E65="Low"),$A65&amp;"  "&amp;$B65,"")</f>
        <v/>
      </c>
      <c r="V65">
        <f>IF(AND($B65&lt;&gt;"",$C65&lt;&gt;"Target state",$C65&lt;&gt;"Exception",$D65="Low",$E65="Medium"),$A65&amp;"  "&amp;$B65,"")</f>
        <v/>
      </c>
      <c r="W65">
        <f>IF(AND($B65&lt;&gt;"",$C65&lt;&gt;"Target state",$C65&lt;&gt;"Exception",$D65="Low",$E65="High"),$A65&amp;"  "&amp;$B65,"")</f>
        <v/>
      </c>
    </row>
    <row r="68" ht="22" customHeight="1">
      <c r="A68" s="24" t="inlineStr">
        <is>
          <t>AI Tools</t>
        </is>
      </c>
      <c r="G68" s="25">
        <f>HYPERLINK("#'Global Infrastructure'!A4","▲ tracker")</f>
        <v/>
      </c>
      <c r="K68" s="26" t="inlineStr">
        <is>
          <t>Assessment Outcome</t>
        </is>
      </c>
    </row>
    <row r="69" ht="18" customHeight="1">
      <c r="A69" s="27" t="inlineStr">
        <is>
          <t>#</t>
        </is>
      </c>
      <c r="B69" s="27" t="inlineStr">
        <is>
          <t>Platform</t>
        </is>
      </c>
      <c r="C69" s="27" t="inlineStr">
        <is>
          <t>State</t>
        </is>
      </c>
      <c r="D69" s="27" t="inlineStr">
        <is>
          <t>Imperative to exit</t>
        </is>
      </c>
      <c r="E69" s="27" t="inlineStr">
        <is>
          <t>Exit complexity</t>
        </is>
      </c>
      <c r="F69" s="27" t="inlineStr">
        <is>
          <t>Supporting facts</t>
        </is>
      </c>
      <c r="G69" s="27" t="inlineStr">
        <is>
          <t>Tranche (auto)</t>
        </is>
      </c>
      <c r="K69" s="28" t="inlineStr">
        <is>
          <t>Low</t>
        </is>
      </c>
      <c r="L69" s="28" t="inlineStr">
        <is>
          <t>Medium</t>
        </is>
      </c>
      <c r="M69" s="28" t="inlineStr">
        <is>
          <t>High</t>
        </is>
      </c>
    </row>
    <row r="70" ht="20" customHeight="1">
      <c r="A70" s="29" t="inlineStr">
        <is>
          <t>①</t>
        </is>
      </c>
      <c r="B70" s="30" t="n"/>
      <c r="C70" s="31" t="n"/>
      <c r="D70" s="31" t="n"/>
      <c r="E70" s="31" t="n"/>
      <c r="F70" s="32" t="n"/>
      <c r="G70" s="33">
        <f>IF(OR($B70="",$D70="",$E70=""),"",IF(OR($C70="Target state",$C70="Exception"),"Out of scope",IF($D70="Low","No tranche",IF($E70="Low","Tranche 1",IF($E70="Medium","Tranche 2",IF($D70="High","Tranche 3","No tranche"))))))</f>
        <v/>
      </c>
      <c r="I70" s="34" t="inlineStr">
        <is>
          <t>Benefits</t>
        </is>
      </c>
      <c r="J70" s="35" t="inlineStr">
        <is>
          <t>High</t>
        </is>
      </c>
      <c r="K70" s="36">
        <f>"Tranche 1"&amp;CHAR(10)&amp;_xlfn.TEXTJOIN(CHAR(10),TRUE,O$70:O$79)</f>
        <v/>
      </c>
      <c r="L70" s="37">
        <f>"Tranche 2"&amp;CHAR(10)&amp;_xlfn.TEXTJOIN(CHAR(10),TRUE,P$70:P$79)</f>
        <v/>
      </c>
      <c r="M70" s="38">
        <f>"Tranche 3"&amp;CHAR(10)&amp;_xlfn.TEXTJOIN(CHAR(10),TRUE,Q$70:Q$79)</f>
        <v/>
      </c>
      <c r="O70">
        <f>IF(AND($B70&lt;&gt;"",$C70&lt;&gt;"Target state",$C70&lt;&gt;"Exception",$D70="High",$E70="Low"),$A70&amp;"  "&amp;$B70,"")</f>
        <v/>
      </c>
      <c r="P70">
        <f>IF(AND($B70&lt;&gt;"",$C70&lt;&gt;"Target state",$C70&lt;&gt;"Exception",$D70="High",$E70="Medium"),$A70&amp;"  "&amp;$B70,"")</f>
        <v/>
      </c>
      <c r="Q70">
        <f>IF(AND($B70&lt;&gt;"",$C70&lt;&gt;"Target state",$C70&lt;&gt;"Exception",$D70="High",$E70="High"),$A70&amp;"  "&amp;$B70,"")</f>
        <v/>
      </c>
      <c r="R70">
        <f>IF(AND($B70&lt;&gt;"",$C70&lt;&gt;"Target state",$C70&lt;&gt;"Exception",$D70="Medium",$E70="Low"),$A70&amp;"  "&amp;$B70,"")</f>
        <v/>
      </c>
      <c r="S70">
        <f>IF(AND($B70&lt;&gt;"",$C70&lt;&gt;"Target state",$C70&lt;&gt;"Exception",$D70="Medium",$E70="Medium"),$A70&amp;"  "&amp;$B70,"")</f>
        <v/>
      </c>
      <c r="T70">
        <f>IF(AND($B70&lt;&gt;"",$C70&lt;&gt;"Target state",$C70&lt;&gt;"Exception",$D70="Medium",$E70="High"),$A70&amp;"  "&amp;$B70,"")</f>
        <v/>
      </c>
      <c r="U70">
        <f>IF(AND($B70&lt;&gt;"",$C70&lt;&gt;"Target state",$C70&lt;&gt;"Exception",$D70="Low",$E70="Low"),$A70&amp;"  "&amp;$B70,"")</f>
        <v/>
      </c>
      <c r="V70">
        <f>IF(AND($B70&lt;&gt;"",$C70&lt;&gt;"Target state",$C70&lt;&gt;"Exception",$D70="Low",$E70="Medium"),$A70&amp;"  "&amp;$B70,"")</f>
        <v/>
      </c>
      <c r="W70">
        <f>IF(AND($B70&lt;&gt;"",$C70&lt;&gt;"Target state",$C70&lt;&gt;"Exception",$D70="Low",$E70="High"),$A70&amp;"  "&amp;$B70,"")</f>
        <v/>
      </c>
    </row>
    <row r="71" ht="20" customHeight="1">
      <c r="A71" s="29" t="inlineStr">
        <is>
          <t>②</t>
        </is>
      </c>
      <c r="B71" s="30" t="n"/>
      <c r="C71" s="31" t="n"/>
      <c r="D71" s="31" t="n"/>
      <c r="E71" s="31" t="n"/>
      <c r="F71" s="32" t="n"/>
      <c r="G71" s="33">
        <f>IF(OR($B71="",$D71="",$E71=""),"",IF(OR($C71="Target state",$C71="Exception"),"Out of scope",IF($D71="Low","No tranche",IF($E71="Low","Tranche 1",IF($E71="Medium","Tranche 2",IF($D71="High","Tranche 3","No tranche"))))))</f>
        <v/>
      </c>
      <c r="K71" s="39" t="n"/>
      <c r="L71" s="39" t="n"/>
      <c r="M71" s="39" t="n"/>
      <c r="O71">
        <f>IF(AND($B71&lt;&gt;"",$C71&lt;&gt;"Target state",$C71&lt;&gt;"Exception",$D71="High",$E71="Low"),$A71&amp;"  "&amp;$B71,"")</f>
        <v/>
      </c>
      <c r="P71">
        <f>IF(AND($B71&lt;&gt;"",$C71&lt;&gt;"Target state",$C71&lt;&gt;"Exception",$D71="High",$E71="Medium"),$A71&amp;"  "&amp;$B71,"")</f>
        <v/>
      </c>
      <c r="Q71">
        <f>IF(AND($B71&lt;&gt;"",$C71&lt;&gt;"Target state",$C71&lt;&gt;"Exception",$D71="High",$E71="High"),$A71&amp;"  "&amp;$B71,"")</f>
        <v/>
      </c>
      <c r="R71">
        <f>IF(AND($B71&lt;&gt;"",$C71&lt;&gt;"Target state",$C71&lt;&gt;"Exception",$D71="Medium",$E71="Low"),$A71&amp;"  "&amp;$B71,"")</f>
        <v/>
      </c>
      <c r="S71">
        <f>IF(AND($B71&lt;&gt;"",$C71&lt;&gt;"Target state",$C71&lt;&gt;"Exception",$D71="Medium",$E71="Medium"),$A71&amp;"  "&amp;$B71,"")</f>
        <v/>
      </c>
      <c r="T71">
        <f>IF(AND($B71&lt;&gt;"",$C71&lt;&gt;"Target state",$C71&lt;&gt;"Exception",$D71="Medium",$E71="High"),$A71&amp;"  "&amp;$B71,"")</f>
        <v/>
      </c>
      <c r="U71">
        <f>IF(AND($B71&lt;&gt;"",$C71&lt;&gt;"Target state",$C71&lt;&gt;"Exception",$D71="Low",$E71="Low"),$A71&amp;"  "&amp;$B71,"")</f>
        <v/>
      </c>
      <c r="V71">
        <f>IF(AND($B71&lt;&gt;"",$C71&lt;&gt;"Target state",$C71&lt;&gt;"Exception",$D71="Low",$E71="Medium"),$A71&amp;"  "&amp;$B71,"")</f>
        <v/>
      </c>
      <c r="W71">
        <f>IF(AND($B71&lt;&gt;"",$C71&lt;&gt;"Target state",$C71&lt;&gt;"Exception",$D71="Low",$E71="High"),$A71&amp;"  "&amp;$B71,"")</f>
        <v/>
      </c>
    </row>
    <row r="72" ht="20" customHeight="1">
      <c r="A72" s="29" t="inlineStr">
        <is>
          <t>③</t>
        </is>
      </c>
      <c r="B72" s="30" t="n"/>
      <c r="C72" s="31" t="n"/>
      <c r="D72" s="31" t="n"/>
      <c r="E72" s="31" t="n"/>
      <c r="F72" s="32" t="n"/>
      <c r="G72" s="33">
        <f>IF(OR($B72="",$D72="",$E72=""),"",IF(OR($C72="Target state",$C72="Exception"),"Out of scope",IF($D72="Low","No tranche",IF($E72="Low","Tranche 1",IF($E72="Medium","Tranche 2",IF($D72="High","Tranche 3","No tranche"))))))</f>
        <v/>
      </c>
      <c r="K72" s="40" t="n"/>
      <c r="L72" s="40" t="n"/>
      <c r="M72" s="40" t="n"/>
      <c r="O72">
        <f>IF(AND($B72&lt;&gt;"",$C72&lt;&gt;"Target state",$C72&lt;&gt;"Exception",$D72="High",$E72="Low"),$A72&amp;"  "&amp;$B72,"")</f>
        <v/>
      </c>
      <c r="P72">
        <f>IF(AND($B72&lt;&gt;"",$C72&lt;&gt;"Target state",$C72&lt;&gt;"Exception",$D72="High",$E72="Medium"),$A72&amp;"  "&amp;$B72,"")</f>
        <v/>
      </c>
      <c r="Q72">
        <f>IF(AND($B72&lt;&gt;"",$C72&lt;&gt;"Target state",$C72&lt;&gt;"Exception",$D72="High",$E72="High"),$A72&amp;"  "&amp;$B72,"")</f>
        <v/>
      </c>
      <c r="R72">
        <f>IF(AND($B72&lt;&gt;"",$C72&lt;&gt;"Target state",$C72&lt;&gt;"Exception",$D72="Medium",$E72="Low"),$A72&amp;"  "&amp;$B72,"")</f>
        <v/>
      </c>
      <c r="S72">
        <f>IF(AND($B72&lt;&gt;"",$C72&lt;&gt;"Target state",$C72&lt;&gt;"Exception",$D72="Medium",$E72="Medium"),$A72&amp;"  "&amp;$B72,"")</f>
        <v/>
      </c>
      <c r="T72">
        <f>IF(AND($B72&lt;&gt;"",$C72&lt;&gt;"Target state",$C72&lt;&gt;"Exception",$D72="Medium",$E72="High"),$A72&amp;"  "&amp;$B72,"")</f>
        <v/>
      </c>
      <c r="U72">
        <f>IF(AND($B72&lt;&gt;"",$C72&lt;&gt;"Target state",$C72&lt;&gt;"Exception",$D72="Low",$E72="Low"),$A72&amp;"  "&amp;$B72,"")</f>
        <v/>
      </c>
      <c r="V72">
        <f>IF(AND($B72&lt;&gt;"",$C72&lt;&gt;"Target state",$C72&lt;&gt;"Exception",$D72="Low",$E72="Medium"),$A72&amp;"  "&amp;$B72,"")</f>
        <v/>
      </c>
      <c r="W72">
        <f>IF(AND($B72&lt;&gt;"",$C72&lt;&gt;"Target state",$C72&lt;&gt;"Exception",$D72="Low",$E72="High"),$A72&amp;"  "&amp;$B72,"")</f>
        <v/>
      </c>
    </row>
    <row r="73" ht="20" customHeight="1">
      <c r="A73" s="29" t="inlineStr">
        <is>
          <t>④</t>
        </is>
      </c>
      <c r="B73" s="30" t="n"/>
      <c r="C73" s="31" t="n"/>
      <c r="D73" s="31" t="n"/>
      <c r="E73" s="31" t="n"/>
      <c r="F73" s="32" t="n"/>
      <c r="G73" s="33">
        <f>IF(OR($B73="",$D73="",$E73=""),"",IF(OR($C73="Target state",$C73="Exception"),"Out of scope",IF($D73="Low","No tranche",IF($E73="Low","Tranche 1",IF($E73="Medium","Tranche 2",IF($D73="High","Tranche 3","No tranche"))))))</f>
        <v/>
      </c>
      <c r="J73" s="35" t="inlineStr">
        <is>
          <t>Medium</t>
        </is>
      </c>
      <c r="K73" s="36">
        <f>"Tranche 1"&amp;CHAR(10)&amp;_xlfn.TEXTJOIN(CHAR(10),TRUE,R$70:R$79)</f>
        <v/>
      </c>
      <c r="L73" s="37">
        <f>"Tranche 2"&amp;CHAR(10)&amp;_xlfn.TEXTJOIN(CHAR(10),TRUE,S$70:S$79)</f>
        <v/>
      </c>
      <c r="M73" s="41">
        <f>_xlfn.TEXTJOIN(CHAR(10),TRUE,T$70:T$79)</f>
        <v/>
      </c>
      <c r="O73">
        <f>IF(AND($B73&lt;&gt;"",$C73&lt;&gt;"Target state",$C73&lt;&gt;"Exception",$D73="High",$E73="Low"),$A73&amp;"  "&amp;$B73,"")</f>
        <v/>
      </c>
      <c r="P73">
        <f>IF(AND($B73&lt;&gt;"",$C73&lt;&gt;"Target state",$C73&lt;&gt;"Exception",$D73="High",$E73="Medium"),$A73&amp;"  "&amp;$B73,"")</f>
        <v/>
      </c>
      <c r="Q73">
        <f>IF(AND($B73&lt;&gt;"",$C73&lt;&gt;"Target state",$C73&lt;&gt;"Exception",$D73="High",$E73="High"),$A73&amp;"  "&amp;$B73,"")</f>
        <v/>
      </c>
      <c r="R73">
        <f>IF(AND($B73&lt;&gt;"",$C73&lt;&gt;"Target state",$C73&lt;&gt;"Exception",$D73="Medium",$E73="Low"),$A73&amp;"  "&amp;$B73,"")</f>
        <v/>
      </c>
      <c r="S73">
        <f>IF(AND($B73&lt;&gt;"",$C73&lt;&gt;"Target state",$C73&lt;&gt;"Exception",$D73="Medium",$E73="Medium"),$A73&amp;"  "&amp;$B73,"")</f>
        <v/>
      </c>
      <c r="T73">
        <f>IF(AND($B73&lt;&gt;"",$C73&lt;&gt;"Target state",$C73&lt;&gt;"Exception",$D73="Medium",$E73="High"),$A73&amp;"  "&amp;$B73,"")</f>
        <v/>
      </c>
      <c r="U73">
        <f>IF(AND($B73&lt;&gt;"",$C73&lt;&gt;"Target state",$C73&lt;&gt;"Exception",$D73="Low",$E73="Low"),$A73&amp;"  "&amp;$B73,"")</f>
        <v/>
      </c>
      <c r="V73">
        <f>IF(AND($B73&lt;&gt;"",$C73&lt;&gt;"Target state",$C73&lt;&gt;"Exception",$D73="Low",$E73="Medium"),$A73&amp;"  "&amp;$B73,"")</f>
        <v/>
      </c>
      <c r="W73">
        <f>IF(AND($B73&lt;&gt;"",$C73&lt;&gt;"Target state",$C73&lt;&gt;"Exception",$D73="Low",$E73="High"),$A73&amp;"  "&amp;$B73,"")</f>
        <v/>
      </c>
    </row>
    <row r="74" ht="20" customHeight="1">
      <c r="A74" s="29" t="inlineStr">
        <is>
          <t>⑤</t>
        </is>
      </c>
      <c r="B74" s="30" t="n"/>
      <c r="C74" s="31" t="n"/>
      <c r="D74" s="31" t="n"/>
      <c r="E74" s="31" t="n"/>
      <c r="F74" s="32" t="n"/>
      <c r="G74" s="33">
        <f>IF(OR($B74="",$D74="",$E74=""),"",IF(OR($C74="Target state",$C74="Exception"),"Out of scope",IF($D74="Low","No tranche",IF($E74="Low","Tranche 1",IF($E74="Medium","Tranche 2",IF($D74="High","Tranche 3","No tranche"))))))</f>
        <v/>
      </c>
      <c r="K74" s="39" t="n"/>
      <c r="L74" s="39" t="n"/>
      <c r="M74" s="39" t="n"/>
      <c r="O74">
        <f>IF(AND($B74&lt;&gt;"",$C74&lt;&gt;"Target state",$C74&lt;&gt;"Exception",$D74="High",$E74="Low"),$A74&amp;"  "&amp;$B74,"")</f>
        <v/>
      </c>
      <c r="P74">
        <f>IF(AND($B74&lt;&gt;"",$C74&lt;&gt;"Target state",$C74&lt;&gt;"Exception",$D74="High",$E74="Medium"),$A74&amp;"  "&amp;$B74,"")</f>
        <v/>
      </c>
      <c r="Q74">
        <f>IF(AND($B74&lt;&gt;"",$C74&lt;&gt;"Target state",$C74&lt;&gt;"Exception",$D74="High",$E74="High"),$A74&amp;"  "&amp;$B74,"")</f>
        <v/>
      </c>
      <c r="R74">
        <f>IF(AND($B74&lt;&gt;"",$C74&lt;&gt;"Target state",$C74&lt;&gt;"Exception",$D74="Medium",$E74="Low"),$A74&amp;"  "&amp;$B74,"")</f>
        <v/>
      </c>
      <c r="S74">
        <f>IF(AND($B74&lt;&gt;"",$C74&lt;&gt;"Target state",$C74&lt;&gt;"Exception",$D74="Medium",$E74="Medium"),$A74&amp;"  "&amp;$B74,"")</f>
        <v/>
      </c>
      <c r="T74">
        <f>IF(AND($B74&lt;&gt;"",$C74&lt;&gt;"Target state",$C74&lt;&gt;"Exception",$D74="Medium",$E74="High"),$A74&amp;"  "&amp;$B74,"")</f>
        <v/>
      </c>
      <c r="U74">
        <f>IF(AND($B74&lt;&gt;"",$C74&lt;&gt;"Target state",$C74&lt;&gt;"Exception",$D74="Low",$E74="Low"),$A74&amp;"  "&amp;$B74,"")</f>
        <v/>
      </c>
      <c r="V74">
        <f>IF(AND($B74&lt;&gt;"",$C74&lt;&gt;"Target state",$C74&lt;&gt;"Exception",$D74="Low",$E74="Medium"),$A74&amp;"  "&amp;$B74,"")</f>
        <v/>
      </c>
      <c r="W74">
        <f>IF(AND($B74&lt;&gt;"",$C74&lt;&gt;"Target state",$C74&lt;&gt;"Exception",$D74="Low",$E74="High"),$A74&amp;"  "&amp;$B74,"")</f>
        <v/>
      </c>
    </row>
    <row r="75" ht="20" customHeight="1">
      <c r="A75" s="29" t="inlineStr">
        <is>
          <t>⑥</t>
        </is>
      </c>
      <c r="B75" s="30" t="n"/>
      <c r="C75" s="31" t="n"/>
      <c r="D75" s="31" t="n"/>
      <c r="E75" s="31" t="n"/>
      <c r="F75" s="32" t="n"/>
      <c r="G75" s="33">
        <f>IF(OR($B75="",$D75="",$E75=""),"",IF(OR($C75="Target state",$C75="Exception"),"Out of scope",IF($D75="Low","No tranche",IF($E75="Low","Tranche 1",IF($E75="Medium","Tranche 2",IF($D75="High","Tranche 3","No tranche"))))))</f>
        <v/>
      </c>
      <c r="K75" s="40" t="n"/>
      <c r="L75" s="40" t="n"/>
      <c r="M75" s="40" t="n"/>
      <c r="O75">
        <f>IF(AND($B75&lt;&gt;"",$C75&lt;&gt;"Target state",$C75&lt;&gt;"Exception",$D75="High",$E75="Low"),$A75&amp;"  "&amp;$B75,"")</f>
        <v/>
      </c>
      <c r="P75">
        <f>IF(AND($B75&lt;&gt;"",$C75&lt;&gt;"Target state",$C75&lt;&gt;"Exception",$D75="High",$E75="Medium"),$A75&amp;"  "&amp;$B75,"")</f>
        <v/>
      </c>
      <c r="Q75">
        <f>IF(AND($B75&lt;&gt;"",$C75&lt;&gt;"Target state",$C75&lt;&gt;"Exception",$D75="High",$E75="High"),$A75&amp;"  "&amp;$B75,"")</f>
        <v/>
      </c>
      <c r="R75">
        <f>IF(AND($B75&lt;&gt;"",$C75&lt;&gt;"Target state",$C75&lt;&gt;"Exception",$D75="Medium",$E75="Low"),$A75&amp;"  "&amp;$B75,"")</f>
        <v/>
      </c>
      <c r="S75">
        <f>IF(AND($B75&lt;&gt;"",$C75&lt;&gt;"Target state",$C75&lt;&gt;"Exception",$D75="Medium",$E75="Medium"),$A75&amp;"  "&amp;$B75,"")</f>
        <v/>
      </c>
      <c r="T75">
        <f>IF(AND($B75&lt;&gt;"",$C75&lt;&gt;"Target state",$C75&lt;&gt;"Exception",$D75="Medium",$E75="High"),$A75&amp;"  "&amp;$B75,"")</f>
        <v/>
      </c>
      <c r="U75">
        <f>IF(AND($B75&lt;&gt;"",$C75&lt;&gt;"Target state",$C75&lt;&gt;"Exception",$D75="Low",$E75="Low"),$A75&amp;"  "&amp;$B75,"")</f>
        <v/>
      </c>
      <c r="V75">
        <f>IF(AND($B75&lt;&gt;"",$C75&lt;&gt;"Target state",$C75&lt;&gt;"Exception",$D75="Low",$E75="Medium"),$A75&amp;"  "&amp;$B75,"")</f>
        <v/>
      </c>
      <c r="W75">
        <f>IF(AND($B75&lt;&gt;"",$C75&lt;&gt;"Target state",$C75&lt;&gt;"Exception",$D75="Low",$E75="High"),$A75&amp;"  "&amp;$B75,"")</f>
        <v/>
      </c>
    </row>
    <row r="76" ht="20" customHeight="1">
      <c r="A76" s="29" t="inlineStr">
        <is>
          <t>⑦</t>
        </is>
      </c>
      <c r="B76" s="30" t="n"/>
      <c r="C76" s="31" t="n"/>
      <c r="D76" s="31" t="n"/>
      <c r="E76" s="31" t="n"/>
      <c r="F76" s="32" t="n"/>
      <c r="G76" s="33">
        <f>IF(OR($B76="",$D76="",$E76=""),"",IF(OR($C76="Target state",$C76="Exception"),"Out of scope",IF($D76="Low","No tranche",IF($E76="Low","Tranche 1",IF($E76="Medium","Tranche 2",IF($D76="High","Tranche 3","No tranche"))))))</f>
        <v/>
      </c>
      <c r="J76" s="35" t="inlineStr">
        <is>
          <t>Low</t>
        </is>
      </c>
      <c r="K76" s="41">
        <f>_xlfn.TEXTJOIN(CHAR(10),TRUE,U$70:U$79)</f>
        <v/>
      </c>
      <c r="L76" s="41">
        <f>_xlfn.TEXTJOIN(CHAR(10),TRUE,V$70:V$79)</f>
        <v/>
      </c>
      <c r="M76" s="41">
        <f>_xlfn.TEXTJOIN(CHAR(10),TRUE,W$70:W$79)</f>
        <v/>
      </c>
      <c r="O76">
        <f>IF(AND($B76&lt;&gt;"",$C76&lt;&gt;"Target state",$C76&lt;&gt;"Exception",$D76="High",$E76="Low"),$A76&amp;"  "&amp;$B76,"")</f>
        <v/>
      </c>
      <c r="P76">
        <f>IF(AND($B76&lt;&gt;"",$C76&lt;&gt;"Target state",$C76&lt;&gt;"Exception",$D76="High",$E76="Medium"),$A76&amp;"  "&amp;$B76,"")</f>
        <v/>
      </c>
      <c r="Q76">
        <f>IF(AND($B76&lt;&gt;"",$C76&lt;&gt;"Target state",$C76&lt;&gt;"Exception",$D76="High",$E76="High"),$A76&amp;"  "&amp;$B76,"")</f>
        <v/>
      </c>
      <c r="R76">
        <f>IF(AND($B76&lt;&gt;"",$C76&lt;&gt;"Target state",$C76&lt;&gt;"Exception",$D76="Medium",$E76="Low"),$A76&amp;"  "&amp;$B76,"")</f>
        <v/>
      </c>
      <c r="S76">
        <f>IF(AND($B76&lt;&gt;"",$C76&lt;&gt;"Target state",$C76&lt;&gt;"Exception",$D76="Medium",$E76="Medium"),$A76&amp;"  "&amp;$B76,"")</f>
        <v/>
      </c>
      <c r="T76">
        <f>IF(AND($B76&lt;&gt;"",$C76&lt;&gt;"Target state",$C76&lt;&gt;"Exception",$D76="Medium",$E76="High"),$A76&amp;"  "&amp;$B76,"")</f>
        <v/>
      </c>
      <c r="U76">
        <f>IF(AND($B76&lt;&gt;"",$C76&lt;&gt;"Target state",$C76&lt;&gt;"Exception",$D76="Low",$E76="Low"),$A76&amp;"  "&amp;$B76,"")</f>
        <v/>
      </c>
      <c r="V76">
        <f>IF(AND($B76&lt;&gt;"",$C76&lt;&gt;"Target state",$C76&lt;&gt;"Exception",$D76="Low",$E76="Medium"),$A76&amp;"  "&amp;$B76,"")</f>
        <v/>
      </c>
      <c r="W76">
        <f>IF(AND($B76&lt;&gt;"",$C76&lt;&gt;"Target state",$C76&lt;&gt;"Exception",$D76="Low",$E76="High"),$A76&amp;"  "&amp;$B76,"")</f>
        <v/>
      </c>
    </row>
    <row r="77" ht="20" customHeight="1">
      <c r="A77" s="29" t="inlineStr">
        <is>
          <t>⑧</t>
        </is>
      </c>
      <c r="B77" s="30" t="n"/>
      <c r="C77" s="31" t="n"/>
      <c r="D77" s="31" t="n"/>
      <c r="E77" s="31" t="n"/>
      <c r="F77" s="32" t="n"/>
      <c r="G77" s="33">
        <f>IF(OR($B77="",$D77="",$E77=""),"",IF(OR($C77="Target state",$C77="Exception"),"Out of scope",IF($D77="Low","No tranche",IF($E77="Low","Tranche 1",IF($E77="Medium","Tranche 2",IF($D77="High","Tranche 3","No tranche"))))))</f>
        <v/>
      </c>
      <c r="K77" s="39" t="n"/>
      <c r="L77" s="39" t="n"/>
      <c r="M77" s="39" t="n"/>
      <c r="O77">
        <f>IF(AND($B77&lt;&gt;"",$C77&lt;&gt;"Target state",$C77&lt;&gt;"Exception",$D77="High",$E77="Low"),$A77&amp;"  "&amp;$B77,"")</f>
        <v/>
      </c>
      <c r="P77">
        <f>IF(AND($B77&lt;&gt;"",$C77&lt;&gt;"Target state",$C77&lt;&gt;"Exception",$D77="High",$E77="Medium"),$A77&amp;"  "&amp;$B77,"")</f>
        <v/>
      </c>
      <c r="Q77">
        <f>IF(AND($B77&lt;&gt;"",$C77&lt;&gt;"Target state",$C77&lt;&gt;"Exception",$D77="High",$E77="High"),$A77&amp;"  "&amp;$B77,"")</f>
        <v/>
      </c>
      <c r="R77">
        <f>IF(AND($B77&lt;&gt;"",$C77&lt;&gt;"Target state",$C77&lt;&gt;"Exception",$D77="Medium",$E77="Low"),$A77&amp;"  "&amp;$B77,"")</f>
        <v/>
      </c>
      <c r="S77">
        <f>IF(AND($B77&lt;&gt;"",$C77&lt;&gt;"Target state",$C77&lt;&gt;"Exception",$D77="Medium",$E77="Medium"),$A77&amp;"  "&amp;$B77,"")</f>
        <v/>
      </c>
      <c r="T77">
        <f>IF(AND($B77&lt;&gt;"",$C77&lt;&gt;"Target state",$C77&lt;&gt;"Exception",$D77="Medium",$E77="High"),$A77&amp;"  "&amp;$B77,"")</f>
        <v/>
      </c>
      <c r="U77">
        <f>IF(AND($B77&lt;&gt;"",$C77&lt;&gt;"Target state",$C77&lt;&gt;"Exception",$D77="Low",$E77="Low"),$A77&amp;"  "&amp;$B77,"")</f>
        <v/>
      </c>
      <c r="V77">
        <f>IF(AND($B77&lt;&gt;"",$C77&lt;&gt;"Target state",$C77&lt;&gt;"Exception",$D77="Low",$E77="Medium"),$A77&amp;"  "&amp;$B77,"")</f>
        <v/>
      </c>
      <c r="W77">
        <f>IF(AND($B77&lt;&gt;"",$C77&lt;&gt;"Target state",$C77&lt;&gt;"Exception",$D77="Low",$E77="High"),$A77&amp;"  "&amp;$B77,"")</f>
        <v/>
      </c>
    </row>
    <row r="78" ht="20" customHeight="1">
      <c r="A78" s="29" t="inlineStr">
        <is>
          <t>⑨</t>
        </is>
      </c>
      <c r="B78" s="30" t="n"/>
      <c r="C78" s="31" t="n"/>
      <c r="D78" s="31" t="n"/>
      <c r="E78" s="31" t="n"/>
      <c r="F78" s="32" t="n"/>
      <c r="G78" s="33">
        <f>IF(OR($B78="",$D78="",$E78=""),"",IF(OR($C78="Target state",$C78="Exception"),"Out of scope",IF($D78="Low","No tranche",IF($E78="Low","Tranche 1",IF($E78="Medium","Tranche 2",IF($D78="High","Tranche 3","No tranche"))))))</f>
        <v/>
      </c>
      <c r="K78" s="40" t="n"/>
      <c r="L78" s="40" t="n"/>
      <c r="M78" s="40" t="n"/>
      <c r="O78">
        <f>IF(AND($B78&lt;&gt;"",$C78&lt;&gt;"Target state",$C78&lt;&gt;"Exception",$D78="High",$E78="Low"),$A78&amp;"  "&amp;$B78,"")</f>
        <v/>
      </c>
      <c r="P78">
        <f>IF(AND($B78&lt;&gt;"",$C78&lt;&gt;"Target state",$C78&lt;&gt;"Exception",$D78="High",$E78="Medium"),$A78&amp;"  "&amp;$B78,"")</f>
        <v/>
      </c>
      <c r="Q78">
        <f>IF(AND($B78&lt;&gt;"",$C78&lt;&gt;"Target state",$C78&lt;&gt;"Exception",$D78="High",$E78="High"),$A78&amp;"  "&amp;$B78,"")</f>
        <v/>
      </c>
      <c r="R78">
        <f>IF(AND($B78&lt;&gt;"",$C78&lt;&gt;"Target state",$C78&lt;&gt;"Exception",$D78="Medium",$E78="Low"),$A78&amp;"  "&amp;$B78,"")</f>
        <v/>
      </c>
      <c r="S78">
        <f>IF(AND($B78&lt;&gt;"",$C78&lt;&gt;"Target state",$C78&lt;&gt;"Exception",$D78="Medium",$E78="Medium"),$A78&amp;"  "&amp;$B78,"")</f>
        <v/>
      </c>
      <c r="T78">
        <f>IF(AND($B78&lt;&gt;"",$C78&lt;&gt;"Target state",$C78&lt;&gt;"Exception",$D78="Medium",$E78="High"),$A78&amp;"  "&amp;$B78,"")</f>
        <v/>
      </c>
      <c r="U78">
        <f>IF(AND($B78&lt;&gt;"",$C78&lt;&gt;"Target state",$C78&lt;&gt;"Exception",$D78="Low",$E78="Low"),$A78&amp;"  "&amp;$B78,"")</f>
        <v/>
      </c>
      <c r="V78">
        <f>IF(AND($B78&lt;&gt;"",$C78&lt;&gt;"Target state",$C78&lt;&gt;"Exception",$D78="Low",$E78="Medium"),$A78&amp;"  "&amp;$B78,"")</f>
        <v/>
      </c>
      <c r="W78">
        <f>IF(AND($B78&lt;&gt;"",$C78&lt;&gt;"Target state",$C78&lt;&gt;"Exception",$D78="Low",$E78="High"),$A78&amp;"  "&amp;$B78,"")</f>
        <v/>
      </c>
    </row>
    <row r="79" ht="20" customHeight="1">
      <c r="A79" s="29" t="inlineStr">
        <is>
          <t>⑩</t>
        </is>
      </c>
      <c r="B79" s="30" t="n"/>
      <c r="C79" s="31" t="n"/>
      <c r="D79" s="31" t="n"/>
      <c r="E79" s="31" t="n"/>
      <c r="F79" s="32" t="n"/>
      <c r="G79" s="33">
        <f>IF(OR($B79="",$D79="",$E79=""),"",IF(OR($C79="Target state",$C79="Exception"),"Out of scope",IF($D79="Low","No tranche",IF($E79="Low","Tranche 1",IF($E79="Medium","Tranche 2",IF($D79="High","Tranche 3","No tranche"))))))</f>
        <v/>
      </c>
      <c r="K79" s="35" t="inlineStr">
        <is>
          <t>Complexity</t>
        </is>
      </c>
      <c r="O79">
        <f>IF(AND($B79&lt;&gt;"",$C79&lt;&gt;"Target state",$C79&lt;&gt;"Exception",$D79="High",$E79="Low"),$A79&amp;"  "&amp;$B79,"")</f>
        <v/>
      </c>
      <c r="P79">
        <f>IF(AND($B79&lt;&gt;"",$C79&lt;&gt;"Target state",$C79&lt;&gt;"Exception",$D79="High",$E79="Medium"),$A79&amp;"  "&amp;$B79,"")</f>
        <v/>
      </c>
      <c r="Q79">
        <f>IF(AND($B79&lt;&gt;"",$C79&lt;&gt;"Target state",$C79&lt;&gt;"Exception",$D79="High",$E79="High"),$A79&amp;"  "&amp;$B79,"")</f>
        <v/>
      </c>
      <c r="R79">
        <f>IF(AND($B79&lt;&gt;"",$C79&lt;&gt;"Target state",$C79&lt;&gt;"Exception",$D79="Medium",$E79="Low"),$A79&amp;"  "&amp;$B79,"")</f>
        <v/>
      </c>
      <c r="S79">
        <f>IF(AND($B79&lt;&gt;"",$C79&lt;&gt;"Target state",$C79&lt;&gt;"Exception",$D79="Medium",$E79="Medium"),$A79&amp;"  "&amp;$B79,"")</f>
        <v/>
      </c>
      <c r="T79">
        <f>IF(AND($B79&lt;&gt;"",$C79&lt;&gt;"Target state",$C79&lt;&gt;"Exception",$D79="Medium",$E79="High"),$A79&amp;"  "&amp;$B79,"")</f>
        <v/>
      </c>
      <c r="U79">
        <f>IF(AND($B79&lt;&gt;"",$C79&lt;&gt;"Target state",$C79&lt;&gt;"Exception",$D79="Low",$E79="Low"),$A79&amp;"  "&amp;$B79,"")</f>
        <v/>
      </c>
      <c r="V79">
        <f>IF(AND($B79&lt;&gt;"",$C79&lt;&gt;"Target state",$C79&lt;&gt;"Exception",$D79="Low",$E79="Medium"),$A79&amp;"  "&amp;$B79,"")</f>
        <v/>
      </c>
      <c r="W79">
        <f>IF(AND($B79&lt;&gt;"",$C79&lt;&gt;"Target state",$C79&lt;&gt;"Exception",$D79="Low",$E79="High"),$A79&amp;"  "&amp;$B79,"")</f>
        <v/>
      </c>
    </row>
    <row r="82" ht="22" customHeight="1">
      <c r="A82" s="24" t="inlineStr">
        <is>
          <t>Design Systems</t>
        </is>
      </c>
      <c r="G82" s="25">
        <f>HYPERLINK("#'Global Infrastructure'!A4","▲ tracker")</f>
        <v/>
      </c>
      <c r="K82" s="26" t="inlineStr">
        <is>
          <t>Assessment Outcome</t>
        </is>
      </c>
    </row>
    <row r="83" ht="18" customHeight="1">
      <c r="A83" s="27" t="inlineStr">
        <is>
          <t>#</t>
        </is>
      </c>
      <c r="B83" s="27" t="inlineStr">
        <is>
          <t>Platform</t>
        </is>
      </c>
      <c r="C83" s="27" t="inlineStr">
        <is>
          <t>State</t>
        </is>
      </c>
      <c r="D83" s="27" t="inlineStr">
        <is>
          <t>Imperative to exit</t>
        </is>
      </c>
      <c r="E83" s="27" t="inlineStr">
        <is>
          <t>Exit complexity</t>
        </is>
      </c>
      <c r="F83" s="27" t="inlineStr">
        <is>
          <t>Supporting facts</t>
        </is>
      </c>
      <c r="G83" s="27" t="inlineStr">
        <is>
          <t>Tranche (auto)</t>
        </is>
      </c>
      <c r="K83" s="28" t="inlineStr">
        <is>
          <t>Low</t>
        </is>
      </c>
      <c r="L83" s="28" t="inlineStr">
        <is>
          <t>Medium</t>
        </is>
      </c>
      <c r="M83" s="28" t="inlineStr">
        <is>
          <t>High</t>
        </is>
      </c>
    </row>
    <row r="84" ht="20" customHeight="1">
      <c r="A84" s="29" t="inlineStr">
        <is>
          <t>①</t>
        </is>
      </c>
      <c r="B84" s="30" t="n"/>
      <c r="C84" s="31" t="n"/>
      <c r="D84" s="31" t="n"/>
      <c r="E84" s="31" t="n"/>
      <c r="F84" s="32" t="n"/>
      <c r="G84" s="33">
        <f>IF(OR($B84="",$D84="",$E84=""),"",IF(OR($C84="Target state",$C84="Exception"),"Out of scope",IF($D84="Low","No tranche",IF($E84="Low","Tranche 1",IF($E84="Medium","Tranche 2",IF($D84="High","Tranche 3","No tranche"))))))</f>
        <v/>
      </c>
      <c r="I84" s="34" t="inlineStr">
        <is>
          <t>Benefits</t>
        </is>
      </c>
      <c r="J84" s="35" t="inlineStr">
        <is>
          <t>High</t>
        </is>
      </c>
      <c r="K84" s="36">
        <f>"Tranche 1"&amp;CHAR(10)&amp;_xlfn.TEXTJOIN(CHAR(10),TRUE,O$84:O$93)</f>
        <v/>
      </c>
      <c r="L84" s="37">
        <f>"Tranche 2"&amp;CHAR(10)&amp;_xlfn.TEXTJOIN(CHAR(10),TRUE,P$84:P$93)</f>
        <v/>
      </c>
      <c r="M84" s="38">
        <f>"Tranche 3"&amp;CHAR(10)&amp;_xlfn.TEXTJOIN(CHAR(10),TRUE,Q$84:Q$93)</f>
        <v/>
      </c>
      <c r="O84">
        <f>IF(AND($B84&lt;&gt;"",$C84&lt;&gt;"Target state",$C84&lt;&gt;"Exception",$D84="High",$E84="Low"),$A84&amp;"  "&amp;$B84,"")</f>
        <v/>
      </c>
      <c r="P84">
        <f>IF(AND($B84&lt;&gt;"",$C84&lt;&gt;"Target state",$C84&lt;&gt;"Exception",$D84="High",$E84="Medium"),$A84&amp;"  "&amp;$B84,"")</f>
        <v/>
      </c>
      <c r="Q84">
        <f>IF(AND($B84&lt;&gt;"",$C84&lt;&gt;"Target state",$C84&lt;&gt;"Exception",$D84="High",$E84="High"),$A84&amp;"  "&amp;$B84,"")</f>
        <v/>
      </c>
      <c r="R84">
        <f>IF(AND($B84&lt;&gt;"",$C84&lt;&gt;"Target state",$C84&lt;&gt;"Exception",$D84="Medium",$E84="Low"),$A84&amp;"  "&amp;$B84,"")</f>
        <v/>
      </c>
      <c r="S84">
        <f>IF(AND($B84&lt;&gt;"",$C84&lt;&gt;"Target state",$C84&lt;&gt;"Exception",$D84="Medium",$E84="Medium"),$A84&amp;"  "&amp;$B84,"")</f>
        <v/>
      </c>
      <c r="T84">
        <f>IF(AND($B84&lt;&gt;"",$C84&lt;&gt;"Target state",$C84&lt;&gt;"Exception",$D84="Medium",$E84="High"),$A84&amp;"  "&amp;$B84,"")</f>
        <v/>
      </c>
      <c r="U84">
        <f>IF(AND($B84&lt;&gt;"",$C84&lt;&gt;"Target state",$C84&lt;&gt;"Exception",$D84="Low",$E84="Low"),$A84&amp;"  "&amp;$B84,"")</f>
        <v/>
      </c>
      <c r="V84">
        <f>IF(AND($B84&lt;&gt;"",$C84&lt;&gt;"Target state",$C84&lt;&gt;"Exception",$D84="Low",$E84="Medium"),$A84&amp;"  "&amp;$B84,"")</f>
        <v/>
      </c>
      <c r="W84">
        <f>IF(AND($B84&lt;&gt;"",$C84&lt;&gt;"Target state",$C84&lt;&gt;"Exception",$D84="Low",$E84="High"),$A84&amp;"  "&amp;$B84,"")</f>
        <v/>
      </c>
    </row>
    <row r="85" ht="20" customHeight="1">
      <c r="A85" s="29" t="inlineStr">
        <is>
          <t>②</t>
        </is>
      </c>
      <c r="B85" s="30" t="n"/>
      <c r="C85" s="31" t="n"/>
      <c r="D85" s="31" t="n"/>
      <c r="E85" s="31" t="n"/>
      <c r="F85" s="32" t="n"/>
      <c r="G85" s="33">
        <f>IF(OR($B85="",$D85="",$E85=""),"",IF(OR($C85="Target state",$C85="Exception"),"Out of scope",IF($D85="Low","No tranche",IF($E85="Low","Tranche 1",IF($E85="Medium","Tranche 2",IF($D85="High","Tranche 3","No tranche"))))))</f>
        <v/>
      </c>
      <c r="K85" s="39" t="n"/>
      <c r="L85" s="39" t="n"/>
      <c r="M85" s="39" t="n"/>
      <c r="O85">
        <f>IF(AND($B85&lt;&gt;"",$C85&lt;&gt;"Target state",$C85&lt;&gt;"Exception",$D85="High",$E85="Low"),$A85&amp;"  "&amp;$B85,"")</f>
        <v/>
      </c>
      <c r="P85">
        <f>IF(AND($B85&lt;&gt;"",$C85&lt;&gt;"Target state",$C85&lt;&gt;"Exception",$D85="High",$E85="Medium"),$A85&amp;"  "&amp;$B85,"")</f>
        <v/>
      </c>
      <c r="Q85">
        <f>IF(AND($B85&lt;&gt;"",$C85&lt;&gt;"Target state",$C85&lt;&gt;"Exception",$D85="High",$E85="High"),$A85&amp;"  "&amp;$B85,"")</f>
        <v/>
      </c>
      <c r="R85">
        <f>IF(AND($B85&lt;&gt;"",$C85&lt;&gt;"Target state",$C85&lt;&gt;"Exception",$D85="Medium",$E85="Low"),$A85&amp;"  "&amp;$B85,"")</f>
        <v/>
      </c>
      <c r="S85">
        <f>IF(AND($B85&lt;&gt;"",$C85&lt;&gt;"Target state",$C85&lt;&gt;"Exception",$D85="Medium",$E85="Medium"),$A85&amp;"  "&amp;$B85,"")</f>
        <v/>
      </c>
      <c r="T85">
        <f>IF(AND($B85&lt;&gt;"",$C85&lt;&gt;"Target state",$C85&lt;&gt;"Exception",$D85="Medium",$E85="High"),$A85&amp;"  "&amp;$B85,"")</f>
        <v/>
      </c>
      <c r="U85">
        <f>IF(AND($B85&lt;&gt;"",$C85&lt;&gt;"Target state",$C85&lt;&gt;"Exception",$D85="Low",$E85="Low"),$A85&amp;"  "&amp;$B85,"")</f>
        <v/>
      </c>
      <c r="V85">
        <f>IF(AND($B85&lt;&gt;"",$C85&lt;&gt;"Target state",$C85&lt;&gt;"Exception",$D85="Low",$E85="Medium"),$A85&amp;"  "&amp;$B85,"")</f>
        <v/>
      </c>
      <c r="W85">
        <f>IF(AND($B85&lt;&gt;"",$C85&lt;&gt;"Target state",$C85&lt;&gt;"Exception",$D85="Low",$E85="High"),$A85&amp;"  "&amp;$B85,"")</f>
        <v/>
      </c>
    </row>
    <row r="86" ht="20" customHeight="1">
      <c r="A86" s="29" t="inlineStr">
        <is>
          <t>③</t>
        </is>
      </c>
      <c r="B86" s="30" t="n"/>
      <c r="C86" s="31" t="n"/>
      <c r="D86" s="31" t="n"/>
      <c r="E86" s="31" t="n"/>
      <c r="F86" s="32" t="n"/>
      <c r="G86" s="33">
        <f>IF(OR($B86="",$D86="",$E86=""),"",IF(OR($C86="Target state",$C86="Exception"),"Out of scope",IF($D86="Low","No tranche",IF($E86="Low","Tranche 1",IF($E86="Medium","Tranche 2",IF($D86="High","Tranche 3","No tranche"))))))</f>
        <v/>
      </c>
      <c r="K86" s="40" t="n"/>
      <c r="L86" s="40" t="n"/>
      <c r="M86" s="40" t="n"/>
      <c r="O86">
        <f>IF(AND($B86&lt;&gt;"",$C86&lt;&gt;"Target state",$C86&lt;&gt;"Exception",$D86="High",$E86="Low"),$A86&amp;"  "&amp;$B86,"")</f>
        <v/>
      </c>
      <c r="P86">
        <f>IF(AND($B86&lt;&gt;"",$C86&lt;&gt;"Target state",$C86&lt;&gt;"Exception",$D86="High",$E86="Medium"),$A86&amp;"  "&amp;$B86,"")</f>
        <v/>
      </c>
      <c r="Q86">
        <f>IF(AND($B86&lt;&gt;"",$C86&lt;&gt;"Target state",$C86&lt;&gt;"Exception",$D86="High",$E86="High"),$A86&amp;"  "&amp;$B86,"")</f>
        <v/>
      </c>
      <c r="R86">
        <f>IF(AND($B86&lt;&gt;"",$C86&lt;&gt;"Target state",$C86&lt;&gt;"Exception",$D86="Medium",$E86="Low"),$A86&amp;"  "&amp;$B86,"")</f>
        <v/>
      </c>
      <c r="S86">
        <f>IF(AND($B86&lt;&gt;"",$C86&lt;&gt;"Target state",$C86&lt;&gt;"Exception",$D86="Medium",$E86="Medium"),$A86&amp;"  "&amp;$B86,"")</f>
        <v/>
      </c>
      <c r="T86">
        <f>IF(AND($B86&lt;&gt;"",$C86&lt;&gt;"Target state",$C86&lt;&gt;"Exception",$D86="Medium",$E86="High"),$A86&amp;"  "&amp;$B86,"")</f>
        <v/>
      </c>
      <c r="U86">
        <f>IF(AND($B86&lt;&gt;"",$C86&lt;&gt;"Target state",$C86&lt;&gt;"Exception",$D86="Low",$E86="Low"),$A86&amp;"  "&amp;$B86,"")</f>
        <v/>
      </c>
      <c r="V86">
        <f>IF(AND($B86&lt;&gt;"",$C86&lt;&gt;"Target state",$C86&lt;&gt;"Exception",$D86="Low",$E86="Medium"),$A86&amp;"  "&amp;$B86,"")</f>
        <v/>
      </c>
      <c r="W86">
        <f>IF(AND($B86&lt;&gt;"",$C86&lt;&gt;"Target state",$C86&lt;&gt;"Exception",$D86="Low",$E86="High"),$A86&amp;"  "&amp;$B86,"")</f>
        <v/>
      </c>
    </row>
    <row r="87" ht="20" customHeight="1">
      <c r="A87" s="29" t="inlineStr">
        <is>
          <t>④</t>
        </is>
      </c>
      <c r="B87" s="30" t="n"/>
      <c r="C87" s="31" t="n"/>
      <c r="D87" s="31" t="n"/>
      <c r="E87" s="31" t="n"/>
      <c r="F87" s="32" t="n"/>
      <c r="G87" s="33">
        <f>IF(OR($B87="",$D87="",$E87=""),"",IF(OR($C87="Target state",$C87="Exception"),"Out of scope",IF($D87="Low","No tranche",IF($E87="Low","Tranche 1",IF($E87="Medium","Tranche 2",IF($D87="High","Tranche 3","No tranche"))))))</f>
        <v/>
      </c>
      <c r="J87" s="35" t="inlineStr">
        <is>
          <t>Medium</t>
        </is>
      </c>
      <c r="K87" s="36">
        <f>"Tranche 1"&amp;CHAR(10)&amp;_xlfn.TEXTJOIN(CHAR(10),TRUE,R$84:R$93)</f>
        <v/>
      </c>
      <c r="L87" s="37">
        <f>"Tranche 2"&amp;CHAR(10)&amp;_xlfn.TEXTJOIN(CHAR(10),TRUE,S$84:S$93)</f>
        <v/>
      </c>
      <c r="M87" s="41">
        <f>_xlfn.TEXTJOIN(CHAR(10),TRUE,T$84:T$93)</f>
        <v/>
      </c>
      <c r="O87">
        <f>IF(AND($B87&lt;&gt;"",$C87&lt;&gt;"Target state",$C87&lt;&gt;"Exception",$D87="High",$E87="Low"),$A87&amp;"  "&amp;$B87,"")</f>
        <v/>
      </c>
      <c r="P87">
        <f>IF(AND($B87&lt;&gt;"",$C87&lt;&gt;"Target state",$C87&lt;&gt;"Exception",$D87="High",$E87="Medium"),$A87&amp;"  "&amp;$B87,"")</f>
        <v/>
      </c>
      <c r="Q87">
        <f>IF(AND($B87&lt;&gt;"",$C87&lt;&gt;"Target state",$C87&lt;&gt;"Exception",$D87="High",$E87="High"),$A87&amp;"  "&amp;$B87,"")</f>
        <v/>
      </c>
      <c r="R87">
        <f>IF(AND($B87&lt;&gt;"",$C87&lt;&gt;"Target state",$C87&lt;&gt;"Exception",$D87="Medium",$E87="Low"),$A87&amp;"  "&amp;$B87,"")</f>
        <v/>
      </c>
      <c r="S87">
        <f>IF(AND($B87&lt;&gt;"",$C87&lt;&gt;"Target state",$C87&lt;&gt;"Exception",$D87="Medium",$E87="Medium"),$A87&amp;"  "&amp;$B87,"")</f>
        <v/>
      </c>
      <c r="T87">
        <f>IF(AND($B87&lt;&gt;"",$C87&lt;&gt;"Target state",$C87&lt;&gt;"Exception",$D87="Medium",$E87="High"),$A87&amp;"  "&amp;$B87,"")</f>
        <v/>
      </c>
      <c r="U87">
        <f>IF(AND($B87&lt;&gt;"",$C87&lt;&gt;"Target state",$C87&lt;&gt;"Exception",$D87="Low",$E87="Low"),$A87&amp;"  "&amp;$B87,"")</f>
        <v/>
      </c>
      <c r="V87">
        <f>IF(AND($B87&lt;&gt;"",$C87&lt;&gt;"Target state",$C87&lt;&gt;"Exception",$D87="Low",$E87="Medium"),$A87&amp;"  "&amp;$B87,"")</f>
        <v/>
      </c>
      <c r="W87">
        <f>IF(AND($B87&lt;&gt;"",$C87&lt;&gt;"Target state",$C87&lt;&gt;"Exception",$D87="Low",$E87="High"),$A87&amp;"  "&amp;$B87,"")</f>
        <v/>
      </c>
    </row>
    <row r="88" ht="20" customHeight="1">
      <c r="A88" s="29" t="inlineStr">
        <is>
          <t>⑤</t>
        </is>
      </c>
      <c r="B88" s="30" t="n"/>
      <c r="C88" s="31" t="n"/>
      <c r="D88" s="31" t="n"/>
      <c r="E88" s="31" t="n"/>
      <c r="F88" s="32" t="n"/>
      <c r="G88" s="33">
        <f>IF(OR($B88="",$D88="",$E88=""),"",IF(OR($C88="Target state",$C88="Exception"),"Out of scope",IF($D88="Low","No tranche",IF($E88="Low","Tranche 1",IF($E88="Medium","Tranche 2",IF($D88="High","Tranche 3","No tranche"))))))</f>
        <v/>
      </c>
      <c r="K88" s="39" t="n"/>
      <c r="L88" s="39" t="n"/>
      <c r="M88" s="39" t="n"/>
      <c r="O88">
        <f>IF(AND($B88&lt;&gt;"",$C88&lt;&gt;"Target state",$C88&lt;&gt;"Exception",$D88="High",$E88="Low"),$A88&amp;"  "&amp;$B88,"")</f>
        <v/>
      </c>
      <c r="P88">
        <f>IF(AND($B88&lt;&gt;"",$C88&lt;&gt;"Target state",$C88&lt;&gt;"Exception",$D88="High",$E88="Medium"),$A88&amp;"  "&amp;$B88,"")</f>
        <v/>
      </c>
      <c r="Q88">
        <f>IF(AND($B88&lt;&gt;"",$C88&lt;&gt;"Target state",$C88&lt;&gt;"Exception",$D88="High",$E88="High"),$A88&amp;"  "&amp;$B88,"")</f>
        <v/>
      </c>
      <c r="R88">
        <f>IF(AND($B88&lt;&gt;"",$C88&lt;&gt;"Target state",$C88&lt;&gt;"Exception",$D88="Medium",$E88="Low"),$A88&amp;"  "&amp;$B88,"")</f>
        <v/>
      </c>
      <c r="S88">
        <f>IF(AND($B88&lt;&gt;"",$C88&lt;&gt;"Target state",$C88&lt;&gt;"Exception",$D88="Medium",$E88="Medium"),$A88&amp;"  "&amp;$B88,"")</f>
        <v/>
      </c>
      <c r="T88">
        <f>IF(AND($B88&lt;&gt;"",$C88&lt;&gt;"Target state",$C88&lt;&gt;"Exception",$D88="Medium",$E88="High"),$A88&amp;"  "&amp;$B88,"")</f>
        <v/>
      </c>
      <c r="U88">
        <f>IF(AND($B88&lt;&gt;"",$C88&lt;&gt;"Target state",$C88&lt;&gt;"Exception",$D88="Low",$E88="Low"),$A88&amp;"  "&amp;$B88,"")</f>
        <v/>
      </c>
      <c r="V88">
        <f>IF(AND($B88&lt;&gt;"",$C88&lt;&gt;"Target state",$C88&lt;&gt;"Exception",$D88="Low",$E88="Medium"),$A88&amp;"  "&amp;$B88,"")</f>
        <v/>
      </c>
      <c r="W88">
        <f>IF(AND($B88&lt;&gt;"",$C88&lt;&gt;"Target state",$C88&lt;&gt;"Exception",$D88="Low",$E88="High"),$A88&amp;"  "&amp;$B88,"")</f>
        <v/>
      </c>
    </row>
    <row r="89" ht="20" customHeight="1">
      <c r="A89" s="29" t="inlineStr">
        <is>
          <t>⑥</t>
        </is>
      </c>
      <c r="B89" s="30" t="n"/>
      <c r="C89" s="31" t="n"/>
      <c r="D89" s="31" t="n"/>
      <c r="E89" s="31" t="n"/>
      <c r="F89" s="32" t="n"/>
      <c r="G89" s="33">
        <f>IF(OR($B89="",$D89="",$E89=""),"",IF(OR($C89="Target state",$C89="Exception"),"Out of scope",IF($D89="Low","No tranche",IF($E89="Low","Tranche 1",IF($E89="Medium","Tranche 2",IF($D89="High","Tranche 3","No tranche"))))))</f>
        <v/>
      </c>
      <c r="K89" s="40" t="n"/>
      <c r="L89" s="40" t="n"/>
      <c r="M89" s="40" t="n"/>
      <c r="O89">
        <f>IF(AND($B89&lt;&gt;"",$C89&lt;&gt;"Target state",$C89&lt;&gt;"Exception",$D89="High",$E89="Low"),$A89&amp;"  "&amp;$B89,"")</f>
        <v/>
      </c>
      <c r="P89">
        <f>IF(AND($B89&lt;&gt;"",$C89&lt;&gt;"Target state",$C89&lt;&gt;"Exception",$D89="High",$E89="Medium"),$A89&amp;"  "&amp;$B89,"")</f>
        <v/>
      </c>
      <c r="Q89">
        <f>IF(AND($B89&lt;&gt;"",$C89&lt;&gt;"Target state",$C89&lt;&gt;"Exception",$D89="High",$E89="High"),$A89&amp;"  "&amp;$B89,"")</f>
        <v/>
      </c>
      <c r="R89">
        <f>IF(AND($B89&lt;&gt;"",$C89&lt;&gt;"Target state",$C89&lt;&gt;"Exception",$D89="Medium",$E89="Low"),$A89&amp;"  "&amp;$B89,"")</f>
        <v/>
      </c>
      <c r="S89">
        <f>IF(AND($B89&lt;&gt;"",$C89&lt;&gt;"Target state",$C89&lt;&gt;"Exception",$D89="Medium",$E89="Medium"),$A89&amp;"  "&amp;$B89,"")</f>
        <v/>
      </c>
      <c r="T89">
        <f>IF(AND($B89&lt;&gt;"",$C89&lt;&gt;"Target state",$C89&lt;&gt;"Exception",$D89="Medium",$E89="High"),$A89&amp;"  "&amp;$B89,"")</f>
        <v/>
      </c>
      <c r="U89">
        <f>IF(AND($B89&lt;&gt;"",$C89&lt;&gt;"Target state",$C89&lt;&gt;"Exception",$D89="Low",$E89="Low"),$A89&amp;"  "&amp;$B89,"")</f>
        <v/>
      </c>
      <c r="V89">
        <f>IF(AND($B89&lt;&gt;"",$C89&lt;&gt;"Target state",$C89&lt;&gt;"Exception",$D89="Low",$E89="Medium"),$A89&amp;"  "&amp;$B89,"")</f>
        <v/>
      </c>
      <c r="W89">
        <f>IF(AND($B89&lt;&gt;"",$C89&lt;&gt;"Target state",$C89&lt;&gt;"Exception",$D89="Low",$E89="High"),$A89&amp;"  "&amp;$B89,"")</f>
        <v/>
      </c>
    </row>
    <row r="90" ht="20" customHeight="1">
      <c r="A90" s="29" t="inlineStr">
        <is>
          <t>⑦</t>
        </is>
      </c>
      <c r="B90" s="30" t="n"/>
      <c r="C90" s="31" t="n"/>
      <c r="D90" s="31" t="n"/>
      <c r="E90" s="31" t="n"/>
      <c r="F90" s="32" t="n"/>
      <c r="G90" s="33">
        <f>IF(OR($B90="",$D90="",$E90=""),"",IF(OR($C90="Target state",$C90="Exception"),"Out of scope",IF($D90="Low","No tranche",IF($E90="Low","Tranche 1",IF($E90="Medium","Tranche 2",IF($D90="High","Tranche 3","No tranche"))))))</f>
        <v/>
      </c>
      <c r="J90" s="35" t="inlineStr">
        <is>
          <t>Low</t>
        </is>
      </c>
      <c r="K90" s="41">
        <f>_xlfn.TEXTJOIN(CHAR(10),TRUE,U$84:U$93)</f>
        <v/>
      </c>
      <c r="L90" s="41">
        <f>_xlfn.TEXTJOIN(CHAR(10),TRUE,V$84:V$93)</f>
        <v/>
      </c>
      <c r="M90" s="41">
        <f>_xlfn.TEXTJOIN(CHAR(10),TRUE,W$84:W$93)</f>
        <v/>
      </c>
      <c r="O90">
        <f>IF(AND($B90&lt;&gt;"",$C90&lt;&gt;"Target state",$C90&lt;&gt;"Exception",$D90="High",$E90="Low"),$A90&amp;"  "&amp;$B90,"")</f>
        <v/>
      </c>
      <c r="P90">
        <f>IF(AND($B90&lt;&gt;"",$C90&lt;&gt;"Target state",$C90&lt;&gt;"Exception",$D90="High",$E90="Medium"),$A90&amp;"  "&amp;$B90,"")</f>
        <v/>
      </c>
      <c r="Q90">
        <f>IF(AND($B90&lt;&gt;"",$C90&lt;&gt;"Target state",$C90&lt;&gt;"Exception",$D90="High",$E90="High"),$A90&amp;"  "&amp;$B90,"")</f>
        <v/>
      </c>
      <c r="R90">
        <f>IF(AND($B90&lt;&gt;"",$C90&lt;&gt;"Target state",$C90&lt;&gt;"Exception",$D90="Medium",$E90="Low"),$A90&amp;"  "&amp;$B90,"")</f>
        <v/>
      </c>
      <c r="S90">
        <f>IF(AND($B90&lt;&gt;"",$C90&lt;&gt;"Target state",$C90&lt;&gt;"Exception",$D90="Medium",$E90="Medium"),$A90&amp;"  "&amp;$B90,"")</f>
        <v/>
      </c>
      <c r="T90">
        <f>IF(AND($B90&lt;&gt;"",$C90&lt;&gt;"Target state",$C90&lt;&gt;"Exception",$D90="Medium",$E90="High"),$A90&amp;"  "&amp;$B90,"")</f>
        <v/>
      </c>
      <c r="U90">
        <f>IF(AND($B90&lt;&gt;"",$C90&lt;&gt;"Target state",$C90&lt;&gt;"Exception",$D90="Low",$E90="Low"),$A90&amp;"  "&amp;$B90,"")</f>
        <v/>
      </c>
      <c r="V90">
        <f>IF(AND($B90&lt;&gt;"",$C90&lt;&gt;"Target state",$C90&lt;&gt;"Exception",$D90="Low",$E90="Medium"),$A90&amp;"  "&amp;$B90,"")</f>
        <v/>
      </c>
      <c r="W90">
        <f>IF(AND($B90&lt;&gt;"",$C90&lt;&gt;"Target state",$C90&lt;&gt;"Exception",$D90="Low",$E90="High"),$A90&amp;"  "&amp;$B90,"")</f>
        <v/>
      </c>
    </row>
    <row r="91" ht="20" customHeight="1">
      <c r="A91" s="29" t="inlineStr">
        <is>
          <t>⑧</t>
        </is>
      </c>
      <c r="B91" s="30" t="n"/>
      <c r="C91" s="31" t="n"/>
      <c r="D91" s="31" t="n"/>
      <c r="E91" s="31" t="n"/>
      <c r="F91" s="32" t="n"/>
      <c r="G91" s="33">
        <f>IF(OR($B91="",$D91="",$E91=""),"",IF(OR($C91="Target state",$C91="Exception"),"Out of scope",IF($D91="Low","No tranche",IF($E91="Low","Tranche 1",IF($E91="Medium","Tranche 2",IF($D91="High","Tranche 3","No tranche"))))))</f>
        <v/>
      </c>
      <c r="K91" s="39" t="n"/>
      <c r="L91" s="39" t="n"/>
      <c r="M91" s="39" t="n"/>
      <c r="O91">
        <f>IF(AND($B91&lt;&gt;"",$C91&lt;&gt;"Target state",$C91&lt;&gt;"Exception",$D91="High",$E91="Low"),$A91&amp;"  "&amp;$B91,"")</f>
        <v/>
      </c>
      <c r="P91">
        <f>IF(AND($B91&lt;&gt;"",$C91&lt;&gt;"Target state",$C91&lt;&gt;"Exception",$D91="High",$E91="Medium"),$A91&amp;"  "&amp;$B91,"")</f>
        <v/>
      </c>
      <c r="Q91">
        <f>IF(AND($B91&lt;&gt;"",$C91&lt;&gt;"Target state",$C91&lt;&gt;"Exception",$D91="High",$E91="High"),$A91&amp;"  "&amp;$B91,"")</f>
        <v/>
      </c>
      <c r="R91">
        <f>IF(AND($B91&lt;&gt;"",$C91&lt;&gt;"Target state",$C91&lt;&gt;"Exception",$D91="Medium",$E91="Low"),$A91&amp;"  "&amp;$B91,"")</f>
        <v/>
      </c>
      <c r="S91">
        <f>IF(AND($B91&lt;&gt;"",$C91&lt;&gt;"Target state",$C91&lt;&gt;"Exception",$D91="Medium",$E91="Medium"),$A91&amp;"  "&amp;$B91,"")</f>
        <v/>
      </c>
      <c r="T91">
        <f>IF(AND($B91&lt;&gt;"",$C91&lt;&gt;"Target state",$C91&lt;&gt;"Exception",$D91="Medium",$E91="High"),$A91&amp;"  "&amp;$B91,"")</f>
        <v/>
      </c>
      <c r="U91">
        <f>IF(AND($B91&lt;&gt;"",$C91&lt;&gt;"Target state",$C91&lt;&gt;"Exception",$D91="Low",$E91="Low"),$A91&amp;"  "&amp;$B91,"")</f>
        <v/>
      </c>
      <c r="V91">
        <f>IF(AND($B91&lt;&gt;"",$C91&lt;&gt;"Target state",$C91&lt;&gt;"Exception",$D91="Low",$E91="Medium"),$A91&amp;"  "&amp;$B91,"")</f>
        <v/>
      </c>
      <c r="W91">
        <f>IF(AND($B91&lt;&gt;"",$C91&lt;&gt;"Target state",$C91&lt;&gt;"Exception",$D91="Low",$E91="High"),$A91&amp;"  "&amp;$B91,"")</f>
        <v/>
      </c>
    </row>
    <row r="92" ht="20" customHeight="1">
      <c r="A92" s="29" t="inlineStr">
        <is>
          <t>⑨</t>
        </is>
      </c>
      <c r="B92" s="30" t="n"/>
      <c r="C92" s="31" t="n"/>
      <c r="D92" s="31" t="n"/>
      <c r="E92" s="31" t="n"/>
      <c r="F92" s="32" t="n"/>
      <c r="G92" s="33">
        <f>IF(OR($B92="",$D92="",$E92=""),"",IF(OR($C92="Target state",$C92="Exception"),"Out of scope",IF($D92="Low","No tranche",IF($E92="Low","Tranche 1",IF($E92="Medium","Tranche 2",IF($D92="High","Tranche 3","No tranche"))))))</f>
        <v/>
      </c>
      <c r="K92" s="40" t="n"/>
      <c r="L92" s="40" t="n"/>
      <c r="M92" s="40" t="n"/>
      <c r="O92">
        <f>IF(AND($B92&lt;&gt;"",$C92&lt;&gt;"Target state",$C92&lt;&gt;"Exception",$D92="High",$E92="Low"),$A92&amp;"  "&amp;$B92,"")</f>
        <v/>
      </c>
      <c r="P92">
        <f>IF(AND($B92&lt;&gt;"",$C92&lt;&gt;"Target state",$C92&lt;&gt;"Exception",$D92="High",$E92="Medium"),$A92&amp;"  "&amp;$B92,"")</f>
        <v/>
      </c>
      <c r="Q92">
        <f>IF(AND($B92&lt;&gt;"",$C92&lt;&gt;"Target state",$C92&lt;&gt;"Exception",$D92="High",$E92="High"),$A92&amp;"  "&amp;$B92,"")</f>
        <v/>
      </c>
      <c r="R92">
        <f>IF(AND($B92&lt;&gt;"",$C92&lt;&gt;"Target state",$C92&lt;&gt;"Exception",$D92="Medium",$E92="Low"),$A92&amp;"  "&amp;$B92,"")</f>
        <v/>
      </c>
      <c r="S92">
        <f>IF(AND($B92&lt;&gt;"",$C92&lt;&gt;"Target state",$C92&lt;&gt;"Exception",$D92="Medium",$E92="Medium"),$A92&amp;"  "&amp;$B92,"")</f>
        <v/>
      </c>
      <c r="T92">
        <f>IF(AND($B92&lt;&gt;"",$C92&lt;&gt;"Target state",$C92&lt;&gt;"Exception",$D92="Medium",$E92="High"),$A92&amp;"  "&amp;$B92,"")</f>
        <v/>
      </c>
      <c r="U92">
        <f>IF(AND($B92&lt;&gt;"",$C92&lt;&gt;"Target state",$C92&lt;&gt;"Exception",$D92="Low",$E92="Low"),$A92&amp;"  "&amp;$B92,"")</f>
        <v/>
      </c>
      <c r="V92">
        <f>IF(AND($B92&lt;&gt;"",$C92&lt;&gt;"Target state",$C92&lt;&gt;"Exception",$D92="Low",$E92="Medium"),$A92&amp;"  "&amp;$B92,"")</f>
        <v/>
      </c>
      <c r="W92">
        <f>IF(AND($B92&lt;&gt;"",$C92&lt;&gt;"Target state",$C92&lt;&gt;"Exception",$D92="Low",$E92="High"),$A92&amp;"  "&amp;$B92,"")</f>
        <v/>
      </c>
    </row>
    <row r="93" ht="20" customHeight="1">
      <c r="A93" s="29" t="inlineStr">
        <is>
          <t>⑩</t>
        </is>
      </c>
      <c r="B93" s="30" t="n"/>
      <c r="C93" s="31" t="n"/>
      <c r="D93" s="31" t="n"/>
      <c r="E93" s="31" t="n"/>
      <c r="F93" s="32" t="n"/>
      <c r="G93" s="33">
        <f>IF(OR($B93="",$D93="",$E93=""),"",IF(OR($C93="Target state",$C93="Exception"),"Out of scope",IF($D93="Low","No tranche",IF($E93="Low","Tranche 1",IF($E93="Medium","Tranche 2",IF($D93="High","Tranche 3","No tranche"))))))</f>
        <v/>
      </c>
      <c r="K93" s="35" t="inlineStr">
        <is>
          <t>Complexity</t>
        </is>
      </c>
      <c r="O93">
        <f>IF(AND($B93&lt;&gt;"",$C93&lt;&gt;"Target state",$C93&lt;&gt;"Exception",$D93="High",$E93="Low"),$A93&amp;"  "&amp;$B93,"")</f>
        <v/>
      </c>
      <c r="P93">
        <f>IF(AND($B93&lt;&gt;"",$C93&lt;&gt;"Target state",$C93&lt;&gt;"Exception",$D93="High",$E93="Medium"),$A93&amp;"  "&amp;$B93,"")</f>
        <v/>
      </c>
      <c r="Q93">
        <f>IF(AND($B93&lt;&gt;"",$C93&lt;&gt;"Target state",$C93&lt;&gt;"Exception",$D93="High",$E93="High"),$A93&amp;"  "&amp;$B93,"")</f>
        <v/>
      </c>
      <c r="R93">
        <f>IF(AND($B93&lt;&gt;"",$C93&lt;&gt;"Target state",$C93&lt;&gt;"Exception",$D93="Medium",$E93="Low"),$A93&amp;"  "&amp;$B93,"")</f>
        <v/>
      </c>
      <c r="S93">
        <f>IF(AND($B93&lt;&gt;"",$C93&lt;&gt;"Target state",$C93&lt;&gt;"Exception",$D93="Medium",$E93="Medium"),$A93&amp;"  "&amp;$B93,"")</f>
        <v/>
      </c>
      <c r="T93">
        <f>IF(AND($B93&lt;&gt;"",$C93&lt;&gt;"Target state",$C93&lt;&gt;"Exception",$D93="Medium",$E93="High"),$A93&amp;"  "&amp;$B93,"")</f>
        <v/>
      </c>
      <c r="U93">
        <f>IF(AND($B93&lt;&gt;"",$C93&lt;&gt;"Target state",$C93&lt;&gt;"Exception",$D93="Low",$E93="Low"),$A93&amp;"  "&amp;$B93,"")</f>
        <v/>
      </c>
      <c r="V93">
        <f>IF(AND($B93&lt;&gt;"",$C93&lt;&gt;"Target state",$C93&lt;&gt;"Exception",$D93="Low",$E93="Medium"),$A93&amp;"  "&amp;$B93,"")</f>
        <v/>
      </c>
      <c r="W93">
        <f>IF(AND($B93&lt;&gt;"",$C93&lt;&gt;"Target state",$C93&lt;&gt;"Exception",$D93="Low",$E93="High"),$A93&amp;"  "&amp;$B93,"")</f>
        <v/>
      </c>
    </row>
  </sheetData>
  <mergeCells count="97">
    <mergeCell ref="I28:I36"/>
    <mergeCell ref="K70:K72"/>
    <mergeCell ref="K48:K50"/>
    <mergeCell ref="K40:M40"/>
    <mergeCell ref="L76:L78"/>
    <mergeCell ref="L34:L36"/>
    <mergeCell ref="M14:M16"/>
    <mergeCell ref="I14:I22"/>
    <mergeCell ref="M56:M58"/>
    <mergeCell ref="K82:M82"/>
    <mergeCell ref="M20:M22"/>
    <mergeCell ref="L48:L50"/>
    <mergeCell ref="A40:F40"/>
    <mergeCell ref="K76:K78"/>
    <mergeCell ref="J84:J86"/>
    <mergeCell ref="K68:M68"/>
    <mergeCell ref="K59:K61"/>
    <mergeCell ref="A82:F82"/>
    <mergeCell ref="K84:K86"/>
    <mergeCell ref="M84:M86"/>
    <mergeCell ref="J70:J72"/>
    <mergeCell ref="M45:M47"/>
    <mergeCell ref="J90:J92"/>
    <mergeCell ref="K12:M12"/>
    <mergeCell ref="K14:K16"/>
    <mergeCell ref="L90:L92"/>
    <mergeCell ref="K87:K89"/>
    <mergeCell ref="K23:M23"/>
    <mergeCell ref="M87:M89"/>
    <mergeCell ref="I42:I50"/>
    <mergeCell ref="J42:J44"/>
    <mergeCell ref="A4:C4"/>
    <mergeCell ref="K65:M65"/>
    <mergeCell ref="I84:I92"/>
    <mergeCell ref="J34:J36"/>
    <mergeCell ref="M73:M75"/>
    <mergeCell ref="J28:J30"/>
    <mergeCell ref="L28:L30"/>
    <mergeCell ref="M70:M72"/>
    <mergeCell ref="I70:I78"/>
    <mergeCell ref="J20:J22"/>
    <mergeCell ref="L14:L16"/>
    <mergeCell ref="A54:F54"/>
    <mergeCell ref="K42:K44"/>
    <mergeCell ref="J62:J64"/>
    <mergeCell ref="K17:K19"/>
    <mergeCell ref="I56:I64"/>
    <mergeCell ref="L56:L58"/>
    <mergeCell ref="M42:M44"/>
    <mergeCell ref="A26:F26"/>
    <mergeCell ref="M17:M19"/>
    <mergeCell ref="K28:K30"/>
    <mergeCell ref="J56:J58"/>
    <mergeCell ref="K62:K64"/>
    <mergeCell ref="M62:M64"/>
    <mergeCell ref="J48:J50"/>
    <mergeCell ref="J76:J78"/>
    <mergeCell ref="J17:J19"/>
    <mergeCell ref="J73:J75"/>
    <mergeCell ref="L17:L19"/>
    <mergeCell ref="M48:M50"/>
    <mergeCell ref="A68:F68"/>
    <mergeCell ref="K56:K58"/>
    <mergeCell ref="J59:J61"/>
    <mergeCell ref="K79:M79"/>
    <mergeCell ref="K90:K92"/>
    <mergeCell ref="K51:M51"/>
    <mergeCell ref="K26:M26"/>
    <mergeCell ref="M90:M92"/>
    <mergeCell ref="J45:J47"/>
    <mergeCell ref="L45:L47"/>
    <mergeCell ref="L59:L61"/>
    <mergeCell ref="L20:L22"/>
    <mergeCell ref="K73:K75"/>
    <mergeCell ref="A12:F12"/>
    <mergeCell ref="M76:M78"/>
    <mergeCell ref="L84:L86"/>
    <mergeCell ref="J31:J33"/>
    <mergeCell ref="L31:L33"/>
    <mergeCell ref="K34:K36"/>
    <mergeCell ref="J14:J16"/>
    <mergeCell ref="L70:L72"/>
    <mergeCell ref="M59:M61"/>
    <mergeCell ref="M34:M36"/>
    <mergeCell ref="K45:K47"/>
    <mergeCell ref="K93:M93"/>
    <mergeCell ref="K37:M37"/>
    <mergeCell ref="J87:J89"/>
    <mergeCell ref="K20:K22"/>
    <mergeCell ref="L87:L89"/>
    <mergeCell ref="L62:L64"/>
    <mergeCell ref="K31:K33"/>
    <mergeCell ref="M31:M33"/>
    <mergeCell ref="K54:M54"/>
    <mergeCell ref="L73:L75"/>
    <mergeCell ref="L42:L44"/>
    <mergeCell ref="M28:M30"/>
  </mergeCells>
  <conditionalFormatting sqref="A14:G23">
    <cfRule type="expression" priority="1" dxfId="0">
      <formula>OR($C14="Target state",$C14="Exception")</formula>
    </cfRule>
  </conditionalFormatting>
  <conditionalFormatting sqref="A28:G37">
    <cfRule type="expression" priority="2" dxfId="0">
      <formula>OR($C28="Target state",$C28="Exception")</formula>
    </cfRule>
  </conditionalFormatting>
  <conditionalFormatting sqref="A42:G51">
    <cfRule type="expression" priority="3" dxfId="0">
      <formula>OR($C42="Target state",$C42="Exception")</formula>
    </cfRule>
  </conditionalFormatting>
  <conditionalFormatting sqref="A56:G65">
    <cfRule type="expression" priority="4" dxfId="0">
      <formula>OR($C56="Target state",$C56="Exception")</formula>
    </cfRule>
  </conditionalFormatting>
  <conditionalFormatting sqref="A70:G79">
    <cfRule type="expression" priority="5" dxfId="0">
      <formula>OR($C70="Target state",$C70="Exception")</formula>
    </cfRule>
  </conditionalFormatting>
  <conditionalFormatting sqref="A84:G93">
    <cfRule type="expression" priority="6" dxfId="0">
      <formula>OR($C84="Target state",$C84="Exception")</formula>
    </cfRule>
  </conditionalFormatting>
  <dataValidations count="2">
    <dataValidation sqref="C14:C23 C28:C37 C42:C51 C56:C65 C70:C79 C84:C93" showDropDown="0" showInputMessage="0" showErrorMessage="0" allowBlank="1" type="list">
      <formula1>"Target state,Non-target state,Exception"</formula1>
    </dataValidation>
    <dataValidation sqref="D14:E23 D28:E37 D42:E51 D56:E65 D70:E79 D84:E93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BF8F00"/>
    <outlinePr summaryBelow="1" summaryRight="1"/>
    <pageSetUpPr/>
  </sheetPr>
  <dimension ref="A1:W9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7" customWidth="1" min="3" max="3"/>
    <col width="16" customWidth="1" min="4" max="4"/>
    <col width="15" customWidth="1" min="5" max="5"/>
    <col width="44" customWidth="1" min="6" max="6"/>
    <col width="14" customWidth="1" min="7" max="7"/>
    <col width="2" customWidth="1" min="8" max="8"/>
    <col width="4" customWidth="1" min="9" max="9"/>
    <col width="9" customWidth="1" min="10" max="10"/>
    <col width="26" customWidth="1" min="11" max="11"/>
    <col width="26" customWidth="1" min="12" max="12"/>
    <col width="26" customWidth="1" min="13" max="13"/>
    <col width="2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</cols>
  <sheetData>
    <row r="1">
      <c r="A1" s="19" t="inlineStr">
        <is>
          <t>Single-out — Platform Assessment</t>
        </is>
      </c>
    </row>
    <row r="2">
      <c r="A2" s="20">
        <f>HYPERLINK("#'Summary'!A1","← Back to Summary")</f>
        <v/>
      </c>
      <c r="C2" s="21" t="inlineStr">
        <is>
          <t>Pick a State, score High / Medium / Low — the tranche, the matrix and the Summary update automatically.</t>
        </is>
      </c>
    </row>
    <row r="4">
      <c r="A4" s="22" t="inlineStr">
        <is>
          <t>Tracker — jump to a sub-capability:</t>
        </is>
      </c>
    </row>
    <row r="5">
      <c r="A5" s="23" t="inlineStr">
        <is>
          <t>1.</t>
        </is>
      </c>
      <c r="B5" s="20">
        <f>HYPERLINK("#'Single-out'!A12","Portal")</f>
        <v/>
      </c>
    </row>
    <row r="6">
      <c r="A6" s="23" t="inlineStr">
        <is>
          <t>2.</t>
        </is>
      </c>
      <c r="B6" s="20">
        <f>HYPERLINK("#'Single-out'!A26","Reporting")</f>
        <v/>
      </c>
    </row>
    <row r="7">
      <c r="A7" s="23" t="inlineStr">
        <is>
          <t>3.</t>
        </is>
      </c>
      <c r="B7" s="20">
        <f>HYPERLINK("#'Single-out'!A40","Billing")</f>
        <v/>
      </c>
    </row>
    <row r="8">
      <c r="A8" s="23" t="inlineStr">
        <is>
          <t>4.</t>
        </is>
      </c>
      <c r="B8" s="20">
        <f>HYPERLINK("#'Single-out'!A54","Disputes")</f>
        <v/>
      </c>
    </row>
    <row r="9">
      <c r="A9" s="23" t="inlineStr">
        <is>
          <t>5.</t>
        </is>
      </c>
      <c r="B9" s="20">
        <f>HYPERLINK("#'Single-out'!A68","Payouts")</f>
        <v/>
      </c>
    </row>
    <row r="10">
      <c r="A10" s="23" t="inlineStr">
        <is>
          <t>6.</t>
        </is>
      </c>
      <c r="B10" s="20">
        <f>HYPERLINK("#'Single-out'!A82","PFaaS Products")</f>
        <v/>
      </c>
    </row>
    <row r="12" ht="22" customHeight="1">
      <c r="A12" s="24" t="inlineStr">
        <is>
          <t>Portal</t>
        </is>
      </c>
      <c r="G12" s="25">
        <f>HYPERLINK("#'Single-out'!A4","▲ tracker")</f>
        <v/>
      </c>
      <c r="K12" s="26" t="inlineStr">
        <is>
          <t>Assessment Outcome</t>
        </is>
      </c>
    </row>
    <row r="13" ht="18" customHeight="1">
      <c r="A13" s="27" t="inlineStr">
        <is>
          <t>#</t>
        </is>
      </c>
      <c r="B13" s="27" t="inlineStr">
        <is>
          <t>Platform</t>
        </is>
      </c>
      <c r="C13" s="27" t="inlineStr">
        <is>
          <t>State</t>
        </is>
      </c>
      <c r="D13" s="27" t="inlineStr">
        <is>
          <t>Imperative to exit</t>
        </is>
      </c>
      <c r="E13" s="27" t="inlineStr">
        <is>
          <t>Exit complexity</t>
        </is>
      </c>
      <c r="F13" s="27" t="inlineStr">
        <is>
          <t>Supporting facts</t>
        </is>
      </c>
      <c r="G13" s="27" t="inlineStr">
        <is>
          <t>Tranche (auto)</t>
        </is>
      </c>
      <c r="K13" s="28" t="inlineStr">
        <is>
          <t>Low</t>
        </is>
      </c>
      <c r="L13" s="28" t="inlineStr">
        <is>
          <t>Medium</t>
        </is>
      </c>
      <c r="M13" s="28" t="inlineStr">
        <is>
          <t>High</t>
        </is>
      </c>
    </row>
    <row r="14" ht="20" customHeight="1">
      <c r="A14" s="29" t="inlineStr">
        <is>
          <t>①</t>
        </is>
      </c>
      <c r="B14" s="30" t="n"/>
      <c r="C14" s="31" t="n"/>
      <c r="D14" s="31" t="n"/>
      <c r="E14" s="31" t="n"/>
      <c r="F14" s="32" t="n"/>
      <c r="G14" s="33">
        <f>IF(OR($B14="",$D14="",$E14=""),"",IF(OR($C14="Target state",$C14="Exception"),"Out of scope",IF($D14="Low","No tranche",IF($E14="Low","Tranche 1",IF($E14="Medium","Tranche 2",IF($D14="High","Tranche 3","No tranche"))))))</f>
        <v/>
      </c>
      <c r="I14" s="34" t="inlineStr">
        <is>
          <t>Benefits</t>
        </is>
      </c>
      <c r="J14" s="35" t="inlineStr">
        <is>
          <t>High</t>
        </is>
      </c>
      <c r="K14" s="36">
        <f>"Tranche 1"&amp;CHAR(10)&amp;_xlfn.TEXTJOIN(CHAR(10),TRUE,O$14:O$23)</f>
        <v/>
      </c>
      <c r="L14" s="37">
        <f>"Tranche 2"&amp;CHAR(10)&amp;_xlfn.TEXTJOIN(CHAR(10),TRUE,P$14:P$23)</f>
        <v/>
      </c>
      <c r="M14" s="38">
        <f>"Tranche 3"&amp;CHAR(10)&amp;_xlfn.TEXTJOIN(CHAR(10),TRUE,Q$14:Q$23)</f>
        <v/>
      </c>
      <c r="O14">
        <f>IF(AND($B14&lt;&gt;"",$C14&lt;&gt;"Target state",$C14&lt;&gt;"Exception",$D14="High",$E14="Low"),$A14&amp;"  "&amp;$B14,"")</f>
        <v/>
      </c>
      <c r="P14">
        <f>IF(AND($B14&lt;&gt;"",$C14&lt;&gt;"Target state",$C14&lt;&gt;"Exception",$D14="High",$E14="Medium"),$A14&amp;"  "&amp;$B14,"")</f>
        <v/>
      </c>
      <c r="Q14">
        <f>IF(AND($B14&lt;&gt;"",$C14&lt;&gt;"Target state",$C14&lt;&gt;"Exception",$D14="High",$E14="High"),$A14&amp;"  "&amp;$B14,"")</f>
        <v/>
      </c>
      <c r="R14">
        <f>IF(AND($B14&lt;&gt;"",$C14&lt;&gt;"Target state",$C14&lt;&gt;"Exception",$D14="Medium",$E14="Low"),$A14&amp;"  "&amp;$B14,"")</f>
        <v/>
      </c>
      <c r="S14">
        <f>IF(AND($B14&lt;&gt;"",$C14&lt;&gt;"Target state",$C14&lt;&gt;"Exception",$D14="Medium",$E14="Medium"),$A14&amp;"  "&amp;$B14,"")</f>
        <v/>
      </c>
      <c r="T14">
        <f>IF(AND($B14&lt;&gt;"",$C14&lt;&gt;"Target state",$C14&lt;&gt;"Exception",$D14="Medium",$E14="High"),$A14&amp;"  "&amp;$B14,"")</f>
        <v/>
      </c>
      <c r="U14">
        <f>IF(AND($B14&lt;&gt;"",$C14&lt;&gt;"Target state",$C14&lt;&gt;"Exception",$D14="Low",$E14="Low"),$A14&amp;"  "&amp;$B14,"")</f>
        <v/>
      </c>
      <c r="V14">
        <f>IF(AND($B14&lt;&gt;"",$C14&lt;&gt;"Target state",$C14&lt;&gt;"Exception",$D14="Low",$E14="Medium"),$A14&amp;"  "&amp;$B14,"")</f>
        <v/>
      </c>
      <c r="W14">
        <f>IF(AND($B14&lt;&gt;"",$C14&lt;&gt;"Target state",$C14&lt;&gt;"Exception",$D14="Low",$E14="High"),$A14&amp;"  "&amp;$B14,"")</f>
        <v/>
      </c>
    </row>
    <row r="15" ht="20" customHeight="1">
      <c r="A15" s="29" t="inlineStr">
        <is>
          <t>②</t>
        </is>
      </c>
      <c r="B15" s="30" t="n"/>
      <c r="C15" s="31" t="n"/>
      <c r="D15" s="31" t="n"/>
      <c r="E15" s="31" t="n"/>
      <c r="F15" s="32" t="n"/>
      <c r="G15" s="33">
        <f>IF(OR($B15="",$D15="",$E15=""),"",IF(OR($C15="Target state",$C15="Exception"),"Out of scope",IF($D15="Low","No tranche",IF($E15="Low","Tranche 1",IF($E15="Medium","Tranche 2",IF($D15="High","Tranche 3","No tranche"))))))</f>
        <v/>
      </c>
      <c r="K15" s="39" t="n"/>
      <c r="L15" s="39" t="n"/>
      <c r="M15" s="39" t="n"/>
      <c r="O15">
        <f>IF(AND($B15&lt;&gt;"",$C15&lt;&gt;"Target state",$C15&lt;&gt;"Exception",$D15="High",$E15="Low"),$A15&amp;"  "&amp;$B15,"")</f>
        <v/>
      </c>
      <c r="P15">
        <f>IF(AND($B15&lt;&gt;"",$C15&lt;&gt;"Target state",$C15&lt;&gt;"Exception",$D15="High",$E15="Medium"),$A15&amp;"  "&amp;$B15,"")</f>
        <v/>
      </c>
      <c r="Q15">
        <f>IF(AND($B15&lt;&gt;"",$C15&lt;&gt;"Target state",$C15&lt;&gt;"Exception",$D15="High",$E15="High"),$A15&amp;"  "&amp;$B15,"")</f>
        <v/>
      </c>
      <c r="R15">
        <f>IF(AND($B15&lt;&gt;"",$C15&lt;&gt;"Target state",$C15&lt;&gt;"Exception",$D15="Medium",$E15="Low"),$A15&amp;"  "&amp;$B15,"")</f>
        <v/>
      </c>
      <c r="S15">
        <f>IF(AND($B15&lt;&gt;"",$C15&lt;&gt;"Target state",$C15&lt;&gt;"Exception",$D15="Medium",$E15="Medium"),$A15&amp;"  "&amp;$B15,"")</f>
        <v/>
      </c>
      <c r="T15">
        <f>IF(AND($B15&lt;&gt;"",$C15&lt;&gt;"Target state",$C15&lt;&gt;"Exception",$D15="Medium",$E15="High"),$A15&amp;"  "&amp;$B15,"")</f>
        <v/>
      </c>
      <c r="U15">
        <f>IF(AND($B15&lt;&gt;"",$C15&lt;&gt;"Target state",$C15&lt;&gt;"Exception",$D15="Low",$E15="Low"),$A15&amp;"  "&amp;$B15,"")</f>
        <v/>
      </c>
      <c r="V15">
        <f>IF(AND($B15&lt;&gt;"",$C15&lt;&gt;"Target state",$C15&lt;&gt;"Exception",$D15="Low",$E15="Medium"),$A15&amp;"  "&amp;$B15,"")</f>
        <v/>
      </c>
      <c r="W15">
        <f>IF(AND($B15&lt;&gt;"",$C15&lt;&gt;"Target state",$C15&lt;&gt;"Exception",$D15="Low",$E15="High"),$A15&amp;"  "&amp;$B15,"")</f>
        <v/>
      </c>
    </row>
    <row r="16" ht="20" customHeight="1">
      <c r="A16" s="29" t="inlineStr">
        <is>
          <t>③</t>
        </is>
      </c>
      <c r="B16" s="30" t="n"/>
      <c r="C16" s="31" t="n"/>
      <c r="D16" s="31" t="n"/>
      <c r="E16" s="31" t="n"/>
      <c r="F16" s="32" t="n"/>
      <c r="G16" s="33">
        <f>IF(OR($B16="",$D16="",$E16=""),"",IF(OR($C16="Target state",$C16="Exception"),"Out of scope",IF($D16="Low","No tranche",IF($E16="Low","Tranche 1",IF($E16="Medium","Tranche 2",IF($D16="High","Tranche 3","No tranche"))))))</f>
        <v/>
      </c>
      <c r="K16" s="40" t="n"/>
      <c r="L16" s="40" t="n"/>
      <c r="M16" s="40" t="n"/>
      <c r="O16">
        <f>IF(AND($B16&lt;&gt;"",$C16&lt;&gt;"Target state",$C16&lt;&gt;"Exception",$D16="High",$E16="Low"),$A16&amp;"  "&amp;$B16,"")</f>
        <v/>
      </c>
      <c r="P16">
        <f>IF(AND($B16&lt;&gt;"",$C16&lt;&gt;"Target state",$C16&lt;&gt;"Exception",$D16="High",$E16="Medium"),$A16&amp;"  "&amp;$B16,"")</f>
        <v/>
      </c>
      <c r="Q16">
        <f>IF(AND($B16&lt;&gt;"",$C16&lt;&gt;"Target state",$C16&lt;&gt;"Exception",$D16="High",$E16="High"),$A16&amp;"  "&amp;$B16,"")</f>
        <v/>
      </c>
      <c r="R16">
        <f>IF(AND($B16&lt;&gt;"",$C16&lt;&gt;"Target state",$C16&lt;&gt;"Exception",$D16="Medium",$E16="Low"),$A16&amp;"  "&amp;$B16,"")</f>
        <v/>
      </c>
      <c r="S16">
        <f>IF(AND($B16&lt;&gt;"",$C16&lt;&gt;"Target state",$C16&lt;&gt;"Exception",$D16="Medium",$E16="Medium"),$A16&amp;"  "&amp;$B16,"")</f>
        <v/>
      </c>
      <c r="T16">
        <f>IF(AND($B16&lt;&gt;"",$C16&lt;&gt;"Target state",$C16&lt;&gt;"Exception",$D16="Medium",$E16="High"),$A16&amp;"  "&amp;$B16,"")</f>
        <v/>
      </c>
      <c r="U16">
        <f>IF(AND($B16&lt;&gt;"",$C16&lt;&gt;"Target state",$C16&lt;&gt;"Exception",$D16="Low",$E16="Low"),$A16&amp;"  "&amp;$B16,"")</f>
        <v/>
      </c>
      <c r="V16">
        <f>IF(AND($B16&lt;&gt;"",$C16&lt;&gt;"Target state",$C16&lt;&gt;"Exception",$D16="Low",$E16="Medium"),$A16&amp;"  "&amp;$B16,"")</f>
        <v/>
      </c>
      <c r="W16">
        <f>IF(AND($B16&lt;&gt;"",$C16&lt;&gt;"Target state",$C16&lt;&gt;"Exception",$D16="Low",$E16="High"),$A16&amp;"  "&amp;$B16,"")</f>
        <v/>
      </c>
    </row>
    <row r="17" ht="20" customHeight="1">
      <c r="A17" s="29" t="inlineStr">
        <is>
          <t>④</t>
        </is>
      </c>
      <c r="B17" s="30" t="n"/>
      <c r="C17" s="31" t="n"/>
      <c r="D17" s="31" t="n"/>
      <c r="E17" s="31" t="n"/>
      <c r="F17" s="32" t="n"/>
      <c r="G17" s="33">
        <f>IF(OR($B17="",$D17="",$E17=""),"",IF(OR($C17="Target state",$C17="Exception"),"Out of scope",IF($D17="Low","No tranche",IF($E17="Low","Tranche 1",IF($E17="Medium","Tranche 2",IF($D17="High","Tranche 3","No tranche"))))))</f>
        <v/>
      </c>
      <c r="J17" s="35" t="inlineStr">
        <is>
          <t>Medium</t>
        </is>
      </c>
      <c r="K17" s="36">
        <f>"Tranche 1"&amp;CHAR(10)&amp;_xlfn.TEXTJOIN(CHAR(10),TRUE,R$14:R$23)</f>
        <v/>
      </c>
      <c r="L17" s="37">
        <f>"Tranche 2"&amp;CHAR(10)&amp;_xlfn.TEXTJOIN(CHAR(10),TRUE,S$14:S$23)</f>
        <v/>
      </c>
      <c r="M17" s="41">
        <f>_xlfn.TEXTJOIN(CHAR(10),TRUE,T$14:T$23)</f>
        <v/>
      </c>
      <c r="O17">
        <f>IF(AND($B17&lt;&gt;"",$C17&lt;&gt;"Target state",$C17&lt;&gt;"Exception",$D17="High",$E17="Low"),$A17&amp;"  "&amp;$B17,"")</f>
        <v/>
      </c>
      <c r="P17">
        <f>IF(AND($B17&lt;&gt;"",$C17&lt;&gt;"Target state",$C17&lt;&gt;"Exception",$D17="High",$E17="Medium"),$A17&amp;"  "&amp;$B17,"")</f>
        <v/>
      </c>
      <c r="Q17">
        <f>IF(AND($B17&lt;&gt;"",$C17&lt;&gt;"Target state",$C17&lt;&gt;"Exception",$D17="High",$E17="High"),$A17&amp;"  "&amp;$B17,"")</f>
        <v/>
      </c>
      <c r="R17">
        <f>IF(AND($B17&lt;&gt;"",$C17&lt;&gt;"Target state",$C17&lt;&gt;"Exception",$D17="Medium",$E17="Low"),$A17&amp;"  "&amp;$B17,"")</f>
        <v/>
      </c>
      <c r="S17">
        <f>IF(AND($B17&lt;&gt;"",$C17&lt;&gt;"Target state",$C17&lt;&gt;"Exception",$D17="Medium",$E17="Medium"),$A17&amp;"  "&amp;$B17,"")</f>
        <v/>
      </c>
      <c r="T17">
        <f>IF(AND($B17&lt;&gt;"",$C17&lt;&gt;"Target state",$C17&lt;&gt;"Exception",$D17="Medium",$E17="High"),$A17&amp;"  "&amp;$B17,"")</f>
        <v/>
      </c>
      <c r="U17">
        <f>IF(AND($B17&lt;&gt;"",$C17&lt;&gt;"Target state",$C17&lt;&gt;"Exception",$D17="Low",$E17="Low"),$A17&amp;"  "&amp;$B17,"")</f>
        <v/>
      </c>
      <c r="V17">
        <f>IF(AND($B17&lt;&gt;"",$C17&lt;&gt;"Target state",$C17&lt;&gt;"Exception",$D17="Low",$E17="Medium"),$A17&amp;"  "&amp;$B17,"")</f>
        <v/>
      </c>
      <c r="W17">
        <f>IF(AND($B17&lt;&gt;"",$C17&lt;&gt;"Target state",$C17&lt;&gt;"Exception",$D17="Low",$E17="High"),$A17&amp;"  "&amp;$B17,"")</f>
        <v/>
      </c>
    </row>
    <row r="18" ht="20" customHeight="1">
      <c r="A18" s="29" t="inlineStr">
        <is>
          <t>⑤</t>
        </is>
      </c>
      <c r="B18" s="30" t="n"/>
      <c r="C18" s="31" t="n"/>
      <c r="D18" s="31" t="n"/>
      <c r="E18" s="31" t="n"/>
      <c r="F18" s="32" t="n"/>
      <c r="G18" s="33">
        <f>IF(OR($B18="",$D18="",$E18=""),"",IF(OR($C18="Target state",$C18="Exception"),"Out of scope",IF($D18="Low","No tranche",IF($E18="Low","Tranche 1",IF($E18="Medium","Tranche 2",IF($D18="High","Tranche 3","No tranche"))))))</f>
        <v/>
      </c>
      <c r="K18" s="39" t="n"/>
      <c r="L18" s="39" t="n"/>
      <c r="M18" s="39" t="n"/>
      <c r="O18">
        <f>IF(AND($B18&lt;&gt;"",$C18&lt;&gt;"Target state",$C18&lt;&gt;"Exception",$D18="High",$E18="Low"),$A18&amp;"  "&amp;$B18,"")</f>
        <v/>
      </c>
      <c r="P18">
        <f>IF(AND($B18&lt;&gt;"",$C18&lt;&gt;"Target state",$C18&lt;&gt;"Exception",$D18="High",$E18="Medium"),$A18&amp;"  "&amp;$B18,"")</f>
        <v/>
      </c>
      <c r="Q18">
        <f>IF(AND($B18&lt;&gt;"",$C18&lt;&gt;"Target state",$C18&lt;&gt;"Exception",$D18="High",$E18="High"),$A18&amp;"  "&amp;$B18,"")</f>
        <v/>
      </c>
      <c r="R18">
        <f>IF(AND($B18&lt;&gt;"",$C18&lt;&gt;"Target state",$C18&lt;&gt;"Exception",$D18="Medium",$E18="Low"),$A18&amp;"  "&amp;$B18,"")</f>
        <v/>
      </c>
      <c r="S18">
        <f>IF(AND($B18&lt;&gt;"",$C18&lt;&gt;"Target state",$C18&lt;&gt;"Exception",$D18="Medium",$E18="Medium"),$A18&amp;"  "&amp;$B18,"")</f>
        <v/>
      </c>
      <c r="T18">
        <f>IF(AND($B18&lt;&gt;"",$C18&lt;&gt;"Target state",$C18&lt;&gt;"Exception",$D18="Medium",$E18="High"),$A18&amp;"  "&amp;$B18,"")</f>
        <v/>
      </c>
      <c r="U18">
        <f>IF(AND($B18&lt;&gt;"",$C18&lt;&gt;"Target state",$C18&lt;&gt;"Exception",$D18="Low",$E18="Low"),$A18&amp;"  "&amp;$B18,"")</f>
        <v/>
      </c>
      <c r="V18">
        <f>IF(AND($B18&lt;&gt;"",$C18&lt;&gt;"Target state",$C18&lt;&gt;"Exception",$D18="Low",$E18="Medium"),$A18&amp;"  "&amp;$B18,"")</f>
        <v/>
      </c>
      <c r="W18">
        <f>IF(AND($B18&lt;&gt;"",$C18&lt;&gt;"Target state",$C18&lt;&gt;"Exception",$D18="Low",$E18="High"),$A18&amp;"  "&amp;$B18,"")</f>
        <v/>
      </c>
    </row>
    <row r="19" ht="20" customHeight="1">
      <c r="A19" s="29" t="inlineStr">
        <is>
          <t>⑥</t>
        </is>
      </c>
      <c r="B19" s="30" t="n"/>
      <c r="C19" s="31" t="n"/>
      <c r="D19" s="31" t="n"/>
      <c r="E19" s="31" t="n"/>
      <c r="F19" s="32" t="n"/>
      <c r="G19" s="33">
        <f>IF(OR($B19="",$D19="",$E19=""),"",IF(OR($C19="Target state",$C19="Exception"),"Out of scope",IF($D19="Low","No tranche",IF($E19="Low","Tranche 1",IF($E19="Medium","Tranche 2",IF($D19="High","Tranche 3","No tranche"))))))</f>
        <v/>
      </c>
      <c r="K19" s="40" t="n"/>
      <c r="L19" s="40" t="n"/>
      <c r="M19" s="40" t="n"/>
      <c r="O19">
        <f>IF(AND($B19&lt;&gt;"",$C19&lt;&gt;"Target state",$C19&lt;&gt;"Exception",$D19="High",$E19="Low"),$A19&amp;"  "&amp;$B19,"")</f>
        <v/>
      </c>
      <c r="P19">
        <f>IF(AND($B19&lt;&gt;"",$C19&lt;&gt;"Target state",$C19&lt;&gt;"Exception",$D19="High",$E19="Medium"),$A19&amp;"  "&amp;$B19,"")</f>
        <v/>
      </c>
      <c r="Q19">
        <f>IF(AND($B19&lt;&gt;"",$C19&lt;&gt;"Target state",$C19&lt;&gt;"Exception",$D19="High",$E19="High"),$A19&amp;"  "&amp;$B19,"")</f>
        <v/>
      </c>
      <c r="R19">
        <f>IF(AND($B19&lt;&gt;"",$C19&lt;&gt;"Target state",$C19&lt;&gt;"Exception",$D19="Medium",$E19="Low"),$A19&amp;"  "&amp;$B19,"")</f>
        <v/>
      </c>
      <c r="S19">
        <f>IF(AND($B19&lt;&gt;"",$C19&lt;&gt;"Target state",$C19&lt;&gt;"Exception",$D19="Medium",$E19="Medium"),$A19&amp;"  "&amp;$B19,"")</f>
        <v/>
      </c>
      <c r="T19">
        <f>IF(AND($B19&lt;&gt;"",$C19&lt;&gt;"Target state",$C19&lt;&gt;"Exception",$D19="Medium",$E19="High"),$A19&amp;"  "&amp;$B19,"")</f>
        <v/>
      </c>
      <c r="U19">
        <f>IF(AND($B19&lt;&gt;"",$C19&lt;&gt;"Target state",$C19&lt;&gt;"Exception",$D19="Low",$E19="Low"),$A19&amp;"  "&amp;$B19,"")</f>
        <v/>
      </c>
      <c r="V19">
        <f>IF(AND($B19&lt;&gt;"",$C19&lt;&gt;"Target state",$C19&lt;&gt;"Exception",$D19="Low",$E19="Medium"),$A19&amp;"  "&amp;$B19,"")</f>
        <v/>
      </c>
      <c r="W19">
        <f>IF(AND($B19&lt;&gt;"",$C19&lt;&gt;"Target state",$C19&lt;&gt;"Exception",$D19="Low",$E19="High"),$A19&amp;"  "&amp;$B19,"")</f>
        <v/>
      </c>
    </row>
    <row r="20" ht="20" customHeight="1">
      <c r="A20" s="29" t="inlineStr">
        <is>
          <t>⑦</t>
        </is>
      </c>
      <c r="B20" s="30" t="n"/>
      <c r="C20" s="31" t="n"/>
      <c r="D20" s="31" t="n"/>
      <c r="E20" s="31" t="n"/>
      <c r="F20" s="32" t="n"/>
      <c r="G20" s="33">
        <f>IF(OR($B20="",$D20="",$E20=""),"",IF(OR($C20="Target state",$C20="Exception"),"Out of scope",IF($D20="Low","No tranche",IF($E20="Low","Tranche 1",IF($E20="Medium","Tranche 2",IF($D20="High","Tranche 3","No tranche"))))))</f>
        <v/>
      </c>
      <c r="J20" s="35" t="inlineStr">
        <is>
          <t>Low</t>
        </is>
      </c>
      <c r="K20" s="41">
        <f>_xlfn.TEXTJOIN(CHAR(10),TRUE,U$14:U$23)</f>
        <v/>
      </c>
      <c r="L20" s="41">
        <f>_xlfn.TEXTJOIN(CHAR(10),TRUE,V$14:V$23)</f>
        <v/>
      </c>
      <c r="M20" s="41">
        <f>_xlfn.TEXTJOIN(CHAR(10),TRUE,W$14:W$23)</f>
        <v/>
      </c>
      <c r="O20">
        <f>IF(AND($B20&lt;&gt;"",$C20&lt;&gt;"Target state",$C20&lt;&gt;"Exception",$D20="High",$E20="Low"),$A20&amp;"  "&amp;$B20,"")</f>
        <v/>
      </c>
      <c r="P20">
        <f>IF(AND($B20&lt;&gt;"",$C20&lt;&gt;"Target state",$C20&lt;&gt;"Exception",$D20="High",$E20="Medium"),$A20&amp;"  "&amp;$B20,"")</f>
        <v/>
      </c>
      <c r="Q20">
        <f>IF(AND($B20&lt;&gt;"",$C20&lt;&gt;"Target state",$C20&lt;&gt;"Exception",$D20="High",$E20="High"),$A20&amp;"  "&amp;$B20,"")</f>
        <v/>
      </c>
      <c r="R20">
        <f>IF(AND($B20&lt;&gt;"",$C20&lt;&gt;"Target state",$C20&lt;&gt;"Exception",$D20="Medium",$E20="Low"),$A20&amp;"  "&amp;$B20,"")</f>
        <v/>
      </c>
      <c r="S20">
        <f>IF(AND($B20&lt;&gt;"",$C20&lt;&gt;"Target state",$C20&lt;&gt;"Exception",$D20="Medium",$E20="Medium"),$A20&amp;"  "&amp;$B20,"")</f>
        <v/>
      </c>
      <c r="T20">
        <f>IF(AND($B20&lt;&gt;"",$C20&lt;&gt;"Target state",$C20&lt;&gt;"Exception",$D20="Medium",$E20="High"),$A20&amp;"  "&amp;$B20,"")</f>
        <v/>
      </c>
      <c r="U20">
        <f>IF(AND($B20&lt;&gt;"",$C20&lt;&gt;"Target state",$C20&lt;&gt;"Exception",$D20="Low",$E20="Low"),$A20&amp;"  "&amp;$B20,"")</f>
        <v/>
      </c>
      <c r="V20">
        <f>IF(AND($B20&lt;&gt;"",$C20&lt;&gt;"Target state",$C20&lt;&gt;"Exception",$D20="Low",$E20="Medium"),$A20&amp;"  "&amp;$B20,"")</f>
        <v/>
      </c>
      <c r="W20">
        <f>IF(AND($B20&lt;&gt;"",$C20&lt;&gt;"Target state",$C20&lt;&gt;"Exception",$D20="Low",$E20="High"),$A20&amp;"  "&amp;$B20,"")</f>
        <v/>
      </c>
    </row>
    <row r="21" ht="20" customHeight="1">
      <c r="A21" s="29" t="inlineStr">
        <is>
          <t>⑧</t>
        </is>
      </c>
      <c r="B21" s="30" t="n"/>
      <c r="C21" s="31" t="n"/>
      <c r="D21" s="31" t="n"/>
      <c r="E21" s="31" t="n"/>
      <c r="F21" s="32" t="n"/>
      <c r="G21" s="33">
        <f>IF(OR($B21="",$D21="",$E21=""),"",IF(OR($C21="Target state",$C21="Exception"),"Out of scope",IF($D21="Low","No tranche",IF($E21="Low","Tranche 1",IF($E21="Medium","Tranche 2",IF($D21="High","Tranche 3","No tranche"))))))</f>
        <v/>
      </c>
      <c r="K21" s="39" t="n"/>
      <c r="L21" s="39" t="n"/>
      <c r="M21" s="39" t="n"/>
      <c r="O21">
        <f>IF(AND($B21&lt;&gt;"",$C21&lt;&gt;"Target state",$C21&lt;&gt;"Exception",$D21="High",$E21="Low"),$A21&amp;"  "&amp;$B21,"")</f>
        <v/>
      </c>
      <c r="P21">
        <f>IF(AND($B21&lt;&gt;"",$C21&lt;&gt;"Target state",$C21&lt;&gt;"Exception",$D21="High",$E21="Medium"),$A21&amp;"  "&amp;$B21,"")</f>
        <v/>
      </c>
      <c r="Q21">
        <f>IF(AND($B21&lt;&gt;"",$C21&lt;&gt;"Target state",$C21&lt;&gt;"Exception",$D21="High",$E21="High"),$A21&amp;"  "&amp;$B21,"")</f>
        <v/>
      </c>
      <c r="R21">
        <f>IF(AND($B21&lt;&gt;"",$C21&lt;&gt;"Target state",$C21&lt;&gt;"Exception",$D21="Medium",$E21="Low"),$A21&amp;"  "&amp;$B21,"")</f>
        <v/>
      </c>
      <c r="S21">
        <f>IF(AND($B21&lt;&gt;"",$C21&lt;&gt;"Target state",$C21&lt;&gt;"Exception",$D21="Medium",$E21="Medium"),$A21&amp;"  "&amp;$B21,"")</f>
        <v/>
      </c>
      <c r="T21">
        <f>IF(AND($B21&lt;&gt;"",$C21&lt;&gt;"Target state",$C21&lt;&gt;"Exception",$D21="Medium",$E21="High"),$A21&amp;"  "&amp;$B21,"")</f>
        <v/>
      </c>
      <c r="U21">
        <f>IF(AND($B21&lt;&gt;"",$C21&lt;&gt;"Target state",$C21&lt;&gt;"Exception",$D21="Low",$E21="Low"),$A21&amp;"  "&amp;$B21,"")</f>
        <v/>
      </c>
      <c r="V21">
        <f>IF(AND($B21&lt;&gt;"",$C21&lt;&gt;"Target state",$C21&lt;&gt;"Exception",$D21="Low",$E21="Medium"),$A21&amp;"  "&amp;$B21,"")</f>
        <v/>
      </c>
      <c r="W21">
        <f>IF(AND($B21&lt;&gt;"",$C21&lt;&gt;"Target state",$C21&lt;&gt;"Exception",$D21="Low",$E21="High"),$A21&amp;"  "&amp;$B21,"")</f>
        <v/>
      </c>
    </row>
    <row r="22" ht="20" customHeight="1">
      <c r="A22" s="29" t="inlineStr">
        <is>
          <t>⑨</t>
        </is>
      </c>
      <c r="B22" s="30" t="n"/>
      <c r="C22" s="31" t="n"/>
      <c r="D22" s="31" t="n"/>
      <c r="E22" s="31" t="n"/>
      <c r="F22" s="32" t="n"/>
      <c r="G22" s="33">
        <f>IF(OR($B22="",$D22="",$E22=""),"",IF(OR($C22="Target state",$C22="Exception"),"Out of scope",IF($D22="Low","No tranche",IF($E22="Low","Tranche 1",IF($E22="Medium","Tranche 2",IF($D22="High","Tranche 3","No tranche"))))))</f>
        <v/>
      </c>
      <c r="K22" s="40" t="n"/>
      <c r="L22" s="40" t="n"/>
      <c r="M22" s="40" t="n"/>
      <c r="O22">
        <f>IF(AND($B22&lt;&gt;"",$C22&lt;&gt;"Target state",$C22&lt;&gt;"Exception",$D22="High",$E22="Low"),$A22&amp;"  "&amp;$B22,"")</f>
        <v/>
      </c>
      <c r="P22">
        <f>IF(AND($B22&lt;&gt;"",$C22&lt;&gt;"Target state",$C22&lt;&gt;"Exception",$D22="High",$E22="Medium"),$A22&amp;"  "&amp;$B22,"")</f>
        <v/>
      </c>
      <c r="Q22">
        <f>IF(AND($B22&lt;&gt;"",$C22&lt;&gt;"Target state",$C22&lt;&gt;"Exception",$D22="High",$E22="High"),$A22&amp;"  "&amp;$B22,"")</f>
        <v/>
      </c>
      <c r="R22">
        <f>IF(AND($B22&lt;&gt;"",$C22&lt;&gt;"Target state",$C22&lt;&gt;"Exception",$D22="Medium",$E22="Low"),$A22&amp;"  "&amp;$B22,"")</f>
        <v/>
      </c>
      <c r="S22">
        <f>IF(AND($B22&lt;&gt;"",$C22&lt;&gt;"Target state",$C22&lt;&gt;"Exception",$D22="Medium",$E22="Medium"),$A22&amp;"  "&amp;$B22,"")</f>
        <v/>
      </c>
      <c r="T22">
        <f>IF(AND($B22&lt;&gt;"",$C22&lt;&gt;"Target state",$C22&lt;&gt;"Exception",$D22="Medium",$E22="High"),$A22&amp;"  "&amp;$B22,"")</f>
        <v/>
      </c>
      <c r="U22">
        <f>IF(AND($B22&lt;&gt;"",$C22&lt;&gt;"Target state",$C22&lt;&gt;"Exception",$D22="Low",$E22="Low"),$A22&amp;"  "&amp;$B22,"")</f>
        <v/>
      </c>
      <c r="V22">
        <f>IF(AND($B22&lt;&gt;"",$C22&lt;&gt;"Target state",$C22&lt;&gt;"Exception",$D22="Low",$E22="Medium"),$A22&amp;"  "&amp;$B22,"")</f>
        <v/>
      </c>
      <c r="W22">
        <f>IF(AND($B22&lt;&gt;"",$C22&lt;&gt;"Target state",$C22&lt;&gt;"Exception",$D22="Low",$E22="High"),$A22&amp;"  "&amp;$B22,"")</f>
        <v/>
      </c>
    </row>
    <row r="23" ht="20" customHeight="1">
      <c r="A23" s="29" t="inlineStr">
        <is>
          <t>⑩</t>
        </is>
      </c>
      <c r="B23" s="30" t="n"/>
      <c r="C23" s="31" t="n"/>
      <c r="D23" s="31" t="n"/>
      <c r="E23" s="31" t="n"/>
      <c r="F23" s="32" t="n"/>
      <c r="G23" s="33">
        <f>IF(OR($B23="",$D23="",$E23=""),"",IF(OR($C23="Target state",$C23="Exception"),"Out of scope",IF($D23="Low","No tranche",IF($E23="Low","Tranche 1",IF($E23="Medium","Tranche 2",IF($D23="High","Tranche 3","No tranche"))))))</f>
        <v/>
      </c>
      <c r="K23" s="35" t="inlineStr">
        <is>
          <t>Complexity</t>
        </is>
      </c>
      <c r="O23">
        <f>IF(AND($B23&lt;&gt;"",$C23&lt;&gt;"Target state",$C23&lt;&gt;"Exception",$D23="High",$E23="Low"),$A23&amp;"  "&amp;$B23,"")</f>
        <v/>
      </c>
      <c r="P23">
        <f>IF(AND($B23&lt;&gt;"",$C23&lt;&gt;"Target state",$C23&lt;&gt;"Exception",$D23="High",$E23="Medium"),$A23&amp;"  "&amp;$B23,"")</f>
        <v/>
      </c>
      <c r="Q23">
        <f>IF(AND($B23&lt;&gt;"",$C23&lt;&gt;"Target state",$C23&lt;&gt;"Exception",$D23="High",$E23="High"),$A23&amp;"  "&amp;$B23,"")</f>
        <v/>
      </c>
      <c r="R23">
        <f>IF(AND($B23&lt;&gt;"",$C23&lt;&gt;"Target state",$C23&lt;&gt;"Exception",$D23="Medium",$E23="Low"),$A23&amp;"  "&amp;$B23,"")</f>
        <v/>
      </c>
      <c r="S23">
        <f>IF(AND($B23&lt;&gt;"",$C23&lt;&gt;"Target state",$C23&lt;&gt;"Exception",$D23="Medium",$E23="Medium"),$A23&amp;"  "&amp;$B23,"")</f>
        <v/>
      </c>
      <c r="T23">
        <f>IF(AND($B23&lt;&gt;"",$C23&lt;&gt;"Target state",$C23&lt;&gt;"Exception",$D23="Medium",$E23="High"),$A23&amp;"  "&amp;$B23,"")</f>
        <v/>
      </c>
      <c r="U23">
        <f>IF(AND($B23&lt;&gt;"",$C23&lt;&gt;"Target state",$C23&lt;&gt;"Exception",$D23="Low",$E23="Low"),$A23&amp;"  "&amp;$B23,"")</f>
        <v/>
      </c>
      <c r="V23">
        <f>IF(AND($B23&lt;&gt;"",$C23&lt;&gt;"Target state",$C23&lt;&gt;"Exception",$D23="Low",$E23="Medium"),$A23&amp;"  "&amp;$B23,"")</f>
        <v/>
      </c>
      <c r="W23">
        <f>IF(AND($B23&lt;&gt;"",$C23&lt;&gt;"Target state",$C23&lt;&gt;"Exception",$D23="Low",$E23="High"),$A23&amp;"  "&amp;$B23,"")</f>
        <v/>
      </c>
    </row>
    <row r="26" ht="22" customHeight="1">
      <c r="A26" s="24" t="inlineStr">
        <is>
          <t>Reporting</t>
        </is>
      </c>
      <c r="G26" s="25">
        <f>HYPERLINK("#'Single-out'!A4","▲ tracker")</f>
        <v/>
      </c>
      <c r="K26" s="26" t="inlineStr">
        <is>
          <t>Assessment Outcome</t>
        </is>
      </c>
    </row>
    <row r="27" ht="18" customHeight="1">
      <c r="A27" s="27" t="inlineStr">
        <is>
          <t>#</t>
        </is>
      </c>
      <c r="B27" s="27" t="inlineStr">
        <is>
          <t>Platform</t>
        </is>
      </c>
      <c r="C27" s="27" t="inlineStr">
        <is>
          <t>State</t>
        </is>
      </c>
      <c r="D27" s="27" t="inlineStr">
        <is>
          <t>Imperative to exit</t>
        </is>
      </c>
      <c r="E27" s="27" t="inlineStr">
        <is>
          <t>Exit complexity</t>
        </is>
      </c>
      <c r="F27" s="27" t="inlineStr">
        <is>
          <t>Supporting facts</t>
        </is>
      </c>
      <c r="G27" s="27" t="inlineStr">
        <is>
          <t>Tranche (auto)</t>
        </is>
      </c>
      <c r="K27" s="28" t="inlineStr">
        <is>
          <t>Low</t>
        </is>
      </c>
      <c r="L27" s="28" t="inlineStr">
        <is>
          <t>Medium</t>
        </is>
      </c>
      <c r="M27" s="28" t="inlineStr">
        <is>
          <t>High</t>
        </is>
      </c>
    </row>
    <row r="28" ht="20" customHeight="1">
      <c r="A28" s="29" t="inlineStr">
        <is>
          <t>①</t>
        </is>
      </c>
      <c r="B28" s="30" t="n"/>
      <c r="C28" s="31" t="n"/>
      <c r="D28" s="31" t="n"/>
      <c r="E28" s="31" t="n"/>
      <c r="F28" s="32" t="n"/>
      <c r="G28" s="33">
        <f>IF(OR($B28="",$D28="",$E28=""),"",IF(OR($C28="Target state",$C28="Exception"),"Out of scope",IF($D28="Low","No tranche",IF($E28="Low","Tranche 1",IF($E28="Medium","Tranche 2",IF($D28="High","Tranche 3","No tranche"))))))</f>
        <v/>
      </c>
      <c r="I28" s="34" t="inlineStr">
        <is>
          <t>Benefits</t>
        </is>
      </c>
      <c r="J28" s="35" t="inlineStr">
        <is>
          <t>High</t>
        </is>
      </c>
      <c r="K28" s="36">
        <f>"Tranche 1"&amp;CHAR(10)&amp;_xlfn.TEXTJOIN(CHAR(10),TRUE,O$28:O$37)</f>
        <v/>
      </c>
      <c r="L28" s="37">
        <f>"Tranche 2"&amp;CHAR(10)&amp;_xlfn.TEXTJOIN(CHAR(10),TRUE,P$28:P$37)</f>
        <v/>
      </c>
      <c r="M28" s="38">
        <f>"Tranche 3"&amp;CHAR(10)&amp;_xlfn.TEXTJOIN(CHAR(10),TRUE,Q$28:Q$37)</f>
        <v/>
      </c>
      <c r="O28">
        <f>IF(AND($B28&lt;&gt;"",$C28&lt;&gt;"Target state",$C28&lt;&gt;"Exception",$D28="High",$E28="Low"),$A28&amp;"  "&amp;$B28,"")</f>
        <v/>
      </c>
      <c r="P28">
        <f>IF(AND($B28&lt;&gt;"",$C28&lt;&gt;"Target state",$C28&lt;&gt;"Exception",$D28="High",$E28="Medium"),$A28&amp;"  "&amp;$B28,"")</f>
        <v/>
      </c>
      <c r="Q28">
        <f>IF(AND($B28&lt;&gt;"",$C28&lt;&gt;"Target state",$C28&lt;&gt;"Exception",$D28="High",$E28="High"),$A28&amp;"  "&amp;$B28,"")</f>
        <v/>
      </c>
      <c r="R28">
        <f>IF(AND($B28&lt;&gt;"",$C28&lt;&gt;"Target state",$C28&lt;&gt;"Exception",$D28="Medium",$E28="Low"),$A28&amp;"  "&amp;$B28,"")</f>
        <v/>
      </c>
      <c r="S28">
        <f>IF(AND($B28&lt;&gt;"",$C28&lt;&gt;"Target state",$C28&lt;&gt;"Exception",$D28="Medium",$E28="Medium"),$A28&amp;"  "&amp;$B28,"")</f>
        <v/>
      </c>
      <c r="T28">
        <f>IF(AND($B28&lt;&gt;"",$C28&lt;&gt;"Target state",$C28&lt;&gt;"Exception",$D28="Medium",$E28="High"),$A28&amp;"  "&amp;$B28,"")</f>
        <v/>
      </c>
      <c r="U28">
        <f>IF(AND($B28&lt;&gt;"",$C28&lt;&gt;"Target state",$C28&lt;&gt;"Exception",$D28="Low",$E28="Low"),$A28&amp;"  "&amp;$B28,"")</f>
        <v/>
      </c>
      <c r="V28">
        <f>IF(AND($B28&lt;&gt;"",$C28&lt;&gt;"Target state",$C28&lt;&gt;"Exception",$D28="Low",$E28="Medium"),$A28&amp;"  "&amp;$B28,"")</f>
        <v/>
      </c>
      <c r="W28">
        <f>IF(AND($B28&lt;&gt;"",$C28&lt;&gt;"Target state",$C28&lt;&gt;"Exception",$D28="Low",$E28="High"),$A28&amp;"  "&amp;$B28,"")</f>
        <v/>
      </c>
    </row>
    <row r="29" ht="20" customHeight="1">
      <c r="A29" s="29" t="inlineStr">
        <is>
          <t>②</t>
        </is>
      </c>
      <c r="B29" s="30" t="n"/>
      <c r="C29" s="31" t="n"/>
      <c r="D29" s="31" t="n"/>
      <c r="E29" s="31" t="n"/>
      <c r="F29" s="32" t="n"/>
      <c r="G29" s="33">
        <f>IF(OR($B29="",$D29="",$E29=""),"",IF(OR($C29="Target state",$C29="Exception"),"Out of scope",IF($D29="Low","No tranche",IF($E29="Low","Tranche 1",IF($E29="Medium","Tranche 2",IF($D29="High","Tranche 3","No tranche"))))))</f>
        <v/>
      </c>
      <c r="K29" s="39" t="n"/>
      <c r="L29" s="39" t="n"/>
      <c r="M29" s="39" t="n"/>
      <c r="O29">
        <f>IF(AND($B29&lt;&gt;"",$C29&lt;&gt;"Target state",$C29&lt;&gt;"Exception",$D29="High",$E29="Low"),$A29&amp;"  "&amp;$B29,"")</f>
        <v/>
      </c>
      <c r="P29">
        <f>IF(AND($B29&lt;&gt;"",$C29&lt;&gt;"Target state",$C29&lt;&gt;"Exception",$D29="High",$E29="Medium"),$A29&amp;"  "&amp;$B29,"")</f>
        <v/>
      </c>
      <c r="Q29">
        <f>IF(AND($B29&lt;&gt;"",$C29&lt;&gt;"Target state",$C29&lt;&gt;"Exception",$D29="High",$E29="High"),$A29&amp;"  "&amp;$B29,"")</f>
        <v/>
      </c>
      <c r="R29">
        <f>IF(AND($B29&lt;&gt;"",$C29&lt;&gt;"Target state",$C29&lt;&gt;"Exception",$D29="Medium",$E29="Low"),$A29&amp;"  "&amp;$B29,"")</f>
        <v/>
      </c>
      <c r="S29">
        <f>IF(AND($B29&lt;&gt;"",$C29&lt;&gt;"Target state",$C29&lt;&gt;"Exception",$D29="Medium",$E29="Medium"),$A29&amp;"  "&amp;$B29,"")</f>
        <v/>
      </c>
      <c r="T29">
        <f>IF(AND($B29&lt;&gt;"",$C29&lt;&gt;"Target state",$C29&lt;&gt;"Exception",$D29="Medium",$E29="High"),$A29&amp;"  "&amp;$B29,"")</f>
        <v/>
      </c>
      <c r="U29">
        <f>IF(AND($B29&lt;&gt;"",$C29&lt;&gt;"Target state",$C29&lt;&gt;"Exception",$D29="Low",$E29="Low"),$A29&amp;"  "&amp;$B29,"")</f>
        <v/>
      </c>
      <c r="V29">
        <f>IF(AND($B29&lt;&gt;"",$C29&lt;&gt;"Target state",$C29&lt;&gt;"Exception",$D29="Low",$E29="Medium"),$A29&amp;"  "&amp;$B29,"")</f>
        <v/>
      </c>
      <c r="W29">
        <f>IF(AND($B29&lt;&gt;"",$C29&lt;&gt;"Target state",$C29&lt;&gt;"Exception",$D29="Low",$E29="High"),$A29&amp;"  "&amp;$B29,"")</f>
        <v/>
      </c>
    </row>
    <row r="30" ht="20" customHeight="1">
      <c r="A30" s="29" t="inlineStr">
        <is>
          <t>③</t>
        </is>
      </c>
      <c r="B30" s="30" t="n"/>
      <c r="C30" s="31" t="n"/>
      <c r="D30" s="31" t="n"/>
      <c r="E30" s="31" t="n"/>
      <c r="F30" s="32" t="n"/>
      <c r="G30" s="33">
        <f>IF(OR($B30="",$D30="",$E30=""),"",IF(OR($C30="Target state",$C30="Exception"),"Out of scope",IF($D30="Low","No tranche",IF($E30="Low","Tranche 1",IF($E30="Medium","Tranche 2",IF($D30="High","Tranche 3","No tranche"))))))</f>
        <v/>
      </c>
      <c r="K30" s="40" t="n"/>
      <c r="L30" s="40" t="n"/>
      <c r="M30" s="40" t="n"/>
      <c r="O30">
        <f>IF(AND($B30&lt;&gt;"",$C30&lt;&gt;"Target state",$C30&lt;&gt;"Exception",$D30="High",$E30="Low"),$A30&amp;"  "&amp;$B30,"")</f>
        <v/>
      </c>
      <c r="P30">
        <f>IF(AND($B30&lt;&gt;"",$C30&lt;&gt;"Target state",$C30&lt;&gt;"Exception",$D30="High",$E30="Medium"),$A30&amp;"  "&amp;$B30,"")</f>
        <v/>
      </c>
      <c r="Q30">
        <f>IF(AND($B30&lt;&gt;"",$C30&lt;&gt;"Target state",$C30&lt;&gt;"Exception",$D30="High",$E30="High"),$A30&amp;"  "&amp;$B30,"")</f>
        <v/>
      </c>
      <c r="R30">
        <f>IF(AND($B30&lt;&gt;"",$C30&lt;&gt;"Target state",$C30&lt;&gt;"Exception",$D30="Medium",$E30="Low"),$A30&amp;"  "&amp;$B30,"")</f>
        <v/>
      </c>
      <c r="S30">
        <f>IF(AND($B30&lt;&gt;"",$C30&lt;&gt;"Target state",$C30&lt;&gt;"Exception",$D30="Medium",$E30="Medium"),$A30&amp;"  "&amp;$B30,"")</f>
        <v/>
      </c>
      <c r="T30">
        <f>IF(AND($B30&lt;&gt;"",$C30&lt;&gt;"Target state",$C30&lt;&gt;"Exception",$D30="Medium",$E30="High"),$A30&amp;"  "&amp;$B30,"")</f>
        <v/>
      </c>
      <c r="U30">
        <f>IF(AND($B30&lt;&gt;"",$C30&lt;&gt;"Target state",$C30&lt;&gt;"Exception",$D30="Low",$E30="Low"),$A30&amp;"  "&amp;$B30,"")</f>
        <v/>
      </c>
      <c r="V30">
        <f>IF(AND($B30&lt;&gt;"",$C30&lt;&gt;"Target state",$C30&lt;&gt;"Exception",$D30="Low",$E30="Medium"),$A30&amp;"  "&amp;$B30,"")</f>
        <v/>
      </c>
      <c r="W30">
        <f>IF(AND($B30&lt;&gt;"",$C30&lt;&gt;"Target state",$C30&lt;&gt;"Exception",$D30="Low",$E30="High"),$A30&amp;"  "&amp;$B30,"")</f>
        <v/>
      </c>
    </row>
    <row r="31" ht="20" customHeight="1">
      <c r="A31" s="29" t="inlineStr">
        <is>
          <t>④</t>
        </is>
      </c>
      <c r="B31" s="30" t="n"/>
      <c r="C31" s="31" t="n"/>
      <c r="D31" s="31" t="n"/>
      <c r="E31" s="31" t="n"/>
      <c r="F31" s="32" t="n"/>
      <c r="G31" s="33">
        <f>IF(OR($B31="",$D31="",$E31=""),"",IF(OR($C31="Target state",$C31="Exception"),"Out of scope",IF($D31="Low","No tranche",IF($E31="Low","Tranche 1",IF($E31="Medium","Tranche 2",IF($D31="High","Tranche 3","No tranche"))))))</f>
        <v/>
      </c>
      <c r="J31" s="35" t="inlineStr">
        <is>
          <t>Medium</t>
        </is>
      </c>
      <c r="K31" s="36">
        <f>"Tranche 1"&amp;CHAR(10)&amp;_xlfn.TEXTJOIN(CHAR(10),TRUE,R$28:R$37)</f>
        <v/>
      </c>
      <c r="L31" s="37">
        <f>"Tranche 2"&amp;CHAR(10)&amp;_xlfn.TEXTJOIN(CHAR(10),TRUE,S$28:S$37)</f>
        <v/>
      </c>
      <c r="M31" s="41">
        <f>_xlfn.TEXTJOIN(CHAR(10),TRUE,T$28:T$37)</f>
        <v/>
      </c>
      <c r="O31">
        <f>IF(AND($B31&lt;&gt;"",$C31&lt;&gt;"Target state",$C31&lt;&gt;"Exception",$D31="High",$E31="Low"),$A31&amp;"  "&amp;$B31,"")</f>
        <v/>
      </c>
      <c r="P31">
        <f>IF(AND($B31&lt;&gt;"",$C31&lt;&gt;"Target state",$C31&lt;&gt;"Exception",$D31="High",$E31="Medium"),$A31&amp;"  "&amp;$B31,"")</f>
        <v/>
      </c>
      <c r="Q31">
        <f>IF(AND($B31&lt;&gt;"",$C31&lt;&gt;"Target state",$C31&lt;&gt;"Exception",$D31="High",$E31="High"),$A31&amp;"  "&amp;$B31,"")</f>
        <v/>
      </c>
      <c r="R31">
        <f>IF(AND($B31&lt;&gt;"",$C31&lt;&gt;"Target state",$C31&lt;&gt;"Exception",$D31="Medium",$E31="Low"),$A31&amp;"  "&amp;$B31,"")</f>
        <v/>
      </c>
      <c r="S31">
        <f>IF(AND($B31&lt;&gt;"",$C31&lt;&gt;"Target state",$C31&lt;&gt;"Exception",$D31="Medium",$E31="Medium"),$A31&amp;"  "&amp;$B31,"")</f>
        <v/>
      </c>
      <c r="T31">
        <f>IF(AND($B31&lt;&gt;"",$C31&lt;&gt;"Target state",$C31&lt;&gt;"Exception",$D31="Medium",$E31="High"),$A31&amp;"  "&amp;$B31,"")</f>
        <v/>
      </c>
      <c r="U31">
        <f>IF(AND($B31&lt;&gt;"",$C31&lt;&gt;"Target state",$C31&lt;&gt;"Exception",$D31="Low",$E31="Low"),$A31&amp;"  "&amp;$B31,"")</f>
        <v/>
      </c>
      <c r="V31">
        <f>IF(AND($B31&lt;&gt;"",$C31&lt;&gt;"Target state",$C31&lt;&gt;"Exception",$D31="Low",$E31="Medium"),$A31&amp;"  "&amp;$B31,"")</f>
        <v/>
      </c>
      <c r="W31">
        <f>IF(AND($B31&lt;&gt;"",$C31&lt;&gt;"Target state",$C31&lt;&gt;"Exception",$D31="Low",$E31="High"),$A31&amp;"  "&amp;$B31,"")</f>
        <v/>
      </c>
    </row>
    <row r="32" ht="20" customHeight="1">
      <c r="A32" s="29" t="inlineStr">
        <is>
          <t>⑤</t>
        </is>
      </c>
      <c r="B32" s="30" t="n"/>
      <c r="C32" s="31" t="n"/>
      <c r="D32" s="31" t="n"/>
      <c r="E32" s="31" t="n"/>
      <c r="F32" s="32" t="n"/>
      <c r="G32" s="33">
        <f>IF(OR($B32="",$D32="",$E32=""),"",IF(OR($C32="Target state",$C32="Exception"),"Out of scope",IF($D32="Low","No tranche",IF($E32="Low","Tranche 1",IF($E32="Medium","Tranche 2",IF($D32="High","Tranche 3","No tranche"))))))</f>
        <v/>
      </c>
      <c r="K32" s="39" t="n"/>
      <c r="L32" s="39" t="n"/>
      <c r="M32" s="39" t="n"/>
      <c r="O32">
        <f>IF(AND($B32&lt;&gt;"",$C32&lt;&gt;"Target state",$C32&lt;&gt;"Exception",$D32="High",$E32="Low"),$A32&amp;"  "&amp;$B32,"")</f>
        <v/>
      </c>
      <c r="P32">
        <f>IF(AND($B32&lt;&gt;"",$C32&lt;&gt;"Target state",$C32&lt;&gt;"Exception",$D32="High",$E32="Medium"),$A32&amp;"  "&amp;$B32,"")</f>
        <v/>
      </c>
      <c r="Q32">
        <f>IF(AND($B32&lt;&gt;"",$C32&lt;&gt;"Target state",$C32&lt;&gt;"Exception",$D32="High",$E32="High"),$A32&amp;"  "&amp;$B32,"")</f>
        <v/>
      </c>
      <c r="R32">
        <f>IF(AND($B32&lt;&gt;"",$C32&lt;&gt;"Target state",$C32&lt;&gt;"Exception",$D32="Medium",$E32="Low"),$A32&amp;"  "&amp;$B32,"")</f>
        <v/>
      </c>
      <c r="S32">
        <f>IF(AND($B32&lt;&gt;"",$C32&lt;&gt;"Target state",$C32&lt;&gt;"Exception",$D32="Medium",$E32="Medium"),$A32&amp;"  "&amp;$B32,"")</f>
        <v/>
      </c>
      <c r="T32">
        <f>IF(AND($B32&lt;&gt;"",$C32&lt;&gt;"Target state",$C32&lt;&gt;"Exception",$D32="Medium",$E32="High"),$A32&amp;"  "&amp;$B32,"")</f>
        <v/>
      </c>
      <c r="U32">
        <f>IF(AND($B32&lt;&gt;"",$C32&lt;&gt;"Target state",$C32&lt;&gt;"Exception",$D32="Low",$E32="Low"),$A32&amp;"  "&amp;$B32,"")</f>
        <v/>
      </c>
      <c r="V32">
        <f>IF(AND($B32&lt;&gt;"",$C32&lt;&gt;"Target state",$C32&lt;&gt;"Exception",$D32="Low",$E32="Medium"),$A32&amp;"  "&amp;$B32,"")</f>
        <v/>
      </c>
      <c r="W32">
        <f>IF(AND($B32&lt;&gt;"",$C32&lt;&gt;"Target state",$C32&lt;&gt;"Exception",$D32="Low",$E32="High"),$A32&amp;"  "&amp;$B32,"")</f>
        <v/>
      </c>
    </row>
    <row r="33" ht="20" customHeight="1">
      <c r="A33" s="29" t="inlineStr">
        <is>
          <t>⑥</t>
        </is>
      </c>
      <c r="B33" s="30" t="n"/>
      <c r="C33" s="31" t="n"/>
      <c r="D33" s="31" t="n"/>
      <c r="E33" s="31" t="n"/>
      <c r="F33" s="32" t="n"/>
      <c r="G33" s="33">
        <f>IF(OR($B33="",$D33="",$E33=""),"",IF(OR($C33="Target state",$C33="Exception"),"Out of scope",IF($D33="Low","No tranche",IF($E33="Low","Tranche 1",IF($E33="Medium","Tranche 2",IF($D33="High","Tranche 3","No tranche"))))))</f>
        <v/>
      </c>
      <c r="K33" s="40" t="n"/>
      <c r="L33" s="40" t="n"/>
      <c r="M33" s="40" t="n"/>
      <c r="O33">
        <f>IF(AND($B33&lt;&gt;"",$C33&lt;&gt;"Target state",$C33&lt;&gt;"Exception",$D33="High",$E33="Low"),$A33&amp;"  "&amp;$B33,"")</f>
        <v/>
      </c>
      <c r="P33">
        <f>IF(AND($B33&lt;&gt;"",$C33&lt;&gt;"Target state",$C33&lt;&gt;"Exception",$D33="High",$E33="Medium"),$A33&amp;"  "&amp;$B33,"")</f>
        <v/>
      </c>
      <c r="Q33">
        <f>IF(AND($B33&lt;&gt;"",$C33&lt;&gt;"Target state",$C33&lt;&gt;"Exception",$D33="High",$E33="High"),$A33&amp;"  "&amp;$B33,"")</f>
        <v/>
      </c>
      <c r="R33">
        <f>IF(AND($B33&lt;&gt;"",$C33&lt;&gt;"Target state",$C33&lt;&gt;"Exception",$D33="Medium",$E33="Low"),$A33&amp;"  "&amp;$B33,"")</f>
        <v/>
      </c>
      <c r="S33">
        <f>IF(AND($B33&lt;&gt;"",$C33&lt;&gt;"Target state",$C33&lt;&gt;"Exception",$D33="Medium",$E33="Medium"),$A33&amp;"  "&amp;$B33,"")</f>
        <v/>
      </c>
      <c r="T33">
        <f>IF(AND($B33&lt;&gt;"",$C33&lt;&gt;"Target state",$C33&lt;&gt;"Exception",$D33="Medium",$E33="High"),$A33&amp;"  "&amp;$B33,"")</f>
        <v/>
      </c>
      <c r="U33">
        <f>IF(AND($B33&lt;&gt;"",$C33&lt;&gt;"Target state",$C33&lt;&gt;"Exception",$D33="Low",$E33="Low"),$A33&amp;"  "&amp;$B33,"")</f>
        <v/>
      </c>
      <c r="V33">
        <f>IF(AND($B33&lt;&gt;"",$C33&lt;&gt;"Target state",$C33&lt;&gt;"Exception",$D33="Low",$E33="Medium"),$A33&amp;"  "&amp;$B33,"")</f>
        <v/>
      </c>
      <c r="W33">
        <f>IF(AND($B33&lt;&gt;"",$C33&lt;&gt;"Target state",$C33&lt;&gt;"Exception",$D33="Low",$E33="High"),$A33&amp;"  "&amp;$B33,"")</f>
        <v/>
      </c>
    </row>
    <row r="34" ht="20" customHeight="1">
      <c r="A34" s="29" t="inlineStr">
        <is>
          <t>⑦</t>
        </is>
      </c>
      <c r="B34" s="30" t="n"/>
      <c r="C34" s="31" t="n"/>
      <c r="D34" s="31" t="n"/>
      <c r="E34" s="31" t="n"/>
      <c r="F34" s="32" t="n"/>
      <c r="G34" s="33">
        <f>IF(OR($B34="",$D34="",$E34=""),"",IF(OR($C34="Target state",$C34="Exception"),"Out of scope",IF($D34="Low","No tranche",IF($E34="Low","Tranche 1",IF($E34="Medium","Tranche 2",IF($D34="High","Tranche 3","No tranche"))))))</f>
        <v/>
      </c>
      <c r="J34" s="35" t="inlineStr">
        <is>
          <t>Low</t>
        </is>
      </c>
      <c r="K34" s="41">
        <f>_xlfn.TEXTJOIN(CHAR(10),TRUE,U$28:U$37)</f>
        <v/>
      </c>
      <c r="L34" s="41">
        <f>_xlfn.TEXTJOIN(CHAR(10),TRUE,V$28:V$37)</f>
        <v/>
      </c>
      <c r="M34" s="41">
        <f>_xlfn.TEXTJOIN(CHAR(10),TRUE,W$28:W$37)</f>
        <v/>
      </c>
      <c r="O34">
        <f>IF(AND($B34&lt;&gt;"",$C34&lt;&gt;"Target state",$C34&lt;&gt;"Exception",$D34="High",$E34="Low"),$A34&amp;"  "&amp;$B34,"")</f>
        <v/>
      </c>
      <c r="P34">
        <f>IF(AND($B34&lt;&gt;"",$C34&lt;&gt;"Target state",$C34&lt;&gt;"Exception",$D34="High",$E34="Medium"),$A34&amp;"  "&amp;$B34,"")</f>
        <v/>
      </c>
      <c r="Q34">
        <f>IF(AND($B34&lt;&gt;"",$C34&lt;&gt;"Target state",$C34&lt;&gt;"Exception",$D34="High",$E34="High"),$A34&amp;"  "&amp;$B34,"")</f>
        <v/>
      </c>
      <c r="R34">
        <f>IF(AND($B34&lt;&gt;"",$C34&lt;&gt;"Target state",$C34&lt;&gt;"Exception",$D34="Medium",$E34="Low"),$A34&amp;"  "&amp;$B34,"")</f>
        <v/>
      </c>
      <c r="S34">
        <f>IF(AND($B34&lt;&gt;"",$C34&lt;&gt;"Target state",$C34&lt;&gt;"Exception",$D34="Medium",$E34="Medium"),$A34&amp;"  "&amp;$B34,"")</f>
        <v/>
      </c>
      <c r="T34">
        <f>IF(AND($B34&lt;&gt;"",$C34&lt;&gt;"Target state",$C34&lt;&gt;"Exception",$D34="Medium",$E34="High"),$A34&amp;"  "&amp;$B34,"")</f>
        <v/>
      </c>
      <c r="U34">
        <f>IF(AND($B34&lt;&gt;"",$C34&lt;&gt;"Target state",$C34&lt;&gt;"Exception",$D34="Low",$E34="Low"),$A34&amp;"  "&amp;$B34,"")</f>
        <v/>
      </c>
      <c r="V34">
        <f>IF(AND($B34&lt;&gt;"",$C34&lt;&gt;"Target state",$C34&lt;&gt;"Exception",$D34="Low",$E34="Medium"),$A34&amp;"  "&amp;$B34,"")</f>
        <v/>
      </c>
      <c r="W34">
        <f>IF(AND($B34&lt;&gt;"",$C34&lt;&gt;"Target state",$C34&lt;&gt;"Exception",$D34="Low",$E34="High"),$A34&amp;"  "&amp;$B34,"")</f>
        <v/>
      </c>
    </row>
    <row r="35" ht="20" customHeight="1">
      <c r="A35" s="29" t="inlineStr">
        <is>
          <t>⑧</t>
        </is>
      </c>
      <c r="B35" s="30" t="n"/>
      <c r="C35" s="31" t="n"/>
      <c r="D35" s="31" t="n"/>
      <c r="E35" s="31" t="n"/>
      <c r="F35" s="32" t="n"/>
      <c r="G35" s="33">
        <f>IF(OR($B35="",$D35="",$E35=""),"",IF(OR($C35="Target state",$C35="Exception"),"Out of scope",IF($D35="Low","No tranche",IF($E35="Low","Tranche 1",IF($E35="Medium","Tranche 2",IF($D35="High","Tranche 3","No tranche"))))))</f>
        <v/>
      </c>
      <c r="K35" s="39" t="n"/>
      <c r="L35" s="39" t="n"/>
      <c r="M35" s="39" t="n"/>
      <c r="O35">
        <f>IF(AND($B35&lt;&gt;"",$C35&lt;&gt;"Target state",$C35&lt;&gt;"Exception",$D35="High",$E35="Low"),$A35&amp;"  "&amp;$B35,"")</f>
        <v/>
      </c>
      <c r="P35">
        <f>IF(AND($B35&lt;&gt;"",$C35&lt;&gt;"Target state",$C35&lt;&gt;"Exception",$D35="High",$E35="Medium"),$A35&amp;"  "&amp;$B35,"")</f>
        <v/>
      </c>
      <c r="Q35">
        <f>IF(AND($B35&lt;&gt;"",$C35&lt;&gt;"Target state",$C35&lt;&gt;"Exception",$D35="High",$E35="High"),$A35&amp;"  "&amp;$B35,"")</f>
        <v/>
      </c>
      <c r="R35">
        <f>IF(AND($B35&lt;&gt;"",$C35&lt;&gt;"Target state",$C35&lt;&gt;"Exception",$D35="Medium",$E35="Low"),$A35&amp;"  "&amp;$B35,"")</f>
        <v/>
      </c>
      <c r="S35">
        <f>IF(AND($B35&lt;&gt;"",$C35&lt;&gt;"Target state",$C35&lt;&gt;"Exception",$D35="Medium",$E35="Medium"),$A35&amp;"  "&amp;$B35,"")</f>
        <v/>
      </c>
      <c r="T35">
        <f>IF(AND($B35&lt;&gt;"",$C35&lt;&gt;"Target state",$C35&lt;&gt;"Exception",$D35="Medium",$E35="High"),$A35&amp;"  "&amp;$B35,"")</f>
        <v/>
      </c>
      <c r="U35">
        <f>IF(AND($B35&lt;&gt;"",$C35&lt;&gt;"Target state",$C35&lt;&gt;"Exception",$D35="Low",$E35="Low"),$A35&amp;"  "&amp;$B35,"")</f>
        <v/>
      </c>
      <c r="V35">
        <f>IF(AND($B35&lt;&gt;"",$C35&lt;&gt;"Target state",$C35&lt;&gt;"Exception",$D35="Low",$E35="Medium"),$A35&amp;"  "&amp;$B35,"")</f>
        <v/>
      </c>
      <c r="W35">
        <f>IF(AND($B35&lt;&gt;"",$C35&lt;&gt;"Target state",$C35&lt;&gt;"Exception",$D35="Low",$E35="High"),$A35&amp;"  "&amp;$B35,"")</f>
        <v/>
      </c>
    </row>
    <row r="36" ht="20" customHeight="1">
      <c r="A36" s="29" t="inlineStr">
        <is>
          <t>⑨</t>
        </is>
      </c>
      <c r="B36" s="30" t="n"/>
      <c r="C36" s="31" t="n"/>
      <c r="D36" s="31" t="n"/>
      <c r="E36" s="31" t="n"/>
      <c r="F36" s="32" t="n"/>
      <c r="G36" s="33">
        <f>IF(OR($B36="",$D36="",$E36=""),"",IF(OR($C36="Target state",$C36="Exception"),"Out of scope",IF($D36="Low","No tranche",IF($E36="Low","Tranche 1",IF($E36="Medium","Tranche 2",IF($D36="High","Tranche 3","No tranche"))))))</f>
        <v/>
      </c>
      <c r="K36" s="40" t="n"/>
      <c r="L36" s="40" t="n"/>
      <c r="M36" s="40" t="n"/>
      <c r="O36">
        <f>IF(AND($B36&lt;&gt;"",$C36&lt;&gt;"Target state",$C36&lt;&gt;"Exception",$D36="High",$E36="Low"),$A36&amp;"  "&amp;$B36,"")</f>
        <v/>
      </c>
      <c r="P36">
        <f>IF(AND($B36&lt;&gt;"",$C36&lt;&gt;"Target state",$C36&lt;&gt;"Exception",$D36="High",$E36="Medium"),$A36&amp;"  "&amp;$B36,"")</f>
        <v/>
      </c>
      <c r="Q36">
        <f>IF(AND($B36&lt;&gt;"",$C36&lt;&gt;"Target state",$C36&lt;&gt;"Exception",$D36="High",$E36="High"),$A36&amp;"  "&amp;$B36,"")</f>
        <v/>
      </c>
      <c r="R36">
        <f>IF(AND($B36&lt;&gt;"",$C36&lt;&gt;"Target state",$C36&lt;&gt;"Exception",$D36="Medium",$E36="Low"),$A36&amp;"  "&amp;$B36,"")</f>
        <v/>
      </c>
      <c r="S36">
        <f>IF(AND($B36&lt;&gt;"",$C36&lt;&gt;"Target state",$C36&lt;&gt;"Exception",$D36="Medium",$E36="Medium"),$A36&amp;"  "&amp;$B36,"")</f>
        <v/>
      </c>
      <c r="T36">
        <f>IF(AND($B36&lt;&gt;"",$C36&lt;&gt;"Target state",$C36&lt;&gt;"Exception",$D36="Medium",$E36="High"),$A36&amp;"  "&amp;$B36,"")</f>
        <v/>
      </c>
      <c r="U36">
        <f>IF(AND($B36&lt;&gt;"",$C36&lt;&gt;"Target state",$C36&lt;&gt;"Exception",$D36="Low",$E36="Low"),$A36&amp;"  "&amp;$B36,"")</f>
        <v/>
      </c>
      <c r="V36">
        <f>IF(AND($B36&lt;&gt;"",$C36&lt;&gt;"Target state",$C36&lt;&gt;"Exception",$D36="Low",$E36="Medium"),$A36&amp;"  "&amp;$B36,"")</f>
        <v/>
      </c>
      <c r="W36">
        <f>IF(AND($B36&lt;&gt;"",$C36&lt;&gt;"Target state",$C36&lt;&gt;"Exception",$D36="Low",$E36="High"),$A36&amp;"  "&amp;$B36,"")</f>
        <v/>
      </c>
    </row>
    <row r="37" ht="20" customHeight="1">
      <c r="A37" s="29" t="inlineStr">
        <is>
          <t>⑩</t>
        </is>
      </c>
      <c r="B37" s="30" t="n"/>
      <c r="C37" s="31" t="n"/>
      <c r="D37" s="31" t="n"/>
      <c r="E37" s="31" t="n"/>
      <c r="F37" s="32" t="n"/>
      <c r="G37" s="33">
        <f>IF(OR($B37="",$D37="",$E37=""),"",IF(OR($C37="Target state",$C37="Exception"),"Out of scope",IF($D37="Low","No tranche",IF($E37="Low","Tranche 1",IF($E37="Medium","Tranche 2",IF($D37="High","Tranche 3","No tranche"))))))</f>
        <v/>
      </c>
      <c r="K37" s="35" t="inlineStr">
        <is>
          <t>Complexity</t>
        </is>
      </c>
      <c r="O37">
        <f>IF(AND($B37&lt;&gt;"",$C37&lt;&gt;"Target state",$C37&lt;&gt;"Exception",$D37="High",$E37="Low"),$A37&amp;"  "&amp;$B37,"")</f>
        <v/>
      </c>
      <c r="P37">
        <f>IF(AND($B37&lt;&gt;"",$C37&lt;&gt;"Target state",$C37&lt;&gt;"Exception",$D37="High",$E37="Medium"),$A37&amp;"  "&amp;$B37,"")</f>
        <v/>
      </c>
      <c r="Q37">
        <f>IF(AND($B37&lt;&gt;"",$C37&lt;&gt;"Target state",$C37&lt;&gt;"Exception",$D37="High",$E37="High"),$A37&amp;"  "&amp;$B37,"")</f>
        <v/>
      </c>
      <c r="R37">
        <f>IF(AND($B37&lt;&gt;"",$C37&lt;&gt;"Target state",$C37&lt;&gt;"Exception",$D37="Medium",$E37="Low"),$A37&amp;"  "&amp;$B37,"")</f>
        <v/>
      </c>
      <c r="S37">
        <f>IF(AND($B37&lt;&gt;"",$C37&lt;&gt;"Target state",$C37&lt;&gt;"Exception",$D37="Medium",$E37="Medium"),$A37&amp;"  "&amp;$B37,"")</f>
        <v/>
      </c>
      <c r="T37">
        <f>IF(AND($B37&lt;&gt;"",$C37&lt;&gt;"Target state",$C37&lt;&gt;"Exception",$D37="Medium",$E37="High"),$A37&amp;"  "&amp;$B37,"")</f>
        <v/>
      </c>
      <c r="U37">
        <f>IF(AND($B37&lt;&gt;"",$C37&lt;&gt;"Target state",$C37&lt;&gt;"Exception",$D37="Low",$E37="Low"),$A37&amp;"  "&amp;$B37,"")</f>
        <v/>
      </c>
      <c r="V37">
        <f>IF(AND($B37&lt;&gt;"",$C37&lt;&gt;"Target state",$C37&lt;&gt;"Exception",$D37="Low",$E37="Medium"),$A37&amp;"  "&amp;$B37,"")</f>
        <v/>
      </c>
      <c r="W37">
        <f>IF(AND($B37&lt;&gt;"",$C37&lt;&gt;"Target state",$C37&lt;&gt;"Exception",$D37="Low",$E37="High"),$A37&amp;"  "&amp;$B37,"")</f>
        <v/>
      </c>
    </row>
    <row r="40" ht="22" customHeight="1">
      <c r="A40" s="24" t="inlineStr">
        <is>
          <t>Billing</t>
        </is>
      </c>
      <c r="G40" s="25">
        <f>HYPERLINK("#'Single-out'!A4","▲ tracker")</f>
        <v/>
      </c>
      <c r="K40" s="26" t="inlineStr">
        <is>
          <t>Assessment Outcome</t>
        </is>
      </c>
    </row>
    <row r="41" ht="18" customHeight="1">
      <c r="A41" s="27" t="inlineStr">
        <is>
          <t>#</t>
        </is>
      </c>
      <c r="B41" s="27" t="inlineStr">
        <is>
          <t>Platform</t>
        </is>
      </c>
      <c r="C41" s="27" t="inlineStr">
        <is>
          <t>State</t>
        </is>
      </c>
      <c r="D41" s="27" t="inlineStr">
        <is>
          <t>Imperative to exit</t>
        </is>
      </c>
      <c r="E41" s="27" t="inlineStr">
        <is>
          <t>Exit complexity</t>
        </is>
      </c>
      <c r="F41" s="27" t="inlineStr">
        <is>
          <t>Supporting facts</t>
        </is>
      </c>
      <c r="G41" s="27" t="inlineStr">
        <is>
          <t>Tranche (auto)</t>
        </is>
      </c>
      <c r="K41" s="28" t="inlineStr">
        <is>
          <t>Low</t>
        </is>
      </c>
      <c r="L41" s="28" t="inlineStr">
        <is>
          <t>Medium</t>
        </is>
      </c>
      <c r="M41" s="28" t="inlineStr">
        <is>
          <t>High</t>
        </is>
      </c>
    </row>
    <row r="42" ht="20" customHeight="1">
      <c r="A42" s="29" t="inlineStr">
        <is>
          <t>①</t>
        </is>
      </c>
      <c r="B42" s="30" t="n"/>
      <c r="C42" s="31" t="n"/>
      <c r="D42" s="31" t="n"/>
      <c r="E42" s="31" t="n"/>
      <c r="F42" s="32" t="n"/>
      <c r="G42" s="33">
        <f>IF(OR($B42="",$D42="",$E42=""),"",IF(OR($C42="Target state",$C42="Exception"),"Out of scope",IF($D42="Low","No tranche",IF($E42="Low","Tranche 1",IF($E42="Medium","Tranche 2",IF($D42="High","Tranche 3","No tranche"))))))</f>
        <v/>
      </c>
      <c r="I42" s="34" t="inlineStr">
        <is>
          <t>Benefits</t>
        </is>
      </c>
      <c r="J42" s="35" t="inlineStr">
        <is>
          <t>High</t>
        </is>
      </c>
      <c r="K42" s="36">
        <f>"Tranche 1"&amp;CHAR(10)&amp;_xlfn.TEXTJOIN(CHAR(10),TRUE,O$42:O$51)</f>
        <v/>
      </c>
      <c r="L42" s="37">
        <f>"Tranche 2"&amp;CHAR(10)&amp;_xlfn.TEXTJOIN(CHAR(10),TRUE,P$42:P$51)</f>
        <v/>
      </c>
      <c r="M42" s="38">
        <f>"Tranche 3"&amp;CHAR(10)&amp;_xlfn.TEXTJOIN(CHAR(10),TRUE,Q$42:Q$51)</f>
        <v/>
      </c>
      <c r="O42">
        <f>IF(AND($B42&lt;&gt;"",$C42&lt;&gt;"Target state",$C42&lt;&gt;"Exception",$D42="High",$E42="Low"),$A42&amp;"  "&amp;$B42,"")</f>
        <v/>
      </c>
      <c r="P42">
        <f>IF(AND($B42&lt;&gt;"",$C42&lt;&gt;"Target state",$C42&lt;&gt;"Exception",$D42="High",$E42="Medium"),$A42&amp;"  "&amp;$B42,"")</f>
        <v/>
      </c>
      <c r="Q42">
        <f>IF(AND($B42&lt;&gt;"",$C42&lt;&gt;"Target state",$C42&lt;&gt;"Exception",$D42="High",$E42="High"),$A42&amp;"  "&amp;$B42,"")</f>
        <v/>
      </c>
      <c r="R42">
        <f>IF(AND($B42&lt;&gt;"",$C42&lt;&gt;"Target state",$C42&lt;&gt;"Exception",$D42="Medium",$E42="Low"),$A42&amp;"  "&amp;$B42,"")</f>
        <v/>
      </c>
      <c r="S42">
        <f>IF(AND($B42&lt;&gt;"",$C42&lt;&gt;"Target state",$C42&lt;&gt;"Exception",$D42="Medium",$E42="Medium"),$A42&amp;"  "&amp;$B42,"")</f>
        <v/>
      </c>
      <c r="T42">
        <f>IF(AND($B42&lt;&gt;"",$C42&lt;&gt;"Target state",$C42&lt;&gt;"Exception",$D42="Medium",$E42="High"),$A42&amp;"  "&amp;$B42,"")</f>
        <v/>
      </c>
      <c r="U42">
        <f>IF(AND($B42&lt;&gt;"",$C42&lt;&gt;"Target state",$C42&lt;&gt;"Exception",$D42="Low",$E42="Low"),$A42&amp;"  "&amp;$B42,"")</f>
        <v/>
      </c>
      <c r="V42">
        <f>IF(AND($B42&lt;&gt;"",$C42&lt;&gt;"Target state",$C42&lt;&gt;"Exception",$D42="Low",$E42="Medium"),$A42&amp;"  "&amp;$B42,"")</f>
        <v/>
      </c>
      <c r="W42">
        <f>IF(AND($B42&lt;&gt;"",$C42&lt;&gt;"Target state",$C42&lt;&gt;"Exception",$D42="Low",$E42="High"),$A42&amp;"  "&amp;$B42,"")</f>
        <v/>
      </c>
    </row>
    <row r="43" ht="20" customHeight="1">
      <c r="A43" s="29" t="inlineStr">
        <is>
          <t>②</t>
        </is>
      </c>
      <c r="B43" s="30" t="n"/>
      <c r="C43" s="31" t="n"/>
      <c r="D43" s="31" t="n"/>
      <c r="E43" s="31" t="n"/>
      <c r="F43" s="32" t="n"/>
      <c r="G43" s="33">
        <f>IF(OR($B43="",$D43="",$E43=""),"",IF(OR($C43="Target state",$C43="Exception"),"Out of scope",IF($D43="Low","No tranche",IF($E43="Low","Tranche 1",IF($E43="Medium","Tranche 2",IF($D43="High","Tranche 3","No tranche"))))))</f>
        <v/>
      </c>
      <c r="K43" s="39" t="n"/>
      <c r="L43" s="39" t="n"/>
      <c r="M43" s="39" t="n"/>
      <c r="O43">
        <f>IF(AND($B43&lt;&gt;"",$C43&lt;&gt;"Target state",$C43&lt;&gt;"Exception",$D43="High",$E43="Low"),$A43&amp;"  "&amp;$B43,"")</f>
        <v/>
      </c>
      <c r="P43">
        <f>IF(AND($B43&lt;&gt;"",$C43&lt;&gt;"Target state",$C43&lt;&gt;"Exception",$D43="High",$E43="Medium"),$A43&amp;"  "&amp;$B43,"")</f>
        <v/>
      </c>
      <c r="Q43">
        <f>IF(AND($B43&lt;&gt;"",$C43&lt;&gt;"Target state",$C43&lt;&gt;"Exception",$D43="High",$E43="High"),$A43&amp;"  "&amp;$B43,"")</f>
        <v/>
      </c>
      <c r="R43">
        <f>IF(AND($B43&lt;&gt;"",$C43&lt;&gt;"Target state",$C43&lt;&gt;"Exception",$D43="Medium",$E43="Low"),$A43&amp;"  "&amp;$B43,"")</f>
        <v/>
      </c>
      <c r="S43">
        <f>IF(AND($B43&lt;&gt;"",$C43&lt;&gt;"Target state",$C43&lt;&gt;"Exception",$D43="Medium",$E43="Medium"),$A43&amp;"  "&amp;$B43,"")</f>
        <v/>
      </c>
      <c r="T43">
        <f>IF(AND($B43&lt;&gt;"",$C43&lt;&gt;"Target state",$C43&lt;&gt;"Exception",$D43="Medium",$E43="High"),$A43&amp;"  "&amp;$B43,"")</f>
        <v/>
      </c>
      <c r="U43">
        <f>IF(AND($B43&lt;&gt;"",$C43&lt;&gt;"Target state",$C43&lt;&gt;"Exception",$D43="Low",$E43="Low"),$A43&amp;"  "&amp;$B43,"")</f>
        <v/>
      </c>
      <c r="V43">
        <f>IF(AND($B43&lt;&gt;"",$C43&lt;&gt;"Target state",$C43&lt;&gt;"Exception",$D43="Low",$E43="Medium"),$A43&amp;"  "&amp;$B43,"")</f>
        <v/>
      </c>
      <c r="W43">
        <f>IF(AND($B43&lt;&gt;"",$C43&lt;&gt;"Target state",$C43&lt;&gt;"Exception",$D43="Low",$E43="High"),$A43&amp;"  "&amp;$B43,"")</f>
        <v/>
      </c>
    </row>
    <row r="44" ht="20" customHeight="1">
      <c r="A44" s="29" t="inlineStr">
        <is>
          <t>③</t>
        </is>
      </c>
      <c r="B44" s="30" t="n"/>
      <c r="C44" s="31" t="n"/>
      <c r="D44" s="31" t="n"/>
      <c r="E44" s="31" t="n"/>
      <c r="F44" s="32" t="n"/>
      <c r="G44" s="33">
        <f>IF(OR($B44="",$D44="",$E44=""),"",IF(OR($C44="Target state",$C44="Exception"),"Out of scope",IF($D44="Low","No tranche",IF($E44="Low","Tranche 1",IF($E44="Medium","Tranche 2",IF($D44="High","Tranche 3","No tranche"))))))</f>
        <v/>
      </c>
      <c r="K44" s="40" t="n"/>
      <c r="L44" s="40" t="n"/>
      <c r="M44" s="40" t="n"/>
      <c r="O44">
        <f>IF(AND($B44&lt;&gt;"",$C44&lt;&gt;"Target state",$C44&lt;&gt;"Exception",$D44="High",$E44="Low"),$A44&amp;"  "&amp;$B44,"")</f>
        <v/>
      </c>
      <c r="P44">
        <f>IF(AND($B44&lt;&gt;"",$C44&lt;&gt;"Target state",$C44&lt;&gt;"Exception",$D44="High",$E44="Medium"),$A44&amp;"  "&amp;$B44,"")</f>
        <v/>
      </c>
      <c r="Q44">
        <f>IF(AND($B44&lt;&gt;"",$C44&lt;&gt;"Target state",$C44&lt;&gt;"Exception",$D44="High",$E44="High"),$A44&amp;"  "&amp;$B44,"")</f>
        <v/>
      </c>
      <c r="R44">
        <f>IF(AND($B44&lt;&gt;"",$C44&lt;&gt;"Target state",$C44&lt;&gt;"Exception",$D44="Medium",$E44="Low"),$A44&amp;"  "&amp;$B44,"")</f>
        <v/>
      </c>
      <c r="S44">
        <f>IF(AND($B44&lt;&gt;"",$C44&lt;&gt;"Target state",$C44&lt;&gt;"Exception",$D44="Medium",$E44="Medium"),$A44&amp;"  "&amp;$B44,"")</f>
        <v/>
      </c>
      <c r="T44">
        <f>IF(AND($B44&lt;&gt;"",$C44&lt;&gt;"Target state",$C44&lt;&gt;"Exception",$D44="Medium",$E44="High"),$A44&amp;"  "&amp;$B44,"")</f>
        <v/>
      </c>
      <c r="U44">
        <f>IF(AND($B44&lt;&gt;"",$C44&lt;&gt;"Target state",$C44&lt;&gt;"Exception",$D44="Low",$E44="Low"),$A44&amp;"  "&amp;$B44,"")</f>
        <v/>
      </c>
      <c r="V44">
        <f>IF(AND($B44&lt;&gt;"",$C44&lt;&gt;"Target state",$C44&lt;&gt;"Exception",$D44="Low",$E44="Medium"),$A44&amp;"  "&amp;$B44,"")</f>
        <v/>
      </c>
      <c r="W44">
        <f>IF(AND($B44&lt;&gt;"",$C44&lt;&gt;"Target state",$C44&lt;&gt;"Exception",$D44="Low",$E44="High"),$A44&amp;"  "&amp;$B44,"")</f>
        <v/>
      </c>
    </row>
    <row r="45" ht="20" customHeight="1">
      <c r="A45" s="29" t="inlineStr">
        <is>
          <t>④</t>
        </is>
      </c>
      <c r="B45" s="30" t="n"/>
      <c r="C45" s="31" t="n"/>
      <c r="D45" s="31" t="n"/>
      <c r="E45" s="31" t="n"/>
      <c r="F45" s="32" t="n"/>
      <c r="G45" s="33">
        <f>IF(OR($B45="",$D45="",$E45=""),"",IF(OR($C45="Target state",$C45="Exception"),"Out of scope",IF($D45="Low","No tranche",IF($E45="Low","Tranche 1",IF($E45="Medium","Tranche 2",IF($D45="High","Tranche 3","No tranche"))))))</f>
        <v/>
      </c>
      <c r="J45" s="35" t="inlineStr">
        <is>
          <t>Medium</t>
        </is>
      </c>
      <c r="K45" s="36">
        <f>"Tranche 1"&amp;CHAR(10)&amp;_xlfn.TEXTJOIN(CHAR(10),TRUE,R$42:R$51)</f>
        <v/>
      </c>
      <c r="L45" s="37">
        <f>"Tranche 2"&amp;CHAR(10)&amp;_xlfn.TEXTJOIN(CHAR(10),TRUE,S$42:S$51)</f>
        <v/>
      </c>
      <c r="M45" s="41">
        <f>_xlfn.TEXTJOIN(CHAR(10),TRUE,T$42:T$51)</f>
        <v/>
      </c>
      <c r="O45">
        <f>IF(AND($B45&lt;&gt;"",$C45&lt;&gt;"Target state",$C45&lt;&gt;"Exception",$D45="High",$E45="Low"),$A45&amp;"  "&amp;$B45,"")</f>
        <v/>
      </c>
      <c r="P45">
        <f>IF(AND($B45&lt;&gt;"",$C45&lt;&gt;"Target state",$C45&lt;&gt;"Exception",$D45="High",$E45="Medium"),$A45&amp;"  "&amp;$B45,"")</f>
        <v/>
      </c>
      <c r="Q45">
        <f>IF(AND($B45&lt;&gt;"",$C45&lt;&gt;"Target state",$C45&lt;&gt;"Exception",$D45="High",$E45="High"),$A45&amp;"  "&amp;$B45,"")</f>
        <v/>
      </c>
      <c r="R45">
        <f>IF(AND($B45&lt;&gt;"",$C45&lt;&gt;"Target state",$C45&lt;&gt;"Exception",$D45="Medium",$E45="Low"),$A45&amp;"  "&amp;$B45,"")</f>
        <v/>
      </c>
      <c r="S45">
        <f>IF(AND($B45&lt;&gt;"",$C45&lt;&gt;"Target state",$C45&lt;&gt;"Exception",$D45="Medium",$E45="Medium"),$A45&amp;"  "&amp;$B45,"")</f>
        <v/>
      </c>
      <c r="T45">
        <f>IF(AND($B45&lt;&gt;"",$C45&lt;&gt;"Target state",$C45&lt;&gt;"Exception",$D45="Medium",$E45="High"),$A45&amp;"  "&amp;$B45,"")</f>
        <v/>
      </c>
      <c r="U45">
        <f>IF(AND($B45&lt;&gt;"",$C45&lt;&gt;"Target state",$C45&lt;&gt;"Exception",$D45="Low",$E45="Low"),$A45&amp;"  "&amp;$B45,"")</f>
        <v/>
      </c>
      <c r="V45">
        <f>IF(AND($B45&lt;&gt;"",$C45&lt;&gt;"Target state",$C45&lt;&gt;"Exception",$D45="Low",$E45="Medium"),$A45&amp;"  "&amp;$B45,"")</f>
        <v/>
      </c>
      <c r="W45">
        <f>IF(AND($B45&lt;&gt;"",$C45&lt;&gt;"Target state",$C45&lt;&gt;"Exception",$D45="Low",$E45="High"),$A45&amp;"  "&amp;$B45,"")</f>
        <v/>
      </c>
    </row>
    <row r="46" ht="20" customHeight="1">
      <c r="A46" s="29" t="inlineStr">
        <is>
          <t>⑤</t>
        </is>
      </c>
      <c r="B46" s="30" t="n"/>
      <c r="C46" s="31" t="n"/>
      <c r="D46" s="31" t="n"/>
      <c r="E46" s="31" t="n"/>
      <c r="F46" s="32" t="n"/>
      <c r="G46" s="33">
        <f>IF(OR($B46="",$D46="",$E46=""),"",IF(OR($C46="Target state",$C46="Exception"),"Out of scope",IF($D46="Low","No tranche",IF($E46="Low","Tranche 1",IF($E46="Medium","Tranche 2",IF($D46="High","Tranche 3","No tranche"))))))</f>
        <v/>
      </c>
      <c r="K46" s="39" t="n"/>
      <c r="L46" s="39" t="n"/>
      <c r="M46" s="39" t="n"/>
      <c r="O46">
        <f>IF(AND($B46&lt;&gt;"",$C46&lt;&gt;"Target state",$C46&lt;&gt;"Exception",$D46="High",$E46="Low"),$A46&amp;"  "&amp;$B46,"")</f>
        <v/>
      </c>
      <c r="P46">
        <f>IF(AND($B46&lt;&gt;"",$C46&lt;&gt;"Target state",$C46&lt;&gt;"Exception",$D46="High",$E46="Medium"),$A46&amp;"  "&amp;$B46,"")</f>
        <v/>
      </c>
      <c r="Q46">
        <f>IF(AND($B46&lt;&gt;"",$C46&lt;&gt;"Target state",$C46&lt;&gt;"Exception",$D46="High",$E46="High"),$A46&amp;"  "&amp;$B46,"")</f>
        <v/>
      </c>
      <c r="R46">
        <f>IF(AND($B46&lt;&gt;"",$C46&lt;&gt;"Target state",$C46&lt;&gt;"Exception",$D46="Medium",$E46="Low"),$A46&amp;"  "&amp;$B46,"")</f>
        <v/>
      </c>
      <c r="S46">
        <f>IF(AND($B46&lt;&gt;"",$C46&lt;&gt;"Target state",$C46&lt;&gt;"Exception",$D46="Medium",$E46="Medium"),$A46&amp;"  "&amp;$B46,"")</f>
        <v/>
      </c>
      <c r="T46">
        <f>IF(AND($B46&lt;&gt;"",$C46&lt;&gt;"Target state",$C46&lt;&gt;"Exception",$D46="Medium",$E46="High"),$A46&amp;"  "&amp;$B46,"")</f>
        <v/>
      </c>
      <c r="U46">
        <f>IF(AND($B46&lt;&gt;"",$C46&lt;&gt;"Target state",$C46&lt;&gt;"Exception",$D46="Low",$E46="Low"),$A46&amp;"  "&amp;$B46,"")</f>
        <v/>
      </c>
      <c r="V46">
        <f>IF(AND($B46&lt;&gt;"",$C46&lt;&gt;"Target state",$C46&lt;&gt;"Exception",$D46="Low",$E46="Medium"),$A46&amp;"  "&amp;$B46,"")</f>
        <v/>
      </c>
      <c r="W46">
        <f>IF(AND($B46&lt;&gt;"",$C46&lt;&gt;"Target state",$C46&lt;&gt;"Exception",$D46="Low",$E46="High"),$A46&amp;"  "&amp;$B46,"")</f>
        <v/>
      </c>
    </row>
    <row r="47" ht="20" customHeight="1">
      <c r="A47" s="29" t="inlineStr">
        <is>
          <t>⑥</t>
        </is>
      </c>
      <c r="B47" s="30" t="n"/>
      <c r="C47" s="31" t="n"/>
      <c r="D47" s="31" t="n"/>
      <c r="E47" s="31" t="n"/>
      <c r="F47" s="32" t="n"/>
      <c r="G47" s="33">
        <f>IF(OR($B47="",$D47="",$E47=""),"",IF(OR($C47="Target state",$C47="Exception"),"Out of scope",IF($D47="Low","No tranche",IF($E47="Low","Tranche 1",IF($E47="Medium","Tranche 2",IF($D47="High","Tranche 3","No tranche"))))))</f>
        <v/>
      </c>
      <c r="K47" s="40" t="n"/>
      <c r="L47" s="40" t="n"/>
      <c r="M47" s="40" t="n"/>
      <c r="O47">
        <f>IF(AND($B47&lt;&gt;"",$C47&lt;&gt;"Target state",$C47&lt;&gt;"Exception",$D47="High",$E47="Low"),$A47&amp;"  "&amp;$B47,"")</f>
        <v/>
      </c>
      <c r="P47">
        <f>IF(AND($B47&lt;&gt;"",$C47&lt;&gt;"Target state",$C47&lt;&gt;"Exception",$D47="High",$E47="Medium"),$A47&amp;"  "&amp;$B47,"")</f>
        <v/>
      </c>
      <c r="Q47">
        <f>IF(AND($B47&lt;&gt;"",$C47&lt;&gt;"Target state",$C47&lt;&gt;"Exception",$D47="High",$E47="High"),$A47&amp;"  "&amp;$B47,"")</f>
        <v/>
      </c>
      <c r="R47">
        <f>IF(AND($B47&lt;&gt;"",$C47&lt;&gt;"Target state",$C47&lt;&gt;"Exception",$D47="Medium",$E47="Low"),$A47&amp;"  "&amp;$B47,"")</f>
        <v/>
      </c>
      <c r="S47">
        <f>IF(AND($B47&lt;&gt;"",$C47&lt;&gt;"Target state",$C47&lt;&gt;"Exception",$D47="Medium",$E47="Medium"),$A47&amp;"  "&amp;$B47,"")</f>
        <v/>
      </c>
      <c r="T47">
        <f>IF(AND($B47&lt;&gt;"",$C47&lt;&gt;"Target state",$C47&lt;&gt;"Exception",$D47="Medium",$E47="High"),$A47&amp;"  "&amp;$B47,"")</f>
        <v/>
      </c>
      <c r="U47">
        <f>IF(AND($B47&lt;&gt;"",$C47&lt;&gt;"Target state",$C47&lt;&gt;"Exception",$D47="Low",$E47="Low"),$A47&amp;"  "&amp;$B47,"")</f>
        <v/>
      </c>
      <c r="V47">
        <f>IF(AND($B47&lt;&gt;"",$C47&lt;&gt;"Target state",$C47&lt;&gt;"Exception",$D47="Low",$E47="Medium"),$A47&amp;"  "&amp;$B47,"")</f>
        <v/>
      </c>
      <c r="W47">
        <f>IF(AND($B47&lt;&gt;"",$C47&lt;&gt;"Target state",$C47&lt;&gt;"Exception",$D47="Low",$E47="High"),$A47&amp;"  "&amp;$B47,"")</f>
        <v/>
      </c>
    </row>
    <row r="48" ht="20" customHeight="1">
      <c r="A48" s="29" t="inlineStr">
        <is>
          <t>⑦</t>
        </is>
      </c>
      <c r="B48" s="30" t="n"/>
      <c r="C48" s="31" t="n"/>
      <c r="D48" s="31" t="n"/>
      <c r="E48" s="31" t="n"/>
      <c r="F48" s="32" t="n"/>
      <c r="G48" s="33">
        <f>IF(OR($B48="",$D48="",$E48=""),"",IF(OR($C48="Target state",$C48="Exception"),"Out of scope",IF($D48="Low","No tranche",IF($E48="Low","Tranche 1",IF($E48="Medium","Tranche 2",IF($D48="High","Tranche 3","No tranche"))))))</f>
        <v/>
      </c>
      <c r="J48" s="35" t="inlineStr">
        <is>
          <t>Low</t>
        </is>
      </c>
      <c r="K48" s="41">
        <f>_xlfn.TEXTJOIN(CHAR(10),TRUE,U$42:U$51)</f>
        <v/>
      </c>
      <c r="L48" s="41">
        <f>_xlfn.TEXTJOIN(CHAR(10),TRUE,V$42:V$51)</f>
        <v/>
      </c>
      <c r="M48" s="41">
        <f>_xlfn.TEXTJOIN(CHAR(10),TRUE,W$42:W$51)</f>
        <v/>
      </c>
      <c r="O48">
        <f>IF(AND($B48&lt;&gt;"",$C48&lt;&gt;"Target state",$C48&lt;&gt;"Exception",$D48="High",$E48="Low"),$A48&amp;"  "&amp;$B48,"")</f>
        <v/>
      </c>
      <c r="P48">
        <f>IF(AND($B48&lt;&gt;"",$C48&lt;&gt;"Target state",$C48&lt;&gt;"Exception",$D48="High",$E48="Medium"),$A48&amp;"  "&amp;$B48,"")</f>
        <v/>
      </c>
      <c r="Q48">
        <f>IF(AND($B48&lt;&gt;"",$C48&lt;&gt;"Target state",$C48&lt;&gt;"Exception",$D48="High",$E48="High"),$A48&amp;"  "&amp;$B48,"")</f>
        <v/>
      </c>
      <c r="R48">
        <f>IF(AND($B48&lt;&gt;"",$C48&lt;&gt;"Target state",$C48&lt;&gt;"Exception",$D48="Medium",$E48="Low"),$A48&amp;"  "&amp;$B48,"")</f>
        <v/>
      </c>
      <c r="S48">
        <f>IF(AND($B48&lt;&gt;"",$C48&lt;&gt;"Target state",$C48&lt;&gt;"Exception",$D48="Medium",$E48="Medium"),$A48&amp;"  "&amp;$B48,"")</f>
        <v/>
      </c>
      <c r="T48">
        <f>IF(AND($B48&lt;&gt;"",$C48&lt;&gt;"Target state",$C48&lt;&gt;"Exception",$D48="Medium",$E48="High"),$A48&amp;"  "&amp;$B48,"")</f>
        <v/>
      </c>
      <c r="U48">
        <f>IF(AND($B48&lt;&gt;"",$C48&lt;&gt;"Target state",$C48&lt;&gt;"Exception",$D48="Low",$E48="Low"),$A48&amp;"  "&amp;$B48,"")</f>
        <v/>
      </c>
      <c r="V48">
        <f>IF(AND($B48&lt;&gt;"",$C48&lt;&gt;"Target state",$C48&lt;&gt;"Exception",$D48="Low",$E48="Medium"),$A48&amp;"  "&amp;$B48,"")</f>
        <v/>
      </c>
      <c r="W48">
        <f>IF(AND($B48&lt;&gt;"",$C48&lt;&gt;"Target state",$C48&lt;&gt;"Exception",$D48="Low",$E48="High"),$A48&amp;"  "&amp;$B48,"")</f>
        <v/>
      </c>
    </row>
    <row r="49" ht="20" customHeight="1">
      <c r="A49" s="29" t="inlineStr">
        <is>
          <t>⑧</t>
        </is>
      </c>
      <c r="B49" s="30" t="n"/>
      <c r="C49" s="31" t="n"/>
      <c r="D49" s="31" t="n"/>
      <c r="E49" s="31" t="n"/>
      <c r="F49" s="32" t="n"/>
      <c r="G49" s="33">
        <f>IF(OR($B49="",$D49="",$E49=""),"",IF(OR($C49="Target state",$C49="Exception"),"Out of scope",IF($D49="Low","No tranche",IF($E49="Low","Tranche 1",IF($E49="Medium","Tranche 2",IF($D49="High","Tranche 3","No tranche"))))))</f>
        <v/>
      </c>
      <c r="K49" s="39" t="n"/>
      <c r="L49" s="39" t="n"/>
      <c r="M49" s="39" t="n"/>
      <c r="O49">
        <f>IF(AND($B49&lt;&gt;"",$C49&lt;&gt;"Target state",$C49&lt;&gt;"Exception",$D49="High",$E49="Low"),$A49&amp;"  "&amp;$B49,"")</f>
        <v/>
      </c>
      <c r="P49">
        <f>IF(AND($B49&lt;&gt;"",$C49&lt;&gt;"Target state",$C49&lt;&gt;"Exception",$D49="High",$E49="Medium"),$A49&amp;"  "&amp;$B49,"")</f>
        <v/>
      </c>
      <c r="Q49">
        <f>IF(AND($B49&lt;&gt;"",$C49&lt;&gt;"Target state",$C49&lt;&gt;"Exception",$D49="High",$E49="High"),$A49&amp;"  "&amp;$B49,"")</f>
        <v/>
      </c>
      <c r="R49">
        <f>IF(AND($B49&lt;&gt;"",$C49&lt;&gt;"Target state",$C49&lt;&gt;"Exception",$D49="Medium",$E49="Low"),$A49&amp;"  "&amp;$B49,"")</f>
        <v/>
      </c>
      <c r="S49">
        <f>IF(AND($B49&lt;&gt;"",$C49&lt;&gt;"Target state",$C49&lt;&gt;"Exception",$D49="Medium",$E49="Medium"),$A49&amp;"  "&amp;$B49,"")</f>
        <v/>
      </c>
      <c r="T49">
        <f>IF(AND($B49&lt;&gt;"",$C49&lt;&gt;"Target state",$C49&lt;&gt;"Exception",$D49="Medium",$E49="High"),$A49&amp;"  "&amp;$B49,"")</f>
        <v/>
      </c>
      <c r="U49">
        <f>IF(AND($B49&lt;&gt;"",$C49&lt;&gt;"Target state",$C49&lt;&gt;"Exception",$D49="Low",$E49="Low"),$A49&amp;"  "&amp;$B49,"")</f>
        <v/>
      </c>
      <c r="V49">
        <f>IF(AND($B49&lt;&gt;"",$C49&lt;&gt;"Target state",$C49&lt;&gt;"Exception",$D49="Low",$E49="Medium"),$A49&amp;"  "&amp;$B49,"")</f>
        <v/>
      </c>
      <c r="W49">
        <f>IF(AND($B49&lt;&gt;"",$C49&lt;&gt;"Target state",$C49&lt;&gt;"Exception",$D49="Low",$E49="High"),$A49&amp;"  "&amp;$B49,"")</f>
        <v/>
      </c>
    </row>
    <row r="50" ht="20" customHeight="1">
      <c r="A50" s="29" t="inlineStr">
        <is>
          <t>⑨</t>
        </is>
      </c>
      <c r="B50" s="30" t="n"/>
      <c r="C50" s="31" t="n"/>
      <c r="D50" s="31" t="n"/>
      <c r="E50" s="31" t="n"/>
      <c r="F50" s="32" t="n"/>
      <c r="G50" s="33">
        <f>IF(OR($B50="",$D50="",$E50=""),"",IF(OR($C50="Target state",$C50="Exception"),"Out of scope",IF($D50="Low","No tranche",IF($E50="Low","Tranche 1",IF($E50="Medium","Tranche 2",IF($D50="High","Tranche 3","No tranche"))))))</f>
        <v/>
      </c>
      <c r="K50" s="40" t="n"/>
      <c r="L50" s="40" t="n"/>
      <c r="M50" s="40" t="n"/>
      <c r="O50">
        <f>IF(AND($B50&lt;&gt;"",$C50&lt;&gt;"Target state",$C50&lt;&gt;"Exception",$D50="High",$E50="Low"),$A50&amp;"  "&amp;$B50,"")</f>
        <v/>
      </c>
      <c r="P50">
        <f>IF(AND($B50&lt;&gt;"",$C50&lt;&gt;"Target state",$C50&lt;&gt;"Exception",$D50="High",$E50="Medium"),$A50&amp;"  "&amp;$B50,"")</f>
        <v/>
      </c>
      <c r="Q50">
        <f>IF(AND($B50&lt;&gt;"",$C50&lt;&gt;"Target state",$C50&lt;&gt;"Exception",$D50="High",$E50="High"),$A50&amp;"  "&amp;$B50,"")</f>
        <v/>
      </c>
      <c r="R50">
        <f>IF(AND($B50&lt;&gt;"",$C50&lt;&gt;"Target state",$C50&lt;&gt;"Exception",$D50="Medium",$E50="Low"),$A50&amp;"  "&amp;$B50,"")</f>
        <v/>
      </c>
      <c r="S50">
        <f>IF(AND($B50&lt;&gt;"",$C50&lt;&gt;"Target state",$C50&lt;&gt;"Exception",$D50="Medium",$E50="Medium"),$A50&amp;"  "&amp;$B50,"")</f>
        <v/>
      </c>
      <c r="T50">
        <f>IF(AND($B50&lt;&gt;"",$C50&lt;&gt;"Target state",$C50&lt;&gt;"Exception",$D50="Medium",$E50="High"),$A50&amp;"  "&amp;$B50,"")</f>
        <v/>
      </c>
      <c r="U50">
        <f>IF(AND($B50&lt;&gt;"",$C50&lt;&gt;"Target state",$C50&lt;&gt;"Exception",$D50="Low",$E50="Low"),$A50&amp;"  "&amp;$B50,"")</f>
        <v/>
      </c>
      <c r="V50">
        <f>IF(AND($B50&lt;&gt;"",$C50&lt;&gt;"Target state",$C50&lt;&gt;"Exception",$D50="Low",$E50="Medium"),$A50&amp;"  "&amp;$B50,"")</f>
        <v/>
      </c>
      <c r="W50">
        <f>IF(AND($B50&lt;&gt;"",$C50&lt;&gt;"Target state",$C50&lt;&gt;"Exception",$D50="Low",$E50="High"),$A50&amp;"  "&amp;$B50,"")</f>
        <v/>
      </c>
    </row>
    <row r="51" ht="20" customHeight="1">
      <c r="A51" s="29" t="inlineStr">
        <is>
          <t>⑩</t>
        </is>
      </c>
      <c r="B51" s="30" t="n"/>
      <c r="C51" s="31" t="n"/>
      <c r="D51" s="31" t="n"/>
      <c r="E51" s="31" t="n"/>
      <c r="F51" s="32" t="n"/>
      <c r="G51" s="33">
        <f>IF(OR($B51="",$D51="",$E51=""),"",IF(OR($C51="Target state",$C51="Exception"),"Out of scope",IF($D51="Low","No tranche",IF($E51="Low","Tranche 1",IF($E51="Medium","Tranche 2",IF($D51="High","Tranche 3","No tranche"))))))</f>
        <v/>
      </c>
      <c r="K51" s="35" t="inlineStr">
        <is>
          <t>Complexity</t>
        </is>
      </c>
      <c r="O51">
        <f>IF(AND($B51&lt;&gt;"",$C51&lt;&gt;"Target state",$C51&lt;&gt;"Exception",$D51="High",$E51="Low"),$A51&amp;"  "&amp;$B51,"")</f>
        <v/>
      </c>
      <c r="P51">
        <f>IF(AND($B51&lt;&gt;"",$C51&lt;&gt;"Target state",$C51&lt;&gt;"Exception",$D51="High",$E51="Medium"),$A51&amp;"  "&amp;$B51,"")</f>
        <v/>
      </c>
      <c r="Q51">
        <f>IF(AND($B51&lt;&gt;"",$C51&lt;&gt;"Target state",$C51&lt;&gt;"Exception",$D51="High",$E51="High"),$A51&amp;"  "&amp;$B51,"")</f>
        <v/>
      </c>
      <c r="R51">
        <f>IF(AND($B51&lt;&gt;"",$C51&lt;&gt;"Target state",$C51&lt;&gt;"Exception",$D51="Medium",$E51="Low"),$A51&amp;"  "&amp;$B51,"")</f>
        <v/>
      </c>
      <c r="S51">
        <f>IF(AND($B51&lt;&gt;"",$C51&lt;&gt;"Target state",$C51&lt;&gt;"Exception",$D51="Medium",$E51="Medium"),$A51&amp;"  "&amp;$B51,"")</f>
        <v/>
      </c>
      <c r="T51">
        <f>IF(AND($B51&lt;&gt;"",$C51&lt;&gt;"Target state",$C51&lt;&gt;"Exception",$D51="Medium",$E51="High"),$A51&amp;"  "&amp;$B51,"")</f>
        <v/>
      </c>
      <c r="U51">
        <f>IF(AND($B51&lt;&gt;"",$C51&lt;&gt;"Target state",$C51&lt;&gt;"Exception",$D51="Low",$E51="Low"),$A51&amp;"  "&amp;$B51,"")</f>
        <v/>
      </c>
      <c r="V51">
        <f>IF(AND($B51&lt;&gt;"",$C51&lt;&gt;"Target state",$C51&lt;&gt;"Exception",$D51="Low",$E51="Medium"),$A51&amp;"  "&amp;$B51,"")</f>
        <v/>
      </c>
      <c r="W51">
        <f>IF(AND($B51&lt;&gt;"",$C51&lt;&gt;"Target state",$C51&lt;&gt;"Exception",$D51="Low",$E51="High"),$A51&amp;"  "&amp;$B51,"")</f>
        <v/>
      </c>
    </row>
    <row r="54" ht="22" customHeight="1">
      <c r="A54" s="24" t="inlineStr">
        <is>
          <t>Disputes</t>
        </is>
      </c>
      <c r="G54" s="25">
        <f>HYPERLINK("#'Single-out'!A4","▲ tracker")</f>
        <v/>
      </c>
      <c r="K54" s="26" t="inlineStr">
        <is>
          <t>Assessment Outcome</t>
        </is>
      </c>
    </row>
    <row r="55" ht="18" customHeight="1">
      <c r="A55" s="27" t="inlineStr">
        <is>
          <t>#</t>
        </is>
      </c>
      <c r="B55" s="27" t="inlineStr">
        <is>
          <t>Platform</t>
        </is>
      </c>
      <c r="C55" s="27" t="inlineStr">
        <is>
          <t>State</t>
        </is>
      </c>
      <c r="D55" s="27" t="inlineStr">
        <is>
          <t>Imperative to exit</t>
        </is>
      </c>
      <c r="E55" s="27" t="inlineStr">
        <is>
          <t>Exit complexity</t>
        </is>
      </c>
      <c r="F55" s="27" t="inlineStr">
        <is>
          <t>Supporting facts</t>
        </is>
      </c>
      <c r="G55" s="27" t="inlineStr">
        <is>
          <t>Tranche (auto)</t>
        </is>
      </c>
      <c r="K55" s="28" t="inlineStr">
        <is>
          <t>Low</t>
        </is>
      </c>
      <c r="L55" s="28" t="inlineStr">
        <is>
          <t>Medium</t>
        </is>
      </c>
      <c r="M55" s="28" t="inlineStr">
        <is>
          <t>High</t>
        </is>
      </c>
    </row>
    <row r="56" ht="20" customHeight="1">
      <c r="A56" s="29" t="inlineStr">
        <is>
          <t>①</t>
        </is>
      </c>
      <c r="B56" s="30" t="n"/>
      <c r="C56" s="31" t="n"/>
      <c r="D56" s="31" t="n"/>
      <c r="E56" s="31" t="n"/>
      <c r="F56" s="32" t="n"/>
      <c r="G56" s="33">
        <f>IF(OR($B56="",$D56="",$E56=""),"",IF(OR($C56="Target state",$C56="Exception"),"Out of scope",IF($D56="Low","No tranche",IF($E56="Low","Tranche 1",IF($E56="Medium","Tranche 2",IF($D56="High","Tranche 3","No tranche"))))))</f>
        <v/>
      </c>
      <c r="I56" s="34" t="inlineStr">
        <is>
          <t>Benefits</t>
        </is>
      </c>
      <c r="J56" s="35" t="inlineStr">
        <is>
          <t>High</t>
        </is>
      </c>
      <c r="K56" s="36">
        <f>"Tranche 1"&amp;CHAR(10)&amp;_xlfn.TEXTJOIN(CHAR(10),TRUE,O$56:O$65)</f>
        <v/>
      </c>
      <c r="L56" s="37">
        <f>"Tranche 2"&amp;CHAR(10)&amp;_xlfn.TEXTJOIN(CHAR(10),TRUE,P$56:P$65)</f>
        <v/>
      </c>
      <c r="M56" s="38">
        <f>"Tranche 3"&amp;CHAR(10)&amp;_xlfn.TEXTJOIN(CHAR(10),TRUE,Q$56:Q$65)</f>
        <v/>
      </c>
      <c r="O56">
        <f>IF(AND($B56&lt;&gt;"",$C56&lt;&gt;"Target state",$C56&lt;&gt;"Exception",$D56="High",$E56="Low"),$A56&amp;"  "&amp;$B56,"")</f>
        <v/>
      </c>
      <c r="P56">
        <f>IF(AND($B56&lt;&gt;"",$C56&lt;&gt;"Target state",$C56&lt;&gt;"Exception",$D56="High",$E56="Medium"),$A56&amp;"  "&amp;$B56,"")</f>
        <v/>
      </c>
      <c r="Q56">
        <f>IF(AND($B56&lt;&gt;"",$C56&lt;&gt;"Target state",$C56&lt;&gt;"Exception",$D56="High",$E56="High"),$A56&amp;"  "&amp;$B56,"")</f>
        <v/>
      </c>
      <c r="R56">
        <f>IF(AND($B56&lt;&gt;"",$C56&lt;&gt;"Target state",$C56&lt;&gt;"Exception",$D56="Medium",$E56="Low"),$A56&amp;"  "&amp;$B56,"")</f>
        <v/>
      </c>
      <c r="S56">
        <f>IF(AND($B56&lt;&gt;"",$C56&lt;&gt;"Target state",$C56&lt;&gt;"Exception",$D56="Medium",$E56="Medium"),$A56&amp;"  "&amp;$B56,"")</f>
        <v/>
      </c>
      <c r="T56">
        <f>IF(AND($B56&lt;&gt;"",$C56&lt;&gt;"Target state",$C56&lt;&gt;"Exception",$D56="Medium",$E56="High"),$A56&amp;"  "&amp;$B56,"")</f>
        <v/>
      </c>
      <c r="U56">
        <f>IF(AND($B56&lt;&gt;"",$C56&lt;&gt;"Target state",$C56&lt;&gt;"Exception",$D56="Low",$E56="Low"),$A56&amp;"  "&amp;$B56,"")</f>
        <v/>
      </c>
      <c r="V56">
        <f>IF(AND($B56&lt;&gt;"",$C56&lt;&gt;"Target state",$C56&lt;&gt;"Exception",$D56="Low",$E56="Medium"),$A56&amp;"  "&amp;$B56,"")</f>
        <v/>
      </c>
      <c r="W56">
        <f>IF(AND($B56&lt;&gt;"",$C56&lt;&gt;"Target state",$C56&lt;&gt;"Exception",$D56="Low",$E56="High"),$A56&amp;"  "&amp;$B56,"")</f>
        <v/>
      </c>
    </row>
    <row r="57" ht="20" customHeight="1">
      <c r="A57" s="29" t="inlineStr">
        <is>
          <t>②</t>
        </is>
      </c>
      <c r="B57" s="30" t="n"/>
      <c r="C57" s="31" t="n"/>
      <c r="D57" s="31" t="n"/>
      <c r="E57" s="31" t="n"/>
      <c r="F57" s="32" t="n"/>
      <c r="G57" s="33">
        <f>IF(OR($B57="",$D57="",$E57=""),"",IF(OR($C57="Target state",$C57="Exception"),"Out of scope",IF($D57="Low","No tranche",IF($E57="Low","Tranche 1",IF($E57="Medium","Tranche 2",IF($D57="High","Tranche 3","No tranche"))))))</f>
        <v/>
      </c>
      <c r="K57" s="39" t="n"/>
      <c r="L57" s="39" t="n"/>
      <c r="M57" s="39" t="n"/>
      <c r="O57">
        <f>IF(AND($B57&lt;&gt;"",$C57&lt;&gt;"Target state",$C57&lt;&gt;"Exception",$D57="High",$E57="Low"),$A57&amp;"  "&amp;$B57,"")</f>
        <v/>
      </c>
      <c r="P57">
        <f>IF(AND($B57&lt;&gt;"",$C57&lt;&gt;"Target state",$C57&lt;&gt;"Exception",$D57="High",$E57="Medium"),$A57&amp;"  "&amp;$B57,"")</f>
        <v/>
      </c>
      <c r="Q57">
        <f>IF(AND($B57&lt;&gt;"",$C57&lt;&gt;"Target state",$C57&lt;&gt;"Exception",$D57="High",$E57="High"),$A57&amp;"  "&amp;$B57,"")</f>
        <v/>
      </c>
      <c r="R57">
        <f>IF(AND($B57&lt;&gt;"",$C57&lt;&gt;"Target state",$C57&lt;&gt;"Exception",$D57="Medium",$E57="Low"),$A57&amp;"  "&amp;$B57,"")</f>
        <v/>
      </c>
      <c r="S57">
        <f>IF(AND($B57&lt;&gt;"",$C57&lt;&gt;"Target state",$C57&lt;&gt;"Exception",$D57="Medium",$E57="Medium"),$A57&amp;"  "&amp;$B57,"")</f>
        <v/>
      </c>
      <c r="T57">
        <f>IF(AND($B57&lt;&gt;"",$C57&lt;&gt;"Target state",$C57&lt;&gt;"Exception",$D57="Medium",$E57="High"),$A57&amp;"  "&amp;$B57,"")</f>
        <v/>
      </c>
      <c r="U57">
        <f>IF(AND($B57&lt;&gt;"",$C57&lt;&gt;"Target state",$C57&lt;&gt;"Exception",$D57="Low",$E57="Low"),$A57&amp;"  "&amp;$B57,"")</f>
        <v/>
      </c>
      <c r="V57">
        <f>IF(AND($B57&lt;&gt;"",$C57&lt;&gt;"Target state",$C57&lt;&gt;"Exception",$D57="Low",$E57="Medium"),$A57&amp;"  "&amp;$B57,"")</f>
        <v/>
      </c>
      <c r="W57">
        <f>IF(AND($B57&lt;&gt;"",$C57&lt;&gt;"Target state",$C57&lt;&gt;"Exception",$D57="Low",$E57="High"),$A57&amp;"  "&amp;$B57,"")</f>
        <v/>
      </c>
    </row>
    <row r="58" ht="20" customHeight="1">
      <c r="A58" s="29" t="inlineStr">
        <is>
          <t>③</t>
        </is>
      </c>
      <c r="B58" s="30" t="n"/>
      <c r="C58" s="31" t="n"/>
      <c r="D58" s="31" t="n"/>
      <c r="E58" s="31" t="n"/>
      <c r="F58" s="32" t="n"/>
      <c r="G58" s="33">
        <f>IF(OR($B58="",$D58="",$E58=""),"",IF(OR($C58="Target state",$C58="Exception"),"Out of scope",IF($D58="Low","No tranche",IF($E58="Low","Tranche 1",IF($E58="Medium","Tranche 2",IF($D58="High","Tranche 3","No tranche"))))))</f>
        <v/>
      </c>
      <c r="K58" s="40" t="n"/>
      <c r="L58" s="40" t="n"/>
      <c r="M58" s="40" t="n"/>
      <c r="O58">
        <f>IF(AND($B58&lt;&gt;"",$C58&lt;&gt;"Target state",$C58&lt;&gt;"Exception",$D58="High",$E58="Low"),$A58&amp;"  "&amp;$B58,"")</f>
        <v/>
      </c>
      <c r="P58">
        <f>IF(AND($B58&lt;&gt;"",$C58&lt;&gt;"Target state",$C58&lt;&gt;"Exception",$D58="High",$E58="Medium"),$A58&amp;"  "&amp;$B58,"")</f>
        <v/>
      </c>
      <c r="Q58">
        <f>IF(AND($B58&lt;&gt;"",$C58&lt;&gt;"Target state",$C58&lt;&gt;"Exception",$D58="High",$E58="High"),$A58&amp;"  "&amp;$B58,"")</f>
        <v/>
      </c>
      <c r="R58">
        <f>IF(AND($B58&lt;&gt;"",$C58&lt;&gt;"Target state",$C58&lt;&gt;"Exception",$D58="Medium",$E58="Low"),$A58&amp;"  "&amp;$B58,"")</f>
        <v/>
      </c>
      <c r="S58">
        <f>IF(AND($B58&lt;&gt;"",$C58&lt;&gt;"Target state",$C58&lt;&gt;"Exception",$D58="Medium",$E58="Medium"),$A58&amp;"  "&amp;$B58,"")</f>
        <v/>
      </c>
      <c r="T58">
        <f>IF(AND($B58&lt;&gt;"",$C58&lt;&gt;"Target state",$C58&lt;&gt;"Exception",$D58="Medium",$E58="High"),$A58&amp;"  "&amp;$B58,"")</f>
        <v/>
      </c>
      <c r="U58">
        <f>IF(AND($B58&lt;&gt;"",$C58&lt;&gt;"Target state",$C58&lt;&gt;"Exception",$D58="Low",$E58="Low"),$A58&amp;"  "&amp;$B58,"")</f>
        <v/>
      </c>
      <c r="V58">
        <f>IF(AND($B58&lt;&gt;"",$C58&lt;&gt;"Target state",$C58&lt;&gt;"Exception",$D58="Low",$E58="Medium"),$A58&amp;"  "&amp;$B58,"")</f>
        <v/>
      </c>
      <c r="W58">
        <f>IF(AND($B58&lt;&gt;"",$C58&lt;&gt;"Target state",$C58&lt;&gt;"Exception",$D58="Low",$E58="High"),$A58&amp;"  "&amp;$B58,"")</f>
        <v/>
      </c>
    </row>
    <row r="59" ht="20" customHeight="1">
      <c r="A59" s="29" t="inlineStr">
        <is>
          <t>④</t>
        </is>
      </c>
      <c r="B59" s="30" t="n"/>
      <c r="C59" s="31" t="n"/>
      <c r="D59" s="31" t="n"/>
      <c r="E59" s="31" t="n"/>
      <c r="F59" s="32" t="n"/>
      <c r="G59" s="33">
        <f>IF(OR($B59="",$D59="",$E59=""),"",IF(OR($C59="Target state",$C59="Exception"),"Out of scope",IF($D59="Low","No tranche",IF($E59="Low","Tranche 1",IF($E59="Medium","Tranche 2",IF($D59="High","Tranche 3","No tranche"))))))</f>
        <v/>
      </c>
      <c r="J59" s="35" t="inlineStr">
        <is>
          <t>Medium</t>
        </is>
      </c>
      <c r="K59" s="36">
        <f>"Tranche 1"&amp;CHAR(10)&amp;_xlfn.TEXTJOIN(CHAR(10),TRUE,R$56:R$65)</f>
        <v/>
      </c>
      <c r="L59" s="37">
        <f>"Tranche 2"&amp;CHAR(10)&amp;_xlfn.TEXTJOIN(CHAR(10),TRUE,S$56:S$65)</f>
        <v/>
      </c>
      <c r="M59" s="41">
        <f>_xlfn.TEXTJOIN(CHAR(10),TRUE,T$56:T$65)</f>
        <v/>
      </c>
      <c r="O59">
        <f>IF(AND($B59&lt;&gt;"",$C59&lt;&gt;"Target state",$C59&lt;&gt;"Exception",$D59="High",$E59="Low"),$A59&amp;"  "&amp;$B59,"")</f>
        <v/>
      </c>
      <c r="P59">
        <f>IF(AND($B59&lt;&gt;"",$C59&lt;&gt;"Target state",$C59&lt;&gt;"Exception",$D59="High",$E59="Medium"),$A59&amp;"  "&amp;$B59,"")</f>
        <v/>
      </c>
      <c r="Q59">
        <f>IF(AND($B59&lt;&gt;"",$C59&lt;&gt;"Target state",$C59&lt;&gt;"Exception",$D59="High",$E59="High"),$A59&amp;"  "&amp;$B59,"")</f>
        <v/>
      </c>
      <c r="R59">
        <f>IF(AND($B59&lt;&gt;"",$C59&lt;&gt;"Target state",$C59&lt;&gt;"Exception",$D59="Medium",$E59="Low"),$A59&amp;"  "&amp;$B59,"")</f>
        <v/>
      </c>
      <c r="S59">
        <f>IF(AND($B59&lt;&gt;"",$C59&lt;&gt;"Target state",$C59&lt;&gt;"Exception",$D59="Medium",$E59="Medium"),$A59&amp;"  "&amp;$B59,"")</f>
        <v/>
      </c>
      <c r="T59">
        <f>IF(AND($B59&lt;&gt;"",$C59&lt;&gt;"Target state",$C59&lt;&gt;"Exception",$D59="Medium",$E59="High"),$A59&amp;"  "&amp;$B59,"")</f>
        <v/>
      </c>
      <c r="U59">
        <f>IF(AND($B59&lt;&gt;"",$C59&lt;&gt;"Target state",$C59&lt;&gt;"Exception",$D59="Low",$E59="Low"),$A59&amp;"  "&amp;$B59,"")</f>
        <v/>
      </c>
      <c r="V59">
        <f>IF(AND($B59&lt;&gt;"",$C59&lt;&gt;"Target state",$C59&lt;&gt;"Exception",$D59="Low",$E59="Medium"),$A59&amp;"  "&amp;$B59,"")</f>
        <v/>
      </c>
      <c r="W59">
        <f>IF(AND($B59&lt;&gt;"",$C59&lt;&gt;"Target state",$C59&lt;&gt;"Exception",$D59="Low",$E59="High"),$A59&amp;"  "&amp;$B59,"")</f>
        <v/>
      </c>
    </row>
    <row r="60" ht="20" customHeight="1">
      <c r="A60" s="29" t="inlineStr">
        <is>
          <t>⑤</t>
        </is>
      </c>
      <c r="B60" s="30" t="n"/>
      <c r="C60" s="31" t="n"/>
      <c r="D60" s="31" t="n"/>
      <c r="E60" s="31" t="n"/>
      <c r="F60" s="32" t="n"/>
      <c r="G60" s="33">
        <f>IF(OR($B60="",$D60="",$E60=""),"",IF(OR($C60="Target state",$C60="Exception"),"Out of scope",IF($D60="Low","No tranche",IF($E60="Low","Tranche 1",IF($E60="Medium","Tranche 2",IF($D60="High","Tranche 3","No tranche"))))))</f>
        <v/>
      </c>
      <c r="K60" s="39" t="n"/>
      <c r="L60" s="39" t="n"/>
      <c r="M60" s="39" t="n"/>
      <c r="O60">
        <f>IF(AND($B60&lt;&gt;"",$C60&lt;&gt;"Target state",$C60&lt;&gt;"Exception",$D60="High",$E60="Low"),$A60&amp;"  "&amp;$B60,"")</f>
        <v/>
      </c>
      <c r="P60">
        <f>IF(AND($B60&lt;&gt;"",$C60&lt;&gt;"Target state",$C60&lt;&gt;"Exception",$D60="High",$E60="Medium"),$A60&amp;"  "&amp;$B60,"")</f>
        <v/>
      </c>
      <c r="Q60">
        <f>IF(AND($B60&lt;&gt;"",$C60&lt;&gt;"Target state",$C60&lt;&gt;"Exception",$D60="High",$E60="High"),$A60&amp;"  "&amp;$B60,"")</f>
        <v/>
      </c>
      <c r="R60">
        <f>IF(AND($B60&lt;&gt;"",$C60&lt;&gt;"Target state",$C60&lt;&gt;"Exception",$D60="Medium",$E60="Low"),$A60&amp;"  "&amp;$B60,"")</f>
        <v/>
      </c>
      <c r="S60">
        <f>IF(AND($B60&lt;&gt;"",$C60&lt;&gt;"Target state",$C60&lt;&gt;"Exception",$D60="Medium",$E60="Medium"),$A60&amp;"  "&amp;$B60,"")</f>
        <v/>
      </c>
      <c r="T60">
        <f>IF(AND($B60&lt;&gt;"",$C60&lt;&gt;"Target state",$C60&lt;&gt;"Exception",$D60="Medium",$E60="High"),$A60&amp;"  "&amp;$B60,"")</f>
        <v/>
      </c>
      <c r="U60">
        <f>IF(AND($B60&lt;&gt;"",$C60&lt;&gt;"Target state",$C60&lt;&gt;"Exception",$D60="Low",$E60="Low"),$A60&amp;"  "&amp;$B60,"")</f>
        <v/>
      </c>
      <c r="V60">
        <f>IF(AND($B60&lt;&gt;"",$C60&lt;&gt;"Target state",$C60&lt;&gt;"Exception",$D60="Low",$E60="Medium"),$A60&amp;"  "&amp;$B60,"")</f>
        <v/>
      </c>
      <c r="W60">
        <f>IF(AND($B60&lt;&gt;"",$C60&lt;&gt;"Target state",$C60&lt;&gt;"Exception",$D60="Low",$E60="High"),$A60&amp;"  "&amp;$B60,"")</f>
        <v/>
      </c>
    </row>
    <row r="61" ht="20" customHeight="1">
      <c r="A61" s="29" t="inlineStr">
        <is>
          <t>⑥</t>
        </is>
      </c>
      <c r="B61" s="30" t="n"/>
      <c r="C61" s="31" t="n"/>
      <c r="D61" s="31" t="n"/>
      <c r="E61" s="31" t="n"/>
      <c r="F61" s="32" t="n"/>
      <c r="G61" s="33">
        <f>IF(OR($B61="",$D61="",$E61=""),"",IF(OR($C61="Target state",$C61="Exception"),"Out of scope",IF($D61="Low","No tranche",IF($E61="Low","Tranche 1",IF($E61="Medium","Tranche 2",IF($D61="High","Tranche 3","No tranche"))))))</f>
        <v/>
      </c>
      <c r="K61" s="40" t="n"/>
      <c r="L61" s="40" t="n"/>
      <c r="M61" s="40" t="n"/>
      <c r="O61">
        <f>IF(AND($B61&lt;&gt;"",$C61&lt;&gt;"Target state",$C61&lt;&gt;"Exception",$D61="High",$E61="Low"),$A61&amp;"  "&amp;$B61,"")</f>
        <v/>
      </c>
      <c r="P61">
        <f>IF(AND($B61&lt;&gt;"",$C61&lt;&gt;"Target state",$C61&lt;&gt;"Exception",$D61="High",$E61="Medium"),$A61&amp;"  "&amp;$B61,"")</f>
        <v/>
      </c>
      <c r="Q61">
        <f>IF(AND($B61&lt;&gt;"",$C61&lt;&gt;"Target state",$C61&lt;&gt;"Exception",$D61="High",$E61="High"),$A61&amp;"  "&amp;$B61,"")</f>
        <v/>
      </c>
      <c r="R61">
        <f>IF(AND($B61&lt;&gt;"",$C61&lt;&gt;"Target state",$C61&lt;&gt;"Exception",$D61="Medium",$E61="Low"),$A61&amp;"  "&amp;$B61,"")</f>
        <v/>
      </c>
      <c r="S61">
        <f>IF(AND($B61&lt;&gt;"",$C61&lt;&gt;"Target state",$C61&lt;&gt;"Exception",$D61="Medium",$E61="Medium"),$A61&amp;"  "&amp;$B61,"")</f>
        <v/>
      </c>
      <c r="T61">
        <f>IF(AND($B61&lt;&gt;"",$C61&lt;&gt;"Target state",$C61&lt;&gt;"Exception",$D61="Medium",$E61="High"),$A61&amp;"  "&amp;$B61,"")</f>
        <v/>
      </c>
      <c r="U61">
        <f>IF(AND($B61&lt;&gt;"",$C61&lt;&gt;"Target state",$C61&lt;&gt;"Exception",$D61="Low",$E61="Low"),$A61&amp;"  "&amp;$B61,"")</f>
        <v/>
      </c>
      <c r="V61">
        <f>IF(AND($B61&lt;&gt;"",$C61&lt;&gt;"Target state",$C61&lt;&gt;"Exception",$D61="Low",$E61="Medium"),$A61&amp;"  "&amp;$B61,"")</f>
        <v/>
      </c>
      <c r="W61">
        <f>IF(AND($B61&lt;&gt;"",$C61&lt;&gt;"Target state",$C61&lt;&gt;"Exception",$D61="Low",$E61="High"),$A61&amp;"  "&amp;$B61,"")</f>
        <v/>
      </c>
    </row>
    <row r="62" ht="20" customHeight="1">
      <c r="A62" s="29" t="inlineStr">
        <is>
          <t>⑦</t>
        </is>
      </c>
      <c r="B62" s="30" t="n"/>
      <c r="C62" s="31" t="n"/>
      <c r="D62" s="31" t="n"/>
      <c r="E62" s="31" t="n"/>
      <c r="F62" s="32" t="n"/>
      <c r="G62" s="33">
        <f>IF(OR($B62="",$D62="",$E62=""),"",IF(OR($C62="Target state",$C62="Exception"),"Out of scope",IF($D62="Low","No tranche",IF($E62="Low","Tranche 1",IF($E62="Medium","Tranche 2",IF($D62="High","Tranche 3","No tranche"))))))</f>
        <v/>
      </c>
      <c r="J62" s="35" t="inlineStr">
        <is>
          <t>Low</t>
        </is>
      </c>
      <c r="K62" s="41">
        <f>_xlfn.TEXTJOIN(CHAR(10),TRUE,U$56:U$65)</f>
        <v/>
      </c>
      <c r="L62" s="41">
        <f>_xlfn.TEXTJOIN(CHAR(10),TRUE,V$56:V$65)</f>
        <v/>
      </c>
      <c r="M62" s="41">
        <f>_xlfn.TEXTJOIN(CHAR(10),TRUE,W$56:W$65)</f>
        <v/>
      </c>
      <c r="O62">
        <f>IF(AND($B62&lt;&gt;"",$C62&lt;&gt;"Target state",$C62&lt;&gt;"Exception",$D62="High",$E62="Low"),$A62&amp;"  "&amp;$B62,"")</f>
        <v/>
      </c>
      <c r="P62">
        <f>IF(AND($B62&lt;&gt;"",$C62&lt;&gt;"Target state",$C62&lt;&gt;"Exception",$D62="High",$E62="Medium"),$A62&amp;"  "&amp;$B62,"")</f>
        <v/>
      </c>
      <c r="Q62">
        <f>IF(AND($B62&lt;&gt;"",$C62&lt;&gt;"Target state",$C62&lt;&gt;"Exception",$D62="High",$E62="High"),$A62&amp;"  "&amp;$B62,"")</f>
        <v/>
      </c>
      <c r="R62">
        <f>IF(AND($B62&lt;&gt;"",$C62&lt;&gt;"Target state",$C62&lt;&gt;"Exception",$D62="Medium",$E62="Low"),$A62&amp;"  "&amp;$B62,"")</f>
        <v/>
      </c>
      <c r="S62">
        <f>IF(AND($B62&lt;&gt;"",$C62&lt;&gt;"Target state",$C62&lt;&gt;"Exception",$D62="Medium",$E62="Medium"),$A62&amp;"  "&amp;$B62,"")</f>
        <v/>
      </c>
      <c r="T62">
        <f>IF(AND($B62&lt;&gt;"",$C62&lt;&gt;"Target state",$C62&lt;&gt;"Exception",$D62="Medium",$E62="High"),$A62&amp;"  "&amp;$B62,"")</f>
        <v/>
      </c>
      <c r="U62">
        <f>IF(AND($B62&lt;&gt;"",$C62&lt;&gt;"Target state",$C62&lt;&gt;"Exception",$D62="Low",$E62="Low"),$A62&amp;"  "&amp;$B62,"")</f>
        <v/>
      </c>
      <c r="V62">
        <f>IF(AND($B62&lt;&gt;"",$C62&lt;&gt;"Target state",$C62&lt;&gt;"Exception",$D62="Low",$E62="Medium"),$A62&amp;"  "&amp;$B62,"")</f>
        <v/>
      </c>
      <c r="W62">
        <f>IF(AND($B62&lt;&gt;"",$C62&lt;&gt;"Target state",$C62&lt;&gt;"Exception",$D62="Low",$E62="High"),$A62&amp;"  "&amp;$B62,"")</f>
        <v/>
      </c>
    </row>
    <row r="63" ht="20" customHeight="1">
      <c r="A63" s="29" t="inlineStr">
        <is>
          <t>⑧</t>
        </is>
      </c>
      <c r="B63" s="30" t="n"/>
      <c r="C63" s="31" t="n"/>
      <c r="D63" s="31" t="n"/>
      <c r="E63" s="31" t="n"/>
      <c r="F63" s="32" t="n"/>
      <c r="G63" s="33">
        <f>IF(OR($B63="",$D63="",$E63=""),"",IF(OR($C63="Target state",$C63="Exception"),"Out of scope",IF($D63="Low","No tranche",IF($E63="Low","Tranche 1",IF($E63="Medium","Tranche 2",IF($D63="High","Tranche 3","No tranche"))))))</f>
        <v/>
      </c>
      <c r="K63" s="39" t="n"/>
      <c r="L63" s="39" t="n"/>
      <c r="M63" s="39" t="n"/>
      <c r="O63">
        <f>IF(AND($B63&lt;&gt;"",$C63&lt;&gt;"Target state",$C63&lt;&gt;"Exception",$D63="High",$E63="Low"),$A63&amp;"  "&amp;$B63,"")</f>
        <v/>
      </c>
      <c r="P63">
        <f>IF(AND($B63&lt;&gt;"",$C63&lt;&gt;"Target state",$C63&lt;&gt;"Exception",$D63="High",$E63="Medium"),$A63&amp;"  "&amp;$B63,"")</f>
        <v/>
      </c>
      <c r="Q63">
        <f>IF(AND($B63&lt;&gt;"",$C63&lt;&gt;"Target state",$C63&lt;&gt;"Exception",$D63="High",$E63="High"),$A63&amp;"  "&amp;$B63,"")</f>
        <v/>
      </c>
      <c r="R63">
        <f>IF(AND($B63&lt;&gt;"",$C63&lt;&gt;"Target state",$C63&lt;&gt;"Exception",$D63="Medium",$E63="Low"),$A63&amp;"  "&amp;$B63,"")</f>
        <v/>
      </c>
      <c r="S63">
        <f>IF(AND($B63&lt;&gt;"",$C63&lt;&gt;"Target state",$C63&lt;&gt;"Exception",$D63="Medium",$E63="Medium"),$A63&amp;"  "&amp;$B63,"")</f>
        <v/>
      </c>
      <c r="T63">
        <f>IF(AND($B63&lt;&gt;"",$C63&lt;&gt;"Target state",$C63&lt;&gt;"Exception",$D63="Medium",$E63="High"),$A63&amp;"  "&amp;$B63,"")</f>
        <v/>
      </c>
      <c r="U63">
        <f>IF(AND($B63&lt;&gt;"",$C63&lt;&gt;"Target state",$C63&lt;&gt;"Exception",$D63="Low",$E63="Low"),$A63&amp;"  "&amp;$B63,"")</f>
        <v/>
      </c>
      <c r="V63">
        <f>IF(AND($B63&lt;&gt;"",$C63&lt;&gt;"Target state",$C63&lt;&gt;"Exception",$D63="Low",$E63="Medium"),$A63&amp;"  "&amp;$B63,"")</f>
        <v/>
      </c>
      <c r="W63">
        <f>IF(AND($B63&lt;&gt;"",$C63&lt;&gt;"Target state",$C63&lt;&gt;"Exception",$D63="Low",$E63="High"),$A63&amp;"  "&amp;$B63,"")</f>
        <v/>
      </c>
    </row>
    <row r="64" ht="20" customHeight="1">
      <c r="A64" s="29" t="inlineStr">
        <is>
          <t>⑨</t>
        </is>
      </c>
      <c r="B64" s="30" t="n"/>
      <c r="C64" s="31" t="n"/>
      <c r="D64" s="31" t="n"/>
      <c r="E64" s="31" t="n"/>
      <c r="F64" s="32" t="n"/>
      <c r="G64" s="33">
        <f>IF(OR($B64="",$D64="",$E64=""),"",IF(OR($C64="Target state",$C64="Exception"),"Out of scope",IF($D64="Low","No tranche",IF($E64="Low","Tranche 1",IF($E64="Medium","Tranche 2",IF($D64="High","Tranche 3","No tranche"))))))</f>
        <v/>
      </c>
      <c r="K64" s="40" t="n"/>
      <c r="L64" s="40" t="n"/>
      <c r="M64" s="40" t="n"/>
      <c r="O64">
        <f>IF(AND($B64&lt;&gt;"",$C64&lt;&gt;"Target state",$C64&lt;&gt;"Exception",$D64="High",$E64="Low"),$A64&amp;"  "&amp;$B64,"")</f>
        <v/>
      </c>
      <c r="P64">
        <f>IF(AND($B64&lt;&gt;"",$C64&lt;&gt;"Target state",$C64&lt;&gt;"Exception",$D64="High",$E64="Medium"),$A64&amp;"  "&amp;$B64,"")</f>
        <v/>
      </c>
      <c r="Q64">
        <f>IF(AND($B64&lt;&gt;"",$C64&lt;&gt;"Target state",$C64&lt;&gt;"Exception",$D64="High",$E64="High"),$A64&amp;"  "&amp;$B64,"")</f>
        <v/>
      </c>
      <c r="R64">
        <f>IF(AND($B64&lt;&gt;"",$C64&lt;&gt;"Target state",$C64&lt;&gt;"Exception",$D64="Medium",$E64="Low"),$A64&amp;"  "&amp;$B64,"")</f>
        <v/>
      </c>
      <c r="S64">
        <f>IF(AND($B64&lt;&gt;"",$C64&lt;&gt;"Target state",$C64&lt;&gt;"Exception",$D64="Medium",$E64="Medium"),$A64&amp;"  "&amp;$B64,"")</f>
        <v/>
      </c>
      <c r="T64">
        <f>IF(AND($B64&lt;&gt;"",$C64&lt;&gt;"Target state",$C64&lt;&gt;"Exception",$D64="Medium",$E64="High"),$A64&amp;"  "&amp;$B64,"")</f>
        <v/>
      </c>
      <c r="U64">
        <f>IF(AND($B64&lt;&gt;"",$C64&lt;&gt;"Target state",$C64&lt;&gt;"Exception",$D64="Low",$E64="Low"),$A64&amp;"  "&amp;$B64,"")</f>
        <v/>
      </c>
      <c r="V64">
        <f>IF(AND($B64&lt;&gt;"",$C64&lt;&gt;"Target state",$C64&lt;&gt;"Exception",$D64="Low",$E64="Medium"),$A64&amp;"  "&amp;$B64,"")</f>
        <v/>
      </c>
      <c r="W64">
        <f>IF(AND($B64&lt;&gt;"",$C64&lt;&gt;"Target state",$C64&lt;&gt;"Exception",$D64="Low",$E64="High"),$A64&amp;"  "&amp;$B64,"")</f>
        <v/>
      </c>
    </row>
    <row r="65" ht="20" customHeight="1">
      <c r="A65" s="29" t="inlineStr">
        <is>
          <t>⑩</t>
        </is>
      </c>
      <c r="B65" s="30" t="n"/>
      <c r="C65" s="31" t="n"/>
      <c r="D65" s="31" t="n"/>
      <c r="E65" s="31" t="n"/>
      <c r="F65" s="32" t="n"/>
      <c r="G65" s="33">
        <f>IF(OR($B65="",$D65="",$E65=""),"",IF(OR($C65="Target state",$C65="Exception"),"Out of scope",IF($D65="Low","No tranche",IF($E65="Low","Tranche 1",IF($E65="Medium","Tranche 2",IF($D65="High","Tranche 3","No tranche"))))))</f>
        <v/>
      </c>
      <c r="K65" s="35" t="inlineStr">
        <is>
          <t>Complexity</t>
        </is>
      </c>
      <c r="O65">
        <f>IF(AND($B65&lt;&gt;"",$C65&lt;&gt;"Target state",$C65&lt;&gt;"Exception",$D65="High",$E65="Low"),$A65&amp;"  "&amp;$B65,"")</f>
        <v/>
      </c>
      <c r="P65">
        <f>IF(AND($B65&lt;&gt;"",$C65&lt;&gt;"Target state",$C65&lt;&gt;"Exception",$D65="High",$E65="Medium"),$A65&amp;"  "&amp;$B65,"")</f>
        <v/>
      </c>
      <c r="Q65">
        <f>IF(AND($B65&lt;&gt;"",$C65&lt;&gt;"Target state",$C65&lt;&gt;"Exception",$D65="High",$E65="High"),$A65&amp;"  "&amp;$B65,"")</f>
        <v/>
      </c>
      <c r="R65">
        <f>IF(AND($B65&lt;&gt;"",$C65&lt;&gt;"Target state",$C65&lt;&gt;"Exception",$D65="Medium",$E65="Low"),$A65&amp;"  "&amp;$B65,"")</f>
        <v/>
      </c>
      <c r="S65">
        <f>IF(AND($B65&lt;&gt;"",$C65&lt;&gt;"Target state",$C65&lt;&gt;"Exception",$D65="Medium",$E65="Medium"),$A65&amp;"  "&amp;$B65,"")</f>
        <v/>
      </c>
      <c r="T65">
        <f>IF(AND($B65&lt;&gt;"",$C65&lt;&gt;"Target state",$C65&lt;&gt;"Exception",$D65="Medium",$E65="High"),$A65&amp;"  "&amp;$B65,"")</f>
        <v/>
      </c>
      <c r="U65">
        <f>IF(AND($B65&lt;&gt;"",$C65&lt;&gt;"Target state",$C65&lt;&gt;"Exception",$D65="Low",$E65="Low"),$A65&amp;"  "&amp;$B65,"")</f>
        <v/>
      </c>
      <c r="V65">
        <f>IF(AND($B65&lt;&gt;"",$C65&lt;&gt;"Target state",$C65&lt;&gt;"Exception",$D65="Low",$E65="Medium"),$A65&amp;"  "&amp;$B65,"")</f>
        <v/>
      </c>
      <c r="W65">
        <f>IF(AND($B65&lt;&gt;"",$C65&lt;&gt;"Target state",$C65&lt;&gt;"Exception",$D65="Low",$E65="High"),$A65&amp;"  "&amp;$B65,"")</f>
        <v/>
      </c>
    </row>
    <row r="68" ht="22" customHeight="1">
      <c r="A68" s="24" t="inlineStr">
        <is>
          <t>Payouts</t>
        </is>
      </c>
      <c r="G68" s="25">
        <f>HYPERLINK("#'Single-out'!A4","▲ tracker")</f>
        <v/>
      </c>
      <c r="K68" s="26" t="inlineStr">
        <is>
          <t>Assessment Outcome</t>
        </is>
      </c>
    </row>
    <row r="69" ht="18" customHeight="1">
      <c r="A69" s="27" t="inlineStr">
        <is>
          <t>#</t>
        </is>
      </c>
      <c r="B69" s="27" t="inlineStr">
        <is>
          <t>Platform</t>
        </is>
      </c>
      <c r="C69" s="27" t="inlineStr">
        <is>
          <t>State</t>
        </is>
      </c>
      <c r="D69" s="27" t="inlineStr">
        <is>
          <t>Imperative to exit</t>
        </is>
      </c>
      <c r="E69" s="27" t="inlineStr">
        <is>
          <t>Exit complexity</t>
        </is>
      </c>
      <c r="F69" s="27" t="inlineStr">
        <is>
          <t>Supporting facts</t>
        </is>
      </c>
      <c r="G69" s="27" t="inlineStr">
        <is>
          <t>Tranche (auto)</t>
        </is>
      </c>
      <c r="K69" s="28" t="inlineStr">
        <is>
          <t>Low</t>
        </is>
      </c>
      <c r="L69" s="28" t="inlineStr">
        <is>
          <t>Medium</t>
        </is>
      </c>
      <c r="M69" s="28" t="inlineStr">
        <is>
          <t>High</t>
        </is>
      </c>
    </row>
    <row r="70" ht="20" customHeight="1">
      <c r="A70" s="29" t="inlineStr">
        <is>
          <t>①</t>
        </is>
      </c>
      <c r="B70" s="30" t="n"/>
      <c r="C70" s="31" t="n"/>
      <c r="D70" s="31" t="n"/>
      <c r="E70" s="31" t="n"/>
      <c r="F70" s="32" t="n"/>
      <c r="G70" s="33">
        <f>IF(OR($B70="",$D70="",$E70=""),"",IF(OR($C70="Target state",$C70="Exception"),"Out of scope",IF($D70="Low","No tranche",IF($E70="Low","Tranche 1",IF($E70="Medium","Tranche 2",IF($D70="High","Tranche 3","No tranche"))))))</f>
        <v/>
      </c>
      <c r="I70" s="34" t="inlineStr">
        <is>
          <t>Benefits</t>
        </is>
      </c>
      <c r="J70" s="35" t="inlineStr">
        <is>
          <t>High</t>
        </is>
      </c>
      <c r="K70" s="36">
        <f>"Tranche 1"&amp;CHAR(10)&amp;_xlfn.TEXTJOIN(CHAR(10),TRUE,O$70:O$79)</f>
        <v/>
      </c>
      <c r="L70" s="37">
        <f>"Tranche 2"&amp;CHAR(10)&amp;_xlfn.TEXTJOIN(CHAR(10),TRUE,P$70:P$79)</f>
        <v/>
      </c>
      <c r="M70" s="38">
        <f>"Tranche 3"&amp;CHAR(10)&amp;_xlfn.TEXTJOIN(CHAR(10),TRUE,Q$70:Q$79)</f>
        <v/>
      </c>
      <c r="O70">
        <f>IF(AND($B70&lt;&gt;"",$C70&lt;&gt;"Target state",$C70&lt;&gt;"Exception",$D70="High",$E70="Low"),$A70&amp;"  "&amp;$B70,"")</f>
        <v/>
      </c>
      <c r="P70">
        <f>IF(AND($B70&lt;&gt;"",$C70&lt;&gt;"Target state",$C70&lt;&gt;"Exception",$D70="High",$E70="Medium"),$A70&amp;"  "&amp;$B70,"")</f>
        <v/>
      </c>
      <c r="Q70">
        <f>IF(AND($B70&lt;&gt;"",$C70&lt;&gt;"Target state",$C70&lt;&gt;"Exception",$D70="High",$E70="High"),$A70&amp;"  "&amp;$B70,"")</f>
        <v/>
      </c>
      <c r="R70">
        <f>IF(AND($B70&lt;&gt;"",$C70&lt;&gt;"Target state",$C70&lt;&gt;"Exception",$D70="Medium",$E70="Low"),$A70&amp;"  "&amp;$B70,"")</f>
        <v/>
      </c>
      <c r="S70">
        <f>IF(AND($B70&lt;&gt;"",$C70&lt;&gt;"Target state",$C70&lt;&gt;"Exception",$D70="Medium",$E70="Medium"),$A70&amp;"  "&amp;$B70,"")</f>
        <v/>
      </c>
      <c r="T70">
        <f>IF(AND($B70&lt;&gt;"",$C70&lt;&gt;"Target state",$C70&lt;&gt;"Exception",$D70="Medium",$E70="High"),$A70&amp;"  "&amp;$B70,"")</f>
        <v/>
      </c>
      <c r="U70">
        <f>IF(AND($B70&lt;&gt;"",$C70&lt;&gt;"Target state",$C70&lt;&gt;"Exception",$D70="Low",$E70="Low"),$A70&amp;"  "&amp;$B70,"")</f>
        <v/>
      </c>
      <c r="V70">
        <f>IF(AND($B70&lt;&gt;"",$C70&lt;&gt;"Target state",$C70&lt;&gt;"Exception",$D70="Low",$E70="Medium"),$A70&amp;"  "&amp;$B70,"")</f>
        <v/>
      </c>
      <c r="W70">
        <f>IF(AND($B70&lt;&gt;"",$C70&lt;&gt;"Target state",$C70&lt;&gt;"Exception",$D70="Low",$E70="High"),$A70&amp;"  "&amp;$B70,"")</f>
        <v/>
      </c>
    </row>
    <row r="71" ht="20" customHeight="1">
      <c r="A71" s="29" t="inlineStr">
        <is>
          <t>②</t>
        </is>
      </c>
      <c r="B71" s="30" t="n"/>
      <c r="C71" s="31" t="n"/>
      <c r="D71" s="31" t="n"/>
      <c r="E71" s="31" t="n"/>
      <c r="F71" s="32" t="n"/>
      <c r="G71" s="33">
        <f>IF(OR($B71="",$D71="",$E71=""),"",IF(OR($C71="Target state",$C71="Exception"),"Out of scope",IF($D71="Low","No tranche",IF($E71="Low","Tranche 1",IF($E71="Medium","Tranche 2",IF($D71="High","Tranche 3","No tranche"))))))</f>
        <v/>
      </c>
      <c r="K71" s="39" t="n"/>
      <c r="L71" s="39" t="n"/>
      <c r="M71" s="39" t="n"/>
      <c r="O71">
        <f>IF(AND($B71&lt;&gt;"",$C71&lt;&gt;"Target state",$C71&lt;&gt;"Exception",$D71="High",$E71="Low"),$A71&amp;"  "&amp;$B71,"")</f>
        <v/>
      </c>
      <c r="P71">
        <f>IF(AND($B71&lt;&gt;"",$C71&lt;&gt;"Target state",$C71&lt;&gt;"Exception",$D71="High",$E71="Medium"),$A71&amp;"  "&amp;$B71,"")</f>
        <v/>
      </c>
      <c r="Q71">
        <f>IF(AND($B71&lt;&gt;"",$C71&lt;&gt;"Target state",$C71&lt;&gt;"Exception",$D71="High",$E71="High"),$A71&amp;"  "&amp;$B71,"")</f>
        <v/>
      </c>
      <c r="R71">
        <f>IF(AND($B71&lt;&gt;"",$C71&lt;&gt;"Target state",$C71&lt;&gt;"Exception",$D71="Medium",$E71="Low"),$A71&amp;"  "&amp;$B71,"")</f>
        <v/>
      </c>
      <c r="S71">
        <f>IF(AND($B71&lt;&gt;"",$C71&lt;&gt;"Target state",$C71&lt;&gt;"Exception",$D71="Medium",$E71="Medium"),$A71&amp;"  "&amp;$B71,"")</f>
        <v/>
      </c>
      <c r="T71">
        <f>IF(AND($B71&lt;&gt;"",$C71&lt;&gt;"Target state",$C71&lt;&gt;"Exception",$D71="Medium",$E71="High"),$A71&amp;"  "&amp;$B71,"")</f>
        <v/>
      </c>
      <c r="U71">
        <f>IF(AND($B71&lt;&gt;"",$C71&lt;&gt;"Target state",$C71&lt;&gt;"Exception",$D71="Low",$E71="Low"),$A71&amp;"  "&amp;$B71,"")</f>
        <v/>
      </c>
      <c r="V71">
        <f>IF(AND($B71&lt;&gt;"",$C71&lt;&gt;"Target state",$C71&lt;&gt;"Exception",$D71="Low",$E71="Medium"),$A71&amp;"  "&amp;$B71,"")</f>
        <v/>
      </c>
      <c r="W71">
        <f>IF(AND($B71&lt;&gt;"",$C71&lt;&gt;"Target state",$C71&lt;&gt;"Exception",$D71="Low",$E71="High"),$A71&amp;"  "&amp;$B71,"")</f>
        <v/>
      </c>
    </row>
    <row r="72" ht="20" customHeight="1">
      <c r="A72" s="29" t="inlineStr">
        <is>
          <t>③</t>
        </is>
      </c>
      <c r="B72" s="30" t="n"/>
      <c r="C72" s="31" t="n"/>
      <c r="D72" s="31" t="n"/>
      <c r="E72" s="31" t="n"/>
      <c r="F72" s="32" t="n"/>
      <c r="G72" s="33">
        <f>IF(OR($B72="",$D72="",$E72=""),"",IF(OR($C72="Target state",$C72="Exception"),"Out of scope",IF($D72="Low","No tranche",IF($E72="Low","Tranche 1",IF($E72="Medium","Tranche 2",IF($D72="High","Tranche 3","No tranche"))))))</f>
        <v/>
      </c>
      <c r="K72" s="40" t="n"/>
      <c r="L72" s="40" t="n"/>
      <c r="M72" s="40" t="n"/>
      <c r="O72">
        <f>IF(AND($B72&lt;&gt;"",$C72&lt;&gt;"Target state",$C72&lt;&gt;"Exception",$D72="High",$E72="Low"),$A72&amp;"  "&amp;$B72,"")</f>
        <v/>
      </c>
      <c r="P72">
        <f>IF(AND($B72&lt;&gt;"",$C72&lt;&gt;"Target state",$C72&lt;&gt;"Exception",$D72="High",$E72="Medium"),$A72&amp;"  "&amp;$B72,"")</f>
        <v/>
      </c>
      <c r="Q72">
        <f>IF(AND($B72&lt;&gt;"",$C72&lt;&gt;"Target state",$C72&lt;&gt;"Exception",$D72="High",$E72="High"),$A72&amp;"  "&amp;$B72,"")</f>
        <v/>
      </c>
      <c r="R72">
        <f>IF(AND($B72&lt;&gt;"",$C72&lt;&gt;"Target state",$C72&lt;&gt;"Exception",$D72="Medium",$E72="Low"),$A72&amp;"  "&amp;$B72,"")</f>
        <v/>
      </c>
      <c r="S72">
        <f>IF(AND($B72&lt;&gt;"",$C72&lt;&gt;"Target state",$C72&lt;&gt;"Exception",$D72="Medium",$E72="Medium"),$A72&amp;"  "&amp;$B72,"")</f>
        <v/>
      </c>
      <c r="T72">
        <f>IF(AND($B72&lt;&gt;"",$C72&lt;&gt;"Target state",$C72&lt;&gt;"Exception",$D72="Medium",$E72="High"),$A72&amp;"  "&amp;$B72,"")</f>
        <v/>
      </c>
      <c r="U72">
        <f>IF(AND($B72&lt;&gt;"",$C72&lt;&gt;"Target state",$C72&lt;&gt;"Exception",$D72="Low",$E72="Low"),$A72&amp;"  "&amp;$B72,"")</f>
        <v/>
      </c>
      <c r="V72">
        <f>IF(AND($B72&lt;&gt;"",$C72&lt;&gt;"Target state",$C72&lt;&gt;"Exception",$D72="Low",$E72="Medium"),$A72&amp;"  "&amp;$B72,"")</f>
        <v/>
      </c>
      <c r="W72">
        <f>IF(AND($B72&lt;&gt;"",$C72&lt;&gt;"Target state",$C72&lt;&gt;"Exception",$D72="Low",$E72="High"),$A72&amp;"  "&amp;$B72,"")</f>
        <v/>
      </c>
    </row>
    <row r="73" ht="20" customHeight="1">
      <c r="A73" s="29" t="inlineStr">
        <is>
          <t>④</t>
        </is>
      </c>
      <c r="B73" s="30" t="n"/>
      <c r="C73" s="31" t="n"/>
      <c r="D73" s="31" t="n"/>
      <c r="E73" s="31" t="n"/>
      <c r="F73" s="32" t="n"/>
      <c r="G73" s="33">
        <f>IF(OR($B73="",$D73="",$E73=""),"",IF(OR($C73="Target state",$C73="Exception"),"Out of scope",IF($D73="Low","No tranche",IF($E73="Low","Tranche 1",IF($E73="Medium","Tranche 2",IF($D73="High","Tranche 3","No tranche"))))))</f>
        <v/>
      </c>
      <c r="J73" s="35" t="inlineStr">
        <is>
          <t>Medium</t>
        </is>
      </c>
      <c r="K73" s="36">
        <f>"Tranche 1"&amp;CHAR(10)&amp;_xlfn.TEXTJOIN(CHAR(10),TRUE,R$70:R$79)</f>
        <v/>
      </c>
      <c r="L73" s="37">
        <f>"Tranche 2"&amp;CHAR(10)&amp;_xlfn.TEXTJOIN(CHAR(10),TRUE,S$70:S$79)</f>
        <v/>
      </c>
      <c r="M73" s="41">
        <f>_xlfn.TEXTJOIN(CHAR(10),TRUE,T$70:T$79)</f>
        <v/>
      </c>
      <c r="O73">
        <f>IF(AND($B73&lt;&gt;"",$C73&lt;&gt;"Target state",$C73&lt;&gt;"Exception",$D73="High",$E73="Low"),$A73&amp;"  "&amp;$B73,"")</f>
        <v/>
      </c>
      <c r="P73">
        <f>IF(AND($B73&lt;&gt;"",$C73&lt;&gt;"Target state",$C73&lt;&gt;"Exception",$D73="High",$E73="Medium"),$A73&amp;"  "&amp;$B73,"")</f>
        <v/>
      </c>
      <c r="Q73">
        <f>IF(AND($B73&lt;&gt;"",$C73&lt;&gt;"Target state",$C73&lt;&gt;"Exception",$D73="High",$E73="High"),$A73&amp;"  "&amp;$B73,"")</f>
        <v/>
      </c>
      <c r="R73">
        <f>IF(AND($B73&lt;&gt;"",$C73&lt;&gt;"Target state",$C73&lt;&gt;"Exception",$D73="Medium",$E73="Low"),$A73&amp;"  "&amp;$B73,"")</f>
        <v/>
      </c>
      <c r="S73">
        <f>IF(AND($B73&lt;&gt;"",$C73&lt;&gt;"Target state",$C73&lt;&gt;"Exception",$D73="Medium",$E73="Medium"),$A73&amp;"  "&amp;$B73,"")</f>
        <v/>
      </c>
      <c r="T73">
        <f>IF(AND($B73&lt;&gt;"",$C73&lt;&gt;"Target state",$C73&lt;&gt;"Exception",$D73="Medium",$E73="High"),$A73&amp;"  "&amp;$B73,"")</f>
        <v/>
      </c>
      <c r="U73">
        <f>IF(AND($B73&lt;&gt;"",$C73&lt;&gt;"Target state",$C73&lt;&gt;"Exception",$D73="Low",$E73="Low"),$A73&amp;"  "&amp;$B73,"")</f>
        <v/>
      </c>
      <c r="V73">
        <f>IF(AND($B73&lt;&gt;"",$C73&lt;&gt;"Target state",$C73&lt;&gt;"Exception",$D73="Low",$E73="Medium"),$A73&amp;"  "&amp;$B73,"")</f>
        <v/>
      </c>
      <c r="W73">
        <f>IF(AND($B73&lt;&gt;"",$C73&lt;&gt;"Target state",$C73&lt;&gt;"Exception",$D73="Low",$E73="High"),$A73&amp;"  "&amp;$B73,"")</f>
        <v/>
      </c>
    </row>
    <row r="74" ht="20" customHeight="1">
      <c r="A74" s="29" t="inlineStr">
        <is>
          <t>⑤</t>
        </is>
      </c>
      <c r="B74" s="30" t="n"/>
      <c r="C74" s="31" t="n"/>
      <c r="D74" s="31" t="n"/>
      <c r="E74" s="31" t="n"/>
      <c r="F74" s="32" t="n"/>
      <c r="G74" s="33">
        <f>IF(OR($B74="",$D74="",$E74=""),"",IF(OR($C74="Target state",$C74="Exception"),"Out of scope",IF($D74="Low","No tranche",IF($E74="Low","Tranche 1",IF($E74="Medium","Tranche 2",IF($D74="High","Tranche 3","No tranche"))))))</f>
        <v/>
      </c>
      <c r="K74" s="39" t="n"/>
      <c r="L74" s="39" t="n"/>
      <c r="M74" s="39" t="n"/>
      <c r="O74">
        <f>IF(AND($B74&lt;&gt;"",$C74&lt;&gt;"Target state",$C74&lt;&gt;"Exception",$D74="High",$E74="Low"),$A74&amp;"  "&amp;$B74,"")</f>
        <v/>
      </c>
      <c r="P74">
        <f>IF(AND($B74&lt;&gt;"",$C74&lt;&gt;"Target state",$C74&lt;&gt;"Exception",$D74="High",$E74="Medium"),$A74&amp;"  "&amp;$B74,"")</f>
        <v/>
      </c>
      <c r="Q74">
        <f>IF(AND($B74&lt;&gt;"",$C74&lt;&gt;"Target state",$C74&lt;&gt;"Exception",$D74="High",$E74="High"),$A74&amp;"  "&amp;$B74,"")</f>
        <v/>
      </c>
      <c r="R74">
        <f>IF(AND($B74&lt;&gt;"",$C74&lt;&gt;"Target state",$C74&lt;&gt;"Exception",$D74="Medium",$E74="Low"),$A74&amp;"  "&amp;$B74,"")</f>
        <v/>
      </c>
      <c r="S74">
        <f>IF(AND($B74&lt;&gt;"",$C74&lt;&gt;"Target state",$C74&lt;&gt;"Exception",$D74="Medium",$E74="Medium"),$A74&amp;"  "&amp;$B74,"")</f>
        <v/>
      </c>
      <c r="T74">
        <f>IF(AND($B74&lt;&gt;"",$C74&lt;&gt;"Target state",$C74&lt;&gt;"Exception",$D74="Medium",$E74="High"),$A74&amp;"  "&amp;$B74,"")</f>
        <v/>
      </c>
      <c r="U74">
        <f>IF(AND($B74&lt;&gt;"",$C74&lt;&gt;"Target state",$C74&lt;&gt;"Exception",$D74="Low",$E74="Low"),$A74&amp;"  "&amp;$B74,"")</f>
        <v/>
      </c>
      <c r="V74">
        <f>IF(AND($B74&lt;&gt;"",$C74&lt;&gt;"Target state",$C74&lt;&gt;"Exception",$D74="Low",$E74="Medium"),$A74&amp;"  "&amp;$B74,"")</f>
        <v/>
      </c>
      <c r="W74">
        <f>IF(AND($B74&lt;&gt;"",$C74&lt;&gt;"Target state",$C74&lt;&gt;"Exception",$D74="Low",$E74="High"),$A74&amp;"  "&amp;$B74,"")</f>
        <v/>
      </c>
    </row>
    <row r="75" ht="20" customHeight="1">
      <c r="A75" s="29" t="inlineStr">
        <is>
          <t>⑥</t>
        </is>
      </c>
      <c r="B75" s="30" t="n"/>
      <c r="C75" s="31" t="n"/>
      <c r="D75" s="31" t="n"/>
      <c r="E75" s="31" t="n"/>
      <c r="F75" s="32" t="n"/>
      <c r="G75" s="33">
        <f>IF(OR($B75="",$D75="",$E75=""),"",IF(OR($C75="Target state",$C75="Exception"),"Out of scope",IF($D75="Low","No tranche",IF($E75="Low","Tranche 1",IF($E75="Medium","Tranche 2",IF($D75="High","Tranche 3","No tranche"))))))</f>
        <v/>
      </c>
      <c r="K75" s="40" t="n"/>
      <c r="L75" s="40" t="n"/>
      <c r="M75" s="40" t="n"/>
      <c r="O75">
        <f>IF(AND($B75&lt;&gt;"",$C75&lt;&gt;"Target state",$C75&lt;&gt;"Exception",$D75="High",$E75="Low"),$A75&amp;"  "&amp;$B75,"")</f>
        <v/>
      </c>
      <c r="P75">
        <f>IF(AND($B75&lt;&gt;"",$C75&lt;&gt;"Target state",$C75&lt;&gt;"Exception",$D75="High",$E75="Medium"),$A75&amp;"  "&amp;$B75,"")</f>
        <v/>
      </c>
      <c r="Q75">
        <f>IF(AND($B75&lt;&gt;"",$C75&lt;&gt;"Target state",$C75&lt;&gt;"Exception",$D75="High",$E75="High"),$A75&amp;"  "&amp;$B75,"")</f>
        <v/>
      </c>
      <c r="R75">
        <f>IF(AND($B75&lt;&gt;"",$C75&lt;&gt;"Target state",$C75&lt;&gt;"Exception",$D75="Medium",$E75="Low"),$A75&amp;"  "&amp;$B75,"")</f>
        <v/>
      </c>
      <c r="S75">
        <f>IF(AND($B75&lt;&gt;"",$C75&lt;&gt;"Target state",$C75&lt;&gt;"Exception",$D75="Medium",$E75="Medium"),$A75&amp;"  "&amp;$B75,"")</f>
        <v/>
      </c>
      <c r="T75">
        <f>IF(AND($B75&lt;&gt;"",$C75&lt;&gt;"Target state",$C75&lt;&gt;"Exception",$D75="Medium",$E75="High"),$A75&amp;"  "&amp;$B75,"")</f>
        <v/>
      </c>
      <c r="U75">
        <f>IF(AND($B75&lt;&gt;"",$C75&lt;&gt;"Target state",$C75&lt;&gt;"Exception",$D75="Low",$E75="Low"),$A75&amp;"  "&amp;$B75,"")</f>
        <v/>
      </c>
      <c r="V75">
        <f>IF(AND($B75&lt;&gt;"",$C75&lt;&gt;"Target state",$C75&lt;&gt;"Exception",$D75="Low",$E75="Medium"),$A75&amp;"  "&amp;$B75,"")</f>
        <v/>
      </c>
      <c r="W75">
        <f>IF(AND($B75&lt;&gt;"",$C75&lt;&gt;"Target state",$C75&lt;&gt;"Exception",$D75="Low",$E75="High"),$A75&amp;"  "&amp;$B75,"")</f>
        <v/>
      </c>
    </row>
    <row r="76" ht="20" customHeight="1">
      <c r="A76" s="29" t="inlineStr">
        <is>
          <t>⑦</t>
        </is>
      </c>
      <c r="B76" s="30" t="n"/>
      <c r="C76" s="31" t="n"/>
      <c r="D76" s="31" t="n"/>
      <c r="E76" s="31" t="n"/>
      <c r="F76" s="32" t="n"/>
      <c r="G76" s="33">
        <f>IF(OR($B76="",$D76="",$E76=""),"",IF(OR($C76="Target state",$C76="Exception"),"Out of scope",IF($D76="Low","No tranche",IF($E76="Low","Tranche 1",IF($E76="Medium","Tranche 2",IF($D76="High","Tranche 3","No tranche"))))))</f>
        <v/>
      </c>
      <c r="J76" s="35" t="inlineStr">
        <is>
          <t>Low</t>
        </is>
      </c>
      <c r="K76" s="41">
        <f>_xlfn.TEXTJOIN(CHAR(10),TRUE,U$70:U$79)</f>
        <v/>
      </c>
      <c r="L76" s="41">
        <f>_xlfn.TEXTJOIN(CHAR(10),TRUE,V$70:V$79)</f>
        <v/>
      </c>
      <c r="M76" s="41">
        <f>_xlfn.TEXTJOIN(CHAR(10),TRUE,W$70:W$79)</f>
        <v/>
      </c>
      <c r="O76">
        <f>IF(AND($B76&lt;&gt;"",$C76&lt;&gt;"Target state",$C76&lt;&gt;"Exception",$D76="High",$E76="Low"),$A76&amp;"  "&amp;$B76,"")</f>
        <v/>
      </c>
      <c r="P76">
        <f>IF(AND($B76&lt;&gt;"",$C76&lt;&gt;"Target state",$C76&lt;&gt;"Exception",$D76="High",$E76="Medium"),$A76&amp;"  "&amp;$B76,"")</f>
        <v/>
      </c>
      <c r="Q76">
        <f>IF(AND($B76&lt;&gt;"",$C76&lt;&gt;"Target state",$C76&lt;&gt;"Exception",$D76="High",$E76="High"),$A76&amp;"  "&amp;$B76,"")</f>
        <v/>
      </c>
      <c r="R76">
        <f>IF(AND($B76&lt;&gt;"",$C76&lt;&gt;"Target state",$C76&lt;&gt;"Exception",$D76="Medium",$E76="Low"),$A76&amp;"  "&amp;$B76,"")</f>
        <v/>
      </c>
      <c r="S76">
        <f>IF(AND($B76&lt;&gt;"",$C76&lt;&gt;"Target state",$C76&lt;&gt;"Exception",$D76="Medium",$E76="Medium"),$A76&amp;"  "&amp;$B76,"")</f>
        <v/>
      </c>
      <c r="T76">
        <f>IF(AND($B76&lt;&gt;"",$C76&lt;&gt;"Target state",$C76&lt;&gt;"Exception",$D76="Medium",$E76="High"),$A76&amp;"  "&amp;$B76,"")</f>
        <v/>
      </c>
      <c r="U76">
        <f>IF(AND($B76&lt;&gt;"",$C76&lt;&gt;"Target state",$C76&lt;&gt;"Exception",$D76="Low",$E76="Low"),$A76&amp;"  "&amp;$B76,"")</f>
        <v/>
      </c>
      <c r="V76">
        <f>IF(AND($B76&lt;&gt;"",$C76&lt;&gt;"Target state",$C76&lt;&gt;"Exception",$D76="Low",$E76="Medium"),$A76&amp;"  "&amp;$B76,"")</f>
        <v/>
      </c>
      <c r="W76">
        <f>IF(AND($B76&lt;&gt;"",$C76&lt;&gt;"Target state",$C76&lt;&gt;"Exception",$D76="Low",$E76="High"),$A76&amp;"  "&amp;$B76,"")</f>
        <v/>
      </c>
    </row>
    <row r="77" ht="20" customHeight="1">
      <c r="A77" s="29" t="inlineStr">
        <is>
          <t>⑧</t>
        </is>
      </c>
      <c r="B77" s="30" t="n"/>
      <c r="C77" s="31" t="n"/>
      <c r="D77" s="31" t="n"/>
      <c r="E77" s="31" t="n"/>
      <c r="F77" s="32" t="n"/>
      <c r="G77" s="33">
        <f>IF(OR($B77="",$D77="",$E77=""),"",IF(OR($C77="Target state",$C77="Exception"),"Out of scope",IF($D77="Low","No tranche",IF($E77="Low","Tranche 1",IF($E77="Medium","Tranche 2",IF($D77="High","Tranche 3","No tranche"))))))</f>
        <v/>
      </c>
      <c r="K77" s="39" t="n"/>
      <c r="L77" s="39" t="n"/>
      <c r="M77" s="39" t="n"/>
      <c r="O77">
        <f>IF(AND($B77&lt;&gt;"",$C77&lt;&gt;"Target state",$C77&lt;&gt;"Exception",$D77="High",$E77="Low"),$A77&amp;"  "&amp;$B77,"")</f>
        <v/>
      </c>
      <c r="P77">
        <f>IF(AND($B77&lt;&gt;"",$C77&lt;&gt;"Target state",$C77&lt;&gt;"Exception",$D77="High",$E77="Medium"),$A77&amp;"  "&amp;$B77,"")</f>
        <v/>
      </c>
      <c r="Q77">
        <f>IF(AND($B77&lt;&gt;"",$C77&lt;&gt;"Target state",$C77&lt;&gt;"Exception",$D77="High",$E77="High"),$A77&amp;"  "&amp;$B77,"")</f>
        <v/>
      </c>
      <c r="R77">
        <f>IF(AND($B77&lt;&gt;"",$C77&lt;&gt;"Target state",$C77&lt;&gt;"Exception",$D77="Medium",$E77="Low"),$A77&amp;"  "&amp;$B77,"")</f>
        <v/>
      </c>
      <c r="S77">
        <f>IF(AND($B77&lt;&gt;"",$C77&lt;&gt;"Target state",$C77&lt;&gt;"Exception",$D77="Medium",$E77="Medium"),$A77&amp;"  "&amp;$B77,"")</f>
        <v/>
      </c>
      <c r="T77">
        <f>IF(AND($B77&lt;&gt;"",$C77&lt;&gt;"Target state",$C77&lt;&gt;"Exception",$D77="Medium",$E77="High"),$A77&amp;"  "&amp;$B77,"")</f>
        <v/>
      </c>
      <c r="U77">
        <f>IF(AND($B77&lt;&gt;"",$C77&lt;&gt;"Target state",$C77&lt;&gt;"Exception",$D77="Low",$E77="Low"),$A77&amp;"  "&amp;$B77,"")</f>
        <v/>
      </c>
      <c r="V77">
        <f>IF(AND($B77&lt;&gt;"",$C77&lt;&gt;"Target state",$C77&lt;&gt;"Exception",$D77="Low",$E77="Medium"),$A77&amp;"  "&amp;$B77,"")</f>
        <v/>
      </c>
      <c r="W77">
        <f>IF(AND($B77&lt;&gt;"",$C77&lt;&gt;"Target state",$C77&lt;&gt;"Exception",$D77="Low",$E77="High"),$A77&amp;"  "&amp;$B77,"")</f>
        <v/>
      </c>
    </row>
    <row r="78" ht="20" customHeight="1">
      <c r="A78" s="29" t="inlineStr">
        <is>
          <t>⑨</t>
        </is>
      </c>
      <c r="B78" s="30" t="n"/>
      <c r="C78" s="31" t="n"/>
      <c r="D78" s="31" t="n"/>
      <c r="E78" s="31" t="n"/>
      <c r="F78" s="32" t="n"/>
      <c r="G78" s="33">
        <f>IF(OR($B78="",$D78="",$E78=""),"",IF(OR($C78="Target state",$C78="Exception"),"Out of scope",IF($D78="Low","No tranche",IF($E78="Low","Tranche 1",IF($E78="Medium","Tranche 2",IF($D78="High","Tranche 3","No tranche"))))))</f>
        <v/>
      </c>
      <c r="K78" s="40" t="n"/>
      <c r="L78" s="40" t="n"/>
      <c r="M78" s="40" t="n"/>
      <c r="O78">
        <f>IF(AND($B78&lt;&gt;"",$C78&lt;&gt;"Target state",$C78&lt;&gt;"Exception",$D78="High",$E78="Low"),$A78&amp;"  "&amp;$B78,"")</f>
        <v/>
      </c>
      <c r="P78">
        <f>IF(AND($B78&lt;&gt;"",$C78&lt;&gt;"Target state",$C78&lt;&gt;"Exception",$D78="High",$E78="Medium"),$A78&amp;"  "&amp;$B78,"")</f>
        <v/>
      </c>
      <c r="Q78">
        <f>IF(AND($B78&lt;&gt;"",$C78&lt;&gt;"Target state",$C78&lt;&gt;"Exception",$D78="High",$E78="High"),$A78&amp;"  "&amp;$B78,"")</f>
        <v/>
      </c>
      <c r="R78">
        <f>IF(AND($B78&lt;&gt;"",$C78&lt;&gt;"Target state",$C78&lt;&gt;"Exception",$D78="Medium",$E78="Low"),$A78&amp;"  "&amp;$B78,"")</f>
        <v/>
      </c>
      <c r="S78">
        <f>IF(AND($B78&lt;&gt;"",$C78&lt;&gt;"Target state",$C78&lt;&gt;"Exception",$D78="Medium",$E78="Medium"),$A78&amp;"  "&amp;$B78,"")</f>
        <v/>
      </c>
      <c r="T78">
        <f>IF(AND($B78&lt;&gt;"",$C78&lt;&gt;"Target state",$C78&lt;&gt;"Exception",$D78="Medium",$E78="High"),$A78&amp;"  "&amp;$B78,"")</f>
        <v/>
      </c>
      <c r="U78">
        <f>IF(AND($B78&lt;&gt;"",$C78&lt;&gt;"Target state",$C78&lt;&gt;"Exception",$D78="Low",$E78="Low"),$A78&amp;"  "&amp;$B78,"")</f>
        <v/>
      </c>
      <c r="V78">
        <f>IF(AND($B78&lt;&gt;"",$C78&lt;&gt;"Target state",$C78&lt;&gt;"Exception",$D78="Low",$E78="Medium"),$A78&amp;"  "&amp;$B78,"")</f>
        <v/>
      </c>
      <c r="W78">
        <f>IF(AND($B78&lt;&gt;"",$C78&lt;&gt;"Target state",$C78&lt;&gt;"Exception",$D78="Low",$E78="High"),$A78&amp;"  "&amp;$B78,"")</f>
        <v/>
      </c>
    </row>
    <row r="79" ht="20" customHeight="1">
      <c r="A79" s="29" t="inlineStr">
        <is>
          <t>⑩</t>
        </is>
      </c>
      <c r="B79" s="30" t="n"/>
      <c r="C79" s="31" t="n"/>
      <c r="D79" s="31" t="n"/>
      <c r="E79" s="31" t="n"/>
      <c r="F79" s="32" t="n"/>
      <c r="G79" s="33">
        <f>IF(OR($B79="",$D79="",$E79=""),"",IF(OR($C79="Target state",$C79="Exception"),"Out of scope",IF($D79="Low","No tranche",IF($E79="Low","Tranche 1",IF($E79="Medium","Tranche 2",IF($D79="High","Tranche 3","No tranche"))))))</f>
        <v/>
      </c>
      <c r="K79" s="35" t="inlineStr">
        <is>
          <t>Complexity</t>
        </is>
      </c>
      <c r="O79">
        <f>IF(AND($B79&lt;&gt;"",$C79&lt;&gt;"Target state",$C79&lt;&gt;"Exception",$D79="High",$E79="Low"),$A79&amp;"  "&amp;$B79,"")</f>
        <v/>
      </c>
      <c r="P79">
        <f>IF(AND($B79&lt;&gt;"",$C79&lt;&gt;"Target state",$C79&lt;&gt;"Exception",$D79="High",$E79="Medium"),$A79&amp;"  "&amp;$B79,"")</f>
        <v/>
      </c>
      <c r="Q79">
        <f>IF(AND($B79&lt;&gt;"",$C79&lt;&gt;"Target state",$C79&lt;&gt;"Exception",$D79="High",$E79="High"),$A79&amp;"  "&amp;$B79,"")</f>
        <v/>
      </c>
      <c r="R79">
        <f>IF(AND($B79&lt;&gt;"",$C79&lt;&gt;"Target state",$C79&lt;&gt;"Exception",$D79="Medium",$E79="Low"),$A79&amp;"  "&amp;$B79,"")</f>
        <v/>
      </c>
      <c r="S79">
        <f>IF(AND($B79&lt;&gt;"",$C79&lt;&gt;"Target state",$C79&lt;&gt;"Exception",$D79="Medium",$E79="Medium"),$A79&amp;"  "&amp;$B79,"")</f>
        <v/>
      </c>
      <c r="T79">
        <f>IF(AND($B79&lt;&gt;"",$C79&lt;&gt;"Target state",$C79&lt;&gt;"Exception",$D79="Medium",$E79="High"),$A79&amp;"  "&amp;$B79,"")</f>
        <v/>
      </c>
      <c r="U79">
        <f>IF(AND($B79&lt;&gt;"",$C79&lt;&gt;"Target state",$C79&lt;&gt;"Exception",$D79="Low",$E79="Low"),$A79&amp;"  "&amp;$B79,"")</f>
        <v/>
      </c>
      <c r="V79">
        <f>IF(AND($B79&lt;&gt;"",$C79&lt;&gt;"Target state",$C79&lt;&gt;"Exception",$D79="Low",$E79="Medium"),$A79&amp;"  "&amp;$B79,"")</f>
        <v/>
      </c>
      <c r="W79">
        <f>IF(AND($B79&lt;&gt;"",$C79&lt;&gt;"Target state",$C79&lt;&gt;"Exception",$D79="Low",$E79="High"),$A79&amp;"  "&amp;$B79,"")</f>
        <v/>
      </c>
    </row>
    <row r="82" ht="22" customHeight="1">
      <c r="A82" s="24" t="inlineStr">
        <is>
          <t>PFaaS Products</t>
        </is>
      </c>
      <c r="G82" s="25">
        <f>HYPERLINK("#'Single-out'!A4","▲ tracker")</f>
        <v/>
      </c>
      <c r="K82" s="26" t="inlineStr">
        <is>
          <t>Assessment Outcome</t>
        </is>
      </c>
    </row>
    <row r="83" ht="18" customHeight="1">
      <c r="A83" s="27" t="inlineStr">
        <is>
          <t>#</t>
        </is>
      </c>
      <c r="B83" s="27" t="inlineStr">
        <is>
          <t>Platform</t>
        </is>
      </c>
      <c r="C83" s="27" t="inlineStr">
        <is>
          <t>State</t>
        </is>
      </c>
      <c r="D83" s="27" t="inlineStr">
        <is>
          <t>Imperative to exit</t>
        </is>
      </c>
      <c r="E83" s="27" t="inlineStr">
        <is>
          <t>Exit complexity</t>
        </is>
      </c>
      <c r="F83" s="27" t="inlineStr">
        <is>
          <t>Supporting facts</t>
        </is>
      </c>
      <c r="G83" s="27" t="inlineStr">
        <is>
          <t>Tranche (auto)</t>
        </is>
      </c>
      <c r="K83" s="28" t="inlineStr">
        <is>
          <t>Low</t>
        </is>
      </c>
      <c r="L83" s="28" t="inlineStr">
        <is>
          <t>Medium</t>
        </is>
      </c>
      <c r="M83" s="28" t="inlineStr">
        <is>
          <t>High</t>
        </is>
      </c>
    </row>
    <row r="84" ht="20" customHeight="1">
      <c r="A84" s="29" t="inlineStr">
        <is>
          <t>①</t>
        </is>
      </c>
      <c r="B84" s="30" t="n"/>
      <c r="C84" s="31" t="n"/>
      <c r="D84" s="31" t="n"/>
      <c r="E84" s="31" t="n"/>
      <c r="F84" s="32" t="n"/>
      <c r="G84" s="33">
        <f>IF(OR($B84="",$D84="",$E84=""),"",IF(OR($C84="Target state",$C84="Exception"),"Out of scope",IF($D84="Low","No tranche",IF($E84="Low","Tranche 1",IF($E84="Medium","Tranche 2",IF($D84="High","Tranche 3","No tranche"))))))</f>
        <v/>
      </c>
      <c r="I84" s="34" t="inlineStr">
        <is>
          <t>Benefits</t>
        </is>
      </c>
      <c r="J84" s="35" t="inlineStr">
        <is>
          <t>High</t>
        </is>
      </c>
      <c r="K84" s="36">
        <f>"Tranche 1"&amp;CHAR(10)&amp;_xlfn.TEXTJOIN(CHAR(10),TRUE,O$84:O$93)</f>
        <v/>
      </c>
      <c r="L84" s="37">
        <f>"Tranche 2"&amp;CHAR(10)&amp;_xlfn.TEXTJOIN(CHAR(10),TRUE,P$84:P$93)</f>
        <v/>
      </c>
      <c r="M84" s="38">
        <f>"Tranche 3"&amp;CHAR(10)&amp;_xlfn.TEXTJOIN(CHAR(10),TRUE,Q$84:Q$93)</f>
        <v/>
      </c>
      <c r="O84">
        <f>IF(AND($B84&lt;&gt;"",$C84&lt;&gt;"Target state",$C84&lt;&gt;"Exception",$D84="High",$E84="Low"),$A84&amp;"  "&amp;$B84,"")</f>
        <v/>
      </c>
      <c r="P84">
        <f>IF(AND($B84&lt;&gt;"",$C84&lt;&gt;"Target state",$C84&lt;&gt;"Exception",$D84="High",$E84="Medium"),$A84&amp;"  "&amp;$B84,"")</f>
        <v/>
      </c>
      <c r="Q84">
        <f>IF(AND($B84&lt;&gt;"",$C84&lt;&gt;"Target state",$C84&lt;&gt;"Exception",$D84="High",$E84="High"),$A84&amp;"  "&amp;$B84,"")</f>
        <v/>
      </c>
      <c r="R84">
        <f>IF(AND($B84&lt;&gt;"",$C84&lt;&gt;"Target state",$C84&lt;&gt;"Exception",$D84="Medium",$E84="Low"),$A84&amp;"  "&amp;$B84,"")</f>
        <v/>
      </c>
      <c r="S84">
        <f>IF(AND($B84&lt;&gt;"",$C84&lt;&gt;"Target state",$C84&lt;&gt;"Exception",$D84="Medium",$E84="Medium"),$A84&amp;"  "&amp;$B84,"")</f>
        <v/>
      </c>
      <c r="T84">
        <f>IF(AND($B84&lt;&gt;"",$C84&lt;&gt;"Target state",$C84&lt;&gt;"Exception",$D84="Medium",$E84="High"),$A84&amp;"  "&amp;$B84,"")</f>
        <v/>
      </c>
      <c r="U84">
        <f>IF(AND($B84&lt;&gt;"",$C84&lt;&gt;"Target state",$C84&lt;&gt;"Exception",$D84="Low",$E84="Low"),$A84&amp;"  "&amp;$B84,"")</f>
        <v/>
      </c>
      <c r="V84">
        <f>IF(AND($B84&lt;&gt;"",$C84&lt;&gt;"Target state",$C84&lt;&gt;"Exception",$D84="Low",$E84="Medium"),$A84&amp;"  "&amp;$B84,"")</f>
        <v/>
      </c>
      <c r="W84">
        <f>IF(AND($B84&lt;&gt;"",$C84&lt;&gt;"Target state",$C84&lt;&gt;"Exception",$D84="Low",$E84="High"),$A84&amp;"  "&amp;$B84,"")</f>
        <v/>
      </c>
    </row>
    <row r="85" ht="20" customHeight="1">
      <c r="A85" s="29" t="inlineStr">
        <is>
          <t>②</t>
        </is>
      </c>
      <c r="B85" s="30" t="n"/>
      <c r="C85" s="31" t="n"/>
      <c r="D85" s="31" t="n"/>
      <c r="E85" s="31" t="n"/>
      <c r="F85" s="32" t="n"/>
      <c r="G85" s="33">
        <f>IF(OR($B85="",$D85="",$E85=""),"",IF(OR($C85="Target state",$C85="Exception"),"Out of scope",IF($D85="Low","No tranche",IF($E85="Low","Tranche 1",IF($E85="Medium","Tranche 2",IF($D85="High","Tranche 3","No tranche"))))))</f>
        <v/>
      </c>
      <c r="K85" s="39" t="n"/>
      <c r="L85" s="39" t="n"/>
      <c r="M85" s="39" t="n"/>
      <c r="O85">
        <f>IF(AND($B85&lt;&gt;"",$C85&lt;&gt;"Target state",$C85&lt;&gt;"Exception",$D85="High",$E85="Low"),$A85&amp;"  "&amp;$B85,"")</f>
        <v/>
      </c>
      <c r="P85">
        <f>IF(AND($B85&lt;&gt;"",$C85&lt;&gt;"Target state",$C85&lt;&gt;"Exception",$D85="High",$E85="Medium"),$A85&amp;"  "&amp;$B85,"")</f>
        <v/>
      </c>
      <c r="Q85">
        <f>IF(AND($B85&lt;&gt;"",$C85&lt;&gt;"Target state",$C85&lt;&gt;"Exception",$D85="High",$E85="High"),$A85&amp;"  "&amp;$B85,"")</f>
        <v/>
      </c>
      <c r="R85">
        <f>IF(AND($B85&lt;&gt;"",$C85&lt;&gt;"Target state",$C85&lt;&gt;"Exception",$D85="Medium",$E85="Low"),$A85&amp;"  "&amp;$B85,"")</f>
        <v/>
      </c>
      <c r="S85">
        <f>IF(AND($B85&lt;&gt;"",$C85&lt;&gt;"Target state",$C85&lt;&gt;"Exception",$D85="Medium",$E85="Medium"),$A85&amp;"  "&amp;$B85,"")</f>
        <v/>
      </c>
      <c r="T85">
        <f>IF(AND($B85&lt;&gt;"",$C85&lt;&gt;"Target state",$C85&lt;&gt;"Exception",$D85="Medium",$E85="High"),$A85&amp;"  "&amp;$B85,"")</f>
        <v/>
      </c>
      <c r="U85">
        <f>IF(AND($B85&lt;&gt;"",$C85&lt;&gt;"Target state",$C85&lt;&gt;"Exception",$D85="Low",$E85="Low"),$A85&amp;"  "&amp;$B85,"")</f>
        <v/>
      </c>
      <c r="V85">
        <f>IF(AND($B85&lt;&gt;"",$C85&lt;&gt;"Target state",$C85&lt;&gt;"Exception",$D85="Low",$E85="Medium"),$A85&amp;"  "&amp;$B85,"")</f>
        <v/>
      </c>
      <c r="W85">
        <f>IF(AND($B85&lt;&gt;"",$C85&lt;&gt;"Target state",$C85&lt;&gt;"Exception",$D85="Low",$E85="High"),$A85&amp;"  "&amp;$B85,"")</f>
        <v/>
      </c>
    </row>
    <row r="86" ht="20" customHeight="1">
      <c r="A86" s="29" t="inlineStr">
        <is>
          <t>③</t>
        </is>
      </c>
      <c r="B86" s="30" t="n"/>
      <c r="C86" s="31" t="n"/>
      <c r="D86" s="31" t="n"/>
      <c r="E86" s="31" t="n"/>
      <c r="F86" s="32" t="n"/>
      <c r="G86" s="33">
        <f>IF(OR($B86="",$D86="",$E86=""),"",IF(OR($C86="Target state",$C86="Exception"),"Out of scope",IF($D86="Low","No tranche",IF($E86="Low","Tranche 1",IF($E86="Medium","Tranche 2",IF($D86="High","Tranche 3","No tranche"))))))</f>
        <v/>
      </c>
      <c r="K86" s="40" t="n"/>
      <c r="L86" s="40" t="n"/>
      <c r="M86" s="40" t="n"/>
      <c r="O86">
        <f>IF(AND($B86&lt;&gt;"",$C86&lt;&gt;"Target state",$C86&lt;&gt;"Exception",$D86="High",$E86="Low"),$A86&amp;"  "&amp;$B86,"")</f>
        <v/>
      </c>
      <c r="P86">
        <f>IF(AND($B86&lt;&gt;"",$C86&lt;&gt;"Target state",$C86&lt;&gt;"Exception",$D86="High",$E86="Medium"),$A86&amp;"  "&amp;$B86,"")</f>
        <v/>
      </c>
      <c r="Q86">
        <f>IF(AND($B86&lt;&gt;"",$C86&lt;&gt;"Target state",$C86&lt;&gt;"Exception",$D86="High",$E86="High"),$A86&amp;"  "&amp;$B86,"")</f>
        <v/>
      </c>
      <c r="R86">
        <f>IF(AND($B86&lt;&gt;"",$C86&lt;&gt;"Target state",$C86&lt;&gt;"Exception",$D86="Medium",$E86="Low"),$A86&amp;"  "&amp;$B86,"")</f>
        <v/>
      </c>
      <c r="S86">
        <f>IF(AND($B86&lt;&gt;"",$C86&lt;&gt;"Target state",$C86&lt;&gt;"Exception",$D86="Medium",$E86="Medium"),$A86&amp;"  "&amp;$B86,"")</f>
        <v/>
      </c>
      <c r="T86">
        <f>IF(AND($B86&lt;&gt;"",$C86&lt;&gt;"Target state",$C86&lt;&gt;"Exception",$D86="Medium",$E86="High"),$A86&amp;"  "&amp;$B86,"")</f>
        <v/>
      </c>
      <c r="U86">
        <f>IF(AND($B86&lt;&gt;"",$C86&lt;&gt;"Target state",$C86&lt;&gt;"Exception",$D86="Low",$E86="Low"),$A86&amp;"  "&amp;$B86,"")</f>
        <v/>
      </c>
      <c r="V86">
        <f>IF(AND($B86&lt;&gt;"",$C86&lt;&gt;"Target state",$C86&lt;&gt;"Exception",$D86="Low",$E86="Medium"),$A86&amp;"  "&amp;$B86,"")</f>
        <v/>
      </c>
      <c r="W86">
        <f>IF(AND($B86&lt;&gt;"",$C86&lt;&gt;"Target state",$C86&lt;&gt;"Exception",$D86="Low",$E86="High"),$A86&amp;"  "&amp;$B86,"")</f>
        <v/>
      </c>
    </row>
    <row r="87" ht="20" customHeight="1">
      <c r="A87" s="29" t="inlineStr">
        <is>
          <t>④</t>
        </is>
      </c>
      <c r="B87" s="30" t="n"/>
      <c r="C87" s="31" t="n"/>
      <c r="D87" s="31" t="n"/>
      <c r="E87" s="31" t="n"/>
      <c r="F87" s="32" t="n"/>
      <c r="G87" s="33">
        <f>IF(OR($B87="",$D87="",$E87=""),"",IF(OR($C87="Target state",$C87="Exception"),"Out of scope",IF($D87="Low","No tranche",IF($E87="Low","Tranche 1",IF($E87="Medium","Tranche 2",IF($D87="High","Tranche 3","No tranche"))))))</f>
        <v/>
      </c>
      <c r="J87" s="35" t="inlineStr">
        <is>
          <t>Medium</t>
        </is>
      </c>
      <c r="K87" s="36">
        <f>"Tranche 1"&amp;CHAR(10)&amp;_xlfn.TEXTJOIN(CHAR(10),TRUE,R$84:R$93)</f>
        <v/>
      </c>
      <c r="L87" s="37">
        <f>"Tranche 2"&amp;CHAR(10)&amp;_xlfn.TEXTJOIN(CHAR(10),TRUE,S$84:S$93)</f>
        <v/>
      </c>
      <c r="M87" s="41">
        <f>_xlfn.TEXTJOIN(CHAR(10),TRUE,T$84:T$93)</f>
        <v/>
      </c>
      <c r="O87">
        <f>IF(AND($B87&lt;&gt;"",$C87&lt;&gt;"Target state",$C87&lt;&gt;"Exception",$D87="High",$E87="Low"),$A87&amp;"  "&amp;$B87,"")</f>
        <v/>
      </c>
      <c r="P87">
        <f>IF(AND($B87&lt;&gt;"",$C87&lt;&gt;"Target state",$C87&lt;&gt;"Exception",$D87="High",$E87="Medium"),$A87&amp;"  "&amp;$B87,"")</f>
        <v/>
      </c>
      <c r="Q87">
        <f>IF(AND($B87&lt;&gt;"",$C87&lt;&gt;"Target state",$C87&lt;&gt;"Exception",$D87="High",$E87="High"),$A87&amp;"  "&amp;$B87,"")</f>
        <v/>
      </c>
      <c r="R87">
        <f>IF(AND($B87&lt;&gt;"",$C87&lt;&gt;"Target state",$C87&lt;&gt;"Exception",$D87="Medium",$E87="Low"),$A87&amp;"  "&amp;$B87,"")</f>
        <v/>
      </c>
      <c r="S87">
        <f>IF(AND($B87&lt;&gt;"",$C87&lt;&gt;"Target state",$C87&lt;&gt;"Exception",$D87="Medium",$E87="Medium"),$A87&amp;"  "&amp;$B87,"")</f>
        <v/>
      </c>
      <c r="T87">
        <f>IF(AND($B87&lt;&gt;"",$C87&lt;&gt;"Target state",$C87&lt;&gt;"Exception",$D87="Medium",$E87="High"),$A87&amp;"  "&amp;$B87,"")</f>
        <v/>
      </c>
      <c r="U87">
        <f>IF(AND($B87&lt;&gt;"",$C87&lt;&gt;"Target state",$C87&lt;&gt;"Exception",$D87="Low",$E87="Low"),$A87&amp;"  "&amp;$B87,"")</f>
        <v/>
      </c>
      <c r="V87">
        <f>IF(AND($B87&lt;&gt;"",$C87&lt;&gt;"Target state",$C87&lt;&gt;"Exception",$D87="Low",$E87="Medium"),$A87&amp;"  "&amp;$B87,"")</f>
        <v/>
      </c>
      <c r="W87">
        <f>IF(AND($B87&lt;&gt;"",$C87&lt;&gt;"Target state",$C87&lt;&gt;"Exception",$D87="Low",$E87="High"),$A87&amp;"  "&amp;$B87,"")</f>
        <v/>
      </c>
    </row>
    <row r="88" ht="20" customHeight="1">
      <c r="A88" s="29" t="inlineStr">
        <is>
          <t>⑤</t>
        </is>
      </c>
      <c r="B88" s="30" t="n"/>
      <c r="C88" s="31" t="n"/>
      <c r="D88" s="31" t="n"/>
      <c r="E88" s="31" t="n"/>
      <c r="F88" s="32" t="n"/>
      <c r="G88" s="33">
        <f>IF(OR($B88="",$D88="",$E88=""),"",IF(OR($C88="Target state",$C88="Exception"),"Out of scope",IF($D88="Low","No tranche",IF($E88="Low","Tranche 1",IF($E88="Medium","Tranche 2",IF($D88="High","Tranche 3","No tranche"))))))</f>
        <v/>
      </c>
      <c r="K88" s="39" t="n"/>
      <c r="L88" s="39" t="n"/>
      <c r="M88" s="39" t="n"/>
      <c r="O88">
        <f>IF(AND($B88&lt;&gt;"",$C88&lt;&gt;"Target state",$C88&lt;&gt;"Exception",$D88="High",$E88="Low"),$A88&amp;"  "&amp;$B88,"")</f>
        <v/>
      </c>
      <c r="P88">
        <f>IF(AND($B88&lt;&gt;"",$C88&lt;&gt;"Target state",$C88&lt;&gt;"Exception",$D88="High",$E88="Medium"),$A88&amp;"  "&amp;$B88,"")</f>
        <v/>
      </c>
      <c r="Q88">
        <f>IF(AND($B88&lt;&gt;"",$C88&lt;&gt;"Target state",$C88&lt;&gt;"Exception",$D88="High",$E88="High"),$A88&amp;"  "&amp;$B88,"")</f>
        <v/>
      </c>
      <c r="R88">
        <f>IF(AND($B88&lt;&gt;"",$C88&lt;&gt;"Target state",$C88&lt;&gt;"Exception",$D88="Medium",$E88="Low"),$A88&amp;"  "&amp;$B88,"")</f>
        <v/>
      </c>
      <c r="S88">
        <f>IF(AND($B88&lt;&gt;"",$C88&lt;&gt;"Target state",$C88&lt;&gt;"Exception",$D88="Medium",$E88="Medium"),$A88&amp;"  "&amp;$B88,"")</f>
        <v/>
      </c>
      <c r="T88">
        <f>IF(AND($B88&lt;&gt;"",$C88&lt;&gt;"Target state",$C88&lt;&gt;"Exception",$D88="Medium",$E88="High"),$A88&amp;"  "&amp;$B88,"")</f>
        <v/>
      </c>
      <c r="U88">
        <f>IF(AND($B88&lt;&gt;"",$C88&lt;&gt;"Target state",$C88&lt;&gt;"Exception",$D88="Low",$E88="Low"),$A88&amp;"  "&amp;$B88,"")</f>
        <v/>
      </c>
      <c r="V88">
        <f>IF(AND($B88&lt;&gt;"",$C88&lt;&gt;"Target state",$C88&lt;&gt;"Exception",$D88="Low",$E88="Medium"),$A88&amp;"  "&amp;$B88,"")</f>
        <v/>
      </c>
      <c r="W88">
        <f>IF(AND($B88&lt;&gt;"",$C88&lt;&gt;"Target state",$C88&lt;&gt;"Exception",$D88="Low",$E88="High"),$A88&amp;"  "&amp;$B88,"")</f>
        <v/>
      </c>
    </row>
    <row r="89" ht="20" customHeight="1">
      <c r="A89" s="29" t="inlineStr">
        <is>
          <t>⑥</t>
        </is>
      </c>
      <c r="B89" s="30" t="n"/>
      <c r="C89" s="31" t="n"/>
      <c r="D89" s="31" t="n"/>
      <c r="E89" s="31" t="n"/>
      <c r="F89" s="32" t="n"/>
      <c r="G89" s="33">
        <f>IF(OR($B89="",$D89="",$E89=""),"",IF(OR($C89="Target state",$C89="Exception"),"Out of scope",IF($D89="Low","No tranche",IF($E89="Low","Tranche 1",IF($E89="Medium","Tranche 2",IF($D89="High","Tranche 3","No tranche"))))))</f>
        <v/>
      </c>
      <c r="K89" s="40" t="n"/>
      <c r="L89" s="40" t="n"/>
      <c r="M89" s="40" t="n"/>
      <c r="O89">
        <f>IF(AND($B89&lt;&gt;"",$C89&lt;&gt;"Target state",$C89&lt;&gt;"Exception",$D89="High",$E89="Low"),$A89&amp;"  "&amp;$B89,"")</f>
        <v/>
      </c>
      <c r="P89">
        <f>IF(AND($B89&lt;&gt;"",$C89&lt;&gt;"Target state",$C89&lt;&gt;"Exception",$D89="High",$E89="Medium"),$A89&amp;"  "&amp;$B89,"")</f>
        <v/>
      </c>
      <c r="Q89">
        <f>IF(AND($B89&lt;&gt;"",$C89&lt;&gt;"Target state",$C89&lt;&gt;"Exception",$D89="High",$E89="High"),$A89&amp;"  "&amp;$B89,"")</f>
        <v/>
      </c>
      <c r="R89">
        <f>IF(AND($B89&lt;&gt;"",$C89&lt;&gt;"Target state",$C89&lt;&gt;"Exception",$D89="Medium",$E89="Low"),$A89&amp;"  "&amp;$B89,"")</f>
        <v/>
      </c>
      <c r="S89">
        <f>IF(AND($B89&lt;&gt;"",$C89&lt;&gt;"Target state",$C89&lt;&gt;"Exception",$D89="Medium",$E89="Medium"),$A89&amp;"  "&amp;$B89,"")</f>
        <v/>
      </c>
      <c r="T89">
        <f>IF(AND($B89&lt;&gt;"",$C89&lt;&gt;"Target state",$C89&lt;&gt;"Exception",$D89="Medium",$E89="High"),$A89&amp;"  "&amp;$B89,"")</f>
        <v/>
      </c>
      <c r="U89">
        <f>IF(AND($B89&lt;&gt;"",$C89&lt;&gt;"Target state",$C89&lt;&gt;"Exception",$D89="Low",$E89="Low"),$A89&amp;"  "&amp;$B89,"")</f>
        <v/>
      </c>
      <c r="V89">
        <f>IF(AND($B89&lt;&gt;"",$C89&lt;&gt;"Target state",$C89&lt;&gt;"Exception",$D89="Low",$E89="Medium"),$A89&amp;"  "&amp;$B89,"")</f>
        <v/>
      </c>
      <c r="W89">
        <f>IF(AND($B89&lt;&gt;"",$C89&lt;&gt;"Target state",$C89&lt;&gt;"Exception",$D89="Low",$E89="High"),$A89&amp;"  "&amp;$B89,"")</f>
        <v/>
      </c>
    </row>
    <row r="90" ht="20" customHeight="1">
      <c r="A90" s="29" t="inlineStr">
        <is>
          <t>⑦</t>
        </is>
      </c>
      <c r="B90" s="30" t="n"/>
      <c r="C90" s="31" t="n"/>
      <c r="D90" s="31" t="n"/>
      <c r="E90" s="31" t="n"/>
      <c r="F90" s="32" t="n"/>
      <c r="G90" s="33">
        <f>IF(OR($B90="",$D90="",$E90=""),"",IF(OR($C90="Target state",$C90="Exception"),"Out of scope",IF($D90="Low","No tranche",IF($E90="Low","Tranche 1",IF($E90="Medium","Tranche 2",IF($D90="High","Tranche 3","No tranche"))))))</f>
        <v/>
      </c>
      <c r="J90" s="35" t="inlineStr">
        <is>
          <t>Low</t>
        </is>
      </c>
      <c r="K90" s="41">
        <f>_xlfn.TEXTJOIN(CHAR(10),TRUE,U$84:U$93)</f>
        <v/>
      </c>
      <c r="L90" s="41">
        <f>_xlfn.TEXTJOIN(CHAR(10),TRUE,V$84:V$93)</f>
        <v/>
      </c>
      <c r="M90" s="41">
        <f>_xlfn.TEXTJOIN(CHAR(10),TRUE,W$84:W$93)</f>
        <v/>
      </c>
      <c r="O90">
        <f>IF(AND($B90&lt;&gt;"",$C90&lt;&gt;"Target state",$C90&lt;&gt;"Exception",$D90="High",$E90="Low"),$A90&amp;"  "&amp;$B90,"")</f>
        <v/>
      </c>
      <c r="P90">
        <f>IF(AND($B90&lt;&gt;"",$C90&lt;&gt;"Target state",$C90&lt;&gt;"Exception",$D90="High",$E90="Medium"),$A90&amp;"  "&amp;$B90,"")</f>
        <v/>
      </c>
      <c r="Q90">
        <f>IF(AND($B90&lt;&gt;"",$C90&lt;&gt;"Target state",$C90&lt;&gt;"Exception",$D90="High",$E90="High"),$A90&amp;"  "&amp;$B90,"")</f>
        <v/>
      </c>
      <c r="R90">
        <f>IF(AND($B90&lt;&gt;"",$C90&lt;&gt;"Target state",$C90&lt;&gt;"Exception",$D90="Medium",$E90="Low"),$A90&amp;"  "&amp;$B90,"")</f>
        <v/>
      </c>
      <c r="S90">
        <f>IF(AND($B90&lt;&gt;"",$C90&lt;&gt;"Target state",$C90&lt;&gt;"Exception",$D90="Medium",$E90="Medium"),$A90&amp;"  "&amp;$B90,"")</f>
        <v/>
      </c>
      <c r="T90">
        <f>IF(AND($B90&lt;&gt;"",$C90&lt;&gt;"Target state",$C90&lt;&gt;"Exception",$D90="Medium",$E90="High"),$A90&amp;"  "&amp;$B90,"")</f>
        <v/>
      </c>
      <c r="U90">
        <f>IF(AND($B90&lt;&gt;"",$C90&lt;&gt;"Target state",$C90&lt;&gt;"Exception",$D90="Low",$E90="Low"),$A90&amp;"  "&amp;$B90,"")</f>
        <v/>
      </c>
      <c r="V90">
        <f>IF(AND($B90&lt;&gt;"",$C90&lt;&gt;"Target state",$C90&lt;&gt;"Exception",$D90="Low",$E90="Medium"),$A90&amp;"  "&amp;$B90,"")</f>
        <v/>
      </c>
      <c r="W90">
        <f>IF(AND($B90&lt;&gt;"",$C90&lt;&gt;"Target state",$C90&lt;&gt;"Exception",$D90="Low",$E90="High"),$A90&amp;"  "&amp;$B90,"")</f>
        <v/>
      </c>
    </row>
    <row r="91" ht="20" customHeight="1">
      <c r="A91" s="29" t="inlineStr">
        <is>
          <t>⑧</t>
        </is>
      </c>
      <c r="B91" s="30" t="n"/>
      <c r="C91" s="31" t="n"/>
      <c r="D91" s="31" t="n"/>
      <c r="E91" s="31" t="n"/>
      <c r="F91" s="32" t="n"/>
      <c r="G91" s="33">
        <f>IF(OR($B91="",$D91="",$E91=""),"",IF(OR($C91="Target state",$C91="Exception"),"Out of scope",IF($D91="Low","No tranche",IF($E91="Low","Tranche 1",IF($E91="Medium","Tranche 2",IF($D91="High","Tranche 3","No tranche"))))))</f>
        <v/>
      </c>
      <c r="K91" s="39" t="n"/>
      <c r="L91" s="39" t="n"/>
      <c r="M91" s="39" t="n"/>
      <c r="O91">
        <f>IF(AND($B91&lt;&gt;"",$C91&lt;&gt;"Target state",$C91&lt;&gt;"Exception",$D91="High",$E91="Low"),$A91&amp;"  "&amp;$B91,"")</f>
        <v/>
      </c>
      <c r="P91">
        <f>IF(AND($B91&lt;&gt;"",$C91&lt;&gt;"Target state",$C91&lt;&gt;"Exception",$D91="High",$E91="Medium"),$A91&amp;"  "&amp;$B91,"")</f>
        <v/>
      </c>
      <c r="Q91">
        <f>IF(AND($B91&lt;&gt;"",$C91&lt;&gt;"Target state",$C91&lt;&gt;"Exception",$D91="High",$E91="High"),$A91&amp;"  "&amp;$B91,"")</f>
        <v/>
      </c>
      <c r="R91">
        <f>IF(AND($B91&lt;&gt;"",$C91&lt;&gt;"Target state",$C91&lt;&gt;"Exception",$D91="Medium",$E91="Low"),$A91&amp;"  "&amp;$B91,"")</f>
        <v/>
      </c>
      <c r="S91">
        <f>IF(AND($B91&lt;&gt;"",$C91&lt;&gt;"Target state",$C91&lt;&gt;"Exception",$D91="Medium",$E91="Medium"),$A91&amp;"  "&amp;$B91,"")</f>
        <v/>
      </c>
      <c r="T91">
        <f>IF(AND($B91&lt;&gt;"",$C91&lt;&gt;"Target state",$C91&lt;&gt;"Exception",$D91="Medium",$E91="High"),$A91&amp;"  "&amp;$B91,"")</f>
        <v/>
      </c>
      <c r="U91">
        <f>IF(AND($B91&lt;&gt;"",$C91&lt;&gt;"Target state",$C91&lt;&gt;"Exception",$D91="Low",$E91="Low"),$A91&amp;"  "&amp;$B91,"")</f>
        <v/>
      </c>
      <c r="V91">
        <f>IF(AND($B91&lt;&gt;"",$C91&lt;&gt;"Target state",$C91&lt;&gt;"Exception",$D91="Low",$E91="Medium"),$A91&amp;"  "&amp;$B91,"")</f>
        <v/>
      </c>
      <c r="W91">
        <f>IF(AND($B91&lt;&gt;"",$C91&lt;&gt;"Target state",$C91&lt;&gt;"Exception",$D91="Low",$E91="High"),$A91&amp;"  "&amp;$B91,"")</f>
        <v/>
      </c>
    </row>
    <row r="92" ht="20" customHeight="1">
      <c r="A92" s="29" t="inlineStr">
        <is>
          <t>⑨</t>
        </is>
      </c>
      <c r="B92" s="30" t="n"/>
      <c r="C92" s="31" t="n"/>
      <c r="D92" s="31" t="n"/>
      <c r="E92" s="31" t="n"/>
      <c r="F92" s="32" t="n"/>
      <c r="G92" s="33">
        <f>IF(OR($B92="",$D92="",$E92=""),"",IF(OR($C92="Target state",$C92="Exception"),"Out of scope",IF($D92="Low","No tranche",IF($E92="Low","Tranche 1",IF($E92="Medium","Tranche 2",IF($D92="High","Tranche 3","No tranche"))))))</f>
        <v/>
      </c>
      <c r="K92" s="40" t="n"/>
      <c r="L92" s="40" t="n"/>
      <c r="M92" s="40" t="n"/>
      <c r="O92">
        <f>IF(AND($B92&lt;&gt;"",$C92&lt;&gt;"Target state",$C92&lt;&gt;"Exception",$D92="High",$E92="Low"),$A92&amp;"  "&amp;$B92,"")</f>
        <v/>
      </c>
      <c r="P92">
        <f>IF(AND($B92&lt;&gt;"",$C92&lt;&gt;"Target state",$C92&lt;&gt;"Exception",$D92="High",$E92="Medium"),$A92&amp;"  "&amp;$B92,"")</f>
        <v/>
      </c>
      <c r="Q92">
        <f>IF(AND($B92&lt;&gt;"",$C92&lt;&gt;"Target state",$C92&lt;&gt;"Exception",$D92="High",$E92="High"),$A92&amp;"  "&amp;$B92,"")</f>
        <v/>
      </c>
      <c r="R92">
        <f>IF(AND($B92&lt;&gt;"",$C92&lt;&gt;"Target state",$C92&lt;&gt;"Exception",$D92="Medium",$E92="Low"),$A92&amp;"  "&amp;$B92,"")</f>
        <v/>
      </c>
      <c r="S92">
        <f>IF(AND($B92&lt;&gt;"",$C92&lt;&gt;"Target state",$C92&lt;&gt;"Exception",$D92="Medium",$E92="Medium"),$A92&amp;"  "&amp;$B92,"")</f>
        <v/>
      </c>
      <c r="T92">
        <f>IF(AND($B92&lt;&gt;"",$C92&lt;&gt;"Target state",$C92&lt;&gt;"Exception",$D92="Medium",$E92="High"),$A92&amp;"  "&amp;$B92,"")</f>
        <v/>
      </c>
      <c r="U92">
        <f>IF(AND($B92&lt;&gt;"",$C92&lt;&gt;"Target state",$C92&lt;&gt;"Exception",$D92="Low",$E92="Low"),$A92&amp;"  "&amp;$B92,"")</f>
        <v/>
      </c>
      <c r="V92">
        <f>IF(AND($B92&lt;&gt;"",$C92&lt;&gt;"Target state",$C92&lt;&gt;"Exception",$D92="Low",$E92="Medium"),$A92&amp;"  "&amp;$B92,"")</f>
        <v/>
      </c>
      <c r="W92">
        <f>IF(AND($B92&lt;&gt;"",$C92&lt;&gt;"Target state",$C92&lt;&gt;"Exception",$D92="Low",$E92="High"),$A92&amp;"  "&amp;$B92,"")</f>
        <v/>
      </c>
    </row>
    <row r="93" ht="20" customHeight="1">
      <c r="A93" s="29" t="inlineStr">
        <is>
          <t>⑩</t>
        </is>
      </c>
      <c r="B93" s="30" t="n"/>
      <c r="C93" s="31" t="n"/>
      <c r="D93" s="31" t="n"/>
      <c r="E93" s="31" t="n"/>
      <c r="F93" s="32" t="n"/>
      <c r="G93" s="33">
        <f>IF(OR($B93="",$D93="",$E93=""),"",IF(OR($C93="Target state",$C93="Exception"),"Out of scope",IF($D93="Low","No tranche",IF($E93="Low","Tranche 1",IF($E93="Medium","Tranche 2",IF($D93="High","Tranche 3","No tranche"))))))</f>
        <v/>
      </c>
      <c r="K93" s="35" t="inlineStr">
        <is>
          <t>Complexity</t>
        </is>
      </c>
      <c r="O93">
        <f>IF(AND($B93&lt;&gt;"",$C93&lt;&gt;"Target state",$C93&lt;&gt;"Exception",$D93="High",$E93="Low"),$A93&amp;"  "&amp;$B93,"")</f>
        <v/>
      </c>
      <c r="P93">
        <f>IF(AND($B93&lt;&gt;"",$C93&lt;&gt;"Target state",$C93&lt;&gt;"Exception",$D93="High",$E93="Medium"),$A93&amp;"  "&amp;$B93,"")</f>
        <v/>
      </c>
      <c r="Q93">
        <f>IF(AND($B93&lt;&gt;"",$C93&lt;&gt;"Target state",$C93&lt;&gt;"Exception",$D93="High",$E93="High"),$A93&amp;"  "&amp;$B93,"")</f>
        <v/>
      </c>
      <c r="R93">
        <f>IF(AND($B93&lt;&gt;"",$C93&lt;&gt;"Target state",$C93&lt;&gt;"Exception",$D93="Medium",$E93="Low"),$A93&amp;"  "&amp;$B93,"")</f>
        <v/>
      </c>
      <c r="S93">
        <f>IF(AND($B93&lt;&gt;"",$C93&lt;&gt;"Target state",$C93&lt;&gt;"Exception",$D93="Medium",$E93="Medium"),$A93&amp;"  "&amp;$B93,"")</f>
        <v/>
      </c>
      <c r="T93">
        <f>IF(AND($B93&lt;&gt;"",$C93&lt;&gt;"Target state",$C93&lt;&gt;"Exception",$D93="Medium",$E93="High"),$A93&amp;"  "&amp;$B93,"")</f>
        <v/>
      </c>
      <c r="U93">
        <f>IF(AND($B93&lt;&gt;"",$C93&lt;&gt;"Target state",$C93&lt;&gt;"Exception",$D93="Low",$E93="Low"),$A93&amp;"  "&amp;$B93,"")</f>
        <v/>
      </c>
      <c r="V93">
        <f>IF(AND($B93&lt;&gt;"",$C93&lt;&gt;"Target state",$C93&lt;&gt;"Exception",$D93="Low",$E93="Medium"),$A93&amp;"  "&amp;$B93,"")</f>
        <v/>
      </c>
      <c r="W93">
        <f>IF(AND($B93&lt;&gt;"",$C93&lt;&gt;"Target state",$C93&lt;&gt;"Exception",$D93="Low",$E93="High"),$A93&amp;"  "&amp;$B93,"")</f>
        <v/>
      </c>
    </row>
  </sheetData>
  <mergeCells count="97">
    <mergeCell ref="I28:I36"/>
    <mergeCell ref="K70:K72"/>
    <mergeCell ref="K48:K50"/>
    <mergeCell ref="K40:M40"/>
    <mergeCell ref="L76:L78"/>
    <mergeCell ref="L34:L36"/>
    <mergeCell ref="M14:M16"/>
    <mergeCell ref="I14:I22"/>
    <mergeCell ref="M56:M58"/>
    <mergeCell ref="K82:M82"/>
    <mergeCell ref="M20:M22"/>
    <mergeCell ref="L48:L50"/>
    <mergeCell ref="A40:F40"/>
    <mergeCell ref="K76:K78"/>
    <mergeCell ref="J84:J86"/>
    <mergeCell ref="K68:M68"/>
    <mergeCell ref="K59:K61"/>
    <mergeCell ref="A82:F82"/>
    <mergeCell ref="K84:K86"/>
    <mergeCell ref="M84:M86"/>
    <mergeCell ref="J70:J72"/>
    <mergeCell ref="M45:M47"/>
    <mergeCell ref="J90:J92"/>
    <mergeCell ref="K12:M12"/>
    <mergeCell ref="K14:K16"/>
    <mergeCell ref="L90:L92"/>
    <mergeCell ref="K87:K89"/>
    <mergeCell ref="K23:M23"/>
    <mergeCell ref="M87:M89"/>
    <mergeCell ref="I42:I50"/>
    <mergeCell ref="J42:J44"/>
    <mergeCell ref="A4:C4"/>
    <mergeCell ref="K65:M65"/>
    <mergeCell ref="I84:I92"/>
    <mergeCell ref="J34:J36"/>
    <mergeCell ref="M73:M75"/>
    <mergeCell ref="J28:J30"/>
    <mergeCell ref="L28:L30"/>
    <mergeCell ref="M70:M72"/>
    <mergeCell ref="I70:I78"/>
    <mergeCell ref="J20:J22"/>
    <mergeCell ref="L14:L16"/>
    <mergeCell ref="A54:F54"/>
    <mergeCell ref="K42:K44"/>
    <mergeCell ref="J62:J64"/>
    <mergeCell ref="K17:K19"/>
    <mergeCell ref="I56:I64"/>
    <mergeCell ref="L56:L58"/>
    <mergeCell ref="M42:M44"/>
    <mergeCell ref="A26:F26"/>
    <mergeCell ref="M17:M19"/>
    <mergeCell ref="K28:K30"/>
    <mergeCell ref="J56:J58"/>
    <mergeCell ref="K62:K64"/>
    <mergeCell ref="M62:M64"/>
    <mergeCell ref="J48:J50"/>
    <mergeCell ref="J76:J78"/>
    <mergeCell ref="J17:J19"/>
    <mergeCell ref="J73:J75"/>
    <mergeCell ref="L17:L19"/>
    <mergeCell ref="M48:M50"/>
    <mergeCell ref="A68:F68"/>
    <mergeCell ref="K56:K58"/>
    <mergeCell ref="J59:J61"/>
    <mergeCell ref="K79:M79"/>
    <mergeCell ref="K90:K92"/>
    <mergeCell ref="K51:M51"/>
    <mergeCell ref="K26:M26"/>
    <mergeCell ref="M90:M92"/>
    <mergeCell ref="J45:J47"/>
    <mergeCell ref="L45:L47"/>
    <mergeCell ref="L59:L61"/>
    <mergeCell ref="L20:L22"/>
    <mergeCell ref="K73:K75"/>
    <mergeCell ref="A12:F12"/>
    <mergeCell ref="M76:M78"/>
    <mergeCell ref="L84:L86"/>
    <mergeCell ref="J31:J33"/>
    <mergeCell ref="L31:L33"/>
    <mergeCell ref="K34:K36"/>
    <mergeCell ref="J14:J16"/>
    <mergeCell ref="L70:L72"/>
    <mergeCell ref="M59:M61"/>
    <mergeCell ref="M34:M36"/>
    <mergeCell ref="K45:K47"/>
    <mergeCell ref="K93:M93"/>
    <mergeCell ref="K37:M37"/>
    <mergeCell ref="J87:J89"/>
    <mergeCell ref="K20:K22"/>
    <mergeCell ref="L87:L89"/>
    <mergeCell ref="L62:L64"/>
    <mergeCell ref="K31:K33"/>
    <mergeCell ref="M31:M33"/>
    <mergeCell ref="K54:M54"/>
    <mergeCell ref="L73:L75"/>
    <mergeCell ref="L42:L44"/>
    <mergeCell ref="M28:M30"/>
  </mergeCells>
  <conditionalFormatting sqref="A14:G23">
    <cfRule type="expression" priority="1" dxfId="0">
      <formula>OR($C14="Target state",$C14="Exception")</formula>
    </cfRule>
  </conditionalFormatting>
  <conditionalFormatting sqref="A28:G37">
    <cfRule type="expression" priority="2" dxfId="0">
      <formula>OR($C28="Target state",$C28="Exception")</formula>
    </cfRule>
  </conditionalFormatting>
  <conditionalFormatting sqref="A42:G51">
    <cfRule type="expression" priority="3" dxfId="0">
      <formula>OR($C42="Target state",$C42="Exception")</formula>
    </cfRule>
  </conditionalFormatting>
  <conditionalFormatting sqref="A56:G65">
    <cfRule type="expression" priority="4" dxfId="0">
      <formula>OR($C56="Target state",$C56="Exception")</formula>
    </cfRule>
  </conditionalFormatting>
  <conditionalFormatting sqref="A70:G79">
    <cfRule type="expression" priority="5" dxfId="0">
      <formula>OR($C70="Target state",$C70="Exception")</formula>
    </cfRule>
  </conditionalFormatting>
  <conditionalFormatting sqref="A84:G93">
    <cfRule type="expression" priority="6" dxfId="0">
      <formula>OR($C84="Target state",$C84="Exception")</formula>
    </cfRule>
  </conditionalFormatting>
  <dataValidations count="2">
    <dataValidation sqref="C14:C23 C28:C37 C42:C51 C56:C65 C70:C79 C84:C93" showDropDown="0" showInputMessage="0" showErrorMessage="0" allowBlank="1" type="list">
      <formula1>"Target state,Non-target state,Exception"</formula1>
    </dataValidation>
    <dataValidation sqref="D14:E23 D28:E37 D42:E51 D56:E65 D70:E79 D84:E93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Platform Assessment Tracker</dc:title>
  <dcterms:created xsi:type="dcterms:W3CDTF">2026-06-11T14:48:40Z</dcterms:created>
  <dcterms:modified xsi:type="dcterms:W3CDTF">2026-06-11T14:48:41Z</dcterms:modified>
</cp:coreProperties>
</file>