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Boarding" sheetId="3" state="visible" r:id="rId3"/>
    <sheet name="Single-in" sheetId="4" state="visible" r:id="rId4"/>
    <sheet name="Sales &amp; Servicing" sheetId="5" state="visible" r:id="rId5"/>
    <sheet name="Payment Processing" sheetId="6" state="visible" r:id="rId6"/>
    <sheet name="VAS" sheetId="7" state="visible" r:id="rId7"/>
    <sheet name="Unified Data and AI" sheetId="8" state="visible" r:id="rId8"/>
    <sheet name="Global Infrastructure" sheetId="9" state="visible" r:id="rId9"/>
    <sheet name="Single-ou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595959"/>
      <sz val="10"/>
    </font>
    <font>
      <color rgb="000563C1"/>
      <sz val="10"/>
      <u val="single"/>
    </font>
    <font>
      <b val="1"/>
      <color rgb="001F4E79"/>
      <sz val="11"/>
    </font>
    <font>
      <color rgb="00404040"/>
      <sz val="10"/>
    </font>
    <font>
      <b val="1"/>
      <color rgb="00595959"/>
      <sz val="9"/>
    </font>
    <font>
      <color rgb="0017375E"/>
      <sz val="9"/>
    </font>
    <font>
      <i val="1"/>
      <color rgb="00595959"/>
      <sz val="9"/>
    </font>
    <font>
      <b val="1"/>
      <color rgb="001F4E79"/>
      <sz val="15"/>
    </font>
    <font>
      <b val="1"/>
      <color rgb="001F4E79"/>
      <sz val="10"/>
    </font>
    <font>
      <color rgb="00595959"/>
      <sz val="10"/>
    </font>
    <font>
      <b val="1"/>
      <color rgb="00FFFFFF"/>
      <sz val="11"/>
    </font>
    <font>
      <color rgb="00FFFFFF"/>
      <sz val="9"/>
      <u val="single"/>
    </font>
    <font>
      <b val="1"/>
      <color rgb="001F4E79"/>
      <sz val="9"/>
    </font>
    <font>
      <color rgb="001F4E79"/>
      <sz val="11"/>
    </font>
    <font>
      <sz val="10"/>
    </font>
    <font>
      <sz val="9"/>
    </font>
    <font>
      <i val="1"/>
      <color rgb="001F4E79"/>
      <sz val="9"/>
    </font>
    <font>
      <b val="1"/>
      <color rgb="00595959"/>
      <sz val="10"/>
    </font>
    <font>
      <color rgb="00404040"/>
      <sz val="9"/>
    </font>
    <font>
      <color rgb="00595959"/>
      <sz val="9"/>
    </font>
    <font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CDE4F5"/>
        <bgColor rgb="00CDE4F5"/>
      </patternFill>
    </fill>
    <fill>
      <patternFill patternType="solid">
        <fgColor rgb="00FFF2CC"/>
        <bgColor rgb="00FFF2CC"/>
      </patternFill>
    </fill>
    <fill>
      <patternFill patternType="solid">
        <fgColor rgb="00FBE2D5"/>
        <bgColor rgb="00FBE2D5"/>
      </patternFill>
    </fill>
    <fill>
      <patternFill patternType="solid">
        <fgColor rgb="00D9D9D9"/>
        <bgColor rgb="00D9D9D9"/>
      </patternFill>
    </fill>
    <fill>
      <patternFill patternType="solid">
        <fgColor rgb="001F4E79"/>
        <bgColor rgb="001F4E79"/>
      </patternFill>
    </fill>
    <fill>
      <patternFill patternType="solid">
        <fgColor rgb="00EDF2F8"/>
        <bgColor rgb="00EDF2F8"/>
      </patternFill>
    </fill>
  </fills>
  <borders count="10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4472C4"/>
      </left>
      <right/>
      <top/>
      <bottom/>
      <diagonal/>
    </border>
    <border>
      <left style="thin">
        <color rgb="004472C4"/>
      </left>
      <right style="thin">
        <color rgb="004472C4"/>
      </right>
      <top/>
      <bottom/>
      <diagonal/>
    </border>
    <border>
      <left style="thin">
        <color rgb="004472C4"/>
      </left>
      <right style="thin">
        <color rgb="004472C4"/>
      </right>
      <top/>
      <bottom style="thin">
        <color rgb="004472C4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top style="medium">
        <color rgb="001F4E79"/>
      </top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 indent="1"/>
    </xf>
    <xf numFmtId="0" fontId="0" fillId="3" borderId="0" pivotButton="0" quotePrefix="0" xfId="0"/>
    <xf numFmtId="0" fontId="5" fillId="4" borderId="0" applyAlignment="1" pivotButton="0" quotePrefix="0" xfId="0">
      <alignment vertical="center" indent="1"/>
    </xf>
    <xf numFmtId="0" fontId="0" fillId="4" borderId="0" pivotButton="0" quotePrefix="0" xfId="0"/>
    <xf numFmtId="0" fontId="5" fillId="5" borderId="0" applyAlignment="1" pivotButton="0" quotePrefix="0" xfId="0">
      <alignment vertical="center" indent="1"/>
    </xf>
    <xf numFmtId="0" fontId="0" fillId="5" borderId="0" pivotButton="0" quotePrefix="0" xfId="0"/>
    <xf numFmtId="0" fontId="5" fillId="6" borderId="0" applyAlignment="1" pivotButton="0" quotePrefix="0" xfId="0">
      <alignment vertical="center" indent="1"/>
    </xf>
    <xf numFmtId="0" fontId="0" fillId="6" borderId="0" pivotButton="0" quotePrefix="0" xfId="0"/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indent="1"/>
    </xf>
    <xf numFmtId="0" fontId="10" fillId="0" borderId="0" pivotButton="0" quotePrefix="0" xfId="0"/>
    <xf numFmtId="0" fontId="21" fillId="0" borderId="0" pivotButton="0" quotePrefix="0" xfId="0"/>
    <xf numFmtId="0" fontId="22" fillId="7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 indent="1"/>
    </xf>
    <xf numFmtId="0" fontId="16" fillId="0" borderId="2" applyAlignment="1" pivotButton="0" quotePrefix="0" xfId="0">
      <alignment vertical="center"/>
    </xf>
    <xf numFmtId="0" fontId="17" fillId="0" borderId="2" applyAlignment="1" pivotButton="0" quotePrefix="0" xfId="0">
      <alignment vertical="center" wrapText="1" indent="1"/>
    </xf>
    <xf numFmtId="0" fontId="16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0" fillId="0" borderId="9" applyAlignment="1" pivotButton="0" quotePrefix="0" xfId="0">
      <alignment horizontal="right" indent="1"/>
    </xf>
    <xf numFmtId="0" fontId="10" fillId="0" borderId="9" applyAlignment="1" pivotButton="0" quotePrefix="0" xfId="0">
      <alignment horizontal="center"/>
    </xf>
    <xf numFmtId="0" fontId="9" fillId="0" borderId="0" pivotButton="0" quotePrefix="0" xfId="0"/>
    <xf numFmtId="0" fontId="8" fillId="0" borderId="0" pivotButton="0" quotePrefix="0" xfId="0"/>
    <xf numFmtId="0" fontId="10" fillId="2" borderId="0" applyAlignment="1" pivotButton="0" quotePrefix="0" xfId="0">
      <alignment vertical="center" indent="1"/>
    </xf>
    <xf numFmtId="0" fontId="11" fillId="0" borderId="0" applyAlignment="1" pivotButton="0" quotePrefix="0" xfId="0">
      <alignment horizontal="right"/>
    </xf>
    <xf numFmtId="0" fontId="12" fillId="7" borderId="0" applyAlignment="1" pivotButton="0" quotePrefix="0" xfId="0">
      <alignment vertical="center" indent="1"/>
    </xf>
    <xf numFmtId="0" fontId="13" fillId="7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vertical="center" indent="1"/>
    </xf>
    <xf numFmtId="0" fontId="18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/>
    </xf>
    <xf numFmtId="0" fontId="19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top" wrapText="1" indent="1"/>
    </xf>
    <xf numFmtId="0" fontId="7" fillId="4" borderId="1" applyAlignment="1" pivotButton="0" quotePrefix="0" xfId="0">
      <alignment horizontal="left" vertical="top" wrapText="1" indent="1"/>
    </xf>
    <xf numFmtId="0" fontId="7" fillId="5" borderId="1" applyAlignment="1" pivotButton="0" quotePrefix="0" xfId="0">
      <alignment horizontal="left" vertical="top" wrapText="1" indent="1"/>
    </xf>
    <xf numFmtId="0" fontId="0" fillId="0" borderId="4" pivotButton="0" quotePrefix="0" xfId="0"/>
    <xf numFmtId="0" fontId="0" fillId="0" borderId="5" pivotButton="0" quotePrefix="0" xfId="0"/>
    <xf numFmtId="0" fontId="20" fillId="6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1">
    <dxf>
      <font>
        <color rgb="00A6A6A6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1:H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B1" s="1" t="inlineStr">
        <is>
          <t>Exhibit B — Non-target platform tranching</t>
        </is>
      </c>
    </row>
    <row r="2">
      <c r="B2" s="2" t="inlineStr">
        <is>
          <t>TAM 2.0  ·  read this before filling in your capability tab — the exercise itself takes about 15 minutes per area.</t>
        </is>
      </c>
    </row>
    <row r="3">
      <c r="B3" s="3">
        <f>HYPERLINK("#'Summary'!A1","Open the Summary →")</f>
        <v/>
      </c>
    </row>
    <row r="5">
      <c r="B5" s="4" t="inlineStr">
        <is>
          <t>What this is</t>
        </is>
      </c>
      <c r="C5" s="5" t="n"/>
      <c r="D5" s="5" t="n"/>
      <c r="E5" s="5" t="n"/>
      <c r="F5" s="5" t="n"/>
      <c r="G5" s="5" t="n"/>
      <c r="H5" s="5" t="n"/>
    </row>
    <row r="6">
      <c r="B6" s="6" t="inlineStr">
        <is>
          <t>Every capability tab lists the current-state platforms per sub-capability. Mark each platform Target / Non-target / Exception, score the non-target ones High / Medium / Low on two dimensions, and the sheet dispositions them into Tranche 1 / 2 / 3 — the matrix and the Summary update automatically.</t>
        </is>
      </c>
    </row>
    <row r="7">
      <c r="B7" s="6" t="inlineStr">
        <is>
          <t>This feeds the investment thesis (due end of June): which dollars and pods can be freed up right away to redirect, versus what takes longer. Classification only — pod sizing for the exits is a separate, later step.</t>
        </is>
      </c>
    </row>
    <row r="9">
      <c r="B9" s="4" t="inlineStr">
        <is>
          <t>The three states</t>
        </is>
      </c>
      <c r="C9" s="5" t="n"/>
      <c r="D9" s="5" t="n"/>
      <c r="E9" s="5" t="n"/>
      <c r="F9" s="5" t="n"/>
      <c r="G9" s="5" t="n"/>
      <c r="H9" s="5" t="n"/>
    </row>
    <row r="10">
      <c r="B10" s="6" t="inlineStr">
        <is>
          <t>Target state — go-forward platform. No scoring needed; the row grays out and drops off the matrix.</t>
        </is>
      </c>
    </row>
    <row r="11">
      <c r="B11" s="6" t="inlineStr">
        <is>
          <t>Non-target state — platform we intend to exit. Score both dimensions; it lands in a tranche.</t>
        </is>
      </c>
    </row>
    <row r="12">
      <c r="B12" s="6" t="inlineStr">
        <is>
          <t>Exception — stays for now for a documented reason (capture it under Supporting facts); ideally exits eventually. Grays out like target state.</t>
        </is>
      </c>
    </row>
    <row r="14">
      <c r="B14" s="4" t="inlineStr">
        <is>
          <t>The tranches</t>
        </is>
      </c>
      <c r="C14" s="5" t="n"/>
      <c r="D14" s="5" t="n"/>
      <c r="E14" s="5" t="n"/>
      <c r="F14" s="5" t="n"/>
      <c r="G14" s="5" t="n"/>
      <c r="H14" s="5" t="n"/>
    </row>
    <row r="15">
      <c r="B15" s="7" t="inlineStr">
        <is>
          <t>Tranche 1 — quick exits we can get out of fairly fast; frees up dollars and pods right away.</t>
        </is>
      </c>
      <c r="C15" s="8" t="n"/>
      <c r="D15" s="8" t="n"/>
      <c r="E15" s="8" t="n"/>
      <c r="F15" s="8" t="n"/>
      <c r="G15" s="8" t="n"/>
      <c r="H15" s="8" t="n"/>
    </row>
    <row r="16">
      <c r="B16" s="9" t="inlineStr">
        <is>
          <t>Tranche 2 — slightly more complex; some nuances and a somewhat longer timeline.</t>
        </is>
      </c>
      <c r="C16" s="10" t="n"/>
      <c r="D16" s="10" t="n"/>
      <c r="E16" s="10" t="n"/>
      <c r="F16" s="10" t="n"/>
      <c r="G16" s="10" t="n"/>
      <c r="H16" s="10" t="n"/>
    </row>
    <row r="17">
      <c r="B17" s="11" t="inlineStr">
        <is>
          <t>Tranche 3 — the most complex exits on a progressive timeline (e.g., Edge).</t>
        </is>
      </c>
      <c r="C17" s="12" t="n"/>
      <c r="D17" s="12" t="n"/>
      <c r="E17" s="12" t="n"/>
      <c r="F17" s="12" t="n"/>
      <c r="G17" s="12" t="n"/>
      <c r="H17" s="12" t="n"/>
    </row>
    <row r="18">
      <c r="B18" s="13" t="inlineStr">
        <is>
          <t>No tranche — low imperative to exit, or medium imperative with high exit complexity; revisit later. Either way: no net-new investment on non-target platforms — critical / high-priority maintenance only.</t>
        </is>
      </c>
      <c r="C18" s="14" t="n"/>
      <c r="D18" s="14" t="n"/>
      <c r="E18" s="14" t="n"/>
      <c r="F18" s="14" t="n"/>
      <c r="G18" s="14" t="n"/>
      <c r="H18" s="14" t="n"/>
    </row>
    <row r="20">
      <c r="B20" s="4" t="inlineStr">
        <is>
          <t>How a platform lands in a tranche</t>
        </is>
      </c>
      <c r="C20" s="5" t="n"/>
      <c r="D20" s="5" t="n"/>
      <c r="E20" s="5" t="n"/>
      <c r="F20" s="5" t="n"/>
      <c r="G20" s="5" t="n"/>
      <c r="H20" s="5" t="n"/>
    </row>
    <row r="21">
      <c r="C21" s="15" t="inlineStr">
        <is>
          <t>Low</t>
        </is>
      </c>
      <c r="D21" s="15" t="inlineStr">
        <is>
          <t>Medium</t>
        </is>
      </c>
      <c r="E21" s="15" t="inlineStr">
        <is>
          <t>High</t>
        </is>
      </c>
    </row>
    <row r="22" ht="18" customHeight="1">
      <c r="B22" s="16" t="inlineStr">
        <is>
          <t>High</t>
        </is>
      </c>
      <c r="C22" s="17" t="inlineStr">
        <is>
          <t>Tranche 1</t>
        </is>
      </c>
      <c r="D22" s="18" t="inlineStr">
        <is>
          <t>Tranche 2</t>
        </is>
      </c>
      <c r="E22" s="19" t="inlineStr">
        <is>
          <t>Tranche 3</t>
        </is>
      </c>
    </row>
    <row r="23" ht="18" customHeight="1">
      <c r="B23" s="16" t="inlineStr">
        <is>
          <t>Medium</t>
        </is>
      </c>
      <c r="C23" s="17" t="inlineStr">
        <is>
          <t>Tranche 1</t>
        </is>
      </c>
      <c r="D23" s="18" t="inlineStr">
        <is>
          <t>Tranche 2</t>
        </is>
      </c>
      <c r="E23" s="20" t="inlineStr">
        <is>
          <t>—</t>
        </is>
      </c>
    </row>
    <row r="24" ht="18" customHeight="1">
      <c r="B24" s="16" t="inlineStr">
        <is>
          <t>Low</t>
        </is>
      </c>
      <c r="C24" s="20" t="inlineStr">
        <is>
          <t>—</t>
        </is>
      </c>
      <c r="D24" s="20" t="inlineStr">
        <is>
          <t>—</t>
        </is>
      </c>
      <c r="E24" s="20" t="inlineStr">
        <is>
          <t>—</t>
        </is>
      </c>
    </row>
    <row r="25">
      <c r="B25" s="21" t="inlineStr">
        <is>
          <t>Rows: Imperative to exit (= Benefits)   ·   Columns: Exit complexity</t>
        </is>
      </c>
    </row>
    <row r="27">
      <c r="B27" s="4" t="inlineStr">
        <is>
          <t>Scoring guidance (assessment criteria)</t>
        </is>
      </c>
      <c r="C27" s="5" t="n"/>
      <c r="D27" s="5" t="n"/>
      <c r="E27" s="5" t="n"/>
      <c r="F27" s="5" t="n"/>
      <c r="G27" s="5" t="n"/>
      <c r="H27" s="5" t="n"/>
    </row>
    <row r="28">
      <c r="B28" s="6" t="inlineStr">
        <is>
          <t>Imperative to exit (= Benefits) — cost savings / avoidance (pods freed up, vendor licensing eliminated, budgeted spend avoided), risk reduction (aging infrastructure, EOL posture, security / vendor risk), downstream enablement (migrations that can't proceed until the platform converges).</t>
        </is>
      </c>
    </row>
    <row r="29">
      <c r="B29" s="6" t="inlineStr">
        <is>
          <t>Exit complexity — gap in target-platform readiness (target not yet live, capability gaps to close), migration effort (customer / transaction volume, partner involvement), tech &amp; integration lift (incremental pods, migration length, integration depth into the heritage estate).</t>
        </is>
      </c>
    </row>
    <row r="31">
      <c r="B31" s="4" t="inlineStr">
        <is>
          <t>How to fill in your tab</t>
        </is>
      </c>
      <c r="C31" s="5" t="n"/>
      <c r="D31" s="5" t="n"/>
      <c r="E31" s="5" t="n"/>
      <c r="F31" s="5" t="n"/>
      <c r="G31" s="5" t="n"/>
      <c r="H31" s="5" t="n"/>
    </row>
    <row r="32">
      <c r="B32" s="22" t="inlineStr">
        <is>
          <t>1.  Open the Summary, find your sub-capability and click Open → (or use the tracker at the top of each capability tab).</t>
        </is>
      </c>
    </row>
    <row r="33">
      <c r="B33" s="22" t="inlineStr">
        <is>
          <t>2.  Check the platform list is complete for your area — include everything in current state, also platforms already flagged non-strategic in the TAM platform repository (those are exactly the ones to get rid of).</t>
        </is>
      </c>
    </row>
    <row r="34">
      <c r="B34" s="22" t="inlineStr">
        <is>
          <t>3.  Set State for each platform: Target state / Non-target state / Exception.</t>
        </is>
      </c>
    </row>
    <row r="35">
      <c r="B35" s="22" t="inlineStr">
        <is>
          <t>4.  For non-target platforms set Imperative to exit (= Benefits) and Exit complexity to High / Medium / Low — the Tranche column and the matrix update automatically.</t>
        </is>
      </c>
    </row>
    <row r="36">
      <c r="B36" s="22" t="inlineStr">
        <is>
          <t>5.  Add one or two lines of backing rationale under Supporting facts.</t>
        </is>
      </c>
    </row>
    <row r="38">
      <c r="B38" s="4" t="inlineStr">
        <is>
          <t>Ground rules</t>
        </is>
      </c>
      <c r="C38" s="5" t="n"/>
      <c r="D38" s="5" t="n"/>
      <c r="E38" s="5" t="n"/>
      <c r="F38" s="5" t="n"/>
      <c r="G38" s="5" t="n"/>
      <c r="H38" s="5" t="n"/>
    </row>
    <row r="39">
      <c r="B39" s="6" t="inlineStr">
        <is>
          <t>Directionally correct beats precise — this is a first cut with brief backing facts, not a science project. Office hours are scheduled per domain to review and refine.</t>
        </is>
      </c>
    </row>
    <row r="40">
      <c r="B40" s="6" t="inlineStr">
        <is>
          <t>Payment Processing → Gateway and Boarding → Boarding Experience contain illustrative examples — replace them with real data.</t>
        </is>
      </c>
    </row>
    <row r="41">
      <c r="B41" s="6" t="inlineStr">
        <is>
          <t>Questions before your session: raise them in the domain office hours or drop them in Supporting facts.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I57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30" customWidth="1" min="4" max="4"/>
    <col width="14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>
      <c r="A1" s="1" t="inlineStr">
        <is>
          <t>Platform Assessment — Summary</t>
        </is>
      </c>
    </row>
    <row r="2">
      <c r="A2" s="2" t="inlineStr">
        <is>
          <t>Tranche roll-up by capability and sub-capability — counts update automatically from each tab.</t>
        </is>
      </c>
    </row>
    <row r="4">
      <c r="A4" s="23" t="inlineStr">
        <is>
          <t>How it works:</t>
        </is>
      </c>
    </row>
    <row r="5">
      <c r="A5" s="24" t="inlineStr">
        <is>
          <t>•  Start with the Read me tab — state and tranche definitions, scoring guidance and step-by-step instructions.</t>
        </is>
      </c>
    </row>
    <row r="6">
      <c r="A6" s="24" t="inlineStr">
        <is>
          <t>•  Every capability tab has a tracker at the top — click a sub-capability to jump straight to its section; each section links back.</t>
        </is>
      </c>
    </row>
    <row r="7">
      <c r="A7" s="24" t="inlineStr">
        <is>
          <t>•  For each platform pick a State: Target state and Exception rows gray out automatically and drop off the matrix; Non-target rows stay lit.</t>
        </is>
      </c>
    </row>
    <row r="8">
      <c r="A8" s="24" t="inlineStr">
        <is>
          <t>•  Score Imperative to exit (= Benefits) and Exit complexity (High / Medium / Low) — the Tranche column computes itself and the matrix bubbles (① + platform name) re-plot live.</t>
        </is>
      </c>
    </row>
    <row r="9">
      <c r="A9" s="24" t="inlineStr">
        <is>
          <t>•  Tranche rules: Low complexity → Tranche 1  ·  Medium complexity → Tranche 2  ·  High complexity + High imperative → Tranche 3  ·  Low imperative (or Medium imperative + High complexity) → no tranche.</t>
        </is>
      </c>
    </row>
    <row r="10">
      <c r="A10" s="24" t="inlineStr">
        <is>
          <t>•  Payment Processing → Gateway and Boarding → Boarding Experience are pre-seeded with illustrative examples — replace them with real data.</t>
        </is>
      </c>
    </row>
    <row r="11">
      <c r="A11" s="24" t="inlineStr">
        <is>
          <t>•  Built for desktop Excel 2016 or later (no macros).</t>
        </is>
      </c>
    </row>
    <row r="13" ht="24" customHeight="1">
      <c r="A13" s="25" t="inlineStr">
        <is>
          <t>#</t>
        </is>
      </c>
      <c r="B13" s="25" t="inlineStr">
        <is>
          <t>Capability</t>
        </is>
      </c>
      <c r="C13" s="25" t="inlineStr">
        <is>
          <t>Sub-capability</t>
        </is>
      </c>
      <c r="D13" s="25" t="inlineStr">
        <is>
          <t>SPOCs</t>
        </is>
      </c>
      <c r="E13" s="25" t="inlineStr">
        <is>
          <t>Platforms listed</t>
        </is>
      </c>
      <c r="F13" s="26" t="inlineStr">
        <is>
          <t>Tranche 1</t>
        </is>
      </c>
      <c r="G13" s="27" t="inlineStr">
        <is>
          <t>Tranche 2</t>
        </is>
      </c>
      <c r="H13" s="28" t="inlineStr">
        <is>
          <t>Tranche 3</t>
        </is>
      </c>
      <c r="I13" s="25" t="inlineStr">
        <is>
          <t>Open</t>
        </is>
      </c>
    </row>
    <row r="14" ht="58" customHeight="1">
      <c r="A14" s="29" t="n">
        <v>1</v>
      </c>
      <c r="B14" s="30" t="inlineStr">
        <is>
          <t>Boarding</t>
        </is>
      </c>
      <c r="C14" s="31" t="inlineStr">
        <is>
          <t>Boarding Experience</t>
        </is>
      </c>
      <c r="D14" s="32" t="inlineStr">
        <is>
          <t>• Alan Johnson
• Lindsay Guthmiller
• Fredrick Mjema
• David Pritchett</t>
        </is>
      </c>
      <c r="E14" s="33">
        <f>COUNTA('Boarding'!$B$14:$B$23)</f>
        <v/>
      </c>
      <c r="F14" s="33">
        <f>COUNTIF('Boarding'!$G$14:$G$23,"Tranche 1")</f>
        <v/>
      </c>
      <c r="G14" s="33">
        <f>COUNTIF('Boarding'!$G$14:$G$23,"Tranche 2")</f>
        <v/>
      </c>
      <c r="H14" s="33">
        <f>COUNTIF('Boarding'!$G$14:$G$23,"Tranche 3")</f>
        <v/>
      </c>
      <c r="I14" s="34">
        <f>HYPERLINK("#'Boarding'!A12","Open →")</f>
        <v/>
      </c>
    </row>
    <row r="15" ht="18" customHeight="1">
      <c r="A15" s="29" t="n">
        <v>2</v>
      </c>
      <c r="B15" s="35" t="n"/>
      <c r="C15" s="31" t="inlineStr">
        <is>
          <t>Ingress</t>
        </is>
      </c>
      <c r="D15" s="32" t="inlineStr"/>
      <c r="E15" s="33">
        <f>COUNTA('Boarding'!$B$28:$B$37)</f>
        <v/>
      </c>
      <c r="F15" s="33">
        <f>COUNTIF('Boarding'!$G$28:$G$37,"Tranche 1")</f>
        <v/>
      </c>
      <c r="G15" s="33">
        <f>COUNTIF('Boarding'!$G$28:$G$37,"Tranche 2")</f>
        <v/>
      </c>
      <c r="H15" s="33">
        <f>COUNTIF('Boarding'!$G$28:$G$37,"Tranche 3")</f>
        <v/>
      </c>
      <c r="I15" s="34">
        <f>HYPERLINK("#'Boarding'!A26","Open →")</f>
        <v/>
      </c>
    </row>
    <row r="16" ht="71" customHeight="1">
      <c r="A16" s="29" t="n">
        <v>3</v>
      </c>
      <c r="B16" s="35" t="n"/>
      <c r="C16" s="31" t="inlineStr">
        <is>
          <t>Boarding Orchestration</t>
        </is>
      </c>
      <c r="D16" s="32" t="inlineStr">
        <is>
          <t>• Alan Johnson
• Vivek Pujeri
• Patrick Bateman
• Rebecca Fishel
• Bradley Bossenbroek</t>
        </is>
      </c>
      <c r="E16" s="33">
        <f>COUNTA('Boarding'!$B$42:$B$51)</f>
        <v/>
      </c>
      <c r="F16" s="33">
        <f>COUNTIF('Boarding'!$G$42:$G$51,"Tranche 1")</f>
        <v/>
      </c>
      <c r="G16" s="33">
        <f>COUNTIF('Boarding'!$G$42:$G$51,"Tranche 2")</f>
        <v/>
      </c>
      <c r="H16" s="33">
        <f>COUNTIF('Boarding'!$G$42:$G$51,"Tranche 3")</f>
        <v/>
      </c>
      <c r="I16" s="34">
        <f>HYPERLINK("#'Boarding'!A40","Open →")</f>
        <v/>
      </c>
    </row>
    <row r="17" ht="18" customHeight="1">
      <c r="A17" s="29" t="n">
        <v>4</v>
      </c>
      <c r="B17" s="35" t="n"/>
      <c r="C17" s="31" t="inlineStr">
        <is>
          <t>Integration &amp; Messaging</t>
        </is>
      </c>
      <c r="D17" s="32" t="inlineStr"/>
      <c r="E17" s="33">
        <f>COUNTA('Boarding'!$B$56:$B$65)</f>
        <v/>
      </c>
      <c r="F17" s="33">
        <f>COUNTIF('Boarding'!$G$56:$G$65,"Tranche 1")</f>
        <v/>
      </c>
      <c r="G17" s="33">
        <f>COUNTIF('Boarding'!$G$56:$G$65,"Tranche 2")</f>
        <v/>
      </c>
      <c r="H17" s="33">
        <f>COUNTIF('Boarding'!$G$56:$G$65,"Tranche 3")</f>
        <v/>
      </c>
      <c r="I17" s="34">
        <f>HYPERLINK("#'Boarding'!A54","Open →")</f>
        <v/>
      </c>
    </row>
    <row r="18" ht="18" customHeight="1">
      <c r="A18" s="29" t="n">
        <v>5</v>
      </c>
      <c r="B18" s="35" t="n"/>
      <c r="C18" s="31" t="inlineStr">
        <is>
          <t>Credit &amp; Underwriting</t>
        </is>
      </c>
      <c r="D18" s="32" t="inlineStr"/>
      <c r="E18" s="33">
        <f>COUNTA('Boarding'!$B$70:$B$79)</f>
        <v/>
      </c>
      <c r="F18" s="33">
        <f>COUNTIF('Boarding'!$G$70:$G$79,"Tranche 1")</f>
        <v/>
      </c>
      <c r="G18" s="33">
        <f>COUNTIF('Boarding'!$G$70:$G$79,"Tranche 2")</f>
        <v/>
      </c>
      <c r="H18" s="33">
        <f>COUNTIF('Boarding'!$G$70:$G$79,"Tranche 3")</f>
        <v/>
      </c>
      <c r="I18" s="34">
        <f>HYPERLINK("#'Boarding'!A68","Open →")</f>
        <v/>
      </c>
    </row>
    <row r="19" ht="18" customHeight="1">
      <c r="A19" s="29" t="n">
        <v>6</v>
      </c>
      <c r="B19" s="36" t="n"/>
      <c r="C19" s="31" t="inlineStr">
        <is>
          <t>CPQ / Quote-pricing</t>
        </is>
      </c>
      <c r="D19" s="32" t="inlineStr"/>
      <c r="E19" s="33">
        <f>COUNTA('Boarding'!$B$84:$B$93)</f>
        <v/>
      </c>
      <c r="F19" s="33">
        <f>COUNTIF('Boarding'!$G$84:$G$93,"Tranche 1")</f>
        <v/>
      </c>
      <c r="G19" s="33">
        <f>COUNTIF('Boarding'!$G$84:$G$93,"Tranche 2")</f>
        <v/>
      </c>
      <c r="H19" s="33">
        <f>COUNTIF('Boarding'!$G$84:$G$93,"Tranche 3")</f>
        <v/>
      </c>
      <c r="I19" s="34">
        <f>HYPERLINK("#'Boarding'!A82","Open →")</f>
        <v/>
      </c>
    </row>
    <row r="20" ht="19" customHeight="1">
      <c r="A20" s="29" t="n">
        <v>7</v>
      </c>
      <c r="B20" s="30" t="inlineStr">
        <is>
          <t>Single-in</t>
        </is>
      </c>
      <c r="C20" s="31" t="inlineStr">
        <is>
          <t>Global API</t>
        </is>
      </c>
      <c r="D20" s="32" t="inlineStr">
        <is>
          <t>• Alexander Dewison</t>
        </is>
      </c>
      <c r="E20" s="33">
        <f>COUNTA('Single-in'!$B$13:$B$22)</f>
        <v/>
      </c>
      <c r="F20" s="33">
        <f>COUNTIF('Single-in'!$G$13:$G$22,"Tranche 1")</f>
        <v/>
      </c>
      <c r="G20" s="33">
        <f>COUNTIF('Single-in'!$G$13:$G$22,"Tranche 2")</f>
        <v/>
      </c>
      <c r="H20" s="33">
        <f>COUNTIF('Single-in'!$G$13:$G$22,"Tranche 3")</f>
        <v/>
      </c>
      <c r="I20" s="34">
        <f>HYPERLINK("#'Single-in'!A11","Open →")</f>
        <v/>
      </c>
    </row>
    <row r="21" ht="32" customHeight="1">
      <c r="A21" s="29" t="n">
        <v>8</v>
      </c>
      <c r="B21" s="35" t="n"/>
      <c r="C21" s="31" t="inlineStr">
        <is>
          <t>Payment Apps &amp; SDKs</t>
        </is>
      </c>
      <c r="D21" s="32" t="inlineStr">
        <is>
          <t>• Stuart Taylor
• Scott Moser</t>
        </is>
      </c>
      <c r="E21" s="33">
        <f>COUNTA('Single-in'!$B$27:$B$36)</f>
        <v/>
      </c>
      <c r="F21" s="33">
        <f>COUNTIF('Single-in'!$G$27:$G$36,"Tranche 1")</f>
        <v/>
      </c>
      <c r="G21" s="33">
        <f>COUNTIF('Single-in'!$G$27:$G$36,"Tranche 2")</f>
        <v/>
      </c>
      <c r="H21" s="33">
        <f>COUNTIF('Single-in'!$G$27:$G$36,"Tranche 3")</f>
        <v/>
      </c>
      <c r="I21" s="34">
        <f>HYPERLINK("#'Single-in'!A25","Open →")</f>
        <v/>
      </c>
    </row>
    <row r="22" ht="19" customHeight="1">
      <c r="A22" s="29" t="n">
        <v>9</v>
      </c>
      <c r="B22" s="35" t="n"/>
      <c r="C22" s="31" t="inlineStr">
        <is>
          <t>Developer Experience</t>
        </is>
      </c>
      <c r="D22" s="32" t="inlineStr">
        <is>
          <t>• Alexander Dewison</t>
        </is>
      </c>
      <c r="E22" s="33">
        <f>COUNTA('Single-in'!$B$41:$B$50)</f>
        <v/>
      </c>
      <c r="F22" s="33">
        <f>COUNTIF('Single-in'!$G$41:$G$50,"Tranche 1")</f>
        <v/>
      </c>
      <c r="G22" s="33">
        <f>COUNTIF('Single-in'!$G$41:$G$50,"Tranche 2")</f>
        <v/>
      </c>
      <c r="H22" s="33">
        <f>COUNTIF('Single-in'!$G$41:$G$50,"Tranche 3")</f>
        <v/>
      </c>
      <c r="I22" s="34">
        <f>HYPERLINK("#'Single-in'!A39","Open →")</f>
        <v/>
      </c>
    </row>
    <row r="23" ht="19" customHeight="1">
      <c r="A23" s="29" t="n">
        <v>10</v>
      </c>
      <c r="B23" s="35" t="n"/>
      <c r="C23" s="31" t="inlineStr">
        <is>
          <t>Hosted Solutions</t>
        </is>
      </c>
      <c r="D23" s="32" t="inlineStr">
        <is>
          <t>• Alexander Dewison</t>
        </is>
      </c>
      <c r="E23" s="33">
        <f>COUNTA('Single-in'!$B$55:$B$64)</f>
        <v/>
      </c>
      <c r="F23" s="33">
        <f>COUNTIF('Single-in'!$G$55:$G$64,"Tranche 1")</f>
        <v/>
      </c>
      <c r="G23" s="33">
        <f>COUNTIF('Single-in'!$G$55:$G$64,"Tranche 2")</f>
        <v/>
      </c>
      <c r="H23" s="33">
        <f>COUNTIF('Single-in'!$G$55:$G$64,"Tranche 3")</f>
        <v/>
      </c>
      <c r="I23" s="34">
        <f>HYPERLINK("#'Single-in'!A53","Open →")</f>
        <v/>
      </c>
    </row>
    <row r="24" ht="19" customHeight="1">
      <c r="A24" s="29" t="n">
        <v>11</v>
      </c>
      <c r="B24" s="36" t="n"/>
      <c r="C24" s="31" t="inlineStr">
        <is>
          <t>Unified Proposition</t>
        </is>
      </c>
      <c r="D24" s="32" t="inlineStr">
        <is>
          <t>• Alexander Dewison</t>
        </is>
      </c>
      <c r="E24" s="33">
        <f>COUNTA('Single-in'!$B$69:$B$78)</f>
        <v/>
      </c>
      <c r="F24" s="33">
        <f>COUNTIF('Single-in'!$G$69:$G$78,"Tranche 1")</f>
        <v/>
      </c>
      <c r="G24" s="33">
        <f>COUNTIF('Single-in'!$G$69:$G$78,"Tranche 2")</f>
        <v/>
      </c>
      <c r="H24" s="33">
        <f>COUNTIF('Single-in'!$G$69:$G$78,"Tranche 3")</f>
        <v/>
      </c>
      <c r="I24" s="34">
        <f>HYPERLINK("#'Single-in'!A67","Open →")</f>
        <v/>
      </c>
    </row>
    <row r="25" ht="84" customHeight="1">
      <c r="A25" s="29" t="n">
        <v>12</v>
      </c>
      <c r="B25" s="30" t="inlineStr">
        <is>
          <t>Sales &amp; Servicing</t>
        </is>
      </c>
      <c r="C25" s="31" t="inlineStr">
        <is>
          <t>CRM</t>
        </is>
      </c>
      <c r="D25" s="32" t="inlineStr">
        <is>
          <t>• Khali White
• Lindsay Guthmiller
• Tuarai Girard
• Vivek Pujeri
• Charlie Wright
• Jason Randall</t>
        </is>
      </c>
      <c r="E25" s="33">
        <f>COUNTA('Sales &amp; Servicing'!$B$12:$B$21)</f>
        <v/>
      </c>
      <c r="F25" s="33">
        <f>COUNTIF('Sales &amp; Servicing'!$G$12:$G$21,"Tranche 1")</f>
        <v/>
      </c>
      <c r="G25" s="33">
        <f>COUNTIF('Sales &amp; Servicing'!$G$12:$G$21,"Tranche 2")</f>
        <v/>
      </c>
      <c r="H25" s="33">
        <f>COUNTIF('Sales &amp; Servicing'!$G$12:$G$21,"Tranche 3")</f>
        <v/>
      </c>
      <c r="I25" s="34">
        <f>HYPERLINK("#'Sales &amp; Servicing'!A10","Open →")</f>
        <v/>
      </c>
    </row>
    <row r="26" ht="84" customHeight="1">
      <c r="A26" s="29" t="n">
        <v>13</v>
      </c>
      <c r="B26" s="35" t="n"/>
      <c r="C26" s="31" t="inlineStr">
        <is>
          <t>Servicing Tools</t>
        </is>
      </c>
      <c r="D26" s="32" t="inlineStr">
        <is>
          <t>• Khali White
• Lindsay Guthmiller
• Tuarai Girard
• Vivek Pujeri
• Charlie Wright
• Jason Randall</t>
        </is>
      </c>
      <c r="E26" s="33">
        <f>COUNTA('Sales &amp; Servicing'!$B$26:$B$35)</f>
        <v/>
      </c>
      <c r="F26" s="33">
        <f>COUNTIF('Sales &amp; Servicing'!$G$26:$G$35,"Tranche 1")</f>
        <v/>
      </c>
      <c r="G26" s="33">
        <f>COUNTIF('Sales &amp; Servicing'!$G$26:$G$35,"Tranche 2")</f>
        <v/>
      </c>
      <c r="H26" s="33">
        <f>COUNTIF('Sales &amp; Servicing'!$G$26:$G$35,"Tranche 3")</f>
        <v/>
      </c>
      <c r="I26" s="34">
        <f>HYPERLINK("#'Sales &amp; Servicing'!A24","Open →")</f>
        <v/>
      </c>
    </row>
    <row r="27" ht="19" customHeight="1">
      <c r="A27" s="29" t="n">
        <v>14</v>
      </c>
      <c r="B27" s="35" t="n"/>
      <c r="C27" s="31" t="inlineStr">
        <is>
          <t>Sales Automation</t>
        </is>
      </c>
      <c r="D27" s="32" t="inlineStr">
        <is>
          <t>• Jake Gwinn</t>
        </is>
      </c>
      <c r="E27" s="33">
        <f>COUNTA('Sales &amp; Servicing'!$B$40:$B$49)</f>
        <v/>
      </c>
      <c r="F27" s="33">
        <f>COUNTIF('Sales &amp; Servicing'!$G$40:$G$49,"Tranche 1")</f>
        <v/>
      </c>
      <c r="G27" s="33">
        <f>COUNTIF('Sales &amp; Servicing'!$G$40:$G$49,"Tranche 2")</f>
        <v/>
      </c>
      <c r="H27" s="33">
        <f>COUNTIF('Sales &amp; Servicing'!$G$40:$G$49,"Tranche 3")</f>
        <v/>
      </c>
      <c r="I27" s="34">
        <f>HYPERLINK("#'Sales &amp; Servicing'!A38","Open →")</f>
        <v/>
      </c>
    </row>
    <row r="28" ht="18" customHeight="1">
      <c r="A28" s="29" t="n">
        <v>15</v>
      </c>
      <c r="B28" s="36" t="n"/>
      <c r="C28" s="31" t="inlineStr">
        <is>
          <t>Risks</t>
        </is>
      </c>
      <c r="D28" s="32" t="inlineStr"/>
      <c r="E28" s="33">
        <f>COUNTA('Sales &amp; Servicing'!$B$54:$B$63)</f>
        <v/>
      </c>
      <c r="F28" s="33">
        <f>COUNTIF('Sales &amp; Servicing'!$G$54:$G$63,"Tranche 1")</f>
        <v/>
      </c>
      <c r="G28" s="33">
        <f>COUNTIF('Sales &amp; Servicing'!$G$54:$G$63,"Tranche 2")</f>
        <v/>
      </c>
      <c r="H28" s="33">
        <f>COUNTIF('Sales &amp; Servicing'!$G$54:$G$63,"Tranche 3")</f>
        <v/>
      </c>
      <c r="I28" s="34">
        <f>HYPERLINK("#'Sales &amp; Servicing'!A52","Open →")</f>
        <v/>
      </c>
    </row>
    <row r="29" ht="18" customHeight="1">
      <c r="A29" s="29" t="n">
        <v>16</v>
      </c>
      <c r="B29" s="30" t="inlineStr">
        <is>
          <t>Payment Processing</t>
        </is>
      </c>
      <c r="C29" s="31" t="inlineStr">
        <is>
          <t>Gateway</t>
        </is>
      </c>
      <c r="D29" s="32" t="inlineStr"/>
      <c r="E29" s="33">
        <f>COUNTA('Payment Processing'!$B$14:$B$23)</f>
        <v/>
      </c>
      <c r="F29" s="33">
        <f>COUNTIF('Payment Processing'!$G$14:$G$23,"Tranche 1")</f>
        <v/>
      </c>
      <c r="G29" s="33">
        <f>COUNTIF('Payment Processing'!$G$14:$G$23,"Tranche 2")</f>
        <v/>
      </c>
      <c r="H29" s="33">
        <f>COUNTIF('Payment Processing'!$G$14:$G$23,"Tranche 3")</f>
        <v/>
      </c>
      <c r="I29" s="34">
        <f>HYPERLINK("#'Payment Processing'!A12","Open →")</f>
        <v/>
      </c>
    </row>
    <row r="30" ht="18" customHeight="1">
      <c r="A30" s="29" t="n">
        <v>17</v>
      </c>
      <c r="B30" s="35" t="n"/>
      <c r="C30" s="31" t="inlineStr">
        <is>
          <t>Switch</t>
        </is>
      </c>
      <c r="D30" s="32" t="inlineStr"/>
      <c r="E30" s="33">
        <f>COUNTA('Payment Processing'!$B$28:$B$37)</f>
        <v/>
      </c>
      <c r="F30" s="33">
        <f>COUNTIF('Payment Processing'!$G$28:$G$37,"Tranche 1")</f>
        <v/>
      </c>
      <c r="G30" s="33">
        <f>COUNTIF('Payment Processing'!$G$28:$G$37,"Tranche 2")</f>
        <v/>
      </c>
      <c r="H30" s="33">
        <f>COUNTIF('Payment Processing'!$G$28:$G$37,"Tranche 3")</f>
        <v/>
      </c>
      <c r="I30" s="34">
        <f>HYPERLINK("#'Payment Processing'!A26","Open →")</f>
        <v/>
      </c>
    </row>
    <row r="31" ht="84" customHeight="1">
      <c r="A31" s="29" t="n">
        <v>18</v>
      </c>
      <c r="B31" s="35" t="n"/>
      <c r="C31" s="31" t="inlineStr">
        <is>
          <t>Clearing Back-end</t>
        </is>
      </c>
      <c r="D31" s="32" t="inlineStr">
        <is>
          <t>• Mike Clark
• Philip Ringer
• Jon Beere
• Alan Bainbridge
• Richard Jones
• Peter Downey</t>
        </is>
      </c>
      <c r="E31" s="33">
        <f>COUNTA('Payment Processing'!$B$42:$B$51)</f>
        <v/>
      </c>
      <c r="F31" s="33">
        <f>COUNTIF('Payment Processing'!$G$42:$G$51,"Tranche 1")</f>
        <v/>
      </c>
      <c r="G31" s="33">
        <f>COUNTIF('Payment Processing'!$G$42:$G$51,"Tranche 2")</f>
        <v/>
      </c>
      <c r="H31" s="33">
        <f>COUNTIF('Payment Processing'!$G$42:$G$51,"Tranche 3")</f>
        <v/>
      </c>
      <c r="I31" s="34">
        <f>HYPERLINK("#'Payment Processing'!A40","Open →")</f>
        <v/>
      </c>
    </row>
    <row r="32" ht="71" customHeight="1">
      <c r="A32" s="29" t="n">
        <v>19</v>
      </c>
      <c r="B32" s="35" t="n"/>
      <c r="C32" s="31" t="inlineStr">
        <is>
          <t>Authorization Host</t>
        </is>
      </c>
      <c r="D32" s="32" t="inlineStr">
        <is>
          <t>• Mike Clark
• Philip Ringer
• Jon Beere
• Anushree Kolhe
• James Annunziata</t>
        </is>
      </c>
      <c r="E32" s="33">
        <f>COUNTA('Payment Processing'!$B$56:$B$65)</f>
        <v/>
      </c>
      <c r="F32" s="33">
        <f>COUNTIF('Payment Processing'!$G$56:$G$65,"Tranche 1")</f>
        <v/>
      </c>
      <c r="G32" s="33">
        <f>COUNTIF('Payment Processing'!$G$56:$G$65,"Tranche 2")</f>
        <v/>
      </c>
      <c r="H32" s="33">
        <f>COUNTIF('Payment Processing'!$G$56:$G$65,"Tranche 3")</f>
        <v/>
      </c>
      <c r="I32" s="34">
        <f>HYPERLINK("#'Payment Processing'!A54","Open →")</f>
        <v/>
      </c>
    </row>
    <row r="33" ht="18" customHeight="1">
      <c r="A33" s="29" t="n">
        <v>20</v>
      </c>
      <c r="B33" s="35" t="n"/>
      <c r="C33" s="31" t="inlineStr">
        <is>
          <t>Transaction monitoring</t>
        </is>
      </c>
      <c r="D33" s="32" t="inlineStr"/>
      <c r="E33" s="33">
        <f>COUNTA('Payment Processing'!$B$70:$B$79)</f>
        <v/>
      </c>
      <c r="F33" s="33">
        <f>COUNTIF('Payment Processing'!$G$70:$G$79,"Tranche 1")</f>
        <v/>
      </c>
      <c r="G33" s="33">
        <f>COUNTIF('Payment Processing'!$G$70:$G$79,"Tranche 2")</f>
        <v/>
      </c>
      <c r="H33" s="33">
        <f>COUNTIF('Payment Processing'!$G$70:$G$79,"Tranche 3")</f>
        <v/>
      </c>
      <c r="I33" s="34">
        <f>HYPERLINK("#'Payment Processing'!A68","Open →")</f>
        <v/>
      </c>
    </row>
    <row r="34" ht="18" customHeight="1">
      <c r="A34" s="29" t="n">
        <v>21</v>
      </c>
      <c r="B34" s="36" t="n"/>
      <c r="C34" s="31" t="inlineStr">
        <is>
          <t>APMs/LPMs</t>
        </is>
      </c>
      <c r="D34" s="32" t="inlineStr"/>
      <c r="E34" s="33">
        <f>COUNTA('Payment Processing'!$B$84:$B$93)</f>
        <v/>
      </c>
      <c r="F34" s="33">
        <f>COUNTIF('Payment Processing'!$G$84:$G$93,"Tranche 1")</f>
        <v/>
      </c>
      <c r="G34" s="33">
        <f>COUNTIF('Payment Processing'!$G$84:$G$93,"Tranche 2")</f>
        <v/>
      </c>
      <c r="H34" s="33">
        <f>COUNTIF('Payment Processing'!$G$84:$G$93,"Tranche 3")</f>
        <v/>
      </c>
      <c r="I34" s="34">
        <f>HYPERLINK("#'Payment Processing'!A82","Open →")</f>
        <v/>
      </c>
    </row>
    <row r="35" ht="58" customHeight="1">
      <c r="A35" s="29" t="n">
        <v>22</v>
      </c>
      <c r="B35" s="30" t="inlineStr">
        <is>
          <t>VAS</t>
        </is>
      </c>
      <c r="C35" s="31" t="inlineStr">
        <is>
          <t>Routing</t>
        </is>
      </c>
      <c r="D35" s="32" t="inlineStr">
        <is>
          <t>• Jason Harding
• Srini Turlapati
• Andre Dubreuil
• Sunny Thakkar</t>
        </is>
      </c>
      <c r="E35" s="33">
        <f>COUNTA('VAS'!$B$17:$B$26)</f>
        <v/>
      </c>
      <c r="F35" s="33">
        <f>COUNTIF('VAS'!$G$17:$G$26,"Tranche 1")</f>
        <v/>
      </c>
      <c r="G35" s="33">
        <f>COUNTIF('VAS'!$G$17:$G$26,"Tranche 2")</f>
        <v/>
      </c>
      <c r="H35" s="33">
        <f>COUNTIF('VAS'!$G$17:$G$26,"Tranche 3")</f>
        <v/>
      </c>
      <c r="I35" s="34">
        <f>HYPERLINK("#'VAS'!A15","Open →")</f>
        <v/>
      </c>
    </row>
    <row r="36" ht="32" customHeight="1">
      <c r="A36" s="29" t="n">
        <v>23</v>
      </c>
      <c r="B36" s="35" t="n"/>
      <c r="C36" s="31" t="inlineStr">
        <is>
          <t>Networking Payment Tokens</t>
        </is>
      </c>
      <c r="D36" s="32" t="inlineStr">
        <is>
          <t>• Jason Harding
• Srini Turlapati</t>
        </is>
      </c>
      <c r="E36" s="33">
        <f>COUNTA('VAS'!$B$31:$B$40)</f>
        <v/>
      </c>
      <c r="F36" s="33">
        <f>COUNTIF('VAS'!$G$31:$G$40,"Tranche 1")</f>
        <v/>
      </c>
      <c r="G36" s="33">
        <f>COUNTIF('VAS'!$G$31:$G$40,"Tranche 2")</f>
        <v/>
      </c>
      <c r="H36" s="33">
        <f>COUNTIF('VAS'!$G$31:$G$40,"Tranche 3")</f>
        <v/>
      </c>
      <c r="I36" s="34">
        <f>HYPERLINK("#'VAS'!A29","Open →")</f>
        <v/>
      </c>
    </row>
    <row r="37" ht="45" customHeight="1">
      <c r="A37" s="29" t="n">
        <v>24</v>
      </c>
      <c r="B37" s="35" t="n"/>
      <c r="C37" s="31" t="inlineStr">
        <is>
          <t>DCC eDCC</t>
        </is>
      </c>
      <c r="D37" s="32" t="inlineStr">
        <is>
          <t>• Marcus Lang
• VikramSuhas Joshi
• Jaroslav Farkas</t>
        </is>
      </c>
      <c r="E37" s="33">
        <f>COUNTA('VAS'!$B$45:$B$54)</f>
        <v/>
      </c>
      <c r="F37" s="33">
        <f>COUNTIF('VAS'!$G$45:$G$54,"Tranche 1")</f>
        <v/>
      </c>
      <c r="G37" s="33">
        <f>COUNTIF('VAS'!$G$45:$G$54,"Tranche 2")</f>
        <v/>
      </c>
      <c r="H37" s="33">
        <f>COUNTIF('VAS'!$G$45:$G$54,"Tranche 3")</f>
        <v/>
      </c>
      <c r="I37" s="34">
        <f>HYPERLINK("#'VAS'!A43","Open →")</f>
        <v/>
      </c>
    </row>
    <row r="38" ht="32" customHeight="1">
      <c r="A38" s="29" t="n">
        <v>25</v>
      </c>
      <c r="B38" s="35" t="n"/>
      <c r="C38" s="31" t="inlineStr">
        <is>
          <t>Fraud</t>
        </is>
      </c>
      <c r="D38" s="32" t="inlineStr">
        <is>
          <t>• Justin Moore
• Srini Turlapati</t>
        </is>
      </c>
      <c r="E38" s="33">
        <f>COUNTA('VAS'!$B$59:$B$68)</f>
        <v/>
      </c>
      <c r="F38" s="33">
        <f>COUNTIF('VAS'!$G$59:$G$68,"Tranche 1")</f>
        <v/>
      </c>
      <c r="G38" s="33">
        <f>COUNTIF('VAS'!$G$59:$G$68,"Tranche 2")</f>
        <v/>
      </c>
      <c r="H38" s="33">
        <f>COUNTIF('VAS'!$G$59:$G$68,"Tranche 3")</f>
        <v/>
      </c>
      <c r="I38" s="34">
        <f>HYPERLINK("#'VAS'!A57","Open →")</f>
        <v/>
      </c>
    </row>
    <row r="39" ht="45" customHeight="1">
      <c r="A39" s="29" t="n">
        <v>26</v>
      </c>
      <c r="B39" s="35" t="n"/>
      <c r="C39" s="31" t="inlineStr">
        <is>
          <t>Credential Management</t>
        </is>
      </c>
      <c r="D39" s="32" t="inlineStr">
        <is>
          <t>• Jason Harding
• Srini Turlapati
• Andre Dubreuil</t>
        </is>
      </c>
      <c r="E39" s="33">
        <f>COUNTA('VAS'!$B$73:$B$82)</f>
        <v/>
      </c>
      <c r="F39" s="33">
        <f>COUNTIF('VAS'!$G$73:$G$82,"Tranche 1")</f>
        <v/>
      </c>
      <c r="G39" s="33">
        <f>COUNTIF('VAS'!$G$73:$G$82,"Tranche 2")</f>
        <v/>
      </c>
      <c r="H39" s="33">
        <f>COUNTIF('VAS'!$G$73:$G$82,"Tranche 3")</f>
        <v/>
      </c>
      <c r="I39" s="34">
        <f>HYPERLINK("#'VAS'!A71","Open →")</f>
        <v/>
      </c>
    </row>
    <row r="40" ht="45" customHeight="1">
      <c r="A40" s="29" t="n">
        <v>27</v>
      </c>
      <c r="B40" s="35" t="n"/>
      <c r="C40" s="31" t="inlineStr">
        <is>
          <t>Gifts</t>
        </is>
      </c>
      <c r="D40" s="32" t="inlineStr">
        <is>
          <t>• Genessa Prictor
• Srini Turlapati
• John Nail</t>
        </is>
      </c>
      <c r="E40" s="33">
        <f>COUNTA('VAS'!$B$87:$B$96)</f>
        <v/>
      </c>
      <c r="F40" s="33">
        <f>COUNTIF('VAS'!$G$87:$G$96,"Tranche 1")</f>
        <v/>
      </c>
      <c r="G40" s="33">
        <f>COUNTIF('VAS'!$G$87:$G$96,"Tranche 2")</f>
        <v/>
      </c>
      <c r="H40" s="33">
        <f>COUNTIF('VAS'!$G$87:$G$96,"Tranche 3")</f>
        <v/>
      </c>
      <c r="I40" s="34">
        <f>HYPERLINK("#'VAS'!A85","Open →")</f>
        <v/>
      </c>
    </row>
    <row r="41" ht="45" customHeight="1">
      <c r="A41" s="29" t="n">
        <v>28</v>
      </c>
      <c r="B41" s="35" t="n"/>
      <c r="C41" s="31" t="inlineStr">
        <is>
          <t>Managed Optimization</t>
        </is>
      </c>
      <c r="D41" s="32" t="inlineStr">
        <is>
          <t>• Jason Harding
• Srini Turlapati
• Andre Dubreuil</t>
        </is>
      </c>
      <c r="E41" s="33">
        <f>COUNTA('VAS'!$B$101:$B$110)</f>
        <v/>
      </c>
      <c r="F41" s="33">
        <f>COUNTIF('VAS'!$G$101:$G$110,"Tranche 1")</f>
        <v/>
      </c>
      <c r="G41" s="33">
        <f>COUNTIF('VAS'!$G$101:$G$110,"Tranche 2")</f>
        <v/>
      </c>
      <c r="H41" s="33">
        <f>COUNTIF('VAS'!$G$101:$G$110,"Tranche 3")</f>
        <v/>
      </c>
      <c r="I41" s="34">
        <f>HYPERLINK("#'VAS'!A99","Open →")</f>
        <v/>
      </c>
    </row>
    <row r="42" ht="32" customHeight="1">
      <c r="A42" s="29" t="n">
        <v>29</v>
      </c>
      <c r="B42" s="35" t="n"/>
      <c r="C42" s="31" t="inlineStr">
        <is>
          <t>3DS / exemptions</t>
        </is>
      </c>
      <c r="D42" s="32" t="inlineStr">
        <is>
          <t>• Sunny Thakkar
• Srini Turlapati</t>
        </is>
      </c>
      <c r="E42" s="33">
        <f>COUNTA('VAS'!$B$115:$B$124)</f>
        <v/>
      </c>
      <c r="F42" s="33">
        <f>COUNTIF('VAS'!$G$115:$G$124,"Tranche 1")</f>
        <v/>
      </c>
      <c r="G42" s="33">
        <f>COUNTIF('VAS'!$G$115:$G$124,"Tranche 2")</f>
        <v/>
      </c>
      <c r="H42" s="33">
        <f>COUNTIF('VAS'!$G$115:$G$124,"Tranche 3")</f>
        <v/>
      </c>
      <c r="I42" s="34">
        <f>HYPERLINK("#'VAS'!A113","Open →")</f>
        <v/>
      </c>
    </row>
    <row r="43" ht="32" customHeight="1">
      <c r="A43" s="29" t="n">
        <v>30</v>
      </c>
      <c r="B43" s="36" t="n"/>
      <c r="C43" s="31" t="inlineStr">
        <is>
          <t>FX</t>
        </is>
      </c>
      <c r="D43" s="32" t="inlineStr">
        <is>
          <t>• Srini Turlapati
• VikramSuhas Joshi</t>
        </is>
      </c>
      <c r="E43" s="33">
        <f>COUNTA('VAS'!$B$129:$B$138)</f>
        <v/>
      </c>
      <c r="F43" s="33">
        <f>COUNTIF('VAS'!$G$129:$G$138,"Tranche 1")</f>
        <v/>
      </c>
      <c r="G43" s="33">
        <f>COUNTIF('VAS'!$G$129:$G$138,"Tranche 2")</f>
        <v/>
      </c>
      <c r="H43" s="33">
        <f>COUNTIF('VAS'!$G$129:$G$138,"Tranche 3")</f>
        <v/>
      </c>
      <c r="I43" s="34">
        <f>HYPERLINK("#'VAS'!A127","Open →")</f>
        <v/>
      </c>
    </row>
    <row r="44" ht="32" customHeight="1">
      <c r="A44" s="29" t="n">
        <v>31</v>
      </c>
      <c r="B44" s="30" t="inlineStr">
        <is>
          <t>Unified Data and AI</t>
        </is>
      </c>
      <c r="C44" s="31" t="inlineStr">
        <is>
          <t>Overall</t>
        </is>
      </c>
      <c r="D44" s="32" t="inlineStr">
        <is>
          <t>• Ryan Heaton
• Himanshu Shah</t>
        </is>
      </c>
      <c r="E44" s="33">
        <f>COUNTA('Unified Data and AI'!$B$9:$B$18)</f>
        <v/>
      </c>
      <c r="F44" s="33">
        <f>COUNTIF('Unified Data and AI'!$G$9:$G$18,"Tranche 1")</f>
        <v/>
      </c>
      <c r="G44" s="33">
        <f>COUNTIF('Unified Data and AI'!$G$9:$G$18,"Tranche 2")</f>
        <v/>
      </c>
      <c r="H44" s="33">
        <f>COUNTIF('Unified Data and AI'!$G$9:$G$18,"Tranche 3")</f>
        <v/>
      </c>
      <c r="I44" s="34">
        <f>HYPERLINK("#'Unified Data and AI'!A7","Open →")</f>
        <v/>
      </c>
    </row>
    <row r="45" ht="18" customHeight="1">
      <c r="A45" s="29" t="n">
        <v>32</v>
      </c>
      <c r="B45" s="30" t="inlineStr">
        <is>
          <t>Global Infrastructure</t>
        </is>
      </c>
      <c r="C45" s="31" t="inlineStr">
        <is>
          <t>Data Centers</t>
        </is>
      </c>
      <c r="D45" s="32" t="inlineStr"/>
      <c r="E45" s="33">
        <f>COUNTA('Global Infrastructure'!$B$14:$B$23)</f>
        <v/>
      </c>
      <c r="F45" s="33">
        <f>COUNTIF('Global Infrastructure'!$G$14:$G$23,"Tranche 1")</f>
        <v/>
      </c>
      <c r="G45" s="33">
        <f>COUNTIF('Global Infrastructure'!$G$14:$G$23,"Tranche 2")</f>
        <v/>
      </c>
      <c r="H45" s="33">
        <f>COUNTIF('Global Infrastructure'!$G$14:$G$23,"Tranche 3")</f>
        <v/>
      </c>
      <c r="I45" s="34">
        <f>HYPERLINK("#'Global Infrastructure'!A12","Open →")</f>
        <v/>
      </c>
    </row>
    <row r="46" ht="18" customHeight="1">
      <c r="A46" s="29" t="n">
        <v>33</v>
      </c>
      <c r="B46" s="35" t="n"/>
      <c r="C46" s="31" t="inlineStr">
        <is>
          <t>Cloud</t>
        </is>
      </c>
      <c r="D46" s="32" t="inlineStr"/>
      <c r="E46" s="33">
        <f>COUNTA('Global Infrastructure'!$B$28:$B$37)</f>
        <v/>
      </c>
      <c r="F46" s="33">
        <f>COUNTIF('Global Infrastructure'!$G$28:$G$37,"Tranche 1")</f>
        <v/>
      </c>
      <c r="G46" s="33">
        <f>COUNTIF('Global Infrastructure'!$G$28:$G$37,"Tranche 2")</f>
        <v/>
      </c>
      <c r="H46" s="33">
        <f>COUNTIF('Global Infrastructure'!$G$28:$G$37,"Tranche 3")</f>
        <v/>
      </c>
      <c r="I46" s="34">
        <f>HYPERLINK("#'Global Infrastructure'!A26","Open →")</f>
        <v/>
      </c>
    </row>
    <row r="47" ht="18" customHeight="1">
      <c r="A47" s="29" t="n">
        <v>34</v>
      </c>
      <c r="B47" s="35" t="n"/>
      <c r="C47" s="31" t="inlineStr">
        <is>
          <t>Observability</t>
        </is>
      </c>
      <c r="D47" s="32" t="inlineStr"/>
      <c r="E47" s="33">
        <f>COUNTA('Global Infrastructure'!$B$42:$B$51)</f>
        <v/>
      </c>
      <c r="F47" s="33">
        <f>COUNTIF('Global Infrastructure'!$G$42:$G$51,"Tranche 1")</f>
        <v/>
      </c>
      <c r="G47" s="33">
        <f>COUNTIF('Global Infrastructure'!$G$42:$G$51,"Tranche 2")</f>
        <v/>
      </c>
      <c r="H47" s="33">
        <f>COUNTIF('Global Infrastructure'!$G$42:$G$51,"Tranche 3")</f>
        <v/>
      </c>
      <c r="I47" s="34">
        <f>HYPERLINK("#'Global Infrastructure'!A40","Open →")</f>
        <v/>
      </c>
    </row>
    <row r="48" ht="18" customHeight="1">
      <c r="A48" s="29" t="n">
        <v>35</v>
      </c>
      <c r="B48" s="35" t="n"/>
      <c r="C48" s="31" t="inlineStr">
        <is>
          <t>Security</t>
        </is>
      </c>
      <c r="D48" s="32" t="inlineStr"/>
      <c r="E48" s="33">
        <f>COUNTA('Global Infrastructure'!$B$56:$B$65)</f>
        <v/>
      </c>
      <c r="F48" s="33">
        <f>COUNTIF('Global Infrastructure'!$G$56:$G$65,"Tranche 1")</f>
        <v/>
      </c>
      <c r="G48" s="33">
        <f>COUNTIF('Global Infrastructure'!$G$56:$G$65,"Tranche 2")</f>
        <v/>
      </c>
      <c r="H48" s="33">
        <f>COUNTIF('Global Infrastructure'!$G$56:$G$65,"Tranche 3")</f>
        <v/>
      </c>
      <c r="I48" s="34">
        <f>HYPERLINK("#'Global Infrastructure'!A54","Open →")</f>
        <v/>
      </c>
    </row>
    <row r="49" ht="18" customHeight="1">
      <c r="A49" s="29" t="n">
        <v>36</v>
      </c>
      <c r="B49" s="35" t="n"/>
      <c r="C49" s="31" t="inlineStr">
        <is>
          <t>AI Tools</t>
        </is>
      </c>
      <c r="D49" s="32" t="inlineStr"/>
      <c r="E49" s="33">
        <f>COUNTA('Global Infrastructure'!$B$70:$B$79)</f>
        <v/>
      </c>
      <c r="F49" s="33">
        <f>COUNTIF('Global Infrastructure'!$G$70:$G$79,"Tranche 1")</f>
        <v/>
      </c>
      <c r="G49" s="33">
        <f>COUNTIF('Global Infrastructure'!$G$70:$G$79,"Tranche 2")</f>
        <v/>
      </c>
      <c r="H49" s="33">
        <f>COUNTIF('Global Infrastructure'!$G$70:$G$79,"Tranche 3")</f>
        <v/>
      </c>
      <c r="I49" s="34">
        <f>HYPERLINK("#'Global Infrastructure'!A68","Open →")</f>
        <v/>
      </c>
    </row>
    <row r="50" ht="18" customHeight="1">
      <c r="A50" s="29" t="n">
        <v>37</v>
      </c>
      <c r="B50" s="36" t="n"/>
      <c r="C50" s="31" t="inlineStr">
        <is>
          <t>Design Systems</t>
        </is>
      </c>
      <c r="D50" s="32" t="inlineStr"/>
      <c r="E50" s="33">
        <f>COUNTA('Global Infrastructure'!$B$84:$B$93)</f>
        <v/>
      </c>
      <c r="F50" s="33">
        <f>COUNTIF('Global Infrastructure'!$G$84:$G$93,"Tranche 1")</f>
        <v/>
      </c>
      <c r="G50" s="33">
        <f>COUNTIF('Global Infrastructure'!$G$84:$G$93,"Tranche 2")</f>
        <v/>
      </c>
      <c r="H50" s="33">
        <f>COUNTIF('Global Infrastructure'!$G$84:$G$93,"Tranche 3")</f>
        <v/>
      </c>
      <c r="I50" s="34">
        <f>HYPERLINK("#'Global Infrastructure'!A82","Open →")</f>
        <v/>
      </c>
    </row>
    <row r="51" ht="32" customHeight="1">
      <c r="A51" s="29" t="n">
        <v>38</v>
      </c>
      <c r="B51" s="30" t="inlineStr">
        <is>
          <t>Single-out</t>
        </is>
      </c>
      <c r="C51" s="31" t="inlineStr">
        <is>
          <t>Portal</t>
        </is>
      </c>
      <c r="D51" s="32" t="inlineStr">
        <is>
          <t>• Jaemi Bremner
• Amutha Velayutham</t>
        </is>
      </c>
      <c r="E51" s="33">
        <f>COUNTA('Single-out'!$B$14:$B$23)</f>
        <v/>
      </c>
      <c r="F51" s="33">
        <f>COUNTIF('Single-out'!$G$14:$G$23,"Tranche 1")</f>
        <v/>
      </c>
      <c r="G51" s="33">
        <f>COUNTIF('Single-out'!$G$14:$G$23,"Tranche 2")</f>
        <v/>
      </c>
      <c r="H51" s="33">
        <f>COUNTIF('Single-out'!$G$14:$G$23,"Tranche 3")</f>
        <v/>
      </c>
      <c r="I51" s="34">
        <f>HYPERLINK("#'Single-out'!A12","Open →")</f>
        <v/>
      </c>
    </row>
    <row r="52" ht="58" customHeight="1">
      <c r="A52" s="29" t="n">
        <v>39</v>
      </c>
      <c r="B52" s="35" t="n"/>
      <c r="C52" s="31" t="inlineStr">
        <is>
          <t>Reporting</t>
        </is>
      </c>
      <c r="D52" s="32" t="inlineStr">
        <is>
          <t>• Helen Ryan
• Srini Turlapati
• Shaily Daftari
• Amutha Velayutham</t>
        </is>
      </c>
      <c r="E52" s="33">
        <f>COUNTA('Single-out'!$B$28:$B$37)</f>
        <v/>
      </c>
      <c r="F52" s="33">
        <f>COUNTIF('Single-out'!$G$28:$G$37,"Tranche 1")</f>
        <v/>
      </c>
      <c r="G52" s="33">
        <f>COUNTIF('Single-out'!$G$28:$G$37,"Tranche 2")</f>
        <v/>
      </c>
      <c r="H52" s="33">
        <f>COUNTIF('Single-out'!$G$28:$G$37,"Tranche 3")</f>
        <v/>
      </c>
      <c r="I52" s="34">
        <f>HYPERLINK("#'Single-out'!A26","Open →")</f>
        <v/>
      </c>
    </row>
    <row r="53" ht="18" customHeight="1">
      <c r="A53" s="29" t="n">
        <v>40</v>
      </c>
      <c r="B53" s="35" t="n"/>
      <c r="C53" s="31" t="inlineStr">
        <is>
          <t>Billing</t>
        </is>
      </c>
      <c r="D53" s="32" t="inlineStr"/>
      <c r="E53" s="33">
        <f>COUNTA('Single-out'!$B$42:$B$51)</f>
        <v/>
      </c>
      <c r="F53" s="33">
        <f>COUNTIF('Single-out'!$G$42:$G$51,"Tranche 1")</f>
        <v/>
      </c>
      <c r="G53" s="33">
        <f>COUNTIF('Single-out'!$G$42:$G$51,"Tranche 2")</f>
        <v/>
      </c>
      <c r="H53" s="33">
        <f>COUNTIF('Single-out'!$G$42:$G$51,"Tranche 3")</f>
        <v/>
      </c>
      <c r="I53" s="34">
        <f>HYPERLINK("#'Single-out'!A40","Open →")</f>
        <v/>
      </c>
    </row>
    <row r="54" ht="84" customHeight="1">
      <c r="A54" s="29" t="n">
        <v>41</v>
      </c>
      <c r="B54" s="35" t="n"/>
      <c r="C54" s="31" t="inlineStr">
        <is>
          <t>Disputes</t>
        </is>
      </c>
      <c r="D54" s="32" t="inlineStr">
        <is>
          <t>• Helen Ryan
• Srini Turlapati
• Rosemary Kiley
• Travis Dowden
• Kimberly Singleton
• Neville DCosta</t>
        </is>
      </c>
      <c r="E54" s="33">
        <f>COUNTA('Single-out'!$B$56:$B$65)</f>
        <v/>
      </c>
      <c r="F54" s="33">
        <f>COUNTIF('Single-out'!$G$56:$G$65,"Tranche 1")</f>
        <v/>
      </c>
      <c r="G54" s="33">
        <f>COUNTIF('Single-out'!$G$56:$G$65,"Tranche 2")</f>
        <v/>
      </c>
      <c r="H54" s="33">
        <f>COUNTIF('Single-out'!$G$56:$G$65,"Tranche 3")</f>
        <v/>
      </c>
      <c r="I54" s="34">
        <f>HYPERLINK("#'Single-out'!A54","Open →")</f>
        <v/>
      </c>
    </row>
    <row r="55" ht="18" customHeight="1">
      <c r="A55" s="29" t="n">
        <v>42</v>
      </c>
      <c r="B55" s="35" t="n"/>
      <c r="C55" s="31" t="inlineStr">
        <is>
          <t>Payouts</t>
        </is>
      </c>
      <c r="D55" s="32" t="inlineStr"/>
      <c r="E55" s="33">
        <f>COUNTA('Single-out'!$B$70:$B$79)</f>
        <v/>
      </c>
      <c r="F55" s="33">
        <f>COUNTIF('Single-out'!$G$70:$G$79,"Tranche 1")</f>
        <v/>
      </c>
      <c r="G55" s="33">
        <f>COUNTIF('Single-out'!$G$70:$G$79,"Tranche 2")</f>
        <v/>
      </c>
      <c r="H55" s="33">
        <f>COUNTIF('Single-out'!$G$70:$G$79,"Tranche 3")</f>
        <v/>
      </c>
      <c r="I55" s="34">
        <f>HYPERLINK("#'Single-out'!A68","Open →")</f>
        <v/>
      </c>
    </row>
    <row r="56" ht="58" customHeight="1">
      <c r="A56" s="29" t="n">
        <v>43</v>
      </c>
      <c r="B56" s="36" t="n"/>
      <c r="C56" s="31" t="inlineStr">
        <is>
          <t>PFaaS Products</t>
        </is>
      </c>
      <c r="D56" s="32" t="inlineStr">
        <is>
          <t>• David Blair
• Curtis Landry
• Andre Dubreuil
• Soltan Nayabkhil</t>
        </is>
      </c>
      <c r="E56" s="33">
        <f>COUNTA('Single-out'!$B$84:$B$93)</f>
        <v/>
      </c>
      <c r="F56" s="33">
        <f>COUNTIF('Single-out'!$G$84:$G$93,"Tranche 1")</f>
        <v/>
      </c>
      <c r="G56" s="33">
        <f>COUNTIF('Single-out'!$G$84:$G$93,"Tranche 2")</f>
        <v/>
      </c>
      <c r="H56" s="33">
        <f>COUNTIF('Single-out'!$G$84:$G$93,"Tranche 3")</f>
        <v/>
      </c>
      <c r="I56" s="34">
        <f>HYPERLINK("#'Single-out'!A82","Open →")</f>
        <v/>
      </c>
    </row>
    <row r="57">
      <c r="A57" s="37" t="n"/>
      <c r="B57" s="37" t="n"/>
      <c r="C57" s="37" t="n"/>
      <c r="D57" s="38" t="inlineStr">
        <is>
          <t>Total</t>
        </is>
      </c>
      <c r="E57" s="39">
        <f>SUM(E14:E56)</f>
        <v/>
      </c>
      <c r="F57" s="39">
        <f>SUM(F14:F56)</f>
        <v/>
      </c>
      <c r="G57" s="39">
        <f>SUM(G14:G56)</f>
        <v/>
      </c>
      <c r="H57" s="39">
        <f>SUM(H14:H56)</f>
        <v/>
      </c>
      <c r="I57" s="37" t="n"/>
    </row>
  </sheetData>
  <mergeCells count="7">
    <mergeCell ref="B51:B56"/>
    <mergeCell ref="B45:B50"/>
    <mergeCell ref="B20:B24"/>
    <mergeCell ref="B35:B43"/>
    <mergeCell ref="B25:B28"/>
    <mergeCell ref="B14:B19"/>
    <mergeCell ref="B29:B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Boarding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HYPERLINK("#'Boarding'!A12","Boarding Experience")</f>
        <v/>
      </c>
    </row>
    <row r="6">
      <c r="A6" s="43" t="inlineStr">
        <is>
          <t>2.</t>
        </is>
      </c>
      <c r="B6" s="3">
        <f>HYPERLINK("#'Boarding'!A26","Ingress")</f>
        <v/>
      </c>
    </row>
    <row r="7">
      <c r="A7" s="43" t="inlineStr">
        <is>
          <t>3.</t>
        </is>
      </c>
      <c r="B7" s="3">
        <f>HYPERLINK("#'Boarding'!A40","Boarding Orchestration")</f>
        <v/>
      </c>
    </row>
    <row r="8">
      <c r="A8" s="43" t="inlineStr">
        <is>
          <t>4.</t>
        </is>
      </c>
      <c r="B8" s="3">
        <f>HYPERLINK("#'Boarding'!A54","Integration &amp; Messaging")</f>
        <v/>
      </c>
    </row>
    <row r="9">
      <c r="A9" s="43" t="inlineStr">
        <is>
          <t>5.</t>
        </is>
      </c>
      <c r="B9" s="3">
        <f>HYPERLINK("#'Boarding'!A68","Credit &amp; Underwriting")</f>
        <v/>
      </c>
    </row>
    <row r="10">
      <c r="A10" s="43" t="inlineStr">
        <is>
          <t>6.</t>
        </is>
      </c>
      <c r="B10" s="3">
        <f>HYPERLINK("#'Boarding'!A82","CPQ / Quote-pricing")</f>
        <v/>
      </c>
    </row>
    <row r="12" ht="22" customHeight="1">
      <c r="A12" s="44" t="inlineStr">
        <is>
          <t>Boarding Experience</t>
        </is>
      </c>
      <c r="G12" s="45">
        <f>HYPERLINK("#'Boarding'!A4","▲ tracker")</f>
        <v/>
      </c>
      <c r="K12" s="46" t="inlineStr">
        <is>
          <t>Assessment Outcome</t>
        </is>
      </c>
    </row>
    <row r="13" ht="26" customHeight="1">
      <c r="A13" s="47" t="inlineStr">
        <is>
          <t>#</t>
        </is>
      </c>
      <c r="B13" s="47" t="inlineStr">
        <is>
          <t>Platform</t>
        </is>
      </c>
      <c r="C13" s="47" t="inlineStr">
        <is>
          <t>State</t>
        </is>
      </c>
      <c r="D13" s="47" t="inlineStr">
        <is>
          <t>Imperative to exit (= Benefits)</t>
        </is>
      </c>
      <c r="E13" s="47" t="inlineStr">
        <is>
          <t>Exit complexity</t>
        </is>
      </c>
      <c r="F13" s="47" t="inlineStr">
        <is>
          <t>Supporting facts</t>
        </is>
      </c>
      <c r="G13" s="47" t="inlineStr">
        <is>
          <t>Tranche (auto)</t>
        </is>
      </c>
      <c r="K13" s="48" t="inlineStr">
        <is>
          <t>Low</t>
        </is>
      </c>
      <c r="L13" s="48" t="inlineStr">
        <is>
          <t>Medium</t>
        </is>
      </c>
      <c r="M13" s="48" t="inlineStr">
        <is>
          <t>High</t>
        </is>
      </c>
    </row>
    <row r="14" ht="20" customHeight="1">
      <c r="A14" s="49" t="inlineStr">
        <is>
          <t>①</t>
        </is>
      </c>
      <c r="B14" s="50" t="inlineStr">
        <is>
          <t>Example platform A (illustrative)</t>
        </is>
      </c>
      <c r="C14" s="33" t="inlineStr">
        <is>
          <t>Non-target state</t>
        </is>
      </c>
      <c r="D14" s="33" t="inlineStr">
        <is>
          <t>High</t>
        </is>
      </c>
      <c r="E14" s="33" t="inlineStr">
        <is>
          <t>Low</t>
        </is>
      </c>
      <c r="F14" s="32" t="inlineStr">
        <is>
          <t>Illustrative only - high imperative, low complexity plots as Tranche 1. Replace with real data.</t>
        </is>
      </c>
      <c r="G14" s="51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52" t="inlineStr">
        <is>
          <t>Benefits (= Imperative to exit)</t>
        </is>
      </c>
      <c r="J14" s="53" t="inlineStr">
        <is>
          <t>High</t>
        </is>
      </c>
      <c r="K14" s="54">
        <f>"Tranche 1"&amp;CHAR(10)&amp;_xlfn.TEXTJOIN(CHAR(10),TRUE,O$14:O$23)</f>
        <v/>
      </c>
      <c r="L14" s="55">
        <f>"Tranche 2"&amp;CHAR(10)&amp;_xlfn.TEXTJOIN(CHAR(10),TRUE,P$14:P$23)</f>
        <v/>
      </c>
      <c r="M14" s="56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49" t="inlineStr">
        <is>
          <t>②</t>
        </is>
      </c>
      <c r="B15" s="50" t="inlineStr">
        <is>
          <t>Example platform B (illustrative)</t>
        </is>
      </c>
      <c r="C15" s="33" t="inlineStr">
        <is>
          <t>Exception</t>
        </is>
      </c>
      <c r="D15" s="33" t="inlineStr"/>
      <c r="E15" s="33" t="inlineStr"/>
      <c r="F15" s="32" t="inlineStr">
        <is>
          <t>Illustrative exception - row grays out and is excluded from the matrix. Capture the reason for the exception here.</t>
        </is>
      </c>
      <c r="G15" s="51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57" t="n"/>
      <c r="L15" s="57" t="n"/>
      <c r="M15" s="57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49" t="inlineStr">
        <is>
          <t>③</t>
        </is>
      </c>
      <c r="B16" s="50" t="n"/>
      <c r="C16" s="33" t="n"/>
      <c r="D16" s="33" t="n"/>
      <c r="E16" s="33" t="n"/>
      <c r="F16" s="32" t="n"/>
      <c r="G16" s="51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58" t="n"/>
      <c r="L16" s="58" t="n"/>
      <c r="M16" s="58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49" t="inlineStr">
        <is>
          <t>④</t>
        </is>
      </c>
      <c r="B17" s="50" t="n"/>
      <c r="C17" s="33" t="n"/>
      <c r="D17" s="33" t="n"/>
      <c r="E17" s="33" t="n"/>
      <c r="F17" s="32" t="n"/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53" t="inlineStr">
        <is>
          <t>Medium</t>
        </is>
      </c>
      <c r="K17" s="54">
        <f>"Tranche 1"&amp;CHAR(10)&amp;_xlfn.TEXTJOIN(CHAR(10),TRUE,R$14:R$23)</f>
        <v/>
      </c>
      <c r="L17" s="55">
        <f>"Tranche 2"&amp;CHAR(10)&amp;_xlfn.TEXTJOIN(CHAR(10),TRUE,S$14:S$23)</f>
        <v/>
      </c>
      <c r="M17" s="59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⑤</t>
        </is>
      </c>
      <c r="B18" s="50" t="n"/>
      <c r="C18" s="33" t="n"/>
      <c r="D18" s="33" t="n"/>
      <c r="E18" s="33" t="n"/>
      <c r="F18" s="32" t="n"/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57" t="n"/>
      <c r="L18" s="57" t="n"/>
      <c r="M18" s="57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49" t="inlineStr">
        <is>
          <t>⑥</t>
        </is>
      </c>
      <c r="B19" s="50" t="n"/>
      <c r="C19" s="33" t="n"/>
      <c r="D19" s="33" t="n"/>
      <c r="E19" s="33" t="n"/>
      <c r="F19" s="32" t="n"/>
      <c r="G19" s="51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58" t="n"/>
      <c r="L19" s="58" t="n"/>
      <c r="M19" s="58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49" t="inlineStr">
        <is>
          <t>⑦</t>
        </is>
      </c>
      <c r="B20" s="50" t="n"/>
      <c r="C20" s="33" t="n"/>
      <c r="D20" s="33" t="n"/>
      <c r="E20" s="33" t="n"/>
      <c r="F20" s="32" t="n"/>
      <c r="G20" s="51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53" t="inlineStr">
        <is>
          <t>Low</t>
        </is>
      </c>
      <c r="K20" s="59">
        <f>_xlfn.TEXTJOIN(CHAR(10),TRUE,U$14:U$23)</f>
        <v/>
      </c>
      <c r="L20" s="59">
        <f>_xlfn.TEXTJOIN(CHAR(10),TRUE,V$14:V$23)</f>
        <v/>
      </c>
      <c r="M20" s="59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49" t="inlineStr">
        <is>
          <t>⑧</t>
        </is>
      </c>
      <c r="B21" s="50" t="n"/>
      <c r="C21" s="33" t="n"/>
      <c r="D21" s="33" t="n"/>
      <c r="E21" s="33" t="n"/>
      <c r="F21" s="32" t="n"/>
      <c r="G21" s="51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57" t="n"/>
      <c r="L21" s="57" t="n"/>
      <c r="M21" s="57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49" t="inlineStr">
        <is>
          <t>⑨</t>
        </is>
      </c>
      <c r="B22" s="50" t="n"/>
      <c r="C22" s="33" t="n"/>
      <c r="D22" s="33" t="n"/>
      <c r="E22" s="33" t="n"/>
      <c r="F22" s="32" t="n"/>
      <c r="G22" s="51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58" t="n"/>
      <c r="L22" s="58" t="n"/>
      <c r="M22" s="58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49" t="inlineStr">
        <is>
          <t>⑩</t>
        </is>
      </c>
      <c r="B23" s="50" t="n"/>
      <c r="C23" s="33" t="n"/>
      <c r="D23" s="33" t="n"/>
      <c r="E23" s="33" t="n"/>
      <c r="F23" s="32" t="n"/>
      <c r="G23" s="51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53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44" t="inlineStr">
        <is>
          <t>Ingress</t>
        </is>
      </c>
      <c r="G26" s="45">
        <f>HYPERLINK("#'Boarding'!A4","▲ tracker")</f>
        <v/>
      </c>
      <c r="K26" s="46" t="inlineStr">
        <is>
          <t>Assessment Outcome</t>
        </is>
      </c>
    </row>
    <row r="27" ht="26" customHeight="1">
      <c r="A27" s="47" t="inlineStr">
        <is>
          <t>#</t>
        </is>
      </c>
      <c r="B27" s="47" t="inlineStr">
        <is>
          <t>Platform</t>
        </is>
      </c>
      <c r="C27" s="47" t="inlineStr">
        <is>
          <t>State</t>
        </is>
      </c>
      <c r="D27" s="47" t="inlineStr">
        <is>
          <t>Imperative to exit (= Benefits)</t>
        </is>
      </c>
      <c r="E27" s="47" t="inlineStr">
        <is>
          <t>Exit complexity</t>
        </is>
      </c>
      <c r="F27" s="47" t="inlineStr">
        <is>
          <t>Supporting facts</t>
        </is>
      </c>
      <c r="G27" s="47" t="inlineStr">
        <is>
          <t>Tranche (auto)</t>
        </is>
      </c>
      <c r="K27" s="48" t="inlineStr">
        <is>
          <t>Low</t>
        </is>
      </c>
      <c r="L27" s="48" t="inlineStr">
        <is>
          <t>Medium</t>
        </is>
      </c>
      <c r="M27" s="48" t="inlineStr">
        <is>
          <t>High</t>
        </is>
      </c>
    </row>
    <row r="28" ht="20" customHeight="1">
      <c r="A28" s="49" t="inlineStr">
        <is>
          <t>①</t>
        </is>
      </c>
      <c r="B28" s="50" t="n"/>
      <c r="C28" s="33" t="n"/>
      <c r="D28" s="33" t="n"/>
      <c r="E28" s="33" t="n"/>
      <c r="F28" s="32" t="n"/>
      <c r="G28" s="51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52" t="inlineStr">
        <is>
          <t>Benefits (= Imperative to exit)</t>
        </is>
      </c>
      <c r="J28" s="53" t="inlineStr">
        <is>
          <t>High</t>
        </is>
      </c>
      <c r="K28" s="54">
        <f>"Tranche 1"&amp;CHAR(10)&amp;_xlfn.TEXTJOIN(CHAR(10),TRUE,O$28:O$37)</f>
        <v/>
      </c>
      <c r="L28" s="55">
        <f>"Tranche 2"&amp;CHAR(10)&amp;_xlfn.TEXTJOIN(CHAR(10),TRUE,P$28:P$37)</f>
        <v/>
      </c>
      <c r="M28" s="56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49" t="inlineStr">
        <is>
          <t>②</t>
        </is>
      </c>
      <c r="B29" s="50" t="n"/>
      <c r="C29" s="33" t="n"/>
      <c r="D29" s="33" t="n"/>
      <c r="E29" s="33" t="n"/>
      <c r="F29" s="32" t="n"/>
      <c r="G29" s="51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57" t="n"/>
      <c r="L29" s="57" t="n"/>
      <c r="M29" s="57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49" t="inlineStr">
        <is>
          <t>③</t>
        </is>
      </c>
      <c r="B30" s="50" t="n"/>
      <c r="C30" s="33" t="n"/>
      <c r="D30" s="33" t="n"/>
      <c r="E30" s="33" t="n"/>
      <c r="F30" s="32" t="n"/>
      <c r="G30" s="51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58" t="n"/>
      <c r="L30" s="58" t="n"/>
      <c r="M30" s="58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49" t="inlineStr">
        <is>
          <t>④</t>
        </is>
      </c>
      <c r="B31" s="50" t="n"/>
      <c r="C31" s="33" t="n"/>
      <c r="D31" s="33" t="n"/>
      <c r="E31" s="33" t="n"/>
      <c r="F31" s="32" t="n"/>
      <c r="G31" s="51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53" t="inlineStr">
        <is>
          <t>Medium</t>
        </is>
      </c>
      <c r="K31" s="54">
        <f>"Tranche 1"&amp;CHAR(10)&amp;_xlfn.TEXTJOIN(CHAR(10),TRUE,R$28:R$37)</f>
        <v/>
      </c>
      <c r="L31" s="55">
        <f>"Tranche 2"&amp;CHAR(10)&amp;_xlfn.TEXTJOIN(CHAR(10),TRUE,S$28:S$37)</f>
        <v/>
      </c>
      <c r="M31" s="59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49" t="inlineStr">
        <is>
          <t>⑤</t>
        </is>
      </c>
      <c r="B32" s="50" t="n"/>
      <c r="C32" s="33" t="n"/>
      <c r="D32" s="33" t="n"/>
      <c r="E32" s="33" t="n"/>
      <c r="F32" s="32" t="n"/>
      <c r="G32" s="51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57" t="n"/>
      <c r="L32" s="57" t="n"/>
      <c r="M32" s="57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49" t="inlineStr">
        <is>
          <t>⑥</t>
        </is>
      </c>
      <c r="B33" s="50" t="n"/>
      <c r="C33" s="33" t="n"/>
      <c r="D33" s="33" t="n"/>
      <c r="E33" s="33" t="n"/>
      <c r="F33" s="32" t="n"/>
      <c r="G33" s="51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58" t="n"/>
      <c r="L33" s="58" t="n"/>
      <c r="M33" s="58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49" t="inlineStr">
        <is>
          <t>⑦</t>
        </is>
      </c>
      <c r="B34" s="50" t="n"/>
      <c r="C34" s="33" t="n"/>
      <c r="D34" s="33" t="n"/>
      <c r="E34" s="33" t="n"/>
      <c r="F34" s="32" t="n"/>
      <c r="G34" s="51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53" t="inlineStr">
        <is>
          <t>Low</t>
        </is>
      </c>
      <c r="K34" s="59">
        <f>_xlfn.TEXTJOIN(CHAR(10),TRUE,U$28:U$37)</f>
        <v/>
      </c>
      <c r="L34" s="59">
        <f>_xlfn.TEXTJOIN(CHAR(10),TRUE,V$28:V$37)</f>
        <v/>
      </c>
      <c r="M34" s="59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49" t="inlineStr">
        <is>
          <t>⑧</t>
        </is>
      </c>
      <c r="B35" s="50" t="n"/>
      <c r="C35" s="33" t="n"/>
      <c r="D35" s="33" t="n"/>
      <c r="E35" s="33" t="n"/>
      <c r="F35" s="32" t="n"/>
      <c r="G35" s="51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57" t="n"/>
      <c r="L35" s="57" t="n"/>
      <c r="M35" s="57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49" t="inlineStr">
        <is>
          <t>⑨</t>
        </is>
      </c>
      <c r="B36" s="50" t="n"/>
      <c r="C36" s="33" t="n"/>
      <c r="D36" s="33" t="n"/>
      <c r="E36" s="33" t="n"/>
      <c r="F36" s="32" t="n"/>
      <c r="G36" s="51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58" t="n"/>
      <c r="L36" s="58" t="n"/>
      <c r="M36" s="58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49" t="inlineStr">
        <is>
          <t>⑩</t>
        </is>
      </c>
      <c r="B37" s="50" t="n"/>
      <c r="C37" s="33" t="n"/>
      <c r="D37" s="33" t="n"/>
      <c r="E37" s="33" t="n"/>
      <c r="F37" s="32" t="n"/>
      <c r="G37" s="51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53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44" t="inlineStr">
        <is>
          <t>Boarding Orchestration</t>
        </is>
      </c>
      <c r="G40" s="45">
        <f>HYPERLINK("#'Boarding'!A4","▲ tracker")</f>
        <v/>
      </c>
      <c r="K40" s="46" t="inlineStr">
        <is>
          <t>Assessment Outcome</t>
        </is>
      </c>
    </row>
    <row r="41" ht="26" customHeight="1">
      <c r="A41" s="47" t="inlineStr">
        <is>
          <t>#</t>
        </is>
      </c>
      <c r="B41" s="47" t="inlineStr">
        <is>
          <t>Platform</t>
        </is>
      </c>
      <c r="C41" s="47" t="inlineStr">
        <is>
          <t>State</t>
        </is>
      </c>
      <c r="D41" s="47" t="inlineStr">
        <is>
          <t>Imperative to exit (= Benefits)</t>
        </is>
      </c>
      <c r="E41" s="47" t="inlineStr">
        <is>
          <t>Exit complexity</t>
        </is>
      </c>
      <c r="F41" s="47" t="inlineStr">
        <is>
          <t>Supporting facts</t>
        </is>
      </c>
      <c r="G41" s="47" t="inlineStr">
        <is>
          <t>Tranche (auto)</t>
        </is>
      </c>
      <c r="K41" s="48" t="inlineStr">
        <is>
          <t>Low</t>
        </is>
      </c>
      <c r="L41" s="48" t="inlineStr">
        <is>
          <t>Medium</t>
        </is>
      </c>
      <c r="M41" s="48" t="inlineStr">
        <is>
          <t>High</t>
        </is>
      </c>
    </row>
    <row r="42" ht="20" customHeight="1">
      <c r="A42" s="49" t="inlineStr">
        <is>
          <t>①</t>
        </is>
      </c>
      <c r="B42" s="50" t="n"/>
      <c r="C42" s="33" t="n"/>
      <c r="D42" s="33" t="n"/>
      <c r="E42" s="33" t="n"/>
      <c r="F42" s="32" t="n"/>
      <c r="G42" s="51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52" t="inlineStr">
        <is>
          <t>Benefits (= Imperative to exit)</t>
        </is>
      </c>
      <c r="J42" s="53" t="inlineStr">
        <is>
          <t>High</t>
        </is>
      </c>
      <c r="K42" s="54">
        <f>"Tranche 1"&amp;CHAR(10)&amp;_xlfn.TEXTJOIN(CHAR(10),TRUE,O$42:O$51)</f>
        <v/>
      </c>
      <c r="L42" s="55">
        <f>"Tranche 2"&amp;CHAR(10)&amp;_xlfn.TEXTJOIN(CHAR(10),TRUE,P$42:P$51)</f>
        <v/>
      </c>
      <c r="M42" s="56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49" t="inlineStr">
        <is>
          <t>②</t>
        </is>
      </c>
      <c r="B43" s="50" t="n"/>
      <c r="C43" s="33" t="n"/>
      <c r="D43" s="33" t="n"/>
      <c r="E43" s="33" t="n"/>
      <c r="F43" s="32" t="n"/>
      <c r="G43" s="51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57" t="n"/>
      <c r="L43" s="57" t="n"/>
      <c r="M43" s="57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49" t="inlineStr">
        <is>
          <t>③</t>
        </is>
      </c>
      <c r="B44" s="50" t="n"/>
      <c r="C44" s="33" t="n"/>
      <c r="D44" s="33" t="n"/>
      <c r="E44" s="33" t="n"/>
      <c r="F44" s="32" t="n"/>
      <c r="G44" s="51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58" t="n"/>
      <c r="L44" s="58" t="n"/>
      <c r="M44" s="58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49" t="inlineStr">
        <is>
          <t>④</t>
        </is>
      </c>
      <c r="B45" s="50" t="n"/>
      <c r="C45" s="33" t="n"/>
      <c r="D45" s="33" t="n"/>
      <c r="E45" s="33" t="n"/>
      <c r="F45" s="32" t="n"/>
      <c r="G45" s="51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53" t="inlineStr">
        <is>
          <t>Medium</t>
        </is>
      </c>
      <c r="K45" s="54">
        <f>"Tranche 1"&amp;CHAR(10)&amp;_xlfn.TEXTJOIN(CHAR(10),TRUE,R$42:R$51)</f>
        <v/>
      </c>
      <c r="L45" s="55">
        <f>"Tranche 2"&amp;CHAR(10)&amp;_xlfn.TEXTJOIN(CHAR(10),TRUE,S$42:S$51)</f>
        <v/>
      </c>
      <c r="M45" s="59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49" t="inlineStr">
        <is>
          <t>⑤</t>
        </is>
      </c>
      <c r="B46" s="50" t="n"/>
      <c r="C46" s="33" t="n"/>
      <c r="D46" s="33" t="n"/>
      <c r="E46" s="33" t="n"/>
      <c r="F46" s="32" t="n"/>
      <c r="G46" s="51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57" t="n"/>
      <c r="L46" s="57" t="n"/>
      <c r="M46" s="57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49" t="inlineStr">
        <is>
          <t>⑥</t>
        </is>
      </c>
      <c r="B47" s="50" t="n"/>
      <c r="C47" s="33" t="n"/>
      <c r="D47" s="33" t="n"/>
      <c r="E47" s="33" t="n"/>
      <c r="F47" s="32" t="n"/>
      <c r="G47" s="51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58" t="n"/>
      <c r="L47" s="58" t="n"/>
      <c r="M47" s="58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49" t="inlineStr">
        <is>
          <t>⑦</t>
        </is>
      </c>
      <c r="B48" s="50" t="n"/>
      <c r="C48" s="33" t="n"/>
      <c r="D48" s="33" t="n"/>
      <c r="E48" s="33" t="n"/>
      <c r="F48" s="32" t="n"/>
      <c r="G48" s="51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53" t="inlineStr">
        <is>
          <t>Low</t>
        </is>
      </c>
      <c r="K48" s="59">
        <f>_xlfn.TEXTJOIN(CHAR(10),TRUE,U$42:U$51)</f>
        <v/>
      </c>
      <c r="L48" s="59">
        <f>_xlfn.TEXTJOIN(CHAR(10),TRUE,V$42:V$51)</f>
        <v/>
      </c>
      <c r="M48" s="59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49" t="inlineStr">
        <is>
          <t>⑧</t>
        </is>
      </c>
      <c r="B49" s="50" t="n"/>
      <c r="C49" s="33" t="n"/>
      <c r="D49" s="33" t="n"/>
      <c r="E49" s="33" t="n"/>
      <c r="F49" s="32" t="n"/>
      <c r="G49" s="51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57" t="n"/>
      <c r="L49" s="57" t="n"/>
      <c r="M49" s="57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49" t="inlineStr">
        <is>
          <t>⑨</t>
        </is>
      </c>
      <c r="B50" s="50" t="n"/>
      <c r="C50" s="33" t="n"/>
      <c r="D50" s="33" t="n"/>
      <c r="E50" s="33" t="n"/>
      <c r="F50" s="32" t="n"/>
      <c r="G50" s="51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58" t="n"/>
      <c r="L50" s="58" t="n"/>
      <c r="M50" s="58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49" t="inlineStr">
        <is>
          <t>⑩</t>
        </is>
      </c>
      <c r="B51" s="50" t="n"/>
      <c r="C51" s="33" t="n"/>
      <c r="D51" s="33" t="n"/>
      <c r="E51" s="33" t="n"/>
      <c r="F51" s="32" t="n"/>
      <c r="G51" s="51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53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44" t="inlineStr">
        <is>
          <t>Integration &amp; Messaging</t>
        </is>
      </c>
      <c r="G54" s="45">
        <f>HYPERLINK("#'Boarding'!A4","▲ tracker")</f>
        <v/>
      </c>
      <c r="K54" s="46" t="inlineStr">
        <is>
          <t>Assessment Outcome</t>
        </is>
      </c>
    </row>
    <row r="55" ht="26" customHeight="1">
      <c r="A55" s="47" t="inlineStr">
        <is>
          <t>#</t>
        </is>
      </c>
      <c r="B55" s="47" t="inlineStr">
        <is>
          <t>Platform</t>
        </is>
      </c>
      <c r="C55" s="47" t="inlineStr">
        <is>
          <t>State</t>
        </is>
      </c>
      <c r="D55" s="47" t="inlineStr">
        <is>
          <t>Imperative to exit (= Benefits)</t>
        </is>
      </c>
      <c r="E55" s="47" t="inlineStr">
        <is>
          <t>Exit complexity</t>
        </is>
      </c>
      <c r="F55" s="47" t="inlineStr">
        <is>
          <t>Supporting facts</t>
        </is>
      </c>
      <c r="G55" s="47" t="inlineStr">
        <is>
          <t>Tranche (auto)</t>
        </is>
      </c>
      <c r="K55" s="48" t="inlineStr">
        <is>
          <t>Low</t>
        </is>
      </c>
      <c r="L55" s="48" t="inlineStr">
        <is>
          <t>Medium</t>
        </is>
      </c>
      <c r="M55" s="48" t="inlineStr">
        <is>
          <t>High</t>
        </is>
      </c>
    </row>
    <row r="56" ht="20" customHeight="1">
      <c r="A56" s="49" t="inlineStr">
        <is>
          <t>①</t>
        </is>
      </c>
      <c r="B56" s="50" t="n"/>
      <c r="C56" s="33" t="n"/>
      <c r="D56" s="33" t="n"/>
      <c r="E56" s="33" t="n"/>
      <c r="F56" s="32" t="n"/>
      <c r="G56" s="51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52" t="inlineStr">
        <is>
          <t>Benefits (= Imperative to exit)</t>
        </is>
      </c>
      <c r="J56" s="53" t="inlineStr">
        <is>
          <t>High</t>
        </is>
      </c>
      <c r="K56" s="54">
        <f>"Tranche 1"&amp;CHAR(10)&amp;_xlfn.TEXTJOIN(CHAR(10),TRUE,O$56:O$65)</f>
        <v/>
      </c>
      <c r="L56" s="55">
        <f>"Tranche 2"&amp;CHAR(10)&amp;_xlfn.TEXTJOIN(CHAR(10),TRUE,P$56:P$65)</f>
        <v/>
      </c>
      <c r="M56" s="56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49" t="inlineStr">
        <is>
          <t>②</t>
        </is>
      </c>
      <c r="B57" s="50" t="n"/>
      <c r="C57" s="33" t="n"/>
      <c r="D57" s="33" t="n"/>
      <c r="E57" s="33" t="n"/>
      <c r="F57" s="32" t="n"/>
      <c r="G57" s="51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57" t="n"/>
      <c r="L57" s="57" t="n"/>
      <c r="M57" s="57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49" t="inlineStr">
        <is>
          <t>③</t>
        </is>
      </c>
      <c r="B58" s="50" t="n"/>
      <c r="C58" s="33" t="n"/>
      <c r="D58" s="33" t="n"/>
      <c r="E58" s="33" t="n"/>
      <c r="F58" s="32" t="n"/>
      <c r="G58" s="51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58" t="n"/>
      <c r="L58" s="58" t="n"/>
      <c r="M58" s="58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49" t="inlineStr">
        <is>
          <t>④</t>
        </is>
      </c>
      <c r="B59" s="50" t="n"/>
      <c r="C59" s="33" t="n"/>
      <c r="D59" s="33" t="n"/>
      <c r="E59" s="33" t="n"/>
      <c r="F59" s="32" t="n"/>
      <c r="G59" s="51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53" t="inlineStr">
        <is>
          <t>Medium</t>
        </is>
      </c>
      <c r="K59" s="54">
        <f>"Tranche 1"&amp;CHAR(10)&amp;_xlfn.TEXTJOIN(CHAR(10),TRUE,R$56:R$65)</f>
        <v/>
      </c>
      <c r="L59" s="55">
        <f>"Tranche 2"&amp;CHAR(10)&amp;_xlfn.TEXTJOIN(CHAR(10),TRUE,S$56:S$65)</f>
        <v/>
      </c>
      <c r="M59" s="59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49" t="inlineStr">
        <is>
          <t>⑤</t>
        </is>
      </c>
      <c r="B60" s="50" t="n"/>
      <c r="C60" s="33" t="n"/>
      <c r="D60" s="33" t="n"/>
      <c r="E60" s="33" t="n"/>
      <c r="F60" s="32" t="n"/>
      <c r="G60" s="51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57" t="n"/>
      <c r="L60" s="57" t="n"/>
      <c r="M60" s="57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49" t="inlineStr">
        <is>
          <t>⑥</t>
        </is>
      </c>
      <c r="B61" s="50" t="n"/>
      <c r="C61" s="33" t="n"/>
      <c r="D61" s="33" t="n"/>
      <c r="E61" s="33" t="n"/>
      <c r="F61" s="32" t="n"/>
      <c r="G61" s="51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58" t="n"/>
      <c r="L61" s="58" t="n"/>
      <c r="M61" s="58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49" t="inlineStr">
        <is>
          <t>⑦</t>
        </is>
      </c>
      <c r="B62" s="50" t="n"/>
      <c r="C62" s="33" t="n"/>
      <c r="D62" s="33" t="n"/>
      <c r="E62" s="33" t="n"/>
      <c r="F62" s="32" t="n"/>
      <c r="G62" s="51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53" t="inlineStr">
        <is>
          <t>Low</t>
        </is>
      </c>
      <c r="K62" s="59">
        <f>_xlfn.TEXTJOIN(CHAR(10),TRUE,U$56:U$65)</f>
        <v/>
      </c>
      <c r="L62" s="59">
        <f>_xlfn.TEXTJOIN(CHAR(10),TRUE,V$56:V$65)</f>
        <v/>
      </c>
      <c r="M62" s="59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49" t="inlineStr">
        <is>
          <t>⑧</t>
        </is>
      </c>
      <c r="B63" s="50" t="n"/>
      <c r="C63" s="33" t="n"/>
      <c r="D63" s="33" t="n"/>
      <c r="E63" s="33" t="n"/>
      <c r="F63" s="32" t="n"/>
      <c r="G63" s="51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57" t="n"/>
      <c r="L63" s="57" t="n"/>
      <c r="M63" s="57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49" t="inlineStr">
        <is>
          <t>⑨</t>
        </is>
      </c>
      <c r="B64" s="50" t="n"/>
      <c r="C64" s="33" t="n"/>
      <c r="D64" s="33" t="n"/>
      <c r="E64" s="33" t="n"/>
      <c r="F64" s="32" t="n"/>
      <c r="G64" s="51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58" t="n"/>
      <c r="L64" s="58" t="n"/>
      <c r="M64" s="58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49" t="inlineStr">
        <is>
          <t>⑩</t>
        </is>
      </c>
      <c r="B65" s="50" t="n"/>
      <c r="C65" s="33" t="n"/>
      <c r="D65" s="33" t="n"/>
      <c r="E65" s="33" t="n"/>
      <c r="F65" s="32" t="n"/>
      <c r="G65" s="51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53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44" t="inlineStr">
        <is>
          <t>Credit &amp; Underwriting</t>
        </is>
      </c>
      <c r="G68" s="45">
        <f>HYPERLINK("#'Boarding'!A4","▲ tracker")</f>
        <v/>
      </c>
      <c r="K68" s="46" t="inlineStr">
        <is>
          <t>Assessment Outcome</t>
        </is>
      </c>
    </row>
    <row r="69" ht="26" customHeight="1">
      <c r="A69" s="47" t="inlineStr">
        <is>
          <t>#</t>
        </is>
      </c>
      <c r="B69" s="47" t="inlineStr">
        <is>
          <t>Platform</t>
        </is>
      </c>
      <c r="C69" s="47" t="inlineStr">
        <is>
          <t>State</t>
        </is>
      </c>
      <c r="D69" s="47" t="inlineStr">
        <is>
          <t>Imperative to exit (= Benefits)</t>
        </is>
      </c>
      <c r="E69" s="47" t="inlineStr">
        <is>
          <t>Exit complexity</t>
        </is>
      </c>
      <c r="F69" s="47" t="inlineStr">
        <is>
          <t>Supporting facts</t>
        </is>
      </c>
      <c r="G69" s="47" t="inlineStr">
        <is>
          <t>Tranche (auto)</t>
        </is>
      </c>
      <c r="K69" s="48" t="inlineStr">
        <is>
          <t>Low</t>
        </is>
      </c>
      <c r="L69" s="48" t="inlineStr">
        <is>
          <t>Medium</t>
        </is>
      </c>
      <c r="M69" s="48" t="inlineStr">
        <is>
          <t>High</t>
        </is>
      </c>
    </row>
    <row r="70" ht="20" customHeight="1">
      <c r="A70" s="49" t="inlineStr">
        <is>
          <t>①</t>
        </is>
      </c>
      <c r="B70" s="50" t="n"/>
      <c r="C70" s="33" t="n"/>
      <c r="D70" s="33" t="n"/>
      <c r="E70" s="33" t="n"/>
      <c r="F70" s="32" t="n"/>
      <c r="G70" s="51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52" t="inlineStr">
        <is>
          <t>Benefits (= Imperative to exit)</t>
        </is>
      </c>
      <c r="J70" s="53" t="inlineStr">
        <is>
          <t>High</t>
        </is>
      </c>
      <c r="K70" s="54">
        <f>"Tranche 1"&amp;CHAR(10)&amp;_xlfn.TEXTJOIN(CHAR(10),TRUE,O$70:O$79)</f>
        <v/>
      </c>
      <c r="L70" s="55">
        <f>"Tranche 2"&amp;CHAR(10)&amp;_xlfn.TEXTJOIN(CHAR(10),TRUE,P$70:P$79)</f>
        <v/>
      </c>
      <c r="M70" s="56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49" t="inlineStr">
        <is>
          <t>②</t>
        </is>
      </c>
      <c r="B71" s="50" t="n"/>
      <c r="C71" s="33" t="n"/>
      <c r="D71" s="33" t="n"/>
      <c r="E71" s="33" t="n"/>
      <c r="F71" s="32" t="n"/>
      <c r="G71" s="51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57" t="n"/>
      <c r="L71" s="57" t="n"/>
      <c r="M71" s="57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49" t="inlineStr">
        <is>
          <t>③</t>
        </is>
      </c>
      <c r="B72" s="50" t="n"/>
      <c r="C72" s="33" t="n"/>
      <c r="D72" s="33" t="n"/>
      <c r="E72" s="33" t="n"/>
      <c r="F72" s="32" t="n"/>
      <c r="G72" s="51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58" t="n"/>
      <c r="L72" s="58" t="n"/>
      <c r="M72" s="58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49" t="inlineStr">
        <is>
          <t>④</t>
        </is>
      </c>
      <c r="B73" s="50" t="n"/>
      <c r="C73" s="33" t="n"/>
      <c r="D73" s="33" t="n"/>
      <c r="E73" s="33" t="n"/>
      <c r="F73" s="32" t="n"/>
      <c r="G73" s="51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53" t="inlineStr">
        <is>
          <t>Medium</t>
        </is>
      </c>
      <c r="K73" s="54">
        <f>"Tranche 1"&amp;CHAR(10)&amp;_xlfn.TEXTJOIN(CHAR(10),TRUE,R$70:R$79)</f>
        <v/>
      </c>
      <c r="L73" s="55">
        <f>"Tranche 2"&amp;CHAR(10)&amp;_xlfn.TEXTJOIN(CHAR(10),TRUE,S$70:S$79)</f>
        <v/>
      </c>
      <c r="M73" s="59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49" t="inlineStr">
        <is>
          <t>⑤</t>
        </is>
      </c>
      <c r="B74" s="50" t="n"/>
      <c r="C74" s="33" t="n"/>
      <c r="D74" s="33" t="n"/>
      <c r="E74" s="33" t="n"/>
      <c r="F74" s="32" t="n"/>
      <c r="G74" s="51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57" t="n"/>
      <c r="L74" s="57" t="n"/>
      <c r="M74" s="57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49" t="inlineStr">
        <is>
          <t>⑥</t>
        </is>
      </c>
      <c r="B75" s="50" t="n"/>
      <c r="C75" s="33" t="n"/>
      <c r="D75" s="33" t="n"/>
      <c r="E75" s="33" t="n"/>
      <c r="F75" s="32" t="n"/>
      <c r="G75" s="51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58" t="n"/>
      <c r="L75" s="58" t="n"/>
      <c r="M75" s="58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49" t="inlineStr">
        <is>
          <t>⑦</t>
        </is>
      </c>
      <c r="B76" s="50" t="n"/>
      <c r="C76" s="33" t="n"/>
      <c r="D76" s="33" t="n"/>
      <c r="E76" s="33" t="n"/>
      <c r="F76" s="32" t="n"/>
      <c r="G76" s="51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53" t="inlineStr">
        <is>
          <t>Low</t>
        </is>
      </c>
      <c r="K76" s="59">
        <f>_xlfn.TEXTJOIN(CHAR(10),TRUE,U$70:U$79)</f>
        <v/>
      </c>
      <c r="L76" s="59">
        <f>_xlfn.TEXTJOIN(CHAR(10),TRUE,V$70:V$79)</f>
        <v/>
      </c>
      <c r="M76" s="59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49" t="inlineStr">
        <is>
          <t>⑧</t>
        </is>
      </c>
      <c r="B77" s="50" t="n"/>
      <c r="C77" s="33" t="n"/>
      <c r="D77" s="33" t="n"/>
      <c r="E77" s="33" t="n"/>
      <c r="F77" s="32" t="n"/>
      <c r="G77" s="51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57" t="n"/>
      <c r="L77" s="57" t="n"/>
      <c r="M77" s="57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49" t="inlineStr">
        <is>
          <t>⑨</t>
        </is>
      </c>
      <c r="B78" s="50" t="n"/>
      <c r="C78" s="33" t="n"/>
      <c r="D78" s="33" t="n"/>
      <c r="E78" s="33" t="n"/>
      <c r="F78" s="32" t="n"/>
      <c r="G78" s="51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58" t="n"/>
      <c r="L78" s="58" t="n"/>
      <c r="M78" s="58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49" t="inlineStr">
        <is>
          <t>⑩</t>
        </is>
      </c>
      <c r="B79" s="50" t="n"/>
      <c r="C79" s="33" t="n"/>
      <c r="D79" s="33" t="n"/>
      <c r="E79" s="33" t="n"/>
      <c r="F79" s="32" t="n"/>
      <c r="G79" s="51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53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44" t="inlineStr">
        <is>
          <t>CPQ / Quote-pricing</t>
        </is>
      </c>
      <c r="G82" s="45">
        <f>HYPERLINK("#'Boarding'!A4","▲ tracker")</f>
        <v/>
      </c>
      <c r="K82" s="46" t="inlineStr">
        <is>
          <t>Assessment Outcome</t>
        </is>
      </c>
    </row>
    <row r="83" ht="26" customHeight="1">
      <c r="A83" s="47" t="inlineStr">
        <is>
          <t>#</t>
        </is>
      </c>
      <c r="B83" s="47" t="inlineStr">
        <is>
          <t>Platform</t>
        </is>
      </c>
      <c r="C83" s="47" t="inlineStr">
        <is>
          <t>State</t>
        </is>
      </c>
      <c r="D83" s="47" t="inlineStr">
        <is>
          <t>Imperative to exit (= Benefits)</t>
        </is>
      </c>
      <c r="E83" s="47" t="inlineStr">
        <is>
          <t>Exit complexity</t>
        </is>
      </c>
      <c r="F83" s="47" t="inlineStr">
        <is>
          <t>Supporting facts</t>
        </is>
      </c>
      <c r="G83" s="47" t="inlineStr">
        <is>
          <t>Tranche (auto)</t>
        </is>
      </c>
      <c r="K83" s="48" t="inlineStr">
        <is>
          <t>Low</t>
        </is>
      </c>
      <c r="L83" s="48" t="inlineStr">
        <is>
          <t>Medium</t>
        </is>
      </c>
      <c r="M83" s="48" t="inlineStr">
        <is>
          <t>High</t>
        </is>
      </c>
    </row>
    <row r="84" ht="20" customHeight="1">
      <c r="A84" s="49" t="inlineStr">
        <is>
          <t>①</t>
        </is>
      </c>
      <c r="B84" s="50" t="n"/>
      <c r="C84" s="33" t="n"/>
      <c r="D84" s="33" t="n"/>
      <c r="E84" s="33" t="n"/>
      <c r="F84" s="32" t="n"/>
      <c r="G84" s="51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52" t="inlineStr">
        <is>
          <t>Benefits (= Imperative to exit)</t>
        </is>
      </c>
      <c r="J84" s="53" t="inlineStr">
        <is>
          <t>High</t>
        </is>
      </c>
      <c r="K84" s="54">
        <f>"Tranche 1"&amp;CHAR(10)&amp;_xlfn.TEXTJOIN(CHAR(10),TRUE,O$84:O$93)</f>
        <v/>
      </c>
      <c r="L84" s="55">
        <f>"Tranche 2"&amp;CHAR(10)&amp;_xlfn.TEXTJOIN(CHAR(10),TRUE,P$84:P$93)</f>
        <v/>
      </c>
      <c r="M84" s="56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49" t="inlineStr">
        <is>
          <t>②</t>
        </is>
      </c>
      <c r="B85" s="50" t="n"/>
      <c r="C85" s="33" t="n"/>
      <c r="D85" s="33" t="n"/>
      <c r="E85" s="33" t="n"/>
      <c r="F85" s="32" t="n"/>
      <c r="G85" s="51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57" t="n"/>
      <c r="L85" s="57" t="n"/>
      <c r="M85" s="57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49" t="inlineStr">
        <is>
          <t>③</t>
        </is>
      </c>
      <c r="B86" s="50" t="n"/>
      <c r="C86" s="33" t="n"/>
      <c r="D86" s="33" t="n"/>
      <c r="E86" s="33" t="n"/>
      <c r="F86" s="32" t="n"/>
      <c r="G86" s="51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58" t="n"/>
      <c r="L86" s="58" t="n"/>
      <c r="M86" s="58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49" t="inlineStr">
        <is>
          <t>④</t>
        </is>
      </c>
      <c r="B87" s="50" t="n"/>
      <c r="C87" s="33" t="n"/>
      <c r="D87" s="33" t="n"/>
      <c r="E87" s="33" t="n"/>
      <c r="F87" s="32" t="n"/>
      <c r="G87" s="51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53" t="inlineStr">
        <is>
          <t>Medium</t>
        </is>
      </c>
      <c r="K87" s="54">
        <f>"Tranche 1"&amp;CHAR(10)&amp;_xlfn.TEXTJOIN(CHAR(10),TRUE,R$84:R$93)</f>
        <v/>
      </c>
      <c r="L87" s="55">
        <f>"Tranche 2"&amp;CHAR(10)&amp;_xlfn.TEXTJOIN(CHAR(10),TRUE,S$84:S$93)</f>
        <v/>
      </c>
      <c r="M87" s="59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49" t="inlineStr">
        <is>
          <t>⑤</t>
        </is>
      </c>
      <c r="B88" s="50" t="n"/>
      <c r="C88" s="33" t="n"/>
      <c r="D88" s="33" t="n"/>
      <c r="E88" s="33" t="n"/>
      <c r="F88" s="32" t="n"/>
      <c r="G88" s="51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57" t="n"/>
      <c r="L88" s="57" t="n"/>
      <c r="M88" s="57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49" t="inlineStr">
        <is>
          <t>⑥</t>
        </is>
      </c>
      <c r="B89" s="50" t="n"/>
      <c r="C89" s="33" t="n"/>
      <c r="D89" s="33" t="n"/>
      <c r="E89" s="33" t="n"/>
      <c r="F89" s="32" t="n"/>
      <c r="G89" s="51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58" t="n"/>
      <c r="L89" s="58" t="n"/>
      <c r="M89" s="58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49" t="inlineStr">
        <is>
          <t>⑦</t>
        </is>
      </c>
      <c r="B90" s="50" t="n"/>
      <c r="C90" s="33" t="n"/>
      <c r="D90" s="33" t="n"/>
      <c r="E90" s="33" t="n"/>
      <c r="F90" s="32" t="n"/>
      <c r="G90" s="51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53" t="inlineStr">
        <is>
          <t>Low</t>
        </is>
      </c>
      <c r="K90" s="59">
        <f>_xlfn.TEXTJOIN(CHAR(10),TRUE,U$84:U$93)</f>
        <v/>
      </c>
      <c r="L90" s="59">
        <f>_xlfn.TEXTJOIN(CHAR(10),TRUE,V$84:V$93)</f>
        <v/>
      </c>
      <c r="M90" s="59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49" t="inlineStr">
        <is>
          <t>⑧</t>
        </is>
      </c>
      <c r="B91" s="50" t="n"/>
      <c r="C91" s="33" t="n"/>
      <c r="D91" s="33" t="n"/>
      <c r="E91" s="33" t="n"/>
      <c r="F91" s="32" t="n"/>
      <c r="G91" s="51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57" t="n"/>
      <c r="L91" s="57" t="n"/>
      <c r="M91" s="57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49" t="inlineStr">
        <is>
          <t>⑨</t>
        </is>
      </c>
      <c r="B92" s="50" t="n"/>
      <c r="C92" s="33" t="n"/>
      <c r="D92" s="33" t="n"/>
      <c r="E92" s="33" t="n"/>
      <c r="F92" s="32" t="n"/>
      <c r="G92" s="51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58" t="n"/>
      <c r="L92" s="58" t="n"/>
      <c r="M92" s="58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49" t="inlineStr">
        <is>
          <t>⑩</t>
        </is>
      </c>
      <c r="B93" s="50" t="n"/>
      <c r="C93" s="33" t="n"/>
      <c r="D93" s="33" t="n"/>
      <c r="E93" s="33" t="n"/>
      <c r="F93" s="32" t="n"/>
      <c r="G93" s="51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53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B0F0"/>
    <outlinePr summaryBelow="1" summaryRight="1"/>
    <pageSetUpPr/>
  </sheetPr>
  <dimension ref="A1:W7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Single-in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HYPERLINK("#'Single-in'!A11","Global API")</f>
        <v/>
      </c>
    </row>
    <row r="6">
      <c r="A6" s="43" t="inlineStr">
        <is>
          <t>2.</t>
        </is>
      </c>
      <c r="B6" s="3">
        <f>HYPERLINK("#'Single-in'!A25","Payment Apps &amp; SDKs")</f>
        <v/>
      </c>
    </row>
    <row r="7">
      <c r="A7" s="43" t="inlineStr">
        <is>
          <t>3.</t>
        </is>
      </c>
      <c r="B7" s="3">
        <f>HYPERLINK("#'Single-in'!A39","Developer Experience")</f>
        <v/>
      </c>
    </row>
    <row r="8">
      <c r="A8" s="43" t="inlineStr">
        <is>
          <t>4.</t>
        </is>
      </c>
      <c r="B8" s="3">
        <f>HYPERLINK("#'Single-in'!A53","Hosted Solutions")</f>
        <v/>
      </c>
    </row>
    <row r="9">
      <c r="A9" s="43" t="inlineStr">
        <is>
          <t>5.</t>
        </is>
      </c>
      <c r="B9" s="3">
        <f>HYPERLINK("#'Single-in'!A67","Unified Proposition")</f>
        <v/>
      </c>
    </row>
    <row r="11" ht="22" customHeight="1">
      <c r="A11" s="44" t="inlineStr">
        <is>
          <t>Global API</t>
        </is>
      </c>
      <c r="G11" s="45">
        <f>HYPERLINK("#'Single-in'!A4","▲ tracker")</f>
        <v/>
      </c>
      <c r="K11" s="46" t="inlineStr">
        <is>
          <t>Assessment Outcome</t>
        </is>
      </c>
    </row>
    <row r="12" ht="26" customHeight="1">
      <c r="A12" s="47" t="inlineStr">
        <is>
          <t>#</t>
        </is>
      </c>
      <c r="B12" s="47" t="inlineStr">
        <is>
          <t>Platform</t>
        </is>
      </c>
      <c r="C12" s="47" t="inlineStr">
        <is>
          <t>State</t>
        </is>
      </c>
      <c r="D12" s="47" t="inlineStr">
        <is>
          <t>Imperative to exit (= Benefits)</t>
        </is>
      </c>
      <c r="E12" s="47" t="inlineStr">
        <is>
          <t>Exit complexity</t>
        </is>
      </c>
      <c r="F12" s="47" t="inlineStr">
        <is>
          <t>Supporting facts</t>
        </is>
      </c>
      <c r="G12" s="47" t="inlineStr">
        <is>
          <t>Tranche (auto)</t>
        </is>
      </c>
      <c r="K12" s="48" t="inlineStr">
        <is>
          <t>Low</t>
        </is>
      </c>
      <c r="L12" s="48" t="inlineStr">
        <is>
          <t>Medium</t>
        </is>
      </c>
      <c r="M12" s="48" t="inlineStr">
        <is>
          <t>High</t>
        </is>
      </c>
    </row>
    <row r="13" ht="20" customHeight="1">
      <c r="A13" s="49" t="inlineStr">
        <is>
          <t>①</t>
        </is>
      </c>
      <c r="B13" s="50" t="n"/>
      <c r="C13" s="33" t="n"/>
      <c r="D13" s="33" t="n"/>
      <c r="E13" s="33" t="n"/>
      <c r="F13" s="32" t="n"/>
      <c r="G13" s="51">
        <f>IF(OR($B13="",$D13="",$E13=""),"",IF(OR($C13="Target state",$C13="Exception"),"Out of scope",IF($D13="Low","No tranche",IF($E13="Low","Tranche 1",IF($E13="Medium","Tranche 2",IF($D13="High","Tranche 3","No tranche"))))))</f>
        <v/>
      </c>
      <c r="I13" s="52" t="inlineStr">
        <is>
          <t>Benefits (= Imperative to exit)</t>
        </is>
      </c>
      <c r="J13" s="53" t="inlineStr">
        <is>
          <t>High</t>
        </is>
      </c>
      <c r="K13" s="54">
        <f>"Tranche 1"&amp;CHAR(10)&amp;_xlfn.TEXTJOIN(CHAR(10),TRUE,O$13:O$22)</f>
        <v/>
      </c>
      <c r="L13" s="55">
        <f>"Tranche 2"&amp;CHAR(10)&amp;_xlfn.TEXTJOIN(CHAR(10),TRUE,P$13:P$22)</f>
        <v/>
      </c>
      <c r="M13" s="56">
        <f>"Tranche 3"&amp;CHAR(10)&amp;_xlfn.TEXTJOIN(CHAR(10),TRUE,Q$13:Q$22)</f>
        <v/>
      </c>
      <c r="O13">
        <f>IF(AND($B13&lt;&gt;"",$C13&lt;&gt;"Target state",$C13&lt;&gt;"Exception",$D13="High",$E13="Low"),$A13&amp;"  "&amp;$B13,"")</f>
        <v/>
      </c>
      <c r="P13">
        <f>IF(AND($B13&lt;&gt;"",$C13&lt;&gt;"Target state",$C13&lt;&gt;"Exception",$D13="High",$E13="Medium"),$A13&amp;"  "&amp;$B13,"")</f>
        <v/>
      </c>
      <c r="Q13">
        <f>IF(AND($B13&lt;&gt;"",$C13&lt;&gt;"Target state",$C13&lt;&gt;"Exception",$D13="High",$E13="High"),$A13&amp;"  "&amp;$B13,"")</f>
        <v/>
      </c>
      <c r="R13">
        <f>IF(AND($B13&lt;&gt;"",$C13&lt;&gt;"Target state",$C13&lt;&gt;"Exception",$D13="Medium",$E13="Low"),$A13&amp;"  "&amp;$B13,"")</f>
        <v/>
      </c>
      <c r="S13">
        <f>IF(AND($B13&lt;&gt;"",$C13&lt;&gt;"Target state",$C13&lt;&gt;"Exception",$D13="Medium",$E13="Medium"),$A13&amp;"  "&amp;$B13,"")</f>
        <v/>
      </c>
      <c r="T13">
        <f>IF(AND($B13&lt;&gt;"",$C13&lt;&gt;"Target state",$C13&lt;&gt;"Exception",$D13="Medium",$E13="High"),$A13&amp;"  "&amp;$B13,"")</f>
        <v/>
      </c>
      <c r="U13">
        <f>IF(AND($B13&lt;&gt;"",$C13&lt;&gt;"Target state",$C13&lt;&gt;"Exception",$D13="Low",$E13="Low"),$A13&amp;"  "&amp;$B13,"")</f>
        <v/>
      </c>
      <c r="V13">
        <f>IF(AND($B13&lt;&gt;"",$C13&lt;&gt;"Target state",$C13&lt;&gt;"Exception",$D13="Low",$E13="Medium"),$A13&amp;"  "&amp;$B13,"")</f>
        <v/>
      </c>
      <c r="W13">
        <f>IF(AND($B13&lt;&gt;"",$C13&lt;&gt;"Target state",$C13&lt;&gt;"Exception",$D13="Low",$E13="High"),$A13&amp;"  "&amp;$B13,"")</f>
        <v/>
      </c>
    </row>
    <row r="14" ht="20" customHeight="1">
      <c r="A14" s="49" t="inlineStr">
        <is>
          <t>②</t>
        </is>
      </c>
      <c r="B14" s="50" t="n"/>
      <c r="C14" s="33" t="n"/>
      <c r="D14" s="33" t="n"/>
      <c r="E14" s="33" t="n"/>
      <c r="F14" s="32" t="n"/>
      <c r="G14" s="51">
        <f>IF(OR($B14="",$D14="",$E14=""),"",IF(OR($C14="Target state",$C14="Exception"),"Out of scope",IF($D14="Low","No tranche",IF($E14="Low","Tranche 1",IF($E14="Medium","Tranche 2",IF($D14="High","Tranche 3","No tranche"))))))</f>
        <v/>
      </c>
      <c r="K14" s="57" t="n"/>
      <c r="L14" s="57" t="n"/>
      <c r="M14" s="57" t="n"/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49" t="inlineStr">
        <is>
          <t>③</t>
        </is>
      </c>
      <c r="B15" s="50" t="n"/>
      <c r="C15" s="33" t="n"/>
      <c r="D15" s="33" t="n"/>
      <c r="E15" s="33" t="n"/>
      <c r="F15" s="32" t="n"/>
      <c r="G15" s="51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58" t="n"/>
      <c r="L15" s="58" t="n"/>
      <c r="M15" s="58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49" t="inlineStr">
        <is>
          <t>④</t>
        </is>
      </c>
      <c r="B16" s="50" t="n"/>
      <c r="C16" s="33" t="n"/>
      <c r="D16" s="33" t="n"/>
      <c r="E16" s="33" t="n"/>
      <c r="F16" s="32" t="n"/>
      <c r="G16" s="51">
        <f>IF(OR($B16="",$D16="",$E16=""),"",IF(OR($C16="Target state",$C16="Exception"),"Out of scope",IF($D16="Low","No tranche",IF($E16="Low","Tranche 1",IF($E16="Medium","Tranche 2",IF($D16="High","Tranche 3","No tranche"))))))</f>
        <v/>
      </c>
      <c r="J16" s="53" t="inlineStr">
        <is>
          <t>Medium</t>
        </is>
      </c>
      <c r="K16" s="54">
        <f>"Tranche 1"&amp;CHAR(10)&amp;_xlfn.TEXTJOIN(CHAR(10),TRUE,R$13:R$22)</f>
        <v/>
      </c>
      <c r="L16" s="55">
        <f>"Tranche 2"&amp;CHAR(10)&amp;_xlfn.TEXTJOIN(CHAR(10),TRUE,S$13:S$22)</f>
        <v/>
      </c>
      <c r="M16" s="59">
        <f>_xlfn.TEXTJOIN(CHAR(10),TRUE,T$13:T$22)</f>
        <v/>
      </c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49" t="inlineStr">
        <is>
          <t>⑤</t>
        </is>
      </c>
      <c r="B17" s="50" t="n"/>
      <c r="C17" s="33" t="n"/>
      <c r="D17" s="33" t="n"/>
      <c r="E17" s="33" t="n"/>
      <c r="F17" s="32" t="n"/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K17" s="57" t="n"/>
      <c r="L17" s="57" t="n"/>
      <c r="M17" s="57" t="n"/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⑥</t>
        </is>
      </c>
      <c r="B18" s="50" t="n"/>
      <c r="C18" s="33" t="n"/>
      <c r="D18" s="33" t="n"/>
      <c r="E18" s="33" t="n"/>
      <c r="F18" s="32" t="n"/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58" t="n"/>
      <c r="L18" s="58" t="n"/>
      <c r="M18" s="58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49" t="inlineStr">
        <is>
          <t>⑦</t>
        </is>
      </c>
      <c r="B19" s="50" t="n"/>
      <c r="C19" s="33" t="n"/>
      <c r="D19" s="33" t="n"/>
      <c r="E19" s="33" t="n"/>
      <c r="F19" s="32" t="n"/>
      <c r="G19" s="51">
        <f>IF(OR($B19="",$D19="",$E19=""),"",IF(OR($C19="Target state",$C19="Exception"),"Out of scope",IF($D19="Low","No tranche",IF($E19="Low","Tranche 1",IF($E19="Medium","Tranche 2",IF($D19="High","Tranche 3","No tranche"))))))</f>
        <v/>
      </c>
      <c r="J19" s="53" t="inlineStr">
        <is>
          <t>Low</t>
        </is>
      </c>
      <c r="K19" s="59">
        <f>_xlfn.TEXTJOIN(CHAR(10),TRUE,U$13:U$22)</f>
        <v/>
      </c>
      <c r="L19" s="59">
        <f>_xlfn.TEXTJOIN(CHAR(10),TRUE,V$13:V$22)</f>
        <v/>
      </c>
      <c r="M19" s="59">
        <f>_xlfn.TEXTJOIN(CHAR(10),TRUE,W$13:W$22)</f>
        <v/>
      </c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49" t="inlineStr">
        <is>
          <t>⑧</t>
        </is>
      </c>
      <c r="B20" s="50" t="n"/>
      <c r="C20" s="33" t="n"/>
      <c r="D20" s="33" t="n"/>
      <c r="E20" s="33" t="n"/>
      <c r="F20" s="32" t="n"/>
      <c r="G20" s="51">
        <f>IF(OR($B20="",$D20="",$E20=""),"",IF(OR($C20="Target state",$C20="Exception"),"Out of scope",IF($D20="Low","No tranche",IF($E20="Low","Tranche 1",IF($E20="Medium","Tranche 2",IF($D20="High","Tranche 3","No tranche"))))))</f>
        <v/>
      </c>
      <c r="K20" s="57" t="n"/>
      <c r="L20" s="57" t="n"/>
      <c r="M20" s="57" t="n"/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49" t="inlineStr">
        <is>
          <t>⑨</t>
        </is>
      </c>
      <c r="B21" s="50" t="n"/>
      <c r="C21" s="33" t="n"/>
      <c r="D21" s="33" t="n"/>
      <c r="E21" s="33" t="n"/>
      <c r="F21" s="32" t="n"/>
      <c r="G21" s="51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58" t="n"/>
      <c r="L21" s="58" t="n"/>
      <c r="M21" s="58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49" t="inlineStr">
        <is>
          <t>⑩</t>
        </is>
      </c>
      <c r="B22" s="50" t="n"/>
      <c r="C22" s="33" t="n"/>
      <c r="D22" s="33" t="n"/>
      <c r="E22" s="33" t="n"/>
      <c r="F22" s="32" t="n"/>
      <c r="G22" s="51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53" t="inlineStr">
        <is>
          <t>Complexity</t>
        </is>
      </c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5" ht="22" customHeight="1">
      <c r="A25" s="44" t="inlineStr">
        <is>
          <t>Payment Apps &amp; SDKs</t>
        </is>
      </c>
      <c r="G25" s="45">
        <f>HYPERLINK("#'Single-in'!A4","▲ tracker")</f>
        <v/>
      </c>
      <c r="K25" s="46" t="inlineStr">
        <is>
          <t>Assessment Outcome</t>
        </is>
      </c>
    </row>
    <row r="26" ht="26" customHeight="1">
      <c r="A26" s="47" t="inlineStr">
        <is>
          <t>#</t>
        </is>
      </c>
      <c r="B26" s="47" t="inlineStr">
        <is>
          <t>Platform</t>
        </is>
      </c>
      <c r="C26" s="47" t="inlineStr">
        <is>
          <t>State</t>
        </is>
      </c>
      <c r="D26" s="47" t="inlineStr">
        <is>
          <t>Imperative to exit (= Benefits)</t>
        </is>
      </c>
      <c r="E26" s="47" t="inlineStr">
        <is>
          <t>Exit complexity</t>
        </is>
      </c>
      <c r="F26" s="47" t="inlineStr">
        <is>
          <t>Supporting facts</t>
        </is>
      </c>
      <c r="G26" s="47" t="inlineStr">
        <is>
          <t>Tranche (auto)</t>
        </is>
      </c>
      <c r="K26" s="48" t="inlineStr">
        <is>
          <t>Low</t>
        </is>
      </c>
      <c r="L26" s="48" t="inlineStr">
        <is>
          <t>Medium</t>
        </is>
      </c>
      <c r="M26" s="48" t="inlineStr">
        <is>
          <t>High</t>
        </is>
      </c>
    </row>
    <row r="27" ht="20" customHeight="1">
      <c r="A27" s="49" t="inlineStr">
        <is>
          <t>①</t>
        </is>
      </c>
      <c r="B27" s="50" t="n"/>
      <c r="C27" s="33" t="n"/>
      <c r="D27" s="33" t="n"/>
      <c r="E27" s="33" t="n"/>
      <c r="F27" s="32" t="n"/>
      <c r="G27" s="51">
        <f>IF(OR($B27="",$D27="",$E27=""),"",IF(OR($C27="Target state",$C27="Exception"),"Out of scope",IF($D27="Low","No tranche",IF($E27="Low","Tranche 1",IF($E27="Medium","Tranche 2",IF($D27="High","Tranche 3","No tranche"))))))</f>
        <v/>
      </c>
      <c r="I27" s="52" t="inlineStr">
        <is>
          <t>Benefits (= Imperative to exit)</t>
        </is>
      </c>
      <c r="J27" s="53" t="inlineStr">
        <is>
          <t>High</t>
        </is>
      </c>
      <c r="K27" s="54">
        <f>"Tranche 1"&amp;CHAR(10)&amp;_xlfn.TEXTJOIN(CHAR(10),TRUE,O$27:O$36)</f>
        <v/>
      </c>
      <c r="L27" s="55">
        <f>"Tranche 2"&amp;CHAR(10)&amp;_xlfn.TEXTJOIN(CHAR(10),TRUE,P$27:P$36)</f>
        <v/>
      </c>
      <c r="M27" s="56">
        <f>"Tranche 3"&amp;CHAR(10)&amp;_xlfn.TEXTJOIN(CHAR(10),TRUE,Q$27:Q$36)</f>
        <v/>
      </c>
      <c r="O27">
        <f>IF(AND($B27&lt;&gt;"",$C27&lt;&gt;"Target state",$C27&lt;&gt;"Exception",$D27="High",$E27="Low"),$A27&amp;"  "&amp;$B27,"")</f>
        <v/>
      </c>
      <c r="P27">
        <f>IF(AND($B27&lt;&gt;"",$C27&lt;&gt;"Target state",$C27&lt;&gt;"Exception",$D27="High",$E27="Medium"),$A27&amp;"  "&amp;$B27,"")</f>
        <v/>
      </c>
      <c r="Q27">
        <f>IF(AND($B27&lt;&gt;"",$C27&lt;&gt;"Target state",$C27&lt;&gt;"Exception",$D27="High",$E27="High"),$A27&amp;"  "&amp;$B27,"")</f>
        <v/>
      </c>
      <c r="R27">
        <f>IF(AND($B27&lt;&gt;"",$C27&lt;&gt;"Target state",$C27&lt;&gt;"Exception",$D27="Medium",$E27="Low"),$A27&amp;"  "&amp;$B27,"")</f>
        <v/>
      </c>
      <c r="S27">
        <f>IF(AND($B27&lt;&gt;"",$C27&lt;&gt;"Target state",$C27&lt;&gt;"Exception",$D27="Medium",$E27="Medium"),$A27&amp;"  "&amp;$B27,"")</f>
        <v/>
      </c>
      <c r="T27">
        <f>IF(AND($B27&lt;&gt;"",$C27&lt;&gt;"Target state",$C27&lt;&gt;"Exception",$D27="Medium",$E27="High"),$A27&amp;"  "&amp;$B27,"")</f>
        <v/>
      </c>
      <c r="U27">
        <f>IF(AND($B27&lt;&gt;"",$C27&lt;&gt;"Target state",$C27&lt;&gt;"Exception",$D27="Low",$E27="Low"),$A27&amp;"  "&amp;$B27,"")</f>
        <v/>
      </c>
      <c r="V27">
        <f>IF(AND($B27&lt;&gt;"",$C27&lt;&gt;"Target state",$C27&lt;&gt;"Exception",$D27="Low",$E27="Medium"),$A27&amp;"  "&amp;$B27,"")</f>
        <v/>
      </c>
      <c r="W27">
        <f>IF(AND($B27&lt;&gt;"",$C27&lt;&gt;"Target state",$C27&lt;&gt;"Exception",$D27="Low",$E27="High"),$A27&amp;"  "&amp;$B27,"")</f>
        <v/>
      </c>
    </row>
    <row r="28" ht="20" customHeight="1">
      <c r="A28" s="49" t="inlineStr">
        <is>
          <t>②</t>
        </is>
      </c>
      <c r="B28" s="50" t="n"/>
      <c r="C28" s="33" t="n"/>
      <c r="D28" s="33" t="n"/>
      <c r="E28" s="33" t="n"/>
      <c r="F28" s="32" t="n"/>
      <c r="G28" s="51">
        <f>IF(OR($B28="",$D28="",$E28=""),"",IF(OR($C28="Target state",$C28="Exception"),"Out of scope",IF($D28="Low","No tranche",IF($E28="Low","Tranche 1",IF($E28="Medium","Tranche 2",IF($D28="High","Tranche 3","No tranche"))))))</f>
        <v/>
      </c>
      <c r="K28" s="57" t="n"/>
      <c r="L28" s="57" t="n"/>
      <c r="M28" s="57" t="n"/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49" t="inlineStr">
        <is>
          <t>③</t>
        </is>
      </c>
      <c r="B29" s="50" t="n"/>
      <c r="C29" s="33" t="n"/>
      <c r="D29" s="33" t="n"/>
      <c r="E29" s="33" t="n"/>
      <c r="F29" s="32" t="n"/>
      <c r="G29" s="51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58" t="n"/>
      <c r="L29" s="58" t="n"/>
      <c r="M29" s="58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49" t="inlineStr">
        <is>
          <t>④</t>
        </is>
      </c>
      <c r="B30" s="50" t="n"/>
      <c r="C30" s="33" t="n"/>
      <c r="D30" s="33" t="n"/>
      <c r="E30" s="33" t="n"/>
      <c r="F30" s="32" t="n"/>
      <c r="G30" s="51">
        <f>IF(OR($B30="",$D30="",$E30=""),"",IF(OR($C30="Target state",$C30="Exception"),"Out of scope",IF($D30="Low","No tranche",IF($E30="Low","Tranche 1",IF($E30="Medium","Tranche 2",IF($D30="High","Tranche 3","No tranche"))))))</f>
        <v/>
      </c>
      <c r="J30" s="53" t="inlineStr">
        <is>
          <t>Medium</t>
        </is>
      </c>
      <c r="K30" s="54">
        <f>"Tranche 1"&amp;CHAR(10)&amp;_xlfn.TEXTJOIN(CHAR(10),TRUE,R$27:R$36)</f>
        <v/>
      </c>
      <c r="L30" s="55">
        <f>"Tranche 2"&amp;CHAR(10)&amp;_xlfn.TEXTJOIN(CHAR(10),TRUE,S$27:S$36)</f>
        <v/>
      </c>
      <c r="M30" s="59">
        <f>_xlfn.TEXTJOIN(CHAR(10),TRUE,T$27:T$36)</f>
        <v/>
      </c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49" t="inlineStr">
        <is>
          <t>⑤</t>
        </is>
      </c>
      <c r="B31" s="50" t="n"/>
      <c r="C31" s="33" t="n"/>
      <c r="D31" s="33" t="n"/>
      <c r="E31" s="33" t="n"/>
      <c r="F31" s="32" t="n"/>
      <c r="G31" s="51">
        <f>IF(OR($B31="",$D31="",$E31=""),"",IF(OR($C31="Target state",$C31="Exception"),"Out of scope",IF($D31="Low","No tranche",IF($E31="Low","Tranche 1",IF($E31="Medium","Tranche 2",IF($D31="High","Tranche 3","No tranche"))))))</f>
        <v/>
      </c>
      <c r="K31" s="57" t="n"/>
      <c r="L31" s="57" t="n"/>
      <c r="M31" s="57" t="n"/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49" t="inlineStr">
        <is>
          <t>⑥</t>
        </is>
      </c>
      <c r="B32" s="50" t="n"/>
      <c r="C32" s="33" t="n"/>
      <c r="D32" s="33" t="n"/>
      <c r="E32" s="33" t="n"/>
      <c r="F32" s="32" t="n"/>
      <c r="G32" s="51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58" t="n"/>
      <c r="L32" s="58" t="n"/>
      <c r="M32" s="58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49" t="inlineStr">
        <is>
          <t>⑦</t>
        </is>
      </c>
      <c r="B33" s="50" t="n"/>
      <c r="C33" s="33" t="n"/>
      <c r="D33" s="33" t="n"/>
      <c r="E33" s="33" t="n"/>
      <c r="F33" s="32" t="n"/>
      <c r="G33" s="51">
        <f>IF(OR($B33="",$D33="",$E33=""),"",IF(OR($C33="Target state",$C33="Exception"),"Out of scope",IF($D33="Low","No tranche",IF($E33="Low","Tranche 1",IF($E33="Medium","Tranche 2",IF($D33="High","Tranche 3","No tranche"))))))</f>
        <v/>
      </c>
      <c r="J33" s="53" t="inlineStr">
        <is>
          <t>Low</t>
        </is>
      </c>
      <c r="K33" s="59">
        <f>_xlfn.TEXTJOIN(CHAR(10),TRUE,U$27:U$36)</f>
        <v/>
      </c>
      <c r="L33" s="59">
        <f>_xlfn.TEXTJOIN(CHAR(10),TRUE,V$27:V$36)</f>
        <v/>
      </c>
      <c r="M33" s="59">
        <f>_xlfn.TEXTJOIN(CHAR(10),TRUE,W$27:W$36)</f>
        <v/>
      </c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49" t="inlineStr">
        <is>
          <t>⑧</t>
        </is>
      </c>
      <c r="B34" s="50" t="n"/>
      <c r="C34" s="33" t="n"/>
      <c r="D34" s="33" t="n"/>
      <c r="E34" s="33" t="n"/>
      <c r="F34" s="32" t="n"/>
      <c r="G34" s="51">
        <f>IF(OR($B34="",$D34="",$E34=""),"",IF(OR($C34="Target state",$C34="Exception"),"Out of scope",IF($D34="Low","No tranche",IF($E34="Low","Tranche 1",IF($E34="Medium","Tranche 2",IF($D34="High","Tranche 3","No tranche"))))))</f>
        <v/>
      </c>
      <c r="K34" s="57" t="n"/>
      <c r="L34" s="57" t="n"/>
      <c r="M34" s="57" t="n"/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49" t="inlineStr">
        <is>
          <t>⑨</t>
        </is>
      </c>
      <c r="B35" s="50" t="n"/>
      <c r="C35" s="33" t="n"/>
      <c r="D35" s="33" t="n"/>
      <c r="E35" s="33" t="n"/>
      <c r="F35" s="32" t="n"/>
      <c r="G35" s="51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58" t="n"/>
      <c r="L35" s="58" t="n"/>
      <c r="M35" s="58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49" t="inlineStr">
        <is>
          <t>⑩</t>
        </is>
      </c>
      <c r="B36" s="50" t="n"/>
      <c r="C36" s="33" t="n"/>
      <c r="D36" s="33" t="n"/>
      <c r="E36" s="33" t="n"/>
      <c r="F36" s="32" t="n"/>
      <c r="G36" s="51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53" t="inlineStr">
        <is>
          <t>Complexity</t>
        </is>
      </c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9" ht="22" customHeight="1">
      <c r="A39" s="44" t="inlineStr">
        <is>
          <t>Developer Experience</t>
        </is>
      </c>
      <c r="G39" s="45">
        <f>HYPERLINK("#'Single-in'!A4","▲ tracker")</f>
        <v/>
      </c>
      <c r="K39" s="46" t="inlineStr">
        <is>
          <t>Assessment Outcome</t>
        </is>
      </c>
    </row>
    <row r="40" ht="26" customHeight="1">
      <c r="A40" s="47" t="inlineStr">
        <is>
          <t>#</t>
        </is>
      </c>
      <c r="B40" s="47" t="inlineStr">
        <is>
          <t>Platform</t>
        </is>
      </c>
      <c r="C40" s="47" t="inlineStr">
        <is>
          <t>State</t>
        </is>
      </c>
      <c r="D40" s="47" t="inlineStr">
        <is>
          <t>Imperative to exit (= Benefits)</t>
        </is>
      </c>
      <c r="E40" s="47" t="inlineStr">
        <is>
          <t>Exit complexity</t>
        </is>
      </c>
      <c r="F40" s="47" t="inlineStr">
        <is>
          <t>Supporting facts</t>
        </is>
      </c>
      <c r="G40" s="47" t="inlineStr">
        <is>
          <t>Tranche (auto)</t>
        </is>
      </c>
      <c r="K40" s="48" t="inlineStr">
        <is>
          <t>Low</t>
        </is>
      </c>
      <c r="L40" s="48" t="inlineStr">
        <is>
          <t>Medium</t>
        </is>
      </c>
      <c r="M40" s="48" t="inlineStr">
        <is>
          <t>High</t>
        </is>
      </c>
    </row>
    <row r="41" ht="20" customHeight="1">
      <c r="A41" s="49" t="inlineStr">
        <is>
          <t>①</t>
        </is>
      </c>
      <c r="B41" s="50" t="n"/>
      <c r="C41" s="33" t="n"/>
      <c r="D41" s="33" t="n"/>
      <c r="E41" s="33" t="n"/>
      <c r="F41" s="32" t="n"/>
      <c r="G41" s="51">
        <f>IF(OR($B41="",$D41="",$E41=""),"",IF(OR($C41="Target state",$C41="Exception"),"Out of scope",IF($D41="Low","No tranche",IF($E41="Low","Tranche 1",IF($E41="Medium","Tranche 2",IF($D41="High","Tranche 3","No tranche"))))))</f>
        <v/>
      </c>
      <c r="I41" s="52" t="inlineStr">
        <is>
          <t>Benefits (= Imperative to exit)</t>
        </is>
      </c>
      <c r="J41" s="53" t="inlineStr">
        <is>
          <t>High</t>
        </is>
      </c>
      <c r="K41" s="54">
        <f>"Tranche 1"&amp;CHAR(10)&amp;_xlfn.TEXTJOIN(CHAR(10),TRUE,O$41:O$50)</f>
        <v/>
      </c>
      <c r="L41" s="55">
        <f>"Tranche 2"&amp;CHAR(10)&amp;_xlfn.TEXTJOIN(CHAR(10),TRUE,P$41:P$50)</f>
        <v/>
      </c>
      <c r="M41" s="56">
        <f>"Tranche 3"&amp;CHAR(10)&amp;_xlfn.TEXTJOIN(CHAR(10),TRUE,Q$41:Q$50)</f>
        <v/>
      </c>
      <c r="O41">
        <f>IF(AND($B41&lt;&gt;"",$C41&lt;&gt;"Target state",$C41&lt;&gt;"Exception",$D41="High",$E41="Low"),$A41&amp;"  "&amp;$B41,"")</f>
        <v/>
      </c>
      <c r="P41">
        <f>IF(AND($B41&lt;&gt;"",$C41&lt;&gt;"Target state",$C41&lt;&gt;"Exception",$D41="High",$E41="Medium"),$A41&amp;"  "&amp;$B41,"")</f>
        <v/>
      </c>
      <c r="Q41">
        <f>IF(AND($B41&lt;&gt;"",$C41&lt;&gt;"Target state",$C41&lt;&gt;"Exception",$D41="High",$E41="High"),$A41&amp;"  "&amp;$B41,"")</f>
        <v/>
      </c>
      <c r="R41">
        <f>IF(AND($B41&lt;&gt;"",$C41&lt;&gt;"Target state",$C41&lt;&gt;"Exception",$D41="Medium",$E41="Low"),$A41&amp;"  "&amp;$B41,"")</f>
        <v/>
      </c>
      <c r="S41">
        <f>IF(AND($B41&lt;&gt;"",$C41&lt;&gt;"Target state",$C41&lt;&gt;"Exception",$D41="Medium",$E41="Medium"),$A41&amp;"  "&amp;$B41,"")</f>
        <v/>
      </c>
      <c r="T41">
        <f>IF(AND($B41&lt;&gt;"",$C41&lt;&gt;"Target state",$C41&lt;&gt;"Exception",$D41="Medium",$E41="High"),$A41&amp;"  "&amp;$B41,"")</f>
        <v/>
      </c>
      <c r="U41">
        <f>IF(AND($B41&lt;&gt;"",$C41&lt;&gt;"Target state",$C41&lt;&gt;"Exception",$D41="Low",$E41="Low"),$A41&amp;"  "&amp;$B41,"")</f>
        <v/>
      </c>
      <c r="V41">
        <f>IF(AND($B41&lt;&gt;"",$C41&lt;&gt;"Target state",$C41&lt;&gt;"Exception",$D41="Low",$E41="Medium"),$A41&amp;"  "&amp;$B41,"")</f>
        <v/>
      </c>
      <c r="W41">
        <f>IF(AND($B41&lt;&gt;"",$C41&lt;&gt;"Target state",$C41&lt;&gt;"Exception",$D41="Low",$E41="High"),$A41&amp;"  "&amp;$B41,"")</f>
        <v/>
      </c>
    </row>
    <row r="42" ht="20" customHeight="1">
      <c r="A42" s="49" t="inlineStr">
        <is>
          <t>②</t>
        </is>
      </c>
      <c r="B42" s="50" t="n"/>
      <c r="C42" s="33" t="n"/>
      <c r="D42" s="33" t="n"/>
      <c r="E42" s="33" t="n"/>
      <c r="F42" s="32" t="n"/>
      <c r="G42" s="51">
        <f>IF(OR($B42="",$D42="",$E42=""),"",IF(OR($C42="Target state",$C42="Exception"),"Out of scope",IF($D42="Low","No tranche",IF($E42="Low","Tranche 1",IF($E42="Medium","Tranche 2",IF($D42="High","Tranche 3","No tranche"))))))</f>
        <v/>
      </c>
      <c r="K42" s="57" t="n"/>
      <c r="L42" s="57" t="n"/>
      <c r="M42" s="57" t="n"/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49" t="inlineStr">
        <is>
          <t>③</t>
        </is>
      </c>
      <c r="B43" s="50" t="n"/>
      <c r="C43" s="33" t="n"/>
      <c r="D43" s="33" t="n"/>
      <c r="E43" s="33" t="n"/>
      <c r="F43" s="32" t="n"/>
      <c r="G43" s="51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58" t="n"/>
      <c r="L43" s="58" t="n"/>
      <c r="M43" s="58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49" t="inlineStr">
        <is>
          <t>④</t>
        </is>
      </c>
      <c r="B44" s="50" t="n"/>
      <c r="C44" s="33" t="n"/>
      <c r="D44" s="33" t="n"/>
      <c r="E44" s="33" t="n"/>
      <c r="F44" s="32" t="n"/>
      <c r="G44" s="51">
        <f>IF(OR($B44="",$D44="",$E44=""),"",IF(OR($C44="Target state",$C44="Exception"),"Out of scope",IF($D44="Low","No tranche",IF($E44="Low","Tranche 1",IF($E44="Medium","Tranche 2",IF($D44="High","Tranche 3","No tranche"))))))</f>
        <v/>
      </c>
      <c r="J44" s="53" t="inlineStr">
        <is>
          <t>Medium</t>
        </is>
      </c>
      <c r="K44" s="54">
        <f>"Tranche 1"&amp;CHAR(10)&amp;_xlfn.TEXTJOIN(CHAR(10),TRUE,R$41:R$50)</f>
        <v/>
      </c>
      <c r="L44" s="55">
        <f>"Tranche 2"&amp;CHAR(10)&amp;_xlfn.TEXTJOIN(CHAR(10),TRUE,S$41:S$50)</f>
        <v/>
      </c>
      <c r="M44" s="59">
        <f>_xlfn.TEXTJOIN(CHAR(10),TRUE,T$41:T$50)</f>
        <v/>
      </c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49" t="inlineStr">
        <is>
          <t>⑤</t>
        </is>
      </c>
      <c r="B45" s="50" t="n"/>
      <c r="C45" s="33" t="n"/>
      <c r="D45" s="33" t="n"/>
      <c r="E45" s="33" t="n"/>
      <c r="F45" s="32" t="n"/>
      <c r="G45" s="51">
        <f>IF(OR($B45="",$D45="",$E45=""),"",IF(OR($C45="Target state",$C45="Exception"),"Out of scope",IF($D45="Low","No tranche",IF($E45="Low","Tranche 1",IF($E45="Medium","Tranche 2",IF($D45="High","Tranche 3","No tranche"))))))</f>
        <v/>
      </c>
      <c r="K45" s="57" t="n"/>
      <c r="L45" s="57" t="n"/>
      <c r="M45" s="57" t="n"/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49" t="inlineStr">
        <is>
          <t>⑥</t>
        </is>
      </c>
      <c r="B46" s="50" t="n"/>
      <c r="C46" s="33" t="n"/>
      <c r="D46" s="33" t="n"/>
      <c r="E46" s="33" t="n"/>
      <c r="F46" s="32" t="n"/>
      <c r="G46" s="51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58" t="n"/>
      <c r="L46" s="58" t="n"/>
      <c r="M46" s="58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49" t="inlineStr">
        <is>
          <t>⑦</t>
        </is>
      </c>
      <c r="B47" s="50" t="n"/>
      <c r="C47" s="33" t="n"/>
      <c r="D47" s="33" t="n"/>
      <c r="E47" s="33" t="n"/>
      <c r="F47" s="32" t="n"/>
      <c r="G47" s="51">
        <f>IF(OR($B47="",$D47="",$E47=""),"",IF(OR($C47="Target state",$C47="Exception"),"Out of scope",IF($D47="Low","No tranche",IF($E47="Low","Tranche 1",IF($E47="Medium","Tranche 2",IF($D47="High","Tranche 3","No tranche"))))))</f>
        <v/>
      </c>
      <c r="J47" s="53" t="inlineStr">
        <is>
          <t>Low</t>
        </is>
      </c>
      <c r="K47" s="59">
        <f>_xlfn.TEXTJOIN(CHAR(10),TRUE,U$41:U$50)</f>
        <v/>
      </c>
      <c r="L47" s="59">
        <f>_xlfn.TEXTJOIN(CHAR(10),TRUE,V$41:V$50)</f>
        <v/>
      </c>
      <c r="M47" s="59">
        <f>_xlfn.TEXTJOIN(CHAR(10),TRUE,W$41:W$50)</f>
        <v/>
      </c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49" t="inlineStr">
        <is>
          <t>⑧</t>
        </is>
      </c>
      <c r="B48" s="50" t="n"/>
      <c r="C48" s="33" t="n"/>
      <c r="D48" s="33" t="n"/>
      <c r="E48" s="33" t="n"/>
      <c r="F48" s="32" t="n"/>
      <c r="G48" s="51">
        <f>IF(OR($B48="",$D48="",$E48=""),"",IF(OR($C48="Target state",$C48="Exception"),"Out of scope",IF($D48="Low","No tranche",IF($E48="Low","Tranche 1",IF($E48="Medium","Tranche 2",IF($D48="High","Tranche 3","No tranche"))))))</f>
        <v/>
      </c>
      <c r="K48" s="57" t="n"/>
      <c r="L48" s="57" t="n"/>
      <c r="M48" s="57" t="n"/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49" t="inlineStr">
        <is>
          <t>⑨</t>
        </is>
      </c>
      <c r="B49" s="50" t="n"/>
      <c r="C49" s="33" t="n"/>
      <c r="D49" s="33" t="n"/>
      <c r="E49" s="33" t="n"/>
      <c r="F49" s="32" t="n"/>
      <c r="G49" s="51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58" t="n"/>
      <c r="L49" s="58" t="n"/>
      <c r="M49" s="58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49" t="inlineStr">
        <is>
          <t>⑩</t>
        </is>
      </c>
      <c r="B50" s="50" t="n"/>
      <c r="C50" s="33" t="n"/>
      <c r="D50" s="33" t="n"/>
      <c r="E50" s="33" t="n"/>
      <c r="F50" s="32" t="n"/>
      <c r="G50" s="51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53" t="inlineStr">
        <is>
          <t>Complexity</t>
        </is>
      </c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3" ht="22" customHeight="1">
      <c r="A53" s="44" t="inlineStr">
        <is>
          <t>Hosted Solutions</t>
        </is>
      </c>
      <c r="G53" s="45">
        <f>HYPERLINK("#'Single-in'!A4","▲ tracker")</f>
        <v/>
      </c>
      <c r="K53" s="46" t="inlineStr">
        <is>
          <t>Assessment Outcome</t>
        </is>
      </c>
    </row>
    <row r="54" ht="26" customHeight="1">
      <c r="A54" s="47" t="inlineStr">
        <is>
          <t>#</t>
        </is>
      </c>
      <c r="B54" s="47" t="inlineStr">
        <is>
          <t>Platform</t>
        </is>
      </c>
      <c r="C54" s="47" t="inlineStr">
        <is>
          <t>State</t>
        </is>
      </c>
      <c r="D54" s="47" t="inlineStr">
        <is>
          <t>Imperative to exit (= Benefits)</t>
        </is>
      </c>
      <c r="E54" s="47" t="inlineStr">
        <is>
          <t>Exit complexity</t>
        </is>
      </c>
      <c r="F54" s="47" t="inlineStr">
        <is>
          <t>Supporting facts</t>
        </is>
      </c>
      <c r="G54" s="47" t="inlineStr">
        <is>
          <t>Tranche (auto)</t>
        </is>
      </c>
      <c r="K54" s="48" t="inlineStr">
        <is>
          <t>Low</t>
        </is>
      </c>
      <c r="L54" s="48" t="inlineStr">
        <is>
          <t>Medium</t>
        </is>
      </c>
      <c r="M54" s="48" t="inlineStr">
        <is>
          <t>High</t>
        </is>
      </c>
    </row>
    <row r="55" ht="20" customHeight="1">
      <c r="A55" s="49" t="inlineStr">
        <is>
          <t>①</t>
        </is>
      </c>
      <c r="B55" s="50" t="n"/>
      <c r="C55" s="33" t="n"/>
      <c r="D55" s="33" t="n"/>
      <c r="E55" s="33" t="n"/>
      <c r="F55" s="32" t="n"/>
      <c r="G55" s="51">
        <f>IF(OR($B55="",$D55="",$E55=""),"",IF(OR($C55="Target state",$C55="Exception"),"Out of scope",IF($D55="Low","No tranche",IF($E55="Low","Tranche 1",IF($E55="Medium","Tranche 2",IF($D55="High","Tranche 3","No tranche"))))))</f>
        <v/>
      </c>
      <c r="I55" s="52" t="inlineStr">
        <is>
          <t>Benefits (= Imperative to exit)</t>
        </is>
      </c>
      <c r="J55" s="53" t="inlineStr">
        <is>
          <t>High</t>
        </is>
      </c>
      <c r="K55" s="54">
        <f>"Tranche 1"&amp;CHAR(10)&amp;_xlfn.TEXTJOIN(CHAR(10),TRUE,O$55:O$64)</f>
        <v/>
      </c>
      <c r="L55" s="55">
        <f>"Tranche 2"&amp;CHAR(10)&amp;_xlfn.TEXTJOIN(CHAR(10),TRUE,P$55:P$64)</f>
        <v/>
      </c>
      <c r="M55" s="56">
        <f>"Tranche 3"&amp;CHAR(10)&amp;_xlfn.TEXTJOIN(CHAR(10),TRUE,Q$55:Q$64)</f>
        <v/>
      </c>
      <c r="O55">
        <f>IF(AND($B55&lt;&gt;"",$C55&lt;&gt;"Target state",$C55&lt;&gt;"Exception",$D55="High",$E55="Low"),$A55&amp;"  "&amp;$B55,"")</f>
        <v/>
      </c>
      <c r="P55">
        <f>IF(AND($B55&lt;&gt;"",$C55&lt;&gt;"Target state",$C55&lt;&gt;"Exception",$D55="High",$E55="Medium"),$A55&amp;"  "&amp;$B55,"")</f>
        <v/>
      </c>
      <c r="Q55">
        <f>IF(AND($B55&lt;&gt;"",$C55&lt;&gt;"Target state",$C55&lt;&gt;"Exception",$D55="High",$E55="High"),$A55&amp;"  "&amp;$B55,"")</f>
        <v/>
      </c>
      <c r="R55">
        <f>IF(AND($B55&lt;&gt;"",$C55&lt;&gt;"Target state",$C55&lt;&gt;"Exception",$D55="Medium",$E55="Low"),$A55&amp;"  "&amp;$B55,"")</f>
        <v/>
      </c>
      <c r="S55">
        <f>IF(AND($B55&lt;&gt;"",$C55&lt;&gt;"Target state",$C55&lt;&gt;"Exception",$D55="Medium",$E55="Medium"),$A55&amp;"  "&amp;$B55,"")</f>
        <v/>
      </c>
      <c r="T55">
        <f>IF(AND($B55&lt;&gt;"",$C55&lt;&gt;"Target state",$C55&lt;&gt;"Exception",$D55="Medium",$E55="High"),$A55&amp;"  "&amp;$B55,"")</f>
        <v/>
      </c>
      <c r="U55">
        <f>IF(AND($B55&lt;&gt;"",$C55&lt;&gt;"Target state",$C55&lt;&gt;"Exception",$D55="Low",$E55="Low"),$A55&amp;"  "&amp;$B55,"")</f>
        <v/>
      </c>
      <c r="V55">
        <f>IF(AND($B55&lt;&gt;"",$C55&lt;&gt;"Target state",$C55&lt;&gt;"Exception",$D55="Low",$E55="Medium"),$A55&amp;"  "&amp;$B55,"")</f>
        <v/>
      </c>
      <c r="W55">
        <f>IF(AND($B55&lt;&gt;"",$C55&lt;&gt;"Target state",$C55&lt;&gt;"Exception",$D55="Low",$E55="High"),$A55&amp;"  "&amp;$B55,"")</f>
        <v/>
      </c>
    </row>
    <row r="56" ht="20" customHeight="1">
      <c r="A56" s="49" t="inlineStr">
        <is>
          <t>②</t>
        </is>
      </c>
      <c r="B56" s="50" t="n"/>
      <c r="C56" s="33" t="n"/>
      <c r="D56" s="33" t="n"/>
      <c r="E56" s="33" t="n"/>
      <c r="F56" s="32" t="n"/>
      <c r="G56" s="51">
        <f>IF(OR($B56="",$D56="",$E56=""),"",IF(OR($C56="Target state",$C56="Exception"),"Out of scope",IF($D56="Low","No tranche",IF($E56="Low","Tranche 1",IF($E56="Medium","Tranche 2",IF($D56="High","Tranche 3","No tranche"))))))</f>
        <v/>
      </c>
      <c r="K56" s="57" t="n"/>
      <c r="L56" s="57" t="n"/>
      <c r="M56" s="57" t="n"/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49" t="inlineStr">
        <is>
          <t>③</t>
        </is>
      </c>
      <c r="B57" s="50" t="n"/>
      <c r="C57" s="33" t="n"/>
      <c r="D57" s="33" t="n"/>
      <c r="E57" s="33" t="n"/>
      <c r="F57" s="32" t="n"/>
      <c r="G57" s="51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58" t="n"/>
      <c r="L57" s="58" t="n"/>
      <c r="M57" s="58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49" t="inlineStr">
        <is>
          <t>④</t>
        </is>
      </c>
      <c r="B58" s="50" t="n"/>
      <c r="C58" s="33" t="n"/>
      <c r="D58" s="33" t="n"/>
      <c r="E58" s="33" t="n"/>
      <c r="F58" s="32" t="n"/>
      <c r="G58" s="51">
        <f>IF(OR($B58="",$D58="",$E58=""),"",IF(OR($C58="Target state",$C58="Exception"),"Out of scope",IF($D58="Low","No tranche",IF($E58="Low","Tranche 1",IF($E58="Medium","Tranche 2",IF($D58="High","Tranche 3","No tranche"))))))</f>
        <v/>
      </c>
      <c r="J58" s="53" t="inlineStr">
        <is>
          <t>Medium</t>
        </is>
      </c>
      <c r="K58" s="54">
        <f>"Tranche 1"&amp;CHAR(10)&amp;_xlfn.TEXTJOIN(CHAR(10),TRUE,R$55:R$64)</f>
        <v/>
      </c>
      <c r="L58" s="55">
        <f>"Tranche 2"&amp;CHAR(10)&amp;_xlfn.TEXTJOIN(CHAR(10),TRUE,S$55:S$64)</f>
        <v/>
      </c>
      <c r="M58" s="59">
        <f>_xlfn.TEXTJOIN(CHAR(10),TRUE,T$55:T$64)</f>
        <v/>
      </c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49" t="inlineStr">
        <is>
          <t>⑤</t>
        </is>
      </c>
      <c r="B59" s="50" t="n"/>
      <c r="C59" s="33" t="n"/>
      <c r="D59" s="33" t="n"/>
      <c r="E59" s="33" t="n"/>
      <c r="F59" s="32" t="n"/>
      <c r="G59" s="51">
        <f>IF(OR($B59="",$D59="",$E59=""),"",IF(OR($C59="Target state",$C59="Exception"),"Out of scope",IF($D59="Low","No tranche",IF($E59="Low","Tranche 1",IF($E59="Medium","Tranche 2",IF($D59="High","Tranche 3","No tranche"))))))</f>
        <v/>
      </c>
      <c r="K59" s="57" t="n"/>
      <c r="L59" s="57" t="n"/>
      <c r="M59" s="57" t="n"/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49" t="inlineStr">
        <is>
          <t>⑥</t>
        </is>
      </c>
      <c r="B60" s="50" t="n"/>
      <c r="C60" s="33" t="n"/>
      <c r="D60" s="33" t="n"/>
      <c r="E60" s="33" t="n"/>
      <c r="F60" s="32" t="n"/>
      <c r="G60" s="51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58" t="n"/>
      <c r="L60" s="58" t="n"/>
      <c r="M60" s="58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49" t="inlineStr">
        <is>
          <t>⑦</t>
        </is>
      </c>
      <c r="B61" s="50" t="n"/>
      <c r="C61" s="33" t="n"/>
      <c r="D61" s="33" t="n"/>
      <c r="E61" s="33" t="n"/>
      <c r="F61" s="32" t="n"/>
      <c r="G61" s="51">
        <f>IF(OR($B61="",$D61="",$E61=""),"",IF(OR($C61="Target state",$C61="Exception"),"Out of scope",IF($D61="Low","No tranche",IF($E61="Low","Tranche 1",IF($E61="Medium","Tranche 2",IF($D61="High","Tranche 3","No tranche"))))))</f>
        <v/>
      </c>
      <c r="J61" s="53" t="inlineStr">
        <is>
          <t>Low</t>
        </is>
      </c>
      <c r="K61" s="59">
        <f>_xlfn.TEXTJOIN(CHAR(10),TRUE,U$55:U$64)</f>
        <v/>
      </c>
      <c r="L61" s="59">
        <f>_xlfn.TEXTJOIN(CHAR(10),TRUE,V$55:V$64)</f>
        <v/>
      </c>
      <c r="M61" s="59">
        <f>_xlfn.TEXTJOIN(CHAR(10),TRUE,W$55:W$64)</f>
        <v/>
      </c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49" t="inlineStr">
        <is>
          <t>⑧</t>
        </is>
      </c>
      <c r="B62" s="50" t="n"/>
      <c r="C62" s="33" t="n"/>
      <c r="D62" s="33" t="n"/>
      <c r="E62" s="33" t="n"/>
      <c r="F62" s="32" t="n"/>
      <c r="G62" s="51">
        <f>IF(OR($B62="",$D62="",$E62=""),"",IF(OR($C62="Target state",$C62="Exception"),"Out of scope",IF($D62="Low","No tranche",IF($E62="Low","Tranche 1",IF($E62="Medium","Tranche 2",IF($D62="High","Tranche 3","No tranche"))))))</f>
        <v/>
      </c>
      <c r="K62" s="57" t="n"/>
      <c r="L62" s="57" t="n"/>
      <c r="M62" s="57" t="n"/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49" t="inlineStr">
        <is>
          <t>⑨</t>
        </is>
      </c>
      <c r="B63" s="50" t="n"/>
      <c r="C63" s="33" t="n"/>
      <c r="D63" s="33" t="n"/>
      <c r="E63" s="33" t="n"/>
      <c r="F63" s="32" t="n"/>
      <c r="G63" s="51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58" t="n"/>
      <c r="L63" s="58" t="n"/>
      <c r="M63" s="58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49" t="inlineStr">
        <is>
          <t>⑩</t>
        </is>
      </c>
      <c r="B64" s="50" t="n"/>
      <c r="C64" s="33" t="n"/>
      <c r="D64" s="33" t="n"/>
      <c r="E64" s="33" t="n"/>
      <c r="F64" s="32" t="n"/>
      <c r="G64" s="51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53" t="inlineStr">
        <is>
          <t>Complexity</t>
        </is>
      </c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7" ht="22" customHeight="1">
      <c r="A67" s="44" t="inlineStr">
        <is>
          <t>Unified Proposition</t>
        </is>
      </c>
      <c r="G67" s="45">
        <f>HYPERLINK("#'Single-in'!A4","▲ tracker")</f>
        <v/>
      </c>
      <c r="K67" s="46" t="inlineStr">
        <is>
          <t>Assessment Outcome</t>
        </is>
      </c>
    </row>
    <row r="68" ht="26" customHeight="1">
      <c r="A68" s="47" t="inlineStr">
        <is>
          <t>#</t>
        </is>
      </c>
      <c r="B68" s="47" t="inlineStr">
        <is>
          <t>Platform</t>
        </is>
      </c>
      <c r="C68" s="47" t="inlineStr">
        <is>
          <t>State</t>
        </is>
      </c>
      <c r="D68" s="47" t="inlineStr">
        <is>
          <t>Imperative to exit (= Benefits)</t>
        </is>
      </c>
      <c r="E68" s="47" t="inlineStr">
        <is>
          <t>Exit complexity</t>
        </is>
      </c>
      <c r="F68" s="47" t="inlineStr">
        <is>
          <t>Supporting facts</t>
        </is>
      </c>
      <c r="G68" s="47" t="inlineStr">
        <is>
          <t>Tranche (auto)</t>
        </is>
      </c>
      <c r="K68" s="48" t="inlineStr">
        <is>
          <t>Low</t>
        </is>
      </c>
      <c r="L68" s="48" t="inlineStr">
        <is>
          <t>Medium</t>
        </is>
      </c>
      <c r="M68" s="48" t="inlineStr">
        <is>
          <t>High</t>
        </is>
      </c>
    </row>
    <row r="69" ht="20" customHeight="1">
      <c r="A69" s="49" t="inlineStr">
        <is>
          <t>①</t>
        </is>
      </c>
      <c r="B69" s="50" t="n"/>
      <c r="C69" s="33" t="n"/>
      <c r="D69" s="33" t="n"/>
      <c r="E69" s="33" t="n"/>
      <c r="F69" s="32" t="n"/>
      <c r="G69" s="51">
        <f>IF(OR($B69="",$D69="",$E69=""),"",IF(OR($C69="Target state",$C69="Exception"),"Out of scope",IF($D69="Low","No tranche",IF($E69="Low","Tranche 1",IF($E69="Medium","Tranche 2",IF($D69="High","Tranche 3","No tranche"))))))</f>
        <v/>
      </c>
      <c r="I69" s="52" t="inlineStr">
        <is>
          <t>Benefits (= Imperative to exit)</t>
        </is>
      </c>
      <c r="J69" s="53" t="inlineStr">
        <is>
          <t>High</t>
        </is>
      </c>
      <c r="K69" s="54">
        <f>"Tranche 1"&amp;CHAR(10)&amp;_xlfn.TEXTJOIN(CHAR(10),TRUE,O$69:O$78)</f>
        <v/>
      </c>
      <c r="L69" s="55">
        <f>"Tranche 2"&amp;CHAR(10)&amp;_xlfn.TEXTJOIN(CHAR(10),TRUE,P$69:P$78)</f>
        <v/>
      </c>
      <c r="M69" s="56">
        <f>"Tranche 3"&amp;CHAR(10)&amp;_xlfn.TEXTJOIN(CHAR(10),TRUE,Q$69:Q$78)</f>
        <v/>
      </c>
      <c r="O69">
        <f>IF(AND($B69&lt;&gt;"",$C69&lt;&gt;"Target state",$C69&lt;&gt;"Exception",$D69="High",$E69="Low"),$A69&amp;"  "&amp;$B69,"")</f>
        <v/>
      </c>
      <c r="P69">
        <f>IF(AND($B69&lt;&gt;"",$C69&lt;&gt;"Target state",$C69&lt;&gt;"Exception",$D69="High",$E69="Medium"),$A69&amp;"  "&amp;$B69,"")</f>
        <v/>
      </c>
      <c r="Q69">
        <f>IF(AND($B69&lt;&gt;"",$C69&lt;&gt;"Target state",$C69&lt;&gt;"Exception",$D69="High",$E69="High"),$A69&amp;"  "&amp;$B69,"")</f>
        <v/>
      </c>
      <c r="R69">
        <f>IF(AND($B69&lt;&gt;"",$C69&lt;&gt;"Target state",$C69&lt;&gt;"Exception",$D69="Medium",$E69="Low"),$A69&amp;"  "&amp;$B69,"")</f>
        <v/>
      </c>
      <c r="S69">
        <f>IF(AND($B69&lt;&gt;"",$C69&lt;&gt;"Target state",$C69&lt;&gt;"Exception",$D69="Medium",$E69="Medium"),$A69&amp;"  "&amp;$B69,"")</f>
        <v/>
      </c>
      <c r="T69">
        <f>IF(AND($B69&lt;&gt;"",$C69&lt;&gt;"Target state",$C69&lt;&gt;"Exception",$D69="Medium",$E69="High"),$A69&amp;"  "&amp;$B69,"")</f>
        <v/>
      </c>
      <c r="U69">
        <f>IF(AND($B69&lt;&gt;"",$C69&lt;&gt;"Target state",$C69&lt;&gt;"Exception",$D69="Low",$E69="Low"),$A69&amp;"  "&amp;$B69,"")</f>
        <v/>
      </c>
      <c r="V69">
        <f>IF(AND($B69&lt;&gt;"",$C69&lt;&gt;"Target state",$C69&lt;&gt;"Exception",$D69="Low",$E69="Medium"),$A69&amp;"  "&amp;$B69,"")</f>
        <v/>
      </c>
      <c r="W69">
        <f>IF(AND($B69&lt;&gt;"",$C69&lt;&gt;"Target state",$C69&lt;&gt;"Exception",$D69="Low",$E69="High"),$A69&amp;"  "&amp;$B69,"")</f>
        <v/>
      </c>
    </row>
    <row r="70" ht="20" customHeight="1">
      <c r="A70" s="49" t="inlineStr">
        <is>
          <t>②</t>
        </is>
      </c>
      <c r="B70" s="50" t="n"/>
      <c r="C70" s="33" t="n"/>
      <c r="D70" s="33" t="n"/>
      <c r="E70" s="33" t="n"/>
      <c r="F70" s="32" t="n"/>
      <c r="G70" s="51">
        <f>IF(OR($B70="",$D70="",$E70=""),"",IF(OR($C70="Target state",$C70="Exception"),"Out of scope",IF($D70="Low","No tranche",IF($E70="Low","Tranche 1",IF($E70="Medium","Tranche 2",IF($D70="High","Tranche 3","No tranche"))))))</f>
        <v/>
      </c>
      <c r="K70" s="57" t="n"/>
      <c r="L70" s="57" t="n"/>
      <c r="M70" s="57" t="n"/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49" t="inlineStr">
        <is>
          <t>③</t>
        </is>
      </c>
      <c r="B71" s="50" t="n"/>
      <c r="C71" s="33" t="n"/>
      <c r="D71" s="33" t="n"/>
      <c r="E71" s="33" t="n"/>
      <c r="F71" s="32" t="n"/>
      <c r="G71" s="51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58" t="n"/>
      <c r="L71" s="58" t="n"/>
      <c r="M71" s="58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49" t="inlineStr">
        <is>
          <t>④</t>
        </is>
      </c>
      <c r="B72" s="50" t="n"/>
      <c r="C72" s="33" t="n"/>
      <c r="D72" s="33" t="n"/>
      <c r="E72" s="33" t="n"/>
      <c r="F72" s="32" t="n"/>
      <c r="G72" s="51">
        <f>IF(OR($B72="",$D72="",$E72=""),"",IF(OR($C72="Target state",$C72="Exception"),"Out of scope",IF($D72="Low","No tranche",IF($E72="Low","Tranche 1",IF($E72="Medium","Tranche 2",IF($D72="High","Tranche 3","No tranche"))))))</f>
        <v/>
      </c>
      <c r="J72" s="53" t="inlineStr">
        <is>
          <t>Medium</t>
        </is>
      </c>
      <c r="K72" s="54">
        <f>"Tranche 1"&amp;CHAR(10)&amp;_xlfn.TEXTJOIN(CHAR(10),TRUE,R$69:R$78)</f>
        <v/>
      </c>
      <c r="L72" s="55">
        <f>"Tranche 2"&amp;CHAR(10)&amp;_xlfn.TEXTJOIN(CHAR(10),TRUE,S$69:S$78)</f>
        <v/>
      </c>
      <c r="M72" s="59">
        <f>_xlfn.TEXTJOIN(CHAR(10),TRUE,T$69:T$78)</f>
        <v/>
      </c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49" t="inlineStr">
        <is>
          <t>⑤</t>
        </is>
      </c>
      <c r="B73" s="50" t="n"/>
      <c r="C73" s="33" t="n"/>
      <c r="D73" s="33" t="n"/>
      <c r="E73" s="33" t="n"/>
      <c r="F73" s="32" t="n"/>
      <c r="G73" s="51">
        <f>IF(OR($B73="",$D73="",$E73=""),"",IF(OR($C73="Target state",$C73="Exception"),"Out of scope",IF($D73="Low","No tranche",IF($E73="Low","Tranche 1",IF($E73="Medium","Tranche 2",IF($D73="High","Tranche 3","No tranche"))))))</f>
        <v/>
      </c>
      <c r="K73" s="57" t="n"/>
      <c r="L73" s="57" t="n"/>
      <c r="M73" s="57" t="n"/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49" t="inlineStr">
        <is>
          <t>⑥</t>
        </is>
      </c>
      <c r="B74" s="50" t="n"/>
      <c r="C74" s="33" t="n"/>
      <c r="D74" s="33" t="n"/>
      <c r="E74" s="33" t="n"/>
      <c r="F74" s="32" t="n"/>
      <c r="G74" s="51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58" t="n"/>
      <c r="L74" s="58" t="n"/>
      <c r="M74" s="58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49" t="inlineStr">
        <is>
          <t>⑦</t>
        </is>
      </c>
      <c r="B75" s="50" t="n"/>
      <c r="C75" s="33" t="n"/>
      <c r="D75" s="33" t="n"/>
      <c r="E75" s="33" t="n"/>
      <c r="F75" s="32" t="n"/>
      <c r="G75" s="51">
        <f>IF(OR($B75="",$D75="",$E75=""),"",IF(OR($C75="Target state",$C75="Exception"),"Out of scope",IF($D75="Low","No tranche",IF($E75="Low","Tranche 1",IF($E75="Medium","Tranche 2",IF($D75="High","Tranche 3","No tranche"))))))</f>
        <v/>
      </c>
      <c r="J75" s="53" t="inlineStr">
        <is>
          <t>Low</t>
        </is>
      </c>
      <c r="K75" s="59">
        <f>_xlfn.TEXTJOIN(CHAR(10),TRUE,U$69:U$78)</f>
        <v/>
      </c>
      <c r="L75" s="59">
        <f>_xlfn.TEXTJOIN(CHAR(10),TRUE,V$69:V$78)</f>
        <v/>
      </c>
      <c r="M75" s="59">
        <f>_xlfn.TEXTJOIN(CHAR(10),TRUE,W$69:W$78)</f>
        <v/>
      </c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49" t="inlineStr">
        <is>
          <t>⑧</t>
        </is>
      </c>
      <c r="B76" s="50" t="n"/>
      <c r="C76" s="33" t="n"/>
      <c r="D76" s="33" t="n"/>
      <c r="E76" s="33" t="n"/>
      <c r="F76" s="32" t="n"/>
      <c r="G76" s="51">
        <f>IF(OR($B76="",$D76="",$E76=""),"",IF(OR($C76="Target state",$C76="Exception"),"Out of scope",IF($D76="Low","No tranche",IF($E76="Low","Tranche 1",IF($E76="Medium","Tranche 2",IF($D76="High","Tranche 3","No tranche"))))))</f>
        <v/>
      </c>
      <c r="K76" s="57" t="n"/>
      <c r="L76" s="57" t="n"/>
      <c r="M76" s="57" t="n"/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49" t="inlineStr">
        <is>
          <t>⑨</t>
        </is>
      </c>
      <c r="B77" s="50" t="n"/>
      <c r="C77" s="33" t="n"/>
      <c r="D77" s="33" t="n"/>
      <c r="E77" s="33" t="n"/>
      <c r="F77" s="32" t="n"/>
      <c r="G77" s="51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58" t="n"/>
      <c r="L77" s="58" t="n"/>
      <c r="M77" s="58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49" t="inlineStr">
        <is>
          <t>⑩</t>
        </is>
      </c>
      <c r="B78" s="50" t="n"/>
      <c r="C78" s="33" t="n"/>
      <c r="D78" s="33" t="n"/>
      <c r="E78" s="33" t="n"/>
      <c r="F78" s="32" t="n"/>
      <c r="G78" s="51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53" t="inlineStr">
        <is>
          <t>Complexity</t>
        </is>
      </c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</sheetData>
  <mergeCells count="81">
    <mergeCell ref="L44:L46"/>
    <mergeCell ref="M41:M43"/>
    <mergeCell ref="J75:J77"/>
    <mergeCell ref="I55:I63"/>
    <mergeCell ref="K33:K35"/>
    <mergeCell ref="J61:J63"/>
    <mergeCell ref="L61:L63"/>
    <mergeCell ref="L75:L77"/>
    <mergeCell ref="J69:J71"/>
    <mergeCell ref="K44:K46"/>
    <mergeCell ref="K25:M25"/>
    <mergeCell ref="K36:M36"/>
    <mergeCell ref="M69:M71"/>
    <mergeCell ref="J55:J57"/>
    <mergeCell ref="K47:K49"/>
    <mergeCell ref="M61:M63"/>
    <mergeCell ref="K11:M11"/>
    <mergeCell ref="M75:M77"/>
    <mergeCell ref="K61:K63"/>
    <mergeCell ref="K22:M22"/>
    <mergeCell ref="I41:I49"/>
    <mergeCell ref="J16:J18"/>
    <mergeCell ref="L41:L43"/>
    <mergeCell ref="M47:M49"/>
    <mergeCell ref="J58:J60"/>
    <mergeCell ref="M72:M74"/>
    <mergeCell ref="J33:J35"/>
    <mergeCell ref="A4:C4"/>
    <mergeCell ref="J72:J74"/>
    <mergeCell ref="M58:M60"/>
    <mergeCell ref="I13:I21"/>
    <mergeCell ref="J44:J46"/>
    <mergeCell ref="L13:L15"/>
    <mergeCell ref="L47:L49"/>
    <mergeCell ref="K41:K43"/>
    <mergeCell ref="A11:F11"/>
    <mergeCell ref="J30:J32"/>
    <mergeCell ref="L30:L32"/>
    <mergeCell ref="M16:M18"/>
    <mergeCell ref="K27:K29"/>
    <mergeCell ref="M27:M29"/>
    <mergeCell ref="M30:M32"/>
    <mergeCell ref="M33:M35"/>
    <mergeCell ref="K13:K15"/>
    <mergeCell ref="K67:M67"/>
    <mergeCell ref="K69:K71"/>
    <mergeCell ref="L72:L74"/>
    <mergeCell ref="M44:M46"/>
    <mergeCell ref="M19:M21"/>
    <mergeCell ref="K39:M39"/>
    <mergeCell ref="M55:M57"/>
    <mergeCell ref="L27:L29"/>
    <mergeCell ref="A53:F53"/>
    <mergeCell ref="I69:I77"/>
    <mergeCell ref="K78:M78"/>
    <mergeCell ref="J19:J21"/>
    <mergeCell ref="L19:L21"/>
    <mergeCell ref="A39:F39"/>
    <mergeCell ref="K72:K74"/>
    <mergeCell ref="L55:L57"/>
    <mergeCell ref="M13:M15"/>
    <mergeCell ref="K58:K60"/>
    <mergeCell ref="K50:M50"/>
    <mergeCell ref="L69:L71"/>
    <mergeCell ref="J47:J49"/>
    <mergeCell ref="K19:K21"/>
    <mergeCell ref="K16:K18"/>
    <mergeCell ref="K53:M53"/>
    <mergeCell ref="K55:K57"/>
    <mergeCell ref="J13:J15"/>
    <mergeCell ref="K30:K32"/>
    <mergeCell ref="L16:L18"/>
    <mergeCell ref="A67:F67"/>
    <mergeCell ref="I27:I35"/>
    <mergeCell ref="L58:L60"/>
    <mergeCell ref="K75:K77"/>
    <mergeCell ref="L33:L35"/>
    <mergeCell ref="K64:M64"/>
    <mergeCell ref="J27:J29"/>
    <mergeCell ref="J41:J43"/>
    <mergeCell ref="A25:F25"/>
  </mergeCells>
  <conditionalFormatting sqref="A13:G22">
    <cfRule type="expression" priority="1" dxfId="0">
      <formula>OR($C13="Target state",$C13="Exception")</formula>
    </cfRule>
  </conditionalFormatting>
  <conditionalFormatting sqref="A27:G36">
    <cfRule type="expression" priority="2" dxfId="0">
      <formula>OR($C27="Target state",$C27="Exception")</formula>
    </cfRule>
  </conditionalFormatting>
  <conditionalFormatting sqref="A41:G50">
    <cfRule type="expression" priority="3" dxfId="0">
      <formula>OR($C41="Target state",$C41="Exception")</formula>
    </cfRule>
  </conditionalFormatting>
  <conditionalFormatting sqref="A55:G64">
    <cfRule type="expression" priority="4" dxfId="0">
      <formula>OR($C55="Target state",$C55="Exception")</formula>
    </cfRule>
  </conditionalFormatting>
  <conditionalFormatting sqref="A69:G78">
    <cfRule type="expression" priority="5" dxfId="0">
      <formula>OR($C69="Target state",$C69="Exception")</formula>
    </cfRule>
  </conditionalFormatting>
  <dataValidations count="2">
    <dataValidation sqref="C13:C22 C27:C36 C41:C50 C55:C64 C69:C78" showDropDown="0" showInputMessage="0" showErrorMessage="0" allowBlank="1" type="list">
      <formula1>"Target state,Non-target state,Exception"</formula1>
    </dataValidation>
    <dataValidation sqref="D13:E22 D27:E36 D41:E50 D55:E64 D69:E7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W6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Sales &amp; Servicing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HYPERLINK("#'Sales &amp; Servicing'!A10","CRM")</f>
        <v/>
      </c>
    </row>
    <row r="6">
      <c r="A6" s="43" t="inlineStr">
        <is>
          <t>2.</t>
        </is>
      </c>
      <c r="B6" s="3">
        <f>HYPERLINK("#'Sales &amp; Servicing'!A24","Servicing Tools")</f>
        <v/>
      </c>
    </row>
    <row r="7">
      <c r="A7" s="43" t="inlineStr">
        <is>
          <t>3.</t>
        </is>
      </c>
      <c r="B7" s="3">
        <f>HYPERLINK("#'Sales &amp; Servicing'!A38","Sales Automation")</f>
        <v/>
      </c>
    </row>
    <row r="8">
      <c r="A8" s="43" t="inlineStr">
        <is>
          <t>4.</t>
        </is>
      </c>
      <c r="B8" s="3">
        <f>HYPERLINK("#'Sales &amp; Servicing'!A52","Risks")</f>
        <v/>
      </c>
    </row>
    <row r="10" ht="22" customHeight="1">
      <c r="A10" s="44" t="inlineStr">
        <is>
          <t>CRM</t>
        </is>
      </c>
      <c r="G10" s="45">
        <f>HYPERLINK("#'Sales &amp; Servicing'!A4","▲ tracker")</f>
        <v/>
      </c>
      <c r="K10" s="46" t="inlineStr">
        <is>
          <t>Assessment Outcome</t>
        </is>
      </c>
    </row>
    <row r="11" ht="26" customHeight="1">
      <c r="A11" s="47" t="inlineStr">
        <is>
          <t>#</t>
        </is>
      </c>
      <c r="B11" s="47" t="inlineStr">
        <is>
          <t>Platform</t>
        </is>
      </c>
      <c r="C11" s="47" t="inlineStr">
        <is>
          <t>State</t>
        </is>
      </c>
      <c r="D11" s="47" t="inlineStr">
        <is>
          <t>Imperative to exit (= Benefits)</t>
        </is>
      </c>
      <c r="E11" s="47" t="inlineStr">
        <is>
          <t>Exit complexity</t>
        </is>
      </c>
      <c r="F11" s="47" t="inlineStr">
        <is>
          <t>Supporting facts</t>
        </is>
      </c>
      <c r="G11" s="47" t="inlineStr">
        <is>
          <t>Tranche (auto)</t>
        </is>
      </c>
      <c r="K11" s="48" t="inlineStr">
        <is>
          <t>Low</t>
        </is>
      </c>
      <c r="L11" s="48" t="inlineStr">
        <is>
          <t>Medium</t>
        </is>
      </c>
      <c r="M11" s="48" t="inlineStr">
        <is>
          <t>High</t>
        </is>
      </c>
    </row>
    <row r="12" ht="20" customHeight="1">
      <c r="A12" s="49" t="inlineStr">
        <is>
          <t>①</t>
        </is>
      </c>
      <c r="B12" s="50" t="n"/>
      <c r="C12" s="33" t="n"/>
      <c r="D12" s="33" t="n"/>
      <c r="E12" s="33" t="n"/>
      <c r="F12" s="32" t="n"/>
      <c r="G12" s="51">
        <f>IF(OR($B12="",$D12="",$E12=""),"",IF(OR($C12="Target state",$C12="Exception"),"Out of scope",IF($D12="Low","No tranche",IF($E12="Low","Tranche 1",IF($E12="Medium","Tranche 2",IF($D12="High","Tranche 3","No tranche"))))))</f>
        <v/>
      </c>
      <c r="I12" s="52" t="inlineStr">
        <is>
          <t>Benefits (= Imperative to exit)</t>
        </is>
      </c>
      <c r="J12" s="53" t="inlineStr">
        <is>
          <t>High</t>
        </is>
      </c>
      <c r="K12" s="54">
        <f>"Tranche 1"&amp;CHAR(10)&amp;_xlfn.TEXTJOIN(CHAR(10),TRUE,O$12:O$21)</f>
        <v/>
      </c>
      <c r="L12" s="55">
        <f>"Tranche 2"&amp;CHAR(10)&amp;_xlfn.TEXTJOIN(CHAR(10),TRUE,P$12:P$21)</f>
        <v/>
      </c>
      <c r="M12" s="56">
        <f>"Tranche 3"&amp;CHAR(10)&amp;_xlfn.TEXTJOIN(CHAR(10),TRUE,Q$12:Q$21)</f>
        <v/>
      </c>
      <c r="O12">
        <f>IF(AND($B12&lt;&gt;"",$C12&lt;&gt;"Target state",$C12&lt;&gt;"Exception",$D12="High",$E12="Low"),$A12&amp;"  "&amp;$B12,"")</f>
        <v/>
      </c>
      <c r="P12">
        <f>IF(AND($B12&lt;&gt;"",$C12&lt;&gt;"Target state",$C12&lt;&gt;"Exception",$D12="High",$E12="Medium"),$A12&amp;"  "&amp;$B12,"")</f>
        <v/>
      </c>
      <c r="Q12">
        <f>IF(AND($B12&lt;&gt;"",$C12&lt;&gt;"Target state",$C12&lt;&gt;"Exception",$D12="High",$E12="High"),$A12&amp;"  "&amp;$B12,"")</f>
        <v/>
      </c>
      <c r="R12">
        <f>IF(AND($B12&lt;&gt;"",$C12&lt;&gt;"Target state",$C12&lt;&gt;"Exception",$D12="Medium",$E12="Low"),$A12&amp;"  "&amp;$B12,"")</f>
        <v/>
      </c>
      <c r="S12">
        <f>IF(AND($B12&lt;&gt;"",$C12&lt;&gt;"Target state",$C12&lt;&gt;"Exception",$D12="Medium",$E12="Medium"),$A12&amp;"  "&amp;$B12,"")</f>
        <v/>
      </c>
      <c r="T12">
        <f>IF(AND($B12&lt;&gt;"",$C12&lt;&gt;"Target state",$C12&lt;&gt;"Exception",$D12="Medium",$E12="High"),$A12&amp;"  "&amp;$B12,"")</f>
        <v/>
      </c>
      <c r="U12">
        <f>IF(AND($B12&lt;&gt;"",$C12&lt;&gt;"Target state",$C12&lt;&gt;"Exception",$D12="Low",$E12="Low"),$A12&amp;"  "&amp;$B12,"")</f>
        <v/>
      </c>
      <c r="V12">
        <f>IF(AND($B12&lt;&gt;"",$C12&lt;&gt;"Target state",$C12&lt;&gt;"Exception",$D12="Low",$E12="Medium"),$A12&amp;"  "&amp;$B12,"")</f>
        <v/>
      </c>
      <c r="W12">
        <f>IF(AND($B12&lt;&gt;"",$C12&lt;&gt;"Target state",$C12&lt;&gt;"Exception",$D12="Low",$E12="High"),$A12&amp;"  "&amp;$B12,"")</f>
        <v/>
      </c>
    </row>
    <row r="13" ht="20" customHeight="1">
      <c r="A13" s="49" t="inlineStr">
        <is>
          <t>②</t>
        </is>
      </c>
      <c r="B13" s="50" t="n"/>
      <c r="C13" s="33" t="n"/>
      <c r="D13" s="33" t="n"/>
      <c r="E13" s="33" t="n"/>
      <c r="F13" s="32" t="n"/>
      <c r="G13" s="51">
        <f>IF(OR($B13="",$D13="",$E13=""),"",IF(OR($C13="Target state",$C13="Exception"),"Out of scope",IF($D13="Low","No tranche",IF($E13="Low","Tranche 1",IF($E13="Medium","Tranche 2",IF($D13="High","Tranche 3","No tranche"))))))</f>
        <v/>
      </c>
      <c r="K13" s="57" t="n"/>
      <c r="L13" s="57" t="n"/>
      <c r="M13" s="57" t="n"/>
      <c r="O13">
        <f>IF(AND($B13&lt;&gt;"",$C13&lt;&gt;"Target state",$C13&lt;&gt;"Exception",$D13="High",$E13="Low"),$A13&amp;"  "&amp;$B13,"")</f>
        <v/>
      </c>
      <c r="P13">
        <f>IF(AND($B13&lt;&gt;"",$C13&lt;&gt;"Target state",$C13&lt;&gt;"Exception",$D13="High",$E13="Medium"),$A13&amp;"  "&amp;$B13,"")</f>
        <v/>
      </c>
      <c r="Q13">
        <f>IF(AND($B13&lt;&gt;"",$C13&lt;&gt;"Target state",$C13&lt;&gt;"Exception",$D13="High",$E13="High"),$A13&amp;"  "&amp;$B13,"")</f>
        <v/>
      </c>
      <c r="R13">
        <f>IF(AND($B13&lt;&gt;"",$C13&lt;&gt;"Target state",$C13&lt;&gt;"Exception",$D13="Medium",$E13="Low"),$A13&amp;"  "&amp;$B13,"")</f>
        <v/>
      </c>
      <c r="S13">
        <f>IF(AND($B13&lt;&gt;"",$C13&lt;&gt;"Target state",$C13&lt;&gt;"Exception",$D13="Medium",$E13="Medium"),$A13&amp;"  "&amp;$B13,"")</f>
        <v/>
      </c>
      <c r="T13">
        <f>IF(AND($B13&lt;&gt;"",$C13&lt;&gt;"Target state",$C13&lt;&gt;"Exception",$D13="Medium",$E13="High"),$A13&amp;"  "&amp;$B13,"")</f>
        <v/>
      </c>
      <c r="U13">
        <f>IF(AND($B13&lt;&gt;"",$C13&lt;&gt;"Target state",$C13&lt;&gt;"Exception",$D13="Low",$E13="Low"),$A13&amp;"  "&amp;$B13,"")</f>
        <v/>
      </c>
      <c r="V13">
        <f>IF(AND($B13&lt;&gt;"",$C13&lt;&gt;"Target state",$C13&lt;&gt;"Exception",$D13="Low",$E13="Medium"),$A13&amp;"  "&amp;$B13,"")</f>
        <v/>
      </c>
      <c r="W13">
        <f>IF(AND($B13&lt;&gt;"",$C13&lt;&gt;"Target state",$C13&lt;&gt;"Exception",$D13="Low",$E13="High"),$A13&amp;"  "&amp;$B13,"")</f>
        <v/>
      </c>
    </row>
    <row r="14" ht="20" customHeight="1">
      <c r="A14" s="49" t="inlineStr">
        <is>
          <t>③</t>
        </is>
      </c>
      <c r="B14" s="50" t="n"/>
      <c r="C14" s="33" t="n"/>
      <c r="D14" s="33" t="n"/>
      <c r="E14" s="33" t="n"/>
      <c r="F14" s="32" t="n"/>
      <c r="G14" s="51">
        <f>IF(OR($B14="",$D14="",$E14=""),"",IF(OR($C14="Target state",$C14="Exception"),"Out of scope",IF($D14="Low","No tranche",IF($E14="Low","Tranche 1",IF($E14="Medium","Tranche 2",IF($D14="High","Tranche 3","No tranche"))))))</f>
        <v/>
      </c>
      <c r="K14" s="58" t="n"/>
      <c r="L14" s="58" t="n"/>
      <c r="M14" s="58" t="n"/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49" t="inlineStr">
        <is>
          <t>④</t>
        </is>
      </c>
      <c r="B15" s="50" t="n"/>
      <c r="C15" s="33" t="n"/>
      <c r="D15" s="33" t="n"/>
      <c r="E15" s="33" t="n"/>
      <c r="F15" s="32" t="n"/>
      <c r="G15" s="51">
        <f>IF(OR($B15="",$D15="",$E15=""),"",IF(OR($C15="Target state",$C15="Exception"),"Out of scope",IF($D15="Low","No tranche",IF($E15="Low","Tranche 1",IF($E15="Medium","Tranche 2",IF($D15="High","Tranche 3","No tranche"))))))</f>
        <v/>
      </c>
      <c r="J15" s="53" t="inlineStr">
        <is>
          <t>Medium</t>
        </is>
      </c>
      <c r="K15" s="54">
        <f>"Tranche 1"&amp;CHAR(10)&amp;_xlfn.TEXTJOIN(CHAR(10),TRUE,R$12:R$21)</f>
        <v/>
      </c>
      <c r="L15" s="55">
        <f>"Tranche 2"&amp;CHAR(10)&amp;_xlfn.TEXTJOIN(CHAR(10),TRUE,S$12:S$21)</f>
        <v/>
      </c>
      <c r="M15" s="59">
        <f>_xlfn.TEXTJOIN(CHAR(10),TRUE,T$12:T$21)</f>
        <v/>
      </c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49" t="inlineStr">
        <is>
          <t>⑤</t>
        </is>
      </c>
      <c r="B16" s="50" t="n"/>
      <c r="C16" s="33" t="n"/>
      <c r="D16" s="33" t="n"/>
      <c r="E16" s="33" t="n"/>
      <c r="F16" s="32" t="n"/>
      <c r="G16" s="51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57" t="n"/>
      <c r="L16" s="57" t="n"/>
      <c r="M16" s="57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49" t="inlineStr">
        <is>
          <t>⑥</t>
        </is>
      </c>
      <c r="B17" s="50" t="n"/>
      <c r="C17" s="33" t="n"/>
      <c r="D17" s="33" t="n"/>
      <c r="E17" s="33" t="n"/>
      <c r="F17" s="32" t="n"/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K17" s="58" t="n"/>
      <c r="L17" s="58" t="n"/>
      <c r="M17" s="58" t="n"/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⑦</t>
        </is>
      </c>
      <c r="B18" s="50" t="n"/>
      <c r="C18" s="33" t="n"/>
      <c r="D18" s="33" t="n"/>
      <c r="E18" s="33" t="n"/>
      <c r="F18" s="32" t="n"/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J18" s="53" t="inlineStr">
        <is>
          <t>Low</t>
        </is>
      </c>
      <c r="K18" s="59">
        <f>_xlfn.TEXTJOIN(CHAR(10),TRUE,U$12:U$21)</f>
        <v/>
      </c>
      <c r="L18" s="59">
        <f>_xlfn.TEXTJOIN(CHAR(10),TRUE,V$12:V$21)</f>
        <v/>
      </c>
      <c r="M18" s="59">
        <f>_xlfn.TEXTJOIN(CHAR(10),TRUE,W$12:W$21)</f>
        <v/>
      </c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49" t="inlineStr">
        <is>
          <t>⑧</t>
        </is>
      </c>
      <c r="B19" s="50" t="n"/>
      <c r="C19" s="33" t="n"/>
      <c r="D19" s="33" t="n"/>
      <c r="E19" s="33" t="n"/>
      <c r="F19" s="32" t="n"/>
      <c r="G19" s="51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57" t="n"/>
      <c r="L19" s="57" t="n"/>
      <c r="M19" s="57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49" t="inlineStr">
        <is>
          <t>⑨</t>
        </is>
      </c>
      <c r="B20" s="50" t="n"/>
      <c r="C20" s="33" t="n"/>
      <c r="D20" s="33" t="n"/>
      <c r="E20" s="33" t="n"/>
      <c r="F20" s="32" t="n"/>
      <c r="G20" s="51">
        <f>IF(OR($B20="",$D20="",$E20=""),"",IF(OR($C20="Target state",$C20="Exception"),"Out of scope",IF($D20="Low","No tranche",IF($E20="Low","Tranche 1",IF($E20="Medium","Tranche 2",IF($D20="High","Tranche 3","No tranche"))))))</f>
        <v/>
      </c>
      <c r="K20" s="58" t="n"/>
      <c r="L20" s="58" t="n"/>
      <c r="M20" s="58" t="n"/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49" t="inlineStr">
        <is>
          <t>⑩</t>
        </is>
      </c>
      <c r="B21" s="50" t="n"/>
      <c r="C21" s="33" t="n"/>
      <c r="D21" s="33" t="n"/>
      <c r="E21" s="33" t="n"/>
      <c r="F21" s="32" t="n"/>
      <c r="G21" s="51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53" t="inlineStr">
        <is>
          <t>Complexity</t>
        </is>
      </c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4" ht="22" customHeight="1">
      <c r="A24" s="44" t="inlineStr">
        <is>
          <t>Servicing Tools</t>
        </is>
      </c>
      <c r="G24" s="45">
        <f>HYPERLINK("#'Sales &amp; Servicing'!A4","▲ tracker")</f>
        <v/>
      </c>
      <c r="K24" s="46" t="inlineStr">
        <is>
          <t>Assessment Outcome</t>
        </is>
      </c>
    </row>
    <row r="25" ht="26" customHeight="1">
      <c r="A25" s="47" t="inlineStr">
        <is>
          <t>#</t>
        </is>
      </c>
      <c r="B25" s="47" t="inlineStr">
        <is>
          <t>Platform</t>
        </is>
      </c>
      <c r="C25" s="47" t="inlineStr">
        <is>
          <t>State</t>
        </is>
      </c>
      <c r="D25" s="47" t="inlineStr">
        <is>
          <t>Imperative to exit (= Benefits)</t>
        </is>
      </c>
      <c r="E25" s="47" t="inlineStr">
        <is>
          <t>Exit complexity</t>
        </is>
      </c>
      <c r="F25" s="47" t="inlineStr">
        <is>
          <t>Supporting facts</t>
        </is>
      </c>
      <c r="G25" s="47" t="inlineStr">
        <is>
          <t>Tranche (auto)</t>
        </is>
      </c>
      <c r="K25" s="48" t="inlineStr">
        <is>
          <t>Low</t>
        </is>
      </c>
      <c r="L25" s="48" t="inlineStr">
        <is>
          <t>Medium</t>
        </is>
      </c>
      <c r="M25" s="48" t="inlineStr">
        <is>
          <t>High</t>
        </is>
      </c>
    </row>
    <row r="26" ht="20" customHeight="1">
      <c r="A26" s="49" t="inlineStr">
        <is>
          <t>①</t>
        </is>
      </c>
      <c r="B26" s="50" t="n"/>
      <c r="C26" s="33" t="n"/>
      <c r="D26" s="33" t="n"/>
      <c r="E26" s="33" t="n"/>
      <c r="F26" s="32" t="n"/>
      <c r="G26" s="51">
        <f>IF(OR($B26="",$D26="",$E26=""),"",IF(OR($C26="Target state",$C26="Exception"),"Out of scope",IF($D26="Low","No tranche",IF($E26="Low","Tranche 1",IF($E26="Medium","Tranche 2",IF($D26="High","Tranche 3","No tranche"))))))</f>
        <v/>
      </c>
      <c r="I26" s="52" t="inlineStr">
        <is>
          <t>Benefits (= Imperative to exit)</t>
        </is>
      </c>
      <c r="J26" s="53" t="inlineStr">
        <is>
          <t>High</t>
        </is>
      </c>
      <c r="K26" s="54">
        <f>"Tranche 1"&amp;CHAR(10)&amp;_xlfn.TEXTJOIN(CHAR(10),TRUE,O$26:O$35)</f>
        <v/>
      </c>
      <c r="L26" s="55">
        <f>"Tranche 2"&amp;CHAR(10)&amp;_xlfn.TEXTJOIN(CHAR(10),TRUE,P$26:P$35)</f>
        <v/>
      </c>
      <c r="M26" s="56">
        <f>"Tranche 3"&amp;CHAR(10)&amp;_xlfn.TEXTJOIN(CHAR(10),TRUE,Q$26:Q$35)</f>
        <v/>
      </c>
      <c r="O26">
        <f>IF(AND($B26&lt;&gt;"",$C26&lt;&gt;"Target state",$C26&lt;&gt;"Exception",$D26="High",$E26="Low"),$A26&amp;"  "&amp;$B26,"")</f>
        <v/>
      </c>
      <c r="P26">
        <f>IF(AND($B26&lt;&gt;"",$C26&lt;&gt;"Target state",$C26&lt;&gt;"Exception",$D26="High",$E26="Medium"),$A26&amp;"  "&amp;$B26,"")</f>
        <v/>
      </c>
      <c r="Q26">
        <f>IF(AND($B26&lt;&gt;"",$C26&lt;&gt;"Target state",$C26&lt;&gt;"Exception",$D26="High",$E26="High"),$A26&amp;"  "&amp;$B26,"")</f>
        <v/>
      </c>
      <c r="R26">
        <f>IF(AND($B26&lt;&gt;"",$C26&lt;&gt;"Target state",$C26&lt;&gt;"Exception",$D26="Medium",$E26="Low"),$A26&amp;"  "&amp;$B26,"")</f>
        <v/>
      </c>
      <c r="S26">
        <f>IF(AND($B26&lt;&gt;"",$C26&lt;&gt;"Target state",$C26&lt;&gt;"Exception",$D26="Medium",$E26="Medium"),$A26&amp;"  "&amp;$B26,"")</f>
        <v/>
      </c>
      <c r="T26">
        <f>IF(AND($B26&lt;&gt;"",$C26&lt;&gt;"Target state",$C26&lt;&gt;"Exception",$D26="Medium",$E26="High"),$A26&amp;"  "&amp;$B26,"")</f>
        <v/>
      </c>
      <c r="U26">
        <f>IF(AND($B26&lt;&gt;"",$C26&lt;&gt;"Target state",$C26&lt;&gt;"Exception",$D26="Low",$E26="Low"),$A26&amp;"  "&amp;$B26,"")</f>
        <v/>
      </c>
      <c r="V26">
        <f>IF(AND($B26&lt;&gt;"",$C26&lt;&gt;"Target state",$C26&lt;&gt;"Exception",$D26="Low",$E26="Medium"),$A26&amp;"  "&amp;$B26,"")</f>
        <v/>
      </c>
      <c r="W26">
        <f>IF(AND($B26&lt;&gt;"",$C26&lt;&gt;"Target state",$C26&lt;&gt;"Exception",$D26="Low",$E26="High"),$A26&amp;"  "&amp;$B26,"")</f>
        <v/>
      </c>
    </row>
    <row r="27" ht="20" customHeight="1">
      <c r="A27" s="49" t="inlineStr">
        <is>
          <t>②</t>
        </is>
      </c>
      <c r="B27" s="50" t="n"/>
      <c r="C27" s="33" t="n"/>
      <c r="D27" s="33" t="n"/>
      <c r="E27" s="33" t="n"/>
      <c r="F27" s="32" t="n"/>
      <c r="G27" s="51">
        <f>IF(OR($B27="",$D27="",$E27=""),"",IF(OR($C27="Target state",$C27="Exception"),"Out of scope",IF($D27="Low","No tranche",IF($E27="Low","Tranche 1",IF($E27="Medium","Tranche 2",IF($D27="High","Tranche 3","No tranche"))))))</f>
        <v/>
      </c>
      <c r="K27" s="57" t="n"/>
      <c r="L27" s="57" t="n"/>
      <c r="M27" s="57" t="n"/>
      <c r="O27">
        <f>IF(AND($B27&lt;&gt;"",$C27&lt;&gt;"Target state",$C27&lt;&gt;"Exception",$D27="High",$E27="Low"),$A27&amp;"  "&amp;$B27,"")</f>
        <v/>
      </c>
      <c r="P27">
        <f>IF(AND($B27&lt;&gt;"",$C27&lt;&gt;"Target state",$C27&lt;&gt;"Exception",$D27="High",$E27="Medium"),$A27&amp;"  "&amp;$B27,"")</f>
        <v/>
      </c>
      <c r="Q27">
        <f>IF(AND($B27&lt;&gt;"",$C27&lt;&gt;"Target state",$C27&lt;&gt;"Exception",$D27="High",$E27="High"),$A27&amp;"  "&amp;$B27,"")</f>
        <v/>
      </c>
      <c r="R27">
        <f>IF(AND($B27&lt;&gt;"",$C27&lt;&gt;"Target state",$C27&lt;&gt;"Exception",$D27="Medium",$E27="Low"),$A27&amp;"  "&amp;$B27,"")</f>
        <v/>
      </c>
      <c r="S27">
        <f>IF(AND($B27&lt;&gt;"",$C27&lt;&gt;"Target state",$C27&lt;&gt;"Exception",$D27="Medium",$E27="Medium"),$A27&amp;"  "&amp;$B27,"")</f>
        <v/>
      </c>
      <c r="T27">
        <f>IF(AND($B27&lt;&gt;"",$C27&lt;&gt;"Target state",$C27&lt;&gt;"Exception",$D27="Medium",$E27="High"),$A27&amp;"  "&amp;$B27,"")</f>
        <v/>
      </c>
      <c r="U27">
        <f>IF(AND($B27&lt;&gt;"",$C27&lt;&gt;"Target state",$C27&lt;&gt;"Exception",$D27="Low",$E27="Low"),$A27&amp;"  "&amp;$B27,"")</f>
        <v/>
      </c>
      <c r="V27">
        <f>IF(AND($B27&lt;&gt;"",$C27&lt;&gt;"Target state",$C27&lt;&gt;"Exception",$D27="Low",$E27="Medium"),$A27&amp;"  "&amp;$B27,"")</f>
        <v/>
      </c>
      <c r="W27">
        <f>IF(AND($B27&lt;&gt;"",$C27&lt;&gt;"Target state",$C27&lt;&gt;"Exception",$D27="Low",$E27="High"),$A27&amp;"  "&amp;$B27,"")</f>
        <v/>
      </c>
    </row>
    <row r="28" ht="20" customHeight="1">
      <c r="A28" s="49" t="inlineStr">
        <is>
          <t>③</t>
        </is>
      </c>
      <c r="B28" s="50" t="n"/>
      <c r="C28" s="33" t="n"/>
      <c r="D28" s="33" t="n"/>
      <c r="E28" s="33" t="n"/>
      <c r="F28" s="32" t="n"/>
      <c r="G28" s="51">
        <f>IF(OR($B28="",$D28="",$E28=""),"",IF(OR($C28="Target state",$C28="Exception"),"Out of scope",IF($D28="Low","No tranche",IF($E28="Low","Tranche 1",IF($E28="Medium","Tranche 2",IF($D28="High","Tranche 3","No tranche"))))))</f>
        <v/>
      </c>
      <c r="K28" s="58" t="n"/>
      <c r="L28" s="58" t="n"/>
      <c r="M28" s="58" t="n"/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49" t="inlineStr">
        <is>
          <t>④</t>
        </is>
      </c>
      <c r="B29" s="50" t="n"/>
      <c r="C29" s="33" t="n"/>
      <c r="D29" s="33" t="n"/>
      <c r="E29" s="33" t="n"/>
      <c r="F29" s="32" t="n"/>
      <c r="G29" s="51">
        <f>IF(OR($B29="",$D29="",$E29=""),"",IF(OR($C29="Target state",$C29="Exception"),"Out of scope",IF($D29="Low","No tranche",IF($E29="Low","Tranche 1",IF($E29="Medium","Tranche 2",IF($D29="High","Tranche 3","No tranche"))))))</f>
        <v/>
      </c>
      <c r="J29" s="53" t="inlineStr">
        <is>
          <t>Medium</t>
        </is>
      </c>
      <c r="K29" s="54">
        <f>"Tranche 1"&amp;CHAR(10)&amp;_xlfn.TEXTJOIN(CHAR(10),TRUE,R$26:R$35)</f>
        <v/>
      </c>
      <c r="L29" s="55">
        <f>"Tranche 2"&amp;CHAR(10)&amp;_xlfn.TEXTJOIN(CHAR(10),TRUE,S$26:S$35)</f>
        <v/>
      </c>
      <c r="M29" s="59">
        <f>_xlfn.TEXTJOIN(CHAR(10),TRUE,T$26:T$35)</f>
        <v/>
      </c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49" t="inlineStr">
        <is>
          <t>⑤</t>
        </is>
      </c>
      <c r="B30" s="50" t="n"/>
      <c r="C30" s="33" t="n"/>
      <c r="D30" s="33" t="n"/>
      <c r="E30" s="33" t="n"/>
      <c r="F30" s="32" t="n"/>
      <c r="G30" s="51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57" t="n"/>
      <c r="L30" s="57" t="n"/>
      <c r="M30" s="57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49" t="inlineStr">
        <is>
          <t>⑥</t>
        </is>
      </c>
      <c r="B31" s="50" t="n"/>
      <c r="C31" s="33" t="n"/>
      <c r="D31" s="33" t="n"/>
      <c r="E31" s="33" t="n"/>
      <c r="F31" s="32" t="n"/>
      <c r="G31" s="51">
        <f>IF(OR($B31="",$D31="",$E31=""),"",IF(OR($C31="Target state",$C31="Exception"),"Out of scope",IF($D31="Low","No tranche",IF($E31="Low","Tranche 1",IF($E31="Medium","Tranche 2",IF($D31="High","Tranche 3","No tranche"))))))</f>
        <v/>
      </c>
      <c r="K31" s="58" t="n"/>
      <c r="L31" s="58" t="n"/>
      <c r="M31" s="58" t="n"/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49" t="inlineStr">
        <is>
          <t>⑦</t>
        </is>
      </c>
      <c r="B32" s="50" t="n"/>
      <c r="C32" s="33" t="n"/>
      <c r="D32" s="33" t="n"/>
      <c r="E32" s="33" t="n"/>
      <c r="F32" s="32" t="n"/>
      <c r="G32" s="51">
        <f>IF(OR($B32="",$D32="",$E32=""),"",IF(OR($C32="Target state",$C32="Exception"),"Out of scope",IF($D32="Low","No tranche",IF($E32="Low","Tranche 1",IF($E32="Medium","Tranche 2",IF($D32="High","Tranche 3","No tranche"))))))</f>
        <v/>
      </c>
      <c r="J32" s="53" t="inlineStr">
        <is>
          <t>Low</t>
        </is>
      </c>
      <c r="K32" s="59">
        <f>_xlfn.TEXTJOIN(CHAR(10),TRUE,U$26:U$35)</f>
        <v/>
      </c>
      <c r="L32" s="59">
        <f>_xlfn.TEXTJOIN(CHAR(10),TRUE,V$26:V$35)</f>
        <v/>
      </c>
      <c r="M32" s="59">
        <f>_xlfn.TEXTJOIN(CHAR(10),TRUE,W$26:W$35)</f>
        <v/>
      </c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49" t="inlineStr">
        <is>
          <t>⑧</t>
        </is>
      </c>
      <c r="B33" s="50" t="n"/>
      <c r="C33" s="33" t="n"/>
      <c r="D33" s="33" t="n"/>
      <c r="E33" s="33" t="n"/>
      <c r="F33" s="32" t="n"/>
      <c r="G33" s="51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57" t="n"/>
      <c r="L33" s="57" t="n"/>
      <c r="M33" s="57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49" t="inlineStr">
        <is>
          <t>⑨</t>
        </is>
      </c>
      <c r="B34" s="50" t="n"/>
      <c r="C34" s="33" t="n"/>
      <c r="D34" s="33" t="n"/>
      <c r="E34" s="33" t="n"/>
      <c r="F34" s="32" t="n"/>
      <c r="G34" s="51">
        <f>IF(OR($B34="",$D34="",$E34=""),"",IF(OR($C34="Target state",$C34="Exception"),"Out of scope",IF($D34="Low","No tranche",IF($E34="Low","Tranche 1",IF($E34="Medium","Tranche 2",IF($D34="High","Tranche 3","No tranche"))))))</f>
        <v/>
      </c>
      <c r="K34" s="58" t="n"/>
      <c r="L34" s="58" t="n"/>
      <c r="M34" s="58" t="n"/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49" t="inlineStr">
        <is>
          <t>⑩</t>
        </is>
      </c>
      <c r="B35" s="50" t="n"/>
      <c r="C35" s="33" t="n"/>
      <c r="D35" s="33" t="n"/>
      <c r="E35" s="33" t="n"/>
      <c r="F35" s="32" t="n"/>
      <c r="G35" s="51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53" t="inlineStr">
        <is>
          <t>Complexity</t>
        </is>
      </c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8" ht="22" customHeight="1">
      <c r="A38" s="44" t="inlineStr">
        <is>
          <t>Sales Automation</t>
        </is>
      </c>
      <c r="G38" s="45">
        <f>HYPERLINK("#'Sales &amp; Servicing'!A4","▲ tracker")</f>
        <v/>
      </c>
      <c r="K38" s="46" t="inlineStr">
        <is>
          <t>Assessment Outcome</t>
        </is>
      </c>
    </row>
    <row r="39" ht="26" customHeight="1">
      <c r="A39" s="47" t="inlineStr">
        <is>
          <t>#</t>
        </is>
      </c>
      <c r="B39" s="47" t="inlineStr">
        <is>
          <t>Platform</t>
        </is>
      </c>
      <c r="C39" s="47" t="inlineStr">
        <is>
          <t>State</t>
        </is>
      </c>
      <c r="D39" s="47" t="inlineStr">
        <is>
          <t>Imperative to exit (= Benefits)</t>
        </is>
      </c>
      <c r="E39" s="47" t="inlineStr">
        <is>
          <t>Exit complexity</t>
        </is>
      </c>
      <c r="F39" s="47" t="inlineStr">
        <is>
          <t>Supporting facts</t>
        </is>
      </c>
      <c r="G39" s="47" t="inlineStr">
        <is>
          <t>Tranche (auto)</t>
        </is>
      </c>
      <c r="K39" s="48" t="inlineStr">
        <is>
          <t>Low</t>
        </is>
      </c>
      <c r="L39" s="48" t="inlineStr">
        <is>
          <t>Medium</t>
        </is>
      </c>
      <c r="M39" s="48" t="inlineStr">
        <is>
          <t>High</t>
        </is>
      </c>
    </row>
    <row r="40" ht="20" customHeight="1">
      <c r="A40" s="49" t="inlineStr">
        <is>
          <t>①</t>
        </is>
      </c>
      <c r="B40" s="50" t="n"/>
      <c r="C40" s="33" t="n"/>
      <c r="D40" s="33" t="n"/>
      <c r="E40" s="33" t="n"/>
      <c r="F40" s="32" t="n"/>
      <c r="G40" s="51">
        <f>IF(OR($B40="",$D40="",$E40=""),"",IF(OR($C40="Target state",$C40="Exception"),"Out of scope",IF($D40="Low","No tranche",IF($E40="Low","Tranche 1",IF($E40="Medium","Tranche 2",IF($D40="High","Tranche 3","No tranche"))))))</f>
        <v/>
      </c>
      <c r="I40" s="52" t="inlineStr">
        <is>
          <t>Benefits (= Imperative to exit)</t>
        </is>
      </c>
      <c r="J40" s="53" t="inlineStr">
        <is>
          <t>High</t>
        </is>
      </c>
      <c r="K40" s="54">
        <f>"Tranche 1"&amp;CHAR(10)&amp;_xlfn.TEXTJOIN(CHAR(10),TRUE,O$40:O$49)</f>
        <v/>
      </c>
      <c r="L40" s="55">
        <f>"Tranche 2"&amp;CHAR(10)&amp;_xlfn.TEXTJOIN(CHAR(10),TRUE,P$40:P$49)</f>
        <v/>
      </c>
      <c r="M40" s="56">
        <f>"Tranche 3"&amp;CHAR(10)&amp;_xlfn.TEXTJOIN(CHAR(10),TRUE,Q$40:Q$49)</f>
        <v/>
      </c>
      <c r="O40">
        <f>IF(AND($B40&lt;&gt;"",$C40&lt;&gt;"Target state",$C40&lt;&gt;"Exception",$D40="High",$E40="Low"),$A40&amp;"  "&amp;$B40,"")</f>
        <v/>
      </c>
      <c r="P40">
        <f>IF(AND($B40&lt;&gt;"",$C40&lt;&gt;"Target state",$C40&lt;&gt;"Exception",$D40="High",$E40="Medium"),$A40&amp;"  "&amp;$B40,"")</f>
        <v/>
      </c>
      <c r="Q40">
        <f>IF(AND($B40&lt;&gt;"",$C40&lt;&gt;"Target state",$C40&lt;&gt;"Exception",$D40="High",$E40="High"),$A40&amp;"  "&amp;$B40,"")</f>
        <v/>
      </c>
      <c r="R40">
        <f>IF(AND($B40&lt;&gt;"",$C40&lt;&gt;"Target state",$C40&lt;&gt;"Exception",$D40="Medium",$E40="Low"),$A40&amp;"  "&amp;$B40,"")</f>
        <v/>
      </c>
      <c r="S40">
        <f>IF(AND($B40&lt;&gt;"",$C40&lt;&gt;"Target state",$C40&lt;&gt;"Exception",$D40="Medium",$E40="Medium"),$A40&amp;"  "&amp;$B40,"")</f>
        <v/>
      </c>
      <c r="T40">
        <f>IF(AND($B40&lt;&gt;"",$C40&lt;&gt;"Target state",$C40&lt;&gt;"Exception",$D40="Medium",$E40="High"),$A40&amp;"  "&amp;$B40,"")</f>
        <v/>
      </c>
      <c r="U40">
        <f>IF(AND($B40&lt;&gt;"",$C40&lt;&gt;"Target state",$C40&lt;&gt;"Exception",$D40="Low",$E40="Low"),$A40&amp;"  "&amp;$B40,"")</f>
        <v/>
      </c>
      <c r="V40">
        <f>IF(AND($B40&lt;&gt;"",$C40&lt;&gt;"Target state",$C40&lt;&gt;"Exception",$D40="Low",$E40="Medium"),$A40&amp;"  "&amp;$B40,"")</f>
        <v/>
      </c>
      <c r="W40">
        <f>IF(AND($B40&lt;&gt;"",$C40&lt;&gt;"Target state",$C40&lt;&gt;"Exception",$D40="Low",$E40="High"),$A40&amp;"  "&amp;$B40,"")</f>
        <v/>
      </c>
    </row>
    <row r="41" ht="20" customHeight="1">
      <c r="A41" s="49" t="inlineStr">
        <is>
          <t>②</t>
        </is>
      </c>
      <c r="B41" s="50" t="n"/>
      <c r="C41" s="33" t="n"/>
      <c r="D41" s="33" t="n"/>
      <c r="E41" s="33" t="n"/>
      <c r="F41" s="32" t="n"/>
      <c r="G41" s="51">
        <f>IF(OR($B41="",$D41="",$E41=""),"",IF(OR($C41="Target state",$C41="Exception"),"Out of scope",IF($D41="Low","No tranche",IF($E41="Low","Tranche 1",IF($E41="Medium","Tranche 2",IF($D41="High","Tranche 3","No tranche"))))))</f>
        <v/>
      </c>
      <c r="K41" s="57" t="n"/>
      <c r="L41" s="57" t="n"/>
      <c r="M41" s="57" t="n"/>
      <c r="O41">
        <f>IF(AND($B41&lt;&gt;"",$C41&lt;&gt;"Target state",$C41&lt;&gt;"Exception",$D41="High",$E41="Low"),$A41&amp;"  "&amp;$B41,"")</f>
        <v/>
      </c>
      <c r="P41">
        <f>IF(AND($B41&lt;&gt;"",$C41&lt;&gt;"Target state",$C41&lt;&gt;"Exception",$D41="High",$E41="Medium"),$A41&amp;"  "&amp;$B41,"")</f>
        <v/>
      </c>
      <c r="Q41">
        <f>IF(AND($B41&lt;&gt;"",$C41&lt;&gt;"Target state",$C41&lt;&gt;"Exception",$D41="High",$E41="High"),$A41&amp;"  "&amp;$B41,"")</f>
        <v/>
      </c>
      <c r="R41">
        <f>IF(AND($B41&lt;&gt;"",$C41&lt;&gt;"Target state",$C41&lt;&gt;"Exception",$D41="Medium",$E41="Low"),$A41&amp;"  "&amp;$B41,"")</f>
        <v/>
      </c>
      <c r="S41">
        <f>IF(AND($B41&lt;&gt;"",$C41&lt;&gt;"Target state",$C41&lt;&gt;"Exception",$D41="Medium",$E41="Medium"),$A41&amp;"  "&amp;$B41,"")</f>
        <v/>
      </c>
      <c r="T41">
        <f>IF(AND($B41&lt;&gt;"",$C41&lt;&gt;"Target state",$C41&lt;&gt;"Exception",$D41="Medium",$E41="High"),$A41&amp;"  "&amp;$B41,"")</f>
        <v/>
      </c>
      <c r="U41">
        <f>IF(AND($B41&lt;&gt;"",$C41&lt;&gt;"Target state",$C41&lt;&gt;"Exception",$D41="Low",$E41="Low"),$A41&amp;"  "&amp;$B41,"")</f>
        <v/>
      </c>
      <c r="V41">
        <f>IF(AND($B41&lt;&gt;"",$C41&lt;&gt;"Target state",$C41&lt;&gt;"Exception",$D41="Low",$E41="Medium"),$A41&amp;"  "&amp;$B41,"")</f>
        <v/>
      </c>
      <c r="W41">
        <f>IF(AND($B41&lt;&gt;"",$C41&lt;&gt;"Target state",$C41&lt;&gt;"Exception",$D41="Low",$E41="High"),$A41&amp;"  "&amp;$B41,"")</f>
        <v/>
      </c>
    </row>
    <row r="42" ht="20" customHeight="1">
      <c r="A42" s="49" t="inlineStr">
        <is>
          <t>③</t>
        </is>
      </c>
      <c r="B42" s="50" t="n"/>
      <c r="C42" s="33" t="n"/>
      <c r="D42" s="33" t="n"/>
      <c r="E42" s="33" t="n"/>
      <c r="F42" s="32" t="n"/>
      <c r="G42" s="51">
        <f>IF(OR($B42="",$D42="",$E42=""),"",IF(OR($C42="Target state",$C42="Exception"),"Out of scope",IF($D42="Low","No tranche",IF($E42="Low","Tranche 1",IF($E42="Medium","Tranche 2",IF($D42="High","Tranche 3","No tranche"))))))</f>
        <v/>
      </c>
      <c r="K42" s="58" t="n"/>
      <c r="L42" s="58" t="n"/>
      <c r="M42" s="58" t="n"/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49" t="inlineStr">
        <is>
          <t>④</t>
        </is>
      </c>
      <c r="B43" s="50" t="n"/>
      <c r="C43" s="33" t="n"/>
      <c r="D43" s="33" t="n"/>
      <c r="E43" s="33" t="n"/>
      <c r="F43" s="32" t="n"/>
      <c r="G43" s="51">
        <f>IF(OR($B43="",$D43="",$E43=""),"",IF(OR($C43="Target state",$C43="Exception"),"Out of scope",IF($D43="Low","No tranche",IF($E43="Low","Tranche 1",IF($E43="Medium","Tranche 2",IF($D43="High","Tranche 3","No tranche"))))))</f>
        <v/>
      </c>
      <c r="J43" s="53" t="inlineStr">
        <is>
          <t>Medium</t>
        </is>
      </c>
      <c r="K43" s="54">
        <f>"Tranche 1"&amp;CHAR(10)&amp;_xlfn.TEXTJOIN(CHAR(10),TRUE,R$40:R$49)</f>
        <v/>
      </c>
      <c r="L43" s="55">
        <f>"Tranche 2"&amp;CHAR(10)&amp;_xlfn.TEXTJOIN(CHAR(10),TRUE,S$40:S$49)</f>
        <v/>
      </c>
      <c r="M43" s="59">
        <f>_xlfn.TEXTJOIN(CHAR(10),TRUE,T$40:T$49)</f>
        <v/>
      </c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49" t="inlineStr">
        <is>
          <t>⑤</t>
        </is>
      </c>
      <c r="B44" s="50" t="n"/>
      <c r="C44" s="33" t="n"/>
      <c r="D44" s="33" t="n"/>
      <c r="E44" s="33" t="n"/>
      <c r="F44" s="32" t="n"/>
      <c r="G44" s="51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57" t="n"/>
      <c r="L44" s="57" t="n"/>
      <c r="M44" s="57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49" t="inlineStr">
        <is>
          <t>⑥</t>
        </is>
      </c>
      <c r="B45" s="50" t="n"/>
      <c r="C45" s="33" t="n"/>
      <c r="D45" s="33" t="n"/>
      <c r="E45" s="33" t="n"/>
      <c r="F45" s="32" t="n"/>
      <c r="G45" s="51">
        <f>IF(OR($B45="",$D45="",$E45=""),"",IF(OR($C45="Target state",$C45="Exception"),"Out of scope",IF($D45="Low","No tranche",IF($E45="Low","Tranche 1",IF($E45="Medium","Tranche 2",IF($D45="High","Tranche 3","No tranche"))))))</f>
        <v/>
      </c>
      <c r="K45" s="58" t="n"/>
      <c r="L45" s="58" t="n"/>
      <c r="M45" s="58" t="n"/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49" t="inlineStr">
        <is>
          <t>⑦</t>
        </is>
      </c>
      <c r="B46" s="50" t="n"/>
      <c r="C46" s="33" t="n"/>
      <c r="D46" s="33" t="n"/>
      <c r="E46" s="33" t="n"/>
      <c r="F46" s="32" t="n"/>
      <c r="G46" s="51">
        <f>IF(OR($B46="",$D46="",$E46=""),"",IF(OR($C46="Target state",$C46="Exception"),"Out of scope",IF($D46="Low","No tranche",IF($E46="Low","Tranche 1",IF($E46="Medium","Tranche 2",IF($D46="High","Tranche 3","No tranche"))))))</f>
        <v/>
      </c>
      <c r="J46" s="53" t="inlineStr">
        <is>
          <t>Low</t>
        </is>
      </c>
      <c r="K46" s="59">
        <f>_xlfn.TEXTJOIN(CHAR(10),TRUE,U$40:U$49)</f>
        <v/>
      </c>
      <c r="L46" s="59">
        <f>_xlfn.TEXTJOIN(CHAR(10),TRUE,V$40:V$49)</f>
        <v/>
      </c>
      <c r="M46" s="59">
        <f>_xlfn.TEXTJOIN(CHAR(10),TRUE,W$40:W$49)</f>
        <v/>
      </c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49" t="inlineStr">
        <is>
          <t>⑧</t>
        </is>
      </c>
      <c r="B47" s="50" t="n"/>
      <c r="C47" s="33" t="n"/>
      <c r="D47" s="33" t="n"/>
      <c r="E47" s="33" t="n"/>
      <c r="F47" s="32" t="n"/>
      <c r="G47" s="51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57" t="n"/>
      <c r="L47" s="57" t="n"/>
      <c r="M47" s="57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49" t="inlineStr">
        <is>
          <t>⑨</t>
        </is>
      </c>
      <c r="B48" s="50" t="n"/>
      <c r="C48" s="33" t="n"/>
      <c r="D48" s="33" t="n"/>
      <c r="E48" s="33" t="n"/>
      <c r="F48" s="32" t="n"/>
      <c r="G48" s="51">
        <f>IF(OR($B48="",$D48="",$E48=""),"",IF(OR($C48="Target state",$C48="Exception"),"Out of scope",IF($D48="Low","No tranche",IF($E48="Low","Tranche 1",IF($E48="Medium","Tranche 2",IF($D48="High","Tranche 3","No tranche"))))))</f>
        <v/>
      </c>
      <c r="K48" s="58" t="n"/>
      <c r="L48" s="58" t="n"/>
      <c r="M48" s="58" t="n"/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49" t="inlineStr">
        <is>
          <t>⑩</t>
        </is>
      </c>
      <c r="B49" s="50" t="n"/>
      <c r="C49" s="33" t="n"/>
      <c r="D49" s="33" t="n"/>
      <c r="E49" s="33" t="n"/>
      <c r="F49" s="32" t="n"/>
      <c r="G49" s="51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53" t="inlineStr">
        <is>
          <t>Complexity</t>
        </is>
      </c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2" ht="22" customHeight="1">
      <c r="A52" s="44" t="inlineStr">
        <is>
          <t>Risks</t>
        </is>
      </c>
      <c r="G52" s="45">
        <f>HYPERLINK("#'Sales &amp; Servicing'!A4","▲ tracker")</f>
        <v/>
      </c>
      <c r="K52" s="46" t="inlineStr">
        <is>
          <t>Assessment Outcome</t>
        </is>
      </c>
    </row>
    <row r="53" ht="26" customHeight="1">
      <c r="A53" s="47" t="inlineStr">
        <is>
          <t>#</t>
        </is>
      </c>
      <c r="B53" s="47" t="inlineStr">
        <is>
          <t>Platform</t>
        </is>
      </c>
      <c r="C53" s="47" t="inlineStr">
        <is>
          <t>State</t>
        </is>
      </c>
      <c r="D53" s="47" t="inlineStr">
        <is>
          <t>Imperative to exit (= Benefits)</t>
        </is>
      </c>
      <c r="E53" s="47" t="inlineStr">
        <is>
          <t>Exit complexity</t>
        </is>
      </c>
      <c r="F53" s="47" t="inlineStr">
        <is>
          <t>Supporting facts</t>
        </is>
      </c>
      <c r="G53" s="47" t="inlineStr">
        <is>
          <t>Tranche (auto)</t>
        </is>
      </c>
      <c r="K53" s="48" t="inlineStr">
        <is>
          <t>Low</t>
        </is>
      </c>
      <c r="L53" s="48" t="inlineStr">
        <is>
          <t>Medium</t>
        </is>
      </c>
      <c r="M53" s="48" t="inlineStr">
        <is>
          <t>High</t>
        </is>
      </c>
    </row>
    <row r="54" ht="20" customHeight="1">
      <c r="A54" s="49" t="inlineStr">
        <is>
          <t>①</t>
        </is>
      </c>
      <c r="B54" s="50" t="n"/>
      <c r="C54" s="33" t="n"/>
      <c r="D54" s="33" t="n"/>
      <c r="E54" s="33" t="n"/>
      <c r="F54" s="32" t="n"/>
      <c r="G54" s="51">
        <f>IF(OR($B54="",$D54="",$E54=""),"",IF(OR($C54="Target state",$C54="Exception"),"Out of scope",IF($D54="Low","No tranche",IF($E54="Low","Tranche 1",IF($E54="Medium","Tranche 2",IF($D54="High","Tranche 3","No tranche"))))))</f>
        <v/>
      </c>
      <c r="I54" s="52" t="inlineStr">
        <is>
          <t>Benefits (= Imperative to exit)</t>
        </is>
      </c>
      <c r="J54" s="53" t="inlineStr">
        <is>
          <t>High</t>
        </is>
      </c>
      <c r="K54" s="54">
        <f>"Tranche 1"&amp;CHAR(10)&amp;_xlfn.TEXTJOIN(CHAR(10),TRUE,O$54:O$63)</f>
        <v/>
      </c>
      <c r="L54" s="55">
        <f>"Tranche 2"&amp;CHAR(10)&amp;_xlfn.TEXTJOIN(CHAR(10),TRUE,P$54:P$63)</f>
        <v/>
      </c>
      <c r="M54" s="56">
        <f>"Tranche 3"&amp;CHAR(10)&amp;_xlfn.TEXTJOIN(CHAR(10),TRUE,Q$54:Q$63)</f>
        <v/>
      </c>
      <c r="O54">
        <f>IF(AND($B54&lt;&gt;"",$C54&lt;&gt;"Target state",$C54&lt;&gt;"Exception",$D54="High",$E54="Low"),$A54&amp;"  "&amp;$B54,"")</f>
        <v/>
      </c>
      <c r="P54">
        <f>IF(AND($B54&lt;&gt;"",$C54&lt;&gt;"Target state",$C54&lt;&gt;"Exception",$D54="High",$E54="Medium"),$A54&amp;"  "&amp;$B54,"")</f>
        <v/>
      </c>
      <c r="Q54">
        <f>IF(AND($B54&lt;&gt;"",$C54&lt;&gt;"Target state",$C54&lt;&gt;"Exception",$D54="High",$E54="High"),$A54&amp;"  "&amp;$B54,"")</f>
        <v/>
      </c>
      <c r="R54">
        <f>IF(AND($B54&lt;&gt;"",$C54&lt;&gt;"Target state",$C54&lt;&gt;"Exception",$D54="Medium",$E54="Low"),$A54&amp;"  "&amp;$B54,"")</f>
        <v/>
      </c>
      <c r="S54">
        <f>IF(AND($B54&lt;&gt;"",$C54&lt;&gt;"Target state",$C54&lt;&gt;"Exception",$D54="Medium",$E54="Medium"),$A54&amp;"  "&amp;$B54,"")</f>
        <v/>
      </c>
      <c r="T54">
        <f>IF(AND($B54&lt;&gt;"",$C54&lt;&gt;"Target state",$C54&lt;&gt;"Exception",$D54="Medium",$E54="High"),$A54&amp;"  "&amp;$B54,"")</f>
        <v/>
      </c>
      <c r="U54">
        <f>IF(AND($B54&lt;&gt;"",$C54&lt;&gt;"Target state",$C54&lt;&gt;"Exception",$D54="Low",$E54="Low"),$A54&amp;"  "&amp;$B54,"")</f>
        <v/>
      </c>
      <c r="V54">
        <f>IF(AND($B54&lt;&gt;"",$C54&lt;&gt;"Target state",$C54&lt;&gt;"Exception",$D54="Low",$E54="Medium"),$A54&amp;"  "&amp;$B54,"")</f>
        <v/>
      </c>
      <c r="W54">
        <f>IF(AND($B54&lt;&gt;"",$C54&lt;&gt;"Target state",$C54&lt;&gt;"Exception",$D54="Low",$E54="High"),$A54&amp;"  "&amp;$B54,"")</f>
        <v/>
      </c>
    </row>
    <row r="55" ht="20" customHeight="1">
      <c r="A55" s="49" t="inlineStr">
        <is>
          <t>②</t>
        </is>
      </c>
      <c r="B55" s="50" t="n"/>
      <c r="C55" s="33" t="n"/>
      <c r="D55" s="33" t="n"/>
      <c r="E55" s="33" t="n"/>
      <c r="F55" s="32" t="n"/>
      <c r="G55" s="51">
        <f>IF(OR($B55="",$D55="",$E55=""),"",IF(OR($C55="Target state",$C55="Exception"),"Out of scope",IF($D55="Low","No tranche",IF($E55="Low","Tranche 1",IF($E55="Medium","Tranche 2",IF($D55="High","Tranche 3","No tranche"))))))</f>
        <v/>
      </c>
      <c r="K55" s="57" t="n"/>
      <c r="L55" s="57" t="n"/>
      <c r="M55" s="57" t="n"/>
      <c r="O55">
        <f>IF(AND($B55&lt;&gt;"",$C55&lt;&gt;"Target state",$C55&lt;&gt;"Exception",$D55="High",$E55="Low"),$A55&amp;"  "&amp;$B55,"")</f>
        <v/>
      </c>
      <c r="P55">
        <f>IF(AND($B55&lt;&gt;"",$C55&lt;&gt;"Target state",$C55&lt;&gt;"Exception",$D55="High",$E55="Medium"),$A55&amp;"  "&amp;$B55,"")</f>
        <v/>
      </c>
      <c r="Q55">
        <f>IF(AND($B55&lt;&gt;"",$C55&lt;&gt;"Target state",$C55&lt;&gt;"Exception",$D55="High",$E55="High"),$A55&amp;"  "&amp;$B55,"")</f>
        <v/>
      </c>
      <c r="R55">
        <f>IF(AND($B55&lt;&gt;"",$C55&lt;&gt;"Target state",$C55&lt;&gt;"Exception",$D55="Medium",$E55="Low"),$A55&amp;"  "&amp;$B55,"")</f>
        <v/>
      </c>
      <c r="S55">
        <f>IF(AND($B55&lt;&gt;"",$C55&lt;&gt;"Target state",$C55&lt;&gt;"Exception",$D55="Medium",$E55="Medium"),$A55&amp;"  "&amp;$B55,"")</f>
        <v/>
      </c>
      <c r="T55">
        <f>IF(AND($B55&lt;&gt;"",$C55&lt;&gt;"Target state",$C55&lt;&gt;"Exception",$D55="Medium",$E55="High"),$A55&amp;"  "&amp;$B55,"")</f>
        <v/>
      </c>
      <c r="U55">
        <f>IF(AND($B55&lt;&gt;"",$C55&lt;&gt;"Target state",$C55&lt;&gt;"Exception",$D55="Low",$E55="Low"),$A55&amp;"  "&amp;$B55,"")</f>
        <v/>
      </c>
      <c r="V55">
        <f>IF(AND($B55&lt;&gt;"",$C55&lt;&gt;"Target state",$C55&lt;&gt;"Exception",$D55="Low",$E55="Medium"),$A55&amp;"  "&amp;$B55,"")</f>
        <v/>
      </c>
      <c r="W55">
        <f>IF(AND($B55&lt;&gt;"",$C55&lt;&gt;"Target state",$C55&lt;&gt;"Exception",$D55="Low",$E55="High"),$A55&amp;"  "&amp;$B55,"")</f>
        <v/>
      </c>
    </row>
    <row r="56" ht="20" customHeight="1">
      <c r="A56" s="49" t="inlineStr">
        <is>
          <t>③</t>
        </is>
      </c>
      <c r="B56" s="50" t="n"/>
      <c r="C56" s="33" t="n"/>
      <c r="D56" s="33" t="n"/>
      <c r="E56" s="33" t="n"/>
      <c r="F56" s="32" t="n"/>
      <c r="G56" s="51">
        <f>IF(OR($B56="",$D56="",$E56=""),"",IF(OR($C56="Target state",$C56="Exception"),"Out of scope",IF($D56="Low","No tranche",IF($E56="Low","Tranche 1",IF($E56="Medium","Tranche 2",IF($D56="High","Tranche 3","No tranche"))))))</f>
        <v/>
      </c>
      <c r="K56" s="58" t="n"/>
      <c r="L56" s="58" t="n"/>
      <c r="M56" s="58" t="n"/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49" t="inlineStr">
        <is>
          <t>④</t>
        </is>
      </c>
      <c r="B57" s="50" t="n"/>
      <c r="C57" s="33" t="n"/>
      <c r="D57" s="33" t="n"/>
      <c r="E57" s="33" t="n"/>
      <c r="F57" s="32" t="n"/>
      <c r="G57" s="51">
        <f>IF(OR($B57="",$D57="",$E57=""),"",IF(OR($C57="Target state",$C57="Exception"),"Out of scope",IF($D57="Low","No tranche",IF($E57="Low","Tranche 1",IF($E57="Medium","Tranche 2",IF($D57="High","Tranche 3","No tranche"))))))</f>
        <v/>
      </c>
      <c r="J57" s="53" t="inlineStr">
        <is>
          <t>Medium</t>
        </is>
      </c>
      <c r="K57" s="54">
        <f>"Tranche 1"&amp;CHAR(10)&amp;_xlfn.TEXTJOIN(CHAR(10),TRUE,R$54:R$63)</f>
        <v/>
      </c>
      <c r="L57" s="55">
        <f>"Tranche 2"&amp;CHAR(10)&amp;_xlfn.TEXTJOIN(CHAR(10),TRUE,S$54:S$63)</f>
        <v/>
      </c>
      <c r="M57" s="59">
        <f>_xlfn.TEXTJOIN(CHAR(10),TRUE,T$54:T$63)</f>
        <v/>
      </c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49" t="inlineStr">
        <is>
          <t>⑤</t>
        </is>
      </c>
      <c r="B58" s="50" t="n"/>
      <c r="C58" s="33" t="n"/>
      <c r="D58" s="33" t="n"/>
      <c r="E58" s="33" t="n"/>
      <c r="F58" s="32" t="n"/>
      <c r="G58" s="51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57" t="n"/>
      <c r="L58" s="57" t="n"/>
      <c r="M58" s="57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49" t="inlineStr">
        <is>
          <t>⑥</t>
        </is>
      </c>
      <c r="B59" s="50" t="n"/>
      <c r="C59" s="33" t="n"/>
      <c r="D59" s="33" t="n"/>
      <c r="E59" s="33" t="n"/>
      <c r="F59" s="32" t="n"/>
      <c r="G59" s="51">
        <f>IF(OR($B59="",$D59="",$E59=""),"",IF(OR($C59="Target state",$C59="Exception"),"Out of scope",IF($D59="Low","No tranche",IF($E59="Low","Tranche 1",IF($E59="Medium","Tranche 2",IF($D59="High","Tranche 3","No tranche"))))))</f>
        <v/>
      </c>
      <c r="K59" s="58" t="n"/>
      <c r="L59" s="58" t="n"/>
      <c r="M59" s="58" t="n"/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49" t="inlineStr">
        <is>
          <t>⑦</t>
        </is>
      </c>
      <c r="B60" s="50" t="n"/>
      <c r="C60" s="33" t="n"/>
      <c r="D60" s="33" t="n"/>
      <c r="E60" s="33" t="n"/>
      <c r="F60" s="32" t="n"/>
      <c r="G60" s="51">
        <f>IF(OR($B60="",$D60="",$E60=""),"",IF(OR($C60="Target state",$C60="Exception"),"Out of scope",IF($D60="Low","No tranche",IF($E60="Low","Tranche 1",IF($E60="Medium","Tranche 2",IF($D60="High","Tranche 3","No tranche"))))))</f>
        <v/>
      </c>
      <c r="J60" s="53" t="inlineStr">
        <is>
          <t>Low</t>
        </is>
      </c>
      <c r="K60" s="59">
        <f>_xlfn.TEXTJOIN(CHAR(10),TRUE,U$54:U$63)</f>
        <v/>
      </c>
      <c r="L60" s="59">
        <f>_xlfn.TEXTJOIN(CHAR(10),TRUE,V$54:V$63)</f>
        <v/>
      </c>
      <c r="M60" s="59">
        <f>_xlfn.TEXTJOIN(CHAR(10),TRUE,W$54:W$63)</f>
        <v/>
      </c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49" t="inlineStr">
        <is>
          <t>⑧</t>
        </is>
      </c>
      <c r="B61" s="50" t="n"/>
      <c r="C61" s="33" t="n"/>
      <c r="D61" s="33" t="n"/>
      <c r="E61" s="33" t="n"/>
      <c r="F61" s="32" t="n"/>
      <c r="G61" s="51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57" t="n"/>
      <c r="L61" s="57" t="n"/>
      <c r="M61" s="57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49" t="inlineStr">
        <is>
          <t>⑨</t>
        </is>
      </c>
      <c r="B62" s="50" t="n"/>
      <c r="C62" s="33" t="n"/>
      <c r="D62" s="33" t="n"/>
      <c r="E62" s="33" t="n"/>
      <c r="F62" s="32" t="n"/>
      <c r="G62" s="51">
        <f>IF(OR($B62="",$D62="",$E62=""),"",IF(OR($C62="Target state",$C62="Exception"),"Out of scope",IF($D62="Low","No tranche",IF($E62="Low","Tranche 1",IF($E62="Medium","Tranche 2",IF($D62="High","Tranche 3","No tranche"))))))</f>
        <v/>
      </c>
      <c r="K62" s="58" t="n"/>
      <c r="L62" s="58" t="n"/>
      <c r="M62" s="58" t="n"/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49" t="inlineStr">
        <is>
          <t>⑩</t>
        </is>
      </c>
      <c r="B63" s="50" t="n"/>
      <c r="C63" s="33" t="n"/>
      <c r="D63" s="33" t="n"/>
      <c r="E63" s="33" t="n"/>
      <c r="F63" s="32" t="n"/>
      <c r="G63" s="51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53" t="inlineStr">
        <is>
          <t>Complexity</t>
        </is>
      </c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</sheetData>
  <mergeCells count="65">
    <mergeCell ref="J32:J34"/>
    <mergeCell ref="I26:I34"/>
    <mergeCell ref="K63:M63"/>
    <mergeCell ref="J26:J28"/>
    <mergeCell ref="M12:M14"/>
    <mergeCell ref="M18:M20"/>
    <mergeCell ref="L26:L28"/>
    <mergeCell ref="M26:M28"/>
    <mergeCell ref="K57:K59"/>
    <mergeCell ref="J54:J56"/>
    <mergeCell ref="I12:I20"/>
    <mergeCell ref="M57:M59"/>
    <mergeCell ref="J46:J48"/>
    <mergeCell ref="M32:M34"/>
    <mergeCell ref="L46:L48"/>
    <mergeCell ref="L40:L42"/>
    <mergeCell ref="K52:M52"/>
    <mergeCell ref="L29:L31"/>
    <mergeCell ref="J43:J45"/>
    <mergeCell ref="J12:J14"/>
    <mergeCell ref="J18:J20"/>
    <mergeCell ref="M29:M31"/>
    <mergeCell ref="M43:M45"/>
    <mergeCell ref="L57:L59"/>
    <mergeCell ref="M46:M48"/>
    <mergeCell ref="K15:K17"/>
    <mergeCell ref="A4:C4"/>
    <mergeCell ref="J60:J62"/>
    <mergeCell ref="J57:J59"/>
    <mergeCell ref="L32:L34"/>
    <mergeCell ref="K18:K20"/>
    <mergeCell ref="A38:F38"/>
    <mergeCell ref="K38:M38"/>
    <mergeCell ref="A10:F10"/>
    <mergeCell ref="A52:F52"/>
    <mergeCell ref="K54:K56"/>
    <mergeCell ref="K10:M10"/>
    <mergeCell ref="J29:J31"/>
    <mergeCell ref="K49:M49"/>
    <mergeCell ref="K29:K31"/>
    <mergeCell ref="K60:K62"/>
    <mergeCell ref="M60:M62"/>
    <mergeCell ref="A24:F24"/>
    <mergeCell ref="K32:K34"/>
    <mergeCell ref="L43:L45"/>
    <mergeCell ref="L12:L14"/>
    <mergeCell ref="L18:L20"/>
    <mergeCell ref="K24:M24"/>
    <mergeCell ref="K26:K28"/>
    <mergeCell ref="J40:J42"/>
    <mergeCell ref="K40:K42"/>
    <mergeCell ref="M40:M42"/>
    <mergeCell ref="I40:I48"/>
    <mergeCell ref="J15:J17"/>
    <mergeCell ref="L15:L17"/>
    <mergeCell ref="K21:M21"/>
    <mergeCell ref="K43:K45"/>
    <mergeCell ref="K12:K14"/>
    <mergeCell ref="K35:M35"/>
    <mergeCell ref="K46:K48"/>
    <mergeCell ref="M54:M56"/>
    <mergeCell ref="L60:L62"/>
    <mergeCell ref="M15:M17"/>
    <mergeCell ref="I54:I62"/>
    <mergeCell ref="L54:L56"/>
  </mergeCells>
  <conditionalFormatting sqref="A12:G21">
    <cfRule type="expression" priority="1" dxfId="0">
      <formula>OR($C12="Target state",$C12="Exception")</formula>
    </cfRule>
  </conditionalFormatting>
  <conditionalFormatting sqref="A26:G35">
    <cfRule type="expression" priority="2" dxfId="0">
      <formula>OR($C26="Target state",$C26="Exception")</formula>
    </cfRule>
  </conditionalFormatting>
  <conditionalFormatting sqref="A40:G49">
    <cfRule type="expression" priority="3" dxfId="0">
      <formula>OR($C40="Target state",$C40="Exception")</formula>
    </cfRule>
  </conditionalFormatting>
  <conditionalFormatting sqref="A54:G63">
    <cfRule type="expression" priority="4" dxfId="0">
      <formula>OR($C54="Target state",$C54="Exception")</formula>
    </cfRule>
  </conditionalFormatting>
  <dataValidations count="2">
    <dataValidation sqref="C12:C21 C26:C35 C40:C49 C54:C63" showDropDown="0" showInputMessage="0" showErrorMessage="0" allowBlank="1" type="list">
      <formula1>"Target state,Non-target state,Exception"</formula1>
    </dataValidation>
    <dataValidation sqref="D12:E21 D26:E35 D40:E49 D54:E6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Payment Processing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HYPERLINK("#'Payment Processing'!A12","Gateway")</f>
        <v/>
      </c>
    </row>
    <row r="6">
      <c r="A6" s="43" t="inlineStr">
        <is>
          <t>2.</t>
        </is>
      </c>
      <c r="B6" s="3">
        <f>HYPERLINK("#'Payment Processing'!A26","Switch")</f>
        <v/>
      </c>
    </row>
    <row r="7">
      <c r="A7" s="43" t="inlineStr">
        <is>
          <t>3.</t>
        </is>
      </c>
      <c r="B7" s="3">
        <f>HYPERLINK("#'Payment Processing'!A40","Clearing Back-end")</f>
        <v/>
      </c>
    </row>
    <row r="8">
      <c r="A8" s="43" t="inlineStr">
        <is>
          <t>4.</t>
        </is>
      </c>
      <c r="B8" s="3">
        <f>HYPERLINK("#'Payment Processing'!A54","Authorization Host")</f>
        <v/>
      </c>
    </row>
    <row r="9">
      <c r="A9" s="43" t="inlineStr">
        <is>
          <t>5.</t>
        </is>
      </c>
      <c r="B9" s="3">
        <f>HYPERLINK("#'Payment Processing'!A68","Transaction monitoring")</f>
        <v/>
      </c>
    </row>
    <row r="10">
      <c r="A10" s="43" t="inlineStr">
        <is>
          <t>6.</t>
        </is>
      </c>
      <c r="B10" s="3">
        <f>HYPERLINK("#'Payment Processing'!A82","APMs/LPMs")</f>
        <v/>
      </c>
    </row>
    <row r="12" ht="22" customHeight="1">
      <c r="A12" s="44" t="inlineStr">
        <is>
          <t>Gateway</t>
        </is>
      </c>
      <c r="G12" s="45">
        <f>HYPERLINK("#'Payment Processing'!A4","▲ tracker")</f>
        <v/>
      </c>
      <c r="K12" s="46" t="inlineStr">
        <is>
          <t>Assessment Outcome</t>
        </is>
      </c>
    </row>
    <row r="13" ht="26" customHeight="1">
      <c r="A13" s="47" t="inlineStr">
        <is>
          <t>#</t>
        </is>
      </c>
      <c r="B13" s="47" t="inlineStr">
        <is>
          <t>Platform</t>
        </is>
      </c>
      <c r="C13" s="47" t="inlineStr">
        <is>
          <t>State</t>
        </is>
      </c>
      <c r="D13" s="47" t="inlineStr">
        <is>
          <t>Imperative to exit (= Benefits)</t>
        </is>
      </c>
      <c r="E13" s="47" t="inlineStr">
        <is>
          <t>Exit complexity</t>
        </is>
      </c>
      <c r="F13" s="47" t="inlineStr">
        <is>
          <t>Supporting facts</t>
        </is>
      </c>
      <c r="G13" s="47" t="inlineStr">
        <is>
          <t>Tranche (auto)</t>
        </is>
      </c>
      <c r="K13" s="48" t="inlineStr">
        <is>
          <t>Low</t>
        </is>
      </c>
      <c r="L13" s="48" t="inlineStr">
        <is>
          <t>Medium</t>
        </is>
      </c>
      <c r="M13" s="48" t="inlineStr">
        <is>
          <t>High</t>
        </is>
      </c>
    </row>
    <row r="14" ht="20" customHeight="1">
      <c r="A14" s="49" t="inlineStr">
        <is>
          <t>①</t>
        </is>
      </c>
      <c r="B14" s="50" t="inlineStr">
        <is>
          <t>Edge</t>
        </is>
      </c>
      <c r="C14" s="33" t="inlineStr">
        <is>
          <t>Non-target state</t>
        </is>
      </c>
      <c r="D14" s="33" t="inlineStr">
        <is>
          <t>High</t>
        </is>
      </c>
      <c r="E14" s="33" t="inlineStr">
        <is>
          <t>High</t>
        </is>
      </c>
      <c r="F14" s="32" t="inlineStr">
        <is>
          <t>Illustrative example from the slide - plots as Tranche 3</t>
        </is>
      </c>
      <c r="G14" s="51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52" t="inlineStr">
        <is>
          <t>Benefits (= Imperative to exit)</t>
        </is>
      </c>
      <c r="J14" s="53" t="inlineStr">
        <is>
          <t>High</t>
        </is>
      </c>
      <c r="K14" s="54">
        <f>"Tranche 1"&amp;CHAR(10)&amp;_xlfn.TEXTJOIN(CHAR(10),TRUE,O$14:O$23)</f>
        <v/>
      </c>
      <c r="L14" s="55">
        <f>"Tranche 2"&amp;CHAR(10)&amp;_xlfn.TEXTJOIN(CHAR(10),TRUE,P$14:P$23)</f>
        <v/>
      </c>
      <c r="M14" s="56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49" t="inlineStr">
        <is>
          <t>②</t>
        </is>
      </c>
      <c r="B15" s="50" t="inlineStr">
        <is>
          <t>WP Total / Emboss</t>
        </is>
      </c>
      <c r="C15" s="33" t="inlineStr">
        <is>
          <t>Non-target state</t>
        </is>
      </c>
      <c r="D15" s="33" t="inlineStr">
        <is>
          <t>High</t>
        </is>
      </c>
      <c r="E15" s="33" t="inlineStr">
        <is>
          <t>Medium</t>
        </is>
      </c>
      <c r="F15" s="32" t="inlineStr">
        <is>
          <t>Illustrative example from the slide - plots as Tranche 2</t>
        </is>
      </c>
      <c r="G15" s="51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57" t="n"/>
      <c r="L15" s="57" t="n"/>
      <c r="M15" s="57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49" t="inlineStr">
        <is>
          <t>③</t>
        </is>
      </c>
      <c r="B16" s="50" t="inlineStr">
        <is>
          <t>Innovo</t>
        </is>
      </c>
      <c r="C16" s="33" t="inlineStr">
        <is>
          <t>Non-target state</t>
        </is>
      </c>
      <c r="D16" s="33" t="inlineStr">
        <is>
          <t>Medium</t>
        </is>
      </c>
      <c r="E16" s="33" t="inlineStr">
        <is>
          <t>Low</t>
        </is>
      </c>
      <c r="F16" s="32" t="inlineStr">
        <is>
          <t>Illustrative example from the slide - plots as Tranche 1</t>
        </is>
      </c>
      <c r="G16" s="51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58" t="n"/>
      <c r="L16" s="58" t="n"/>
      <c r="M16" s="58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49" t="inlineStr">
        <is>
          <t>④</t>
        </is>
      </c>
      <c r="B17" s="50" t="inlineStr">
        <is>
          <t>EWay</t>
        </is>
      </c>
      <c r="C17" s="33" t="inlineStr">
        <is>
          <t>Non-target state</t>
        </is>
      </c>
      <c r="D17" s="33" t="inlineStr">
        <is>
          <t>Medium</t>
        </is>
      </c>
      <c r="E17" s="33" t="inlineStr">
        <is>
          <t>Medium</t>
        </is>
      </c>
      <c r="F17" s="32" t="inlineStr">
        <is>
          <t>Illustrative example from the slide - plots as Tranche 2</t>
        </is>
      </c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53" t="inlineStr">
        <is>
          <t>Medium</t>
        </is>
      </c>
      <c r="K17" s="54">
        <f>"Tranche 1"&amp;CHAR(10)&amp;_xlfn.TEXTJOIN(CHAR(10),TRUE,R$14:R$23)</f>
        <v/>
      </c>
      <c r="L17" s="55">
        <f>"Tranche 2"&amp;CHAR(10)&amp;_xlfn.TEXTJOIN(CHAR(10),TRUE,S$14:S$23)</f>
        <v/>
      </c>
      <c r="M17" s="59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⑤</t>
        </is>
      </c>
      <c r="B18" s="50" t="inlineStr">
        <is>
          <t>Unified Gateway (example)</t>
        </is>
      </c>
      <c r="C18" s="33" t="inlineStr">
        <is>
          <t>Target state</t>
        </is>
      </c>
      <c r="D18" s="33" t="inlineStr"/>
      <c r="E18" s="33" t="inlineStr"/>
      <c r="F18" s="32" t="inlineStr">
        <is>
          <t>Example of a target-state platform - row grays out and is excluded from the matrix</t>
        </is>
      </c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57" t="n"/>
      <c r="L18" s="57" t="n"/>
      <c r="M18" s="57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49" t="inlineStr">
        <is>
          <t>⑥</t>
        </is>
      </c>
      <c r="B19" s="50" t="n"/>
      <c r="C19" s="33" t="n"/>
      <c r="D19" s="33" t="n"/>
      <c r="E19" s="33" t="n"/>
      <c r="F19" s="32" t="n"/>
      <c r="G19" s="51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58" t="n"/>
      <c r="L19" s="58" t="n"/>
      <c r="M19" s="58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49" t="inlineStr">
        <is>
          <t>⑦</t>
        </is>
      </c>
      <c r="B20" s="50" t="n"/>
      <c r="C20" s="33" t="n"/>
      <c r="D20" s="33" t="n"/>
      <c r="E20" s="33" t="n"/>
      <c r="F20" s="32" t="n"/>
      <c r="G20" s="51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53" t="inlineStr">
        <is>
          <t>Low</t>
        </is>
      </c>
      <c r="K20" s="59">
        <f>_xlfn.TEXTJOIN(CHAR(10),TRUE,U$14:U$23)</f>
        <v/>
      </c>
      <c r="L20" s="59">
        <f>_xlfn.TEXTJOIN(CHAR(10),TRUE,V$14:V$23)</f>
        <v/>
      </c>
      <c r="M20" s="59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49" t="inlineStr">
        <is>
          <t>⑧</t>
        </is>
      </c>
      <c r="B21" s="50" t="n"/>
      <c r="C21" s="33" t="n"/>
      <c r="D21" s="33" t="n"/>
      <c r="E21" s="33" t="n"/>
      <c r="F21" s="32" t="n"/>
      <c r="G21" s="51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57" t="n"/>
      <c r="L21" s="57" t="n"/>
      <c r="M21" s="57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49" t="inlineStr">
        <is>
          <t>⑨</t>
        </is>
      </c>
      <c r="B22" s="50" t="n"/>
      <c r="C22" s="33" t="n"/>
      <c r="D22" s="33" t="n"/>
      <c r="E22" s="33" t="n"/>
      <c r="F22" s="32" t="n"/>
      <c r="G22" s="51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58" t="n"/>
      <c r="L22" s="58" t="n"/>
      <c r="M22" s="58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49" t="inlineStr">
        <is>
          <t>⑩</t>
        </is>
      </c>
      <c r="B23" s="50" t="n"/>
      <c r="C23" s="33" t="n"/>
      <c r="D23" s="33" t="n"/>
      <c r="E23" s="33" t="n"/>
      <c r="F23" s="32" t="n"/>
      <c r="G23" s="51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53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44" t="inlineStr">
        <is>
          <t>Switch</t>
        </is>
      </c>
      <c r="G26" s="45">
        <f>HYPERLINK("#'Payment Processing'!A4","▲ tracker")</f>
        <v/>
      </c>
      <c r="K26" s="46" t="inlineStr">
        <is>
          <t>Assessment Outcome</t>
        </is>
      </c>
    </row>
    <row r="27" ht="26" customHeight="1">
      <c r="A27" s="47" t="inlineStr">
        <is>
          <t>#</t>
        </is>
      </c>
      <c r="B27" s="47" t="inlineStr">
        <is>
          <t>Platform</t>
        </is>
      </c>
      <c r="C27" s="47" t="inlineStr">
        <is>
          <t>State</t>
        </is>
      </c>
      <c r="D27" s="47" t="inlineStr">
        <is>
          <t>Imperative to exit (= Benefits)</t>
        </is>
      </c>
      <c r="E27" s="47" t="inlineStr">
        <is>
          <t>Exit complexity</t>
        </is>
      </c>
      <c r="F27" s="47" t="inlineStr">
        <is>
          <t>Supporting facts</t>
        </is>
      </c>
      <c r="G27" s="47" t="inlineStr">
        <is>
          <t>Tranche (auto)</t>
        </is>
      </c>
      <c r="K27" s="48" t="inlineStr">
        <is>
          <t>Low</t>
        </is>
      </c>
      <c r="L27" s="48" t="inlineStr">
        <is>
          <t>Medium</t>
        </is>
      </c>
      <c r="M27" s="48" t="inlineStr">
        <is>
          <t>High</t>
        </is>
      </c>
    </row>
    <row r="28" ht="20" customHeight="1">
      <c r="A28" s="49" t="inlineStr">
        <is>
          <t>①</t>
        </is>
      </c>
      <c r="B28" s="50" t="n"/>
      <c r="C28" s="33" t="n"/>
      <c r="D28" s="33" t="n"/>
      <c r="E28" s="33" t="n"/>
      <c r="F28" s="32" t="n"/>
      <c r="G28" s="51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52" t="inlineStr">
        <is>
          <t>Benefits (= Imperative to exit)</t>
        </is>
      </c>
      <c r="J28" s="53" t="inlineStr">
        <is>
          <t>High</t>
        </is>
      </c>
      <c r="K28" s="54">
        <f>"Tranche 1"&amp;CHAR(10)&amp;_xlfn.TEXTJOIN(CHAR(10),TRUE,O$28:O$37)</f>
        <v/>
      </c>
      <c r="L28" s="55">
        <f>"Tranche 2"&amp;CHAR(10)&amp;_xlfn.TEXTJOIN(CHAR(10),TRUE,P$28:P$37)</f>
        <v/>
      </c>
      <c r="M28" s="56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49" t="inlineStr">
        <is>
          <t>②</t>
        </is>
      </c>
      <c r="B29" s="50" t="n"/>
      <c r="C29" s="33" t="n"/>
      <c r="D29" s="33" t="n"/>
      <c r="E29" s="33" t="n"/>
      <c r="F29" s="32" t="n"/>
      <c r="G29" s="51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57" t="n"/>
      <c r="L29" s="57" t="n"/>
      <c r="M29" s="57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49" t="inlineStr">
        <is>
          <t>③</t>
        </is>
      </c>
      <c r="B30" s="50" t="n"/>
      <c r="C30" s="33" t="n"/>
      <c r="D30" s="33" t="n"/>
      <c r="E30" s="33" t="n"/>
      <c r="F30" s="32" t="n"/>
      <c r="G30" s="51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58" t="n"/>
      <c r="L30" s="58" t="n"/>
      <c r="M30" s="58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49" t="inlineStr">
        <is>
          <t>④</t>
        </is>
      </c>
      <c r="B31" s="50" t="n"/>
      <c r="C31" s="33" t="n"/>
      <c r="D31" s="33" t="n"/>
      <c r="E31" s="33" t="n"/>
      <c r="F31" s="32" t="n"/>
      <c r="G31" s="51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53" t="inlineStr">
        <is>
          <t>Medium</t>
        </is>
      </c>
      <c r="K31" s="54">
        <f>"Tranche 1"&amp;CHAR(10)&amp;_xlfn.TEXTJOIN(CHAR(10),TRUE,R$28:R$37)</f>
        <v/>
      </c>
      <c r="L31" s="55">
        <f>"Tranche 2"&amp;CHAR(10)&amp;_xlfn.TEXTJOIN(CHAR(10),TRUE,S$28:S$37)</f>
        <v/>
      </c>
      <c r="M31" s="59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49" t="inlineStr">
        <is>
          <t>⑤</t>
        </is>
      </c>
      <c r="B32" s="50" t="n"/>
      <c r="C32" s="33" t="n"/>
      <c r="D32" s="33" t="n"/>
      <c r="E32" s="33" t="n"/>
      <c r="F32" s="32" t="n"/>
      <c r="G32" s="51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57" t="n"/>
      <c r="L32" s="57" t="n"/>
      <c r="M32" s="57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49" t="inlineStr">
        <is>
          <t>⑥</t>
        </is>
      </c>
      <c r="B33" s="50" t="n"/>
      <c r="C33" s="33" t="n"/>
      <c r="D33" s="33" t="n"/>
      <c r="E33" s="33" t="n"/>
      <c r="F33" s="32" t="n"/>
      <c r="G33" s="51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58" t="n"/>
      <c r="L33" s="58" t="n"/>
      <c r="M33" s="58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49" t="inlineStr">
        <is>
          <t>⑦</t>
        </is>
      </c>
      <c r="B34" s="50" t="n"/>
      <c r="C34" s="33" t="n"/>
      <c r="D34" s="33" t="n"/>
      <c r="E34" s="33" t="n"/>
      <c r="F34" s="32" t="n"/>
      <c r="G34" s="51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53" t="inlineStr">
        <is>
          <t>Low</t>
        </is>
      </c>
      <c r="K34" s="59">
        <f>_xlfn.TEXTJOIN(CHAR(10),TRUE,U$28:U$37)</f>
        <v/>
      </c>
      <c r="L34" s="59">
        <f>_xlfn.TEXTJOIN(CHAR(10),TRUE,V$28:V$37)</f>
        <v/>
      </c>
      <c r="M34" s="59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49" t="inlineStr">
        <is>
          <t>⑧</t>
        </is>
      </c>
      <c r="B35" s="50" t="n"/>
      <c r="C35" s="33" t="n"/>
      <c r="D35" s="33" t="n"/>
      <c r="E35" s="33" t="n"/>
      <c r="F35" s="32" t="n"/>
      <c r="G35" s="51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57" t="n"/>
      <c r="L35" s="57" t="n"/>
      <c r="M35" s="57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49" t="inlineStr">
        <is>
          <t>⑨</t>
        </is>
      </c>
      <c r="B36" s="50" t="n"/>
      <c r="C36" s="33" t="n"/>
      <c r="D36" s="33" t="n"/>
      <c r="E36" s="33" t="n"/>
      <c r="F36" s="32" t="n"/>
      <c r="G36" s="51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58" t="n"/>
      <c r="L36" s="58" t="n"/>
      <c r="M36" s="58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49" t="inlineStr">
        <is>
          <t>⑩</t>
        </is>
      </c>
      <c r="B37" s="50" t="n"/>
      <c r="C37" s="33" t="n"/>
      <c r="D37" s="33" t="n"/>
      <c r="E37" s="33" t="n"/>
      <c r="F37" s="32" t="n"/>
      <c r="G37" s="51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53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44" t="inlineStr">
        <is>
          <t>Clearing Back-end</t>
        </is>
      </c>
      <c r="G40" s="45">
        <f>HYPERLINK("#'Payment Processing'!A4","▲ tracker")</f>
        <v/>
      </c>
      <c r="K40" s="46" t="inlineStr">
        <is>
          <t>Assessment Outcome</t>
        </is>
      </c>
    </row>
    <row r="41" ht="26" customHeight="1">
      <c r="A41" s="47" t="inlineStr">
        <is>
          <t>#</t>
        </is>
      </c>
      <c r="B41" s="47" t="inlineStr">
        <is>
          <t>Platform</t>
        </is>
      </c>
      <c r="C41" s="47" t="inlineStr">
        <is>
          <t>State</t>
        </is>
      </c>
      <c r="D41" s="47" t="inlineStr">
        <is>
          <t>Imperative to exit (= Benefits)</t>
        </is>
      </c>
      <c r="E41" s="47" t="inlineStr">
        <is>
          <t>Exit complexity</t>
        </is>
      </c>
      <c r="F41" s="47" t="inlineStr">
        <is>
          <t>Supporting facts</t>
        </is>
      </c>
      <c r="G41" s="47" t="inlineStr">
        <is>
          <t>Tranche (auto)</t>
        </is>
      </c>
      <c r="K41" s="48" t="inlineStr">
        <is>
          <t>Low</t>
        </is>
      </c>
      <c r="L41" s="48" t="inlineStr">
        <is>
          <t>Medium</t>
        </is>
      </c>
      <c r="M41" s="48" t="inlineStr">
        <is>
          <t>High</t>
        </is>
      </c>
    </row>
    <row r="42" ht="20" customHeight="1">
      <c r="A42" s="49" t="inlineStr">
        <is>
          <t>①</t>
        </is>
      </c>
      <c r="B42" s="50" t="n"/>
      <c r="C42" s="33" t="n"/>
      <c r="D42" s="33" t="n"/>
      <c r="E42" s="33" t="n"/>
      <c r="F42" s="32" t="n"/>
      <c r="G42" s="51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52" t="inlineStr">
        <is>
          <t>Benefits (= Imperative to exit)</t>
        </is>
      </c>
      <c r="J42" s="53" t="inlineStr">
        <is>
          <t>High</t>
        </is>
      </c>
      <c r="K42" s="54">
        <f>"Tranche 1"&amp;CHAR(10)&amp;_xlfn.TEXTJOIN(CHAR(10),TRUE,O$42:O$51)</f>
        <v/>
      </c>
      <c r="L42" s="55">
        <f>"Tranche 2"&amp;CHAR(10)&amp;_xlfn.TEXTJOIN(CHAR(10),TRUE,P$42:P$51)</f>
        <v/>
      </c>
      <c r="M42" s="56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49" t="inlineStr">
        <is>
          <t>②</t>
        </is>
      </c>
      <c r="B43" s="50" t="n"/>
      <c r="C43" s="33" t="n"/>
      <c r="D43" s="33" t="n"/>
      <c r="E43" s="33" t="n"/>
      <c r="F43" s="32" t="n"/>
      <c r="G43" s="51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57" t="n"/>
      <c r="L43" s="57" t="n"/>
      <c r="M43" s="57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49" t="inlineStr">
        <is>
          <t>③</t>
        </is>
      </c>
      <c r="B44" s="50" t="n"/>
      <c r="C44" s="33" t="n"/>
      <c r="D44" s="33" t="n"/>
      <c r="E44" s="33" t="n"/>
      <c r="F44" s="32" t="n"/>
      <c r="G44" s="51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58" t="n"/>
      <c r="L44" s="58" t="n"/>
      <c r="M44" s="58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49" t="inlineStr">
        <is>
          <t>④</t>
        </is>
      </c>
      <c r="B45" s="50" t="n"/>
      <c r="C45" s="33" t="n"/>
      <c r="D45" s="33" t="n"/>
      <c r="E45" s="33" t="n"/>
      <c r="F45" s="32" t="n"/>
      <c r="G45" s="51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53" t="inlineStr">
        <is>
          <t>Medium</t>
        </is>
      </c>
      <c r="K45" s="54">
        <f>"Tranche 1"&amp;CHAR(10)&amp;_xlfn.TEXTJOIN(CHAR(10),TRUE,R$42:R$51)</f>
        <v/>
      </c>
      <c r="L45" s="55">
        <f>"Tranche 2"&amp;CHAR(10)&amp;_xlfn.TEXTJOIN(CHAR(10),TRUE,S$42:S$51)</f>
        <v/>
      </c>
      <c r="M45" s="59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49" t="inlineStr">
        <is>
          <t>⑤</t>
        </is>
      </c>
      <c r="B46" s="50" t="n"/>
      <c r="C46" s="33" t="n"/>
      <c r="D46" s="33" t="n"/>
      <c r="E46" s="33" t="n"/>
      <c r="F46" s="32" t="n"/>
      <c r="G46" s="51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57" t="n"/>
      <c r="L46" s="57" t="n"/>
      <c r="M46" s="57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49" t="inlineStr">
        <is>
          <t>⑥</t>
        </is>
      </c>
      <c r="B47" s="50" t="n"/>
      <c r="C47" s="33" t="n"/>
      <c r="D47" s="33" t="n"/>
      <c r="E47" s="33" t="n"/>
      <c r="F47" s="32" t="n"/>
      <c r="G47" s="51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58" t="n"/>
      <c r="L47" s="58" t="n"/>
      <c r="M47" s="58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49" t="inlineStr">
        <is>
          <t>⑦</t>
        </is>
      </c>
      <c r="B48" s="50" t="n"/>
      <c r="C48" s="33" t="n"/>
      <c r="D48" s="33" t="n"/>
      <c r="E48" s="33" t="n"/>
      <c r="F48" s="32" t="n"/>
      <c r="G48" s="51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53" t="inlineStr">
        <is>
          <t>Low</t>
        </is>
      </c>
      <c r="K48" s="59">
        <f>_xlfn.TEXTJOIN(CHAR(10),TRUE,U$42:U$51)</f>
        <v/>
      </c>
      <c r="L48" s="59">
        <f>_xlfn.TEXTJOIN(CHAR(10),TRUE,V$42:V$51)</f>
        <v/>
      </c>
      <c r="M48" s="59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49" t="inlineStr">
        <is>
          <t>⑧</t>
        </is>
      </c>
      <c r="B49" s="50" t="n"/>
      <c r="C49" s="33" t="n"/>
      <c r="D49" s="33" t="n"/>
      <c r="E49" s="33" t="n"/>
      <c r="F49" s="32" t="n"/>
      <c r="G49" s="51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57" t="n"/>
      <c r="L49" s="57" t="n"/>
      <c r="M49" s="57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49" t="inlineStr">
        <is>
          <t>⑨</t>
        </is>
      </c>
      <c r="B50" s="50" t="n"/>
      <c r="C50" s="33" t="n"/>
      <c r="D50" s="33" t="n"/>
      <c r="E50" s="33" t="n"/>
      <c r="F50" s="32" t="n"/>
      <c r="G50" s="51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58" t="n"/>
      <c r="L50" s="58" t="n"/>
      <c r="M50" s="58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49" t="inlineStr">
        <is>
          <t>⑩</t>
        </is>
      </c>
      <c r="B51" s="50" t="n"/>
      <c r="C51" s="33" t="n"/>
      <c r="D51" s="33" t="n"/>
      <c r="E51" s="33" t="n"/>
      <c r="F51" s="32" t="n"/>
      <c r="G51" s="51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53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44" t="inlineStr">
        <is>
          <t>Authorization Host</t>
        </is>
      </c>
      <c r="G54" s="45">
        <f>HYPERLINK("#'Payment Processing'!A4","▲ tracker")</f>
        <v/>
      </c>
      <c r="K54" s="46" t="inlineStr">
        <is>
          <t>Assessment Outcome</t>
        </is>
      </c>
    </row>
    <row r="55" ht="26" customHeight="1">
      <c r="A55" s="47" t="inlineStr">
        <is>
          <t>#</t>
        </is>
      </c>
      <c r="B55" s="47" t="inlineStr">
        <is>
          <t>Platform</t>
        </is>
      </c>
      <c r="C55" s="47" t="inlineStr">
        <is>
          <t>State</t>
        </is>
      </c>
      <c r="D55" s="47" t="inlineStr">
        <is>
          <t>Imperative to exit (= Benefits)</t>
        </is>
      </c>
      <c r="E55" s="47" t="inlineStr">
        <is>
          <t>Exit complexity</t>
        </is>
      </c>
      <c r="F55" s="47" t="inlineStr">
        <is>
          <t>Supporting facts</t>
        </is>
      </c>
      <c r="G55" s="47" t="inlineStr">
        <is>
          <t>Tranche (auto)</t>
        </is>
      </c>
      <c r="K55" s="48" t="inlineStr">
        <is>
          <t>Low</t>
        </is>
      </c>
      <c r="L55" s="48" t="inlineStr">
        <is>
          <t>Medium</t>
        </is>
      </c>
      <c r="M55" s="48" t="inlineStr">
        <is>
          <t>High</t>
        </is>
      </c>
    </row>
    <row r="56" ht="20" customHeight="1">
      <c r="A56" s="49" t="inlineStr">
        <is>
          <t>①</t>
        </is>
      </c>
      <c r="B56" s="50" t="n"/>
      <c r="C56" s="33" t="n"/>
      <c r="D56" s="33" t="n"/>
      <c r="E56" s="33" t="n"/>
      <c r="F56" s="32" t="n"/>
      <c r="G56" s="51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52" t="inlineStr">
        <is>
          <t>Benefits (= Imperative to exit)</t>
        </is>
      </c>
      <c r="J56" s="53" t="inlineStr">
        <is>
          <t>High</t>
        </is>
      </c>
      <c r="K56" s="54">
        <f>"Tranche 1"&amp;CHAR(10)&amp;_xlfn.TEXTJOIN(CHAR(10),TRUE,O$56:O$65)</f>
        <v/>
      </c>
      <c r="L56" s="55">
        <f>"Tranche 2"&amp;CHAR(10)&amp;_xlfn.TEXTJOIN(CHAR(10),TRUE,P$56:P$65)</f>
        <v/>
      </c>
      <c r="M56" s="56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49" t="inlineStr">
        <is>
          <t>②</t>
        </is>
      </c>
      <c r="B57" s="50" t="n"/>
      <c r="C57" s="33" t="n"/>
      <c r="D57" s="33" t="n"/>
      <c r="E57" s="33" t="n"/>
      <c r="F57" s="32" t="n"/>
      <c r="G57" s="51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57" t="n"/>
      <c r="L57" s="57" t="n"/>
      <c r="M57" s="57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49" t="inlineStr">
        <is>
          <t>③</t>
        </is>
      </c>
      <c r="B58" s="50" t="n"/>
      <c r="C58" s="33" t="n"/>
      <c r="D58" s="33" t="n"/>
      <c r="E58" s="33" t="n"/>
      <c r="F58" s="32" t="n"/>
      <c r="G58" s="51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58" t="n"/>
      <c r="L58" s="58" t="n"/>
      <c r="M58" s="58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49" t="inlineStr">
        <is>
          <t>④</t>
        </is>
      </c>
      <c r="B59" s="50" t="n"/>
      <c r="C59" s="33" t="n"/>
      <c r="D59" s="33" t="n"/>
      <c r="E59" s="33" t="n"/>
      <c r="F59" s="32" t="n"/>
      <c r="G59" s="51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53" t="inlineStr">
        <is>
          <t>Medium</t>
        </is>
      </c>
      <c r="K59" s="54">
        <f>"Tranche 1"&amp;CHAR(10)&amp;_xlfn.TEXTJOIN(CHAR(10),TRUE,R$56:R$65)</f>
        <v/>
      </c>
      <c r="L59" s="55">
        <f>"Tranche 2"&amp;CHAR(10)&amp;_xlfn.TEXTJOIN(CHAR(10),TRUE,S$56:S$65)</f>
        <v/>
      </c>
      <c r="M59" s="59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49" t="inlineStr">
        <is>
          <t>⑤</t>
        </is>
      </c>
      <c r="B60" s="50" t="n"/>
      <c r="C60" s="33" t="n"/>
      <c r="D60" s="33" t="n"/>
      <c r="E60" s="33" t="n"/>
      <c r="F60" s="32" t="n"/>
      <c r="G60" s="51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57" t="n"/>
      <c r="L60" s="57" t="n"/>
      <c r="M60" s="57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49" t="inlineStr">
        <is>
          <t>⑥</t>
        </is>
      </c>
      <c r="B61" s="50" t="n"/>
      <c r="C61" s="33" t="n"/>
      <c r="D61" s="33" t="n"/>
      <c r="E61" s="33" t="n"/>
      <c r="F61" s="32" t="n"/>
      <c r="G61" s="51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58" t="n"/>
      <c r="L61" s="58" t="n"/>
      <c r="M61" s="58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49" t="inlineStr">
        <is>
          <t>⑦</t>
        </is>
      </c>
      <c r="B62" s="50" t="n"/>
      <c r="C62" s="33" t="n"/>
      <c r="D62" s="33" t="n"/>
      <c r="E62" s="33" t="n"/>
      <c r="F62" s="32" t="n"/>
      <c r="G62" s="51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53" t="inlineStr">
        <is>
          <t>Low</t>
        </is>
      </c>
      <c r="K62" s="59">
        <f>_xlfn.TEXTJOIN(CHAR(10),TRUE,U$56:U$65)</f>
        <v/>
      </c>
      <c r="L62" s="59">
        <f>_xlfn.TEXTJOIN(CHAR(10),TRUE,V$56:V$65)</f>
        <v/>
      </c>
      <c r="M62" s="59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49" t="inlineStr">
        <is>
          <t>⑧</t>
        </is>
      </c>
      <c r="B63" s="50" t="n"/>
      <c r="C63" s="33" t="n"/>
      <c r="D63" s="33" t="n"/>
      <c r="E63" s="33" t="n"/>
      <c r="F63" s="32" t="n"/>
      <c r="G63" s="51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57" t="n"/>
      <c r="L63" s="57" t="n"/>
      <c r="M63" s="57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49" t="inlineStr">
        <is>
          <t>⑨</t>
        </is>
      </c>
      <c r="B64" s="50" t="n"/>
      <c r="C64" s="33" t="n"/>
      <c r="D64" s="33" t="n"/>
      <c r="E64" s="33" t="n"/>
      <c r="F64" s="32" t="n"/>
      <c r="G64" s="51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58" t="n"/>
      <c r="L64" s="58" t="n"/>
      <c r="M64" s="58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49" t="inlineStr">
        <is>
          <t>⑩</t>
        </is>
      </c>
      <c r="B65" s="50" t="n"/>
      <c r="C65" s="33" t="n"/>
      <c r="D65" s="33" t="n"/>
      <c r="E65" s="33" t="n"/>
      <c r="F65" s="32" t="n"/>
      <c r="G65" s="51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53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44" t="inlineStr">
        <is>
          <t>Transaction monitoring</t>
        </is>
      </c>
      <c r="G68" s="45">
        <f>HYPERLINK("#'Payment Processing'!A4","▲ tracker")</f>
        <v/>
      </c>
      <c r="K68" s="46" t="inlineStr">
        <is>
          <t>Assessment Outcome</t>
        </is>
      </c>
    </row>
    <row r="69" ht="26" customHeight="1">
      <c r="A69" s="47" t="inlineStr">
        <is>
          <t>#</t>
        </is>
      </c>
      <c r="B69" s="47" t="inlineStr">
        <is>
          <t>Platform</t>
        </is>
      </c>
      <c r="C69" s="47" t="inlineStr">
        <is>
          <t>State</t>
        </is>
      </c>
      <c r="D69" s="47" t="inlineStr">
        <is>
          <t>Imperative to exit (= Benefits)</t>
        </is>
      </c>
      <c r="E69" s="47" t="inlineStr">
        <is>
          <t>Exit complexity</t>
        </is>
      </c>
      <c r="F69" s="47" t="inlineStr">
        <is>
          <t>Supporting facts</t>
        </is>
      </c>
      <c r="G69" s="47" t="inlineStr">
        <is>
          <t>Tranche (auto)</t>
        </is>
      </c>
      <c r="K69" s="48" t="inlineStr">
        <is>
          <t>Low</t>
        </is>
      </c>
      <c r="L69" s="48" t="inlineStr">
        <is>
          <t>Medium</t>
        </is>
      </c>
      <c r="M69" s="48" t="inlineStr">
        <is>
          <t>High</t>
        </is>
      </c>
    </row>
    <row r="70" ht="20" customHeight="1">
      <c r="A70" s="49" t="inlineStr">
        <is>
          <t>①</t>
        </is>
      </c>
      <c r="B70" s="50" t="n"/>
      <c r="C70" s="33" t="n"/>
      <c r="D70" s="33" t="n"/>
      <c r="E70" s="33" t="n"/>
      <c r="F70" s="32" t="n"/>
      <c r="G70" s="51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52" t="inlineStr">
        <is>
          <t>Benefits (= Imperative to exit)</t>
        </is>
      </c>
      <c r="J70" s="53" t="inlineStr">
        <is>
          <t>High</t>
        </is>
      </c>
      <c r="K70" s="54">
        <f>"Tranche 1"&amp;CHAR(10)&amp;_xlfn.TEXTJOIN(CHAR(10),TRUE,O$70:O$79)</f>
        <v/>
      </c>
      <c r="L70" s="55">
        <f>"Tranche 2"&amp;CHAR(10)&amp;_xlfn.TEXTJOIN(CHAR(10),TRUE,P$70:P$79)</f>
        <v/>
      </c>
      <c r="M70" s="56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49" t="inlineStr">
        <is>
          <t>②</t>
        </is>
      </c>
      <c r="B71" s="50" t="n"/>
      <c r="C71" s="33" t="n"/>
      <c r="D71" s="33" t="n"/>
      <c r="E71" s="33" t="n"/>
      <c r="F71" s="32" t="n"/>
      <c r="G71" s="51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57" t="n"/>
      <c r="L71" s="57" t="n"/>
      <c r="M71" s="57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49" t="inlineStr">
        <is>
          <t>③</t>
        </is>
      </c>
      <c r="B72" s="50" t="n"/>
      <c r="C72" s="33" t="n"/>
      <c r="D72" s="33" t="n"/>
      <c r="E72" s="33" t="n"/>
      <c r="F72" s="32" t="n"/>
      <c r="G72" s="51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58" t="n"/>
      <c r="L72" s="58" t="n"/>
      <c r="M72" s="58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49" t="inlineStr">
        <is>
          <t>④</t>
        </is>
      </c>
      <c r="B73" s="50" t="n"/>
      <c r="C73" s="33" t="n"/>
      <c r="D73" s="33" t="n"/>
      <c r="E73" s="33" t="n"/>
      <c r="F73" s="32" t="n"/>
      <c r="G73" s="51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53" t="inlineStr">
        <is>
          <t>Medium</t>
        </is>
      </c>
      <c r="K73" s="54">
        <f>"Tranche 1"&amp;CHAR(10)&amp;_xlfn.TEXTJOIN(CHAR(10),TRUE,R$70:R$79)</f>
        <v/>
      </c>
      <c r="L73" s="55">
        <f>"Tranche 2"&amp;CHAR(10)&amp;_xlfn.TEXTJOIN(CHAR(10),TRUE,S$70:S$79)</f>
        <v/>
      </c>
      <c r="M73" s="59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49" t="inlineStr">
        <is>
          <t>⑤</t>
        </is>
      </c>
      <c r="B74" s="50" t="n"/>
      <c r="C74" s="33" t="n"/>
      <c r="D74" s="33" t="n"/>
      <c r="E74" s="33" t="n"/>
      <c r="F74" s="32" t="n"/>
      <c r="G74" s="51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57" t="n"/>
      <c r="L74" s="57" t="n"/>
      <c r="M74" s="57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49" t="inlineStr">
        <is>
          <t>⑥</t>
        </is>
      </c>
      <c r="B75" s="50" t="n"/>
      <c r="C75" s="33" t="n"/>
      <c r="D75" s="33" t="n"/>
      <c r="E75" s="33" t="n"/>
      <c r="F75" s="32" t="n"/>
      <c r="G75" s="51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58" t="n"/>
      <c r="L75" s="58" t="n"/>
      <c r="M75" s="58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49" t="inlineStr">
        <is>
          <t>⑦</t>
        </is>
      </c>
      <c r="B76" s="50" t="n"/>
      <c r="C76" s="33" t="n"/>
      <c r="D76" s="33" t="n"/>
      <c r="E76" s="33" t="n"/>
      <c r="F76" s="32" t="n"/>
      <c r="G76" s="51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53" t="inlineStr">
        <is>
          <t>Low</t>
        </is>
      </c>
      <c r="K76" s="59">
        <f>_xlfn.TEXTJOIN(CHAR(10),TRUE,U$70:U$79)</f>
        <v/>
      </c>
      <c r="L76" s="59">
        <f>_xlfn.TEXTJOIN(CHAR(10),TRUE,V$70:V$79)</f>
        <v/>
      </c>
      <c r="M76" s="59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49" t="inlineStr">
        <is>
          <t>⑧</t>
        </is>
      </c>
      <c r="B77" s="50" t="n"/>
      <c r="C77" s="33" t="n"/>
      <c r="D77" s="33" t="n"/>
      <c r="E77" s="33" t="n"/>
      <c r="F77" s="32" t="n"/>
      <c r="G77" s="51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57" t="n"/>
      <c r="L77" s="57" t="n"/>
      <c r="M77" s="57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49" t="inlineStr">
        <is>
          <t>⑨</t>
        </is>
      </c>
      <c r="B78" s="50" t="n"/>
      <c r="C78" s="33" t="n"/>
      <c r="D78" s="33" t="n"/>
      <c r="E78" s="33" t="n"/>
      <c r="F78" s="32" t="n"/>
      <c r="G78" s="51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58" t="n"/>
      <c r="L78" s="58" t="n"/>
      <c r="M78" s="58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49" t="inlineStr">
        <is>
          <t>⑩</t>
        </is>
      </c>
      <c r="B79" s="50" t="n"/>
      <c r="C79" s="33" t="n"/>
      <c r="D79" s="33" t="n"/>
      <c r="E79" s="33" t="n"/>
      <c r="F79" s="32" t="n"/>
      <c r="G79" s="51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53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44" t="inlineStr">
        <is>
          <t>APMs/LPMs</t>
        </is>
      </c>
      <c r="G82" s="45">
        <f>HYPERLINK("#'Payment Processing'!A4","▲ tracker")</f>
        <v/>
      </c>
      <c r="K82" s="46" t="inlineStr">
        <is>
          <t>Assessment Outcome</t>
        </is>
      </c>
    </row>
    <row r="83" ht="26" customHeight="1">
      <c r="A83" s="47" t="inlineStr">
        <is>
          <t>#</t>
        </is>
      </c>
      <c r="B83" s="47" t="inlineStr">
        <is>
          <t>Platform</t>
        </is>
      </c>
      <c r="C83" s="47" t="inlineStr">
        <is>
          <t>State</t>
        </is>
      </c>
      <c r="D83" s="47" t="inlineStr">
        <is>
          <t>Imperative to exit (= Benefits)</t>
        </is>
      </c>
      <c r="E83" s="47" t="inlineStr">
        <is>
          <t>Exit complexity</t>
        </is>
      </c>
      <c r="F83" s="47" t="inlineStr">
        <is>
          <t>Supporting facts</t>
        </is>
      </c>
      <c r="G83" s="47" t="inlineStr">
        <is>
          <t>Tranche (auto)</t>
        </is>
      </c>
      <c r="K83" s="48" t="inlineStr">
        <is>
          <t>Low</t>
        </is>
      </c>
      <c r="L83" s="48" t="inlineStr">
        <is>
          <t>Medium</t>
        </is>
      </c>
      <c r="M83" s="48" t="inlineStr">
        <is>
          <t>High</t>
        </is>
      </c>
    </row>
    <row r="84" ht="20" customHeight="1">
      <c r="A84" s="49" t="inlineStr">
        <is>
          <t>①</t>
        </is>
      </c>
      <c r="B84" s="50" t="n"/>
      <c r="C84" s="33" t="n"/>
      <c r="D84" s="33" t="n"/>
      <c r="E84" s="33" t="n"/>
      <c r="F84" s="32" t="n"/>
      <c r="G84" s="51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52" t="inlineStr">
        <is>
          <t>Benefits (= Imperative to exit)</t>
        </is>
      </c>
      <c r="J84" s="53" t="inlineStr">
        <is>
          <t>High</t>
        </is>
      </c>
      <c r="K84" s="54">
        <f>"Tranche 1"&amp;CHAR(10)&amp;_xlfn.TEXTJOIN(CHAR(10),TRUE,O$84:O$93)</f>
        <v/>
      </c>
      <c r="L84" s="55">
        <f>"Tranche 2"&amp;CHAR(10)&amp;_xlfn.TEXTJOIN(CHAR(10),TRUE,P$84:P$93)</f>
        <v/>
      </c>
      <c r="M84" s="56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49" t="inlineStr">
        <is>
          <t>②</t>
        </is>
      </c>
      <c r="B85" s="50" t="n"/>
      <c r="C85" s="33" t="n"/>
      <c r="D85" s="33" t="n"/>
      <c r="E85" s="33" t="n"/>
      <c r="F85" s="32" t="n"/>
      <c r="G85" s="51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57" t="n"/>
      <c r="L85" s="57" t="n"/>
      <c r="M85" s="57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49" t="inlineStr">
        <is>
          <t>③</t>
        </is>
      </c>
      <c r="B86" s="50" t="n"/>
      <c r="C86" s="33" t="n"/>
      <c r="D86" s="33" t="n"/>
      <c r="E86" s="33" t="n"/>
      <c r="F86" s="32" t="n"/>
      <c r="G86" s="51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58" t="n"/>
      <c r="L86" s="58" t="n"/>
      <c r="M86" s="58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49" t="inlineStr">
        <is>
          <t>④</t>
        </is>
      </c>
      <c r="B87" s="50" t="n"/>
      <c r="C87" s="33" t="n"/>
      <c r="D87" s="33" t="n"/>
      <c r="E87" s="33" t="n"/>
      <c r="F87" s="32" t="n"/>
      <c r="G87" s="51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53" t="inlineStr">
        <is>
          <t>Medium</t>
        </is>
      </c>
      <c r="K87" s="54">
        <f>"Tranche 1"&amp;CHAR(10)&amp;_xlfn.TEXTJOIN(CHAR(10),TRUE,R$84:R$93)</f>
        <v/>
      </c>
      <c r="L87" s="55">
        <f>"Tranche 2"&amp;CHAR(10)&amp;_xlfn.TEXTJOIN(CHAR(10),TRUE,S$84:S$93)</f>
        <v/>
      </c>
      <c r="M87" s="59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49" t="inlineStr">
        <is>
          <t>⑤</t>
        </is>
      </c>
      <c r="B88" s="50" t="n"/>
      <c r="C88" s="33" t="n"/>
      <c r="D88" s="33" t="n"/>
      <c r="E88" s="33" t="n"/>
      <c r="F88" s="32" t="n"/>
      <c r="G88" s="51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57" t="n"/>
      <c r="L88" s="57" t="n"/>
      <c r="M88" s="57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49" t="inlineStr">
        <is>
          <t>⑥</t>
        </is>
      </c>
      <c r="B89" s="50" t="n"/>
      <c r="C89" s="33" t="n"/>
      <c r="D89" s="33" t="n"/>
      <c r="E89" s="33" t="n"/>
      <c r="F89" s="32" t="n"/>
      <c r="G89" s="51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58" t="n"/>
      <c r="L89" s="58" t="n"/>
      <c r="M89" s="58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49" t="inlineStr">
        <is>
          <t>⑦</t>
        </is>
      </c>
      <c r="B90" s="50" t="n"/>
      <c r="C90" s="33" t="n"/>
      <c r="D90" s="33" t="n"/>
      <c r="E90" s="33" t="n"/>
      <c r="F90" s="32" t="n"/>
      <c r="G90" s="51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53" t="inlineStr">
        <is>
          <t>Low</t>
        </is>
      </c>
      <c r="K90" s="59">
        <f>_xlfn.TEXTJOIN(CHAR(10),TRUE,U$84:U$93)</f>
        <v/>
      </c>
      <c r="L90" s="59">
        <f>_xlfn.TEXTJOIN(CHAR(10),TRUE,V$84:V$93)</f>
        <v/>
      </c>
      <c r="M90" s="59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49" t="inlineStr">
        <is>
          <t>⑧</t>
        </is>
      </c>
      <c r="B91" s="50" t="n"/>
      <c r="C91" s="33" t="n"/>
      <c r="D91" s="33" t="n"/>
      <c r="E91" s="33" t="n"/>
      <c r="F91" s="32" t="n"/>
      <c r="G91" s="51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57" t="n"/>
      <c r="L91" s="57" t="n"/>
      <c r="M91" s="57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49" t="inlineStr">
        <is>
          <t>⑨</t>
        </is>
      </c>
      <c r="B92" s="50" t="n"/>
      <c r="C92" s="33" t="n"/>
      <c r="D92" s="33" t="n"/>
      <c r="E92" s="33" t="n"/>
      <c r="F92" s="32" t="n"/>
      <c r="G92" s="51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58" t="n"/>
      <c r="L92" s="58" t="n"/>
      <c r="M92" s="58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49" t="inlineStr">
        <is>
          <t>⑩</t>
        </is>
      </c>
      <c r="B93" s="50" t="n"/>
      <c r="C93" s="33" t="n"/>
      <c r="D93" s="33" t="n"/>
      <c r="E93" s="33" t="n"/>
      <c r="F93" s="32" t="n"/>
      <c r="G93" s="51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53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W13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VAS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HYPERLINK("#'VAS'!A15","Routing")</f>
        <v/>
      </c>
    </row>
    <row r="6">
      <c r="A6" s="43" t="inlineStr">
        <is>
          <t>2.</t>
        </is>
      </c>
      <c r="B6" s="3">
        <f>HYPERLINK("#'VAS'!A29","Networking Payment Tokens")</f>
        <v/>
      </c>
    </row>
    <row r="7">
      <c r="A7" s="43" t="inlineStr">
        <is>
          <t>3.</t>
        </is>
      </c>
      <c r="B7" s="3">
        <f>HYPERLINK("#'VAS'!A43","DCC eDCC")</f>
        <v/>
      </c>
    </row>
    <row r="8">
      <c r="A8" s="43" t="inlineStr">
        <is>
          <t>4.</t>
        </is>
      </c>
      <c r="B8" s="3">
        <f>HYPERLINK("#'VAS'!A57","Fraud")</f>
        <v/>
      </c>
    </row>
    <row r="9">
      <c r="A9" s="43" t="inlineStr">
        <is>
          <t>5.</t>
        </is>
      </c>
      <c r="B9" s="3">
        <f>HYPERLINK("#'VAS'!A71","Credential Management")</f>
        <v/>
      </c>
    </row>
    <row r="10">
      <c r="A10" s="43" t="inlineStr">
        <is>
          <t>6.</t>
        </is>
      </c>
      <c r="B10" s="3">
        <f>HYPERLINK("#'VAS'!A85","Gifts")</f>
        <v/>
      </c>
    </row>
    <row r="11">
      <c r="A11" s="43" t="inlineStr">
        <is>
          <t>7.</t>
        </is>
      </c>
      <c r="B11" s="3">
        <f>HYPERLINK("#'VAS'!A99","Managed Optimization")</f>
        <v/>
      </c>
    </row>
    <row r="12">
      <c r="A12" s="43" t="inlineStr">
        <is>
          <t>8.</t>
        </is>
      </c>
      <c r="B12" s="3">
        <f>HYPERLINK("#'VAS'!A113","3DS / exemptions")</f>
        <v/>
      </c>
    </row>
    <row r="13">
      <c r="A13" s="43" t="inlineStr">
        <is>
          <t>9.</t>
        </is>
      </c>
      <c r="B13" s="3">
        <f>HYPERLINK("#'VAS'!A127","FX")</f>
        <v/>
      </c>
    </row>
    <row r="15" ht="22" customHeight="1">
      <c r="A15" s="44" t="inlineStr">
        <is>
          <t>Routing</t>
        </is>
      </c>
      <c r="G15" s="45">
        <f>HYPERLINK("#'VAS'!A4","▲ tracker")</f>
        <v/>
      </c>
      <c r="K15" s="46" t="inlineStr">
        <is>
          <t>Assessment Outcome</t>
        </is>
      </c>
    </row>
    <row r="16" ht="26" customHeight="1">
      <c r="A16" s="47" t="inlineStr">
        <is>
          <t>#</t>
        </is>
      </c>
      <c r="B16" s="47" t="inlineStr">
        <is>
          <t>Platform</t>
        </is>
      </c>
      <c r="C16" s="47" t="inlineStr">
        <is>
          <t>State</t>
        </is>
      </c>
      <c r="D16" s="47" t="inlineStr">
        <is>
          <t>Imperative to exit (= Benefits)</t>
        </is>
      </c>
      <c r="E16" s="47" t="inlineStr">
        <is>
          <t>Exit complexity</t>
        </is>
      </c>
      <c r="F16" s="47" t="inlineStr">
        <is>
          <t>Supporting facts</t>
        </is>
      </c>
      <c r="G16" s="47" t="inlineStr">
        <is>
          <t>Tranche (auto)</t>
        </is>
      </c>
      <c r="K16" s="48" t="inlineStr">
        <is>
          <t>Low</t>
        </is>
      </c>
      <c r="L16" s="48" t="inlineStr">
        <is>
          <t>Medium</t>
        </is>
      </c>
      <c r="M16" s="48" t="inlineStr">
        <is>
          <t>High</t>
        </is>
      </c>
    </row>
    <row r="17" ht="20" customHeight="1">
      <c r="A17" s="49" t="inlineStr">
        <is>
          <t>①</t>
        </is>
      </c>
      <c r="B17" s="50" t="n"/>
      <c r="C17" s="33" t="n"/>
      <c r="D17" s="33" t="n"/>
      <c r="E17" s="33" t="n"/>
      <c r="F17" s="32" t="n"/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I17" s="52" t="inlineStr">
        <is>
          <t>Benefits (= Imperative to exit)</t>
        </is>
      </c>
      <c r="J17" s="53" t="inlineStr">
        <is>
          <t>High</t>
        </is>
      </c>
      <c r="K17" s="54">
        <f>"Tranche 1"&amp;CHAR(10)&amp;_xlfn.TEXTJOIN(CHAR(10),TRUE,O$17:O$26)</f>
        <v/>
      </c>
      <c r="L17" s="55">
        <f>"Tranche 2"&amp;CHAR(10)&amp;_xlfn.TEXTJOIN(CHAR(10),TRUE,P$17:P$26)</f>
        <v/>
      </c>
      <c r="M17" s="56">
        <f>"Tranche 3"&amp;CHAR(10)&amp;_xlfn.TEXTJOIN(CHAR(10),TRUE,Q$17:Q$26)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②</t>
        </is>
      </c>
      <c r="B18" s="50" t="n"/>
      <c r="C18" s="33" t="n"/>
      <c r="D18" s="33" t="n"/>
      <c r="E18" s="33" t="n"/>
      <c r="F18" s="32" t="n"/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57" t="n"/>
      <c r="L18" s="57" t="n"/>
      <c r="M18" s="57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49" t="inlineStr">
        <is>
          <t>③</t>
        </is>
      </c>
      <c r="B19" s="50" t="n"/>
      <c r="C19" s="33" t="n"/>
      <c r="D19" s="33" t="n"/>
      <c r="E19" s="33" t="n"/>
      <c r="F19" s="32" t="n"/>
      <c r="G19" s="51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58" t="n"/>
      <c r="L19" s="58" t="n"/>
      <c r="M19" s="58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49" t="inlineStr">
        <is>
          <t>④</t>
        </is>
      </c>
      <c r="B20" s="50" t="n"/>
      <c r="C20" s="33" t="n"/>
      <c r="D20" s="33" t="n"/>
      <c r="E20" s="33" t="n"/>
      <c r="F20" s="32" t="n"/>
      <c r="G20" s="51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53" t="inlineStr">
        <is>
          <t>Medium</t>
        </is>
      </c>
      <c r="K20" s="54">
        <f>"Tranche 1"&amp;CHAR(10)&amp;_xlfn.TEXTJOIN(CHAR(10),TRUE,R$17:R$26)</f>
        <v/>
      </c>
      <c r="L20" s="55">
        <f>"Tranche 2"&amp;CHAR(10)&amp;_xlfn.TEXTJOIN(CHAR(10),TRUE,S$17:S$26)</f>
        <v/>
      </c>
      <c r="M20" s="59">
        <f>_xlfn.TEXTJOIN(CHAR(10),TRUE,T$17:T$26)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49" t="inlineStr">
        <is>
          <t>⑤</t>
        </is>
      </c>
      <c r="B21" s="50" t="n"/>
      <c r="C21" s="33" t="n"/>
      <c r="D21" s="33" t="n"/>
      <c r="E21" s="33" t="n"/>
      <c r="F21" s="32" t="n"/>
      <c r="G21" s="51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57" t="n"/>
      <c r="L21" s="57" t="n"/>
      <c r="M21" s="57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49" t="inlineStr">
        <is>
          <t>⑥</t>
        </is>
      </c>
      <c r="B22" s="50" t="n"/>
      <c r="C22" s="33" t="n"/>
      <c r="D22" s="33" t="n"/>
      <c r="E22" s="33" t="n"/>
      <c r="F22" s="32" t="n"/>
      <c r="G22" s="51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58" t="n"/>
      <c r="L22" s="58" t="n"/>
      <c r="M22" s="58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49" t="inlineStr">
        <is>
          <t>⑦</t>
        </is>
      </c>
      <c r="B23" s="50" t="n"/>
      <c r="C23" s="33" t="n"/>
      <c r="D23" s="33" t="n"/>
      <c r="E23" s="33" t="n"/>
      <c r="F23" s="32" t="n"/>
      <c r="G23" s="51">
        <f>IF(OR($B23="",$D23="",$E23=""),"",IF(OR($C23="Target state",$C23="Exception"),"Out of scope",IF($D23="Low","No tranche",IF($E23="Low","Tranche 1",IF($E23="Medium","Tranche 2",IF($D23="High","Tranche 3","No tranche"))))))</f>
        <v/>
      </c>
      <c r="J23" s="53" t="inlineStr">
        <is>
          <t>Low</t>
        </is>
      </c>
      <c r="K23" s="59">
        <f>_xlfn.TEXTJOIN(CHAR(10),TRUE,U$17:U$26)</f>
        <v/>
      </c>
      <c r="L23" s="59">
        <f>_xlfn.TEXTJOIN(CHAR(10),TRUE,V$17:V$26)</f>
        <v/>
      </c>
      <c r="M23" s="59">
        <f>_xlfn.TEXTJOIN(CHAR(10),TRUE,W$17:W$26)</f>
        <v/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4" ht="20" customHeight="1">
      <c r="A24" s="49" t="inlineStr">
        <is>
          <t>⑧</t>
        </is>
      </c>
      <c r="B24" s="50" t="n"/>
      <c r="C24" s="33" t="n"/>
      <c r="D24" s="33" t="n"/>
      <c r="E24" s="33" t="n"/>
      <c r="F24" s="32" t="n"/>
      <c r="G24" s="51">
        <f>IF(OR($B24="",$D24="",$E24=""),"",IF(OR($C24="Target state",$C24="Exception"),"Out of scope",IF($D24="Low","No tranche",IF($E24="Low","Tranche 1",IF($E24="Medium","Tranche 2",IF($D24="High","Tranche 3","No tranche"))))))</f>
        <v/>
      </c>
      <c r="K24" s="57" t="n"/>
      <c r="L24" s="57" t="n"/>
      <c r="M24" s="57" t="n"/>
      <c r="O24">
        <f>IF(AND($B24&lt;&gt;"",$C24&lt;&gt;"Target state",$C24&lt;&gt;"Exception",$D24="High",$E24="Low"),$A24&amp;"  "&amp;$B24,"")</f>
        <v/>
      </c>
      <c r="P24">
        <f>IF(AND($B24&lt;&gt;"",$C24&lt;&gt;"Target state",$C24&lt;&gt;"Exception",$D24="High",$E24="Medium"),$A24&amp;"  "&amp;$B24,"")</f>
        <v/>
      </c>
      <c r="Q24">
        <f>IF(AND($B24&lt;&gt;"",$C24&lt;&gt;"Target state",$C24&lt;&gt;"Exception",$D24="High",$E24="High"),$A24&amp;"  "&amp;$B24,"")</f>
        <v/>
      </c>
      <c r="R24">
        <f>IF(AND($B24&lt;&gt;"",$C24&lt;&gt;"Target state",$C24&lt;&gt;"Exception",$D24="Medium",$E24="Low"),$A24&amp;"  "&amp;$B24,"")</f>
        <v/>
      </c>
      <c r="S24">
        <f>IF(AND($B24&lt;&gt;"",$C24&lt;&gt;"Target state",$C24&lt;&gt;"Exception",$D24="Medium",$E24="Medium"),$A24&amp;"  "&amp;$B24,"")</f>
        <v/>
      </c>
      <c r="T24">
        <f>IF(AND($B24&lt;&gt;"",$C24&lt;&gt;"Target state",$C24&lt;&gt;"Exception",$D24="Medium",$E24="High"),$A24&amp;"  "&amp;$B24,"")</f>
        <v/>
      </c>
      <c r="U24">
        <f>IF(AND($B24&lt;&gt;"",$C24&lt;&gt;"Target state",$C24&lt;&gt;"Exception",$D24="Low",$E24="Low"),$A24&amp;"  "&amp;$B24,"")</f>
        <v/>
      </c>
      <c r="V24">
        <f>IF(AND($B24&lt;&gt;"",$C24&lt;&gt;"Target state",$C24&lt;&gt;"Exception",$D24="Low",$E24="Medium"),$A24&amp;"  "&amp;$B24,"")</f>
        <v/>
      </c>
      <c r="W24">
        <f>IF(AND($B24&lt;&gt;"",$C24&lt;&gt;"Target state",$C24&lt;&gt;"Exception",$D24="Low",$E24="High"),$A24&amp;"  "&amp;$B24,"")</f>
        <v/>
      </c>
    </row>
    <row r="25" ht="20" customHeight="1">
      <c r="A25" s="49" t="inlineStr">
        <is>
          <t>⑨</t>
        </is>
      </c>
      <c r="B25" s="50" t="n"/>
      <c r="C25" s="33" t="n"/>
      <c r="D25" s="33" t="n"/>
      <c r="E25" s="33" t="n"/>
      <c r="F25" s="32" t="n"/>
      <c r="G25" s="51">
        <f>IF(OR($B25="",$D25="",$E25=""),"",IF(OR($C25="Target state",$C25="Exception"),"Out of scope",IF($D25="Low","No tranche",IF($E25="Low","Tranche 1",IF($E25="Medium","Tranche 2",IF($D25="High","Tranche 3","No tranche"))))))</f>
        <v/>
      </c>
      <c r="K25" s="58" t="n"/>
      <c r="L25" s="58" t="n"/>
      <c r="M25" s="58" t="n"/>
      <c r="O25">
        <f>IF(AND($B25&lt;&gt;"",$C25&lt;&gt;"Target state",$C25&lt;&gt;"Exception",$D25="High",$E25="Low"),$A25&amp;"  "&amp;$B25,"")</f>
        <v/>
      </c>
      <c r="P25">
        <f>IF(AND($B25&lt;&gt;"",$C25&lt;&gt;"Target state",$C25&lt;&gt;"Exception",$D25="High",$E25="Medium"),$A25&amp;"  "&amp;$B25,"")</f>
        <v/>
      </c>
      <c r="Q25">
        <f>IF(AND($B25&lt;&gt;"",$C25&lt;&gt;"Target state",$C25&lt;&gt;"Exception",$D25="High",$E25="High"),$A25&amp;"  "&amp;$B25,"")</f>
        <v/>
      </c>
      <c r="R25">
        <f>IF(AND($B25&lt;&gt;"",$C25&lt;&gt;"Target state",$C25&lt;&gt;"Exception",$D25="Medium",$E25="Low"),$A25&amp;"  "&amp;$B25,"")</f>
        <v/>
      </c>
      <c r="S25">
        <f>IF(AND($B25&lt;&gt;"",$C25&lt;&gt;"Target state",$C25&lt;&gt;"Exception",$D25="Medium",$E25="Medium"),$A25&amp;"  "&amp;$B25,"")</f>
        <v/>
      </c>
      <c r="T25">
        <f>IF(AND($B25&lt;&gt;"",$C25&lt;&gt;"Target state",$C25&lt;&gt;"Exception",$D25="Medium",$E25="High"),$A25&amp;"  "&amp;$B25,"")</f>
        <v/>
      </c>
      <c r="U25">
        <f>IF(AND($B25&lt;&gt;"",$C25&lt;&gt;"Target state",$C25&lt;&gt;"Exception",$D25="Low",$E25="Low"),$A25&amp;"  "&amp;$B25,"")</f>
        <v/>
      </c>
      <c r="V25">
        <f>IF(AND($B25&lt;&gt;"",$C25&lt;&gt;"Target state",$C25&lt;&gt;"Exception",$D25="Low",$E25="Medium"),$A25&amp;"  "&amp;$B25,"")</f>
        <v/>
      </c>
      <c r="W25">
        <f>IF(AND($B25&lt;&gt;"",$C25&lt;&gt;"Target state",$C25&lt;&gt;"Exception",$D25="Low",$E25="High"),$A25&amp;"  "&amp;$B25,"")</f>
        <v/>
      </c>
    </row>
    <row r="26" ht="20" customHeight="1">
      <c r="A26" s="49" t="inlineStr">
        <is>
          <t>⑩</t>
        </is>
      </c>
      <c r="B26" s="50" t="n"/>
      <c r="C26" s="33" t="n"/>
      <c r="D26" s="33" t="n"/>
      <c r="E26" s="33" t="n"/>
      <c r="F26" s="32" t="n"/>
      <c r="G26" s="51">
        <f>IF(OR($B26="",$D26="",$E26=""),"",IF(OR($C26="Target state",$C26="Exception"),"Out of scope",IF($D26="Low","No tranche",IF($E26="Low","Tranche 1",IF($E26="Medium","Tranche 2",IF($D26="High","Tranche 3","No tranche"))))))</f>
        <v/>
      </c>
      <c r="K26" s="53" t="inlineStr">
        <is>
          <t>Complexity</t>
        </is>
      </c>
      <c r="O26">
        <f>IF(AND($B26&lt;&gt;"",$C26&lt;&gt;"Target state",$C26&lt;&gt;"Exception",$D26="High",$E26="Low"),$A26&amp;"  "&amp;$B26,"")</f>
        <v/>
      </c>
      <c r="P26">
        <f>IF(AND($B26&lt;&gt;"",$C26&lt;&gt;"Target state",$C26&lt;&gt;"Exception",$D26="High",$E26="Medium"),$A26&amp;"  "&amp;$B26,"")</f>
        <v/>
      </c>
      <c r="Q26">
        <f>IF(AND($B26&lt;&gt;"",$C26&lt;&gt;"Target state",$C26&lt;&gt;"Exception",$D26="High",$E26="High"),$A26&amp;"  "&amp;$B26,"")</f>
        <v/>
      </c>
      <c r="R26">
        <f>IF(AND($B26&lt;&gt;"",$C26&lt;&gt;"Target state",$C26&lt;&gt;"Exception",$D26="Medium",$E26="Low"),$A26&amp;"  "&amp;$B26,"")</f>
        <v/>
      </c>
      <c r="S26">
        <f>IF(AND($B26&lt;&gt;"",$C26&lt;&gt;"Target state",$C26&lt;&gt;"Exception",$D26="Medium",$E26="Medium"),$A26&amp;"  "&amp;$B26,"")</f>
        <v/>
      </c>
      <c r="T26">
        <f>IF(AND($B26&lt;&gt;"",$C26&lt;&gt;"Target state",$C26&lt;&gt;"Exception",$D26="Medium",$E26="High"),$A26&amp;"  "&amp;$B26,"")</f>
        <v/>
      </c>
      <c r="U26">
        <f>IF(AND($B26&lt;&gt;"",$C26&lt;&gt;"Target state",$C26&lt;&gt;"Exception",$D26="Low",$E26="Low"),$A26&amp;"  "&amp;$B26,"")</f>
        <v/>
      </c>
      <c r="V26">
        <f>IF(AND($B26&lt;&gt;"",$C26&lt;&gt;"Target state",$C26&lt;&gt;"Exception",$D26="Low",$E26="Medium"),$A26&amp;"  "&amp;$B26,"")</f>
        <v/>
      </c>
      <c r="W26">
        <f>IF(AND($B26&lt;&gt;"",$C26&lt;&gt;"Target state",$C26&lt;&gt;"Exception",$D26="Low",$E26="High"),$A26&amp;"  "&amp;$B26,"")</f>
        <v/>
      </c>
    </row>
    <row r="29" ht="22" customHeight="1">
      <c r="A29" s="44" t="inlineStr">
        <is>
          <t>Networking Payment Tokens</t>
        </is>
      </c>
      <c r="G29" s="45">
        <f>HYPERLINK("#'VAS'!A4","▲ tracker")</f>
        <v/>
      </c>
      <c r="K29" s="46" t="inlineStr">
        <is>
          <t>Assessment Outcome</t>
        </is>
      </c>
    </row>
    <row r="30" ht="26" customHeight="1">
      <c r="A30" s="47" t="inlineStr">
        <is>
          <t>#</t>
        </is>
      </c>
      <c r="B30" s="47" t="inlineStr">
        <is>
          <t>Platform</t>
        </is>
      </c>
      <c r="C30" s="47" t="inlineStr">
        <is>
          <t>State</t>
        </is>
      </c>
      <c r="D30" s="47" t="inlineStr">
        <is>
          <t>Imperative to exit (= Benefits)</t>
        </is>
      </c>
      <c r="E30" s="47" t="inlineStr">
        <is>
          <t>Exit complexity</t>
        </is>
      </c>
      <c r="F30" s="47" t="inlineStr">
        <is>
          <t>Supporting facts</t>
        </is>
      </c>
      <c r="G30" s="47" t="inlineStr">
        <is>
          <t>Tranche (auto)</t>
        </is>
      </c>
      <c r="K30" s="48" t="inlineStr">
        <is>
          <t>Low</t>
        </is>
      </c>
      <c r="L30" s="48" t="inlineStr">
        <is>
          <t>Medium</t>
        </is>
      </c>
      <c r="M30" s="48" t="inlineStr">
        <is>
          <t>High</t>
        </is>
      </c>
    </row>
    <row r="31" ht="20" customHeight="1">
      <c r="A31" s="49" t="inlineStr">
        <is>
          <t>①</t>
        </is>
      </c>
      <c r="B31" s="50" t="n"/>
      <c r="C31" s="33" t="n"/>
      <c r="D31" s="33" t="n"/>
      <c r="E31" s="33" t="n"/>
      <c r="F31" s="32" t="n"/>
      <c r="G31" s="51">
        <f>IF(OR($B31="",$D31="",$E31=""),"",IF(OR($C31="Target state",$C31="Exception"),"Out of scope",IF($D31="Low","No tranche",IF($E31="Low","Tranche 1",IF($E31="Medium","Tranche 2",IF($D31="High","Tranche 3","No tranche"))))))</f>
        <v/>
      </c>
      <c r="I31" s="52" t="inlineStr">
        <is>
          <t>Benefits (= Imperative to exit)</t>
        </is>
      </c>
      <c r="J31" s="53" t="inlineStr">
        <is>
          <t>High</t>
        </is>
      </c>
      <c r="K31" s="54">
        <f>"Tranche 1"&amp;CHAR(10)&amp;_xlfn.TEXTJOIN(CHAR(10),TRUE,O$31:O$40)</f>
        <v/>
      </c>
      <c r="L31" s="55">
        <f>"Tranche 2"&amp;CHAR(10)&amp;_xlfn.TEXTJOIN(CHAR(10),TRUE,P$31:P$40)</f>
        <v/>
      </c>
      <c r="M31" s="56">
        <f>"Tranche 3"&amp;CHAR(10)&amp;_xlfn.TEXTJOIN(CHAR(10),TRUE,Q$31:Q$40)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49" t="inlineStr">
        <is>
          <t>②</t>
        </is>
      </c>
      <c r="B32" s="50" t="n"/>
      <c r="C32" s="33" t="n"/>
      <c r="D32" s="33" t="n"/>
      <c r="E32" s="33" t="n"/>
      <c r="F32" s="32" t="n"/>
      <c r="G32" s="51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57" t="n"/>
      <c r="L32" s="57" t="n"/>
      <c r="M32" s="57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49" t="inlineStr">
        <is>
          <t>③</t>
        </is>
      </c>
      <c r="B33" s="50" t="n"/>
      <c r="C33" s="33" t="n"/>
      <c r="D33" s="33" t="n"/>
      <c r="E33" s="33" t="n"/>
      <c r="F33" s="32" t="n"/>
      <c r="G33" s="51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58" t="n"/>
      <c r="L33" s="58" t="n"/>
      <c r="M33" s="58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49" t="inlineStr">
        <is>
          <t>④</t>
        </is>
      </c>
      <c r="B34" s="50" t="n"/>
      <c r="C34" s="33" t="n"/>
      <c r="D34" s="33" t="n"/>
      <c r="E34" s="33" t="n"/>
      <c r="F34" s="32" t="n"/>
      <c r="G34" s="51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53" t="inlineStr">
        <is>
          <t>Medium</t>
        </is>
      </c>
      <c r="K34" s="54">
        <f>"Tranche 1"&amp;CHAR(10)&amp;_xlfn.TEXTJOIN(CHAR(10),TRUE,R$31:R$40)</f>
        <v/>
      </c>
      <c r="L34" s="55">
        <f>"Tranche 2"&amp;CHAR(10)&amp;_xlfn.TEXTJOIN(CHAR(10),TRUE,S$31:S$40)</f>
        <v/>
      </c>
      <c r="M34" s="59">
        <f>_xlfn.TEXTJOIN(CHAR(10),TRUE,T$31:T$40)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49" t="inlineStr">
        <is>
          <t>⑤</t>
        </is>
      </c>
      <c r="B35" s="50" t="n"/>
      <c r="C35" s="33" t="n"/>
      <c r="D35" s="33" t="n"/>
      <c r="E35" s="33" t="n"/>
      <c r="F35" s="32" t="n"/>
      <c r="G35" s="51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57" t="n"/>
      <c r="L35" s="57" t="n"/>
      <c r="M35" s="57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49" t="inlineStr">
        <is>
          <t>⑥</t>
        </is>
      </c>
      <c r="B36" s="50" t="n"/>
      <c r="C36" s="33" t="n"/>
      <c r="D36" s="33" t="n"/>
      <c r="E36" s="33" t="n"/>
      <c r="F36" s="32" t="n"/>
      <c r="G36" s="51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58" t="n"/>
      <c r="L36" s="58" t="n"/>
      <c r="M36" s="58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49" t="inlineStr">
        <is>
          <t>⑦</t>
        </is>
      </c>
      <c r="B37" s="50" t="n"/>
      <c r="C37" s="33" t="n"/>
      <c r="D37" s="33" t="n"/>
      <c r="E37" s="33" t="n"/>
      <c r="F37" s="32" t="n"/>
      <c r="G37" s="51">
        <f>IF(OR($B37="",$D37="",$E37=""),"",IF(OR($C37="Target state",$C37="Exception"),"Out of scope",IF($D37="Low","No tranche",IF($E37="Low","Tranche 1",IF($E37="Medium","Tranche 2",IF($D37="High","Tranche 3","No tranche"))))))</f>
        <v/>
      </c>
      <c r="J37" s="53" t="inlineStr">
        <is>
          <t>Low</t>
        </is>
      </c>
      <c r="K37" s="59">
        <f>_xlfn.TEXTJOIN(CHAR(10),TRUE,U$31:U$40)</f>
        <v/>
      </c>
      <c r="L37" s="59">
        <f>_xlfn.TEXTJOIN(CHAR(10),TRUE,V$31:V$40)</f>
        <v/>
      </c>
      <c r="M37" s="59">
        <f>_xlfn.TEXTJOIN(CHAR(10),TRUE,W$31:W$40)</f>
        <v/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38" ht="20" customHeight="1">
      <c r="A38" s="49" t="inlineStr">
        <is>
          <t>⑧</t>
        </is>
      </c>
      <c r="B38" s="50" t="n"/>
      <c r="C38" s="33" t="n"/>
      <c r="D38" s="33" t="n"/>
      <c r="E38" s="33" t="n"/>
      <c r="F38" s="32" t="n"/>
      <c r="G38" s="51">
        <f>IF(OR($B38="",$D38="",$E38=""),"",IF(OR($C38="Target state",$C38="Exception"),"Out of scope",IF($D38="Low","No tranche",IF($E38="Low","Tranche 1",IF($E38="Medium","Tranche 2",IF($D38="High","Tranche 3","No tranche"))))))</f>
        <v/>
      </c>
      <c r="K38" s="57" t="n"/>
      <c r="L38" s="57" t="n"/>
      <c r="M38" s="57" t="n"/>
      <c r="O38">
        <f>IF(AND($B38&lt;&gt;"",$C38&lt;&gt;"Target state",$C38&lt;&gt;"Exception",$D38="High",$E38="Low"),$A38&amp;"  "&amp;$B38,"")</f>
        <v/>
      </c>
      <c r="P38">
        <f>IF(AND($B38&lt;&gt;"",$C38&lt;&gt;"Target state",$C38&lt;&gt;"Exception",$D38="High",$E38="Medium"),$A38&amp;"  "&amp;$B38,"")</f>
        <v/>
      </c>
      <c r="Q38">
        <f>IF(AND($B38&lt;&gt;"",$C38&lt;&gt;"Target state",$C38&lt;&gt;"Exception",$D38="High",$E38="High"),$A38&amp;"  "&amp;$B38,"")</f>
        <v/>
      </c>
      <c r="R38">
        <f>IF(AND($B38&lt;&gt;"",$C38&lt;&gt;"Target state",$C38&lt;&gt;"Exception",$D38="Medium",$E38="Low"),$A38&amp;"  "&amp;$B38,"")</f>
        <v/>
      </c>
      <c r="S38">
        <f>IF(AND($B38&lt;&gt;"",$C38&lt;&gt;"Target state",$C38&lt;&gt;"Exception",$D38="Medium",$E38="Medium"),$A38&amp;"  "&amp;$B38,"")</f>
        <v/>
      </c>
      <c r="T38">
        <f>IF(AND($B38&lt;&gt;"",$C38&lt;&gt;"Target state",$C38&lt;&gt;"Exception",$D38="Medium",$E38="High"),$A38&amp;"  "&amp;$B38,"")</f>
        <v/>
      </c>
      <c r="U38">
        <f>IF(AND($B38&lt;&gt;"",$C38&lt;&gt;"Target state",$C38&lt;&gt;"Exception",$D38="Low",$E38="Low"),$A38&amp;"  "&amp;$B38,"")</f>
        <v/>
      </c>
      <c r="V38">
        <f>IF(AND($B38&lt;&gt;"",$C38&lt;&gt;"Target state",$C38&lt;&gt;"Exception",$D38="Low",$E38="Medium"),$A38&amp;"  "&amp;$B38,"")</f>
        <v/>
      </c>
      <c r="W38">
        <f>IF(AND($B38&lt;&gt;"",$C38&lt;&gt;"Target state",$C38&lt;&gt;"Exception",$D38="Low",$E38="High"),$A38&amp;"  "&amp;$B38,"")</f>
        <v/>
      </c>
    </row>
    <row r="39" ht="20" customHeight="1">
      <c r="A39" s="49" t="inlineStr">
        <is>
          <t>⑨</t>
        </is>
      </c>
      <c r="B39" s="50" t="n"/>
      <c r="C39" s="33" t="n"/>
      <c r="D39" s="33" t="n"/>
      <c r="E39" s="33" t="n"/>
      <c r="F39" s="32" t="n"/>
      <c r="G39" s="51">
        <f>IF(OR($B39="",$D39="",$E39=""),"",IF(OR($C39="Target state",$C39="Exception"),"Out of scope",IF($D39="Low","No tranche",IF($E39="Low","Tranche 1",IF($E39="Medium","Tranche 2",IF($D39="High","Tranche 3","No tranche"))))))</f>
        <v/>
      </c>
      <c r="K39" s="58" t="n"/>
      <c r="L39" s="58" t="n"/>
      <c r="M39" s="58" t="n"/>
      <c r="O39">
        <f>IF(AND($B39&lt;&gt;"",$C39&lt;&gt;"Target state",$C39&lt;&gt;"Exception",$D39="High",$E39="Low"),$A39&amp;"  "&amp;$B39,"")</f>
        <v/>
      </c>
      <c r="P39">
        <f>IF(AND($B39&lt;&gt;"",$C39&lt;&gt;"Target state",$C39&lt;&gt;"Exception",$D39="High",$E39="Medium"),$A39&amp;"  "&amp;$B39,"")</f>
        <v/>
      </c>
      <c r="Q39">
        <f>IF(AND($B39&lt;&gt;"",$C39&lt;&gt;"Target state",$C39&lt;&gt;"Exception",$D39="High",$E39="High"),$A39&amp;"  "&amp;$B39,"")</f>
        <v/>
      </c>
      <c r="R39">
        <f>IF(AND($B39&lt;&gt;"",$C39&lt;&gt;"Target state",$C39&lt;&gt;"Exception",$D39="Medium",$E39="Low"),$A39&amp;"  "&amp;$B39,"")</f>
        <v/>
      </c>
      <c r="S39">
        <f>IF(AND($B39&lt;&gt;"",$C39&lt;&gt;"Target state",$C39&lt;&gt;"Exception",$D39="Medium",$E39="Medium"),$A39&amp;"  "&amp;$B39,"")</f>
        <v/>
      </c>
      <c r="T39">
        <f>IF(AND($B39&lt;&gt;"",$C39&lt;&gt;"Target state",$C39&lt;&gt;"Exception",$D39="Medium",$E39="High"),$A39&amp;"  "&amp;$B39,"")</f>
        <v/>
      </c>
      <c r="U39">
        <f>IF(AND($B39&lt;&gt;"",$C39&lt;&gt;"Target state",$C39&lt;&gt;"Exception",$D39="Low",$E39="Low"),$A39&amp;"  "&amp;$B39,"")</f>
        <v/>
      </c>
      <c r="V39">
        <f>IF(AND($B39&lt;&gt;"",$C39&lt;&gt;"Target state",$C39&lt;&gt;"Exception",$D39="Low",$E39="Medium"),$A39&amp;"  "&amp;$B39,"")</f>
        <v/>
      </c>
      <c r="W39">
        <f>IF(AND($B39&lt;&gt;"",$C39&lt;&gt;"Target state",$C39&lt;&gt;"Exception",$D39="Low",$E39="High"),$A39&amp;"  "&amp;$B39,"")</f>
        <v/>
      </c>
    </row>
    <row r="40" ht="20" customHeight="1">
      <c r="A40" s="49" t="inlineStr">
        <is>
          <t>⑩</t>
        </is>
      </c>
      <c r="B40" s="50" t="n"/>
      <c r="C40" s="33" t="n"/>
      <c r="D40" s="33" t="n"/>
      <c r="E40" s="33" t="n"/>
      <c r="F40" s="32" t="n"/>
      <c r="G40" s="51">
        <f>IF(OR($B40="",$D40="",$E40=""),"",IF(OR($C40="Target state",$C40="Exception"),"Out of scope",IF($D40="Low","No tranche",IF($E40="Low","Tranche 1",IF($E40="Medium","Tranche 2",IF($D40="High","Tranche 3","No tranche"))))))</f>
        <v/>
      </c>
      <c r="K40" s="53" t="inlineStr">
        <is>
          <t>Complexity</t>
        </is>
      </c>
      <c r="O40">
        <f>IF(AND($B40&lt;&gt;"",$C40&lt;&gt;"Target state",$C40&lt;&gt;"Exception",$D40="High",$E40="Low"),$A40&amp;"  "&amp;$B40,"")</f>
        <v/>
      </c>
      <c r="P40">
        <f>IF(AND($B40&lt;&gt;"",$C40&lt;&gt;"Target state",$C40&lt;&gt;"Exception",$D40="High",$E40="Medium"),$A40&amp;"  "&amp;$B40,"")</f>
        <v/>
      </c>
      <c r="Q40">
        <f>IF(AND($B40&lt;&gt;"",$C40&lt;&gt;"Target state",$C40&lt;&gt;"Exception",$D40="High",$E40="High"),$A40&amp;"  "&amp;$B40,"")</f>
        <v/>
      </c>
      <c r="R40">
        <f>IF(AND($B40&lt;&gt;"",$C40&lt;&gt;"Target state",$C40&lt;&gt;"Exception",$D40="Medium",$E40="Low"),$A40&amp;"  "&amp;$B40,"")</f>
        <v/>
      </c>
      <c r="S40">
        <f>IF(AND($B40&lt;&gt;"",$C40&lt;&gt;"Target state",$C40&lt;&gt;"Exception",$D40="Medium",$E40="Medium"),$A40&amp;"  "&amp;$B40,"")</f>
        <v/>
      </c>
      <c r="T40">
        <f>IF(AND($B40&lt;&gt;"",$C40&lt;&gt;"Target state",$C40&lt;&gt;"Exception",$D40="Medium",$E40="High"),$A40&amp;"  "&amp;$B40,"")</f>
        <v/>
      </c>
      <c r="U40">
        <f>IF(AND($B40&lt;&gt;"",$C40&lt;&gt;"Target state",$C40&lt;&gt;"Exception",$D40="Low",$E40="Low"),$A40&amp;"  "&amp;$B40,"")</f>
        <v/>
      </c>
      <c r="V40">
        <f>IF(AND($B40&lt;&gt;"",$C40&lt;&gt;"Target state",$C40&lt;&gt;"Exception",$D40="Low",$E40="Medium"),$A40&amp;"  "&amp;$B40,"")</f>
        <v/>
      </c>
      <c r="W40">
        <f>IF(AND($B40&lt;&gt;"",$C40&lt;&gt;"Target state",$C40&lt;&gt;"Exception",$D40="Low",$E40="High"),$A40&amp;"  "&amp;$B40,"")</f>
        <v/>
      </c>
    </row>
    <row r="43" ht="22" customHeight="1">
      <c r="A43" s="44" t="inlineStr">
        <is>
          <t>DCC eDCC</t>
        </is>
      </c>
      <c r="G43" s="45">
        <f>HYPERLINK("#'VAS'!A4","▲ tracker")</f>
        <v/>
      </c>
      <c r="K43" s="46" t="inlineStr">
        <is>
          <t>Assessment Outcome</t>
        </is>
      </c>
    </row>
    <row r="44" ht="26" customHeight="1">
      <c r="A44" s="47" t="inlineStr">
        <is>
          <t>#</t>
        </is>
      </c>
      <c r="B44" s="47" t="inlineStr">
        <is>
          <t>Platform</t>
        </is>
      </c>
      <c r="C44" s="47" t="inlineStr">
        <is>
          <t>State</t>
        </is>
      </c>
      <c r="D44" s="47" t="inlineStr">
        <is>
          <t>Imperative to exit (= Benefits)</t>
        </is>
      </c>
      <c r="E44" s="47" t="inlineStr">
        <is>
          <t>Exit complexity</t>
        </is>
      </c>
      <c r="F44" s="47" t="inlineStr">
        <is>
          <t>Supporting facts</t>
        </is>
      </c>
      <c r="G44" s="47" t="inlineStr">
        <is>
          <t>Tranche (auto)</t>
        </is>
      </c>
      <c r="K44" s="48" t="inlineStr">
        <is>
          <t>Low</t>
        </is>
      </c>
      <c r="L44" s="48" t="inlineStr">
        <is>
          <t>Medium</t>
        </is>
      </c>
      <c r="M44" s="48" t="inlineStr">
        <is>
          <t>High</t>
        </is>
      </c>
    </row>
    <row r="45" ht="20" customHeight="1">
      <c r="A45" s="49" t="inlineStr">
        <is>
          <t>①</t>
        </is>
      </c>
      <c r="B45" s="50" t="n"/>
      <c r="C45" s="33" t="n"/>
      <c r="D45" s="33" t="n"/>
      <c r="E45" s="33" t="n"/>
      <c r="F45" s="32" t="n"/>
      <c r="G45" s="51">
        <f>IF(OR($B45="",$D45="",$E45=""),"",IF(OR($C45="Target state",$C45="Exception"),"Out of scope",IF($D45="Low","No tranche",IF($E45="Low","Tranche 1",IF($E45="Medium","Tranche 2",IF($D45="High","Tranche 3","No tranche"))))))</f>
        <v/>
      </c>
      <c r="I45" s="52" t="inlineStr">
        <is>
          <t>Benefits (= Imperative to exit)</t>
        </is>
      </c>
      <c r="J45" s="53" t="inlineStr">
        <is>
          <t>High</t>
        </is>
      </c>
      <c r="K45" s="54">
        <f>"Tranche 1"&amp;CHAR(10)&amp;_xlfn.TEXTJOIN(CHAR(10),TRUE,O$45:O$54)</f>
        <v/>
      </c>
      <c r="L45" s="55">
        <f>"Tranche 2"&amp;CHAR(10)&amp;_xlfn.TEXTJOIN(CHAR(10),TRUE,P$45:P$54)</f>
        <v/>
      </c>
      <c r="M45" s="56">
        <f>"Tranche 3"&amp;CHAR(10)&amp;_xlfn.TEXTJOIN(CHAR(10),TRUE,Q$45:Q$54)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49" t="inlineStr">
        <is>
          <t>②</t>
        </is>
      </c>
      <c r="B46" s="50" t="n"/>
      <c r="C46" s="33" t="n"/>
      <c r="D46" s="33" t="n"/>
      <c r="E46" s="33" t="n"/>
      <c r="F46" s="32" t="n"/>
      <c r="G46" s="51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57" t="n"/>
      <c r="L46" s="57" t="n"/>
      <c r="M46" s="57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49" t="inlineStr">
        <is>
          <t>③</t>
        </is>
      </c>
      <c r="B47" s="50" t="n"/>
      <c r="C47" s="33" t="n"/>
      <c r="D47" s="33" t="n"/>
      <c r="E47" s="33" t="n"/>
      <c r="F47" s="32" t="n"/>
      <c r="G47" s="51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58" t="n"/>
      <c r="L47" s="58" t="n"/>
      <c r="M47" s="58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49" t="inlineStr">
        <is>
          <t>④</t>
        </is>
      </c>
      <c r="B48" s="50" t="n"/>
      <c r="C48" s="33" t="n"/>
      <c r="D48" s="33" t="n"/>
      <c r="E48" s="33" t="n"/>
      <c r="F48" s="32" t="n"/>
      <c r="G48" s="51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53" t="inlineStr">
        <is>
          <t>Medium</t>
        </is>
      </c>
      <c r="K48" s="54">
        <f>"Tranche 1"&amp;CHAR(10)&amp;_xlfn.TEXTJOIN(CHAR(10),TRUE,R$45:R$54)</f>
        <v/>
      </c>
      <c r="L48" s="55">
        <f>"Tranche 2"&amp;CHAR(10)&amp;_xlfn.TEXTJOIN(CHAR(10),TRUE,S$45:S$54)</f>
        <v/>
      </c>
      <c r="M48" s="59">
        <f>_xlfn.TEXTJOIN(CHAR(10),TRUE,T$45:T$54)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49" t="inlineStr">
        <is>
          <t>⑤</t>
        </is>
      </c>
      <c r="B49" s="50" t="n"/>
      <c r="C49" s="33" t="n"/>
      <c r="D49" s="33" t="n"/>
      <c r="E49" s="33" t="n"/>
      <c r="F49" s="32" t="n"/>
      <c r="G49" s="51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57" t="n"/>
      <c r="L49" s="57" t="n"/>
      <c r="M49" s="57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49" t="inlineStr">
        <is>
          <t>⑥</t>
        </is>
      </c>
      <c r="B50" s="50" t="n"/>
      <c r="C50" s="33" t="n"/>
      <c r="D50" s="33" t="n"/>
      <c r="E50" s="33" t="n"/>
      <c r="F50" s="32" t="n"/>
      <c r="G50" s="51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58" t="n"/>
      <c r="L50" s="58" t="n"/>
      <c r="M50" s="58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49" t="inlineStr">
        <is>
          <t>⑦</t>
        </is>
      </c>
      <c r="B51" s="50" t="n"/>
      <c r="C51" s="33" t="n"/>
      <c r="D51" s="33" t="n"/>
      <c r="E51" s="33" t="n"/>
      <c r="F51" s="32" t="n"/>
      <c r="G51" s="51">
        <f>IF(OR($B51="",$D51="",$E51=""),"",IF(OR($C51="Target state",$C51="Exception"),"Out of scope",IF($D51="Low","No tranche",IF($E51="Low","Tranche 1",IF($E51="Medium","Tranche 2",IF($D51="High","Tranche 3","No tranche"))))))</f>
        <v/>
      </c>
      <c r="J51" s="53" t="inlineStr">
        <is>
          <t>Low</t>
        </is>
      </c>
      <c r="K51" s="59">
        <f>_xlfn.TEXTJOIN(CHAR(10),TRUE,U$45:U$54)</f>
        <v/>
      </c>
      <c r="L51" s="59">
        <f>_xlfn.TEXTJOIN(CHAR(10),TRUE,V$45:V$54)</f>
        <v/>
      </c>
      <c r="M51" s="59">
        <f>_xlfn.TEXTJOIN(CHAR(10),TRUE,W$45:W$54)</f>
        <v/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2" ht="20" customHeight="1">
      <c r="A52" s="49" t="inlineStr">
        <is>
          <t>⑧</t>
        </is>
      </c>
      <c r="B52" s="50" t="n"/>
      <c r="C52" s="33" t="n"/>
      <c r="D52" s="33" t="n"/>
      <c r="E52" s="33" t="n"/>
      <c r="F52" s="32" t="n"/>
      <c r="G52" s="51">
        <f>IF(OR($B52="",$D52="",$E52=""),"",IF(OR($C52="Target state",$C52="Exception"),"Out of scope",IF($D52="Low","No tranche",IF($E52="Low","Tranche 1",IF($E52="Medium","Tranche 2",IF($D52="High","Tranche 3","No tranche"))))))</f>
        <v/>
      </c>
      <c r="K52" s="57" t="n"/>
      <c r="L52" s="57" t="n"/>
      <c r="M52" s="57" t="n"/>
      <c r="O52">
        <f>IF(AND($B52&lt;&gt;"",$C52&lt;&gt;"Target state",$C52&lt;&gt;"Exception",$D52="High",$E52="Low"),$A52&amp;"  "&amp;$B52,"")</f>
        <v/>
      </c>
      <c r="P52">
        <f>IF(AND($B52&lt;&gt;"",$C52&lt;&gt;"Target state",$C52&lt;&gt;"Exception",$D52="High",$E52="Medium"),$A52&amp;"  "&amp;$B52,"")</f>
        <v/>
      </c>
      <c r="Q52">
        <f>IF(AND($B52&lt;&gt;"",$C52&lt;&gt;"Target state",$C52&lt;&gt;"Exception",$D52="High",$E52="High"),$A52&amp;"  "&amp;$B52,"")</f>
        <v/>
      </c>
      <c r="R52">
        <f>IF(AND($B52&lt;&gt;"",$C52&lt;&gt;"Target state",$C52&lt;&gt;"Exception",$D52="Medium",$E52="Low"),$A52&amp;"  "&amp;$B52,"")</f>
        <v/>
      </c>
      <c r="S52">
        <f>IF(AND($B52&lt;&gt;"",$C52&lt;&gt;"Target state",$C52&lt;&gt;"Exception",$D52="Medium",$E52="Medium"),$A52&amp;"  "&amp;$B52,"")</f>
        <v/>
      </c>
      <c r="T52">
        <f>IF(AND($B52&lt;&gt;"",$C52&lt;&gt;"Target state",$C52&lt;&gt;"Exception",$D52="Medium",$E52="High"),$A52&amp;"  "&amp;$B52,"")</f>
        <v/>
      </c>
      <c r="U52">
        <f>IF(AND($B52&lt;&gt;"",$C52&lt;&gt;"Target state",$C52&lt;&gt;"Exception",$D52="Low",$E52="Low"),$A52&amp;"  "&amp;$B52,"")</f>
        <v/>
      </c>
      <c r="V52">
        <f>IF(AND($B52&lt;&gt;"",$C52&lt;&gt;"Target state",$C52&lt;&gt;"Exception",$D52="Low",$E52="Medium"),$A52&amp;"  "&amp;$B52,"")</f>
        <v/>
      </c>
      <c r="W52">
        <f>IF(AND($B52&lt;&gt;"",$C52&lt;&gt;"Target state",$C52&lt;&gt;"Exception",$D52="Low",$E52="High"),$A52&amp;"  "&amp;$B52,"")</f>
        <v/>
      </c>
    </row>
    <row r="53" ht="20" customHeight="1">
      <c r="A53" s="49" t="inlineStr">
        <is>
          <t>⑨</t>
        </is>
      </c>
      <c r="B53" s="50" t="n"/>
      <c r="C53" s="33" t="n"/>
      <c r="D53" s="33" t="n"/>
      <c r="E53" s="33" t="n"/>
      <c r="F53" s="32" t="n"/>
      <c r="G53" s="51">
        <f>IF(OR($B53="",$D53="",$E53=""),"",IF(OR($C53="Target state",$C53="Exception"),"Out of scope",IF($D53="Low","No tranche",IF($E53="Low","Tranche 1",IF($E53="Medium","Tranche 2",IF($D53="High","Tranche 3","No tranche"))))))</f>
        <v/>
      </c>
      <c r="K53" s="58" t="n"/>
      <c r="L53" s="58" t="n"/>
      <c r="M53" s="58" t="n"/>
      <c r="O53">
        <f>IF(AND($B53&lt;&gt;"",$C53&lt;&gt;"Target state",$C53&lt;&gt;"Exception",$D53="High",$E53="Low"),$A53&amp;"  "&amp;$B53,"")</f>
        <v/>
      </c>
      <c r="P53">
        <f>IF(AND($B53&lt;&gt;"",$C53&lt;&gt;"Target state",$C53&lt;&gt;"Exception",$D53="High",$E53="Medium"),$A53&amp;"  "&amp;$B53,"")</f>
        <v/>
      </c>
      <c r="Q53">
        <f>IF(AND($B53&lt;&gt;"",$C53&lt;&gt;"Target state",$C53&lt;&gt;"Exception",$D53="High",$E53="High"),$A53&amp;"  "&amp;$B53,"")</f>
        <v/>
      </c>
      <c r="R53">
        <f>IF(AND($B53&lt;&gt;"",$C53&lt;&gt;"Target state",$C53&lt;&gt;"Exception",$D53="Medium",$E53="Low"),$A53&amp;"  "&amp;$B53,"")</f>
        <v/>
      </c>
      <c r="S53">
        <f>IF(AND($B53&lt;&gt;"",$C53&lt;&gt;"Target state",$C53&lt;&gt;"Exception",$D53="Medium",$E53="Medium"),$A53&amp;"  "&amp;$B53,"")</f>
        <v/>
      </c>
      <c r="T53">
        <f>IF(AND($B53&lt;&gt;"",$C53&lt;&gt;"Target state",$C53&lt;&gt;"Exception",$D53="Medium",$E53="High"),$A53&amp;"  "&amp;$B53,"")</f>
        <v/>
      </c>
      <c r="U53">
        <f>IF(AND($B53&lt;&gt;"",$C53&lt;&gt;"Target state",$C53&lt;&gt;"Exception",$D53="Low",$E53="Low"),$A53&amp;"  "&amp;$B53,"")</f>
        <v/>
      </c>
      <c r="V53">
        <f>IF(AND($B53&lt;&gt;"",$C53&lt;&gt;"Target state",$C53&lt;&gt;"Exception",$D53="Low",$E53="Medium"),$A53&amp;"  "&amp;$B53,"")</f>
        <v/>
      </c>
      <c r="W53">
        <f>IF(AND($B53&lt;&gt;"",$C53&lt;&gt;"Target state",$C53&lt;&gt;"Exception",$D53="Low",$E53="High"),$A53&amp;"  "&amp;$B53,"")</f>
        <v/>
      </c>
    </row>
    <row r="54" ht="20" customHeight="1">
      <c r="A54" s="49" t="inlineStr">
        <is>
          <t>⑩</t>
        </is>
      </c>
      <c r="B54" s="50" t="n"/>
      <c r="C54" s="33" t="n"/>
      <c r="D54" s="33" t="n"/>
      <c r="E54" s="33" t="n"/>
      <c r="F54" s="32" t="n"/>
      <c r="G54" s="51">
        <f>IF(OR($B54="",$D54="",$E54=""),"",IF(OR($C54="Target state",$C54="Exception"),"Out of scope",IF($D54="Low","No tranche",IF($E54="Low","Tranche 1",IF($E54="Medium","Tranche 2",IF($D54="High","Tranche 3","No tranche"))))))</f>
        <v/>
      </c>
      <c r="K54" s="53" t="inlineStr">
        <is>
          <t>Complexity</t>
        </is>
      </c>
      <c r="O54">
        <f>IF(AND($B54&lt;&gt;"",$C54&lt;&gt;"Target state",$C54&lt;&gt;"Exception",$D54="High",$E54="Low"),$A54&amp;"  "&amp;$B54,"")</f>
        <v/>
      </c>
      <c r="P54">
        <f>IF(AND($B54&lt;&gt;"",$C54&lt;&gt;"Target state",$C54&lt;&gt;"Exception",$D54="High",$E54="Medium"),$A54&amp;"  "&amp;$B54,"")</f>
        <v/>
      </c>
      <c r="Q54">
        <f>IF(AND($B54&lt;&gt;"",$C54&lt;&gt;"Target state",$C54&lt;&gt;"Exception",$D54="High",$E54="High"),$A54&amp;"  "&amp;$B54,"")</f>
        <v/>
      </c>
      <c r="R54">
        <f>IF(AND($B54&lt;&gt;"",$C54&lt;&gt;"Target state",$C54&lt;&gt;"Exception",$D54="Medium",$E54="Low"),$A54&amp;"  "&amp;$B54,"")</f>
        <v/>
      </c>
      <c r="S54">
        <f>IF(AND($B54&lt;&gt;"",$C54&lt;&gt;"Target state",$C54&lt;&gt;"Exception",$D54="Medium",$E54="Medium"),$A54&amp;"  "&amp;$B54,"")</f>
        <v/>
      </c>
      <c r="T54">
        <f>IF(AND($B54&lt;&gt;"",$C54&lt;&gt;"Target state",$C54&lt;&gt;"Exception",$D54="Medium",$E54="High"),$A54&amp;"  "&amp;$B54,"")</f>
        <v/>
      </c>
      <c r="U54">
        <f>IF(AND($B54&lt;&gt;"",$C54&lt;&gt;"Target state",$C54&lt;&gt;"Exception",$D54="Low",$E54="Low"),$A54&amp;"  "&amp;$B54,"")</f>
        <v/>
      </c>
      <c r="V54">
        <f>IF(AND($B54&lt;&gt;"",$C54&lt;&gt;"Target state",$C54&lt;&gt;"Exception",$D54="Low",$E54="Medium"),$A54&amp;"  "&amp;$B54,"")</f>
        <v/>
      </c>
      <c r="W54">
        <f>IF(AND($B54&lt;&gt;"",$C54&lt;&gt;"Target state",$C54&lt;&gt;"Exception",$D54="Low",$E54="High"),$A54&amp;"  "&amp;$B54,"")</f>
        <v/>
      </c>
    </row>
    <row r="57" ht="22" customHeight="1">
      <c r="A57" s="44" t="inlineStr">
        <is>
          <t>Fraud</t>
        </is>
      </c>
      <c r="G57" s="45">
        <f>HYPERLINK("#'VAS'!A4","▲ tracker")</f>
        <v/>
      </c>
      <c r="K57" s="46" t="inlineStr">
        <is>
          <t>Assessment Outcome</t>
        </is>
      </c>
    </row>
    <row r="58" ht="26" customHeight="1">
      <c r="A58" s="47" t="inlineStr">
        <is>
          <t>#</t>
        </is>
      </c>
      <c r="B58" s="47" t="inlineStr">
        <is>
          <t>Platform</t>
        </is>
      </c>
      <c r="C58" s="47" t="inlineStr">
        <is>
          <t>State</t>
        </is>
      </c>
      <c r="D58" s="47" t="inlineStr">
        <is>
          <t>Imperative to exit (= Benefits)</t>
        </is>
      </c>
      <c r="E58" s="47" t="inlineStr">
        <is>
          <t>Exit complexity</t>
        </is>
      </c>
      <c r="F58" s="47" t="inlineStr">
        <is>
          <t>Supporting facts</t>
        </is>
      </c>
      <c r="G58" s="47" t="inlineStr">
        <is>
          <t>Tranche (auto)</t>
        </is>
      </c>
      <c r="K58" s="48" t="inlineStr">
        <is>
          <t>Low</t>
        </is>
      </c>
      <c r="L58" s="48" t="inlineStr">
        <is>
          <t>Medium</t>
        </is>
      </c>
      <c r="M58" s="48" t="inlineStr">
        <is>
          <t>High</t>
        </is>
      </c>
    </row>
    <row r="59" ht="20" customHeight="1">
      <c r="A59" s="49" t="inlineStr">
        <is>
          <t>①</t>
        </is>
      </c>
      <c r="B59" s="50" t="n"/>
      <c r="C59" s="33" t="n"/>
      <c r="D59" s="33" t="n"/>
      <c r="E59" s="33" t="n"/>
      <c r="F59" s="32" t="n"/>
      <c r="G59" s="51">
        <f>IF(OR($B59="",$D59="",$E59=""),"",IF(OR($C59="Target state",$C59="Exception"),"Out of scope",IF($D59="Low","No tranche",IF($E59="Low","Tranche 1",IF($E59="Medium","Tranche 2",IF($D59="High","Tranche 3","No tranche"))))))</f>
        <v/>
      </c>
      <c r="I59" s="52" t="inlineStr">
        <is>
          <t>Benefits (= Imperative to exit)</t>
        </is>
      </c>
      <c r="J59" s="53" t="inlineStr">
        <is>
          <t>High</t>
        </is>
      </c>
      <c r="K59" s="54">
        <f>"Tranche 1"&amp;CHAR(10)&amp;_xlfn.TEXTJOIN(CHAR(10),TRUE,O$59:O$68)</f>
        <v/>
      </c>
      <c r="L59" s="55">
        <f>"Tranche 2"&amp;CHAR(10)&amp;_xlfn.TEXTJOIN(CHAR(10),TRUE,P$59:P$68)</f>
        <v/>
      </c>
      <c r="M59" s="56">
        <f>"Tranche 3"&amp;CHAR(10)&amp;_xlfn.TEXTJOIN(CHAR(10),TRUE,Q$59:Q$68)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49" t="inlineStr">
        <is>
          <t>②</t>
        </is>
      </c>
      <c r="B60" s="50" t="n"/>
      <c r="C60" s="33" t="n"/>
      <c r="D60" s="33" t="n"/>
      <c r="E60" s="33" t="n"/>
      <c r="F60" s="32" t="n"/>
      <c r="G60" s="51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57" t="n"/>
      <c r="L60" s="57" t="n"/>
      <c r="M60" s="57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49" t="inlineStr">
        <is>
          <t>③</t>
        </is>
      </c>
      <c r="B61" s="50" t="n"/>
      <c r="C61" s="33" t="n"/>
      <c r="D61" s="33" t="n"/>
      <c r="E61" s="33" t="n"/>
      <c r="F61" s="32" t="n"/>
      <c r="G61" s="51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58" t="n"/>
      <c r="L61" s="58" t="n"/>
      <c r="M61" s="58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49" t="inlineStr">
        <is>
          <t>④</t>
        </is>
      </c>
      <c r="B62" s="50" t="n"/>
      <c r="C62" s="33" t="n"/>
      <c r="D62" s="33" t="n"/>
      <c r="E62" s="33" t="n"/>
      <c r="F62" s="32" t="n"/>
      <c r="G62" s="51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53" t="inlineStr">
        <is>
          <t>Medium</t>
        </is>
      </c>
      <c r="K62" s="54">
        <f>"Tranche 1"&amp;CHAR(10)&amp;_xlfn.TEXTJOIN(CHAR(10),TRUE,R$59:R$68)</f>
        <v/>
      </c>
      <c r="L62" s="55">
        <f>"Tranche 2"&amp;CHAR(10)&amp;_xlfn.TEXTJOIN(CHAR(10),TRUE,S$59:S$68)</f>
        <v/>
      </c>
      <c r="M62" s="59">
        <f>_xlfn.TEXTJOIN(CHAR(10),TRUE,T$59:T$68)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49" t="inlineStr">
        <is>
          <t>⑤</t>
        </is>
      </c>
      <c r="B63" s="50" t="n"/>
      <c r="C63" s="33" t="n"/>
      <c r="D63" s="33" t="n"/>
      <c r="E63" s="33" t="n"/>
      <c r="F63" s="32" t="n"/>
      <c r="G63" s="51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57" t="n"/>
      <c r="L63" s="57" t="n"/>
      <c r="M63" s="57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49" t="inlineStr">
        <is>
          <t>⑥</t>
        </is>
      </c>
      <c r="B64" s="50" t="n"/>
      <c r="C64" s="33" t="n"/>
      <c r="D64" s="33" t="n"/>
      <c r="E64" s="33" t="n"/>
      <c r="F64" s="32" t="n"/>
      <c r="G64" s="51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58" t="n"/>
      <c r="L64" s="58" t="n"/>
      <c r="M64" s="58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49" t="inlineStr">
        <is>
          <t>⑦</t>
        </is>
      </c>
      <c r="B65" s="50" t="n"/>
      <c r="C65" s="33" t="n"/>
      <c r="D65" s="33" t="n"/>
      <c r="E65" s="33" t="n"/>
      <c r="F65" s="32" t="n"/>
      <c r="G65" s="51">
        <f>IF(OR($B65="",$D65="",$E65=""),"",IF(OR($C65="Target state",$C65="Exception"),"Out of scope",IF($D65="Low","No tranche",IF($E65="Low","Tranche 1",IF($E65="Medium","Tranche 2",IF($D65="High","Tranche 3","No tranche"))))))</f>
        <v/>
      </c>
      <c r="J65" s="53" t="inlineStr">
        <is>
          <t>Low</t>
        </is>
      </c>
      <c r="K65" s="59">
        <f>_xlfn.TEXTJOIN(CHAR(10),TRUE,U$59:U$68)</f>
        <v/>
      </c>
      <c r="L65" s="59">
        <f>_xlfn.TEXTJOIN(CHAR(10),TRUE,V$59:V$68)</f>
        <v/>
      </c>
      <c r="M65" s="59">
        <f>_xlfn.TEXTJOIN(CHAR(10),TRUE,W$59:W$68)</f>
        <v/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6" ht="20" customHeight="1">
      <c r="A66" s="49" t="inlineStr">
        <is>
          <t>⑧</t>
        </is>
      </c>
      <c r="B66" s="50" t="n"/>
      <c r="C66" s="33" t="n"/>
      <c r="D66" s="33" t="n"/>
      <c r="E66" s="33" t="n"/>
      <c r="F66" s="32" t="n"/>
      <c r="G66" s="51">
        <f>IF(OR($B66="",$D66="",$E66=""),"",IF(OR($C66="Target state",$C66="Exception"),"Out of scope",IF($D66="Low","No tranche",IF($E66="Low","Tranche 1",IF($E66="Medium","Tranche 2",IF($D66="High","Tranche 3","No tranche"))))))</f>
        <v/>
      </c>
      <c r="K66" s="57" t="n"/>
      <c r="L66" s="57" t="n"/>
      <c r="M66" s="57" t="n"/>
      <c r="O66">
        <f>IF(AND($B66&lt;&gt;"",$C66&lt;&gt;"Target state",$C66&lt;&gt;"Exception",$D66="High",$E66="Low"),$A66&amp;"  "&amp;$B66,"")</f>
        <v/>
      </c>
      <c r="P66">
        <f>IF(AND($B66&lt;&gt;"",$C66&lt;&gt;"Target state",$C66&lt;&gt;"Exception",$D66="High",$E66="Medium"),$A66&amp;"  "&amp;$B66,"")</f>
        <v/>
      </c>
      <c r="Q66">
        <f>IF(AND($B66&lt;&gt;"",$C66&lt;&gt;"Target state",$C66&lt;&gt;"Exception",$D66="High",$E66="High"),$A66&amp;"  "&amp;$B66,"")</f>
        <v/>
      </c>
      <c r="R66">
        <f>IF(AND($B66&lt;&gt;"",$C66&lt;&gt;"Target state",$C66&lt;&gt;"Exception",$D66="Medium",$E66="Low"),$A66&amp;"  "&amp;$B66,"")</f>
        <v/>
      </c>
      <c r="S66">
        <f>IF(AND($B66&lt;&gt;"",$C66&lt;&gt;"Target state",$C66&lt;&gt;"Exception",$D66="Medium",$E66="Medium"),$A66&amp;"  "&amp;$B66,"")</f>
        <v/>
      </c>
      <c r="T66">
        <f>IF(AND($B66&lt;&gt;"",$C66&lt;&gt;"Target state",$C66&lt;&gt;"Exception",$D66="Medium",$E66="High"),$A66&amp;"  "&amp;$B66,"")</f>
        <v/>
      </c>
      <c r="U66">
        <f>IF(AND($B66&lt;&gt;"",$C66&lt;&gt;"Target state",$C66&lt;&gt;"Exception",$D66="Low",$E66="Low"),$A66&amp;"  "&amp;$B66,"")</f>
        <v/>
      </c>
      <c r="V66">
        <f>IF(AND($B66&lt;&gt;"",$C66&lt;&gt;"Target state",$C66&lt;&gt;"Exception",$D66="Low",$E66="Medium"),$A66&amp;"  "&amp;$B66,"")</f>
        <v/>
      </c>
      <c r="W66">
        <f>IF(AND($B66&lt;&gt;"",$C66&lt;&gt;"Target state",$C66&lt;&gt;"Exception",$D66="Low",$E66="High"),$A66&amp;"  "&amp;$B66,"")</f>
        <v/>
      </c>
    </row>
    <row r="67" ht="20" customHeight="1">
      <c r="A67" s="49" t="inlineStr">
        <is>
          <t>⑨</t>
        </is>
      </c>
      <c r="B67" s="50" t="n"/>
      <c r="C67" s="33" t="n"/>
      <c r="D67" s="33" t="n"/>
      <c r="E67" s="33" t="n"/>
      <c r="F67" s="32" t="n"/>
      <c r="G67" s="51">
        <f>IF(OR($B67="",$D67="",$E67=""),"",IF(OR($C67="Target state",$C67="Exception"),"Out of scope",IF($D67="Low","No tranche",IF($E67="Low","Tranche 1",IF($E67="Medium","Tranche 2",IF($D67="High","Tranche 3","No tranche"))))))</f>
        <v/>
      </c>
      <c r="K67" s="58" t="n"/>
      <c r="L67" s="58" t="n"/>
      <c r="M67" s="58" t="n"/>
      <c r="O67">
        <f>IF(AND($B67&lt;&gt;"",$C67&lt;&gt;"Target state",$C67&lt;&gt;"Exception",$D67="High",$E67="Low"),$A67&amp;"  "&amp;$B67,"")</f>
        <v/>
      </c>
      <c r="P67">
        <f>IF(AND($B67&lt;&gt;"",$C67&lt;&gt;"Target state",$C67&lt;&gt;"Exception",$D67="High",$E67="Medium"),$A67&amp;"  "&amp;$B67,"")</f>
        <v/>
      </c>
      <c r="Q67">
        <f>IF(AND($B67&lt;&gt;"",$C67&lt;&gt;"Target state",$C67&lt;&gt;"Exception",$D67="High",$E67="High"),$A67&amp;"  "&amp;$B67,"")</f>
        <v/>
      </c>
      <c r="R67">
        <f>IF(AND($B67&lt;&gt;"",$C67&lt;&gt;"Target state",$C67&lt;&gt;"Exception",$D67="Medium",$E67="Low"),$A67&amp;"  "&amp;$B67,"")</f>
        <v/>
      </c>
      <c r="S67">
        <f>IF(AND($B67&lt;&gt;"",$C67&lt;&gt;"Target state",$C67&lt;&gt;"Exception",$D67="Medium",$E67="Medium"),$A67&amp;"  "&amp;$B67,"")</f>
        <v/>
      </c>
      <c r="T67">
        <f>IF(AND($B67&lt;&gt;"",$C67&lt;&gt;"Target state",$C67&lt;&gt;"Exception",$D67="Medium",$E67="High"),$A67&amp;"  "&amp;$B67,"")</f>
        <v/>
      </c>
      <c r="U67">
        <f>IF(AND($B67&lt;&gt;"",$C67&lt;&gt;"Target state",$C67&lt;&gt;"Exception",$D67="Low",$E67="Low"),$A67&amp;"  "&amp;$B67,"")</f>
        <v/>
      </c>
      <c r="V67">
        <f>IF(AND($B67&lt;&gt;"",$C67&lt;&gt;"Target state",$C67&lt;&gt;"Exception",$D67="Low",$E67="Medium"),$A67&amp;"  "&amp;$B67,"")</f>
        <v/>
      </c>
      <c r="W67">
        <f>IF(AND($B67&lt;&gt;"",$C67&lt;&gt;"Target state",$C67&lt;&gt;"Exception",$D67="Low",$E67="High"),$A67&amp;"  "&amp;$B67,"")</f>
        <v/>
      </c>
    </row>
    <row r="68" ht="20" customHeight="1">
      <c r="A68" s="49" t="inlineStr">
        <is>
          <t>⑩</t>
        </is>
      </c>
      <c r="B68" s="50" t="n"/>
      <c r="C68" s="33" t="n"/>
      <c r="D68" s="33" t="n"/>
      <c r="E68" s="33" t="n"/>
      <c r="F68" s="32" t="n"/>
      <c r="G68" s="51">
        <f>IF(OR($B68="",$D68="",$E68=""),"",IF(OR($C68="Target state",$C68="Exception"),"Out of scope",IF($D68="Low","No tranche",IF($E68="Low","Tranche 1",IF($E68="Medium","Tranche 2",IF($D68="High","Tranche 3","No tranche"))))))</f>
        <v/>
      </c>
      <c r="K68" s="53" t="inlineStr">
        <is>
          <t>Complexity</t>
        </is>
      </c>
      <c r="O68">
        <f>IF(AND($B68&lt;&gt;"",$C68&lt;&gt;"Target state",$C68&lt;&gt;"Exception",$D68="High",$E68="Low"),$A68&amp;"  "&amp;$B68,"")</f>
        <v/>
      </c>
      <c r="P68">
        <f>IF(AND($B68&lt;&gt;"",$C68&lt;&gt;"Target state",$C68&lt;&gt;"Exception",$D68="High",$E68="Medium"),$A68&amp;"  "&amp;$B68,"")</f>
        <v/>
      </c>
      <c r="Q68">
        <f>IF(AND($B68&lt;&gt;"",$C68&lt;&gt;"Target state",$C68&lt;&gt;"Exception",$D68="High",$E68="High"),$A68&amp;"  "&amp;$B68,"")</f>
        <v/>
      </c>
      <c r="R68">
        <f>IF(AND($B68&lt;&gt;"",$C68&lt;&gt;"Target state",$C68&lt;&gt;"Exception",$D68="Medium",$E68="Low"),$A68&amp;"  "&amp;$B68,"")</f>
        <v/>
      </c>
      <c r="S68">
        <f>IF(AND($B68&lt;&gt;"",$C68&lt;&gt;"Target state",$C68&lt;&gt;"Exception",$D68="Medium",$E68="Medium"),$A68&amp;"  "&amp;$B68,"")</f>
        <v/>
      </c>
      <c r="T68">
        <f>IF(AND($B68&lt;&gt;"",$C68&lt;&gt;"Target state",$C68&lt;&gt;"Exception",$D68="Medium",$E68="High"),$A68&amp;"  "&amp;$B68,"")</f>
        <v/>
      </c>
      <c r="U68">
        <f>IF(AND($B68&lt;&gt;"",$C68&lt;&gt;"Target state",$C68&lt;&gt;"Exception",$D68="Low",$E68="Low"),$A68&amp;"  "&amp;$B68,"")</f>
        <v/>
      </c>
      <c r="V68">
        <f>IF(AND($B68&lt;&gt;"",$C68&lt;&gt;"Target state",$C68&lt;&gt;"Exception",$D68="Low",$E68="Medium"),$A68&amp;"  "&amp;$B68,"")</f>
        <v/>
      </c>
      <c r="W68">
        <f>IF(AND($B68&lt;&gt;"",$C68&lt;&gt;"Target state",$C68&lt;&gt;"Exception",$D68="Low",$E68="High"),$A68&amp;"  "&amp;$B68,"")</f>
        <v/>
      </c>
    </row>
    <row r="71" ht="22" customHeight="1">
      <c r="A71" s="44" t="inlineStr">
        <is>
          <t>Credential Management</t>
        </is>
      </c>
      <c r="G71" s="45">
        <f>HYPERLINK("#'VAS'!A4","▲ tracker")</f>
        <v/>
      </c>
      <c r="K71" s="46" t="inlineStr">
        <is>
          <t>Assessment Outcome</t>
        </is>
      </c>
    </row>
    <row r="72" ht="26" customHeight="1">
      <c r="A72" s="47" t="inlineStr">
        <is>
          <t>#</t>
        </is>
      </c>
      <c r="B72" s="47" t="inlineStr">
        <is>
          <t>Platform</t>
        </is>
      </c>
      <c r="C72" s="47" t="inlineStr">
        <is>
          <t>State</t>
        </is>
      </c>
      <c r="D72" s="47" t="inlineStr">
        <is>
          <t>Imperative to exit (= Benefits)</t>
        </is>
      </c>
      <c r="E72" s="47" t="inlineStr">
        <is>
          <t>Exit complexity</t>
        </is>
      </c>
      <c r="F72" s="47" t="inlineStr">
        <is>
          <t>Supporting facts</t>
        </is>
      </c>
      <c r="G72" s="47" t="inlineStr">
        <is>
          <t>Tranche (auto)</t>
        </is>
      </c>
      <c r="K72" s="48" t="inlineStr">
        <is>
          <t>Low</t>
        </is>
      </c>
      <c r="L72" s="48" t="inlineStr">
        <is>
          <t>Medium</t>
        </is>
      </c>
      <c r="M72" s="48" t="inlineStr">
        <is>
          <t>High</t>
        </is>
      </c>
    </row>
    <row r="73" ht="20" customHeight="1">
      <c r="A73" s="49" t="inlineStr">
        <is>
          <t>①</t>
        </is>
      </c>
      <c r="B73" s="50" t="n"/>
      <c r="C73" s="33" t="n"/>
      <c r="D73" s="33" t="n"/>
      <c r="E73" s="33" t="n"/>
      <c r="F73" s="32" t="n"/>
      <c r="G73" s="51">
        <f>IF(OR($B73="",$D73="",$E73=""),"",IF(OR($C73="Target state",$C73="Exception"),"Out of scope",IF($D73="Low","No tranche",IF($E73="Low","Tranche 1",IF($E73="Medium","Tranche 2",IF($D73="High","Tranche 3","No tranche"))))))</f>
        <v/>
      </c>
      <c r="I73" s="52" t="inlineStr">
        <is>
          <t>Benefits (= Imperative to exit)</t>
        </is>
      </c>
      <c r="J73" s="53" t="inlineStr">
        <is>
          <t>High</t>
        </is>
      </c>
      <c r="K73" s="54">
        <f>"Tranche 1"&amp;CHAR(10)&amp;_xlfn.TEXTJOIN(CHAR(10),TRUE,O$73:O$82)</f>
        <v/>
      </c>
      <c r="L73" s="55">
        <f>"Tranche 2"&amp;CHAR(10)&amp;_xlfn.TEXTJOIN(CHAR(10),TRUE,P$73:P$82)</f>
        <v/>
      </c>
      <c r="M73" s="56">
        <f>"Tranche 3"&amp;CHAR(10)&amp;_xlfn.TEXTJOIN(CHAR(10),TRUE,Q$73:Q$82)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49" t="inlineStr">
        <is>
          <t>②</t>
        </is>
      </c>
      <c r="B74" s="50" t="n"/>
      <c r="C74" s="33" t="n"/>
      <c r="D74" s="33" t="n"/>
      <c r="E74" s="33" t="n"/>
      <c r="F74" s="32" t="n"/>
      <c r="G74" s="51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57" t="n"/>
      <c r="L74" s="57" t="n"/>
      <c r="M74" s="57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49" t="inlineStr">
        <is>
          <t>③</t>
        </is>
      </c>
      <c r="B75" s="50" t="n"/>
      <c r="C75" s="33" t="n"/>
      <c r="D75" s="33" t="n"/>
      <c r="E75" s="33" t="n"/>
      <c r="F75" s="32" t="n"/>
      <c r="G75" s="51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58" t="n"/>
      <c r="L75" s="58" t="n"/>
      <c r="M75" s="58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49" t="inlineStr">
        <is>
          <t>④</t>
        </is>
      </c>
      <c r="B76" s="50" t="n"/>
      <c r="C76" s="33" t="n"/>
      <c r="D76" s="33" t="n"/>
      <c r="E76" s="33" t="n"/>
      <c r="F76" s="32" t="n"/>
      <c r="G76" s="51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53" t="inlineStr">
        <is>
          <t>Medium</t>
        </is>
      </c>
      <c r="K76" s="54">
        <f>"Tranche 1"&amp;CHAR(10)&amp;_xlfn.TEXTJOIN(CHAR(10),TRUE,R$73:R$82)</f>
        <v/>
      </c>
      <c r="L76" s="55">
        <f>"Tranche 2"&amp;CHAR(10)&amp;_xlfn.TEXTJOIN(CHAR(10),TRUE,S$73:S$82)</f>
        <v/>
      </c>
      <c r="M76" s="59">
        <f>_xlfn.TEXTJOIN(CHAR(10),TRUE,T$73:T$82)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49" t="inlineStr">
        <is>
          <t>⑤</t>
        </is>
      </c>
      <c r="B77" s="50" t="n"/>
      <c r="C77" s="33" t="n"/>
      <c r="D77" s="33" t="n"/>
      <c r="E77" s="33" t="n"/>
      <c r="F77" s="32" t="n"/>
      <c r="G77" s="51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57" t="n"/>
      <c r="L77" s="57" t="n"/>
      <c r="M77" s="57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49" t="inlineStr">
        <is>
          <t>⑥</t>
        </is>
      </c>
      <c r="B78" s="50" t="n"/>
      <c r="C78" s="33" t="n"/>
      <c r="D78" s="33" t="n"/>
      <c r="E78" s="33" t="n"/>
      <c r="F78" s="32" t="n"/>
      <c r="G78" s="51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58" t="n"/>
      <c r="L78" s="58" t="n"/>
      <c r="M78" s="58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49" t="inlineStr">
        <is>
          <t>⑦</t>
        </is>
      </c>
      <c r="B79" s="50" t="n"/>
      <c r="C79" s="33" t="n"/>
      <c r="D79" s="33" t="n"/>
      <c r="E79" s="33" t="n"/>
      <c r="F79" s="32" t="n"/>
      <c r="G79" s="51">
        <f>IF(OR($B79="",$D79="",$E79=""),"",IF(OR($C79="Target state",$C79="Exception"),"Out of scope",IF($D79="Low","No tranche",IF($E79="Low","Tranche 1",IF($E79="Medium","Tranche 2",IF($D79="High","Tranche 3","No tranche"))))))</f>
        <v/>
      </c>
      <c r="J79" s="53" t="inlineStr">
        <is>
          <t>Low</t>
        </is>
      </c>
      <c r="K79" s="59">
        <f>_xlfn.TEXTJOIN(CHAR(10),TRUE,U$73:U$82)</f>
        <v/>
      </c>
      <c r="L79" s="59">
        <f>_xlfn.TEXTJOIN(CHAR(10),TRUE,V$73:V$82)</f>
        <v/>
      </c>
      <c r="M79" s="59">
        <f>_xlfn.TEXTJOIN(CHAR(10),TRUE,W$73:W$82)</f>
        <v/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0" ht="20" customHeight="1">
      <c r="A80" s="49" t="inlineStr">
        <is>
          <t>⑧</t>
        </is>
      </c>
      <c r="B80" s="50" t="n"/>
      <c r="C80" s="33" t="n"/>
      <c r="D80" s="33" t="n"/>
      <c r="E80" s="33" t="n"/>
      <c r="F80" s="32" t="n"/>
      <c r="G80" s="51">
        <f>IF(OR($B80="",$D80="",$E80=""),"",IF(OR($C80="Target state",$C80="Exception"),"Out of scope",IF($D80="Low","No tranche",IF($E80="Low","Tranche 1",IF($E80="Medium","Tranche 2",IF($D80="High","Tranche 3","No tranche"))))))</f>
        <v/>
      </c>
      <c r="K80" s="57" t="n"/>
      <c r="L80" s="57" t="n"/>
      <c r="M80" s="57" t="n"/>
      <c r="O80">
        <f>IF(AND($B80&lt;&gt;"",$C80&lt;&gt;"Target state",$C80&lt;&gt;"Exception",$D80="High",$E80="Low"),$A80&amp;"  "&amp;$B80,"")</f>
        <v/>
      </c>
      <c r="P80">
        <f>IF(AND($B80&lt;&gt;"",$C80&lt;&gt;"Target state",$C80&lt;&gt;"Exception",$D80="High",$E80="Medium"),$A80&amp;"  "&amp;$B80,"")</f>
        <v/>
      </c>
      <c r="Q80">
        <f>IF(AND($B80&lt;&gt;"",$C80&lt;&gt;"Target state",$C80&lt;&gt;"Exception",$D80="High",$E80="High"),$A80&amp;"  "&amp;$B80,"")</f>
        <v/>
      </c>
      <c r="R80">
        <f>IF(AND($B80&lt;&gt;"",$C80&lt;&gt;"Target state",$C80&lt;&gt;"Exception",$D80="Medium",$E80="Low"),$A80&amp;"  "&amp;$B80,"")</f>
        <v/>
      </c>
      <c r="S80">
        <f>IF(AND($B80&lt;&gt;"",$C80&lt;&gt;"Target state",$C80&lt;&gt;"Exception",$D80="Medium",$E80="Medium"),$A80&amp;"  "&amp;$B80,"")</f>
        <v/>
      </c>
      <c r="T80">
        <f>IF(AND($B80&lt;&gt;"",$C80&lt;&gt;"Target state",$C80&lt;&gt;"Exception",$D80="Medium",$E80="High"),$A80&amp;"  "&amp;$B80,"")</f>
        <v/>
      </c>
      <c r="U80">
        <f>IF(AND($B80&lt;&gt;"",$C80&lt;&gt;"Target state",$C80&lt;&gt;"Exception",$D80="Low",$E80="Low"),$A80&amp;"  "&amp;$B80,"")</f>
        <v/>
      </c>
      <c r="V80">
        <f>IF(AND($B80&lt;&gt;"",$C80&lt;&gt;"Target state",$C80&lt;&gt;"Exception",$D80="Low",$E80="Medium"),$A80&amp;"  "&amp;$B80,"")</f>
        <v/>
      </c>
      <c r="W80">
        <f>IF(AND($B80&lt;&gt;"",$C80&lt;&gt;"Target state",$C80&lt;&gt;"Exception",$D80="Low",$E80="High"),$A80&amp;"  "&amp;$B80,"")</f>
        <v/>
      </c>
    </row>
    <row r="81" ht="20" customHeight="1">
      <c r="A81" s="49" t="inlineStr">
        <is>
          <t>⑨</t>
        </is>
      </c>
      <c r="B81" s="50" t="n"/>
      <c r="C81" s="33" t="n"/>
      <c r="D81" s="33" t="n"/>
      <c r="E81" s="33" t="n"/>
      <c r="F81" s="32" t="n"/>
      <c r="G81" s="51">
        <f>IF(OR($B81="",$D81="",$E81=""),"",IF(OR($C81="Target state",$C81="Exception"),"Out of scope",IF($D81="Low","No tranche",IF($E81="Low","Tranche 1",IF($E81="Medium","Tranche 2",IF($D81="High","Tranche 3","No tranche"))))))</f>
        <v/>
      </c>
      <c r="K81" s="58" t="n"/>
      <c r="L81" s="58" t="n"/>
      <c r="M81" s="58" t="n"/>
      <c r="O81">
        <f>IF(AND($B81&lt;&gt;"",$C81&lt;&gt;"Target state",$C81&lt;&gt;"Exception",$D81="High",$E81="Low"),$A81&amp;"  "&amp;$B81,"")</f>
        <v/>
      </c>
      <c r="P81">
        <f>IF(AND($B81&lt;&gt;"",$C81&lt;&gt;"Target state",$C81&lt;&gt;"Exception",$D81="High",$E81="Medium"),$A81&amp;"  "&amp;$B81,"")</f>
        <v/>
      </c>
      <c r="Q81">
        <f>IF(AND($B81&lt;&gt;"",$C81&lt;&gt;"Target state",$C81&lt;&gt;"Exception",$D81="High",$E81="High"),$A81&amp;"  "&amp;$B81,"")</f>
        <v/>
      </c>
      <c r="R81">
        <f>IF(AND($B81&lt;&gt;"",$C81&lt;&gt;"Target state",$C81&lt;&gt;"Exception",$D81="Medium",$E81="Low"),$A81&amp;"  "&amp;$B81,"")</f>
        <v/>
      </c>
      <c r="S81">
        <f>IF(AND($B81&lt;&gt;"",$C81&lt;&gt;"Target state",$C81&lt;&gt;"Exception",$D81="Medium",$E81="Medium"),$A81&amp;"  "&amp;$B81,"")</f>
        <v/>
      </c>
      <c r="T81">
        <f>IF(AND($B81&lt;&gt;"",$C81&lt;&gt;"Target state",$C81&lt;&gt;"Exception",$D81="Medium",$E81="High"),$A81&amp;"  "&amp;$B81,"")</f>
        <v/>
      </c>
      <c r="U81">
        <f>IF(AND($B81&lt;&gt;"",$C81&lt;&gt;"Target state",$C81&lt;&gt;"Exception",$D81="Low",$E81="Low"),$A81&amp;"  "&amp;$B81,"")</f>
        <v/>
      </c>
      <c r="V81">
        <f>IF(AND($B81&lt;&gt;"",$C81&lt;&gt;"Target state",$C81&lt;&gt;"Exception",$D81="Low",$E81="Medium"),$A81&amp;"  "&amp;$B81,"")</f>
        <v/>
      </c>
      <c r="W81">
        <f>IF(AND($B81&lt;&gt;"",$C81&lt;&gt;"Target state",$C81&lt;&gt;"Exception",$D81="Low",$E81="High"),$A81&amp;"  "&amp;$B81,"")</f>
        <v/>
      </c>
    </row>
    <row r="82" ht="20" customHeight="1">
      <c r="A82" s="49" t="inlineStr">
        <is>
          <t>⑩</t>
        </is>
      </c>
      <c r="B82" s="50" t="n"/>
      <c r="C82" s="33" t="n"/>
      <c r="D82" s="33" t="n"/>
      <c r="E82" s="33" t="n"/>
      <c r="F82" s="32" t="n"/>
      <c r="G82" s="51">
        <f>IF(OR($B82="",$D82="",$E82=""),"",IF(OR($C82="Target state",$C82="Exception"),"Out of scope",IF($D82="Low","No tranche",IF($E82="Low","Tranche 1",IF($E82="Medium","Tranche 2",IF($D82="High","Tranche 3","No tranche"))))))</f>
        <v/>
      </c>
      <c r="K82" s="53" t="inlineStr">
        <is>
          <t>Complexity</t>
        </is>
      </c>
      <c r="O82">
        <f>IF(AND($B82&lt;&gt;"",$C82&lt;&gt;"Target state",$C82&lt;&gt;"Exception",$D82="High",$E82="Low"),$A82&amp;"  "&amp;$B82,"")</f>
        <v/>
      </c>
      <c r="P82">
        <f>IF(AND($B82&lt;&gt;"",$C82&lt;&gt;"Target state",$C82&lt;&gt;"Exception",$D82="High",$E82="Medium"),$A82&amp;"  "&amp;$B82,"")</f>
        <v/>
      </c>
      <c r="Q82">
        <f>IF(AND($B82&lt;&gt;"",$C82&lt;&gt;"Target state",$C82&lt;&gt;"Exception",$D82="High",$E82="High"),$A82&amp;"  "&amp;$B82,"")</f>
        <v/>
      </c>
      <c r="R82">
        <f>IF(AND($B82&lt;&gt;"",$C82&lt;&gt;"Target state",$C82&lt;&gt;"Exception",$D82="Medium",$E82="Low"),$A82&amp;"  "&amp;$B82,"")</f>
        <v/>
      </c>
      <c r="S82">
        <f>IF(AND($B82&lt;&gt;"",$C82&lt;&gt;"Target state",$C82&lt;&gt;"Exception",$D82="Medium",$E82="Medium"),$A82&amp;"  "&amp;$B82,"")</f>
        <v/>
      </c>
      <c r="T82">
        <f>IF(AND($B82&lt;&gt;"",$C82&lt;&gt;"Target state",$C82&lt;&gt;"Exception",$D82="Medium",$E82="High"),$A82&amp;"  "&amp;$B82,"")</f>
        <v/>
      </c>
      <c r="U82">
        <f>IF(AND($B82&lt;&gt;"",$C82&lt;&gt;"Target state",$C82&lt;&gt;"Exception",$D82="Low",$E82="Low"),$A82&amp;"  "&amp;$B82,"")</f>
        <v/>
      </c>
      <c r="V82">
        <f>IF(AND($B82&lt;&gt;"",$C82&lt;&gt;"Target state",$C82&lt;&gt;"Exception",$D82="Low",$E82="Medium"),$A82&amp;"  "&amp;$B82,"")</f>
        <v/>
      </c>
      <c r="W82">
        <f>IF(AND($B82&lt;&gt;"",$C82&lt;&gt;"Target state",$C82&lt;&gt;"Exception",$D82="Low",$E82="High"),$A82&amp;"  "&amp;$B82,"")</f>
        <v/>
      </c>
    </row>
    <row r="85" ht="22" customHeight="1">
      <c r="A85" s="44" t="inlineStr">
        <is>
          <t>Gifts</t>
        </is>
      </c>
      <c r="G85" s="45">
        <f>HYPERLINK("#'VAS'!A4","▲ tracker")</f>
        <v/>
      </c>
      <c r="K85" s="46" t="inlineStr">
        <is>
          <t>Assessment Outcome</t>
        </is>
      </c>
    </row>
    <row r="86" ht="26" customHeight="1">
      <c r="A86" s="47" t="inlineStr">
        <is>
          <t>#</t>
        </is>
      </c>
      <c r="B86" s="47" t="inlineStr">
        <is>
          <t>Platform</t>
        </is>
      </c>
      <c r="C86" s="47" t="inlineStr">
        <is>
          <t>State</t>
        </is>
      </c>
      <c r="D86" s="47" t="inlineStr">
        <is>
          <t>Imperative to exit (= Benefits)</t>
        </is>
      </c>
      <c r="E86" s="47" t="inlineStr">
        <is>
          <t>Exit complexity</t>
        </is>
      </c>
      <c r="F86" s="47" t="inlineStr">
        <is>
          <t>Supporting facts</t>
        </is>
      </c>
      <c r="G86" s="47" t="inlineStr">
        <is>
          <t>Tranche (auto)</t>
        </is>
      </c>
      <c r="K86" s="48" t="inlineStr">
        <is>
          <t>Low</t>
        </is>
      </c>
      <c r="L86" s="48" t="inlineStr">
        <is>
          <t>Medium</t>
        </is>
      </c>
      <c r="M86" s="48" t="inlineStr">
        <is>
          <t>High</t>
        </is>
      </c>
    </row>
    <row r="87" ht="20" customHeight="1">
      <c r="A87" s="49" t="inlineStr">
        <is>
          <t>①</t>
        </is>
      </c>
      <c r="B87" s="50" t="n"/>
      <c r="C87" s="33" t="n"/>
      <c r="D87" s="33" t="n"/>
      <c r="E87" s="33" t="n"/>
      <c r="F87" s="32" t="n"/>
      <c r="G87" s="51">
        <f>IF(OR($B87="",$D87="",$E87=""),"",IF(OR($C87="Target state",$C87="Exception"),"Out of scope",IF($D87="Low","No tranche",IF($E87="Low","Tranche 1",IF($E87="Medium","Tranche 2",IF($D87="High","Tranche 3","No tranche"))))))</f>
        <v/>
      </c>
      <c r="I87" s="52" t="inlineStr">
        <is>
          <t>Benefits (= Imperative to exit)</t>
        </is>
      </c>
      <c r="J87" s="53" t="inlineStr">
        <is>
          <t>High</t>
        </is>
      </c>
      <c r="K87" s="54">
        <f>"Tranche 1"&amp;CHAR(10)&amp;_xlfn.TEXTJOIN(CHAR(10),TRUE,O$87:O$96)</f>
        <v/>
      </c>
      <c r="L87" s="55">
        <f>"Tranche 2"&amp;CHAR(10)&amp;_xlfn.TEXTJOIN(CHAR(10),TRUE,P$87:P$96)</f>
        <v/>
      </c>
      <c r="M87" s="56">
        <f>"Tranche 3"&amp;CHAR(10)&amp;_xlfn.TEXTJOIN(CHAR(10),TRUE,Q$87:Q$96)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49" t="inlineStr">
        <is>
          <t>②</t>
        </is>
      </c>
      <c r="B88" s="50" t="n"/>
      <c r="C88" s="33" t="n"/>
      <c r="D88" s="33" t="n"/>
      <c r="E88" s="33" t="n"/>
      <c r="F88" s="32" t="n"/>
      <c r="G88" s="51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57" t="n"/>
      <c r="L88" s="57" t="n"/>
      <c r="M88" s="57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49" t="inlineStr">
        <is>
          <t>③</t>
        </is>
      </c>
      <c r="B89" s="50" t="n"/>
      <c r="C89" s="33" t="n"/>
      <c r="D89" s="33" t="n"/>
      <c r="E89" s="33" t="n"/>
      <c r="F89" s="32" t="n"/>
      <c r="G89" s="51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58" t="n"/>
      <c r="L89" s="58" t="n"/>
      <c r="M89" s="58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49" t="inlineStr">
        <is>
          <t>④</t>
        </is>
      </c>
      <c r="B90" s="50" t="n"/>
      <c r="C90" s="33" t="n"/>
      <c r="D90" s="33" t="n"/>
      <c r="E90" s="33" t="n"/>
      <c r="F90" s="32" t="n"/>
      <c r="G90" s="51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53" t="inlineStr">
        <is>
          <t>Medium</t>
        </is>
      </c>
      <c r="K90" s="54">
        <f>"Tranche 1"&amp;CHAR(10)&amp;_xlfn.TEXTJOIN(CHAR(10),TRUE,R$87:R$96)</f>
        <v/>
      </c>
      <c r="L90" s="55">
        <f>"Tranche 2"&amp;CHAR(10)&amp;_xlfn.TEXTJOIN(CHAR(10),TRUE,S$87:S$96)</f>
        <v/>
      </c>
      <c r="M90" s="59">
        <f>_xlfn.TEXTJOIN(CHAR(10),TRUE,T$87:T$96)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49" t="inlineStr">
        <is>
          <t>⑤</t>
        </is>
      </c>
      <c r="B91" s="50" t="n"/>
      <c r="C91" s="33" t="n"/>
      <c r="D91" s="33" t="n"/>
      <c r="E91" s="33" t="n"/>
      <c r="F91" s="32" t="n"/>
      <c r="G91" s="51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57" t="n"/>
      <c r="L91" s="57" t="n"/>
      <c r="M91" s="57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49" t="inlineStr">
        <is>
          <t>⑥</t>
        </is>
      </c>
      <c r="B92" s="50" t="n"/>
      <c r="C92" s="33" t="n"/>
      <c r="D92" s="33" t="n"/>
      <c r="E92" s="33" t="n"/>
      <c r="F92" s="32" t="n"/>
      <c r="G92" s="51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58" t="n"/>
      <c r="L92" s="58" t="n"/>
      <c r="M92" s="58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49" t="inlineStr">
        <is>
          <t>⑦</t>
        </is>
      </c>
      <c r="B93" s="50" t="n"/>
      <c r="C93" s="33" t="n"/>
      <c r="D93" s="33" t="n"/>
      <c r="E93" s="33" t="n"/>
      <c r="F93" s="32" t="n"/>
      <c r="G93" s="51">
        <f>IF(OR($B93="",$D93="",$E93=""),"",IF(OR($C93="Target state",$C93="Exception"),"Out of scope",IF($D93="Low","No tranche",IF($E93="Low","Tranche 1",IF($E93="Medium","Tranche 2",IF($D93="High","Tranche 3","No tranche"))))))</f>
        <v/>
      </c>
      <c r="J93" s="53" t="inlineStr">
        <is>
          <t>Low</t>
        </is>
      </c>
      <c r="K93" s="59">
        <f>_xlfn.TEXTJOIN(CHAR(10),TRUE,U$87:U$96)</f>
        <v/>
      </c>
      <c r="L93" s="59">
        <f>_xlfn.TEXTJOIN(CHAR(10),TRUE,V$87:V$96)</f>
        <v/>
      </c>
      <c r="M93" s="59">
        <f>_xlfn.TEXTJOIN(CHAR(10),TRUE,W$87:W$96)</f>
        <v/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  <row r="94" ht="20" customHeight="1">
      <c r="A94" s="49" t="inlineStr">
        <is>
          <t>⑧</t>
        </is>
      </c>
      <c r="B94" s="50" t="n"/>
      <c r="C94" s="33" t="n"/>
      <c r="D94" s="33" t="n"/>
      <c r="E94" s="33" t="n"/>
      <c r="F94" s="32" t="n"/>
      <c r="G94" s="51">
        <f>IF(OR($B94="",$D94="",$E94=""),"",IF(OR($C94="Target state",$C94="Exception"),"Out of scope",IF($D94="Low","No tranche",IF($E94="Low","Tranche 1",IF($E94="Medium","Tranche 2",IF($D94="High","Tranche 3","No tranche"))))))</f>
        <v/>
      </c>
      <c r="K94" s="57" t="n"/>
      <c r="L94" s="57" t="n"/>
      <c r="M94" s="57" t="n"/>
      <c r="O94">
        <f>IF(AND($B94&lt;&gt;"",$C94&lt;&gt;"Target state",$C94&lt;&gt;"Exception",$D94="High",$E94="Low"),$A94&amp;"  "&amp;$B94,"")</f>
        <v/>
      </c>
      <c r="P94">
        <f>IF(AND($B94&lt;&gt;"",$C94&lt;&gt;"Target state",$C94&lt;&gt;"Exception",$D94="High",$E94="Medium"),$A94&amp;"  "&amp;$B94,"")</f>
        <v/>
      </c>
      <c r="Q94">
        <f>IF(AND($B94&lt;&gt;"",$C94&lt;&gt;"Target state",$C94&lt;&gt;"Exception",$D94="High",$E94="High"),$A94&amp;"  "&amp;$B94,"")</f>
        <v/>
      </c>
      <c r="R94">
        <f>IF(AND($B94&lt;&gt;"",$C94&lt;&gt;"Target state",$C94&lt;&gt;"Exception",$D94="Medium",$E94="Low"),$A94&amp;"  "&amp;$B94,"")</f>
        <v/>
      </c>
      <c r="S94">
        <f>IF(AND($B94&lt;&gt;"",$C94&lt;&gt;"Target state",$C94&lt;&gt;"Exception",$D94="Medium",$E94="Medium"),$A94&amp;"  "&amp;$B94,"")</f>
        <v/>
      </c>
      <c r="T94">
        <f>IF(AND($B94&lt;&gt;"",$C94&lt;&gt;"Target state",$C94&lt;&gt;"Exception",$D94="Medium",$E94="High"),$A94&amp;"  "&amp;$B94,"")</f>
        <v/>
      </c>
      <c r="U94">
        <f>IF(AND($B94&lt;&gt;"",$C94&lt;&gt;"Target state",$C94&lt;&gt;"Exception",$D94="Low",$E94="Low"),$A94&amp;"  "&amp;$B94,"")</f>
        <v/>
      </c>
      <c r="V94">
        <f>IF(AND($B94&lt;&gt;"",$C94&lt;&gt;"Target state",$C94&lt;&gt;"Exception",$D94="Low",$E94="Medium"),$A94&amp;"  "&amp;$B94,"")</f>
        <v/>
      </c>
      <c r="W94">
        <f>IF(AND($B94&lt;&gt;"",$C94&lt;&gt;"Target state",$C94&lt;&gt;"Exception",$D94="Low",$E94="High"),$A94&amp;"  "&amp;$B94,"")</f>
        <v/>
      </c>
    </row>
    <row r="95" ht="20" customHeight="1">
      <c r="A95" s="49" t="inlineStr">
        <is>
          <t>⑨</t>
        </is>
      </c>
      <c r="B95" s="50" t="n"/>
      <c r="C95" s="33" t="n"/>
      <c r="D95" s="33" t="n"/>
      <c r="E95" s="33" t="n"/>
      <c r="F95" s="32" t="n"/>
      <c r="G95" s="51">
        <f>IF(OR($B95="",$D95="",$E95=""),"",IF(OR($C95="Target state",$C95="Exception"),"Out of scope",IF($D95="Low","No tranche",IF($E95="Low","Tranche 1",IF($E95="Medium","Tranche 2",IF($D95="High","Tranche 3","No tranche"))))))</f>
        <v/>
      </c>
      <c r="K95" s="58" t="n"/>
      <c r="L95" s="58" t="n"/>
      <c r="M95" s="58" t="n"/>
      <c r="O95">
        <f>IF(AND($B95&lt;&gt;"",$C95&lt;&gt;"Target state",$C95&lt;&gt;"Exception",$D95="High",$E95="Low"),$A95&amp;"  "&amp;$B95,"")</f>
        <v/>
      </c>
      <c r="P95">
        <f>IF(AND($B95&lt;&gt;"",$C95&lt;&gt;"Target state",$C95&lt;&gt;"Exception",$D95="High",$E95="Medium"),$A95&amp;"  "&amp;$B95,"")</f>
        <v/>
      </c>
      <c r="Q95">
        <f>IF(AND($B95&lt;&gt;"",$C95&lt;&gt;"Target state",$C95&lt;&gt;"Exception",$D95="High",$E95="High"),$A95&amp;"  "&amp;$B95,"")</f>
        <v/>
      </c>
      <c r="R95">
        <f>IF(AND($B95&lt;&gt;"",$C95&lt;&gt;"Target state",$C95&lt;&gt;"Exception",$D95="Medium",$E95="Low"),$A95&amp;"  "&amp;$B95,"")</f>
        <v/>
      </c>
      <c r="S95">
        <f>IF(AND($B95&lt;&gt;"",$C95&lt;&gt;"Target state",$C95&lt;&gt;"Exception",$D95="Medium",$E95="Medium"),$A95&amp;"  "&amp;$B95,"")</f>
        <v/>
      </c>
      <c r="T95">
        <f>IF(AND($B95&lt;&gt;"",$C95&lt;&gt;"Target state",$C95&lt;&gt;"Exception",$D95="Medium",$E95="High"),$A95&amp;"  "&amp;$B95,"")</f>
        <v/>
      </c>
      <c r="U95">
        <f>IF(AND($B95&lt;&gt;"",$C95&lt;&gt;"Target state",$C95&lt;&gt;"Exception",$D95="Low",$E95="Low"),$A95&amp;"  "&amp;$B95,"")</f>
        <v/>
      </c>
      <c r="V95">
        <f>IF(AND($B95&lt;&gt;"",$C95&lt;&gt;"Target state",$C95&lt;&gt;"Exception",$D95="Low",$E95="Medium"),$A95&amp;"  "&amp;$B95,"")</f>
        <v/>
      </c>
      <c r="W95">
        <f>IF(AND($B95&lt;&gt;"",$C95&lt;&gt;"Target state",$C95&lt;&gt;"Exception",$D95="Low",$E95="High"),$A95&amp;"  "&amp;$B95,"")</f>
        <v/>
      </c>
    </row>
    <row r="96" ht="20" customHeight="1">
      <c r="A96" s="49" t="inlineStr">
        <is>
          <t>⑩</t>
        </is>
      </c>
      <c r="B96" s="50" t="n"/>
      <c r="C96" s="33" t="n"/>
      <c r="D96" s="33" t="n"/>
      <c r="E96" s="33" t="n"/>
      <c r="F96" s="32" t="n"/>
      <c r="G96" s="51">
        <f>IF(OR($B96="",$D96="",$E96=""),"",IF(OR($C96="Target state",$C96="Exception"),"Out of scope",IF($D96="Low","No tranche",IF($E96="Low","Tranche 1",IF($E96="Medium","Tranche 2",IF($D96="High","Tranche 3","No tranche"))))))</f>
        <v/>
      </c>
      <c r="K96" s="53" t="inlineStr">
        <is>
          <t>Complexity</t>
        </is>
      </c>
      <c r="O96">
        <f>IF(AND($B96&lt;&gt;"",$C96&lt;&gt;"Target state",$C96&lt;&gt;"Exception",$D96="High",$E96="Low"),$A96&amp;"  "&amp;$B96,"")</f>
        <v/>
      </c>
      <c r="P96">
        <f>IF(AND($B96&lt;&gt;"",$C96&lt;&gt;"Target state",$C96&lt;&gt;"Exception",$D96="High",$E96="Medium"),$A96&amp;"  "&amp;$B96,"")</f>
        <v/>
      </c>
      <c r="Q96">
        <f>IF(AND($B96&lt;&gt;"",$C96&lt;&gt;"Target state",$C96&lt;&gt;"Exception",$D96="High",$E96="High"),$A96&amp;"  "&amp;$B96,"")</f>
        <v/>
      </c>
      <c r="R96">
        <f>IF(AND($B96&lt;&gt;"",$C96&lt;&gt;"Target state",$C96&lt;&gt;"Exception",$D96="Medium",$E96="Low"),$A96&amp;"  "&amp;$B96,"")</f>
        <v/>
      </c>
      <c r="S96">
        <f>IF(AND($B96&lt;&gt;"",$C96&lt;&gt;"Target state",$C96&lt;&gt;"Exception",$D96="Medium",$E96="Medium"),$A96&amp;"  "&amp;$B96,"")</f>
        <v/>
      </c>
      <c r="T96">
        <f>IF(AND($B96&lt;&gt;"",$C96&lt;&gt;"Target state",$C96&lt;&gt;"Exception",$D96="Medium",$E96="High"),$A96&amp;"  "&amp;$B96,"")</f>
        <v/>
      </c>
      <c r="U96">
        <f>IF(AND($B96&lt;&gt;"",$C96&lt;&gt;"Target state",$C96&lt;&gt;"Exception",$D96="Low",$E96="Low"),$A96&amp;"  "&amp;$B96,"")</f>
        <v/>
      </c>
      <c r="V96">
        <f>IF(AND($B96&lt;&gt;"",$C96&lt;&gt;"Target state",$C96&lt;&gt;"Exception",$D96="Low",$E96="Medium"),$A96&amp;"  "&amp;$B96,"")</f>
        <v/>
      </c>
      <c r="W96">
        <f>IF(AND($B96&lt;&gt;"",$C96&lt;&gt;"Target state",$C96&lt;&gt;"Exception",$D96="Low",$E96="High"),$A96&amp;"  "&amp;$B96,"")</f>
        <v/>
      </c>
    </row>
    <row r="99" ht="22" customHeight="1">
      <c r="A99" s="44" t="inlineStr">
        <is>
          <t>Managed Optimization</t>
        </is>
      </c>
      <c r="G99" s="45">
        <f>HYPERLINK("#'VAS'!A4","▲ tracker")</f>
        <v/>
      </c>
      <c r="K99" s="46" t="inlineStr">
        <is>
          <t>Assessment Outcome</t>
        </is>
      </c>
    </row>
    <row r="100" ht="26" customHeight="1">
      <c r="A100" s="47" t="inlineStr">
        <is>
          <t>#</t>
        </is>
      </c>
      <c r="B100" s="47" t="inlineStr">
        <is>
          <t>Platform</t>
        </is>
      </c>
      <c r="C100" s="47" t="inlineStr">
        <is>
          <t>State</t>
        </is>
      </c>
      <c r="D100" s="47" t="inlineStr">
        <is>
          <t>Imperative to exit (= Benefits)</t>
        </is>
      </c>
      <c r="E100" s="47" t="inlineStr">
        <is>
          <t>Exit complexity</t>
        </is>
      </c>
      <c r="F100" s="47" t="inlineStr">
        <is>
          <t>Supporting facts</t>
        </is>
      </c>
      <c r="G100" s="47" t="inlineStr">
        <is>
          <t>Tranche (auto)</t>
        </is>
      </c>
      <c r="K100" s="48" t="inlineStr">
        <is>
          <t>Low</t>
        </is>
      </c>
      <c r="L100" s="48" t="inlineStr">
        <is>
          <t>Medium</t>
        </is>
      </c>
      <c r="M100" s="48" t="inlineStr">
        <is>
          <t>High</t>
        </is>
      </c>
    </row>
    <row r="101" ht="20" customHeight="1">
      <c r="A101" s="49" t="inlineStr">
        <is>
          <t>①</t>
        </is>
      </c>
      <c r="B101" s="50" t="n"/>
      <c r="C101" s="33" t="n"/>
      <c r="D101" s="33" t="n"/>
      <c r="E101" s="33" t="n"/>
      <c r="F101" s="32" t="n"/>
      <c r="G101" s="51">
        <f>IF(OR($B101="",$D101="",$E101=""),"",IF(OR($C101="Target state",$C101="Exception"),"Out of scope",IF($D101="Low","No tranche",IF($E101="Low","Tranche 1",IF($E101="Medium","Tranche 2",IF($D101="High","Tranche 3","No tranche"))))))</f>
        <v/>
      </c>
      <c r="I101" s="52" t="inlineStr">
        <is>
          <t>Benefits (= Imperative to exit)</t>
        </is>
      </c>
      <c r="J101" s="53" t="inlineStr">
        <is>
          <t>High</t>
        </is>
      </c>
      <c r="K101" s="54">
        <f>"Tranche 1"&amp;CHAR(10)&amp;_xlfn.TEXTJOIN(CHAR(10),TRUE,O$101:O$110)</f>
        <v/>
      </c>
      <c r="L101" s="55">
        <f>"Tranche 2"&amp;CHAR(10)&amp;_xlfn.TEXTJOIN(CHAR(10),TRUE,P$101:P$110)</f>
        <v/>
      </c>
      <c r="M101" s="56">
        <f>"Tranche 3"&amp;CHAR(10)&amp;_xlfn.TEXTJOIN(CHAR(10),TRUE,Q$101:Q$110)</f>
        <v/>
      </c>
      <c r="O101">
        <f>IF(AND($B101&lt;&gt;"",$C101&lt;&gt;"Target state",$C101&lt;&gt;"Exception",$D101="High",$E101="Low"),$A101&amp;"  "&amp;$B101,"")</f>
        <v/>
      </c>
      <c r="P101">
        <f>IF(AND($B101&lt;&gt;"",$C101&lt;&gt;"Target state",$C101&lt;&gt;"Exception",$D101="High",$E101="Medium"),$A101&amp;"  "&amp;$B101,"")</f>
        <v/>
      </c>
      <c r="Q101">
        <f>IF(AND($B101&lt;&gt;"",$C101&lt;&gt;"Target state",$C101&lt;&gt;"Exception",$D101="High",$E101="High"),$A101&amp;"  "&amp;$B101,"")</f>
        <v/>
      </c>
      <c r="R101">
        <f>IF(AND($B101&lt;&gt;"",$C101&lt;&gt;"Target state",$C101&lt;&gt;"Exception",$D101="Medium",$E101="Low"),$A101&amp;"  "&amp;$B101,"")</f>
        <v/>
      </c>
      <c r="S101">
        <f>IF(AND($B101&lt;&gt;"",$C101&lt;&gt;"Target state",$C101&lt;&gt;"Exception",$D101="Medium",$E101="Medium"),$A101&amp;"  "&amp;$B101,"")</f>
        <v/>
      </c>
      <c r="T101">
        <f>IF(AND($B101&lt;&gt;"",$C101&lt;&gt;"Target state",$C101&lt;&gt;"Exception",$D101="Medium",$E101="High"),$A101&amp;"  "&amp;$B101,"")</f>
        <v/>
      </c>
      <c r="U101">
        <f>IF(AND($B101&lt;&gt;"",$C101&lt;&gt;"Target state",$C101&lt;&gt;"Exception",$D101="Low",$E101="Low"),$A101&amp;"  "&amp;$B101,"")</f>
        <v/>
      </c>
      <c r="V101">
        <f>IF(AND($B101&lt;&gt;"",$C101&lt;&gt;"Target state",$C101&lt;&gt;"Exception",$D101="Low",$E101="Medium"),$A101&amp;"  "&amp;$B101,"")</f>
        <v/>
      </c>
      <c r="W101">
        <f>IF(AND($B101&lt;&gt;"",$C101&lt;&gt;"Target state",$C101&lt;&gt;"Exception",$D101="Low",$E101="High"),$A101&amp;"  "&amp;$B101,"")</f>
        <v/>
      </c>
    </row>
    <row r="102" ht="20" customHeight="1">
      <c r="A102" s="49" t="inlineStr">
        <is>
          <t>②</t>
        </is>
      </c>
      <c r="B102" s="50" t="n"/>
      <c r="C102" s="33" t="n"/>
      <c r="D102" s="33" t="n"/>
      <c r="E102" s="33" t="n"/>
      <c r="F102" s="32" t="n"/>
      <c r="G102" s="51">
        <f>IF(OR($B102="",$D102="",$E102=""),"",IF(OR($C102="Target state",$C102="Exception"),"Out of scope",IF($D102="Low","No tranche",IF($E102="Low","Tranche 1",IF($E102="Medium","Tranche 2",IF($D102="High","Tranche 3","No tranche"))))))</f>
        <v/>
      </c>
      <c r="K102" s="57" t="n"/>
      <c r="L102" s="57" t="n"/>
      <c r="M102" s="57" t="n"/>
      <c r="O102">
        <f>IF(AND($B102&lt;&gt;"",$C102&lt;&gt;"Target state",$C102&lt;&gt;"Exception",$D102="High",$E102="Low"),$A102&amp;"  "&amp;$B102,"")</f>
        <v/>
      </c>
      <c r="P102">
        <f>IF(AND($B102&lt;&gt;"",$C102&lt;&gt;"Target state",$C102&lt;&gt;"Exception",$D102="High",$E102="Medium"),$A102&amp;"  "&amp;$B102,"")</f>
        <v/>
      </c>
      <c r="Q102">
        <f>IF(AND($B102&lt;&gt;"",$C102&lt;&gt;"Target state",$C102&lt;&gt;"Exception",$D102="High",$E102="High"),$A102&amp;"  "&amp;$B102,"")</f>
        <v/>
      </c>
      <c r="R102">
        <f>IF(AND($B102&lt;&gt;"",$C102&lt;&gt;"Target state",$C102&lt;&gt;"Exception",$D102="Medium",$E102="Low"),$A102&amp;"  "&amp;$B102,"")</f>
        <v/>
      </c>
      <c r="S102">
        <f>IF(AND($B102&lt;&gt;"",$C102&lt;&gt;"Target state",$C102&lt;&gt;"Exception",$D102="Medium",$E102="Medium"),$A102&amp;"  "&amp;$B102,"")</f>
        <v/>
      </c>
      <c r="T102">
        <f>IF(AND($B102&lt;&gt;"",$C102&lt;&gt;"Target state",$C102&lt;&gt;"Exception",$D102="Medium",$E102="High"),$A102&amp;"  "&amp;$B102,"")</f>
        <v/>
      </c>
      <c r="U102">
        <f>IF(AND($B102&lt;&gt;"",$C102&lt;&gt;"Target state",$C102&lt;&gt;"Exception",$D102="Low",$E102="Low"),$A102&amp;"  "&amp;$B102,"")</f>
        <v/>
      </c>
      <c r="V102">
        <f>IF(AND($B102&lt;&gt;"",$C102&lt;&gt;"Target state",$C102&lt;&gt;"Exception",$D102="Low",$E102="Medium"),$A102&amp;"  "&amp;$B102,"")</f>
        <v/>
      </c>
      <c r="W102">
        <f>IF(AND($B102&lt;&gt;"",$C102&lt;&gt;"Target state",$C102&lt;&gt;"Exception",$D102="Low",$E102="High"),$A102&amp;"  "&amp;$B102,"")</f>
        <v/>
      </c>
    </row>
    <row r="103" ht="20" customHeight="1">
      <c r="A103" s="49" t="inlineStr">
        <is>
          <t>③</t>
        </is>
      </c>
      <c r="B103" s="50" t="n"/>
      <c r="C103" s="33" t="n"/>
      <c r="D103" s="33" t="n"/>
      <c r="E103" s="33" t="n"/>
      <c r="F103" s="32" t="n"/>
      <c r="G103" s="51">
        <f>IF(OR($B103="",$D103="",$E103=""),"",IF(OR($C103="Target state",$C103="Exception"),"Out of scope",IF($D103="Low","No tranche",IF($E103="Low","Tranche 1",IF($E103="Medium","Tranche 2",IF($D103="High","Tranche 3","No tranche"))))))</f>
        <v/>
      </c>
      <c r="K103" s="58" t="n"/>
      <c r="L103" s="58" t="n"/>
      <c r="M103" s="58" t="n"/>
      <c r="O103">
        <f>IF(AND($B103&lt;&gt;"",$C103&lt;&gt;"Target state",$C103&lt;&gt;"Exception",$D103="High",$E103="Low"),$A103&amp;"  "&amp;$B103,"")</f>
        <v/>
      </c>
      <c r="P103">
        <f>IF(AND($B103&lt;&gt;"",$C103&lt;&gt;"Target state",$C103&lt;&gt;"Exception",$D103="High",$E103="Medium"),$A103&amp;"  "&amp;$B103,"")</f>
        <v/>
      </c>
      <c r="Q103">
        <f>IF(AND($B103&lt;&gt;"",$C103&lt;&gt;"Target state",$C103&lt;&gt;"Exception",$D103="High",$E103="High"),$A103&amp;"  "&amp;$B103,"")</f>
        <v/>
      </c>
      <c r="R103">
        <f>IF(AND($B103&lt;&gt;"",$C103&lt;&gt;"Target state",$C103&lt;&gt;"Exception",$D103="Medium",$E103="Low"),$A103&amp;"  "&amp;$B103,"")</f>
        <v/>
      </c>
      <c r="S103">
        <f>IF(AND($B103&lt;&gt;"",$C103&lt;&gt;"Target state",$C103&lt;&gt;"Exception",$D103="Medium",$E103="Medium"),$A103&amp;"  "&amp;$B103,"")</f>
        <v/>
      </c>
      <c r="T103">
        <f>IF(AND($B103&lt;&gt;"",$C103&lt;&gt;"Target state",$C103&lt;&gt;"Exception",$D103="Medium",$E103="High"),$A103&amp;"  "&amp;$B103,"")</f>
        <v/>
      </c>
      <c r="U103">
        <f>IF(AND($B103&lt;&gt;"",$C103&lt;&gt;"Target state",$C103&lt;&gt;"Exception",$D103="Low",$E103="Low"),$A103&amp;"  "&amp;$B103,"")</f>
        <v/>
      </c>
      <c r="V103">
        <f>IF(AND($B103&lt;&gt;"",$C103&lt;&gt;"Target state",$C103&lt;&gt;"Exception",$D103="Low",$E103="Medium"),$A103&amp;"  "&amp;$B103,"")</f>
        <v/>
      </c>
      <c r="W103">
        <f>IF(AND($B103&lt;&gt;"",$C103&lt;&gt;"Target state",$C103&lt;&gt;"Exception",$D103="Low",$E103="High"),$A103&amp;"  "&amp;$B103,"")</f>
        <v/>
      </c>
    </row>
    <row r="104" ht="20" customHeight="1">
      <c r="A104" s="49" t="inlineStr">
        <is>
          <t>④</t>
        </is>
      </c>
      <c r="B104" s="50" t="n"/>
      <c r="C104" s="33" t="n"/>
      <c r="D104" s="33" t="n"/>
      <c r="E104" s="33" t="n"/>
      <c r="F104" s="32" t="n"/>
      <c r="G104" s="51">
        <f>IF(OR($B104="",$D104="",$E104=""),"",IF(OR($C104="Target state",$C104="Exception"),"Out of scope",IF($D104="Low","No tranche",IF($E104="Low","Tranche 1",IF($E104="Medium","Tranche 2",IF($D104="High","Tranche 3","No tranche"))))))</f>
        <v/>
      </c>
      <c r="J104" s="53" t="inlineStr">
        <is>
          <t>Medium</t>
        </is>
      </c>
      <c r="K104" s="54">
        <f>"Tranche 1"&amp;CHAR(10)&amp;_xlfn.TEXTJOIN(CHAR(10),TRUE,R$101:R$110)</f>
        <v/>
      </c>
      <c r="L104" s="55">
        <f>"Tranche 2"&amp;CHAR(10)&amp;_xlfn.TEXTJOIN(CHAR(10),TRUE,S$101:S$110)</f>
        <v/>
      </c>
      <c r="M104" s="59">
        <f>_xlfn.TEXTJOIN(CHAR(10),TRUE,T$101:T$110)</f>
        <v/>
      </c>
      <c r="O104">
        <f>IF(AND($B104&lt;&gt;"",$C104&lt;&gt;"Target state",$C104&lt;&gt;"Exception",$D104="High",$E104="Low"),$A104&amp;"  "&amp;$B104,"")</f>
        <v/>
      </c>
      <c r="P104">
        <f>IF(AND($B104&lt;&gt;"",$C104&lt;&gt;"Target state",$C104&lt;&gt;"Exception",$D104="High",$E104="Medium"),$A104&amp;"  "&amp;$B104,"")</f>
        <v/>
      </c>
      <c r="Q104">
        <f>IF(AND($B104&lt;&gt;"",$C104&lt;&gt;"Target state",$C104&lt;&gt;"Exception",$D104="High",$E104="High"),$A104&amp;"  "&amp;$B104,"")</f>
        <v/>
      </c>
      <c r="R104">
        <f>IF(AND($B104&lt;&gt;"",$C104&lt;&gt;"Target state",$C104&lt;&gt;"Exception",$D104="Medium",$E104="Low"),$A104&amp;"  "&amp;$B104,"")</f>
        <v/>
      </c>
      <c r="S104">
        <f>IF(AND($B104&lt;&gt;"",$C104&lt;&gt;"Target state",$C104&lt;&gt;"Exception",$D104="Medium",$E104="Medium"),$A104&amp;"  "&amp;$B104,"")</f>
        <v/>
      </c>
      <c r="T104">
        <f>IF(AND($B104&lt;&gt;"",$C104&lt;&gt;"Target state",$C104&lt;&gt;"Exception",$D104="Medium",$E104="High"),$A104&amp;"  "&amp;$B104,"")</f>
        <v/>
      </c>
      <c r="U104">
        <f>IF(AND($B104&lt;&gt;"",$C104&lt;&gt;"Target state",$C104&lt;&gt;"Exception",$D104="Low",$E104="Low"),$A104&amp;"  "&amp;$B104,"")</f>
        <v/>
      </c>
      <c r="V104">
        <f>IF(AND($B104&lt;&gt;"",$C104&lt;&gt;"Target state",$C104&lt;&gt;"Exception",$D104="Low",$E104="Medium"),$A104&amp;"  "&amp;$B104,"")</f>
        <v/>
      </c>
      <c r="W104">
        <f>IF(AND($B104&lt;&gt;"",$C104&lt;&gt;"Target state",$C104&lt;&gt;"Exception",$D104="Low",$E104="High"),$A104&amp;"  "&amp;$B104,"")</f>
        <v/>
      </c>
    </row>
    <row r="105" ht="20" customHeight="1">
      <c r="A105" s="49" t="inlineStr">
        <is>
          <t>⑤</t>
        </is>
      </c>
      <c r="B105" s="50" t="n"/>
      <c r="C105" s="33" t="n"/>
      <c r="D105" s="33" t="n"/>
      <c r="E105" s="33" t="n"/>
      <c r="F105" s="32" t="n"/>
      <c r="G105" s="51">
        <f>IF(OR($B105="",$D105="",$E105=""),"",IF(OR($C105="Target state",$C105="Exception"),"Out of scope",IF($D105="Low","No tranche",IF($E105="Low","Tranche 1",IF($E105="Medium","Tranche 2",IF($D105="High","Tranche 3","No tranche"))))))</f>
        <v/>
      </c>
      <c r="K105" s="57" t="n"/>
      <c r="L105" s="57" t="n"/>
      <c r="M105" s="57" t="n"/>
      <c r="O105">
        <f>IF(AND($B105&lt;&gt;"",$C105&lt;&gt;"Target state",$C105&lt;&gt;"Exception",$D105="High",$E105="Low"),$A105&amp;"  "&amp;$B105,"")</f>
        <v/>
      </c>
      <c r="P105">
        <f>IF(AND($B105&lt;&gt;"",$C105&lt;&gt;"Target state",$C105&lt;&gt;"Exception",$D105="High",$E105="Medium"),$A105&amp;"  "&amp;$B105,"")</f>
        <v/>
      </c>
      <c r="Q105">
        <f>IF(AND($B105&lt;&gt;"",$C105&lt;&gt;"Target state",$C105&lt;&gt;"Exception",$D105="High",$E105="High"),$A105&amp;"  "&amp;$B105,"")</f>
        <v/>
      </c>
      <c r="R105">
        <f>IF(AND($B105&lt;&gt;"",$C105&lt;&gt;"Target state",$C105&lt;&gt;"Exception",$D105="Medium",$E105="Low"),$A105&amp;"  "&amp;$B105,"")</f>
        <v/>
      </c>
      <c r="S105">
        <f>IF(AND($B105&lt;&gt;"",$C105&lt;&gt;"Target state",$C105&lt;&gt;"Exception",$D105="Medium",$E105="Medium"),$A105&amp;"  "&amp;$B105,"")</f>
        <v/>
      </c>
      <c r="T105">
        <f>IF(AND($B105&lt;&gt;"",$C105&lt;&gt;"Target state",$C105&lt;&gt;"Exception",$D105="Medium",$E105="High"),$A105&amp;"  "&amp;$B105,"")</f>
        <v/>
      </c>
      <c r="U105">
        <f>IF(AND($B105&lt;&gt;"",$C105&lt;&gt;"Target state",$C105&lt;&gt;"Exception",$D105="Low",$E105="Low"),$A105&amp;"  "&amp;$B105,"")</f>
        <v/>
      </c>
      <c r="V105">
        <f>IF(AND($B105&lt;&gt;"",$C105&lt;&gt;"Target state",$C105&lt;&gt;"Exception",$D105="Low",$E105="Medium"),$A105&amp;"  "&amp;$B105,"")</f>
        <v/>
      </c>
      <c r="W105">
        <f>IF(AND($B105&lt;&gt;"",$C105&lt;&gt;"Target state",$C105&lt;&gt;"Exception",$D105="Low",$E105="High"),$A105&amp;"  "&amp;$B105,"")</f>
        <v/>
      </c>
    </row>
    <row r="106" ht="20" customHeight="1">
      <c r="A106" s="49" t="inlineStr">
        <is>
          <t>⑥</t>
        </is>
      </c>
      <c r="B106" s="50" t="n"/>
      <c r="C106" s="33" t="n"/>
      <c r="D106" s="33" t="n"/>
      <c r="E106" s="33" t="n"/>
      <c r="F106" s="32" t="n"/>
      <c r="G106" s="51">
        <f>IF(OR($B106="",$D106="",$E106=""),"",IF(OR($C106="Target state",$C106="Exception"),"Out of scope",IF($D106="Low","No tranche",IF($E106="Low","Tranche 1",IF($E106="Medium","Tranche 2",IF($D106="High","Tranche 3","No tranche"))))))</f>
        <v/>
      </c>
      <c r="K106" s="58" t="n"/>
      <c r="L106" s="58" t="n"/>
      <c r="M106" s="58" t="n"/>
      <c r="O106">
        <f>IF(AND($B106&lt;&gt;"",$C106&lt;&gt;"Target state",$C106&lt;&gt;"Exception",$D106="High",$E106="Low"),$A106&amp;"  "&amp;$B106,"")</f>
        <v/>
      </c>
      <c r="P106">
        <f>IF(AND($B106&lt;&gt;"",$C106&lt;&gt;"Target state",$C106&lt;&gt;"Exception",$D106="High",$E106="Medium"),$A106&amp;"  "&amp;$B106,"")</f>
        <v/>
      </c>
      <c r="Q106">
        <f>IF(AND($B106&lt;&gt;"",$C106&lt;&gt;"Target state",$C106&lt;&gt;"Exception",$D106="High",$E106="High"),$A106&amp;"  "&amp;$B106,"")</f>
        <v/>
      </c>
      <c r="R106">
        <f>IF(AND($B106&lt;&gt;"",$C106&lt;&gt;"Target state",$C106&lt;&gt;"Exception",$D106="Medium",$E106="Low"),$A106&amp;"  "&amp;$B106,"")</f>
        <v/>
      </c>
      <c r="S106">
        <f>IF(AND($B106&lt;&gt;"",$C106&lt;&gt;"Target state",$C106&lt;&gt;"Exception",$D106="Medium",$E106="Medium"),$A106&amp;"  "&amp;$B106,"")</f>
        <v/>
      </c>
      <c r="T106">
        <f>IF(AND($B106&lt;&gt;"",$C106&lt;&gt;"Target state",$C106&lt;&gt;"Exception",$D106="Medium",$E106="High"),$A106&amp;"  "&amp;$B106,"")</f>
        <v/>
      </c>
      <c r="U106">
        <f>IF(AND($B106&lt;&gt;"",$C106&lt;&gt;"Target state",$C106&lt;&gt;"Exception",$D106="Low",$E106="Low"),$A106&amp;"  "&amp;$B106,"")</f>
        <v/>
      </c>
      <c r="V106">
        <f>IF(AND($B106&lt;&gt;"",$C106&lt;&gt;"Target state",$C106&lt;&gt;"Exception",$D106="Low",$E106="Medium"),$A106&amp;"  "&amp;$B106,"")</f>
        <v/>
      </c>
      <c r="W106">
        <f>IF(AND($B106&lt;&gt;"",$C106&lt;&gt;"Target state",$C106&lt;&gt;"Exception",$D106="Low",$E106="High"),$A106&amp;"  "&amp;$B106,"")</f>
        <v/>
      </c>
    </row>
    <row r="107" ht="20" customHeight="1">
      <c r="A107" s="49" t="inlineStr">
        <is>
          <t>⑦</t>
        </is>
      </c>
      <c r="B107" s="50" t="n"/>
      <c r="C107" s="33" t="n"/>
      <c r="D107" s="33" t="n"/>
      <c r="E107" s="33" t="n"/>
      <c r="F107" s="32" t="n"/>
      <c r="G107" s="51">
        <f>IF(OR($B107="",$D107="",$E107=""),"",IF(OR($C107="Target state",$C107="Exception"),"Out of scope",IF($D107="Low","No tranche",IF($E107="Low","Tranche 1",IF($E107="Medium","Tranche 2",IF($D107="High","Tranche 3","No tranche"))))))</f>
        <v/>
      </c>
      <c r="J107" s="53" t="inlineStr">
        <is>
          <t>Low</t>
        </is>
      </c>
      <c r="K107" s="59">
        <f>_xlfn.TEXTJOIN(CHAR(10),TRUE,U$101:U$110)</f>
        <v/>
      </c>
      <c r="L107" s="59">
        <f>_xlfn.TEXTJOIN(CHAR(10),TRUE,V$101:V$110)</f>
        <v/>
      </c>
      <c r="M107" s="59">
        <f>_xlfn.TEXTJOIN(CHAR(10),TRUE,W$101:W$110)</f>
        <v/>
      </c>
      <c r="O107">
        <f>IF(AND($B107&lt;&gt;"",$C107&lt;&gt;"Target state",$C107&lt;&gt;"Exception",$D107="High",$E107="Low"),$A107&amp;"  "&amp;$B107,"")</f>
        <v/>
      </c>
      <c r="P107">
        <f>IF(AND($B107&lt;&gt;"",$C107&lt;&gt;"Target state",$C107&lt;&gt;"Exception",$D107="High",$E107="Medium"),$A107&amp;"  "&amp;$B107,"")</f>
        <v/>
      </c>
      <c r="Q107">
        <f>IF(AND($B107&lt;&gt;"",$C107&lt;&gt;"Target state",$C107&lt;&gt;"Exception",$D107="High",$E107="High"),$A107&amp;"  "&amp;$B107,"")</f>
        <v/>
      </c>
      <c r="R107">
        <f>IF(AND($B107&lt;&gt;"",$C107&lt;&gt;"Target state",$C107&lt;&gt;"Exception",$D107="Medium",$E107="Low"),$A107&amp;"  "&amp;$B107,"")</f>
        <v/>
      </c>
      <c r="S107">
        <f>IF(AND($B107&lt;&gt;"",$C107&lt;&gt;"Target state",$C107&lt;&gt;"Exception",$D107="Medium",$E107="Medium"),$A107&amp;"  "&amp;$B107,"")</f>
        <v/>
      </c>
      <c r="T107">
        <f>IF(AND($B107&lt;&gt;"",$C107&lt;&gt;"Target state",$C107&lt;&gt;"Exception",$D107="Medium",$E107="High"),$A107&amp;"  "&amp;$B107,"")</f>
        <v/>
      </c>
      <c r="U107">
        <f>IF(AND($B107&lt;&gt;"",$C107&lt;&gt;"Target state",$C107&lt;&gt;"Exception",$D107="Low",$E107="Low"),$A107&amp;"  "&amp;$B107,"")</f>
        <v/>
      </c>
      <c r="V107">
        <f>IF(AND($B107&lt;&gt;"",$C107&lt;&gt;"Target state",$C107&lt;&gt;"Exception",$D107="Low",$E107="Medium"),$A107&amp;"  "&amp;$B107,"")</f>
        <v/>
      </c>
      <c r="W107">
        <f>IF(AND($B107&lt;&gt;"",$C107&lt;&gt;"Target state",$C107&lt;&gt;"Exception",$D107="Low",$E107="High"),$A107&amp;"  "&amp;$B107,"")</f>
        <v/>
      </c>
    </row>
    <row r="108" ht="20" customHeight="1">
      <c r="A108" s="49" t="inlineStr">
        <is>
          <t>⑧</t>
        </is>
      </c>
      <c r="B108" s="50" t="n"/>
      <c r="C108" s="33" t="n"/>
      <c r="D108" s="33" t="n"/>
      <c r="E108" s="33" t="n"/>
      <c r="F108" s="32" t="n"/>
      <c r="G108" s="51">
        <f>IF(OR($B108="",$D108="",$E108=""),"",IF(OR($C108="Target state",$C108="Exception"),"Out of scope",IF($D108="Low","No tranche",IF($E108="Low","Tranche 1",IF($E108="Medium","Tranche 2",IF($D108="High","Tranche 3","No tranche"))))))</f>
        <v/>
      </c>
      <c r="K108" s="57" t="n"/>
      <c r="L108" s="57" t="n"/>
      <c r="M108" s="57" t="n"/>
      <c r="O108">
        <f>IF(AND($B108&lt;&gt;"",$C108&lt;&gt;"Target state",$C108&lt;&gt;"Exception",$D108="High",$E108="Low"),$A108&amp;"  "&amp;$B108,"")</f>
        <v/>
      </c>
      <c r="P108">
        <f>IF(AND($B108&lt;&gt;"",$C108&lt;&gt;"Target state",$C108&lt;&gt;"Exception",$D108="High",$E108="Medium"),$A108&amp;"  "&amp;$B108,"")</f>
        <v/>
      </c>
      <c r="Q108">
        <f>IF(AND($B108&lt;&gt;"",$C108&lt;&gt;"Target state",$C108&lt;&gt;"Exception",$D108="High",$E108="High"),$A108&amp;"  "&amp;$B108,"")</f>
        <v/>
      </c>
      <c r="R108">
        <f>IF(AND($B108&lt;&gt;"",$C108&lt;&gt;"Target state",$C108&lt;&gt;"Exception",$D108="Medium",$E108="Low"),$A108&amp;"  "&amp;$B108,"")</f>
        <v/>
      </c>
      <c r="S108">
        <f>IF(AND($B108&lt;&gt;"",$C108&lt;&gt;"Target state",$C108&lt;&gt;"Exception",$D108="Medium",$E108="Medium"),$A108&amp;"  "&amp;$B108,"")</f>
        <v/>
      </c>
      <c r="T108">
        <f>IF(AND($B108&lt;&gt;"",$C108&lt;&gt;"Target state",$C108&lt;&gt;"Exception",$D108="Medium",$E108="High"),$A108&amp;"  "&amp;$B108,"")</f>
        <v/>
      </c>
      <c r="U108">
        <f>IF(AND($B108&lt;&gt;"",$C108&lt;&gt;"Target state",$C108&lt;&gt;"Exception",$D108="Low",$E108="Low"),$A108&amp;"  "&amp;$B108,"")</f>
        <v/>
      </c>
      <c r="V108">
        <f>IF(AND($B108&lt;&gt;"",$C108&lt;&gt;"Target state",$C108&lt;&gt;"Exception",$D108="Low",$E108="Medium"),$A108&amp;"  "&amp;$B108,"")</f>
        <v/>
      </c>
      <c r="W108">
        <f>IF(AND($B108&lt;&gt;"",$C108&lt;&gt;"Target state",$C108&lt;&gt;"Exception",$D108="Low",$E108="High"),$A108&amp;"  "&amp;$B108,"")</f>
        <v/>
      </c>
    </row>
    <row r="109" ht="20" customHeight="1">
      <c r="A109" s="49" t="inlineStr">
        <is>
          <t>⑨</t>
        </is>
      </c>
      <c r="B109" s="50" t="n"/>
      <c r="C109" s="33" t="n"/>
      <c r="D109" s="33" t="n"/>
      <c r="E109" s="33" t="n"/>
      <c r="F109" s="32" t="n"/>
      <c r="G109" s="51">
        <f>IF(OR($B109="",$D109="",$E109=""),"",IF(OR($C109="Target state",$C109="Exception"),"Out of scope",IF($D109="Low","No tranche",IF($E109="Low","Tranche 1",IF($E109="Medium","Tranche 2",IF($D109="High","Tranche 3","No tranche"))))))</f>
        <v/>
      </c>
      <c r="K109" s="58" t="n"/>
      <c r="L109" s="58" t="n"/>
      <c r="M109" s="58" t="n"/>
      <c r="O109">
        <f>IF(AND($B109&lt;&gt;"",$C109&lt;&gt;"Target state",$C109&lt;&gt;"Exception",$D109="High",$E109="Low"),$A109&amp;"  "&amp;$B109,"")</f>
        <v/>
      </c>
      <c r="P109">
        <f>IF(AND($B109&lt;&gt;"",$C109&lt;&gt;"Target state",$C109&lt;&gt;"Exception",$D109="High",$E109="Medium"),$A109&amp;"  "&amp;$B109,"")</f>
        <v/>
      </c>
      <c r="Q109">
        <f>IF(AND($B109&lt;&gt;"",$C109&lt;&gt;"Target state",$C109&lt;&gt;"Exception",$D109="High",$E109="High"),$A109&amp;"  "&amp;$B109,"")</f>
        <v/>
      </c>
      <c r="R109">
        <f>IF(AND($B109&lt;&gt;"",$C109&lt;&gt;"Target state",$C109&lt;&gt;"Exception",$D109="Medium",$E109="Low"),$A109&amp;"  "&amp;$B109,"")</f>
        <v/>
      </c>
      <c r="S109">
        <f>IF(AND($B109&lt;&gt;"",$C109&lt;&gt;"Target state",$C109&lt;&gt;"Exception",$D109="Medium",$E109="Medium"),$A109&amp;"  "&amp;$B109,"")</f>
        <v/>
      </c>
      <c r="T109">
        <f>IF(AND($B109&lt;&gt;"",$C109&lt;&gt;"Target state",$C109&lt;&gt;"Exception",$D109="Medium",$E109="High"),$A109&amp;"  "&amp;$B109,"")</f>
        <v/>
      </c>
      <c r="U109">
        <f>IF(AND($B109&lt;&gt;"",$C109&lt;&gt;"Target state",$C109&lt;&gt;"Exception",$D109="Low",$E109="Low"),$A109&amp;"  "&amp;$B109,"")</f>
        <v/>
      </c>
      <c r="V109">
        <f>IF(AND($B109&lt;&gt;"",$C109&lt;&gt;"Target state",$C109&lt;&gt;"Exception",$D109="Low",$E109="Medium"),$A109&amp;"  "&amp;$B109,"")</f>
        <v/>
      </c>
      <c r="W109">
        <f>IF(AND($B109&lt;&gt;"",$C109&lt;&gt;"Target state",$C109&lt;&gt;"Exception",$D109="Low",$E109="High"),$A109&amp;"  "&amp;$B109,"")</f>
        <v/>
      </c>
    </row>
    <row r="110" ht="20" customHeight="1">
      <c r="A110" s="49" t="inlineStr">
        <is>
          <t>⑩</t>
        </is>
      </c>
      <c r="B110" s="50" t="n"/>
      <c r="C110" s="33" t="n"/>
      <c r="D110" s="33" t="n"/>
      <c r="E110" s="33" t="n"/>
      <c r="F110" s="32" t="n"/>
      <c r="G110" s="51">
        <f>IF(OR($B110="",$D110="",$E110=""),"",IF(OR($C110="Target state",$C110="Exception"),"Out of scope",IF($D110="Low","No tranche",IF($E110="Low","Tranche 1",IF($E110="Medium","Tranche 2",IF($D110="High","Tranche 3","No tranche"))))))</f>
        <v/>
      </c>
      <c r="K110" s="53" t="inlineStr">
        <is>
          <t>Complexity</t>
        </is>
      </c>
      <c r="O110">
        <f>IF(AND($B110&lt;&gt;"",$C110&lt;&gt;"Target state",$C110&lt;&gt;"Exception",$D110="High",$E110="Low"),$A110&amp;"  "&amp;$B110,"")</f>
        <v/>
      </c>
      <c r="P110">
        <f>IF(AND($B110&lt;&gt;"",$C110&lt;&gt;"Target state",$C110&lt;&gt;"Exception",$D110="High",$E110="Medium"),$A110&amp;"  "&amp;$B110,"")</f>
        <v/>
      </c>
      <c r="Q110">
        <f>IF(AND($B110&lt;&gt;"",$C110&lt;&gt;"Target state",$C110&lt;&gt;"Exception",$D110="High",$E110="High"),$A110&amp;"  "&amp;$B110,"")</f>
        <v/>
      </c>
      <c r="R110">
        <f>IF(AND($B110&lt;&gt;"",$C110&lt;&gt;"Target state",$C110&lt;&gt;"Exception",$D110="Medium",$E110="Low"),$A110&amp;"  "&amp;$B110,"")</f>
        <v/>
      </c>
      <c r="S110">
        <f>IF(AND($B110&lt;&gt;"",$C110&lt;&gt;"Target state",$C110&lt;&gt;"Exception",$D110="Medium",$E110="Medium"),$A110&amp;"  "&amp;$B110,"")</f>
        <v/>
      </c>
      <c r="T110">
        <f>IF(AND($B110&lt;&gt;"",$C110&lt;&gt;"Target state",$C110&lt;&gt;"Exception",$D110="Medium",$E110="High"),$A110&amp;"  "&amp;$B110,"")</f>
        <v/>
      </c>
      <c r="U110">
        <f>IF(AND($B110&lt;&gt;"",$C110&lt;&gt;"Target state",$C110&lt;&gt;"Exception",$D110="Low",$E110="Low"),$A110&amp;"  "&amp;$B110,"")</f>
        <v/>
      </c>
      <c r="V110">
        <f>IF(AND($B110&lt;&gt;"",$C110&lt;&gt;"Target state",$C110&lt;&gt;"Exception",$D110="Low",$E110="Medium"),$A110&amp;"  "&amp;$B110,"")</f>
        <v/>
      </c>
      <c r="W110">
        <f>IF(AND($B110&lt;&gt;"",$C110&lt;&gt;"Target state",$C110&lt;&gt;"Exception",$D110="Low",$E110="High"),$A110&amp;"  "&amp;$B110,"")</f>
        <v/>
      </c>
    </row>
    <row r="113" ht="22" customHeight="1">
      <c r="A113" s="44" t="inlineStr">
        <is>
          <t>3DS / exemptions</t>
        </is>
      </c>
      <c r="G113" s="45">
        <f>HYPERLINK("#'VAS'!A4","▲ tracker")</f>
        <v/>
      </c>
      <c r="K113" s="46" t="inlineStr">
        <is>
          <t>Assessment Outcome</t>
        </is>
      </c>
    </row>
    <row r="114" ht="26" customHeight="1">
      <c r="A114" s="47" t="inlineStr">
        <is>
          <t>#</t>
        </is>
      </c>
      <c r="B114" s="47" t="inlineStr">
        <is>
          <t>Platform</t>
        </is>
      </c>
      <c r="C114" s="47" t="inlineStr">
        <is>
          <t>State</t>
        </is>
      </c>
      <c r="D114" s="47" t="inlineStr">
        <is>
          <t>Imperative to exit (= Benefits)</t>
        </is>
      </c>
      <c r="E114" s="47" t="inlineStr">
        <is>
          <t>Exit complexity</t>
        </is>
      </c>
      <c r="F114" s="47" t="inlineStr">
        <is>
          <t>Supporting facts</t>
        </is>
      </c>
      <c r="G114" s="47" t="inlineStr">
        <is>
          <t>Tranche (auto)</t>
        </is>
      </c>
      <c r="K114" s="48" t="inlineStr">
        <is>
          <t>Low</t>
        </is>
      </c>
      <c r="L114" s="48" t="inlineStr">
        <is>
          <t>Medium</t>
        </is>
      </c>
      <c r="M114" s="48" t="inlineStr">
        <is>
          <t>High</t>
        </is>
      </c>
    </row>
    <row r="115" ht="20" customHeight="1">
      <c r="A115" s="49" t="inlineStr">
        <is>
          <t>①</t>
        </is>
      </c>
      <c r="B115" s="50" t="n"/>
      <c r="C115" s="33" t="n"/>
      <c r="D115" s="33" t="n"/>
      <c r="E115" s="33" t="n"/>
      <c r="F115" s="32" t="n"/>
      <c r="G115" s="51">
        <f>IF(OR($B115="",$D115="",$E115=""),"",IF(OR($C115="Target state",$C115="Exception"),"Out of scope",IF($D115="Low","No tranche",IF($E115="Low","Tranche 1",IF($E115="Medium","Tranche 2",IF($D115="High","Tranche 3","No tranche"))))))</f>
        <v/>
      </c>
      <c r="I115" s="52" t="inlineStr">
        <is>
          <t>Benefits (= Imperative to exit)</t>
        </is>
      </c>
      <c r="J115" s="53" t="inlineStr">
        <is>
          <t>High</t>
        </is>
      </c>
      <c r="K115" s="54">
        <f>"Tranche 1"&amp;CHAR(10)&amp;_xlfn.TEXTJOIN(CHAR(10),TRUE,O$115:O$124)</f>
        <v/>
      </c>
      <c r="L115" s="55">
        <f>"Tranche 2"&amp;CHAR(10)&amp;_xlfn.TEXTJOIN(CHAR(10),TRUE,P$115:P$124)</f>
        <v/>
      </c>
      <c r="M115" s="56">
        <f>"Tranche 3"&amp;CHAR(10)&amp;_xlfn.TEXTJOIN(CHAR(10),TRUE,Q$115:Q$124)</f>
        <v/>
      </c>
      <c r="O115">
        <f>IF(AND($B115&lt;&gt;"",$C115&lt;&gt;"Target state",$C115&lt;&gt;"Exception",$D115="High",$E115="Low"),$A115&amp;"  "&amp;$B115,"")</f>
        <v/>
      </c>
      <c r="P115">
        <f>IF(AND($B115&lt;&gt;"",$C115&lt;&gt;"Target state",$C115&lt;&gt;"Exception",$D115="High",$E115="Medium"),$A115&amp;"  "&amp;$B115,"")</f>
        <v/>
      </c>
      <c r="Q115">
        <f>IF(AND($B115&lt;&gt;"",$C115&lt;&gt;"Target state",$C115&lt;&gt;"Exception",$D115="High",$E115="High"),$A115&amp;"  "&amp;$B115,"")</f>
        <v/>
      </c>
      <c r="R115">
        <f>IF(AND($B115&lt;&gt;"",$C115&lt;&gt;"Target state",$C115&lt;&gt;"Exception",$D115="Medium",$E115="Low"),$A115&amp;"  "&amp;$B115,"")</f>
        <v/>
      </c>
      <c r="S115">
        <f>IF(AND($B115&lt;&gt;"",$C115&lt;&gt;"Target state",$C115&lt;&gt;"Exception",$D115="Medium",$E115="Medium"),$A115&amp;"  "&amp;$B115,"")</f>
        <v/>
      </c>
      <c r="T115">
        <f>IF(AND($B115&lt;&gt;"",$C115&lt;&gt;"Target state",$C115&lt;&gt;"Exception",$D115="Medium",$E115="High"),$A115&amp;"  "&amp;$B115,"")</f>
        <v/>
      </c>
      <c r="U115">
        <f>IF(AND($B115&lt;&gt;"",$C115&lt;&gt;"Target state",$C115&lt;&gt;"Exception",$D115="Low",$E115="Low"),$A115&amp;"  "&amp;$B115,"")</f>
        <v/>
      </c>
      <c r="V115">
        <f>IF(AND($B115&lt;&gt;"",$C115&lt;&gt;"Target state",$C115&lt;&gt;"Exception",$D115="Low",$E115="Medium"),$A115&amp;"  "&amp;$B115,"")</f>
        <v/>
      </c>
      <c r="W115">
        <f>IF(AND($B115&lt;&gt;"",$C115&lt;&gt;"Target state",$C115&lt;&gt;"Exception",$D115="Low",$E115="High"),$A115&amp;"  "&amp;$B115,"")</f>
        <v/>
      </c>
    </row>
    <row r="116" ht="20" customHeight="1">
      <c r="A116" s="49" t="inlineStr">
        <is>
          <t>②</t>
        </is>
      </c>
      <c r="B116" s="50" t="n"/>
      <c r="C116" s="33" t="n"/>
      <c r="D116" s="33" t="n"/>
      <c r="E116" s="33" t="n"/>
      <c r="F116" s="32" t="n"/>
      <c r="G116" s="51">
        <f>IF(OR($B116="",$D116="",$E116=""),"",IF(OR($C116="Target state",$C116="Exception"),"Out of scope",IF($D116="Low","No tranche",IF($E116="Low","Tranche 1",IF($E116="Medium","Tranche 2",IF($D116="High","Tranche 3","No tranche"))))))</f>
        <v/>
      </c>
      <c r="K116" s="57" t="n"/>
      <c r="L116" s="57" t="n"/>
      <c r="M116" s="57" t="n"/>
      <c r="O116">
        <f>IF(AND($B116&lt;&gt;"",$C116&lt;&gt;"Target state",$C116&lt;&gt;"Exception",$D116="High",$E116="Low"),$A116&amp;"  "&amp;$B116,"")</f>
        <v/>
      </c>
      <c r="P116">
        <f>IF(AND($B116&lt;&gt;"",$C116&lt;&gt;"Target state",$C116&lt;&gt;"Exception",$D116="High",$E116="Medium"),$A116&amp;"  "&amp;$B116,"")</f>
        <v/>
      </c>
      <c r="Q116">
        <f>IF(AND($B116&lt;&gt;"",$C116&lt;&gt;"Target state",$C116&lt;&gt;"Exception",$D116="High",$E116="High"),$A116&amp;"  "&amp;$B116,"")</f>
        <v/>
      </c>
      <c r="R116">
        <f>IF(AND($B116&lt;&gt;"",$C116&lt;&gt;"Target state",$C116&lt;&gt;"Exception",$D116="Medium",$E116="Low"),$A116&amp;"  "&amp;$B116,"")</f>
        <v/>
      </c>
      <c r="S116">
        <f>IF(AND($B116&lt;&gt;"",$C116&lt;&gt;"Target state",$C116&lt;&gt;"Exception",$D116="Medium",$E116="Medium"),$A116&amp;"  "&amp;$B116,"")</f>
        <v/>
      </c>
      <c r="T116">
        <f>IF(AND($B116&lt;&gt;"",$C116&lt;&gt;"Target state",$C116&lt;&gt;"Exception",$D116="Medium",$E116="High"),$A116&amp;"  "&amp;$B116,"")</f>
        <v/>
      </c>
      <c r="U116">
        <f>IF(AND($B116&lt;&gt;"",$C116&lt;&gt;"Target state",$C116&lt;&gt;"Exception",$D116="Low",$E116="Low"),$A116&amp;"  "&amp;$B116,"")</f>
        <v/>
      </c>
      <c r="V116">
        <f>IF(AND($B116&lt;&gt;"",$C116&lt;&gt;"Target state",$C116&lt;&gt;"Exception",$D116="Low",$E116="Medium"),$A116&amp;"  "&amp;$B116,"")</f>
        <v/>
      </c>
      <c r="W116">
        <f>IF(AND($B116&lt;&gt;"",$C116&lt;&gt;"Target state",$C116&lt;&gt;"Exception",$D116="Low",$E116="High"),$A116&amp;"  "&amp;$B116,"")</f>
        <v/>
      </c>
    </row>
    <row r="117" ht="20" customHeight="1">
      <c r="A117" s="49" t="inlineStr">
        <is>
          <t>③</t>
        </is>
      </c>
      <c r="B117" s="50" t="n"/>
      <c r="C117" s="33" t="n"/>
      <c r="D117" s="33" t="n"/>
      <c r="E117" s="33" t="n"/>
      <c r="F117" s="32" t="n"/>
      <c r="G117" s="51">
        <f>IF(OR($B117="",$D117="",$E117=""),"",IF(OR($C117="Target state",$C117="Exception"),"Out of scope",IF($D117="Low","No tranche",IF($E117="Low","Tranche 1",IF($E117="Medium","Tranche 2",IF($D117="High","Tranche 3","No tranche"))))))</f>
        <v/>
      </c>
      <c r="K117" s="58" t="n"/>
      <c r="L117" s="58" t="n"/>
      <c r="M117" s="58" t="n"/>
      <c r="O117">
        <f>IF(AND($B117&lt;&gt;"",$C117&lt;&gt;"Target state",$C117&lt;&gt;"Exception",$D117="High",$E117="Low"),$A117&amp;"  "&amp;$B117,"")</f>
        <v/>
      </c>
      <c r="P117">
        <f>IF(AND($B117&lt;&gt;"",$C117&lt;&gt;"Target state",$C117&lt;&gt;"Exception",$D117="High",$E117="Medium"),$A117&amp;"  "&amp;$B117,"")</f>
        <v/>
      </c>
      <c r="Q117">
        <f>IF(AND($B117&lt;&gt;"",$C117&lt;&gt;"Target state",$C117&lt;&gt;"Exception",$D117="High",$E117="High"),$A117&amp;"  "&amp;$B117,"")</f>
        <v/>
      </c>
      <c r="R117">
        <f>IF(AND($B117&lt;&gt;"",$C117&lt;&gt;"Target state",$C117&lt;&gt;"Exception",$D117="Medium",$E117="Low"),$A117&amp;"  "&amp;$B117,"")</f>
        <v/>
      </c>
      <c r="S117">
        <f>IF(AND($B117&lt;&gt;"",$C117&lt;&gt;"Target state",$C117&lt;&gt;"Exception",$D117="Medium",$E117="Medium"),$A117&amp;"  "&amp;$B117,"")</f>
        <v/>
      </c>
      <c r="T117">
        <f>IF(AND($B117&lt;&gt;"",$C117&lt;&gt;"Target state",$C117&lt;&gt;"Exception",$D117="Medium",$E117="High"),$A117&amp;"  "&amp;$B117,"")</f>
        <v/>
      </c>
      <c r="U117">
        <f>IF(AND($B117&lt;&gt;"",$C117&lt;&gt;"Target state",$C117&lt;&gt;"Exception",$D117="Low",$E117="Low"),$A117&amp;"  "&amp;$B117,"")</f>
        <v/>
      </c>
      <c r="V117">
        <f>IF(AND($B117&lt;&gt;"",$C117&lt;&gt;"Target state",$C117&lt;&gt;"Exception",$D117="Low",$E117="Medium"),$A117&amp;"  "&amp;$B117,"")</f>
        <v/>
      </c>
      <c r="W117">
        <f>IF(AND($B117&lt;&gt;"",$C117&lt;&gt;"Target state",$C117&lt;&gt;"Exception",$D117="Low",$E117="High"),$A117&amp;"  "&amp;$B117,"")</f>
        <v/>
      </c>
    </row>
    <row r="118" ht="20" customHeight="1">
      <c r="A118" s="49" t="inlineStr">
        <is>
          <t>④</t>
        </is>
      </c>
      <c r="B118" s="50" t="n"/>
      <c r="C118" s="33" t="n"/>
      <c r="D118" s="33" t="n"/>
      <c r="E118" s="33" t="n"/>
      <c r="F118" s="32" t="n"/>
      <c r="G118" s="51">
        <f>IF(OR($B118="",$D118="",$E118=""),"",IF(OR($C118="Target state",$C118="Exception"),"Out of scope",IF($D118="Low","No tranche",IF($E118="Low","Tranche 1",IF($E118="Medium","Tranche 2",IF($D118="High","Tranche 3","No tranche"))))))</f>
        <v/>
      </c>
      <c r="J118" s="53" t="inlineStr">
        <is>
          <t>Medium</t>
        </is>
      </c>
      <c r="K118" s="54">
        <f>"Tranche 1"&amp;CHAR(10)&amp;_xlfn.TEXTJOIN(CHAR(10),TRUE,R$115:R$124)</f>
        <v/>
      </c>
      <c r="L118" s="55">
        <f>"Tranche 2"&amp;CHAR(10)&amp;_xlfn.TEXTJOIN(CHAR(10),TRUE,S$115:S$124)</f>
        <v/>
      </c>
      <c r="M118" s="59">
        <f>_xlfn.TEXTJOIN(CHAR(10),TRUE,T$115:T$124)</f>
        <v/>
      </c>
      <c r="O118">
        <f>IF(AND($B118&lt;&gt;"",$C118&lt;&gt;"Target state",$C118&lt;&gt;"Exception",$D118="High",$E118="Low"),$A118&amp;"  "&amp;$B118,"")</f>
        <v/>
      </c>
      <c r="P118">
        <f>IF(AND($B118&lt;&gt;"",$C118&lt;&gt;"Target state",$C118&lt;&gt;"Exception",$D118="High",$E118="Medium"),$A118&amp;"  "&amp;$B118,"")</f>
        <v/>
      </c>
      <c r="Q118">
        <f>IF(AND($B118&lt;&gt;"",$C118&lt;&gt;"Target state",$C118&lt;&gt;"Exception",$D118="High",$E118="High"),$A118&amp;"  "&amp;$B118,"")</f>
        <v/>
      </c>
      <c r="R118">
        <f>IF(AND($B118&lt;&gt;"",$C118&lt;&gt;"Target state",$C118&lt;&gt;"Exception",$D118="Medium",$E118="Low"),$A118&amp;"  "&amp;$B118,"")</f>
        <v/>
      </c>
      <c r="S118">
        <f>IF(AND($B118&lt;&gt;"",$C118&lt;&gt;"Target state",$C118&lt;&gt;"Exception",$D118="Medium",$E118="Medium"),$A118&amp;"  "&amp;$B118,"")</f>
        <v/>
      </c>
      <c r="T118">
        <f>IF(AND($B118&lt;&gt;"",$C118&lt;&gt;"Target state",$C118&lt;&gt;"Exception",$D118="Medium",$E118="High"),$A118&amp;"  "&amp;$B118,"")</f>
        <v/>
      </c>
      <c r="U118">
        <f>IF(AND($B118&lt;&gt;"",$C118&lt;&gt;"Target state",$C118&lt;&gt;"Exception",$D118="Low",$E118="Low"),$A118&amp;"  "&amp;$B118,"")</f>
        <v/>
      </c>
      <c r="V118">
        <f>IF(AND($B118&lt;&gt;"",$C118&lt;&gt;"Target state",$C118&lt;&gt;"Exception",$D118="Low",$E118="Medium"),$A118&amp;"  "&amp;$B118,"")</f>
        <v/>
      </c>
      <c r="W118">
        <f>IF(AND($B118&lt;&gt;"",$C118&lt;&gt;"Target state",$C118&lt;&gt;"Exception",$D118="Low",$E118="High"),$A118&amp;"  "&amp;$B118,"")</f>
        <v/>
      </c>
    </row>
    <row r="119" ht="20" customHeight="1">
      <c r="A119" s="49" t="inlineStr">
        <is>
          <t>⑤</t>
        </is>
      </c>
      <c r="B119" s="50" t="n"/>
      <c r="C119" s="33" t="n"/>
      <c r="D119" s="33" t="n"/>
      <c r="E119" s="33" t="n"/>
      <c r="F119" s="32" t="n"/>
      <c r="G119" s="51">
        <f>IF(OR($B119="",$D119="",$E119=""),"",IF(OR($C119="Target state",$C119="Exception"),"Out of scope",IF($D119="Low","No tranche",IF($E119="Low","Tranche 1",IF($E119="Medium","Tranche 2",IF($D119="High","Tranche 3","No tranche"))))))</f>
        <v/>
      </c>
      <c r="K119" s="57" t="n"/>
      <c r="L119" s="57" t="n"/>
      <c r="M119" s="57" t="n"/>
      <c r="O119">
        <f>IF(AND($B119&lt;&gt;"",$C119&lt;&gt;"Target state",$C119&lt;&gt;"Exception",$D119="High",$E119="Low"),$A119&amp;"  "&amp;$B119,"")</f>
        <v/>
      </c>
      <c r="P119">
        <f>IF(AND($B119&lt;&gt;"",$C119&lt;&gt;"Target state",$C119&lt;&gt;"Exception",$D119="High",$E119="Medium"),$A119&amp;"  "&amp;$B119,"")</f>
        <v/>
      </c>
      <c r="Q119">
        <f>IF(AND($B119&lt;&gt;"",$C119&lt;&gt;"Target state",$C119&lt;&gt;"Exception",$D119="High",$E119="High"),$A119&amp;"  "&amp;$B119,"")</f>
        <v/>
      </c>
      <c r="R119">
        <f>IF(AND($B119&lt;&gt;"",$C119&lt;&gt;"Target state",$C119&lt;&gt;"Exception",$D119="Medium",$E119="Low"),$A119&amp;"  "&amp;$B119,"")</f>
        <v/>
      </c>
      <c r="S119">
        <f>IF(AND($B119&lt;&gt;"",$C119&lt;&gt;"Target state",$C119&lt;&gt;"Exception",$D119="Medium",$E119="Medium"),$A119&amp;"  "&amp;$B119,"")</f>
        <v/>
      </c>
      <c r="T119">
        <f>IF(AND($B119&lt;&gt;"",$C119&lt;&gt;"Target state",$C119&lt;&gt;"Exception",$D119="Medium",$E119="High"),$A119&amp;"  "&amp;$B119,"")</f>
        <v/>
      </c>
      <c r="U119">
        <f>IF(AND($B119&lt;&gt;"",$C119&lt;&gt;"Target state",$C119&lt;&gt;"Exception",$D119="Low",$E119="Low"),$A119&amp;"  "&amp;$B119,"")</f>
        <v/>
      </c>
      <c r="V119">
        <f>IF(AND($B119&lt;&gt;"",$C119&lt;&gt;"Target state",$C119&lt;&gt;"Exception",$D119="Low",$E119="Medium"),$A119&amp;"  "&amp;$B119,"")</f>
        <v/>
      </c>
      <c r="W119">
        <f>IF(AND($B119&lt;&gt;"",$C119&lt;&gt;"Target state",$C119&lt;&gt;"Exception",$D119="Low",$E119="High"),$A119&amp;"  "&amp;$B119,"")</f>
        <v/>
      </c>
    </row>
    <row r="120" ht="20" customHeight="1">
      <c r="A120" s="49" t="inlineStr">
        <is>
          <t>⑥</t>
        </is>
      </c>
      <c r="B120" s="50" t="n"/>
      <c r="C120" s="33" t="n"/>
      <c r="D120" s="33" t="n"/>
      <c r="E120" s="33" t="n"/>
      <c r="F120" s="32" t="n"/>
      <c r="G120" s="51">
        <f>IF(OR($B120="",$D120="",$E120=""),"",IF(OR($C120="Target state",$C120="Exception"),"Out of scope",IF($D120="Low","No tranche",IF($E120="Low","Tranche 1",IF($E120="Medium","Tranche 2",IF($D120="High","Tranche 3","No tranche"))))))</f>
        <v/>
      </c>
      <c r="K120" s="58" t="n"/>
      <c r="L120" s="58" t="n"/>
      <c r="M120" s="58" t="n"/>
      <c r="O120">
        <f>IF(AND($B120&lt;&gt;"",$C120&lt;&gt;"Target state",$C120&lt;&gt;"Exception",$D120="High",$E120="Low"),$A120&amp;"  "&amp;$B120,"")</f>
        <v/>
      </c>
      <c r="P120">
        <f>IF(AND($B120&lt;&gt;"",$C120&lt;&gt;"Target state",$C120&lt;&gt;"Exception",$D120="High",$E120="Medium"),$A120&amp;"  "&amp;$B120,"")</f>
        <v/>
      </c>
      <c r="Q120">
        <f>IF(AND($B120&lt;&gt;"",$C120&lt;&gt;"Target state",$C120&lt;&gt;"Exception",$D120="High",$E120="High"),$A120&amp;"  "&amp;$B120,"")</f>
        <v/>
      </c>
      <c r="R120">
        <f>IF(AND($B120&lt;&gt;"",$C120&lt;&gt;"Target state",$C120&lt;&gt;"Exception",$D120="Medium",$E120="Low"),$A120&amp;"  "&amp;$B120,"")</f>
        <v/>
      </c>
      <c r="S120">
        <f>IF(AND($B120&lt;&gt;"",$C120&lt;&gt;"Target state",$C120&lt;&gt;"Exception",$D120="Medium",$E120="Medium"),$A120&amp;"  "&amp;$B120,"")</f>
        <v/>
      </c>
      <c r="T120">
        <f>IF(AND($B120&lt;&gt;"",$C120&lt;&gt;"Target state",$C120&lt;&gt;"Exception",$D120="Medium",$E120="High"),$A120&amp;"  "&amp;$B120,"")</f>
        <v/>
      </c>
      <c r="U120">
        <f>IF(AND($B120&lt;&gt;"",$C120&lt;&gt;"Target state",$C120&lt;&gt;"Exception",$D120="Low",$E120="Low"),$A120&amp;"  "&amp;$B120,"")</f>
        <v/>
      </c>
      <c r="V120">
        <f>IF(AND($B120&lt;&gt;"",$C120&lt;&gt;"Target state",$C120&lt;&gt;"Exception",$D120="Low",$E120="Medium"),$A120&amp;"  "&amp;$B120,"")</f>
        <v/>
      </c>
      <c r="W120">
        <f>IF(AND($B120&lt;&gt;"",$C120&lt;&gt;"Target state",$C120&lt;&gt;"Exception",$D120="Low",$E120="High"),$A120&amp;"  "&amp;$B120,"")</f>
        <v/>
      </c>
    </row>
    <row r="121" ht="20" customHeight="1">
      <c r="A121" s="49" t="inlineStr">
        <is>
          <t>⑦</t>
        </is>
      </c>
      <c r="B121" s="50" t="n"/>
      <c r="C121" s="33" t="n"/>
      <c r="D121" s="33" t="n"/>
      <c r="E121" s="33" t="n"/>
      <c r="F121" s="32" t="n"/>
      <c r="G121" s="51">
        <f>IF(OR($B121="",$D121="",$E121=""),"",IF(OR($C121="Target state",$C121="Exception"),"Out of scope",IF($D121="Low","No tranche",IF($E121="Low","Tranche 1",IF($E121="Medium","Tranche 2",IF($D121="High","Tranche 3","No tranche"))))))</f>
        <v/>
      </c>
      <c r="J121" s="53" t="inlineStr">
        <is>
          <t>Low</t>
        </is>
      </c>
      <c r="K121" s="59">
        <f>_xlfn.TEXTJOIN(CHAR(10),TRUE,U$115:U$124)</f>
        <v/>
      </c>
      <c r="L121" s="59">
        <f>_xlfn.TEXTJOIN(CHAR(10),TRUE,V$115:V$124)</f>
        <v/>
      </c>
      <c r="M121" s="59">
        <f>_xlfn.TEXTJOIN(CHAR(10),TRUE,W$115:W$124)</f>
        <v/>
      </c>
      <c r="O121">
        <f>IF(AND($B121&lt;&gt;"",$C121&lt;&gt;"Target state",$C121&lt;&gt;"Exception",$D121="High",$E121="Low"),$A121&amp;"  "&amp;$B121,"")</f>
        <v/>
      </c>
      <c r="P121">
        <f>IF(AND($B121&lt;&gt;"",$C121&lt;&gt;"Target state",$C121&lt;&gt;"Exception",$D121="High",$E121="Medium"),$A121&amp;"  "&amp;$B121,"")</f>
        <v/>
      </c>
      <c r="Q121">
        <f>IF(AND($B121&lt;&gt;"",$C121&lt;&gt;"Target state",$C121&lt;&gt;"Exception",$D121="High",$E121="High"),$A121&amp;"  "&amp;$B121,"")</f>
        <v/>
      </c>
      <c r="R121">
        <f>IF(AND($B121&lt;&gt;"",$C121&lt;&gt;"Target state",$C121&lt;&gt;"Exception",$D121="Medium",$E121="Low"),$A121&amp;"  "&amp;$B121,"")</f>
        <v/>
      </c>
      <c r="S121">
        <f>IF(AND($B121&lt;&gt;"",$C121&lt;&gt;"Target state",$C121&lt;&gt;"Exception",$D121="Medium",$E121="Medium"),$A121&amp;"  "&amp;$B121,"")</f>
        <v/>
      </c>
      <c r="T121">
        <f>IF(AND($B121&lt;&gt;"",$C121&lt;&gt;"Target state",$C121&lt;&gt;"Exception",$D121="Medium",$E121="High"),$A121&amp;"  "&amp;$B121,"")</f>
        <v/>
      </c>
      <c r="U121">
        <f>IF(AND($B121&lt;&gt;"",$C121&lt;&gt;"Target state",$C121&lt;&gt;"Exception",$D121="Low",$E121="Low"),$A121&amp;"  "&amp;$B121,"")</f>
        <v/>
      </c>
      <c r="V121">
        <f>IF(AND($B121&lt;&gt;"",$C121&lt;&gt;"Target state",$C121&lt;&gt;"Exception",$D121="Low",$E121="Medium"),$A121&amp;"  "&amp;$B121,"")</f>
        <v/>
      </c>
      <c r="W121">
        <f>IF(AND($B121&lt;&gt;"",$C121&lt;&gt;"Target state",$C121&lt;&gt;"Exception",$D121="Low",$E121="High"),$A121&amp;"  "&amp;$B121,"")</f>
        <v/>
      </c>
    </row>
    <row r="122" ht="20" customHeight="1">
      <c r="A122" s="49" t="inlineStr">
        <is>
          <t>⑧</t>
        </is>
      </c>
      <c r="B122" s="50" t="n"/>
      <c r="C122" s="33" t="n"/>
      <c r="D122" s="33" t="n"/>
      <c r="E122" s="33" t="n"/>
      <c r="F122" s="32" t="n"/>
      <c r="G122" s="51">
        <f>IF(OR($B122="",$D122="",$E122=""),"",IF(OR($C122="Target state",$C122="Exception"),"Out of scope",IF($D122="Low","No tranche",IF($E122="Low","Tranche 1",IF($E122="Medium","Tranche 2",IF($D122="High","Tranche 3","No tranche"))))))</f>
        <v/>
      </c>
      <c r="K122" s="57" t="n"/>
      <c r="L122" s="57" t="n"/>
      <c r="M122" s="57" t="n"/>
      <c r="O122">
        <f>IF(AND($B122&lt;&gt;"",$C122&lt;&gt;"Target state",$C122&lt;&gt;"Exception",$D122="High",$E122="Low"),$A122&amp;"  "&amp;$B122,"")</f>
        <v/>
      </c>
      <c r="P122">
        <f>IF(AND($B122&lt;&gt;"",$C122&lt;&gt;"Target state",$C122&lt;&gt;"Exception",$D122="High",$E122="Medium"),$A122&amp;"  "&amp;$B122,"")</f>
        <v/>
      </c>
      <c r="Q122">
        <f>IF(AND($B122&lt;&gt;"",$C122&lt;&gt;"Target state",$C122&lt;&gt;"Exception",$D122="High",$E122="High"),$A122&amp;"  "&amp;$B122,"")</f>
        <v/>
      </c>
      <c r="R122">
        <f>IF(AND($B122&lt;&gt;"",$C122&lt;&gt;"Target state",$C122&lt;&gt;"Exception",$D122="Medium",$E122="Low"),$A122&amp;"  "&amp;$B122,"")</f>
        <v/>
      </c>
      <c r="S122">
        <f>IF(AND($B122&lt;&gt;"",$C122&lt;&gt;"Target state",$C122&lt;&gt;"Exception",$D122="Medium",$E122="Medium"),$A122&amp;"  "&amp;$B122,"")</f>
        <v/>
      </c>
      <c r="T122">
        <f>IF(AND($B122&lt;&gt;"",$C122&lt;&gt;"Target state",$C122&lt;&gt;"Exception",$D122="Medium",$E122="High"),$A122&amp;"  "&amp;$B122,"")</f>
        <v/>
      </c>
      <c r="U122">
        <f>IF(AND($B122&lt;&gt;"",$C122&lt;&gt;"Target state",$C122&lt;&gt;"Exception",$D122="Low",$E122="Low"),$A122&amp;"  "&amp;$B122,"")</f>
        <v/>
      </c>
      <c r="V122">
        <f>IF(AND($B122&lt;&gt;"",$C122&lt;&gt;"Target state",$C122&lt;&gt;"Exception",$D122="Low",$E122="Medium"),$A122&amp;"  "&amp;$B122,"")</f>
        <v/>
      </c>
      <c r="W122">
        <f>IF(AND($B122&lt;&gt;"",$C122&lt;&gt;"Target state",$C122&lt;&gt;"Exception",$D122="Low",$E122="High"),$A122&amp;"  "&amp;$B122,"")</f>
        <v/>
      </c>
    </row>
    <row r="123" ht="20" customHeight="1">
      <c r="A123" s="49" t="inlineStr">
        <is>
          <t>⑨</t>
        </is>
      </c>
      <c r="B123" s="50" t="n"/>
      <c r="C123" s="33" t="n"/>
      <c r="D123" s="33" t="n"/>
      <c r="E123" s="33" t="n"/>
      <c r="F123" s="32" t="n"/>
      <c r="G123" s="51">
        <f>IF(OR($B123="",$D123="",$E123=""),"",IF(OR($C123="Target state",$C123="Exception"),"Out of scope",IF($D123="Low","No tranche",IF($E123="Low","Tranche 1",IF($E123="Medium","Tranche 2",IF($D123="High","Tranche 3","No tranche"))))))</f>
        <v/>
      </c>
      <c r="K123" s="58" t="n"/>
      <c r="L123" s="58" t="n"/>
      <c r="M123" s="58" t="n"/>
      <c r="O123">
        <f>IF(AND($B123&lt;&gt;"",$C123&lt;&gt;"Target state",$C123&lt;&gt;"Exception",$D123="High",$E123="Low"),$A123&amp;"  "&amp;$B123,"")</f>
        <v/>
      </c>
      <c r="P123">
        <f>IF(AND($B123&lt;&gt;"",$C123&lt;&gt;"Target state",$C123&lt;&gt;"Exception",$D123="High",$E123="Medium"),$A123&amp;"  "&amp;$B123,"")</f>
        <v/>
      </c>
      <c r="Q123">
        <f>IF(AND($B123&lt;&gt;"",$C123&lt;&gt;"Target state",$C123&lt;&gt;"Exception",$D123="High",$E123="High"),$A123&amp;"  "&amp;$B123,"")</f>
        <v/>
      </c>
      <c r="R123">
        <f>IF(AND($B123&lt;&gt;"",$C123&lt;&gt;"Target state",$C123&lt;&gt;"Exception",$D123="Medium",$E123="Low"),$A123&amp;"  "&amp;$B123,"")</f>
        <v/>
      </c>
      <c r="S123">
        <f>IF(AND($B123&lt;&gt;"",$C123&lt;&gt;"Target state",$C123&lt;&gt;"Exception",$D123="Medium",$E123="Medium"),$A123&amp;"  "&amp;$B123,"")</f>
        <v/>
      </c>
      <c r="T123">
        <f>IF(AND($B123&lt;&gt;"",$C123&lt;&gt;"Target state",$C123&lt;&gt;"Exception",$D123="Medium",$E123="High"),$A123&amp;"  "&amp;$B123,"")</f>
        <v/>
      </c>
      <c r="U123">
        <f>IF(AND($B123&lt;&gt;"",$C123&lt;&gt;"Target state",$C123&lt;&gt;"Exception",$D123="Low",$E123="Low"),$A123&amp;"  "&amp;$B123,"")</f>
        <v/>
      </c>
      <c r="V123">
        <f>IF(AND($B123&lt;&gt;"",$C123&lt;&gt;"Target state",$C123&lt;&gt;"Exception",$D123="Low",$E123="Medium"),$A123&amp;"  "&amp;$B123,"")</f>
        <v/>
      </c>
      <c r="W123">
        <f>IF(AND($B123&lt;&gt;"",$C123&lt;&gt;"Target state",$C123&lt;&gt;"Exception",$D123="Low",$E123="High"),$A123&amp;"  "&amp;$B123,"")</f>
        <v/>
      </c>
    </row>
    <row r="124" ht="20" customHeight="1">
      <c r="A124" s="49" t="inlineStr">
        <is>
          <t>⑩</t>
        </is>
      </c>
      <c r="B124" s="50" t="n"/>
      <c r="C124" s="33" t="n"/>
      <c r="D124" s="33" t="n"/>
      <c r="E124" s="33" t="n"/>
      <c r="F124" s="32" t="n"/>
      <c r="G124" s="51">
        <f>IF(OR($B124="",$D124="",$E124=""),"",IF(OR($C124="Target state",$C124="Exception"),"Out of scope",IF($D124="Low","No tranche",IF($E124="Low","Tranche 1",IF($E124="Medium","Tranche 2",IF($D124="High","Tranche 3","No tranche"))))))</f>
        <v/>
      </c>
      <c r="K124" s="53" t="inlineStr">
        <is>
          <t>Complexity</t>
        </is>
      </c>
      <c r="O124">
        <f>IF(AND($B124&lt;&gt;"",$C124&lt;&gt;"Target state",$C124&lt;&gt;"Exception",$D124="High",$E124="Low"),$A124&amp;"  "&amp;$B124,"")</f>
        <v/>
      </c>
      <c r="P124">
        <f>IF(AND($B124&lt;&gt;"",$C124&lt;&gt;"Target state",$C124&lt;&gt;"Exception",$D124="High",$E124="Medium"),$A124&amp;"  "&amp;$B124,"")</f>
        <v/>
      </c>
      <c r="Q124">
        <f>IF(AND($B124&lt;&gt;"",$C124&lt;&gt;"Target state",$C124&lt;&gt;"Exception",$D124="High",$E124="High"),$A124&amp;"  "&amp;$B124,"")</f>
        <v/>
      </c>
      <c r="R124">
        <f>IF(AND($B124&lt;&gt;"",$C124&lt;&gt;"Target state",$C124&lt;&gt;"Exception",$D124="Medium",$E124="Low"),$A124&amp;"  "&amp;$B124,"")</f>
        <v/>
      </c>
      <c r="S124">
        <f>IF(AND($B124&lt;&gt;"",$C124&lt;&gt;"Target state",$C124&lt;&gt;"Exception",$D124="Medium",$E124="Medium"),$A124&amp;"  "&amp;$B124,"")</f>
        <v/>
      </c>
      <c r="T124">
        <f>IF(AND($B124&lt;&gt;"",$C124&lt;&gt;"Target state",$C124&lt;&gt;"Exception",$D124="Medium",$E124="High"),$A124&amp;"  "&amp;$B124,"")</f>
        <v/>
      </c>
      <c r="U124">
        <f>IF(AND($B124&lt;&gt;"",$C124&lt;&gt;"Target state",$C124&lt;&gt;"Exception",$D124="Low",$E124="Low"),$A124&amp;"  "&amp;$B124,"")</f>
        <v/>
      </c>
      <c r="V124">
        <f>IF(AND($B124&lt;&gt;"",$C124&lt;&gt;"Target state",$C124&lt;&gt;"Exception",$D124="Low",$E124="Medium"),$A124&amp;"  "&amp;$B124,"")</f>
        <v/>
      </c>
      <c r="W124">
        <f>IF(AND($B124&lt;&gt;"",$C124&lt;&gt;"Target state",$C124&lt;&gt;"Exception",$D124="Low",$E124="High"),$A124&amp;"  "&amp;$B124,"")</f>
        <v/>
      </c>
    </row>
    <row r="127" ht="22" customHeight="1">
      <c r="A127" s="44" t="inlineStr">
        <is>
          <t>FX</t>
        </is>
      </c>
      <c r="G127" s="45">
        <f>HYPERLINK("#'VAS'!A4","▲ tracker")</f>
        <v/>
      </c>
      <c r="K127" s="46" t="inlineStr">
        <is>
          <t>Assessment Outcome</t>
        </is>
      </c>
    </row>
    <row r="128" ht="26" customHeight="1">
      <c r="A128" s="47" t="inlineStr">
        <is>
          <t>#</t>
        </is>
      </c>
      <c r="B128" s="47" t="inlineStr">
        <is>
          <t>Platform</t>
        </is>
      </c>
      <c r="C128" s="47" t="inlineStr">
        <is>
          <t>State</t>
        </is>
      </c>
      <c r="D128" s="47" t="inlineStr">
        <is>
          <t>Imperative to exit (= Benefits)</t>
        </is>
      </c>
      <c r="E128" s="47" t="inlineStr">
        <is>
          <t>Exit complexity</t>
        </is>
      </c>
      <c r="F128" s="47" t="inlineStr">
        <is>
          <t>Supporting facts</t>
        </is>
      </c>
      <c r="G128" s="47" t="inlineStr">
        <is>
          <t>Tranche (auto)</t>
        </is>
      </c>
      <c r="K128" s="48" t="inlineStr">
        <is>
          <t>Low</t>
        </is>
      </c>
      <c r="L128" s="48" t="inlineStr">
        <is>
          <t>Medium</t>
        </is>
      </c>
      <c r="M128" s="48" t="inlineStr">
        <is>
          <t>High</t>
        </is>
      </c>
    </row>
    <row r="129" ht="20" customHeight="1">
      <c r="A129" s="49" t="inlineStr">
        <is>
          <t>①</t>
        </is>
      </c>
      <c r="B129" s="50" t="n"/>
      <c r="C129" s="33" t="n"/>
      <c r="D129" s="33" t="n"/>
      <c r="E129" s="33" t="n"/>
      <c r="F129" s="32" t="n"/>
      <c r="G129" s="51">
        <f>IF(OR($B129="",$D129="",$E129=""),"",IF(OR($C129="Target state",$C129="Exception"),"Out of scope",IF($D129="Low","No tranche",IF($E129="Low","Tranche 1",IF($E129="Medium","Tranche 2",IF($D129="High","Tranche 3","No tranche"))))))</f>
        <v/>
      </c>
      <c r="I129" s="52" t="inlineStr">
        <is>
          <t>Benefits (= Imperative to exit)</t>
        </is>
      </c>
      <c r="J129" s="53" t="inlineStr">
        <is>
          <t>High</t>
        </is>
      </c>
      <c r="K129" s="54">
        <f>"Tranche 1"&amp;CHAR(10)&amp;_xlfn.TEXTJOIN(CHAR(10),TRUE,O$129:O$138)</f>
        <v/>
      </c>
      <c r="L129" s="55">
        <f>"Tranche 2"&amp;CHAR(10)&amp;_xlfn.TEXTJOIN(CHAR(10),TRUE,P$129:P$138)</f>
        <v/>
      </c>
      <c r="M129" s="56">
        <f>"Tranche 3"&amp;CHAR(10)&amp;_xlfn.TEXTJOIN(CHAR(10),TRUE,Q$129:Q$138)</f>
        <v/>
      </c>
      <c r="O129">
        <f>IF(AND($B129&lt;&gt;"",$C129&lt;&gt;"Target state",$C129&lt;&gt;"Exception",$D129="High",$E129="Low"),$A129&amp;"  "&amp;$B129,"")</f>
        <v/>
      </c>
      <c r="P129">
        <f>IF(AND($B129&lt;&gt;"",$C129&lt;&gt;"Target state",$C129&lt;&gt;"Exception",$D129="High",$E129="Medium"),$A129&amp;"  "&amp;$B129,"")</f>
        <v/>
      </c>
      <c r="Q129">
        <f>IF(AND($B129&lt;&gt;"",$C129&lt;&gt;"Target state",$C129&lt;&gt;"Exception",$D129="High",$E129="High"),$A129&amp;"  "&amp;$B129,"")</f>
        <v/>
      </c>
      <c r="R129">
        <f>IF(AND($B129&lt;&gt;"",$C129&lt;&gt;"Target state",$C129&lt;&gt;"Exception",$D129="Medium",$E129="Low"),$A129&amp;"  "&amp;$B129,"")</f>
        <v/>
      </c>
      <c r="S129">
        <f>IF(AND($B129&lt;&gt;"",$C129&lt;&gt;"Target state",$C129&lt;&gt;"Exception",$D129="Medium",$E129="Medium"),$A129&amp;"  "&amp;$B129,"")</f>
        <v/>
      </c>
      <c r="T129">
        <f>IF(AND($B129&lt;&gt;"",$C129&lt;&gt;"Target state",$C129&lt;&gt;"Exception",$D129="Medium",$E129="High"),$A129&amp;"  "&amp;$B129,"")</f>
        <v/>
      </c>
      <c r="U129">
        <f>IF(AND($B129&lt;&gt;"",$C129&lt;&gt;"Target state",$C129&lt;&gt;"Exception",$D129="Low",$E129="Low"),$A129&amp;"  "&amp;$B129,"")</f>
        <v/>
      </c>
      <c r="V129">
        <f>IF(AND($B129&lt;&gt;"",$C129&lt;&gt;"Target state",$C129&lt;&gt;"Exception",$D129="Low",$E129="Medium"),$A129&amp;"  "&amp;$B129,"")</f>
        <v/>
      </c>
      <c r="W129">
        <f>IF(AND($B129&lt;&gt;"",$C129&lt;&gt;"Target state",$C129&lt;&gt;"Exception",$D129="Low",$E129="High"),$A129&amp;"  "&amp;$B129,"")</f>
        <v/>
      </c>
    </row>
    <row r="130" ht="20" customHeight="1">
      <c r="A130" s="49" t="inlineStr">
        <is>
          <t>②</t>
        </is>
      </c>
      <c r="B130" s="50" t="n"/>
      <c r="C130" s="33" t="n"/>
      <c r="D130" s="33" t="n"/>
      <c r="E130" s="33" t="n"/>
      <c r="F130" s="32" t="n"/>
      <c r="G130" s="51">
        <f>IF(OR($B130="",$D130="",$E130=""),"",IF(OR($C130="Target state",$C130="Exception"),"Out of scope",IF($D130="Low","No tranche",IF($E130="Low","Tranche 1",IF($E130="Medium","Tranche 2",IF($D130="High","Tranche 3","No tranche"))))))</f>
        <v/>
      </c>
      <c r="K130" s="57" t="n"/>
      <c r="L130" s="57" t="n"/>
      <c r="M130" s="57" t="n"/>
      <c r="O130">
        <f>IF(AND($B130&lt;&gt;"",$C130&lt;&gt;"Target state",$C130&lt;&gt;"Exception",$D130="High",$E130="Low"),$A130&amp;"  "&amp;$B130,"")</f>
        <v/>
      </c>
      <c r="P130">
        <f>IF(AND($B130&lt;&gt;"",$C130&lt;&gt;"Target state",$C130&lt;&gt;"Exception",$D130="High",$E130="Medium"),$A130&amp;"  "&amp;$B130,"")</f>
        <v/>
      </c>
      <c r="Q130">
        <f>IF(AND($B130&lt;&gt;"",$C130&lt;&gt;"Target state",$C130&lt;&gt;"Exception",$D130="High",$E130="High"),$A130&amp;"  "&amp;$B130,"")</f>
        <v/>
      </c>
      <c r="R130">
        <f>IF(AND($B130&lt;&gt;"",$C130&lt;&gt;"Target state",$C130&lt;&gt;"Exception",$D130="Medium",$E130="Low"),$A130&amp;"  "&amp;$B130,"")</f>
        <v/>
      </c>
      <c r="S130">
        <f>IF(AND($B130&lt;&gt;"",$C130&lt;&gt;"Target state",$C130&lt;&gt;"Exception",$D130="Medium",$E130="Medium"),$A130&amp;"  "&amp;$B130,"")</f>
        <v/>
      </c>
      <c r="T130">
        <f>IF(AND($B130&lt;&gt;"",$C130&lt;&gt;"Target state",$C130&lt;&gt;"Exception",$D130="Medium",$E130="High"),$A130&amp;"  "&amp;$B130,"")</f>
        <v/>
      </c>
      <c r="U130">
        <f>IF(AND($B130&lt;&gt;"",$C130&lt;&gt;"Target state",$C130&lt;&gt;"Exception",$D130="Low",$E130="Low"),$A130&amp;"  "&amp;$B130,"")</f>
        <v/>
      </c>
      <c r="V130">
        <f>IF(AND($B130&lt;&gt;"",$C130&lt;&gt;"Target state",$C130&lt;&gt;"Exception",$D130="Low",$E130="Medium"),$A130&amp;"  "&amp;$B130,"")</f>
        <v/>
      </c>
      <c r="W130">
        <f>IF(AND($B130&lt;&gt;"",$C130&lt;&gt;"Target state",$C130&lt;&gt;"Exception",$D130="Low",$E130="High"),$A130&amp;"  "&amp;$B130,"")</f>
        <v/>
      </c>
    </row>
    <row r="131" ht="20" customHeight="1">
      <c r="A131" s="49" t="inlineStr">
        <is>
          <t>③</t>
        </is>
      </c>
      <c r="B131" s="50" t="n"/>
      <c r="C131" s="33" t="n"/>
      <c r="D131" s="33" t="n"/>
      <c r="E131" s="33" t="n"/>
      <c r="F131" s="32" t="n"/>
      <c r="G131" s="51">
        <f>IF(OR($B131="",$D131="",$E131=""),"",IF(OR($C131="Target state",$C131="Exception"),"Out of scope",IF($D131="Low","No tranche",IF($E131="Low","Tranche 1",IF($E131="Medium","Tranche 2",IF($D131="High","Tranche 3","No tranche"))))))</f>
        <v/>
      </c>
      <c r="K131" s="58" t="n"/>
      <c r="L131" s="58" t="n"/>
      <c r="M131" s="58" t="n"/>
      <c r="O131">
        <f>IF(AND($B131&lt;&gt;"",$C131&lt;&gt;"Target state",$C131&lt;&gt;"Exception",$D131="High",$E131="Low"),$A131&amp;"  "&amp;$B131,"")</f>
        <v/>
      </c>
      <c r="P131">
        <f>IF(AND($B131&lt;&gt;"",$C131&lt;&gt;"Target state",$C131&lt;&gt;"Exception",$D131="High",$E131="Medium"),$A131&amp;"  "&amp;$B131,"")</f>
        <v/>
      </c>
      <c r="Q131">
        <f>IF(AND($B131&lt;&gt;"",$C131&lt;&gt;"Target state",$C131&lt;&gt;"Exception",$D131="High",$E131="High"),$A131&amp;"  "&amp;$B131,"")</f>
        <v/>
      </c>
      <c r="R131">
        <f>IF(AND($B131&lt;&gt;"",$C131&lt;&gt;"Target state",$C131&lt;&gt;"Exception",$D131="Medium",$E131="Low"),$A131&amp;"  "&amp;$B131,"")</f>
        <v/>
      </c>
      <c r="S131">
        <f>IF(AND($B131&lt;&gt;"",$C131&lt;&gt;"Target state",$C131&lt;&gt;"Exception",$D131="Medium",$E131="Medium"),$A131&amp;"  "&amp;$B131,"")</f>
        <v/>
      </c>
      <c r="T131">
        <f>IF(AND($B131&lt;&gt;"",$C131&lt;&gt;"Target state",$C131&lt;&gt;"Exception",$D131="Medium",$E131="High"),$A131&amp;"  "&amp;$B131,"")</f>
        <v/>
      </c>
      <c r="U131">
        <f>IF(AND($B131&lt;&gt;"",$C131&lt;&gt;"Target state",$C131&lt;&gt;"Exception",$D131="Low",$E131="Low"),$A131&amp;"  "&amp;$B131,"")</f>
        <v/>
      </c>
      <c r="V131">
        <f>IF(AND($B131&lt;&gt;"",$C131&lt;&gt;"Target state",$C131&lt;&gt;"Exception",$D131="Low",$E131="Medium"),$A131&amp;"  "&amp;$B131,"")</f>
        <v/>
      </c>
      <c r="W131">
        <f>IF(AND($B131&lt;&gt;"",$C131&lt;&gt;"Target state",$C131&lt;&gt;"Exception",$D131="Low",$E131="High"),$A131&amp;"  "&amp;$B131,"")</f>
        <v/>
      </c>
    </row>
    <row r="132" ht="20" customHeight="1">
      <c r="A132" s="49" t="inlineStr">
        <is>
          <t>④</t>
        </is>
      </c>
      <c r="B132" s="50" t="n"/>
      <c r="C132" s="33" t="n"/>
      <c r="D132" s="33" t="n"/>
      <c r="E132" s="33" t="n"/>
      <c r="F132" s="32" t="n"/>
      <c r="G132" s="51">
        <f>IF(OR($B132="",$D132="",$E132=""),"",IF(OR($C132="Target state",$C132="Exception"),"Out of scope",IF($D132="Low","No tranche",IF($E132="Low","Tranche 1",IF($E132="Medium","Tranche 2",IF($D132="High","Tranche 3","No tranche"))))))</f>
        <v/>
      </c>
      <c r="J132" s="53" t="inlineStr">
        <is>
          <t>Medium</t>
        </is>
      </c>
      <c r="K132" s="54">
        <f>"Tranche 1"&amp;CHAR(10)&amp;_xlfn.TEXTJOIN(CHAR(10),TRUE,R$129:R$138)</f>
        <v/>
      </c>
      <c r="L132" s="55">
        <f>"Tranche 2"&amp;CHAR(10)&amp;_xlfn.TEXTJOIN(CHAR(10),TRUE,S$129:S$138)</f>
        <v/>
      </c>
      <c r="M132" s="59">
        <f>_xlfn.TEXTJOIN(CHAR(10),TRUE,T$129:T$138)</f>
        <v/>
      </c>
      <c r="O132">
        <f>IF(AND($B132&lt;&gt;"",$C132&lt;&gt;"Target state",$C132&lt;&gt;"Exception",$D132="High",$E132="Low"),$A132&amp;"  "&amp;$B132,"")</f>
        <v/>
      </c>
      <c r="P132">
        <f>IF(AND($B132&lt;&gt;"",$C132&lt;&gt;"Target state",$C132&lt;&gt;"Exception",$D132="High",$E132="Medium"),$A132&amp;"  "&amp;$B132,"")</f>
        <v/>
      </c>
      <c r="Q132">
        <f>IF(AND($B132&lt;&gt;"",$C132&lt;&gt;"Target state",$C132&lt;&gt;"Exception",$D132="High",$E132="High"),$A132&amp;"  "&amp;$B132,"")</f>
        <v/>
      </c>
      <c r="R132">
        <f>IF(AND($B132&lt;&gt;"",$C132&lt;&gt;"Target state",$C132&lt;&gt;"Exception",$D132="Medium",$E132="Low"),$A132&amp;"  "&amp;$B132,"")</f>
        <v/>
      </c>
      <c r="S132">
        <f>IF(AND($B132&lt;&gt;"",$C132&lt;&gt;"Target state",$C132&lt;&gt;"Exception",$D132="Medium",$E132="Medium"),$A132&amp;"  "&amp;$B132,"")</f>
        <v/>
      </c>
      <c r="T132">
        <f>IF(AND($B132&lt;&gt;"",$C132&lt;&gt;"Target state",$C132&lt;&gt;"Exception",$D132="Medium",$E132="High"),$A132&amp;"  "&amp;$B132,"")</f>
        <v/>
      </c>
      <c r="U132">
        <f>IF(AND($B132&lt;&gt;"",$C132&lt;&gt;"Target state",$C132&lt;&gt;"Exception",$D132="Low",$E132="Low"),$A132&amp;"  "&amp;$B132,"")</f>
        <v/>
      </c>
      <c r="V132">
        <f>IF(AND($B132&lt;&gt;"",$C132&lt;&gt;"Target state",$C132&lt;&gt;"Exception",$D132="Low",$E132="Medium"),$A132&amp;"  "&amp;$B132,"")</f>
        <v/>
      </c>
      <c r="W132">
        <f>IF(AND($B132&lt;&gt;"",$C132&lt;&gt;"Target state",$C132&lt;&gt;"Exception",$D132="Low",$E132="High"),$A132&amp;"  "&amp;$B132,"")</f>
        <v/>
      </c>
    </row>
    <row r="133" ht="20" customHeight="1">
      <c r="A133" s="49" t="inlineStr">
        <is>
          <t>⑤</t>
        </is>
      </c>
      <c r="B133" s="50" t="n"/>
      <c r="C133" s="33" t="n"/>
      <c r="D133" s="33" t="n"/>
      <c r="E133" s="33" t="n"/>
      <c r="F133" s="32" t="n"/>
      <c r="G133" s="51">
        <f>IF(OR($B133="",$D133="",$E133=""),"",IF(OR($C133="Target state",$C133="Exception"),"Out of scope",IF($D133="Low","No tranche",IF($E133="Low","Tranche 1",IF($E133="Medium","Tranche 2",IF($D133="High","Tranche 3","No tranche"))))))</f>
        <v/>
      </c>
      <c r="K133" s="57" t="n"/>
      <c r="L133" s="57" t="n"/>
      <c r="M133" s="57" t="n"/>
      <c r="O133">
        <f>IF(AND($B133&lt;&gt;"",$C133&lt;&gt;"Target state",$C133&lt;&gt;"Exception",$D133="High",$E133="Low"),$A133&amp;"  "&amp;$B133,"")</f>
        <v/>
      </c>
      <c r="P133">
        <f>IF(AND($B133&lt;&gt;"",$C133&lt;&gt;"Target state",$C133&lt;&gt;"Exception",$D133="High",$E133="Medium"),$A133&amp;"  "&amp;$B133,"")</f>
        <v/>
      </c>
      <c r="Q133">
        <f>IF(AND($B133&lt;&gt;"",$C133&lt;&gt;"Target state",$C133&lt;&gt;"Exception",$D133="High",$E133="High"),$A133&amp;"  "&amp;$B133,"")</f>
        <v/>
      </c>
      <c r="R133">
        <f>IF(AND($B133&lt;&gt;"",$C133&lt;&gt;"Target state",$C133&lt;&gt;"Exception",$D133="Medium",$E133="Low"),$A133&amp;"  "&amp;$B133,"")</f>
        <v/>
      </c>
      <c r="S133">
        <f>IF(AND($B133&lt;&gt;"",$C133&lt;&gt;"Target state",$C133&lt;&gt;"Exception",$D133="Medium",$E133="Medium"),$A133&amp;"  "&amp;$B133,"")</f>
        <v/>
      </c>
      <c r="T133">
        <f>IF(AND($B133&lt;&gt;"",$C133&lt;&gt;"Target state",$C133&lt;&gt;"Exception",$D133="Medium",$E133="High"),$A133&amp;"  "&amp;$B133,"")</f>
        <v/>
      </c>
      <c r="U133">
        <f>IF(AND($B133&lt;&gt;"",$C133&lt;&gt;"Target state",$C133&lt;&gt;"Exception",$D133="Low",$E133="Low"),$A133&amp;"  "&amp;$B133,"")</f>
        <v/>
      </c>
      <c r="V133">
        <f>IF(AND($B133&lt;&gt;"",$C133&lt;&gt;"Target state",$C133&lt;&gt;"Exception",$D133="Low",$E133="Medium"),$A133&amp;"  "&amp;$B133,"")</f>
        <v/>
      </c>
      <c r="W133">
        <f>IF(AND($B133&lt;&gt;"",$C133&lt;&gt;"Target state",$C133&lt;&gt;"Exception",$D133="Low",$E133="High"),$A133&amp;"  "&amp;$B133,"")</f>
        <v/>
      </c>
    </row>
    <row r="134" ht="20" customHeight="1">
      <c r="A134" s="49" t="inlineStr">
        <is>
          <t>⑥</t>
        </is>
      </c>
      <c r="B134" s="50" t="n"/>
      <c r="C134" s="33" t="n"/>
      <c r="D134" s="33" t="n"/>
      <c r="E134" s="33" t="n"/>
      <c r="F134" s="32" t="n"/>
      <c r="G134" s="51">
        <f>IF(OR($B134="",$D134="",$E134=""),"",IF(OR($C134="Target state",$C134="Exception"),"Out of scope",IF($D134="Low","No tranche",IF($E134="Low","Tranche 1",IF($E134="Medium","Tranche 2",IF($D134="High","Tranche 3","No tranche"))))))</f>
        <v/>
      </c>
      <c r="K134" s="58" t="n"/>
      <c r="L134" s="58" t="n"/>
      <c r="M134" s="58" t="n"/>
      <c r="O134">
        <f>IF(AND($B134&lt;&gt;"",$C134&lt;&gt;"Target state",$C134&lt;&gt;"Exception",$D134="High",$E134="Low"),$A134&amp;"  "&amp;$B134,"")</f>
        <v/>
      </c>
      <c r="P134">
        <f>IF(AND($B134&lt;&gt;"",$C134&lt;&gt;"Target state",$C134&lt;&gt;"Exception",$D134="High",$E134="Medium"),$A134&amp;"  "&amp;$B134,"")</f>
        <v/>
      </c>
      <c r="Q134">
        <f>IF(AND($B134&lt;&gt;"",$C134&lt;&gt;"Target state",$C134&lt;&gt;"Exception",$D134="High",$E134="High"),$A134&amp;"  "&amp;$B134,"")</f>
        <v/>
      </c>
      <c r="R134">
        <f>IF(AND($B134&lt;&gt;"",$C134&lt;&gt;"Target state",$C134&lt;&gt;"Exception",$D134="Medium",$E134="Low"),$A134&amp;"  "&amp;$B134,"")</f>
        <v/>
      </c>
      <c r="S134">
        <f>IF(AND($B134&lt;&gt;"",$C134&lt;&gt;"Target state",$C134&lt;&gt;"Exception",$D134="Medium",$E134="Medium"),$A134&amp;"  "&amp;$B134,"")</f>
        <v/>
      </c>
      <c r="T134">
        <f>IF(AND($B134&lt;&gt;"",$C134&lt;&gt;"Target state",$C134&lt;&gt;"Exception",$D134="Medium",$E134="High"),$A134&amp;"  "&amp;$B134,"")</f>
        <v/>
      </c>
      <c r="U134">
        <f>IF(AND($B134&lt;&gt;"",$C134&lt;&gt;"Target state",$C134&lt;&gt;"Exception",$D134="Low",$E134="Low"),$A134&amp;"  "&amp;$B134,"")</f>
        <v/>
      </c>
      <c r="V134">
        <f>IF(AND($B134&lt;&gt;"",$C134&lt;&gt;"Target state",$C134&lt;&gt;"Exception",$D134="Low",$E134="Medium"),$A134&amp;"  "&amp;$B134,"")</f>
        <v/>
      </c>
      <c r="W134">
        <f>IF(AND($B134&lt;&gt;"",$C134&lt;&gt;"Target state",$C134&lt;&gt;"Exception",$D134="Low",$E134="High"),$A134&amp;"  "&amp;$B134,"")</f>
        <v/>
      </c>
    </row>
    <row r="135" ht="20" customHeight="1">
      <c r="A135" s="49" t="inlineStr">
        <is>
          <t>⑦</t>
        </is>
      </c>
      <c r="B135" s="50" t="n"/>
      <c r="C135" s="33" t="n"/>
      <c r="D135" s="33" t="n"/>
      <c r="E135" s="33" t="n"/>
      <c r="F135" s="32" t="n"/>
      <c r="G135" s="51">
        <f>IF(OR($B135="",$D135="",$E135=""),"",IF(OR($C135="Target state",$C135="Exception"),"Out of scope",IF($D135="Low","No tranche",IF($E135="Low","Tranche 1",IF($E135="Medium","Tranche 2",IF($D135="High","Tranche 3","No tranche"))))))</f>
        <v/>
      </c>
      <c r="J135" s="53" t="inlineStr">
        <is>
          <t>Low</t>
        </is>
      </c>
      <c r="K135" s="59">
        <f>_xlfn.TEXTJOIN(CHAR(10),TRUE,U$129:U$138)</f>
        <v/>
      </c>
      <c r="L135" s="59">
        <f>_xlfn.TEXTJOIN(CHAR(10),TRUE,V$129:V$138)</f>
        <v/>
      </c>
      <c r="M135" s="59">
        <f>_xlfn.TEXTJOIN(CHAR(10),TRUE,W$129:W$138)</f>
        <v/>
      </c>
      <c r="O135">
        <f>IF(AND($B135&lt;&gt;"",$C135&lt;&gt;"Target state",$C135&lt;&gt;"Exception",$D135="High",$E135="Low"),$A135&amp;"  "&amp;$B135,"")</f>
        <v/>
      </c>
      <c r="P135">
        <f>IF(AND($B135&lt;&gt;"",$C135&lt;&gt;"Target state",$C135&lt;&gt;"Exception",$D135="High",$E135="Medium"),$A135&amp;"  "&amp;$B135,"")</f>
        <v/>
      </c>
      <c r="Q135">
        <f>IF(AND($B135&lt;&gt;"",$C135&lt;&gt;"Target state",$C135&lt;&gt;"Exception",$D135="High",$E135="High"),$A135&amp;"  "&amp;$B135,"")</f>
        <v/>
      </c>
      <c r="R135">
        <f>IF(AND($B135&lt;&gt;"",$C135&lt;&gt;"Target state",$C135&lt;&gt;"Exception",$D135="Medium",$E135="Low"),$A135&amp;"  "&amp;$B135,"")</f>
        <v/>
      </c>
      <c r="S135">
        <f>IF(AND($B135&lt;&gt;"",$C135&lt;&gt;"Target state",$C135&lt;&gt;"Exception",$D135="Medium",$E135="Medium"),$A135&amp;"  "&amp;$B135,"")</f>
        <v/>
      </c>
      <c r="T135">
        <f>IF(AND($B135&lt;&gt;"",$C135&lt;&gt;"Target state",$C135&lt;&gt;"Exception",$D135="Medium",$E135="High"),$A135&amp;"  "&amp;$B135,"")</f>
        <v/>
      </c>
      <c r="U135">
        <f>IF(AND($B135&lt;&gt;"",$C135&lt;&gt;"Target state",$C135&lt;&gt;"Exception",$D135="Low",$E135="Low"),$A135&amp;"  "&amp;$B135,"")</f>
        <v/>
      </c>
      <c r="V135">
        <f>IF(AND($B135&lt;&gt;"",$C135&lt;&gt;"Target state",$C135&lt;&gt;"Exception",$D135="Low",$E135="Medium"),$A135&amp;"  "&amp;$B135,"")</f>
        <v/>
      </c>
      <c r="W135">
        <f>IF(AND($B135&lt;&gt;"",$C135&lt;&gt;"Target state",$C135&lt;&gt;"Exception",$D135="Low",$E135="High"),$A135&amp;"  "&amp;$B135,"")</f>
        <v/>
      </c>
    </row>
    <row r="136" ht="20" customHeight="1">
      <c r="A136" s="49" t="inlineStr">
        <is>
          <t>⑧</t>
        </is>
      </c>
      <c r="B136" s="50" t="n"/>
      <c r="C136" s="33" t="n"/>
      <c r="D136" s="33" t="n"/>
      <c r="E136" s="33" t="n"/>
      <c r="F136" s="32" t="n"/>
      <c r="G136" s="51">
        <f>IF(OR($B136="",$D136="",$E136=""),"",IF(OR($C136="Target state",$C136="Exception"),"Out of scope",IF($D136="Low","No tranche",IF($E136="Low","Tranche 1",IF($E136="Medium","Tranche 2",IF($D136="High","Tranche 3","No tranche"))))))</f>
        <v/>
      </c>
      <c r="K136" s="57" t="n"/>
      <c r="L136" s="57" t="n"/>
      <c r="M136" s="57" t="n"/>
      <c r="O136">
        <f>IF(AND($B136&lt;&gt;"",$C136&lt;&gt;"Target state",$C136&lt;&gt;"Exception",$D136="High",$E136="Low"),$A136&amp;"  "&amp;$B136,"")</f>
        <v/>
      </c>
      <c r="P136">
        <f>IF(AND($B136&lt;&gt;"",$C136&lt;&gt;"Target state",$C136&lt;&gt;"Exception",$D136="High",$E136="Medium"),$A136&amp;"  "&amp;$B136,"")</f>
        <v/>
      </c>
      <c r="Q136">
        <f>IF(AND($B136&lt;&gt;"",$C136&lt;&gt;"Target state",$C136&lt;&gt;"Exception",$D136="High",$E136="High"),$A136&amp;"  "&amp;$B136,"")</f>
        <v/>
      </c>
      <c r="R136">
        <f>IF(AND($B136&lt;&gt;"",$C136&lt;&gt;"Target state",$C136&lt;&gt;"Exception",$D136="Medium",$E136="Low"),$A136&amp;"  "&amp;$B136,"")</f>
        <v/>
      </c>
      <c r="S136">
        <f>IF(AND($B136&lt;&gt;"",$C136&lt;&gt;"Target state",$C136&lt;&gt;"Exception",$D136="Medium",$E136="Medium"),$A136&amp;"  "&amp;$B136,"")</f>
        <v/>
      </c>
      <c r="T136">
        <f>IF(AND($B136&lt;&gt;"",$C136&lt;&gt;"Target state",$C136&lt;&gt;"Exception",$D136="Medium",$E136="High"),$A136&amp;"  "&amp;$B136,"")</f>
        <v/>
      </c>
      <c r="U136">
        <f>IF(AND($B136&lt;&gt;"",$C136&lt;&gt;"Target state",$C136&lt;&gt;"Exception",$D136="Low",$E136="Low"),$A136&amp;"  "&amp;$B136,"")</f>
        <v/>
      </c>
      <c r="V136">
        <f>IF(AND($B136&lt;&gt;"",$C136&lt;&gt;"Target state",$C136&lt;&gt;"Exception",$D136="Low",$E136="Medium"),$A136&amp;"  "&amp;$B136,"")</f>
        <v/>
      </c>
      <c r="W136">
        <f>IF(AND($B136&lt;&gt;"",$C136&lt;&gt;"Target state",$C136&lt;&gt;"Exception",$D136="Low",$E136="High"),$A136&amp;"  "&amp;$B136,"")</f>
        <v/>
      </c>
    </row>
    <row r="137" ht="20" customHeight="1">
      <c r="A137" s="49" t="inlineStr">
        <is>
          <t>⑨</t>
        </is>
      </c>
      <c r="B137" s="50" t="n"/>
      <c r="C137" s="33" t="n"/>
      <c r="D137" s="33" t="n"/>
      <c r="E137" s="33" t="n"/>
      <c r="F137" s="32" t="n"/>
      <c r="G137" s="51">
        <f>IF(OR($B137="",$D137="",$E137=""),"",IF(OR($C137="Target state",$C137="Exception"),"Out of scope",IF($D137="Low","No tranche",IF($E137="Low","Tranche 1",IF($E137="Medium","Tranche 2",IF($D137="High","Tranche 3","No tranche"))))))</f>
        <v/>
      </c>
      <c r="K137" s="58" t="n"/>
      <c r="L137" s="58" t="n"/>
      <c r="M137" s="58" t="n"/>
      <c r="O137">
        <f>IF(AND($B137&lt;&gt;"",$C137&lt;&gt;"Target state",$C137&lt;&gt;"Exception",$D137="High",$E137="Low"),$A137&amp;"  "&amp;$B137,"")</f>
        <v/>
      </c>
      <c r="P137">
        <f>IF(AND($B137&lt;&gt;"",$C137&lt;&gt;"Target state",$C137&lt;&gt;"Exception",$D137="High",$E137="Medium"),$A137&amp;"  "&amp;$B137,"")</f>
        <v/>
      </c>
      <c r="Q137">
        <f>IF(AND($B137&lt;&gt;"",$C137&lt;&gt;"Target state",$C137&lt;&gt;"Exception",$D137="High",$E137="High"),$A137&amp;"  "&amp;$B137,"")</f>
        <v/>
      </c>
      <c r="R137">
        <f>IF(AND($B137&lt;&gt;"",$C137&lt;&gt;"Target state",$C137&lt;&gt;"Exception",$D137="Medium",$E137="Low"),$A137&amp;"  "&amp;$B137,"")</f>
        <v/>
      </c>
      <c r="S137">
        <f>IF(AND($B137&lt;&gt;"",$C137&lt;&gt;"Target state",$C137&lt;&gt;"Exception",$D137="Medium",$E137="Medium"),$A137&amp;"  "&amp;$B137,"")</f>
        <v/>
      </c>
      <c r="T137">
        <f>IF(AND($B137&lt;&gt;"",$C137&lt;&gt;"Target state",$C137&lt;&gt;"Exception",$D137="Medium",$E137="High"),$A137&amp;"  "&amp;$B137,"")</f>
        <v/>
      </c>
      <c r="U137">
        <f>IF(AND($B137&lt;&gt;"",$C137&lt;&gt;"Target state",$C137&lt;&gt;"Exception",$D137="Low",$E137="Low"),$A137&amp;"  "&amp;$B137,"")</f>
        <v/>
      </c>
      <c r="V137">
        <f>IF(AND($B137&lt;&gt;"",$C137&lt;&gt;"Target state",$C137&lt;&gt;"Exception",$D137="Low",$E137="Medium"),$A137&amp;"  "&amp;$B137,"")</f>
        <v/>
      </c>
      <c r="W137">
        <f>IF(AND($B137&lt;&gt;"",$C137&lt;&gt;"Target state",$C137&lt;&gt;"Exception",$D137="Low",$E137="High"),$A137&amp;"  "&amp;$B137,"")</f>
        <v/>
      </c>
    </row>
    <row r="138" ht="20" customHeight="1">
      <c r="A138" s="49" t="inlineStr">
        <is>
          <t>⑩</t>
        </is>
      </c>
      <c r="B138" s="50" t="n"/>
      <c r="C138" s="33" t="n"/>
      <c r="D138" s="33" t="n"/>
      <c r="E138" s="33" t="n"/>
      <c r="F138" s="32" t="n"/>
      <c r="G138" s="51">
        <f>IF(OR($B138="",$D138="",$E138=""),"",IF(OR($C138="Target state",$C138="Exception"),"Out of scope",IF($D138="Low","No tranche",IF($E138="Low","Tranche 1",IF($E138="Medium","Tranche 2",IF($D138="High","Tranche 3","No tranche"))))))</f>
        <v/>
      </c>
      <c r="K138" s="53" t="inlineStr">
        <is>
          <t>Complexity</t>
        </is>
      </c>
      <c r="O138">
        <f>IF(AND($B138&lt;&gt;"",$C138&lt;&gt;"Target state",$C138&lt;&gt;"Exception",$D138="High",$E138="Low"),$A138&amp;"  "&amp;$B138,"")</f>
        <v/>
      </c>
      <c r="P138">
        <f>IF(AND($B138&lt;&gt;"",$C138&lt;&gt;"Target state",$C138&lt;&gt;"Exception",$D138="High",$E138="Medium"),$A138&amp;"  "&amp;$B138,"")</f>
        <v/>
      </c>
      <c r="Q138">
        <f>IF(AND($B138&lt;&gt;"",$C138&lt;&gt;"Target state",$C138&lt;&gt;"Exception",$D138="High",$E138="High"),$A138&amp;"  "&amp;$B138,"")</f>
        <v/>
      </c>
      <c r="R138">
        <f>IF(AND($B138&lt;&gt;"",$C138&lt;&gt;"Target state",$C138&lt;&gt;"Exception",$D138="Medium",$E138="Low"),$A138&amp;"  "&amp;$B138,"")</f>
        <v/>
      </c>
      <c r="S138">
        <f>IF(AND($B138&lt;&gt;"",$C138&lt;&gt;"Target state",$C138&lt;&gt;"Exception",$D138="Medium",$E138="Medium"),$A138&amp;"  "&amp;$B138,"")</f>
        <v/>
      </c>
      <c r="T138">
        <f>IF(AND($B138&lt;&gt;"",$C138&lt;&gt;"Target state",$C138&lt;&gt;"Exception",$D138="Medium",$E138="High"),$A138&amp;"  "&amp;$B138,"")</f>
        <v/>
      </c>
      <c r="U138">
        <f>IF(AND($B138&lt;&gt;"",$C138&lt;&gt;"Target state",$C138&lt;&gt;"Exception",$D138="Low",$E138="Low"),$A138&amp;"  "&amp;$B138,"")</f>
        <v/>
      </c>
      <c r="V138">
        <f>IF(AND($B138&lt;&gt;"",$C138&lt;&gt;"Target state",$C138&lt;&gt;"Exception",$D138="Low",$E138="Medium"),$A138&amp;"  "&amp;$B138,"")</f>
        <v/>
      </c>
      <c r="W138">
        <f>IF(AND($B138&lt;&gt;"",$C138&lt;&gt;"Target state",$C138&lt;&gt;"Exception",$D138="Low",$E138="High"),$A138&amp;"  "&amp;$B138,"")</f>
        <v/>
      </c>
    </row>
  </sheetData>
  <mergeCells count="145">
    <mergeCell ref="J101:J103"/>
    <mergeCell ref="K48:K50"/>
    <mergeCell ref="L115:L117"/>
    <mergeCell ref="K40:M40"/>
    <mergeCell ref="M104:M106"/>
    <mergeCell ref="L76:L78"/>
    <mergeCell ref="L34:L36"/>
    <mergeCell ref="K96:M96"/>
    <mergeCell ref="L135:L137"/>
    <mergeCell ref="M23:M25"/>
    <mergeCell ref="K121:K123"/>
    <mergeCell ref="K71:M71"/>
    <mergeCell ref="L101:L103"/>
    <mergeCell ref="J135:J137"/>
    <mergeCell ref="A29:F29"/>
    <mergeCell ref="K82:M82"/>
    <mergeCell ref="M20:M22"/>
    <mergeCell ref="K57:M57"/>
    <mergeCell ref="L48:L50"/>
    <mergeCell ref="K124:M124"/>
    <mergeCell ref="K76:K78"/>
    <mergeCell ref="A15:F15"/>
    <mergeCell ref="K68:M68"/>
    <mergeCell ref="K59:K61"/>
    <mergeCell ref="M132:M134"/>
    <mergeCell ref="L118:L120"/>
    <mergeCell ref="K110:M110"/>
    <mergeCell ref="I129:I137"/>
    <mergeCell ref="J104:J106"/>
    <mergeCell ref="L129:L131"/>
    <mergeCell ref="L104:L106"/>
    <mergeCell ref="K29:M29"/>
    <mergeCell ref="J79:J81"/>
    <mergeCell ref="L79:L81"/>
    <mergeCell ref="M45:M47"/>
    <mergeCell ref="A99:F99"/>
    <mergeCell ref="J118:J120"/>
    <mergeCell ref="J90:J92"/>
    <mergeCell ref="J121:J123"/>
    <mergeCell ref="I115:I123"/>
    <mergeCell ref="L90:L92"/>
    <mergeCell ref="K23:K25"/>
    <mergeCell ref="K37:K39"/>
    <mergeCell ref="L65:L67"/>
    <mergeCell ref="A85:F85"/>
    <mergeCell ref="K87:K89"/>
    <mergeCell ref="K65:K67"/>
    <mergeCell ref="M87:M89"/>
    <mergeCell ref="M121:M123"/>
    <mergeCell ref="L107:L109"/>
    <mergeCell ref="A4:C4"/>
    <mergeCell ref="K129:K131"/>
    <mergeCell ref="M129:M131"/>
    <mergeCell ref="I31:I39"/>
    <mergeCell ref="K51:K53"/>
    <mergeCell ref="J34:J36"/>
    <mergeCell ref="M73:M75"/>
    <mergeCell ref="M51:M53"/>
    <mergeCell ref="M107:M109"/>
    <mergeCell ref="A127:F127"/>
    <mergeCell ref="J37:J39"/>
    <mergeCell ref="L93:L95"/>
    <mergeCell ref="L37:L39"/>
    <mergeCell ref="K113:M113"/>
    <mergeCell ref="K115:K117"/>
    <mergeCell ref="J20:J22"/>
    <mergeCell ref="L23:L25"/>
    <mergeCell ref="K138:M138"/>
    <mergeCell ref="K85:M85"/>
    <mergeCell ref="K99:M99"/>
    <mergeCell ref="K101:K103"/>
    <mergeCell ref="J62:J64"/>
    <mergeCell ref="K17:K19"/>
    <mergeCell ref="M101:M103"/>
    <mergeCell ref="M17:M19"/>
    <mergeCell ref="K132:K134"/>
    <mergeCell ref="A71:F71"/>
    <mergeCell ref="M135:M137"/>
    <mergeCell ref="K62:K64"/>
    <mergeCell ref="M62:M64"/>
    <mergeCell ref="I17:I25"/>
    <mergeCell ref="J48:J50"/>
    <mergeCell ref="J76:J78"/>
    <mergeCell ref="K118:K120"/>
    <mergeCell ref="J17:J19"/>
    <mergeCell ref="J73:J75"/>
    <mergeCell ref="L17:L19"/>
    <mergeCell ref="M48:M50"/>
    <mergeCell ref="K104:K106"/>
    <mergeCell ref="K127:M127"/>
    <mergeCell ref="I59:I67"/>
    <mergeCell ref="J59:J61"/>
    <mergeCell ref="K79:K81"/>
    <mergeCell ref="K15:M15"/>
    <mergeCell ref="L121:L123"/>
    <mergeCell ref="K90:K92"/>
    <mergeCell ref="K26:M26"/>
    <mergeCell ref="M90:M92"/>
    <mergeCell ref="I45:I53"/>
    <mergeCell ref="I101:I109"/>
    <mergeCell ref="J45:J47"/>
    <mergeCell ref="L132:L134"/>
    <mergeCell ref="L45:L47"/>
    <mergeCell ref="L59:L61"/>
    <mergeCell ref="L20:L22"/>
    <mergeCell ref="I87:I95"/>
    <mergeCell ref="K73:K75"/>
    <mergeCell ref="K107:K109"/>
    <mergeCell ref="K43:M43"/>
    <mergeCell ref="M76:M78"/>
    <mergeCell ref="J115:J117"/>
    <mergeCell ref="J31:J33"/>
    <mergeCell ref="L31:L33"/>
    <mergeCell ref="A57:F57"/>
    <mergeCell ref="A113:F113"/>
    <mergeCell ref="J129:J131"/>
    <mergeCell ref="J51:J53"/>
    <mergeCell ref="M118:M120"/>
    <mergeCell ref="K34:K36"/>
    <mergeCell ref="I73:I81"/>
    <mergeCell ref="K93:K95"/>
    <mergeCell ref="M115:M117"/>
    <mergeCell ref="M93:M95"/>
    <mergeCell ref="J23:J25"/>
    <mergeCell ref="M59:M61"/>
    <mergeCell ref="A43:F43"/>
    <mergeCell ref="M34:M36"/>
    <mergeCell ref="K45:K47"/>
    <mergeCell ref="J87:J89"/>
    <mergeCell ref="M79:M81"/>
    <mergeCell ref="J65:J67"/>
    <mergeCell ref="K20:K22"/>
    <mergeCell ref="L87:L89"/>
    <mergeCell ref="L62:L64"/>
    <mergeCell ref="J93:J95"/>
    <mergeCell ref="J107:J109"/>
    <mergeCell ref="K135:K137"/>
    <mergeCell ref="K31:K33"/>
    <mergeCell ref="M31:M33"/>
    <mergeCell ref="K54:M54"/>
    <mergeCell ref="M65:M67"/>
    <mergeCell ref="L73:L75"/>
    <mergeCell ref="L51:L53"/>
    <mergeCell ref="J132:J134"/>
    <mergeCell ref="M37:M39"/>
  </mergeCells>
  <conditionalFormatting sqref="A17:G26">
    <cfRule type="expression" priority="1" dxfId="0">
      <formula>OR($C17="Target state",$C17="Exception")</formula>
    </cfRule>
  </conditionalFormatting>
  <conditionalFormatting sqref="A31:G40">
    <cfRule type="expression" priority="2" dxfId="0">
      <formula>OR($C31="Target state",$C31="Exception")</formula>
    </cfRule>
  </conditionalFormatting>
  <conditionalFormatting sqref="A45:G54">
    <cfRule type="expression" priority="3" dxfId="0">
      <formula>OR($C45="Target state",$C45="Exception")</formula>
    </cfRule>
  </conditionalFormatting>
  <conditionalFormatting sqref="A59:G68">
    <cfRule type="expression" priority="4" dxfId="0">
      <formula>OR($C59="Target state",$C59="Exception")</formula>
    </cfRule>
  </conditionalFormatting>
  <conditionalFormatting sqref="A73:G82">
    <cfRule type="expression" priority="5" dxfId="0">
      <formula>OR($C73="Target state",$C73="Exception")</formula>
    </cfRule>
  </conditionalFormatting>
  <conditionalFormatting sqref="A87:G96">
    <cfRule type="expression" priority="6" dxfId="0">
      <formula>OR($C87="Target state",$C87="Exception")</formula>
    </cfRule>
  </conditionalFormatting>
  <conditionalFormatting sqref="A101:G110">
    <cfRule type="expression" priority="7" dxfId="0">
      <formula>OR($C101="Target state",$C101="Exception")</formula>
    </cfRule>
  </conditionalFormatting>
  <conditionalFormatting sqref="A115:G124">
    <cfRule type="expression" priority="8" dxfId="0">
      <formula>OR($C115="Target state",$C115="Exception")</formula>
    </cfRule>
  </conditionalFormatting>
  <conditionalFormatting sqref="A129:G138">
    <cfRule type="expression" priority="9" dxfId="0">
      <formula>OR($C129="Target state",$C129="Exception")</formula>
    </cfRule>
  </conditionalFormatting>
  <dataValidations count="2">
    <dataValidation sqref="C17:C26 C31:C40 C45:C54 C59:C68 C73:C82 C87:C96 C101:C110 C115:C124 C129:C138" showDropDown="0" showInputMessage="0" showErrorMessage="0" allowBlank="1" type="list">
      <formula1>"Target state,Non-target state,Exception"</formula1>
    </dataValidation>
    <dataValidation sqref="D17:E26 D31:E40 D45:E54 D59:E68 D73:E82 D87:E96 D101:E110 D115:E124 D129:E13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Unified Data and AI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HYPERLINK("#'Unified Data and AI'!A7","Overall")</f>
        <v/>
      </c>
    </row>
    <row r="7" ht="22" customHeight="1">
      <c r="A7" s="44" t="inlineStr">
        <is>
          <t>Overall</t>
        </is>
      </c>
      <c r="G7" s="45">
        <f>HYPERLINK("#'Unified Data and AI'!A4","▲ tracker")</f>
        <v/>
      </c>
      <c r="K7" s="46" t="inlineStr">
        <is>
          <t>Assessment Outcome</t>
        </is>
      </c>
    </row>
    <row r="8" ht="26" customHeight="1">
      <c r="A8" s="47" t="inlineStr">
        <is>
          <t>#</t>
        </is>
      </c>
      <c r="B8" s="47" t="inlineStr">
        <is>
          <t>Platform</t>
        </is>
      </c>
      <c r="C8" s="47" t="inlineStr">
        <is>
          <t>State</t>
        </is>
      </c>
      <c r="D8" s="47" t="inlineStr">
        <is>
          <t>Imperative to exit (= Benefits)</t>
        </is>
      </c>
      <c r="E8" s="47" t="inlineStr">
        <is>
          <t>Exit complexity</t>
        </is>
      </c>
      <c r="F8" s="47" t="inlineStr">
        <is>
          <t>Supporting facts</t>
        </is>
      </c>
      <c r="G8" s="47" t="inlineStr">
        <is>
          <t>Tranche (auto)</t>
        </is>
      </c>
      <c r="K8" s="48" t="inlineStr">
        <is>
          <t>Low</t>
        </is>
      </c>
      <c r="L8" s="48" t="inlineStr">
        <is>
          <t>Medium</t>
        </is>
      </c>
      <c r="M8" s="48" t="inlineStr">
        <is>
          <t>High</t>
        </is>
      </c>
    </row>
    <row r="9" ht="20" customHeight="1">
      <c r="A9" s="49" t="inlineStr">
        <is>
          <t>①</t>
        </is>
      </c>
      <c r="B9" s="50" t="n"/>
      <c r="C9" s="33" t="n"/>
      <c r="D9" s="33" t="n"/>
      <c r="E9" s="33" t="n"/>
      <c r="F9" s="32" t="n"/>
      <c r="G9" s="51">
        <f>IF(OR($B9="",$D9="",$E9=""),"",IF(OR($C9="Target state",$C9="Exception"),"Out of scope",IF($D9="Low","No tranche",IF($E9="Low","Tranche 1",IF($E9="Medium","Tranche 2",IF($D9="High","Tranche 3","No tranche"))))))</f>
        <v/>
      </c>
      <c r="I9" s="52" t="inlineStr">
        <is>
          <t>Benefits (= Imperative to exit)</t>
        </is>
      </c>
      <c r="J9" s="53" t="inlineStr">
        <is>
          <t>High</t>
        </is>
      </c>
      <c r="K9" s="54">
        <f>"Tranche 1"&amp;CHAR(10)&amp;_xlfn.TEXTJOIN(CHAR(10),TRUE,O$9:O$18)</f>
        <v/>
      </c>
      <c r="L9" s="55">
        <f>"Tranche 2"&amp;CHAR(10)&amp;_xlfn.TEXTJOIN(CHAR(10),TRUE,P$9:P$18)</f>
        <v/>
      </c>
      <c r="M9" s="56">
        <f>"Tranche 3"&amp;CHAR(10)&amp;_xlfn.TEXTJOIN(CHAR(10),TRUE,Q$9:Q$18)</f>
        <v/>
      </c>
      <c r="O9">
        <f>IF(AND($B9&lt;&gt;"",$C9&lt;&gt;"Target state",$C9&lt;&gt;"Exception",$D9="High",$E9="Low"),$A9&amp;"  "&amp;$B9,"")</f>
        <v/>
      </c>
      <c r="P9">
        <f>IF(AND($B9&lt;&gt;"",$C9&lt;&gt;"Target state",$C9&lt;&gt;"Exception",$D9="High",$E9="Medium"),$A9&amp;"  "&amp;$B9,"")</f>
        <v/>
      </c>
      <c r="Q9">
        <f>IF(AND($B9&lt;&gt;"",$C9&lt;&gt;"Target state",$C9&lt;&gt;"Exception",$D9="High",$E9="High"),$A9&amp;"  "&amp;$B9,"")</f>
        <v/>
      </c>
      <c r="R9">
        <f>IF(AND($B9&lt;&gt;"",$C9&lt;&gt;"Target state",$C9&lt;&gt;"Exception",$D9="Medium",$E9="Low"),$A9&amp;"  "&amp;$B9,"")</f>
        <v/>
      </c>
      <c r="S9">
        <f>IF(AND($B9&lt;&gt;"",$C9&lt;&gt;"Target state",$C9&lt;&gt;"Exception",$D9="Medium",$E9="Medium"),$A9&amp;"  "&amp;$B9,"")</f>
        <v/>
      </c>
      <c r="T9">
        <f>IF(AND($B9&lt;&gt;"",$C9&lt;&gt;"Target state",$C9&lt;&gt;"Exception",$D9="Medium",$E9="High"),$A9&amp;"  "&amp;$B9,"")</f>
        <v/>
      </c>
      <c r="U9">
        <f>IF(AND($B9&lt;&gt;"",$C9&lt;&gt;"Target state",$C9&lt;&gt;"Exception",$D9="Low",$E9="Low"),$A9&amp;"  "&amp;$B9,"")</f>
        <v/>
      </c>
      <c r="V9">
        <f>IF(AND($B9&lt;&gt;"",$C9&lt;&gt;"Target state",$C9&lt;&gt;"Exception",$D9="Low",$E9="Medium"),$A9&amp;"  "&amp;$B9,"")</f>
        <v/>
      </c>
      <c r="W9">
        <f>IF(AND($B9&lt;&gt;"",$C9&lt;&gt;"Target state",$C9&lt;&gt;"Exception",$D9="Low",$E9="High"),$A9&amp;"  "&amp;$B9,"")</f>
        <v/>
      </c>
    </row>
    <row r="10" ht="20" customHeight="1">
      <c r="A10" s="49" t="inlineStr">
        <is>
          <t>②</t>
        </is>
      </c>
      <c r="B10" s="50" t="n"/>
      <c r="C10" s="33" t="n"/>
      <c r="D10" s="33" t="n"/>
      <c r="E10" s="33" t="n"/>
      <c r="F10" s="32" t="n"/>
      <c r="G10" s="51">
        <f>IF(OR($B10="",$D10="",$E10=""),"",IF(OR($C10="Target state",$C10="Exception"),"Out of scope",IF($D10="Low","No tranche",IF($E10="Low","Tranche 1",IF($E10="Medium","Tranche 2",IF($D10="High","Tranche 3","No tranche"))))))</f>
        <v/>
      </c>
      <c r="K10" s="57" t="n"/>
      <c r="L10" s="57" t="n"/>
      <c r="M10" s="57" t="n"/>
      <c r="O10">
        <f>IF(AND($B10&lt;&gt;"",$C10&lt;&gt;"Target state",$C10&lt;&gt;"Exception",$D10="High",$E10="Low"),$A10&amp;"  "&amp;$B10,"")</f>
        <v/>
      </c>
      <c r="P10">
        <f>IF(AND($B10&lt;&gt;"",$C10&lt;&gt;"Target state",$C10&lt;&gt;"Exception",$D10="High",$E10="Medium"),$A10&amp;"  "&amp;$B10,"")</f>
        <v/>
      </c>
      <c r="Q10">
        <f>IF(AND($B10&lt;&gt;"",$C10&lt;&gt;"Target state",$C10&lt;&gt;"Exception",$D10="High",$E10="High"),$A10&amp;"  "&amp;$B10,"")</f>
        <v/>
      </c>
      <c r="R10">
        <f>IF(AND($B10&lt;&gt;"",$C10&lt;&gt;"Target state",$C10&lt;&gt;"Exception",$D10="Medium",$E10="Low"),$A10&amp;"  "&amp;$B10,"")</f>
        <v/>
      </c>
      <c r="S10">
        <f>IF(AND($B10&lt;&gt;"",$C10&lt;&gt;"Target state",$C10&lt;&gt;"Exception",$D10="Medium",$E10="Medium"),$A10&amp;"  "&amp;$B10,"")</f>
        <v/>
      </c>
      <c r="T10">
        <f>IF(AND($B10&lt;&gt;"",$C10&lt;&gt;"Target state",$C10&lt;&gt;"Exception",$D10="Medium",$E10="High"),$A10&amp;"  "&amp;$B10,"")</f>
        <v/>
      </c>
      <c r="U10">
        <f>IF(AND($B10&lt;&gt;"",$C10&lt;&gt;"Target state",$C10&lt;&gt;"Exception",$D10="Low",$E10="Low"),$A10&amp;"  "&amp;$B10,"")</f>
        <v/>
      </c>
      <c r="V10">
        <f>IF(AND($B10&lt;&gt;"",$C10&lt;&gt;"Target state",$C10&lt;&gt;"Exception",$D10="Low",$E10="Medium"),$A10&amp;"  "&amp;$B10,"")</f>
        <v/>
      </c>
      <c r="W10">
        <f>IF(AND($B10&lt;&gt;"",$C10&lt;&gt;"Target state",$C10&lt;&gt;"Exception",$D10="Low",$E10="High"),$A10&amp;"  "&amp;$B10,"")</f>
        <v/>
      </c>
    </row>
    <row r="11" ht="20" customHeight="1">
      <c r="A11" s="49" t="inlineStr">
        <is>
          <t>③</t>
        </is>
      </c>
      <c r="B11" s="50" t="n"/>
      <c r="C11" s="33" t="n"/>
      <c r="D11" s="33" t="n"/>
      <c r="E11" s="33" t="n"/>
      <c r="F11" s="32" t="n"/>
      <c r="G11" s="51">
        <f>IF(OR($B11="",$D11="",$E11=""),"",IF(OR($C11="Target state",$C11="Exception"),"Out of scope",IF($D11="Low","No tranche",IF($E11="Low","Tranche 1",IF($E11="Medium","Tranche 2",IF($D11="High","Tranche 3","No tranche"))))))</f>
        <v/>
      </c>
      <c r="K11" s="58" t="n"/>
      <c r="L11" s="58" t="n"/>
      <c r="M11" s="58" t="n"/>
      <c r="O11">
        <f>IF(AND($B11&lt;&gt;"",$C11&lt;&gt;"Target state",$C11&lt;&gt;"Exception",$D11="High",$E11="Low"),$A11&amp;"  "&amp;$B11,"")</f>
        <v/>
      </c>
      <c r="P11">
        <f>IF(AND($B11&lt;&gt;"",$C11&lt;&gt;"Target state",$C11&lt;&gt;"Exception",$D11="High",$E11="Medium"),$A11&amp;"  "&amp;$B11,"")</f>
        <v/>
      </c>
      <c r="Q11">
        <f>IF(AND($B11&lt;&gt;"",$C11&lt;&gt;"Target state",$C11&lt;&gt;"Exception",$D11="High",$E11="High"),$A11&amp;"  "&amp;$B11,"")</f>
        <v/>
      </c>
      <c r="R11">
        <f>IF(AND($B11&lt;&gt;"",$C11&lt;&gt;"Target state",$C11&lt;&gt;"Exception",$D11="Medium",$E11="Low"),$A11&amp;"  "&amp;$B11,"")</f>
        <v/>
      </c>
      <c r="S11">
        <f>IF(AND($B11&lt;&gt;"",$C11&lt;&gt;"Target state",$C11&lt;&gt;"Exception",$D11="Medium",$E11="Medium"),$A11&amp;"  "&amp;$B11,"")</f>
        <v/>
      </c>
      <c r="T11">
        <f>IF(AND($B11&lt;&gt;"",$C11&lt;&gt;"Target state",$C11&lt;&gt;"Exception",$D11="Medium",$E11="High"),$A11&amp;"  "&amp;$B11,"")</f>
        <v/>
      </c>
      <c r="U11">
        <f>IF(AND($B11&lt;&gt;"",$C11&lt;&gt;"Target state",$C11&lt;&gt;"Exception",$D11="Low",$E11="Low"),$A11&amp;"  "&amp;$B11,"")</f>
        <v/>
      </c>
      <c r="V11">
        <f>IF(AND($B11&lt;&gt;"",$C11&lt;&gt;"Target state",$C11&lt;&gt;"Exception",$D11="Low",$E11="Medium"),$A11&amp;"  "&amp;$B11,"")</f>
        <v/>
      </c>
      <c r="W11">
        <f>IF(AND($B11&lt;&gt;"",$C11&lt;&gt;"Target state",$C11&lt;&gt;"Exception",$D11="Low",$E11="High"),$A11&amp;"  "&amp;$B11,"")</f>
        <v/>
      </c>
    </row>
    <row r="12" ht="20" customHeight="1">
      <c r="A12" s="49" t="inlineStr">
        <is>
          <t>④</t>
        </is>
      </c>
      <c r="B12" s="50" t="n"/>
      <c r="C12" s="33" t="n"/>
      <c r="D12" s="33" t="n"/>
      <c r="E12" s="33" t="n"/>
      <c r="F12" s="32" t="n"/>
      <c r="G12" s="51">
        <f>IF(OR($B12="",$D12="",$E12=""),"",IF(OR($C12="Target state",$C12="Exception"),"Out of scope",IF($D12="Low","No tranche",IF($E12="Low","Tranche 1",IF($E12="Medium","Tranche 2",IF($D12="High","Tranche 3","No tranche"))))))</f>
        <v/>
      </c>
      <c r="J12" s="53" t="inlineStr">
        <is>
          <t>Medium</t>
        </is>
      </c>
      <c r="K12" s="54">
        <f>"Tranche 1"&amp;CHAR(10)&amp;_xlfn.TEXTJOIN(CHAR(10),TRUE,R$9:R$18)</f>
        <v/>
      </c>
      <c r="L12" s="55">
        <f>"Tranche 2"&amp;CHAR(10)&amp;_xlfn.TEXTJOIN(CHAR(10),TRUE,S$9:S$18)</f>
        <v/>
      </c>
      <c r="M12" s="59">
        <f>_xlfn.TEXTJOIN(CHAR(10),TRUE,T$9:T$18)</f>
        <v/>
      </c>
      <c r="O12">
        <f>IF(AND($B12&lt;&gt;"",$C12&lt;&gt;"Target state",$C12&lt;&gt;"Exception",$D12="High",$E12="Low"),$A12&amp;"  "&amp;$B12,"")</f>
        <v/>
      </c>
      <c r="P12">
        <f>IF(AND($B12&lt;&gt;"",$C12&lt;&gt;"Target state",$C12&lt;&gt;"Exception",$D12="High",$E12="Medium"),$A12&amp;"  "&amp;$B12,"")</f>
        <v/>
      </c>
      <c r="Q12">
        <f>IF(AND($B12&lt;&gt;"",$C12&lt;&gt;"Target state",$C12&lt;&gt;"Exception",$D12="High",$E12="High"),$A12&amp;"  "&amp;$B12,"")</f>
        <v/>
      </c>
      <c r="R12">
        <f>IF(AND($B12&lt;&gt;"",$C12&lt;&gt;"Target state",$C12&lt;&gt;"Exception",$D12="Medium",$E12="Low"),$A12&amp;"  "&amp;$B12,"")</f>
        <v/>
      </c>
      <c r="S12">
        <f>IF(AND($B12&lt;&gt;"",$C12&lt;&gt;"Target state",$C12&lt;&gt;"Exception",$D12="Medium",$E12="Medium"),$A12&amp;"  "&amp;$B12,"")</f>
        <v/>
      </c>
      <c r="T12">
        <f>IF(AND($B12&lt;&gt;"",$C12&lt;&gt;"Target state",$C12&lt;&gt;"Exception",$D12="Medium",$E12="High"),$A12&amp;"  "&amp;$B12,"")</f>
        <v/>
      </c>
      <c r="U12">
        <f>IF(AND($B12&lt;&gt;"",$C12&lt;&gt;"Target state",$C12&lt;&gt;"Exception",$D12="Low",$E12="Low"),$A12&amp;"  "&amp;$B12,"")</f>
        <v/>
      </c>
      <c r="V12">
        <f>IF(AND($B12&lt;&gt;"",$C12&lt;&gt;"Target state",$C12&lt;&gt;"Exception",$D12="Low",$E12="Medium"),$A12&amp;"  "&amp;$B12,"")</f>
        <v/>
      </c>
      <c r="W12">
        <f>IF(AND($B12&lt;&gt;"",$C12&lt;&gt;"Target state",$C12&lt;&gt;"Exception",$D12="Low",$E12="High"),$A12&amp;"  "&amp;$B12,"")</f>
        <v/>
      </c>
    </row>
    <row r="13" ht="20" customHeight="1">
      <c r="A13" s="49" t="inlineStr">
        <is>
          <t>⑤</t>
        </is>
      </c>
      <c r="B13" s="50" t="n"/>
      <c r="C13" s="33" t="n"/>
      <c r="D13" s="33" t="n"/>
      <c r="E13" s="33" t="n"/>
      <c r="F13" s="32" t="n"/>
      <c r="G13" s="51">
        <f>IF(OR($B13="",$D13="",$E13=""),"",IF(OR($C13="Target state",$C13="Exception"),"Out of scope",IF($D13="Low","No tranche",IF($E13="Low","Tranche 1",IF($E13="Medium","Tranche 2",IF($D13="High","Tranche 3","No tranche"))))))</f>
        <v/>
      </c>
      <c r="K13" s="57" t="n"/>
      <c r="L13" s="57" t="n"/>
      <c r="M13" s="57" t="n"/>
      <c r="O13">
        <f>IF(AND($B13&lt;&gt;"",$C13&lt;&gt;"Target state",$C13&lt;&gt;"Exception",$D13="High",$E13="Low"),$A13&amp;"  "&amp;$B13,"")</f>
        <v/>
      </c>
      <c r="P13">
        <f>IF(AND($B13&lt;&gt;"",$C13&lt;&gt;"Target state",$C13&lt;&gt;"Exception",$D13="High",$E13="Medium"),$A13&amp;"  "&amp;$B13,"")</f>
        <v/>
      </c>
      <c r="Q13">
        <f>IF(AND($B13&lt;&gt;"",$C13&lt;&gt;"Target state",$C13&lt;&gt;"Exception",$D13="High",$E13="High"),$A13&amp;"  "&amp;$B13,"")</f>
        <v/>
      </c>
      <c r="R13">
        <f>IF(AND($B13&lt;&gt;"",$C13&lt;&gt;"Target state",$C13&lt;&gt;"Exception",$D13="Medium",$E13="Low"),$A13&amp;"  "&amp;$B13,"")</f>
        <v/>
      </c>
      <c r="S13">
        <f>IF(AND($B13&lt;&gt;"",$C13&lt;&gt;"Target state",$C13&lt;&gt;"Exception",$D13="Medium",$E13="Medium"),$A13&amp;"  "&amp;$B13,"")</f>
        <v/>
      </c>
      <c r="T13">
        <f>IF(AND($B13&lt;&gt;"",$C13&lt;&gt;"Target state",$C13&lt;&gt;"Exception",$D13="Medium",$E13="High"),$A13&amp;"  "&amp;$B13,"")</f>
        <v/>
      </c>
      <c r="U13">
        <f>IF(AND($B13&lt;&gt;"",$C13&lt;&gt;"Target state",$C13&lt;&gt;"Exception",$D13="Low",$E13="Low"),$A13&amp;"  "&amp;$B13,"")</f>
        <v/>
      </c>
      <c r="V13">
        <f>IF(AND($B13&lt;&gt;"",$C13&lt;&gt;"Target state",$C13&lt;&gt;"Exception",$D13="Low",$E13="Medium"),$A13&amp;"  "&amp;$B13,"")</f>
        <v/>
      </c>
      <c r="W13">
        <f>IF(AND($B13&lt;&gt;"",$C13&lt;&gt;"Target state",$C13&lt;&gt;"Exception",$D13="Low",$E13="High"),$A13&amp;"  "&amp;$B13,"")</f>
        <v/>
      </c>
    </row>
    <row r="14" ht="20" customHeight="1">
      <c r="A14" s="49" t="inlineStr">
        <is>
          <t>⑥</t>
        </is>
      </c>
      <c r="B14" s="50" t="n"/>
      <c r="C14" s="33" t="n"/>
      <c r="D14" s="33" t="n"/>
      <c r="E14" s="33" t="n"/>
      <c r="F14" s="32" t="n"/>
      <c r="G14" s="51">
        <f>IF(OR($B14="",$D14="",$E14=""),"",IF(OR($C14="Target state",$C14="Exception"),"Out of scope",IF($D14="Low","No tranche",IF($E14="Low","Tranche 1",IF($E14="Medium","Tranche 2",IF($D14="High","Tranche 3","No tranche"))))))</f>
        <v/>
      </c>
      <c r="K14" s="58" t="n"/>
      <c r="L14" s="58" t="n"/>
      <c r="M14" s="58" t="n"/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49" t="inlineStr">
        <is>
          <t>⑦</t>
        </is>
      </c>
      <c r="B15" s="50" t="n"/>
      <c r="C15" s="33" t="n"/>
      <c r="D15" s="33" t="n"/>
      <c r="E15" s="33" t="n"/>
      <c r="F15" s="32" t="n"/>
      <c r="G15" s="51">
        <f>IF(OR($B15="",$D15="",$E15=""),"",IF(OR($C15="Target state",$C15="Exception"),"Out of scope",IF($D15="Low","No tranche",IF($E15="Low","Tranche 1",IF($E15="Medium","Tranche 2",IF($D15="High","Tranche 3","No tranche"))))))</f>
        <v/>
      </c>
      <c r="J15" s="53" t="inlineStr">
        <is>
          <t>Low</t>
        </is>
      </c>
      <c r="K15" s="59">
        <f>_xlfn.TEXTJOIN(CHAR(10),TRUE,U$9:U$18)</f>
        <v/>
      </c>
      <c r="L15" s="59">
        <f>_xlfn.TEXTJOIN(CHAR(10),TRUE,V$9:V$18)</f>
        <v/>
      </c>
      <c r="M15" s="59">
        <f>_xlfn.TEXTJOIN(CHAR(10),TRUE,W$9:W$18)</f>
        <v/>
      </c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49" t="inlineStr">
        <is>
          <t>⑧</t>
        </is>
      </c>
      <c r="B16" s="50" t="n"/>
      <c r="C16" s="33" t="n"/>
      <c r="D16" s="33" t="n"/>
      <c r="E16" s="33" t="n"/>
      <c r="F16" s="32" t="n"/>
      <c r="G16" s="51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57" t="n"/>
      <c r="L16" s="57" t="n"/>
      <c r="M16" s="57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49" t="inlineStr">
        <is>
          <t>⑨</t>
        </is>
      </c>
      <c r="B17" s="50" t="n"/>
      <c r="C17" s="33" t="n"/>
      <c r="D17" s="33" t="n"/>
      <c r="E17" s="33" t="n"/>
      <c r="F17" s="32" t="n"/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K17" s="58" t="n"/>
      <c r="L17" s="58" t="n"/>
      <c r="M17" s="58" t="n"/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⑩</t>
        </is>
      </c>
      <c r="B18" s="50" t="n"/>
      <c r="C18" s="33" t="n"/>
      <c r="D18" s="33" t="n"/>
      <c r="E18" s="33" t="n"/>
      <c r="F18" s="32" t="n"/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53" t="inlineStr">
        <is>
          <t>Complexity</t>
        </is>
      </c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</sheetData>
  <mergeCells count="17">
    <mergeCell ref="L12:L14"/>
    <mergeCell ref="J9:J11"/>
    <mergeCell ref="J12:J14"/>
    <mergeCell ref="K9:K11"/>
    <mergeCell ref="M12:M14"/>
    <mergeCell ref="K15:K17"/>
    <mergeCell ref="I9:I17"/>
    <mergeCell ref="J15:J17"/>
    <mergeCell ref="L9:L11"/>
    <mergeCell ref="L15:L17"/>
    <mergeCell ref="K12:K14"/>
    <mergeCell ref="K18:M18"/>
    <mergeCell ref="M15:M17"/>
    <mergeCell ref="A4:C4"/>
    <mergeCell ref="K7:M7"/>
    <mergeCell ref="A7:F7"/>
    <mergeCell ref="M9:M11"/>
  </mergeCells>
  <conditionalFormatting sqref="A9:G18">
    <cfRule type="expression" priority="1" dxfId="0">
      <formula>OR($C9="Target state",$C9="Exception")</formula>
    </cfRule>
  </conditionalFormatting>
  <dataValidations count="2">
    <dataValidation sqref="C9:C18" showDropDown="0" showInputMessage="0" showErrorMessage="0" allowBlank="1" type="list">
      <formula1>"Target state,Non-target state,Exception"</formula1>
    </dataValidation>
    <dataValidation sqref="D9:E1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Global Infrastructure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HYPERLINK("#'Global Infrastructure'!A12","Data Centers")</f>
        <v/>
      </c>
    </row>
    <row r="6">
      <c r="A6" s="43" t="inlineStr">
        <is>
          <t>2.</t>
        </is>
      </c>
      <c r="B6" s="3">
        <f>HYPERLINK("#'Global Infrastructure'!A26","Cloud")</f>
        <v/>
      </c>
    </row>
    <row r="7">
      <c r="A7" s="43" t="inlineStr">
        <is>
          <t>3.</t>
        </is>
      </c>
      <c r="B7" s="3">
        <f>HYPERLINK("#'Global Infrastructure'!A40","Observability")</f>
        <v/>
      </c>
    </row>
    <row r="8">
      <c r="A8" s="43" t="inlineStr">
        <is>
          <t>4.</t>
        </is>
      </c>
      <c r="B8" s="3">
        <f>HYPERLINK("#'Global Infrastructure'!A54","Security")</f>
        <v/>
      </c>
    </row>
    <row r="9">
      <c r="A9" s="43" t="inlineStr">
        <is>
          <t>5.</t>
        </is>
      </c>
      <c r="B9" s="3">
        <f>HYPERLINK("#'Global Infrastructure'!A68","AI Tools")</f>
        <v/>
      </c>
    </row>
    <row r="10">
      <c r="A10" s="43" t="inlineStr">
        <is>
          <t>6.</t>
        </is>
      </c>
      <c r="B10" s="3">
        <f>HYPERLINK("#'Global Infrastructure'!A82","Design Systems")</f>
        <v/>
      </c>
    </row>
    <row r="12" ht="22" customHeight="1">
      <c r="A12" s="44" t="inlineStr">
        <is>
          <t>Data Centers</t>
        </is>
      </c>
      <c r="G12" s="45">
        <f>HYPERLINK("#'Global Infrastructure'!A4","▲ tracker")</f>
        <v/>
      </c>
      <c r="K12" s="46" t="inlineStr">
        <is>
          <t>Assessment Outcome</t>
        </is>
      </c>
    </row>
    <row r="13" ht="26" customHeight="1">
      <c r="A13" s="47" t="inlineStr">
        <is>
          <t>#</t>
        </is>
      </c>
      <c r="B13" s="47" t="inlineStr">
        <is>
          <t>Platform</t>
        </is>
      </c>
      <c r="C13" s="47" t="inlineStr">
        <is>
          <t>State</t>
        </is>
      </c>
      <c r="D13" s="47" t="inlineStr">
        <is>
          <t>Imperative to exit (= Benefits)</t>
        </is>
      </c>
      <c r="E13" s="47" t="inlineStr">
        <is>
          <t>Exit complexity</t>
        </is>
      </c>
      <c r="F13" s="47" t="inlineStr">
        <is>
          <t>Supporting facts</t>
        </is>
      </c>
      <c r="G13" s="47" t="inlineStr">
        <is>
          <t>Tranche (auto)</t>
        </is>
      </c>
      <c r="K13" s="48" t="inlineStr">
        <is>
          <t>Low</t>
        </is>
      </c>
      <c r="L13" s="48" t="inlineStr">
        <is>
          <t>Medium</t>
        </is>
      </c>
      <c r="M13" s="48" t="inlineStr">
        <is>
          <t>High</t>
        </is>
      </c>
    </row>
    <row r="14" ht="20" customHeight="1">
      <c r="A14" s="49" t="inlineStr">
        <is>
          <t>①</t>
        </is>
      </c>
      <c r="B14" s="50" t="n"/>
      <c r="C14" s="33" t="n"/>
      <c r="D14" s="33" t="n"/>
      <c r="E14" s="33" t="n"/>
      <c r="F14" s="32" t="n"/>
      <c r="G14" s="51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52" t="inlineStr">
        <is>
          <t>Benefits (= Imperative to exit)</t>
        </is>
      </c>
      <c r="J14" s="53" t="inlineStr">
        <is>
          <t>High</t>
        </is>
      </c>
      <c r="K14" s="54">
        <f>"Tranche 1"&amp;CHAR(10)&amp;_xlfn.TEXTJOIN(CHAR(10),TRUE,O$14:O$23)</f>
        <v/>
      </c>
      <c r="L14" s="55">
        <f>"Tranche 2"&amp;CHAR(10)&amp;_xlfn.TEXTJOIN(CHAR(10),TRUE,P$14:P$23)</f>
        <v/>
      </c>
      <c r="M14" s="56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49" t="inlineStr">
        <is>
          <t>②</t>
        </is>
      </c>
      <c r="B15" s="50" t="n"/>
      <c r="C15" s="33" t="n"/>
      <c r="D15" s="33" t="n"/>
      <c r="E15" s="33" t="n"/>
      <c r="F15" s="32" t="n"/>
      <c r="G15" s="51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57" t="n"/>
      <c r="L15" s="57" t="n"/>
      <c r="M15" s="57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49" t="inlineStr">
        <is>
          <t>③</t>
        </is>
      </c>
      <c r="B16" s="50" t="n"/>
      <c r="C16" s="33" t="n"/>
      <c r="D16" s="33" t="n"/>
      <c r="E16" s="33" t="n"/>
      <c r="F16" s="32" t="n"/>
      <c r="G16" s="51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58" t="n"/>
      <c r="L16" s="58" t="n"/>
      <c r="M16" s="58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49" t="inlineStr">
        <is>
          <t>④</t>
        </is>
      </c>
      <c r="B17" s="50" t="n"/>
      <c r="C17" s="33" t="n"/>
      <c r="D17" s="33" t="n"/>
      <c r="E17" s="33" t="n"/>
      <c r="F17" s="32" t="n"/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53" t="inlineStr">
        <is>
          <t>Medium</t>
        </is>
      </c>
      <c r="K17" s="54">
        <f>"Tranche 1"&amp;CHAR(10)&amp;_xlfn.TEXTJOIN(CHAR(10),TRUE,R$14:R$23)</f>
        <v/>
      </c>
      <c r="L17" s="55">
        <f>"Tranche 2"&amp;CHAR(10)&amp;_xlfn.TEXTJOIN(CHAR(10),TRUE,S$14:S$23)</f>
        <v/>
      </c>
      <c r="M17" s="59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⑤</t>
        </is>
      </c>
      <c r="B18" s="50" t="n"/>
      <c r="C18" s="33" t="n"/>
      <c r="D18" s="33" t="n"/>
      <c r="E18" s="33" t="n"/>
      <c r="F18" s="32" t="n"/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57" t="n"/>
      <c r="L18" s="57" t="n"/>
      <c r="M18" s="57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49" t="inlineStr">
        <is>
          <t>⑥</t>
        </is>
      </c>
      <c r="B19" s="50" t="n"/>
      <c r="C19" s="33" t="n"/>
      <c r="D19" s="33" t="n"/>
      <c r="E19" s="33" t="n"/>
      <c r="F19" s="32" t="n"/>
      <c r="G19" s="51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58" t="n"/>
      <c r="L19" s="58" t="n"/>
      <c r="M19" s="58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49" t="inlineStr">
        <is>
          <t>⑦</t>
        </is>
      </c>
      <c r="B20" s="50" t="n"/>
      <c r="C20" s="33" t="n"/>
      <c r="D20" s="33" t="n"/>
      <c r="E20" s="33" t="n"/>
      <c r="F20" s="32" t="n"/>
      <c r="G20" s="51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53" t="inlineStr">
        <is>
          <t>Low</t>
        </is>
      </c>
      <c r="K20" s="59">
        <f>_xlfn.TEXTJOIN(CHAR(10),TRUE,U$14:U$23)</f>
        <v/>
      </c>
      <c r="L20" s="59">
        <f>_xlfn.TEXTJOIN(CHAR(10),TRUE,V$14:V$23)</f>
        <v/>
      </c>
      <c r="M20" s="59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49" t="inlineStr">
        <is>
          <t>⑧</t>
        </is>
      </c>
      <c r="B21" s="50" t="n"/>
      <c r="C21" s="33" t="n"/>
      <c r="D21" s="33" t="n"/>
      <c r="E21" s="33" t="n"/>
      <c r="F21" s="32" t="n"/>
      <c r="G21" s="51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57" t="n"/>
      <c r="L21" s="57" t="n"/>
      <c r="M21" s="57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49" t="inlineStr">
        <is>
          <t>⑨</t>
        </is>
      </c>
      <c r="B22" s="50" t="n"/>
      <c r="C22" s="33" t="n"/>
      <c r="D22" s="33" t="n"/>
      <c r="E22" s="33" t="n"/>
      <c r="F22" s="32" t="n"/>
      <c r="G22" s="51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58" t="n"/>
      <c r="L22" s="58" t="n"/>
      <c r="M22" s="58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49" t="inlineStr">
        <is>
          <t>⑩</t>
        </is>
      </c>
      <c r="B23" s="50" t="n"/>
      <c r="C23" s="33" t="n"/>
      <c r="D23" s="33" t="n"/>
      <c r="E23" s="33" t="n"/>
      <c r="F23" s="32" t="n"/>
      <c r="G23" s="51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53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44" t="inlineStr">
        <is>
          <t>Cloud</t>
        </is>
      </c>
      <c r="G26" s="45">
        <f>HYPERLINK("#'Global Infrastructure'!A4","▲ tracker")</f>
        <v/>
      </c>
      <c r="K26" s="46" t="inlineStr">
        <is>
          <t>Assessment Outcome</t>
        </is>
      </c>
    </row>
    <row r="27" ht="26" customHeight="1">
      <c r="A27" s="47" t="inlineStr">
        <is>
          <t>#</t>
        </is>
      </c>
      <c r="B27" s="47" t="inlineStr">
        <is>
          <t>Platform</t>
        </is>
      </c>
      <c r="C27" s="47" t="inlineStr">
        <is>
          <t>State</t>
        </is>
      </c>
      <c r="D27" s="47" t="inlineStr">
        <is>
          <t>Imperative to exit (= Benefits)</t>
        </is>
      </c>
      <c r="E27" s="47" t="inlineStr">
        <is>
          <t>Exit complexity</t>
        </is>
      </c>
      <c r="F27" s="47" t="inlineStr">
        <is>
          <t>Supporting facts</t>
        </is>
      </c>
      <c r="G27" s="47" t="inlineStr">
        <is>
          <t>Tranche (auto)</t>
        </is>
      </c>
      <c r="K27" s="48" t="inlineStr">
        <is>
          <t>Low</t>
        </is>
      </c>
      <c r="L27" s="48" t="inlineStr">
        <is>
          <t>Medium</t>
        </is>
      </c>
      <c r="M27" s="48" t="inlineStr">
        <is>
          <t>High</t>
        </is>
      </c>
    </row>
    <row r="28" ht="20" customHeight="1">
      <c r="A28" s="49" t="inlineStr">
        <is>
          <t>①</t>
        </is>
      </c>
      <c r="B28" s="50" t="n"/>
      <c r="C28" s="33" t="n"/>
      <c r="D28" s="33" t="n"/>
      <c r="E28" s="33" t="n"/>
      <c r="F28" s="32" t="n"/>
      <c r="G28" s="51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52" t="inlineStr">
        <is>
          <t>Benefits (= Imperative to exit)</t>
        </is>
      </c>
      <c r="J28" s="53" t="inlineStr">
        <is>
          <t>High</t>
        </is>
      </c>
      <c r="K28" s="54">
        <f>"Tranche 1"&amp;CHAR(10)&amp;_xlfn.TEXTJOIN(CHAR(10),TRUE,O$28:O$37)</f>
        <v/>
      </c>
      <c r="L28" s="55">
        <f>"Tranche 2"&amp;CHAR(10)&amp;_xlfn.TEXTJOIN(CHAR(10),TRUE,P$28:P$37)</f>
        <v/>
      </c>
      <c r="M28" s="56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49" t="inlineStr">
        <is>
          <t>②</t>
        </is>
      </c>
      <c r="B29" s="50" t="n"/>
      <c r="C29" s="33" t="n"/>
      <c r="D29" s="33" t="n"/>
      <c r="E29" s="33" t="n"/>
      <c r="F29" s="32" t="n"/>
      <c r="G29" s="51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57" t="n"/>
      <c r="L29" s="57" t="n"/>
      <c r="M29" s="57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49" t="inlineStr">
        <is>
          <t>③</t>
        </is>
      </c>
      <c r="B30" s="50" t="n"/>
      <c r="C30" s="33" t="n"/>
      <c r="D30" s="33" t="n"/>
      <c r="E30" s="33" t="n"/>
      <c r="F30" s="32" t="n"/>
      <c r="G30" s="51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58" t="n"/>
      <c r="L30" s="58" t="n"/>
      <c r="M30" s="58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49" t="inlineStr">
        <is>
          <t>④</t>
        </is>
      </c>
      <c r="B31" s="50" t="n"/>
      <c r="C31" s="33" t="n"/>
      <c r="D31" s="33" t="n"/>
      <c r="E31" s="33" t="n"/>
      <c r="F31" s="32" t="n"/>
      <c r="G31" s="51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53" t="inlineStr">
        <is>
          <t>Medium</t>
        </is>
      </c>
      <c r="K31" s="54">
        <f>"Tranche 1"&amp;CHAR(10)&amp;_xlfn.TEXTJOIN(CHAR(10),TRUE,R$28:R$37)</f>
        <v/>
      </c>
      <c r="L31" s="55">
        <f>"Tranche 2"&amp;CHAR(10)&amp;_xlfn.TEXTJOIN(CHAR(10),TRUE,S$28:S$37)</f>
        <v/>
      </c>
      <c r="M31" s="59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49" t="inlineStr">
        <is>
          <t>⑤</t>
        </is>
      </c>
      <c r="B32" s="50" t="n"/>
      <c r="C32" s="33" t="n"/>
      <c r="D32" s="33" t="n"/>
      <c r="E32" s="33" t="n"/>
      <c r="F32" s="32" t="n"/>
      <c r="G32" s="51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57" t="n"/>
      <c r="L32" s="57" t="n"/>
      <c r="M32" s="57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49" t="inlineStr">
        <is>
          <t>⑥</t>
        </is>
      </c>
      <c r="B33" s="50" t="n"/>
      <c r="C33" s="33" t="n"/>
      <c r="D33" s="33" t="n"/>
      <c r="E33" s="33" t="n"/>
      <c r="F33" s="32" t="n"/>
      <c r="G33" s="51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58" t="n"/>
      <c r="L33" s="58" t="n"/>
      <c r="M33" s="58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49" t="inlineStr">
        <is>
          <t>⑦</t>
        </is>
      </c>
      <c r="B34" s="50" t="n"/>
      <c r="C34" s="33" t="n"/>
      <c r="D34" s="33" t="n"/>
      <c r="E34" s="33" t="n"/>
      <c r="F34" s="32" t="n"/>
      <c r="G34" s="51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53" t="inlineStr">
        <is>
          <t>Low</t>
        </is>
      </c>
      <c r="K34" s="59">
        <f>_xlfn.TEXTJOIN(CHAR(10),TRUE,U$28:U$37)</f>
        <v/>
      </c>
      <c r="L34" s="59">
        <f>_xlfn.TEXTJOIN(CHAR(10),TRUE,V$28:V$37)</f>
        <v/>
      </c>
      <c r="M34" s="59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49" t="inlineStr">
        <is>
          <t>⑧</t>
        </is>
      </c>
      <c r="B35" s="50" t="n"/>
      <c r="C35" s="33" t="n"/>
      <c r="D35" s="33" t="n"/>
      <c r="E35" s="33" t="n"/>
      <c r="F35" s="32" t="n"/>
      <c r="G35" s="51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57" t="n"/>
      <c r="L35" s="57" t="n"/>
      <c r="M35" s="57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49" t="inlineStr">
        <is>
          <t>⑨</t>
        </is>
      </c>
      <c r="B36" s="50" t="n"/>
      <c r="C36" s="33" t="n"/>
      <c r="D36" s="33" t="n"/>
      <c r="E36" s="33" t="n"/>
      <c r="F36" s="32" t="n"/>
      <c r="G36" s="51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58" t="n"/>
      <c r="L36" s="58" t="n"/>
      <c r="M36" s="58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49" t="inlineStr">
        <is>
          <t>⑩</t>
        </is>
      </c>
      <c r="B37" s="50" t="n"/>
      <c r="C37" s="33" t="n"/>
      <c r="D37" s="33" t="n"/>
      <c r="E37" s="33" t="n"/>
      <c r="F37" s="32" t="n"/>
      <c r="G37" s="51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53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44" t="inlineStr">
        <is>
          <t>Observability</t>
        </is>
      </c>
      <c r="G40" s="45">
        <f>HYPERLINK("#'Global Infrastructure'!A4","▲ tracker")</f>
        <v/>
      </c>
      <c r="K40" s="46" t="inlineStr">
        <is>
          <t>Assessment Outcome</t>
        </is>
      </c>
    </row>
    <row r="41" ht="26" customHeight="1">
      <c r="A41" s="47" t="inlineStr">
        <is>
          <t>#</t>
        </is>
      </c>
      <c r="B41" s="47" t="inlineStr">
        <is>
          <t>Platform</t>
        </is>
      </c>
      <c r="C41" s="47" t="inlineStr">
        <is>
          <t>State</t>
        </is>
      </c>
      <c r="D41" s="47" t="inlineStr">
        <is>
          <t>Imperative to exit (= Benefits)</t>
        </is>
      </c>
      <c r="E41" s="47" t="inlineStr">
        <is>
          <t>Exit complexity</t>
        </is>
      </c>
      <c r="F41" s="47" t="inlineStr">
        <is>
          <t>Supporting facts</t>
        </is>
      </c>
      <c r="G41" s="47" t="inlineStr">
        <is>
          <t>Tranche (auto)</t>
        </is>
      </c>
      <c r="K41" s="48" t="inlineStr">
        <is>
          <t>Low</t>
        </is>
      </c>
      <c r="L41" s="48" t="inlineStr">
        <is>
          <t>Medium</t>
        </is>
      </c>
      <c r="M41" s="48" t="inlineStr">
        <is>
          <t>High</t>
        </is>
      </c>
    </row>
    <row r="42" ht="20" customHeight="1">
      <c r="A42" s="49" t="inlineStr">
        <is>
          <t>①</t>
        </is>
      </c>
      <c r="B42" s="50" t="n"/>
      <c r="C42" s="33" t="n"/>
      <c r="D42" s="33" t="n"/>
      <c r="E42" s="33" t="n"/>
      <c r="F42" s="32" t="n"/>
      <c r="G42" s="51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52" t="inlineStr">
        <is>
          <t>Benefits (= Imperative to exit)</t>
        </is>
      </c>
      <c r="J42" s="53" t="inlineStr">
        <is>
          <t>High</t>
        </is>
      </c>
      <c r="K42" s="54">
        <f>"Tranche 1"&amp;CHAR(10)&amp;_xlfn.TEXTJOIN(CHAR(10),TRUE,O$42:O$51)</f>
        <v/>
      </c>
      <c r="L42" s="55">
        <f>"Tranche 2"&amp;CHAR(10)&amp;_xlfn.TEXTJOIN(CHAR(10),TRUE,P$42:P$51)</f>
        <v/>
      </c>
      <c r="M42" s="56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49" t="inlineStr">
        <is>
          <t>②</t>
        </is>
      </c>
      <c r="B43" s="50" t="n"/>
      <c r="C43" s="33" t="n"/>
      <c r="D43" s="33" t="n"/>
      <c r="E43" s="33" t="n"/>
      <c r="F43" s="32" t="n"/>
      <c r="G43" s="51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57" t="n"/>
      <c r="L43" s="57" t="n"/>
      <c r="M43" s="57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49" t="inlineStr">
        <is>
          <t>③</t>
        </is>
      </c>
      <c r="B44" s="50" t="n"/>
      <c r="C44" s="33" t="n"/>
      <c r="D44" s="33" t="n"/>
      <c r="E44" s="33" t="n"/>
      <c r="F44" s="32" t="n"/>
      <c r="G44" s="51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58" t="n"/>
      <c r="L44" s="58" t="n"/>
      <c r="M44" s="58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49" t="inlineStr">
        <is>
          <t>④</t>
        </is>
      </c>
      <c r="B45" s="50" t="n"/>
      <c r="C45" s="33" t="n"/>
      <c r="D45" s="33" t="n"/>
      <c r="E45" s="33" t="n"/>
      <c r="F45" s="32" t="n"/>
      <c r="G45" s="51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53" t="inlineStr">
        <is>
          <t>Medium</t>
        </is>
      </c>
      <c r="K45" s="54">
        <f>"Tranche 1"&amp;CHAR(10)&amp;_xlfn.TEXTJOIN(CHAR(10),TRUE,R$42:R$51)</f>
        <v/>
      </c>
      <c r="L45" s="55">
        <f>"Tranche 2"&amp;CHAR(10)&amp;_xlfn.TEXTJOIN(CHAR(10),TRUE,S$42:S$51)</f>
        <v/>
      </c>
      <c r="M45" s="59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49" t="inlineStr">
        <is>
          <t>⑤</t>
        </is>
      </c>
      <c r="B46" s="50" t="n"/>
      <c r="C46" s="33" t="n"/>
      <c r="D46" s="33" t="n"/>
      <c r="E46" s="33" t="n"/>
      <c r="F46" s="32" t="n"/>
      <c r="G46" s="51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57" t="n"/>
      <c r="L46" s="57" t="n"/>
      <c r="M46" s="57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49" t="inlineStr">
        <is>
          <t>⑥</t>
        </is>
      </c>
      <c r="B47" s="50" t="n"/>
      <c r="C47" s="33" t="n"/>
      <c r="D47" s="33" t="n"/>
      <c r="E47" s="33" t="n"/>
      <c r="F47" s="32" t="n"/>
      <c r="G47" s="51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58" t="n"/>
      <c r="L47" s="58" t="n"/>
      <c r="M47" s="58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49" t="inlineStr">
        <is>
          <t>⑦</t>
        </is>
      </c>
      <c r="B48" s="50" t="n"/>
      <c r="C48" s="33" t="n"/>
      <c r="D48" s="33" t="n"/>
      <c r="E48" s="33" t="n"/>
      <c r="F48" s="32" t="n"/>
      <c r="G48" s="51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53" t="inlineStr">
        <is>
          <t>Low</t>
        </is>
      </c>
      <c r="K48" s="59">
        <f>_xlfn.TEXTJOIN(CHAR(10),TRUE,U$42:U$51)</f>
        <v/>
      </c>
      <c r="L48" s="59">
        <f>_xlfn.TEXTJOIN(CHAR(10),TRUE,V$42:V$51)</f>
        <v/>
      </c>
      <c r="M48" s="59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49" t="inlineStr">
        <is>
          <t>⑧</t>
        </is>
      </c>
      <c r="B49" s="50" t="n"/>
      <c r="C49" s="33" t="n"/>
      <c r="D49" s="33" t="n"/>
      <c r="E49" s="33" t="n"/>
      <c r="F49" s="32" t="n"/>
      <c r="G49" s="51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57" t="n"/>
      <c r="L49" s="57" t="n"/>
      <c r="M49" s="57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49" t="inlineStr">
        <is>
          <t>⑨</t>
        </is>
      </c>
      <c r="B50" s="50" t="n"/>
      <c r="C50" s="33" t="n"/>
      <c r="D50" s="33" t="n"/>
      <c r="E50" s="33" t="n"/>
      <c r="F50" s="32" t="n"/>
      <c r="G50" s="51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58" t="n"/>
      <c r="L50" s="58" t="n"/>
      <c r="M50" s="58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49" t="inlineStr">
        <is>
          <t>⑩</t>
        </is>
      </c>
      <c r="B51" s="50" t="n"/>
      <c r="C51" s="33" t="n"/>
      <c r="D51" s="33" t="n"/>
      <c r="E51" s="33" t="n"/>
      <c r="F51" s="32" t="n"/>
      <c r="G51" s="51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53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44" t="inlineStr">
        <is>
          <t>Security</t>
        </is>
      </c>
      <c r="G54" s="45">
        <f>HYPERLINK("#'Global Infrastructure'!A4","▲ tracker")</f>
        <v/>
      </c>
      <c r="K54" s="46" t="inlineStr">
        <is>
          <t>Assessment Outcome</t>
        </is>
      </c>
    </row>
    <row r="55" ht="26" customHeight="1">
      <c r="A55" s="47" t="inlineStr">
        <is>
          <t>#</t>
        </is>
      </c>
      <c r="B55" s="47" t="inlineStr">
        <is>
          <t>Platform</t>
        </is>
      </c>
      <c r="C55" s="47" t="inlineStr">
        <is>
          <t>State</t>
        </is>
      </c>
      <c r="D55" s="47" t="inlineStr">
        <is>
          <t>Imperative to exit (= Benefits)</t>
        </is>
      </c>
      <c r="E55" s="47" t="inlineStr">
        <is>
          <t>Exit complexity</t>
        </is>
      </c>
      <c r="F55" s="47" t="inlineStr">
        <is>
          <t>Supporting facts</t>
        </is>
      </c>
      <c r="G55" s="47" t="inlineStr">
        <is>
          <t>Tranche (auto)</t>
        </is>
      </c>
      <c r="K55" s="48" t="inlineStr">
        <is>
          <t>Low</t>
        </is>
      </c>
      <c r="L55" s="48" t="inlineStr">
        <is>
          <t>Medium</t>
        </is>
      </c>
      <c r="M55" s="48" t="inlineStr">
        <is>
          <t>High</t>
        </is>
      </c>
    </row>
    <row r="56" ht="20" customHeight="1">
      <c r="A56" s="49" t="inlineStr">
        <is>
          <t>①</t>
        </is>
      </c>
      <c r="B56" s="50" t="n"/>
      <c r="C56" s="33" t="n"/>
      <c r="D56" s="33" t="n"/>
      <c r="E56" s="33" t="n"/>
      <c r="F56" s="32" t="n"/>
      <c r="G56" s="51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52" t="inlineStr">
        <is>
          <t>Benefits (= Imperative to exit)</t>
        </is>
      </c>
      <c r="J56" s="53" t="inlineStr">
        <is>
          <t>High</t>
        </is>
      </c>
      <c r="K56" s="54">
        <f>"Tranche 1"&amp;CHAR(10)&amp;_xlfn.TEXTJOIN(CHAR(10),TRUE,O$56:O$65)</f>
        <v/>
      </c>
      <c r="L56" s="55">
        <f>"Tranche 2"&amp;CHAR(10)&amp;_xlfn.TEXTJOIN(CHAR(10),TRUE,P$56:P$65)</f>
        <v/>
      </c>
      <c r="M56" s="56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49" t="inlineStr">
        <is>
          <t>②</t>
        </is>
      </c>
      <c r="B57" s="50" t="n"/>
      <c r="C57" s="33" t="n"/>
      <c r="D57" s="33" t="n"/>
      <c r="E57" s="33" t="n"/>
      <c r="F57" s="32" t="n"/>
      <c r="G57" s="51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57" t="n"/>
      <c r="L57" s="57" t="n"/>
      <c r="M57" s="57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49" t="inlineStr">
        <is>
          <t>③</t>
        </is>
      </c>
      <c r="B58" s="50" t="n"/>
      <c r="C58" s="33" t="n"/>
      <c r="D58" s="33" t="n"/>
      <c r="E58" s="33" t="n"/>
      <c r="F58" s="32" t="n"/>
      <c r="G58" s="51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58" t="n"/>
      <c r="L58" s="58" t="n"/>
      <c r="M58" s="58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49" t="inlineStr">
        <is>
          <t>④</t>
        </is>
      </c>
      <c r="B59" s="50" t="n"/>
      <c r="C59" s="33" t="n"/>
      <c r="D59" s="33" t="n"/>
      <c r="E59" s="33" t="n"/>
      <c r="F59" s="32" t="n"/>
      <c r="G59" s="51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53" t="inlineStr">
        <is>
          <t>Medium</t>
        </is>
      </c>
      <c r="K59" s="54">
        <f>"Tranche 1"&amp;CHAR(10)&amp;_xlfn.TEXTJOIN(CHAR(10),TRUE,R$56:R$65)</f>
        <v/>
      </c>
      <c r="L59" s="55">
        <f>"Tranche 2"&amp;CHAR(10)&amp;_xlfn.TEXTJOIN(CHAR(10),TRUE,S$56:S$65)</f>
        <v/>
      </c>
      <c r="M59" s="59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49" t="inlineStr">
        <is>
          <t>⑤</t>
        </is>
      </c>
      <c r="B60" s="50" t="n"/>
      <c r="C60" s="33" t="n"/>
      <c r="D60" s="33" t="n"/>
      <c r="E60" s="33" t="n"/>
      <c r="F60" s="32" t="n"/>
      <c r="G60" s="51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57" t="n"/>
      <c r="L60" s="57" t="n"/>
      <c r="M60" s="57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49" t="inlineStr">
        <is>
          <t>⑥</t>
        </is>
      </c>
      <c r="B61" s="50" t="n"/>
      <c r="C61" s="33" t="n"/>
      <c r="D61" s="33" t="n"/>
      <c r="E61" s="33" t="n"/>
      <c r="F61" s="32" t="n"/>
      <c r="G61" s="51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58" t="n"/>
      <c r="L61" s="58" t="n"/>
      <c r="M61" s="58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49" t="inlineStr">
        <is>
          <t>⑦</t>
        </is>
      </c>
      <c r="B62" s="50" t="n"/>
      <c r="C62" s="33" t="n"/>
      <c r="D62" s="33" t="n"/>
      <c r="E62" s="33" t="n"/>
      <c r="F62" s="32" t="n"/>
      <c r="G62" s="51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53" t="inlineStr">
        <is>
          <t>Low</t>
        </is>
      </c>
      <c r="K62" s="59">
        <f>_xlfn.TEXTJOIN(CHAR(10),TRUE,U$56:U$65)</f>
        <v/>
      </c>
      <c r="L62" s="59">
        <f>_xlfn.TEXTJOIN(CHAR(10),TRUE,V$56:V$65)</f>
        <v/>
      </c>
      <c r="M62" s="59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49" t="inlineStr">
        <is>
          <t>⑧</t>
        </is>
      </c>
      <c r="B63" s="50" t="n"/>
      <c r="C63" s="33" t="n"/>
      <c r="D63" s="33" t="n"/>
      <c r="E63" s="33" t="n"/>
      <c r="F63" s="32" t="n"/>
      <c r="G63" s="51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57" t="n"/>
      <c r="L63" s="57" t="n"/>
      <c r="M63" s="57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49" t="inlineStr">
        <is>
          <t>⑨</t>
        </is>
      </c>
      <c r="B64" s="50" t="n"/>
      <c r="C64" s="33" t="n"/>
      <c r="D64" s="33" t="n"/>
      <c r="E64" s="33" t="n"/>
      <c r="F64" s="32" t="n"/>
      <c r="G64" s="51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58" t="n"/>
      <c r="L64" s="58" t="n"/>
      <c r="M64" s="58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49" t="inlineStr">
        <is>
          <t>⑩</t>
        </is>
      </c>
      <c r="B65" s="50" t="n"/>
      <c r="C65" s="33" t="n"/>
      <c r="D65" s="33" t="n"/>
      <c r="E65" s="33" t="n"/>
      <c r="F65" s="32" t="n"/>
      <c r="G65" s="51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53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44" t="inlineStr">
        <is>
          <t>AI Tools</t>
        </is>
      </c>
      <c r="G68" s="45">
        <f>HYPERLINK("#'Global Infrastructure'!A4","▲ tracker")</f>
        <v/>
      </c>
      <c r="K68" s="46" t="inlineStr">
        <is>
          <t>Assessment Outcome</t>
        </is>
      </c>
    </row>
    <row r="69" ht="26" customHeight="1">
      <c r="A69" s="47" t="inlineStr">
        <is>
          <t>#</t>
        </is>
      </c>
      <c r="B69" s="47" t="inlineStr">
        <is>
          <t>Platform</t>
        </is>
      </c>
      <c r="C69" s="47" t="inlineStr">
        <is>
          <t>State</t>
        </is>
      </c>
      <c r="D69" s="47" t="inlineStr">
        <is>
          <t>Imperative to exit (= Benefits)</t>
        </is>
      </c>
      <c r="E69" s="47" t="inlineStr">
        <is>
          <t>Exit complexity</t>
        </is>
      </c>
      <c r="F69" s="47" t="inlineStr">
        <is>
          <t>Supporting facts</t>
        </is>
      </c>
      <c r="G69" s="47" t="inlineStr">
        <is>
          <t>Tranche (auto)</t>
        </is>
      </c>
      <c r="K69" s="48" t="inlineStr">
        <is>
          <t>Low</t>
        </is>
      </c>
      <c r="L69" s="48" t="inlineStr">
        <is>
          <t>Medium</t>
        </is>
      </c>
      <c r="M69" s="48" t="inlineStr">
        <is>
          <t>High</t>
        </is>
      </c>
    </row>
    <row r="70" ht="20" customHeight="1">
      <c r="A70" s="49" t="inlineStr">
        <is>
          <t>①</t>
        </is>
      </c>
      <c r="B70" s="50" t="n"/>
      <c r="C70" s="33" t="n"/>
      <c r="D70" s="33" t="n"/>
      <c r="E70" s="33" t="n"/>
      <c r="F70" s="32" t="n"/>
      <c r="G70" s="51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52" t="inlineStr">
        <is>
          <t>Benefits (= Imperative to exit)</t>
        </is>
      </c>
      <c r="J70" s="53" t="inlineStr">
        <is>
          <t>High</t>
        </is>
      </c>
      <c r="K70" s="54">
        <f>"Tranche 1"&amp;CHAR(10)&amp;_xlfn.TEXTJOIN(CHAR(10),TRUE,O$70:O$79)</f>
        <v/>
      </c>
      <c r="L70" s="55">
        <f>"Tranche 2"&amp;CHAR(10)&amp;_xlfn.TEXTJOIN(CHAR(10),TRUE,P$70:P$79)</f>
        <v/>
      </c>
      <c r="M70" s="56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49" t="inlineStr">
        <is>
          <t>②</t>
        </is>
      </c>
      <c r="B71" s="50" t="n"/>
      <c r="C71" s="33" t="n"/>
      <c r="D71" s="33" t="n"/>
      <c r="E71" s="33" t="n"/>
      <c r="F71" s="32" t="n"/>
      <c r="G71" s="51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57" t="n"/>
      <c r="L71" s="57" t="n"/>
      <c r="M71" s="57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49" t="inlineStr">
        <is>
          <t>③</t>
        </is>
      </c>
      <c r="B72" s="50" t="n"/>
      <c r="C72" s="33" t="n"/>
      <c r="D72" s="33" t="n"/>
      <c r="E72" s="33" t="n"/>
      <c r="F72" s="32" t="n"/>
      <c r="G72" s="51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58" t="n"/>
      <c r="L72" s="58" t="n"/>
      <c r="M72" s="58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49" t="inlineStr">
        <is>
          <t>④</t>
        </is>
      </c>
      <c r="B73" s="50" t="n"/>
      <c r="C73" s="33" t="n"/>
      <c r="D73" s="33" t="n"/>
      <c r="E73" s="33" t="n"/>
      <c r="F73" s="32" t="n"/>
      <c r="G73" s="51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53" t="inlineStr">
        <is>
          <t>Medium</t>
        </is>
      </c>
      <c r="K73" s="54">
        <f>"Tranche 1"&amp;CHAR(10)&amp;_xlfn.TEXTJOIN(CHAR(10),TRUE,R$70:R$79)</f>
        <v/>
      </c>
      <c r="L73" s="55">
        <f>"Tranche 2"&amp;CHAR(10)&amp;_xlfn.TEXTJOIN(CHAR(10),TRUE,S$70:S$79)</f>
        <v/>
      </c>
      <c r="M73" s="59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49" t="inlineStr">
        <is>
          <t>⑤</t>
        </is>
      </c>
      <c r="B74" s="50" t="n"/>
      <c r="C74" s="33" t="n"/>
      <c r="D74" s="33" t="n"/>
      <c r="E74" s="33" t="n"/>
      <c r="F74" s="32" t="n"/>
      <c r="G74" s="51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57" t="n"/>
      <c r="L74" s="57" t="n"/>
      <c r="M74" s="57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49" t="inlineStr">
        <is>
          <t>⑥</t>
        </is>
      </c>
      <c r="B75" s="50" t="n"/>
      <c r="C75" s="33" t="n"/>
      <c r="D75" s="33" t="n"/>
      <c r="E75" s="33" t="n"/>
      <c r="F75" s="32" t="n"/>
      <c r="G75" s="51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58" t="n"/>
      <c r="L75" s="58" t="n"/>
      <c r="M75" s="58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49" t="inlineStr">
        <is>
          <t>⑦</t>
        </is>
      </c>
      <c r="B76" s="50" t="n"/>
      <c r="C76" s="33" t="n"/>
      <c r="D76" s="33" t="n"/>
      <c r="E76" s="33" t="n"/>
      <c r="F76" s="32" t="n"/>
      <c r="G76" s="51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53" t="inlineStr">
        <is>
          <t>Low</t>
        </is>
      </c>
      <c r="K76" s="59">
        <f>_xlfn.TEXTJOIN(CHAR(10),TRUE,U$70:U$79)</f>
        <v/>
      </c>
      <c r="L76" s="59">
        <f>_xlfn.TEXTJOIN(CHAR(10),TRUE,V$70:V$79)</f>
        <v/>
      </c>
      <c r="M76" s="59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49" t="inlineStr">
        <is>
          <t>⑧</t>
        </is>
      </c>
      <c r="B77" s="50" t="n"/>
      <c r="C77" s="33" t="n"/>
      <c r="D77" s="33" t="n"/>
      <c r="E77" s="33" t="n"/>
      <c r="F77" s="32" t="n"/>
      <c r="G77" s="51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57" t="n"/>
      <c r="L77" s="57" t="n"/>
      <c r="M77" s="57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49" t="inlineStr">
        <is>
          <t>⑨</t>
        </is>
      </c>
      <c r="B78" s="50" t="n"/>
      <c r="C78" s="33" t="n"/>
      <c r="D78" s="33" t="n"/>
      <c r="E78" s="33" t="n"/>
      <c r="F78" s="32" t="n"/>
      <c r="G78" s="51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58" t="n"/>
      <c r="L78" s="58" t="n"/>
      <c r="M78" s="58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49" t="inlineStr">
        <is>
          <t>⑩</t>
        </is>
      </c>
      <c r="B79" s="50" t="n"/>
      <c r="C79" s="33" t="n"/>
      <c r="D79" s="33" t="n"/>
      <c r="E79" s="33" t="n"/>
      <c r="F79" s="32" t="n"/>
      <c r="G79" s="51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53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44" t="inlineStr">
        <is>
          <t>Design Systems</t>
        </is>
      </c>
      <c r="G82" s="45">
        <f>HYPERLINK("#'Global Infrastructure'!A4","▲ tracker")</f>
        <v/>
      </c>
      <c r="K82" s="46" t="inlineStr">
        <is>
          <t>Assessment Outcome</t>
        </is>
      </c>
    </row>
    <row r="83" ht="26" customHeight="1">
      <c r="A83" s="47" t="inlineStr">
        <is>
          <t>#</t>
        </is>
      </c>
      <c r="B83" s="47" t="inlineStr">
        <is>
          <t>Platform</t>
        </is>
      </c>
      <c r="C83" s="47" t="inlineStr">
        <is>
          <t>State</t>
        </is>
      </c>
      <c r="D83" s="47" t="inlineStr">
        <is>
          <t>Imperative to exit (= Benefits)</t>
        </is>
      </c>
      <c r="E83" s="47" t="inlineStr">
        <is>
          <t>Exit complexity</t>
        </is>
      </c>
      <c r="F83" s="47" t="inlineStr">
        <is>
          <t>Supporting facts</t>
        </is>
      </c>
      <c r="G83" s="47" t="inlineStr">
        <is>
          <t>Tranche (auto)</t>
        </is>
      </c>
      <c r="K83" s="48" t="inlineStr">
        <is>
          <t>Low</t>
        </is>
      </c>
      <c r="L83" s="48" t="inlineStr">
        <is>
          <t>Medium</t>
        </is>
      </c>
      <c r="M83" s="48" t="inlineStr">
        <is>
          <t>High</t>
        </is>
      </c>
    </row>
    <row r="84" ht="20" customHeight="1">
      <c r="A84" s="49" t="inlineStr">
        <is>
          <t>①</t>
        </is>
      </c>
      <c r="B84" s="50" t="n"/>
      <c r="C84" s="33" t="n"/>
      <c r="D84" s="33" t="n"/>
      <c r="E84" s="33" t="n"/>
      <c r="F84" s="32" t="n"/>
      <c r="G84" s="51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52" t="inlineStr">
        <is>
          <t>Benefits (= Imperative to exit)</t>
        </is>
      </c>
      <c r="J84" s="53" t="inlineStr">
        <is>
          <t>High</t>
        </is>
      </c>
      <c r="K84" s="54">
        <f>"Tranche 1"&amp;CHAR(10)&amp;_xlfn.TEXTJOIN(CHAR(10),TRUE,O$84:O$93)</f>
        <v/>
      </c>
      <c r="L84" s="55">
        <f>"Tranche 2"&amp;CHAR(10)&amp;_xlfn.TEXTJOIN(CHAR(10),TRUE,P$84:P$93)</f>
        <v/>
      </c>
      <c r="M84" s="56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49" t="inlineStr">
        <is>
          <t>②</t>
        </is>
      </c>
      <c r="B85" s="50" t="n"/>
      <c r="C85" s="33" t="n"/>
      <c r="D85" s="33" t="n"/>
      <c r="E85" s="33" t="n"/>
      <c r="F85" s="32" t="n"/>
      <c r="G85" s="51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57" t="n"/>
      <c r="L85" s="57" t="n"/>
      <c r="M85" s="57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49" t="inlineStr">
        <is>
          <t>③</t>
        </is>
      </c>
      <c r="B86" s="50" t="n"/>
      <c r="C86" s="33" t="n"/>
      <c r="D86" s="33" t="n"/>
      <c r="E86" s="33" t="n"/>
      <c r="F86" s="32" t="n"/>
      <c r="G86" s="51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58" t="n"/>
      <c r="L86" s="58" t="n"/>
      <c r="M86" s="58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49" t="inlineStr">
        <is>
          <t>④</t>
        </is>
      </c>
      <c r="B87" s="50" t="n"/>
      <c r="C87" s="33" t="n"/>
      <c r="D87" s="33" t="n"/>
      <c r="E87" s="33" t="n"/>
      <c r="F87" s="32" t="n"/>
      <c r="G87" s="51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53" t="inlineStr">
        <is>
          <t>Medium</t>
        </is>
      </c>
      <c r="K87" s="54">
        <f>"Tranche 1"&amp;CHAR(10)&amp;_xlfn.TEXTJOIN(CHAR(10),TRUE,R$84:R$93)</f>
        <v/>
      </c>
      <c r="L87" s="55">
        <f>"Tranche 2"&amp;CHAR(10)&amp;_xlfn.TEXTJOIN(CHAR(10),TRUE,S$84:S$93)</f>
        <v/>
      </c>
      <c r="M87" s="59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49" t="inlineStr">
        <is>
          <t>⑤</t>
        </is>
      </c>
      <c r="B88" s="50" t="n"/>
      <c r="C88" s="33" t="n"/>
      <c r="D88" s="33" t="n"/>
      <c r="E88" s="33" t="n"/>
      <c r="F88" s="32" t="n"/>
      <c r="G88" s="51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57" t="n"/>
      <c r="L88" s="57" t="n"/>
      <c r="M88" s="57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49" t="inlineStr">
        <is>
          <t>⑥</t>
        </is>
      </c>
      <c r="B89" s="50" t="n"/>
      <c r="C89" s="33" t="n"/>
      <c r="D89" s="33" t="n"/>
      <c r="E89" s="33" t="n"/>
      <c r="F89" s="32" t="n"/>
      <c r="G89" s="51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58" t="n"/>
      <c r="L89" s="58" t="n"/>
      <c r="M89" s="58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49" t="inlineStr">
        <is>
          <t>⑦</t>
        </is>
      </c>
      <c r="B90" s="50" t="n"/>
      <c r="C90" s="33" t="n"/>
      <c r="D90" s="33" t="n"/>
      <c r="E90" s="33" t="n"/>
      <c r="F90" s="32" t="n"/>
      <c r="G90" s="51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53" t="inlineStr">
        <is>
          <t>Low</t>
        </is>
      </c>
      <c r="K90" s="59">
        <f>_xlfn.TEXTJOIN(CHAR(10),TRUE,U$84:U$93)</f>
        <v/>
      </c>
      <c r="L90" s="59">
        <f>_xlfn.TEXTJOIN(CHAR(10),TRUE,V$84:V$93)</f>
        <v/>
      </c>
      <c r="M90" s="59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49" t="inlineStr">
        <is>
          <t>⑧</t>
        </is>
      </c>
      <c r="B91" s="50" t="n"/>
      <c r="C91" s="33" t="n"/>
      <c r="D91" s="33" t="n"/>
      <c r="E91" s="33" t="n"/>
      <c r="F91" s="32" t="n"/>
      <c r="G91" s="51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57" t="n"/>
      <c r="L91" s="57" t="n"/>
      <c r="M91" s="57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49" t="inlineStr">
        <is>
          <t>⑨</t>
        </is>
      </c>
      <c r="B92" s="50" t="n"/>
      <c r="C92" s="33" t="n"/>
      <c r="D92" s="33" t="n"/>
      <c r="E92" s="33" t="n"/>
      <c r="F92" s="32" t="n"/>
      <c r="G92" s="51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58" t="n"/>
      <c r="L92" s="58" t="n"/>
      <c r="M92" s="58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49" t="inlineStr">
        <is>
          <t>⑩</t>
        </is>
      </c>
      <c r="B93" s="50" t="n"/>
      <c r="C93" s="33" t="n"/>
      <c r="D93" s="33" t="n"/>
      <c r="E93" s="33" t="n"/>
      <c r="F93" s="32" t="n"/>
      <c r="G93" s="51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53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9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40" t="inlineStr">
        <is>
          <t>Single-out — Platform Assessment</t>
        </is>
      </c>
    </row>
    <row r="2">
      <c r="A2" s="3">
        <f>HYPERLINK("#'Summary'!A1","← Back to Summary")</f>
        <v/>
      </c>
      <c r="C2" s="41" t="inlineStr">
        <is>
          <t>Pick a State, score High / Medium / Low — the tranche, the matrix and the Summary update automatically.</t>
        </is>
      </c>
    </row>
    <row r="4">
      <c r="A4" s="42" t="inlineStr">
        <is>
          <t>Tracker — jump to a sub-capability:</t>
        </is>
      </c>
    </row>
    <row r="5">
      <c r="A5" s="43" t="inlineStr">
        <is>
          <t>1.</t>
        </is>
      </c>
      <c r="B5" s="3">
        <f>HYPERLINK("#'Single-out'!A12","Portal")</f>
        <v/>
      </c>
    </row>
    <row r="6">
      <c r="A6" s="43" t="inlineStr">
        <is>
          <t>2.</t>
        </is>
      </c>
      <c r="B6" s="3">
        <f>HYPERLINK("#'Single-out'!A26","Reporting")</f>
        <v/>
      </c>
    </row>
    <row r="7">
      <c r="A7" s="43" t="inlineStr">
        <is>
          <t>3.</t>
        </is>
      </c>
      <c r="B7" s="3">
        <f>HYPERLINK("#'Single-out'!A40","Billing")</f>
        <v/>
      </c>
    </row>
    <row r="8">
      <c r="A8" s="43" t="inlineStr">
        <is>
          <t>4.</t>
        </is>
      </c>
      <c r="B8" s="3">
        <f>HYPERLINK("#'Single-out'!A54","Disputes")</f>
        <v/>
      </c>
    </row>
    <row r="9">
      <c r="A9" s="43" t="inlineStr">
        <is>
          <t>5.</t>
        </is>
      </c>
      <c r="B9" s="3">
        <f>HYPERLINK("#'Single-out'!A68","Payouts")</f>
        <v/>
      </c>
    </row>
    <row r="10">
      <c r="A10" s="43" t="inlineStr">
        <is>
          <t>6.</t>
        </is>
      </c>
      <c r="B10" s="3">
        <f>HYPERLINK("#'Single-out'!A82","PFaaS Products")</f>
        <v/>
      </c>
    </row>
    <row r="12" ht="22" customHeight="1">
      <c r="A12" s="44" t="inlineStr">
        <is>
          <t>Portal</t>
        </is>
      </c>
      <c r="G12" s="45">
        <f>HYPERLINK("#'Single-out'!A4","▲ tracker")</f>
        <v/>
      </c>
      <c r="K12" s="46" t="inlineStr">
        <is>
          <t>Assessment Outcome</t>
        </is>
      </c>
    </row>
    <row r="13" ht="26" customHeight="1">
      <c r="A13" s="47" t="inlineStr">
        <is>
          <t>#</t>
        </is>
      </c>
      <c r="B13" s="47" t="inlineStr">
        <is>
          <t>Platform</t>
        </is>
      </c>
      <c r="C13" s="47" t="inlineStr">
        <is>
          <t>State</t>
        </is>
      </c>
      <c r="D13" s="47" t="inlineStr">
        <is>
          <t>Imperative to exit (= Benefits)</t>
        </is>
      </c>
      <c r="E13" s="47" t="inlineStr">
        <is>
          <t>Exit complexity</t>
        </is>
      </c>
      <c r="F13" s="47" t="inlineStr">
        <is>
          <t>Supporting facts</t>
        </is>
      </c>
      <c r="G13" s="47" t="inlineStr">
        <is>
          <t>Tranche (auto)</t>
        </is>
      </c>
      <c r="K13" s="48" t="inlineStr">
        <is>
          <t>Low</t>
        </is>
      </c>
      <c r="L13" s="48" t="inlineStr">
        <is>
          <t>Medium</t>
        </is>
      </c>
      <c r="M13" s="48" t="inlineStr">
        <is>
          <t>High</t>
        </is>
      </c>
    </row>
    <row r="14" ht="20" customHeight="1">
      <c r="A14" s="49" t="inlineStr">
        <is>
          <t>①</t>
        </is>
      </c>
      <c r="B14" s="50" t="n"/>
      <c r="C14" s="33" t="n"/>
      <c r="D14" s="33" t="n"/>
      <c r="E14" s="33" t="n"/>
      <c r="F14" s="32" t="n"/>
      <c r="G14" s="51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52" t="inlineStr">
        <is>
          <t>Benefits (= Imperative to exit)</t>
        </is>
      </c>
      <c r="J14" s="53" t="inlineStr">
        <is>
          <t>High</t>
        </is>
      </c>
      <c r="K14" s="54">
        <f>"Tranche 1"&amp;CHAR(10)&amp;_xlfn.TEXTJOIN(CHAR(10),TRUE,O$14:O$23)</f>
        <v/>
      </c>
      <c r="L14" s="55">
        <f>"Tranche 2"&amp;CHAR(10)&amp;_xlfn.TEXTJOIN(CHAR(10),TRUE,P$14:P$23)</f>
        <v/>
      </c>
      <c r="M14" s="56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49" t="inlineStr">
        <is>
          <t>②</t>
        </is>
      </c>
      <c r="B15" s="50" t="n"/>
      <c r="C15" s="33" t="n"/>
      <c r="D15" s="33" t="n"/>
      <c r="E15" s="33" t="n"/>
      <c r="F15" s="32" t="n"/>
      <c r="G15" s="51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57" t="n"/>
      <c r="L15" s="57" t="n"/>
      <c r="M15" s="57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49" t="inlineStr">
        <is>
          <t>③</t>
        </is>
      </c>
      <c r="B16" s="50" t="n"/>
      <c r="C16" s="33" t="n"/>
      <c r="D16" s="33" t="n"/>
      <c r="E16" s="33" t="n"/>
      <c r="F16" s="32" t="n"/>
      <c r="G16" s="51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58" t="n"/>
      <c r="L16" s="58" t="n"/>
      <c r="M16" s="58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49" t="inlineStr">
        <is>
          <t>④</t>
        </is>
      </c>
      <c r="B17" s="50" t="n"/>
      <c r="C17" s="33" t="n"/>
      <c r="D17" s="33" t="n"/>
      <c r="E17" s="33" t="n"/>
      <c r="F17" s="32" t="n"/>
      <c r="G17" s="51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53" t="inlineStr">
        <is>
          <t>Medium</t>
        </is>
      </c>
      <c r="K17" s="54">
        <f>"Tranche 1"&amp;CHAR(10)&amp;_xlfn.TEXTJOIN(CHAR(10),TRUE,R$14:R$23)</f>
        <v/>
      </c>
      <c r="L17" s="55">
        <f>"Tranche 2"&amp;CHAR(10)&amp;_xlfn.TEXTJOIN(CHAR(10),TRUE,S$14:S$23)</f>
        <v/>
      </c>
      <c r="M17" s="59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49" t="inlineStr">
        <is>
          <t>⑤</t>
        </is>
      </c>
      <c r="B18" s="50" t="n"/>
      <c r="C18" s="33" t="n"/>
      <c r="D18" s="33" t="n"/>
      <c r="E18" s="33" t="n"/>
      <c r="F18" s="32" t="n"/>
      <c r="G18" s="51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57" t="n"/>
      <c r="L18" s="57" t="n"/>
      <c r="M18" s="57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49" t="inlineStr">
        <is>
          <t>⑥</t>
        </is>
      </c>
      <c r="B19" s="50" t="n"/>
      <c r="C19" s="33" t="n"/>
      <c r="D19" s="33" t="n"/>
      <c r="E19" s="33" t="n"/>
      <c r="F19" s="32" t="n"/>
      <c r="G19" s="51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58" t="n"/>
      <c r="L19" s="58" t="n"/>
      <c r="M19" s="58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49" t="inlineStr">
        <is>
          <t>⑦</t>
        </is>
      </c>
      <c r="B20" s="50" t="n"/>
      <c r="C20" s="33" t="n"/>
      <c r="D20" s="33" t="n"/>
      <c r="E20" s="33" t="n"/>
      <c r="F20" s="32" t="n"/>
      <c r="G20" s="51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53" t="inlineStr">
        <is>
          <t>Low</t>
        </is>
      </c>
      <c r="K20" s="59">
        <f>_xlfn.TEXTJOIN(CHAR(10),TRUE,U$14:U$23)</f>
        <v/>
      </c>
      <c r="L20" s="59">
        <f>_xlfn.TEXTJOIN(CHAR(10),TRUE,V$14:V$23)</f>
        <v/>
      </c>
      <c r="M20" s="59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49" t="inlineStr">
        <is>
          <t>⑧</t>
        </is>
      </c>
      <c r="B21" s="50" t="n"/>
      <c r="C21" s="33" t="n"/>
      <c r="D21" s="33" t="n"/>
      <c r="E21" s="33" t="n"/>
      <c r="F21" s="32" t="n"/>
      <c r="G21" s="51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57" t="n"/>
      <c r="L21" s="57" t="n"/>
      <c r="M21" s="57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49" t="inlineStr">
        <is>
          <t>⑨</t>
        </is>
      </c>
      <c r="B22" s="50" t="n"/>
      <c r="C22" s="33" t="n"/>
      <c r="D22" s="33" t="n"/>
      <c r="E22" s="33" t="n"/>
      <c r="F22" s="32" t="n"/>
      <c r="G22" s="51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58" t="n"/>
      <c r="L22" s="58" t="n"/>
      <c r="M22" s="58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49" t="inlineStr">
        <is>
          <t>⑩</t>
        </is>
      </c>
      <c r="B23" s="50" t="n"/>
      <c r="C23" s="33" t="n"/>
      <c r="D23" s="33" t="n"/>
      <c r="E23" s="33" t="n"/>
      <c r="F23" s="32" t="n"/>
      <c r="G23" s="51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53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44" t="inlineStr">
        <is>
          <t>Reporting</t>
        </is>
      </c>
      <c r="G26" s="45">
        <f>HYPERLINK("#'Single-out'!A4","▲ tracker")</f>
        <v/>
      </c>
      <c r="K26" s="46" t="inlineStr">
        <is>
          <t>Assessment Outcome</t>
        </is>
      </c>
    </row>
    <row r="27" ht="26" customHeight="1">
      <c r="A27" s="47" t="inlineStr">
        <is>
          <t>#</t>
        </is>
      </c>
      <c r="B27" s="47" t="inlineStr">
        <is>
          <t>Platform</t>
        </is>
      </c>
      <c r="C27" s="47" t="inlineStr">
        <is>
          <t>State</t>
        </is>
      </c>
      <c r="D27" s="47" t="inlineStr">
        <is>
          <t>Imperative to exit (= Benefits)</t>
        </is>
      </c>
      <c r="E27" s="47" t="inlineStr">
        <is>
          <t>Exit complexity</t>
        </is>
      </c>
      <c r="F27" s="47" t="inlineStr">
        <is>
          <t>Supporting facts</t>
        </is>
      </c>
      <c r="G27" s="47" t="inlineStr">
        <is>
          <t>Tranche (auto)</t>
        </is>
      </c>
      <c r="K27" s="48" t="inlineStr">
        <is>
          <t>Low</t>
        </is>
      </c>
      <c r="L27" s="48" t="inlineStr">
        <is>
          <t>Medium</t>
        </is>
      </c>
      <c r="M27" s="48" t="inlineStr">
        <is>
          <t>High</t>
        </is>
      </c>
    </row>
    <row r="28" ht="20" customHeight="1">
      <c r="A28" s="49" t="inlineStr">
        <is>
          <t>①</t>
        </is>
      </c>
      <c r="B28" s="50" t="n"/>
      <c r="C28" s="33" t="n"/>
      <c r="D28" s="33" t="n"/>
      <c r="E28" s="33" t="n"/>
      <c r="F28" s="32" t="n"/>
      <c r="G28" s="51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52" t="inlineStr">
        <is>
          <t>Benefits (= Imperative to exit)</t>
        </is>
      </c>
      <c r="J28" s="53" t="inlineStr">
        <is>
          <t>High</t>
        </is>
      </c>
      <c r="K28" s="54">
        <f>"Tranche 1"&amp;CHAR(10)&amp;_xlfn.TEXTJOIN(CHAR(10),TRUE,O$28:O$37)</f>
        <v/>
      </c>
      <c r="L28" s="55">
        <f>"Tranche 2"&amp;CHAR(10)&amp;_xlfn.TEXTJOIN(CHAR(10),TRUE,P$28:P$37)</f>
        <v/>
      </c>
      <c r="M28" s="56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49" t="inlineStr">
        <is>
          <t>②</t>
        </is>
      </c>
      <c r="B29" s="50" t="n"/>
      <c r="C29" s="33" t="n"/>
      <c r="D29" s="33" t="n"/>
      <c r="E29" s="33" t="n"/>
      <c r="F29" s="32" t="n"/>
      <c r="G29" s="51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57" t="n"/>
      <c r="L29" s="57" t="n"/>
      <c r="M29" s="57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49" t="inlineStr">
        <is>
          <t>③</t>
        </is>
      </c>
      <c r="B30" s="50" t="n"/>
      <c r="C30" s="33" t="n"/>
      <c r="D30" s="33" t="n"/>
      <c r="E30" s="33" t="n"/>
      <c r="F30" s="32" t="n"/>
      <c r="G30" s="51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58" t="n"/>
      <c r="L30" s="58" t="n"/>
      <c r="M30" s="58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49" t="inlineStr">
        <is>
          <t>④</t>
        </is>
      </c>
      <c r="B31" s="50" t="n"/>
      <c r="C31" s="33" t="n"/>
      <c r="D31" s="33" t="n"/>
      <c r="E31" s="33" t="n"/>
      <c r="F31" s="32" t="n"/>
      <c r="G31" s="51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53" t="inlineStr">
        <is>
          <t>Medium</t>
        </is>
      </c>
      <c r="K31" s="54">
        <f>"Tranche 1"&amp;CHAR(10)&amp;_xlfn.TEXTJOIN(CHAR(10),TRUE,R$28:R$37)</f>
        <v/>
      </c>
      <c r="L31" s="55">
        <f>"Tranche 2"&amp;CHAR(10)&amp;_xlfn.TEXTJOIN(CHAR(10),TRUE,S$28:S$37)</f>
        <v/>
      </c>
      <c r="M31" s="59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49" t="inlineStr">
        <is>
          <t>⑤</t>
        </is>
      </c>
      <c r="B32" s="50" t="n"/>
      <c r="C32" s="33" t="n"/>
      <c r="D32" s="33" t="n"/>
      <c r="E32" s="33" t="n"/>
      <c r="F32" s="32" t="n"/>
      <c r="G32" s="51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57" t="n"/>
      <c r="L32" s="57" t="n"/>
      <c r="M32" s="57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49" t="inlineStr">
        <is>
          <t>⑥</t>
        </is>
      </c>
      <c r="B33" s="50" t="n"/>
      <c r="C33" s="33" t="n"/>
      <c r="D33" s="33" t="n"/>
      <c r="E33" s="33" t="n"/>
      <c r="F33" s="32" t="n"/>
      <c r="G33" s="51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58" t="n"/>
      <c r="L33" s="58" t="n"/>
      <c r="M33" s="58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49" t="inlineStr">
        <is>
          <t>⑦</t>
        </is>
      </c>
      <c r="B34" s="50" t="n"/>
      <c r="C34" s="33" t="n"/>
      <c r="D34" s="33" t="n"/>
      <c r="E34" s="33" t="n"/>
      <c r="F34" s="32" t="n"/>
      <c r="G34" s="51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53" t="inlineStr">
        <is>
          <t>Low</t>
        </is>
      </c>
      <c r="K34" s="59">
        <f>_xlfn.TEXTJOIN(CHAR(10),TRUE,U$28:U$37)</f>
        <v/>
      </c>
      <c r="L34" s="59">
        <f>_xlfn.TEXTJOIN(CHAR(10),TRUE,V$28:V$37)</f>
        <v/>
      </c>
      <c r="M34" s="59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49" t="inlineStr">
        <is>
          <t>⑧</t>
        </is>
      </c>
      <c r="B35" s="50" t="n"/>
      <c r="C35" s="33" t="n"/>
      <c r="D35" s="33" t="n"/>
      <c r="E35" s="33" t="n"/>
      <c r="F35" s="32" t="n"/>
      <c r="G35" s="51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57" t="n"/>
      <c r="L35" s="57" t="n"/>
      <c r="M35" s="57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49" t="inlineStr">
        <is>
          <t>⑨</t>
        </is>
      </c>
      <c r="B36" s="50" t="n"/>
      <c r="C36" s="33" t="n"/>
      <c r="D36" s="33" t="n"/>
      <c r="E36" s="33" t="n"/>
      <c r="F36" s="32" t="n"/>
      <c r="G36" s="51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58" t="n"/>
      <c r="L36" s="58" t="n"/>
      <c r="M36" s="58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49" t="inlineStr">
        <is>
          <t>⑩</t>
        </is>
      </c>
      <c r="B37" s="50" t="n"/>
      <c r="C37" s="33" t="n"/>
      <c r="D37" s="33" t="n"/>
      <c r="E37" s="33" t="n"/>
      <c r="F37" s="32" t="n"/>
      <c r="G37" s="51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53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44" t="inlineStr">
        <is>
          <t>Billing</t>
        </is>
      </c>
      <c r="G40" s="45">
        <f>HYPERLINK("#'Single-out'!A4","▲ tracker")</f>
        <v/>
      </c>
      <c r="K40" s="46" t="inlineStr">
        <is>
          <t>Assessment Outcome</t>
        </is>
      </c>
    </row>
    <row r="41" ht="26" customHeight="1">
      <c r="A41" s="47" t="inlineStr">
        <is>
          <t>#</t>
        </is>
      </c>
      <c r="B41" s="47" t="inlineStr">
        <is>
          <t>Platform</t>
        </is>
      </c>
      <c r="C41" s="47" t="inlineStr">
        <is>
          <t>State</t>
        </is>
      </c>
      <c r="D41" s="47" t="inlineStr">
        <is>
          <t>Imperative to exit (= Benefits)</t>
        </is>
      </c>
      <c r="E41" s="47" t="inlineStr">
        <is>
          <t>Exit complexity</t>
        </is>
      </c>
      <c r="F41" s="47" t="inlineStr">
        <is>
          <t>Supporting facts</t>
        </is>
      </c>
      <c r="G41" s="47" t="inlineStr">
        <is>
          <t>Tranche (auto)</t>
        </is>
      </c>
      <c r="K41" s="48" t="inlineStr">
        <is>
          <t>Low</t>
        </is>
      </c>
      <c r="L41" s="48" t="inlineStr">
        <is>
          <t>Medium</t>
        </is>
      </c>
      <c r="M41" s="48" t="inlineStr">
        <is>
          <t>High</t>
        </is>
      </c>
    </row>
    <row r="42" ht="20" customHeight="1">
      <c r="A42" s="49" t="inlineStr">
        <is>
          <t>①</t>
        </is>
      </c>
      <c r="B42" s="50" t="n"/>
      <c r="C42" s="33" t="n"/>
      <c r="D42" s="33" t="n"/>
      <c r="E42" s="33" t="n"/>
      <c r="F42" s="32" t="n"/>
      <c r="G42" s="51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52" t="inlineStr">
        <is>
          <t>Benefits (= Imperative to exit)</t>
        </is>
      </c>
      <c r="J42" s="53" t="inlineStr">
        <is>
          <t>High</t>
        </is>
      </c>
      <c r="K42" s="54">
        <f>"Tranche 1"&amp;CHAR(10)&amp;_xlfn.TEXTJOIN(CHAR(10),TRUE,O$42:O$51)</f>
        <v/>
      </c>
      <c r="L42" s="55">
        <f>"Tranche 2"&amp;CHAR(10)&amp;_xlfn.TEXTJOIN(CHAR(10),TRUE,P$42:P$51)</f>
        <v/>
      </c>
      <c r="M42" s="56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49" t="inlineStr">
        <is>
          <t>②</t>
        </is>
      </c>
      <c r="B43" s="50" t="n"/>
      <c r="C43" s="33" t="n"/>
      <c r="D43" s="33" t="n"/>
      <c r="E43" s="33" t="n"/>
      <c r="F43" s="32" t="n"/>
      <c r="G43" s="51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57" t="n"/>
      <c r="L43" s="57" t="n"/>
      <c r="M43" s="57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49" t="inlineStr">
        <is>
          <t>③</t>
        </is>
      </c>
      <c r="B44" s="50" t="n"/>
      <c r="C44" s="33" t="n"/>
      <c r="D44" s="33" t="n"/>
      <c r="E44" s="33" t="n"/>
      <c r="F44" s="32" t="n"/>
      <c r="G44" s="51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58" t="n"/>
      <c r="L44" s="58" t="n"/>
      <c r="M44" s="58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49" t="inlineStr">
        <is>
          <t>④</t>
        </is>
      </c>
      <c r="B45" s="50" t="n"/>
      <c r="C45" s="33" t="n"/>
      <c r="D45" s="33" t="n"/>
      <c r="E45" s="33" t="n"/>
      <c r="F45" s="32" t="n"/>
      <c r="G45" s="51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53" t="inlineStr">
        <is>
          <t>Medium</t>
        </is>
      </c>
      <c r="K45" s="54">
        <f>"Tranche 1"&amp;CHAR(10)&amp;_xlfn.TEXTJOIN(CHAR(10),TRUE,R$42:R$51)</f>
        <v/>
      </c>
      <c r="L45" s="55">
        <f>"Tranche 2"&amp;CHAR(10)&amp;_xlfn.TEXTJOIN(CHAR(10),TRUE,S$42:S$51)</f>
        <v/>
      </c>
      <c r="M45" s="59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49" t="inlineStr">
        <is>
          <t>⑤</t>
        </is>
      </c>
      <c r="B46" s="50" t="n"/>
      <c r="C46" s="33" t="n"/>
      <c r="D46" s="33" t="n"/>
      <c r="E46" s="33" t="n"/>
      <c r="F46" s="32" t="n"/>
      <c r="G46" s="51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57" t="n"/>
      <c r="L46" s="57" t="n"/>
      <c r="M46" s="57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49" t="inlineStr">
        <is>
          <t>⑥</t>
        </is>
      </c>
      <c r="B47" s="50" t="n"/>
      <c r="C47" s="33" t="n"/>
      <c r="D47" s="33" t="n"/>
      <c r="E47" s="33" t="n"/>
      <c r="F47" s="32" t="n"/>
      <c r="G47" s="51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58" t="n"/>
      <c r="L47" s="58" t="n"/>
      <c r="M47" s="58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49" t="inlineStr">
        <is>
          <t>⑦</t>
        </is>
      </c>
      <c r="B48" s="50" t="n"/>
      <c r="C48" s="33" t="n"/>
      <c r="D48" s="33" t="n"/>
      <c r="E48" s="33" t="n"/>
      <c r="F48" s="32" t="n"/>
      <c r="G48" s="51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53" t="inlineStr">
        <is>
          <t>Low</t>
        </is>
      </c>
      <c r="K48" s="59">
        <f>_xlfn.TEXTJOIN(CHAR(10),TRUE,U$42:U$51)</f>
        <v/>
      </c>
      <c r="L48" s="59">
        <f>_xlfn.TEXTJOIN(CHAR(10),TRUE,V$42:V$51)</f>
        <v/>
      </c>
      <c r="M48" s="59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49" t="inlineStr">
        <is>
          <t>⑧</t>
        </is>
      </c>
      <c r="B49" s="50" t="n"/>
      <c r="C49" s="33" t="n"/>
      <c r="D49" s="33" t="n"/>
      <c r="E49" s="33" t="n"/>
      <c r="F49" s="32" t="n"/>
      <c r="G49" s="51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57" t="n"/>
      <c r="L49" s="57" t="n"/>
      <c r="M49" s="57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49" t="inlineStr">
        <is>
          <t>⑨</t>
        </is>
      </c>
      <c r="B50" s="50" t="n"/>
      <c r="C50" s="33" t="n"/>
      <c r="D50" s="33" t="n"/>
      <c r="E50" s="33" t="n"/>
      <c r="F50" s="32" t="n"/>
      <c r="G50" s="51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58" t="n"/>
      <c r="L50" s="58" t="n"/>
      <c r="M50" s="58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49" t="inlineStr">
        <is>
          <t>⑩</t>
        </is>
      </c>
      <c r="B51" s="50" t="n"/>
      <c r="C51" s="33" t="n"/>
      <c r="D51" s="33" t="n"/>
      <c r="E51" s="33" t="n"/>
      <c r="F51" s="32" t="n"/>
      <c r="G51" s="51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53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44" t="inlineStr">
        <is>
          <t>Disputes</t>
        </is>
      </c>
      <c r="G54" s="45">
        <f>HYPERLINK("#'Single-out'!A4","▲ tracker")</f>
        <v/>
      </c>
      <c r="K54" s="46" t="inlineStr">
        <is>
          <t>Assessment Outcome</t>
        </is>
      </c>
    </row>
    <row r="55" ht="26" customHeight="1">
      <c r="A55" s="47" t="inlineStr">
        <is>
          <t>#</t>
        </is>
      </c>
      <c r="B55" s="47" t="inlineStr">
        <is>
          <t>Platform</t>
        </is>
      </c>
      <c r="C55" s="47" t="inlineStr">
        <is>
          <t>State</t>
        </is>
      </c>
      <c r="D55" s="47" t="inlineStr">
        <is>
          <t>Imperative to exit (= Benefits)</t>
        </is>
      </c>
      <c r="E55" s="47" t="inlineStr">
        <is>
          <t>Exit complexity</t>
        </is>
      </c>
      <c r="F55" s="47" t="inlineStr">
        <is>
          <t>Supporting facts</t>
        </is>
      </c>
      <c r="G55" s="47" t="inlineStr">
        <is>
          <t>Tranche (auto)</t>
        </is>
      </c>
      <c r="K55" s="48" t="inlineStr">
        <is>
          <t>Low</t>
        </is>
      </c>
      <c r="L55" s="48" t="inlineStr">
        <is>
          <t>Medium</t>
        </is>
      </c>
      <c r="M55" s="48" t="inlineStr">
        <is>
          <t>High</t>
        </is>
      </c>
    </row>
    <row r="56" ht="20" customHeight="1">
      <c r="A56" s="49" t="inlineStr">
        <is>
          <t>①</t>
        </is>
      </c>
      <c r="B56" s="50" t="n"/>
      <c r="C56" s="33" t="n"/>
      <c r="D56" s="33" t="n"/>
      <c r="E56" s="33" t="n"/>
      <c r="F56" s="32" t="n"/>
      <c r="G56" s="51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52" t="inlineStr">
        <is>
          <t>Benefits (= Imperative to exit)</t>
        </is>
      </c>
      <c r="J56" s="53" t="inlineStr">
        <is>
          <t>High</t>
        </is>
      </c>
      <c r="K56" s="54">
        <f>"Tranche 1"&amp;CHAR(10)&amp;_xlfn.TEXTJOIN(CHAR(10),TRUE,O$56:O$65)</f>
        <v/>
      </c>
      <c r="L56" s="55">
        <f>"Tranche 2"&amp;CHAR(10)&amp;_xlfn.TEXTJOIN(CHAR(10),TRUE,P$56:P$65)</f>
        <v/>
      </c>
      <c r="M56" s="56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49" t="inlineStr">
        <is>
          <t>②</t>
        </is>
      </c>
      <c r="B57" s="50" t="n"/>
      <c r="C57" s="33" t="n"/>
      <c r="D57" s="33" t="n"/>
      <c r="E57" s="33" t="n"/>
      <c r="F57" s="32" t="n"/>
      <c r="G57" s="51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57" t="n"/>
      <c r="L57" s="57" t="n"/>
      <c r="M57" s="57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49" t="inlineStr">
        <is>
          <t>③</t>
        </is>
      </c>
      <c r="B58" s="50" t="n"/>
      <c r="C58" s="33" t="n"/>
      <c r="D58" s="33" t="n"/>
      <c r="E58" s="33" t="n"/>
      <c r="F58" s="32" t="n"/>
      <c r="G58" s="51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58" t="n"/>
      <c r="L58" s="58" t="n"/>
      <c r="M58" s="58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49" t="inlineStr">
        <is>
          <t>④</t>
        </is>
      </c>
      <c r="B59" s="50" t="n"/>
      <c r="C59" s="33" t="n"/>
      <c r="D59" s="33" t="n"/>
      <c r="E59" s="33" t="n"/>
      <c r="F59" s="32" t="n"/>
      <c r="G59" s="51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53" t="inlineStr">
        <is>
          <t>Medium</t>
        </is>
      </c>
      <c r="K59" s="54">
        <f>"Tranche 1"&amp;CHAR(10)&amp;_xlfn.TEXTJOIN(CHAR(10),TRUE,R$56:R$65)</f>
        <v/>
      </c>
      <c r="L59" s="55">
        <f>"Tranche 2"&amp;CHAR(10)&amp;_xlfn.TEXTJOIN(CHAR(10),TRUE,S$56:S$65)</f>
        <v/>
      </c>
      <c r="M59" s="59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49" t="inlineStr">
        <is>
          <t>⑤</t>
        </is>
      </c>
      <c r="B60" s="50" t="n"/>
      <c r="C60" s="33" t="n"/>
      <c r="D60" s="33" t="n"/>
      <c r="E60" s="33" t="n"/>
      <c r="F60" s="32" t="n"/>
      <c r="G60" s="51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57" t="n"/>
      <c r="L60" s="57" t="n"/>
      <c r="M60" s="57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49" t="inlineStr">
        <is>
          <t>⑥</t>
        </is>
      </c>
      <c r="B61" s="50" t="n"/>
      <c r="C61" s="33" t="n"/>
      <c r="D61" s="33" t="n"/>
      <c r="E61" s="33" t="n"/>
      <c r="F61" s="32" t="n"/>
      <c r="G61" s="51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58" t="n"/>
      <c r="L61" s="58" t="n"/>
      <c r="M61" s="58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49" t="inlineStr">
        <is>
          <t>⑦</t>
        </is>
      </c>
      <c r="B62" s="50" t="n"/>
      <c r="C62" s="33" t="n"/>
      <c r="D62" s="33" t="n"/>
      <c r="E62" s="33" t="n"/>
      <c r="F62" s="32" t="n"/>
      <c r="G62" s="51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53" t="inlineStr">
        <is>
          <t>Low</t>
        </is>
      </c>
      <c r="K62" s="59">
        <f>_xlfn.TEXTJOIN(CHAR(10),TRUE,U$56:U$65)</f>
        <v/>
      </c>
      <c r="L62" s="59">
        <f>_xlfn.TEXTJOIN(CHAR(10),TRUE,V$56:V$65)</f>
        <v/>
      </c>
      <c r="M62" s="59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49" t="inlineStr">
        <is>
          <t>⑧</t>
        </is>
      </c>
      <c r="B63" s="50" t="n"/>
      <c r="C63" s="33" t="n"/>
      <c r="D63" s="33" t="n"/>
      <c r="E63" s="33" t="n"/>
      <c r="F63" s="32" t="n"/>
      <c r="G63" s="51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57" t="n"/>
      <c r="L63" s="57" t="n"/>
      <c r="M63" s="57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49" t="inlineStr">
        <is>
          <t>⑨</t>
        </is>
      </c>
      <c r="B64" s="50" t="n"/>
      <c r="C64" s="33" t="n"/>
      <c r="D64" s="33" t="n"/>
      <c r="E64" s="33" t="n"/>
      <c r="F64" s="32" t="n"/>
      <c r="G64" s="51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58" t="n"/>
      <c r="L64" s="58" t="n"/>
      <c r="M64" s="58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49" t="inlineStr">
        <is>
          <t>⑩</t>
        </is>
      </c>
      <c r="B65" s="50" t="n"/>
      <c r="C65" s="33" t="n"/>
      <c r="D65" s="33" t="n"/>
      <c r="E65" s="33" t="n"/>
      <c r="F65" s="32" t="n"/>
      <c r="G65" s="51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53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44" t="inlineStr">
        <is>
          <t>Payouts</t>
        </is>
      </c>
      <c r="G68" s="45">
        <f>HYPERLINK("#'Single-out'!A4","▲ tracker")</f>
        <v/>
      </c>
      <c r="K68" s="46" t="inlineStr">
        <is>
          <t>Assessment Outcome</t>
        </is>
      </c>
    </row>
    <row r="69" ht="26" customHeight="1">
      <c r="A69" s="47" t="inlineStr">
        <is>
          <t>#</t>
        </is>
      </c>
      <c r="B69" s="47" t="inlineStr">
        <is>
          <t>Platform</t>
        </is>
      </c>
      <c r="C69" s="47" t="inlineStr">
        <is>
          <t>State</t>
        </is>
      </c>
      <c r="D69" s="47" t="inlineStr">
        <is>
          <t>Imperative to exit (= Benefits)</t>
        </is>
      </c>
      <c r="E69" s="47" t="inlineStr">
        <is>
          <t>Exit complexity</t>
        </is>
      </c>
      <c r="F69" s="47" t="inlineStr">
        <is>
          <t>Supporting facts</t>
        </is>
      </c>
      <c r="G69" s="47" t="inlineStr">
        <is>
          <t>Tranche (auto)</t>
        </is>
      </c>
      <c r="K69" s="48" t="inlineStr">
        <is>
          <t>Low</t>
        </is>
      </c>
      <c r="L69" s="48" t="inlineStr">
        <is>
          <t>Medium</t>
        </is>
      </c>
      <c r="M69" s="48" t="inlineStr">
        <is>
          <t>High</t>
        </is>
      </c>
    </row>
    <row r="70" ht="20" customHeight="1">
      <c r="A70" s="49" t="inlineStr">
        <is>
          <t>①</t>
        </is>
      </c>
      <c r="B70" s="50" t="n"/>
      <c r="C70" s="33" t="n"/>
      <c r="D70" s="33" t="n"/>
      <c r="E70" s="33" t="n"/>
      <c r="F70" s="32" t="n"/>
      <c r="G70" s="51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52" t="inlineStr">
        <is>
          <t>Benefits (= Imperative to exit)</t>
        </is>
      </c>
      <c r="J70" s="53" t="inlineStr">
        <is>
          <t>High</t>
        </is>
      </c>
      <c r="K70" s="54">
        <f>"Tranche 1"&amp;CHAR(10)&amp;_xlfn.TEXTJOIN(CHAR(10),TRUE,O$70:O$79)</f>
        <v/>
      </c>
      <c r="L70" s="55">
        <f>"Tranche 2"&amp;CHAR(10)&amp;_xlfn.TEXTJOIN(CHAR(10),TRUE,P$70:P$79)</f>
        <v/>
      </c>
      <c r="M70" s="56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49" t="inlineStr">
        <is>
          <t>②</t>
        </is>
      </c>
      <c r="B71" s="50" t="n"/>
      <c r="C71" s="33" t="n"/>
      <c r="D71" s="33" t="n"/>
      <c r="E71" s="33" t="n"/>
      <c r="F71" s="32" t="n"/>
      <c r="G71" s="51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57" t="n"/>
      <c r="L71" s="57" t="n"/>
      <c r="M71" s="57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49" t="inlineStr">
        <is>
          <t>③</t>
        </is>
      </c>
      <c r="B72" s="50" t="n"/>
      <c r="C72" s="33" t="n"/>
      <c r="D72" s="33" t="n"/>
      <c r="E72" s="33" t="n"/>
      <c r="F72" s="32" t="n"/>
      <c r="G72" s="51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58" t="n"/>
      <c r="L72" s="58" t="n"/>
      <c r="M72" s="58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49" t="inlineStr">
        <is>
          <t>④</t>
        </is>
      </c>
      <c r="B73" s="50" t="n"/>
      <c r="C73" s="33" t="n"/>
      <c r="D73" s="33" t="n"/>
      <c r="E73" s="33" t="n"/>
      <c r="F73" s="32" t="n"/>
      <c r="G73" s="51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53" t="inlineStr">
        <is>
          <t>Medium</t>
        </is>
      </c>
      <c r="K73" s="54">
        <f>"Tranche 1"&amp;CHAR(10)&amp;_xlfn.TEXTJOIN(CHAR(10),TRUE,R$70:R$79)</f>
        <v/>
      </c>
      <c r="L73" s="55">
        <f>"Tranche 2"&amp;CHAR(10)&amp;_xlfn.TEXTJOIN(CHAR(10),TRUE,S$70:S$79)</f>
        <v/>
      </c>
      <c r="M73" s="59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49" t="inlineStr">
        <is>
          <t>⑤</t>
        </is>
      </c>
      <c r="B74" s="50" t="n"/>
      <c r="C74" s="33" t="n"/>
      <c r="D74" s="33" t="n"/>
      <c r="E74" s="33" t="n"/>
      <c r="F74" s="32" t="n"/>
      <c r="G74" s="51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57" t="n"/>
      <c r="L74" s="57" t="n"/>
      <c r="M74" s="57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49" t="inlineStr">
        <is>
          <t>⑥</t>
        </is>
      </c>
      <c r="B75" s="50" t="n"/>
      <c r="C75" s="33" t="n"/>
      <c r="D75" s="33" t="n"/>
      <c r="E75" s="33" t="n"/>
      <c r="F75" s="32" t="n"/>
      <c r="G75" s="51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58" t="n"/>
      <c r="L75" s="58" t="n"/>
      <c r="M75" s="58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49" t="inlineStr">
        <is>
          <t>⑦</t>
        </is>
      </c>
      <c r="B76" s="50" t="n"/>
      <c r="C76" s="33" t="n"/>
      <c r="D76" s="33" t="n"/>
      <c r="E76" s="33" t="n"/>
      <c r="F76" s="32" t="n"/>
      <c r="G76" s="51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53" t="inlineStr">
        <is>
          <t>Low</t>
        </is>
      </c>
      <c r="K76" s="59">
        <f>_xlfn.TEXTJOIN(CHAR(10),TRUE,U$70:U$79)</f>
        <v/>
      </c>
      <c r="L76" s="59">
        <f>_xlfn.TEXTJOIN(CHAR(10),TRUE,V$70:V$79)</f>
        <v/>
      </c>
      <c r="M76" s="59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49" t="inlineStr">
        <is>
          <t>⑧</t>
        </is>
      </c>
      <c r="B77" s="50" t="n"/>
      <c r="C77" s="33" t="n"/>
      <c r="D77" s="33" t="n"/>
      <c r="E77" s="33" t="n"/>
      <c r="F77" s="32" t="n"/>
      <c r="G77" s="51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57" t="n"/>
      <c r="L77" s="57" t="n"/>
      <c r="M77" s="57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49" t="inlineStr">
        <is>
          <t>⑨</t>
        </is>
      </c>
      <c r="B78" s="50" t="n"/>
      <c r="C78" s="33" t="n"/>
      <c r="D78" s="33" t="n"/>
      <c r="E78" s="33" t="n"/>
      <c r="F78" s="32" t="n"/>
      <c r="G78" s="51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58" t="n"/>
      <c r="L78" s="58" t="n"/>
      <c r="M78" s="58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49" t="inlineStr">
        <is>
          <t>⑩</t>
        </is>
      </c>
      <c r="B79" s="50" t="n"/>
      <c r="C79" s="33" t="n"/>
      <c r="D79" s="33" t="n"/>
      <c r="E79" s="33" t="n"/>
      <c r="F79" s="32" t="n"/>
      <c r="G79" s="51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53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44" t="inlineStr">
        <is>
          <t>PFaaS Products</t>
        </is>
      </c>
      <c r="G82" s="45">
        <f>HYPERLINK("#'Single-out'!A4","▲ tracker")</f>
        <v/>
      </c>
      <c r="K82" s="46" t="inlineStr">
        <is>
          <t>Assessment Outcome</t>
        </is>
      </c>
    </row>
    <row r="83" ht="26" customHeight="1">
      <c r="A83" s="47" t="inlineStr">
        <is>
          <t>#</t>
        </is>
      </c>
      <c r="B83" s="47" t="inlineStr">
        <is>
          <t>Platform</t>
        </is>
      </c>
      <c r="C83" s="47" t="inlineStr">
        <is>
          <t>State</t>
        </is>
      </c>
      <c r="D83" s="47" t="inlineStr">
        <is>
          <t>Imperative to exit (= Benefits)</t>
        </is>
      </c>
      <c r="E83" s="47" t="inlineStr">
        <is>
          <t>Exit complexity</t>
        </is>
      </c>
      <c r="F83" s="47" t="inlineStr">
        <is>
          <t>Supporting facts</t>
        </is>
      </c>
      <c r="G83" s="47" t="inlineStr">
        <is>
          <t>Tranche (auto)</t>
        </is>
      </c>
      <c r="K83" s="48" t="inlineStr">
        <is>
          <t>Low</t>
        </is>
      </c>
      <c r="L83" s="48" t="inlineStr">
        <is>
          <t>Medium</t>
        </is>
      </c>
      <c r="M83" s="48" t="inlineStr">
        <is>
          <t>High</t>
        </is>
      </c>
    </row>
    <row r="84" ht="20" customHeight="1">
      <c r="A84" s="49" t="inlineStr">
        <is>
          <t>①</t>
        </is>
      </c>
      <c r="B84" s="50" t="n"/>
      <c r="C84" s="33" t="n"/>
      <c r="D84" s="33" t="n"/>
      <c r="E84" s="33" t="n"/>
      <c r="F84" s="32" t="n"/>
      <c r="G84" s="51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52" t="inlineStr">
        <is>
          <t>Benefits (= Imperative to exit)</t>
        </is>
      </c>
      <c r="J84" s="53" t="inlineStr">
        <is>
          <t>High</t>
        </is>
      </c>
      <c r="K84" s="54">
        <f>"Tranche 1"&amp;CHAR(10)&amp;_xlfn.TEXTJOIN(CHAR(10),TRUE,O$84:O$93)</f>
        <v/>
      </c>
      <c r="L84" s="55">
        <f>"Tranche 2"&amp;CHAR(10)&amp;_xlfn.TEXTJOIN(CHAR(10),TRUE,P$84:P$93)</f>
        <v/>
      </c>
      <c r="M84" s="56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49" t="inlineStr">
        <is>
          <t>②</t>
        </is>
      </c>
      <c r="B85" s="50" t="n"/>
      <c r="C85" s="33" t="n"/>
      <c r="D85" s="33" t="n"/>
      <c r="E85" s="33" t="n"/>
      <c r="F85" s="32" t="n"/>
      <c r="G85" s="51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57" t="n"/>
      <c r="L85" s="57" t="n"/>
      <c r="M85" s="57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49" t="inlineStr">
        <is>
          <t>③</t>
        </is>
      </c>
      <c r="B86" s="50" t="n"/>
      <c r="C86" s="33" t="n"/>
      <c r="D86" s="33" t="n"/>
      <c r="E86" s="33" t="n"/>
      <c r="F86" s="32" t="n"/>
      <c r="G86" s="51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58" t="n"/>
      <c r="L86" s="58" t="n"/>
      <c r="M86" s="58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49" t="inlineStr">
        <is>
          <t>④</t>
        </is>
      </c>
      <c r="B87" s="50" t="n"/>
      <c r="C87" s="33" t="n"/>
      <c r="D87" s="33" t="n"/>
      <c r="E87" s="33" t="n"/>
      <c r="F87" s="32" t="n"/>
      <c r="G87" s="51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53" t="inlineStr">
        <is>
          <t>Medium</t>
        </is>
      </c>
      <c r="K87" s="54">
        <f>"Tranche 1"&amp;CHAR(10)&amp;_xlfn.TEXTJOIN(CHAR(10),TRUE,R$84:R$93)</f>
        <v/>
      </c>
      <c r="L87" s="55">
        <f>"Tranche 2"&amp;CHAR(10)&amp;_xlfn.TEXTJOIN(CHAR(10),TRUE,S$84:S$93)</f>
        <v/>
      </c>
      <c r="M87" s="59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49" t="inlineStr">
        <is>
          <t>⑤</t>
        </is>
      </c>
      <c r="B88" s="50" t="n"/>
      <c r="C88" s="33" t="n"/>
      <c r="D88" s="33" t="n"/>
      <c r="E88" s="33" t="n"/>
      <c r="F88" s="32" t="n"/>
      <c r="G88" s="51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57" t="n"/>
      <c r="L88" s="57" t="n"/>
      <c r="M88" s="57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49" t="inlineStr">
        <is>
          <t>⑥</t>
        </is>
      </c>
      <c r="B89" s="50" t="n"/>
      <c r="C89" s="33" t="n"/>
      <c r="D89" s="33" t="n"/>
      <c r="E89" s="33" t="n"/>
      <c r="F89" s="32" t="n"/>
      <c r="G89" s="51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58" t="n"/>
      <c r="L89" s="58" t="n"/>
      <c r="M89" s="58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49" t="inlineStr">
        <is>
          <t>⑦</t>
        </is>
      </c>
      <c r="B90" s="50" t="n"/>
      <c r="C90" s="33" t="n"/>
      <c r="D90" s="33" t="n"/>
      <c r="E90" s="33" t="n"/>
      <c r="F90" s="32" t="n"/>
      <c r="G90" s="51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53" t="inlineStr">
        <is>
          <t>Low</t>
        </is>
      </c>
      <c r="K90" s="59">
        <f>_xlfn.TEXTJOIN(CHAR(10),TRUE,U$84:U$93)</f>
        <v/>
      </c>
      <c r="L90" s="59">
        <f>_xlfn.TEXTJOIN(CHAR(10),TRUE,V$84:V$93)</f>
        <v/>
      </c>
      <c r="M90" s="59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49" t="inlineStr">
        <is>
          <t>⑧</t>
        </is>
      </c>
      <c r="B91" s="50" t="n"/>
      <c r="C91" s="33" t="n"/>
      <c r="D91" s="33" t="n"/>
      <c r="E91" s="33" t="n"/>
      <c r="F91" s="32" t="n"/>
      <c r="G91" s="51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57" t="n"/>
      <c r="L91" s="57" t="n"/>
      <c r="M91" s="57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49" t="inlineStr">
        <is>
          <t>⑨</t>
        </is>
      </c>
      <c r="B92" s="50" t="n"/>
      <c r="C92" s="33" t="n"/>
      <c r="D92" s="33" t="n"/>
      <c r="E92" s="33" t="n"/>
      <c r="F92" s="32" t="n"/>
      <c r="G92" s="51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58" t="n"/>
      <c r="L92" s="58" t="n"/>
      <c r="M92" s="58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49" t="inlineStr">
        <is>
          <t>⑩</t>
        </is>
      </c>
      <c r="B93" s="50" t="n"/>
      <c r="C93" s="33" t="n"/>
      <c r="D93" s="33" t="n"/>
      <c r="E93" s="33" t="n"/>
      <c r="F93" s="32" t="n"/>
      <c r="G93" s="51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53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Platform Assessment Tracker</dc:title>
  <dcterms:created xsi:type="dcterms:W3CDTF">2026-06-11T19:10:27Z</dcterms:created>
  <dcterms:modified xsi:type="dcterms:W3CDTF">2026-06-11T19:10:27Z</dcterms:modified>
</cp:coreProperties>
</file>