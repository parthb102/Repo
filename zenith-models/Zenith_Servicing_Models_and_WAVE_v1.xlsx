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16.xml" ContentType="application/vnd.openxmlformats-officedocument.spreadsheetml.comments+xml"/>
  <Override PartName="/xl/comments5.xml" ContentType="application/vnd.openxmlformats-officedocument.spreadsheetml.comments+xml"/>
  <Override PartName="/xl/comments15.xml" ContentType="application/vnd.openxmlformats-officedocument.spreadsheetml.comments+xml"/>
  <Override PartName="/xl/drawings/vmlDrawing13.vml" ContentType="application/vnd.openxmlformats-officedocument.vmlDrawing"/>
  <Override PartName="/xl/drawings/vmlDrawing12.vml" ContentType="application/vnd.openxmlformats-officedocument.vmlDrawing"/>
  <Override PartName="/xl/drawings/vmlDrawing15.vml" ContentType="application/vnd.openxmlformats-officedocument.vmlDrawing"/>
  <Override PartName="/xl/drawings/vmlDrawing1.vml" ContentType="application/vnd.openxmlformats-officedocument.vmlDrawing"/>
  <Override PartName="/xl/drawings/vmlDrawing14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drawings/vmlDrawing9.vml" ContentType="application/vnd.openxmlformats-officedocument.vmlDrawing"/>
  <Override PartName="/xl/drawings/vmlDrawing10.vml" ContentType="application/vnd.openxmlformats-officedocument.vmlDrawing"/>
  <Override PartName="/xl/drawings/vmlDrawing11.vml" ContentType="application/vnd.openxmlformats-officedocument.vmlDrawing"/>
  <Override PartName="/xl/comments14.xml" ContentType="application/vnd.openxmlformats-officedocument.spreadsheetml.comments+xml"/>
  <Override PartName="/xl/comments11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comments17.xml" ContentType="application/vnd.openxmlformats-officedocument.spreadsheetml.comments+xml"/>
  <Override PartName="/xl/comments13.xml" ContentType="application/vnd.openxmlformats-officedocument.spreadsheetml.comments+xml"/>
  <Override PartName="/xl/comments3.xml" ContentType="application/vnd.openxmlformats-officedocument.spreadsheetml.comments+xml"/>
  <Override PartName="/xl/worksheets/_rels/sheet10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comments2.xml" ContentType="application/vnd.openxmlformats-officedocument.spreadsheetml.comments+xml"/>
  <Override PartName="/xl/comments1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Rate Card" sheetId="3" state="visible" r:id="rId5"/>
    <sheet name="Summary" sheetId="4" state="visible" r:id="rId6"/>
    <sheet name="SVC-1 Model" sheetId="5" state="visible" r:id="rId7"/>
    <sheet name="SVC-1 WAVE" sheetId="6" state="visible" r:id="rId8"/>
    <sheet name="SVC-2 Model" sheetId="7" state="visible" r:id="rId9"/>
    <sheet name="SVC-2 WAVE" sheetId="8" state="visible" r:id="rId10"/>
    <sheet name="SVC-3 Model" sheetId="9" state="visible" r:id="rId11"/>
    <sheet name="SVC-3 WAVE" sheetId="10" state="visible" r:id="rId12"/>
    <sheet name="SVC-4 Model" sheetId="11" state="visible" r:id="rId13"/>
    <sheet name="SVC-4 WAVE" sheetId="12" state="visible" r:id="rId14"/>
    <sheet name="SVC-5 Model" sheetId="13" state="visible" r:id="rId15"/>
    <sheet name="SVC-5 WAVE" sheetId="14" state="visible" r:id="rId16"/>
    <sheet name="SVC-6 Model" sheetId="15" state="visible" r:id="rId17"/>
    <sheet name="SVC-6 WAVE" sheetId="16" state="visible" r:id="rId18"/>
    <sheet name="Standard Template" sheetId="17" state="visible" r:id="rId19"/>
  </sheets>
  <definedNames>
    <definedName function="false" hidden="false" localSheetId="1" name="_xlnm.Print_Area" vbProcedure="false">Instructions!$B$18:$CB$224</definedName>
    <definedName function="false" hidden="false" localSheetId="1" name="_xlnm.Print_Titles" vbProcedure="false">Instructions!$A:$I,Instructions!$18:$32</definedName>
    <definedName function="false" hidden="false" localSheetId="16" name="_xlnm.Print_Area" vbProcedure="false">'Standard Template'!$B$1:$CB$170</definedName>
    <definedName function="false" hidden="false" localSheetId="16" name="_xlnm.Print_Titles" vbProcedure="false">'Standard Template'!$A:$I,'Standard Template'!$1:$13</definedName>
    <definedName function="false" hidden="false" localSheetId="1" name="_xlnm.Print_Titles" vbProcedure="false">Instructions!$18:$32,Instructions!$A:$I</definedName>
    <definedName function="false" hidden="false" localSheetId="16" name="_xlnm.Print_Titles" vbProcedure="false">'Standard Template'!$1:$13,'Standard Template'!$A:$I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77" authorId="0">
      <text>
        <r>
          <rPr>
            <sz val="10"/>
            <rFont val="Arial"/>
            <family val="2"/>
          </rPr>
          <t xml:space="preserve">Recurring Benefit - Revenue: incremental revenue to be realized from Initiative execution</t>
        </r>
      </text>
    </comment>
    <comment ref="E82" authorId="0">
      <text>
        <r>
          <rPr>
            <sz val="10"/>
            <rFont val="Arial"/>
            <family val="2"/>
          </rPr>
          <t xml:space="preserve">Recurring Costs - Costs: incremental costs to be realized from Initiative execution</t>
        </r>
      </text>
    </comment>
    <comment ref="E90" authorId="0">
      <text>
        <r>
          <rPr>
            <sz val="10"/>
            <rFont val="Arial"/>
            <family val="2"/>
          </rPr>
          <t xml:space="preserve">Recurring Benefit - Costs: cost savings to be realized from Initiative execution</t>
        </r>
      </text>
    </comment>
    <comment ref="E100" authorId="0">
      <text>
        <r>
          <rPr>
            <sz val="10"/>
            <rFont val="Arial"/>
            <family val="2"/>
          </rPr>
          <t xml:space="preserve">Recurring Benefits: total value of incremental revenue and cost savings to be realized from Initiative execution</t>
        </r>
      </text>
    </comment>
    <comment ref="E104" authorId="0">
      <text>
        <r>
          <rPr>
            <sz val="10"/>
            <rFont val="Arial"/>
            <family val="2"/>
          </rPr>
          <t xml:space="preserve">Recurring Costs - Revenue: lost revenue to be realized from Initiative execution</t>
        </r>
      </text>
    </comment>
    <comment ref="E109" authorId="0">
      <text>
        <r>
          <rPr>
            <sz val="10"/>
            <rFont val="Arial"/>
            <family val="2"/>
          </rPr>
          <t xml:space="preserve">Recurring Costs - Costs: incremental costs to be realized from Initiative execution</t>
        </r>
      </text>
    </comment>
    <comment ref="E117" authorId="0">
      <text>
        <r>
          <rPr>
            <sz val="10"/>
            <rFont val="Arial"/>
            <family val="2"/>
          </rPr>
          <t xml:space="preserve">Recurring Costs - Costs: incremental costs to be realized from Initiative execution</t>
        </r>
      </text>
    </comment>
    <comment ref="E126" authorId="0">
      <text>
        <r>
          <rPr>
            <sz val="10"/>
            <rFont val="Arial"/>
            <family val="2"/>
          </rPr>
          <t xml:space="preserve">Recurring Costs: total value of lost revenue and incremental cost to be realized from Initiative execution</t>
        </r>
      </text>
    </comment>
    <comment ref="R75" authorId="0">
      <text>
        <r>
          <rPr>
            <sz val="10"/>
            <rFont val="Arial"/>
            <family val="2"/>
          </rPr>
          <t xml:space="preserve">Check: Annual Run Rate (column K) must equal 2030 value (colum P)</t>
        </r>
      </text>
    </comment>
    <comment ref="R102" authorId="0">
      <text>
        <r>
          <rPr>
            <sz val="10"/>
            <rFont val="Arial"/>
            <family val="2"/>
          </rPr>
          <t xml:space="preserve">Check: Annual Run Rate (column K) must equal 2030 value (colum P)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8" authorId="0">
      <text>
        <r>
          <rPr>
            <sz val="10"/>
            <rFont val="Arial"/>
            <family val="2"/>
          </rPr>
          <t xml:space="preserve">Yearly / Monthly / Hourly — drives which rate column is used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3" authorId="0">
      <text>
        <r>
          <rPr>
            <sz val="10"/>
            <rFont val="Arial"/>
            <family val="2"/>
          </rPr>
          <t xml:space="preserve">Benefits start in this month; feeds the WAVE 'Estimated L4 date'</t>
        </r>
      </text>
    </comment>
    <comment ref="D50" authorId="0">
      <text>
        <r>
          <rPr>
            <sz val="10"/>
            <rFont val="Arial"/>
            <family val="2"/>
          </rPr>
          <t xml:space="preserve">Benefit ramps linearly from 0% at go-live to 100% after this many months (same convention as the Servicing S2 model: scale-up phase drives the ramp).</t>
        </r>
      </text>
    </comment>
    <comment ref="F64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F65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F66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F67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I64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I65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I66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I67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K57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  <comment ref="K110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  <comment ref="K111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  <comment ref="K112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R63" authorId="0">
      <text>
        <r>
          <rPr>
            <sz val="10"/>
            <rFont val="Arial"/>
            <family val="2"/>
          </rPr>
          <t xml:space="preserve">Check: Annual Run Rate (column K) must equal 2030 value (colum P)</t>
        </r>
      </text>
    </comment>
    <comment ref="R91" authorId="0">
      <text>
        <r>
          <rPr>
            <sz val="10"/>
            <rFont val="Arial"/>
            <family val="2"/>
          </rPr>
          <t xml:space="preserve">Check: Annual Run Rate (column K) must equal 2030 value (colum P)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3" authorId="0">
      <text>
        <r>
          <rPr>
            <sz val="10"/>
            <rFont val="Arial"/>
            <family val="2"/>
          </rPr>
          <t xml:space="preserve">Benefits start in this month; feeds the WAVE 'Estimated L4 date'</t>
        </r>
      </text>
    </comment>
    <comment ref="D49" authorId="0">
      <text>
        <r>
          <rPr>
            <sz val="10"/>
            <rFont val="Arial"/>
            <family val="2"/>
          </rPr>
          <t xml:space="preserve">Benefit ramps linearly from 0% at go-live to 100% after this many months (same convention as the Servicing S2 model: scale-up phase drives the ramp).</t>
        </r>
      </text>
    </comment>
    <comment ref="F63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F64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F65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F66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I63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I64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I65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I66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K56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  <comment ref="K111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  <comment ref="K112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  <comment ref="K113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  <comment ref="K114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  <comment ref="K115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R63" authorId="0">
      <text>
        <r>
          <rPr>
            <sz val="10"/>
            <rFont val="Arial"/>
            <family val="2"/>
          </rPr>
          <t xml:space="preserve">Check: Annual Run Rate (column K) must equal 2030 value (colum P)</t>
        </r>
      </text>
    </comment>
    <comment ref="R91" authorId="0">
      <text>
        <r>
          <rPr>
            <sz val="10"/>
            <rFont val="Arial"/>
            <family val="2"/>
          </rPr>
          <t xml:space="preserve">Check: Annual Run Rate (column K) must equal 2030 value (colum P)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3" authorId="0">
      <text>
        <r>
          <rPr>
            <sz val="10"/>
            <rFont val="Arial"/>
            <family val="2"/>
          </rPr>
          <t xml:space="preserve">Benefits start in this month; feeds the WAVE 'Estimated L4 date'</t>
        </r>
      </text>
    </comment>
    <comment ref="D68" authorId="0">
      <text>
        <r>
          <rPr>
            <sz val="10"/>
            <rFont val="Arial"/>
            <family val="2"/>
          </rPr>
          <t xml:space="preserve">Benefit ramps linearly from 0% at go-live to 100% after this many months (same convention as the Servicing S2 model: scale-up phase drives the ramp).</t>
        </r>
      </text>
    </comment>
    <comment ref="F84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F85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F86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F87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F91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F92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F93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F94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I84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I85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I86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I87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I91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I92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I93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I94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K75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  <comment ref="K76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  <comment ref="K143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  <comment ref="K144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  <comment ref="K145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  <comment ref="K146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  <comment ref="K147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R63" authorId="0">
      <text>
        <r>
          <rPr>
            <sz val="10"/>
            <rFont val="Arial"/>
            <family val="2"/>
          </rPr>
          <t xml:space="preserve">Check: Annual Run Rate (column K) must equal 2030 value (colum P)</t>
        </r>
      </text>
    </comment>
    <comment ref="R91" authorId="0">
      <text>
        <r>
          <rPr>
            <sz val="10"/>
            <rFont val="Arial"/>
            <family val="2"/>
          </rPr>
          <t xml:space="preserve">Check: Annual Run Rate (column K) must equal 2030 value (colum P)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3" authorId="0">
      <text>
        <r>
          <rPr>
            <sz val="10"/>
            <rFont val="Arial"/>
            <family val="2"/>
          </rPr>
          <t xml:space="preserve">Benefits start in this month; feeds the WAVE 'Estimated L4 date'</t>
        </r>
      </text>
    </comment>
    <comment ref="D60" authorId="0">
      <text>
        <r>
          <rPr>
            <sz val="10"/>
            <rFont val="Arial"/>
            <family val="2"/>
          </rPr>
          <t xml:space="preserve">Benefit ramps linearly from 0% at go-live to 100% after this many months (same convention as the Servicing S2 model: scale-up phase drives the ramp).</t>
        </r>
      </text>
    </comment>
    <comment ref="F76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F77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F78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F79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F83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F84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F85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F86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I76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I77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I78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I79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I83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I84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I85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I86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K67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  <comment ref="K68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  <comment ref="K134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  <comment ref="K135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  <comment ref="K136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  <comment ref="K137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R63" authorId="0">
      <text>
        <r>
          <rPr>
            <sz val="10"/>
            <rFont val="Arial"/>
            <family val="2"/>
          </rPr>
          <t xml:space="preserve">Check: Annual Run Rate (column K) must equal 2030 value (colum P)</t>
        </r>
      </text>
    </comment>
    <comment ref="R91" authorId="0">
      <text>
        <r>
          <rPr>
            <sz val="10"/>
            <rFont val="Arial"/>
            <family val="2"/>
          </rPr>
          <t xml:space="preserve">Check: Annual Run Rate (column K) must equal 2030 value (colum P)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3" authorId="0">
      <text>
        <r>
          <rPr>
            <sz val="10"/>
            <rFont val="Arial"/>
            <family val="2"/>
          </rPr>
          <t xml:space="preserve">Benefits start in this month; feeds the WAVE 'Estimated L4 date'</t>
        </r>
      </text>
    </comment>
    <comment ref="D56" authorId="0">
      <text>
        <r>
          <rPr>
            <sz val="10"/>
            <rFont val="Arial"/>
            <family val="2"/>
          </rPr>
          <t xml:space="preserve">Benefit ramps linearly from 0% at go-live to 100% after this many months (same convention as the Servicing S2 model: scale-up phase drives the ramp).</t>
        </r>
      </text>
    </comment>
    <comment ref="F70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F71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F72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F73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I70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I71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I72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I73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K63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  <comment ref="K118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  <comment ref="K119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  <comment ref="K120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  <comment ref="K121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  <comment ref="K122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R63" authorId="0">
      <text>
        <r>
          <rPr>
            <sz val="10"/>
            <rFont val="Arial"/>
            <family val="2"/>
          </rPr>
          <t xml:space="preserve">Check: Annual Run Rate (column K) must equal 2030 value (colum P)</t>
        </r>
      </text>
    </comment>
    <comment ref="R91" authorId="0">
      <text>
        <r>
          <rPr>
            <sz val="10"/>
            <rFont val="Arial"/>
            <family val="2"/>
          </rPr>
          <t xml:space="preserve">Check: Annual Run Rate (column K) must equal 2030 value (colum P)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3" authorId="0">
      <text>
        <r>
          <rPr>
            <sz val="10"/>
            <rFont val="Arial"/>
            <family val="2"/>
          </rPr>
          <t xml:space="preserve">Benefits start in this month; feeds the WAVE 'Estimated L4 date'</t>
        </r>
      </text>
    </comment>
    <comment ref="D56" authorId="0">
      <text>
        <r>
          <rPr>
            <sz val="10"/>
            <rFont val="Arial"/>
            <family val="2"/>
          </rPr>
          <t xml:space="preserve">Benefit ramps linearly from 0% at go-live to 100% after this many months (same convention as the Servicing S2 model: scale-up phase drives the ramp).</t>
        </r>
      </text>
    </comment>
    <comment ref="F70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F71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F72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F73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I70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I71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I72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I73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K63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R63" authorId="0">
      <text>
        <r>
          <rPr>
            <sz val="10"/>
            <rFont val="Arial"/>
            <family val="2"/>
          </rPr>
          <t xml:space="preserve">Check: Annual Run Rate (column K) must equal 2030 value (colum P)</t>
        </r>
      </text>
    </comment>
    <comment ref="R91" authorId="0">
      <text>
        <r>
          <rPr>
            <sz val="10"/>
            <rFont val="Arial"/>
            <family val="2"/>
          </rPr>
          <t xml:space="preserve">Check: Annual Run Rate (column K) must equal 2030 value (colum P)</t>
        </r>
      </text>
    </comment>
  </commentList>
</comments>
</file>

<file path=xl/comments1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R63" authorId="0">
      <text>
        <r>
          <rPr>
            <sz val="10"/>
            <rFont val="Arial"/>
            <family val="2"/>
          </rPr>
          <t xml:space="preserve">Check: Annual Run Rate (column K) must equal 2030 value (colum P)</t>
        </r>
      </text>
    </comment>
    <comment ref="R91" authorId="0">
      <text>
        <r>
          <rPr>
            <sz val="10"/>
            <rFont val="Arial"/>
            <family val="2"/>
          </rPr>
          <t xml:space="preserve">Check: Annual Run Rate (column K) must equal 2030 value (colum P)</t>
        </r>
      </text>
    </comment>
  </commentList>
</comments>
</file>

<file path=xl/sharedStrings.xml><?xml version="1.0" encoding="utf-8"?>
<sst xmlns="http://schemas.openxmlformats.org/spreadsheetml/2006/main" count="2550" uniqueCount="812">
  <si>
    <t xml:space="preserve">PROJECT ZENITH — SERVICING WORKSTREAM | INITIATIVE MODELS &amp; WAVE TEMPLATES</t>
  </si>
  <si>
    <t xml:space="preserve">Workstream</t>
  </si>
  <si>
    <t xml:space="preserve">Servicing — Improve NPS and eliminate avoidable contacts through Prevent, Self-Serve and Optimize. ELT sponsor: Aaron | WSL: Tahira Adatia | IOs: Jackie Yu, Matt Anderson, Bob Hurst.</t>
  </si>
  <si>
    <t xml:space="preserve">Purpose</t>
  </si>
  <si>
    <t xml:space="preserve">One file per workstream: the six S2 initiatives, each with a Model sheet (distilled from the S2 sizing model, tier-level) formula-linked into its own copy of the standard WAVE template. S2 submission: Fri 4 Sep 2026.</t>
  </si>
  <si>
    <t xml:space="preserve">Version / status</t>
  </si>
  <si>
    <t xml:space="preserve">v1 — seeded 1:1 from the S2 sizing model vDraft5 (Base scenario, 28 Aug 2026). All initiative benefits, one-time and run costs tie to S2 to the cent at seed values (see tie-out targets on each model sheet).</t>
  </si>
  <si>
    <t xml:space="preserve">Prepared</t>
  </si>
  <si>
    <t xml:space="preserve">Prepared by AAO model build, 31 Aug 2026. Sources: 20260828_Servicing_S2sizing_vDraft5.xlsb; Project Zenith workplan vS_1; Zenith Business Case Template by Lever (WAVE).</t>
  </si>
  <si>
    <t xml:space="preserve">Sources</t>
  </si>
  <si>
    <t xml:space="preserve">S2 sizing model vDraft5 (77-intent L2 engine, A0–A6 waterfall, C1–C3 investment); distillation is at difficulty-tier level with per-tier bases and effective rates reproducing the L2 engine exactly at seed values.</t>
  </si>
  <si>
    <t xml:space="preserve">HOW THIS FILE IS ORGANIZED</t>
  </si>
  <si>
    <t xml:space="preserve">Cover</t>
  </si>
  <si>
    <t xml:space="preserve">This sheet — orientation, legend, deviations, open items.</t>
  </si>
  <si>
    <t xml:space="preserve">Instructions</t>
  </si>
  <si>
    <t xml:space="preserve">The WAVE template's own instruction sheet (as uploaded; dead broken-reference drop-down cells cleared).</t>
  </si>
  <si>
    <t xml:space="preserve">Rate Card</t>
  </si>
  <si>
    <t xml:space="preserve">Shared people-cost engine — S2 8-FTE pod at $200k/yr blended (ties to S2 C2); contingency reference; capitalization policy (0% = S2 cash treatment).</t>
  </si>
  <si>
    <t xml:space="preserve">Summary</t>
  </si>
  <si>
    <t xml:space="preserve">Portfolio roll-up of all six initiatives (links to WAVE sheets).</t>
  </si>
  <si>
    <t xml:space="preserve">SVC-1 Model / WAVE</t>
  </si>
  <si>
    <t xml:space="preserve">Contact Avoidance (S2 lever A1) — $12.84M.</t>
  </si>
  <si>
    <t xml:space="preserve">SVC-2 Model / WAVE</t>
  </si>
  <si>
    <t xml:space="preserve">Enhanced Chat / Self-Serve (A2) — $14.77M.</t>
  </si>
  <si>
    <t xml:space="preserve">SVC-3 Model / WAVE</t>
  </si>
  <si>
    <t xml:space="preserve">Agentic Voice &amp; AI Co-pilot (A3a + A3b) — $35.25M.</t>
  </si>
  <si>
    <t xml:space="preserve">SVC-4 Model / WAVE</t>
  </si>
  <si>
    <t xml:space="preserve">AI Workforce Management (A4a + A4b) — $7.65M.</t>
  </si>
  <si>
    <t xml:space="preserve">SVC-5 Model / WAVE</t>
  </si>
  <si>
    <t xml:space="preserve">Back-Office Automation (A5) — $6.83M.</t>
  </si>
  <si>
    <t xml:space="preserve">SVC-6 Model / WAVE</t>
  </si>
  <si>
    <t xml:space="preserve">Non-FTE Savings flow-through (A6) — $4.04M; FTE inputs link to the other five models.</t>
  </si>
  <si>
    <t xml:space="preserve">Standard Template</t>
  </si>
  <si>
    <t xml:space="preserve">Reference copy of the standard WAVE template (only error-guard fixes applied — see deviations).</t>
  </si>
  <si>
    <t xml:space="preserve">COLOR LEGEND</t>
  </si>
  <si>
    <t xml:space="preserve">Input — change freely</t>
  </si>
  <si>
    <t xml:space="preserve">Formula — do not overwrite</t>
  </si>
  <si>
    <t xml:space="preserve">Link to another sheet</t>
  </si>
  <si>
    <t xml:space="preserve">Section band</t>
  </si>
  <si>
    <t xml:space="preserve">MODEL -&gt; WAVE LINKING</t>
  </si>
  <si>
    <t xml:space="preserve">• Each initiative has a '&lt;code&gt; Model' sheet (all logic and inputs) and a '&lt;code&gt; WAVE' sheet (the standard template). The WAVE sheet contains NO hardcoded numbers for this initiative — its benefit/cost rows link (green) to the Model sheet's feed rows in $M.</t>
  </si>
  <si>
    <t xml:space="preserve">• Model sheets use the same time grid as WAVE: columns L:P = FY2026–2030 annual, columns T:CA = Jan-2026..Dec-2030 monthly. Annual cells are SUMIFS of the monthly grid, so the WAVE monthly-vs-annual checks (CI1:CM1) pass by construction.</t>
  </si>
  <si>
    <t xml:space="preserve">• The 'Ann. Run Rate' (K) on feed rows is defined as the 2030 value, matching the WAVE rule 'Annualized Run Rate (K) = 2030 Value (P)'. Keep ramps reaching 100% before 2030.</t>
  </si>
  <si>
    <t xml:space="preserve">• Benefits ramp linearly from the go-live date over 'months to full run rate' — same convention as the Servicing S2 model. One-time costs spread evenly over each milestone's billing months.</t>
  </si>
  <si>
    <t xml:space="preserve">• People costs: milestone labor = Team size x Billing months x blended monthly rate (Rate Card) x (1 + contingency). Capitalization: each milestone carries a Cap % (default from Rate Card policy) that splits labor into WAVE CapEx vs OTC rows. Same for non-labor one-time items.</t>
  </si>
  <si>
    <t xml:space="preserve">• Waterfall de-duplication: each model's opening cost is the prior lever's closing baseline (S2 stacking order). Openings are seeded inputs — refresh from the S2 L2 engine if upstream levers or intent tiering change (tier-level bases cannot re-derive themselves).</t>
  </si>
  <si>
    <t xml:space="preserve">DEVIATIONS FROM THE STANDARD WAVE TEMPLATE (documented fixes)</t>
  </si>
  <si>
    <t xml:space="preserve">• WAVE 'Recurring Benefits Total' run-rate cell K88: standard template has =SUM(-K68,K76,K84), which negates revenue in the run-rate column only (annual columns sum straight). Fixed here to =SUM(K68,K76,K84) so revenue-bearing cases pass the template's own K-vs-2030 check.</t>
  </si>
  <si>
    <t xml:space="preserve">• WAVE ROI cell G163: standard template divides the BASELINE column (I117) by one-time cost; fixed to use the run-rate NRB (K117). Both G163 (ROI) and G164 (IRR) are IFERROR-guarded so a blank or zero-cost state shows 'n/a' instead of DIV/0- and NUM-errors.</t>
  </si>
  <si>
    <t xml:space="preserve">• WAVE label cells I64/I92 ('TTM TTM 6/1/26' in the source, caused by a text period in H18): now display the Section I baseline period directly (=$H$18).</t>
  </si>
  <si>
    <t xml:space="preserve">• Template's illustrative prefills in rows 79/107 (I79=J21 link, J107=J26 link) neutralized on unused rows so phantom values cannot appear; the Section I generic 'xxxx' placeholder blocks (template rows 31-57) are cleared on initiative WAVE sheets.</t>
  </si>
  <si>
    <t xml:space="preserve">• On populated WAVE rows the K 'Ann. Run Rate' cell links the model's run-rate cell directly instead of recomputing I-J / J-I (J is built from I and that same cell, so the arithmetic is identical); this keeps K bit-identical to the 2030 column so the R-column run-rate checks stay exact in Excel.</t>
  </si>
  <si>
    <t xml:space="preserve">• Payback timeline (row 161 / G165): the template's chain formula stalls whenever a year's cumulative cash flow is exactly zero (its own example shows payback '0 yrs' despite a -6.2M cumulative in 2027). Replaced with a robust per-year form: 1 if cumulative CF &lt; 0, the crossing-year fraction when it turns positive, else 0; G165 shows '&gt;5' when payback is not reached inside the 2026-30 horizon.</t>
  </si>
  <si>
    <t xml:space="preserve">• The reference 'Standard Template' tab at the end of this file carries ONLY the error-guard fixes (G163/G164 IFERROR wraps, robust payback row) so the file recalculates clean; every other cell is byte-identical to the uploaded template, including its original K88/I64 quirks and all check machinery (R1, CI1:CM1), WACC 9.5%, cash-basis CapEx treatment. The 'Instructions' tab is as uploaded except its dead broken-reference (REF) hidden drop-down cells were cleared (broken in the source file).</t>
  </si>
  <si>
    <t xml:space="preserve">OPEN ITEMS / QC FLAGS CARRIED FROM SOURCE MATERIALS</t>
  </si>
  <si>
    <t xml:space="preserve">• Distillation grain: models run at difficulty-tier aggregates (SVC-5 at workflow grain); the S2 77-intent L2 engine remains the source of the tier bases. At seed values every headline ties to S2 to the cent; after editing rates here, re-tier in S2 for the L2-exact answer.</t>
  </si>
  <si>
    <t xml:space="preserve">• S2's own caveats carried over: run cost is the least-evidenced part (planning numbers under a $15M cap; token lines lack consumption forecasts); build durations are not IO-validated; client costing sheet still pending (C1–C3 built for a rate-card drop-in).</t>
  </si>
  <si>
    <t xml:space="preserve">• S2 4a routing ceiling may need scaling down (PayPal spread 1.52x vs 1.7x benchmark — S2 check #33 note); most intents run above the mix-shift cross-check.</t>
  </si>
  <si>
    <t xml:space="preserve">• Baseline reconciliations open: S2 traces $156M front-office (S1 view $219M; FP&amp;A reference $148M); back-office covers disputes only ($17.7M of ~$41M workplan figure); 6.4k of 7.8k FTE.</t>
  </si>
  <si>
    <t xml:space="preserve">• Capitalization: S2 treats all one-time as cash/expensed; cap % machinery is in place (Rate Card defaults 0%) — set Build/Test % once Finance confirms treatment.</t>
  </si>
  <si>
    <t xml:space="preserve">• FTE-impacted figures use the S2 'A0 basis' (as consumed by the non-FTE flow-through); residual-basis reductions are lower (S2 QC flag) — do not mix bases when quoting headcount.</t>
  </si>
  <si>
    <t xml:space="preserve">INPUTS &amp; ASSUMPTIONS</t>
  </si>
  <si>
    <t xml:space="preserve">Initiative #</t>
  </si>
  <si>
    <t xml:space="preserve">Initiative Owner</t>
  </si>
  <si>
    <t xml:space="preserve">John Smith</t>
  </si>
  <si>
    <t xml:space="preserve">Initiative Name</t>
  </si>
  <si>
    <t xml:space="preserve">Leverage agentic AI for customer service and care centers, reducing number of calls handled by live customer care agents and increasing productivity</t>
  </si>
  <si>
    <t xml:space="preserve">Names - 5-7 words</t>
  </si>
  <si>
    <t xml:space="preserve">Descriptions - 10-20 words</t>
  </si>
  <si>
    <t xml:space="preserve">Estimated L4 date</t>
  </si>
  <si>
    <t xml:space="preserve">Net Recurring Benefit ($M)</t>
  </si>
  <si>
    <t xml:space="preserve">SECTION I - PRIMARY VALUE DRIVER (ILLUSTRATIVE)</t>
  </si>
  <si>
    <t xml:space="preserve">CHECKS</t>
  </si>
  <si>
    <t xml:space="preserve">Illustrative example of value driver explanation - please edit fields to reflect value drivers for your Initiative</t>
  </si>
  <si>
    <t xml:space="preserve">Criteria (Column Reference)</t>
  </si>
  <si>
    <t xml:space="preserve">Check</t>
  </si>
  <si>
    <t xml:space="preserve">Troubleshoot:</t>
  </si>
  <si>
    <t xml:space="preserve">Baseline</t>
  </si>
  <si>
    <t xml:space="preserve">Period</t>
  </si>
  <si>
    <t xml:space="preserve">KPI</t>
  </si>
  <si>
    <t xml:space="preserve">Inputs</t>
  </si>
  <si>
    <t xml:space="preserve">(A) Annualized Run Rate (K) = 2030 Value (P)</t>
  </si>
  <si>
    <t xml:space="preserve"># of calls handled by live agents</t>
  </si>
  <si>
    <t xml:space="preserve">[A]</t>
  </si>
  <si>
    <t xml:space="preserve">FY2025</t>
  </si>
  <si>
    <t xml:space="preserve"># of calls</t>
  </si>
  <si>
    <t xml:space="preserve">(B) 2026 Value (L) = Sum of Monthly 2026 Values (CC)</t>
  </si>
  <si>
    <t xml:space="preserve">AHT</t>
  </si>
  <si>
    <t xml:space="preserve">[B]</t>
  </si>
  <si>
    <t xml:space="preserve">FY 2026</t>
  </si>
  <si>
    <t xml:space="preserve">Seconds</t>
  </si>
  <si>
    <t xml:space="preserve">(C) 2027 Value (M) = Sum of Monthly 2027 Values (CD)</t>
  </si>
  <si>
    <t xml:space="preserve"># of live agents handling calls</t>
  </si>
  <si>
    <t xml:space="preserve">[C]</t>
  </si>
  <si>
    <t xml:space="preserve">FY 2025</t>
  </si>
  <si>
    <t xml:space="preserve"># of live agents</t>
  </si>
  <si>
    <t xml:space="preserve">(D) 2028 Value (N) = Sum of Monthly 2028 Values (CE)</t>
  </si>
  <si>
    <t xml:space="preserve">Average cost per agent</t>
  </si>
  <si>
    <t xml:space="preserve">$ / agent</t>
  </si>
  <si>
    <t xml:space="preserve">(E) 2029 Value (O) = Sum of Monthly 2029 Values (CF)</t>
  </si>
  <si>
    <t xml:space="preserve">Total spend on contact center for queue X</t>
  </si>
  <si>
    <t xml:space="preserve">[D]</t>
  </si>
  <si>
    <t xml:space="preserve">$USD M</t>
  </si>
  <si>
    <t xml:space="preserve">(F) 2030 Value (P) = Sum of Monthly 2030 Values (CG)</t>
  </si>
  <si>
    <t xml:space="preserve">Goal</t>
  </si>
  <si>
    <t xml:space="preserve">D</t>
  </si>
  <si>
    <t xml:space="preserve">[E]</t>
  </si>
  <si>
    <t xml:space="preserve">[F]</t>
  </si>
  <si>
    <t xml:space="preserve">[G]</t>
  </si>
  <si>
    <t xml:space="preserve">[H]</t>
  </si>
  <si>
    <t xml:space="preserve">FY2026</t>
  </si>
  <si>
    <t xml:space="preserve">Incremental Improvement</t>
  </si>
  <si>
    <t xml:space="preserve">[A]-[E]</t>
  </si>
  <si>
    <t xml:space="preserve">[B]-[F]</t>
  </si>
  <si>
    <t xml:space="preserve">[C]-[G]</t>
  </si>
  <si>
    <t xml:space="preserve">Total spend on contact center queue X</t>
  </si>
  <si>
    <t xml:space="preserve">[D]-[H]</t>
  </si>
  <si>
    <t xml:space="preserve">USD M</t>
  </si>
  <si>
    <t xml:space="preserve"># xxxx</t>
  </si>
  <si>
    <t xml:space="preserve">xxxx unit cost</t>
  </si>
  <si>
    <t xml:space="preserve">$ xxxx</t>
  </si>
  <si>
    <t xml:space="preserve">xxxx total spend</t>
  </si>
  <si>
    <t xml:space="preserve">$USD K</t>
  </si>
  <si>
    <t xml:space="preserve">[A]-[C]</t>
  </si>
  <si>
    <t xml:space="preserve">$ / xxxx</t>
  </si>
  <si>
    <t xml:space="preserve">[B]-[D]</t>
  </si>
  <si>
    <t xml:space="preserve">SECTION II - NET RECURRING BENEFITS</t>
  </si>
  <si>
    <t xml:space="preserve">ANNUAL SUMMARY</t>
  </si>
  <si>
    <t xml:space="preserve">CHECK CELLS</t>
  </si>
  <si>
    <t xml:space="preserve">RECURRING BENEFITS</t>
  </si>
  <si>
    <t xml:space="preserve">Comment</t>
  </si>
  <si>
    <t xml:space="preserve">Ann. Run Rate</t>
  </si>
  <si>
    <t xml:space="preserve">Impacted BU</t>
  </si>
  <si>
    <t xml:space="preserve">FY25 Hist.</t>
  </si>
  <si>
    <t xml:space="preserve">Future State</t>
  </si>
  <si>
    <t xml:space="preserve">Increment</t>
  </si>
  <si>
    <t xml:space="preserve">Revenue</t>
  </si>
  <si>
    <t xml:space="preserve">Revenue Subtotal</t>
  </si>
  <si>
    <t xml:space="preserve">Cost of Sales</t>
  </si>
  <si>
    <t xml:space="preserve">Cost of Sales Subtotal</t>
  </si>
  <si>
    <t xml:space="preserve">OPEX</t>
  </si>
  <si>
    <t xml:space="preserve">OPEX - Temporary Workers</t>
  </si>
  <si>
    <t xml:space="preserve">Global Risk</t>
  </si>
  <si>
    <t xml:space="preserve">OpEx subtotal</t>
  </si>
  <si>
    <t xml:space="preserve">Recurring Benefits Total</t>
  </si>
  <si>
    <t xml:space="preserve">RECURRING COSTS TO ACHIEVE IMPACT</t>
  </si>
  <si>
    <t xml:space="preserve">OPEX - SaaS SW</t>
  </si>
  <si>
    <t xml:space="preserve">Platform licencing &amp; LLM inference</t>
  </si>
  <si>
    <t xml:space="preserve">OPEX - Cloud Services</t>
  </si>
  <si>
    <t xml:space="preserve">Cloud infra</t>
  </si>
  <si>
    <t xml:space="preserve">Recurring Costs Total</t>
  </si>
  <si>
    <t xml:space="preserve">Net Recurring Benefit</t>
  </si>
  <si>
    <t xml:space="preserve">SECTION III - ONE-TIME IMPLEMENTATION</t>
  </si>
  <si>
    <t xml:space="preserve">ONE-TIME BENEFITS</t>
  </si>
  <si>
    <t xml:space="preserve">Working Capital</t>
  </si>
  <si>
    <t xml:space="preserve">Working Capital Subtotal</t>
  </si>
  <si>
    <t xml:space="preserve">One-Time Benefits Total</t>
  </si>
  <si>
    <t xml:space="preserve">CAPEX AND ONE-TIME COSTS</t>
  </si>
  <si>
    <t xml:space="preserve">Capital Expenditures</t>
  </si>
  <si>
    <t xml:space="preserve">CAPEX - AI</t>
  </si>
  <si>
    <t xml:space="preserve">Capital Expenditures Subtotal</t>
  </si>
  <si>
    <t xml:space="preserve">OTC</t>
  </si>
  <si>
    <t xml:space="preserve">OTC Subtotal</t>
  </si>
  <si>
    <t xml:space="preserve">One-Time Costs Total</t>
  </si>
  <si>
    <t xml:space="preserve">Total One-Time Benefit</t>
  </si>
  <si>
    <t xml:space="preserve">SECTION IV - FINANCIAL METRICS</t>
  </si>
  <si>
    <t xml:space="preserve">Cash Flow</t>
  </si>
  <si>
    <t xml:space="preserve">Total</t>
  </si>
  <si>
    <t xml:space="preserve">Operating Income</t>
  </si>
  <si>
    <t xml:space="preserve">(+) One-Time Benefits</t>
  </si>
  <si>
    <t xml:space="preserve">(-) One-Time Cash Costs</t>
  </si>
  <si>
    <t xml:space="preserve">Cumulative Cash Flow</t>
  </si>
  <si>
    <t xml:space="preserve">Payback timeline</t>
  </si>
  <si>
    <t xml:space="preserve">WACC</t>
  </si>
  <si>
    <t xml:space="preserve">NPV</t>
  </si>
  <si>
    <t xml:space="preserve">$</t>
  </si>
  <si>
    <t xml:space="preserve"># yrs</t>
  </si>
  <si>
    <t xml:space="preserve">DO NOT DELETE - INPUT FOR DROP-DOWN MENU in COLUMN O ROWS 37-51</t>
  </si>
  <si>
    <t xml:space="preserve">END</t>
  </si>
  <si>
    <t xml:space="preserve">RATE CARD — people-cost engine (shared by all initiative models)</t>
  </si>
  <si>
    <t xml:space="preserve">Blue cells with yellow fill = inputs you can change. Black = formulas. All initiative models pull the blended rate and policy tables from this sheet.</t>
  </si>
  <si>
    <t xml:space="preserve">1. RATE BASIS</t>
  </si>
  <si>
    <t xml:space="preserve">Rate basis for people costs</t>
  </si>
  <si>
    <t xml:space="preserve">Yearly</t>
  </si>
  <si>
    <t xml:space="preserve">Choose how role rates are quoted, then TYPE YOUR RATES in the matching column of the role table below (Yearly-&gt;col D, Monthly-&gt;col E, Hourly-&gt;col F). The other columns show derived equivalents until you overwrite them. Hourly =&gt; monthly = $/hr x hours/day x days/month.</t>
  </si>
  <si>
    <t xml:space="preserve">Working hours per day</t>
  </si>
  <si>
    <t xml:space="preserve">Used only when rate basis = Hourly.</t>
  </si>
  <si>
    <t xml:space="preserve">Billable days per month</t>
  </si>
  <si>
    <t xml:space="preserve">Months per year (for yearly basis)</t>
  </si>
  <si>
    <t xml:space="preserve">2. STANDARD TEAM COMPOSITION &amp; BLENDED RATE</t>
  </si>
  <si>
    <t xml:space="preserve">Role</t>
  </si>
  <si>
    <t xml:space="preserve"># in std team</t>
  </si>
  <si>
    <t xml:space="preserve">Yearly rate ($/yr)</t>
  </si>
  <si>
    <t xml:space="preserve">Monthly rate ($/mo)</t>
  </si>
  <si>
    <t xml:space="preserve">Hourly rate ($/hr)</t>
  </si>
  <si>
    <t xml:space="preserve">Monthly used ($/mo)</t>
  </si>
  <si>
    <t xml:space="preserve">Team cost ($/mo)</t>
  </si>
  <si>
    <t xml:space="preserve">Source / notes</t>
  </si>
  <si>
    <t xml:space="preserve">Product Owner</t>
  </si>
  <si>
    <t xml:space="preserve">PM / Scrum Master</t>
  </si>
  <si>
    <t xml:space="preserve">Tech Lead</t>
  </si>
  <si>
    <t xml:space="preserve">AI Engineer</t>
  </si>
  <si>
    <t xml:space="preserve">DevOps Engineer</t>
  </si>
  <si>
    <t xml:space="preserve">QA Engineer</t>
  </si>
  <si>
    <t xml:space="preserve">FA / UX</t>
  </si>
  <si>
    <t xml:space="preserve">spare row — add roles as team shape is refined</t>
  </si>
  <si>
    <t xml:space="preserve">Total standard team</t>
  </si>
  <si>
    <t xml:space="preserve">BLENDED RATE — per team member</t>
  </si>
  <si>
    <t xml:space="preserve">$/person/month</t>
  </si>
  <si>
    <t xml:space="preserve">Weighted average monthly cost of one member of the standard team. Initiative milestone tables use this unless a rate override is entered.</t>
  </si>
  <si>
    <t xml:space="preserve">$/person/year</t>
  </si>
  <si>
    <t xml:space="preserve">$/person/hour</t>
  </si>
  <si>
    <t xml:space="preserve">3. CONTINGENCY FACTOR REFERENCE</t>
  </si>
  <si>
    <t xml:space="preserve">Complexity / risk level</t>
  </si>
  <si>
    <t xml:space="preserve">Factor</t>
  </si>
  <si>
    <t xml:space="preserve">Based on the complexity and risks to deliver the milestone.</t>
  </si>
  <si>
    <t xml:space="preserve">Low</t>
  </si>
  <si>
    <t xml:space="preserve">Medium</t>
  </si>
  <si>
    <t xml:space="preserve">High</t>
  </si>
  <si>
    <t xml:space="preserve">Very high</t>
  </si>
  <si>
    <t xml:space="preserve">4. CAPITALIZATION POLICY (labor) — default % of milestone labor capitalizable</t>
  </si>
  <si>
    <t xml:space="preserve">Milestone</t>
  </si>
  <si>
    <t xml:space="preserve">Cap %</t>
  </si>
  <si>
    <t xml:space="preserve">Share of labor cost treated as CapEx (feeds WAVE 'Capital Expenditures'); remainder is expensed one-time cost (WAVE 'OTC'). Defaults follow a typical internal-use software policy (ASC 350-40): application development/build stage capitalizable, planning and post-launch expensed. CONFIRM WITH FINANCE — initiative models reference these cells, override there if needed.</t>
  </si>
  <si>
    <t xml:space="preserve">Plan / Design</t>
  </si>
  <si>
    <t xml:space="preserve">Build / Test</t>
  </si>
  <si>
    <t xml:space="preserve">Pilot / Change Mgmt.</t>
  </si>
  <si>
    <t xml:space="preserve">Scale / Run</t>
  </si>
  <si>
    <t xml:space="preserve">Non-labor one-time (default)</t>
  </si>
  <si>
    <t xml:space="preserve">5. NOTES</t>
  </si>
  <si>
    <t xml:space="preserve">• Roles = the S2 model's standard 8-FTE build pod; every role priced at the S2 blended loaded delivery rate of $200,000/yr, so the blended rate ties to the S2 investment build exactly. Differentiate role rates here once the client rate card arrives (C1–C3 were designed for a rate-card drop-in).</t>
  </si>
  <si>
    <t xml:space="preserve">• Milestone contingency of 10% in the initiative models = the S2 'risk adjustment on delivery labour'. PM (8%) and contingency (10%) uplifts are separate formula lines in each model's one-time non-labor table — total one-time per initiative ties to S2 C2 row 35.</t>
  </si>
  <si>
    <t xml:space="preserve">• Capitalization defaults are 0% because the S2 model treats all one-time spend as cash/expensed (no CapEx split anywhere in C1–C3). Set Build/Test cap % here (e.g. 80%) once Finance confirms treatment — the CapEx/OTC split then flows to the WAVE sheets automatically.</t>
  </si>
  <si>
    <t xml:space="preserve">• Run-team labor sits in each model's recurring run-cost table at $180,000/FTE/yr (S2 run rate).</t>
  </si>
  <si>
    <t xml:space="preserve">SERVICING WORKSTREAM — PORTFOLIO SUMMARY ($M)</t>
  </si>
  <si>
    <t xml:space="preserve">All figures link to the initiative WAVE sheets. Payback/NPV per WAVE Section IV.</t>
  </si>
  <si>
    <t xml:space="preserve">Initiative</t>
  </si>
  <si>
    <t xml:space="preserve">NRB run rate</t>
  </si>
  <si>
    <t xml:space="preserve">NRB 2026</t>
  </si>
  <si>
    <t xml:space="preserve">NRB 2027</t>
  </si>
  <si>
    <t xml:space="preserve">NRB 2028</t>
  </si>
  <si>
    <t xml:space="preserve">NRB 2029</t>
  </si>
  <si>
    <t xml:space="preserve">NRB 2030</t>
  </si>
  <si>
    <t xml:space="preserve">One-time cost (5yr)</t>
  </si>
  <si>
    <t xml:space="preserve">Run cost 2030</t>
  </si>
  <si>
    <t xml:space="preserve">NPV (5yr)</t>
  </si>
  <si>
    <t xml:space="preserve">Payback (yrs)</t>
  </si>
  <si>
    <t xml:space="preserve">SVC-1 — Contact Avoidance</t>
  </si>
  <si>
    <t xml:space="preserve">SVC-2 — Enhanced Chat / Self-Serve</t>
  </si>
  <si>
    <t xml:space="preserve">SVC-3 — Agentic Voice &amp; AI Co-pilot</t>
  </si>
  <si>
    <t xml:space="preserve">SVC-4 — AI Workforce Management</t>
  </si>
  <si>
    <t xml:space="preserve">SVC-5 — Back-Office Automation</t>
  </si>
  <si>
    <t xml:space="preserve">SVC-6 — Non-FTE Savings</t>
  </si>
  <si>
    <t xml:space="preserve">TOTAL — SERVICING WORKSTREAM</t>
  </si>
  <si>
    <t xml:space="preserve">Note: NPV and payback are not additive across initiatives; totals shown for benefit/cost columns only.</t>
  </si>
  <si>
    <t xml:space="preserve">Capitalization policy note: this file defaults ALL cap % to 0% to mirror the S2 model's all-cash treatment; the SDLC/Sales files default Build/Test labor to 80%. Align the policy across workstreams with Finance before the S2 gate.</t>
  </si>
  <si>
    <t xml:space="preserve">SVC-1 — Contact Avoidance  |  INITIATIVE MODEL</t>
  </si>
  <si>
    <t xml:space="preserve">Workstream: Servicing (ELT sponsor: Aaron | WSL: Tahira | IOs: Jackie Yu, Matt Anderson, Bob Hurst)   •   Model status: Seeded 1:1 from S2 vDraft5 (Base) — benefit ties to $12.84M</t>
  </si>
  <si>
    <t xml:space="preserve">Monthly grid (Jan-26 → Dec-30) →</t>
  </si>
  <si>
    <t xml:space="preserve">Run rate</t>
  </si>
  <si>
    <t xml:space="preserve">0. INITIATIVE &amp; STATUS</t>
  </si>
  <si>
    <t xml:space="preserve">Initiative name</t>
  </si>
  <si>
    <t xml:space="preserve">Prevent avoidable contacts at source through product fixes and upstream journey improvements</t>
  </si>
  <si>
    <t xml:space="preserve">Initiative owner</t>
  </si>
  <si>
    <t xml:space="preserve">Servicing IO — TBC (pool: Jackie Yu, Matt Anderson, Bob Hurst)</t>
  </si>
  <si>
    <t xml:space="preserve">confirm with workstream lead</t>
  </si>
  <si>
    <t xml:space="preserve">Global Servicing</t>
  </si>
  <si>
    <t xml:space="preserve">Go-live / Estimated L4 date</t>
  </si>
  <si>
    <t xml:space="preserve">Benefit ramp is gated on this date.</t>
  </si>
  <si>
    <t xml:space="preserve">Source: Servicing S2 sizing model vDraft5 (28 Aug 2026), Base scenario. Distilled to tier level; per-tier eligible bases and effective rates reproduce the S2 L2-intent engine output exactly (verified).</t>
  </si>
  <si>
    <t xml:space="preserve">Source: Workplan: 'Project Zenith Automation workplan and data requests vS_1.xlsx', Servicing tabs</t>
  </si>
  <si>
    <t xml:space="preserve">Open items to refine with initiative owner:</t>
  </si>
  <si>
    <t xml:space="preserve">  – Tier rates are the S2 assumptions (Easy 20% / Medium 10% / Hard 5% of eligible contacts); scenario variants in S2: Upside 28/18/8, Downside 12/7/3.</t>
  </si>
  <si>
    <t xml:space="preserve">  – $31.4M of opening cost is ineligible (NEI + unmappable 'Others' + no-product-fix rows) — ~20% of the front-office base carries zero avoidance benefit; upside if taxonomy improves.</t>
  </si>
  <si>
    <t xml:space="preserve">  – S2 contact baseline is 37.7M offered contacts annualized from 7 months (x12/7), ~5% above the $148M FP&amp;A reference — FP&amp;A to confirm; workplan cites a different 20.4M baseline (basis differs).</t>
  </si>
  <si>
    <t xml:space="preserve">1. SIZING ASSUMPTIONS  (blue = inputs — refine with initiative owner)</t>
  </si>
  <si>
    <t xml:space="preserve">Opening baseline (S2 waterfall position: first lever, opens on A0 baseline)</t>
  </si>
  <si>
    <t xml:space="preserve">Opening front-office cost baseline</t>
  </si>
  <si>
    <t xml:space="preserve">$/yr</t>
  </si>
  <si>
    <t xml:space="preserve">Servicing S2 sizing model vDraft5 (28 Aug 2026), Base scenario. A0 intent cost baseline (annualized 7-mo actuals x 12/7). Opening cost follows the S2 stacking waterfall (each lever opens on the prior lever's closing baseline; order: 1 Avoidance → 2 Chat → 3a Voice → 3b Co-pilot → 4a SBR → 4b Utilisation). Tier-level bases below are snapshots of the S2 L2 engine — refresh them from the S2 model if upstream levers or tiering change.</t>
  </si>
  <si>
    <t xml:space="preserve">Investment uplifts (S2 standard)</t>
  </si>
  <si>
    <t xml:space="preserve">Programme management, % of build</t>
  </si>
  <si>
    <t xml:space="preserve">%</t>
  </si>
  <si>
    <t xml:space="preserve">S2 COST_PMO</t>
  </si>
  <si>
    <t xml:space="preserve">Contingency, % of build incl. PM</t>
  </si>
  <si>
    <t xml:space="preserve">S2 COST_CONT</t>
  </si>
  <si>
    <t xml:space="preserve">Run team headcount</t>
  </si>
  <si>
    <t xml:space="preserve"># FTE</t>
  </si>
  <si>
    <t xml:space="preserve">S2 C3: keep-the-lights-on</t>
  </si>
  <si>
    <t xml:space="preserve">Run team loaded rate</t>
  </si>
  <si>
    <t xml:space="preserve">$/FTE/yr</t>
  </si>
  <si>
    <t xml:space="preserve">S2 COST_RUN_RATE</t>
  </si>
  <si>
    <t xml:space="preserve">(spare assumption row)</t>
  </si>
  <si>
    <t xml:space="preserve">Eligible opening cost by difficulty tier (S2 Intent Tiering, avoidance column)</t>
  </si>
  <si>
    <t xml:space="preserve">Tier</t>
  </si>
  <si>
    <t xml:space="preserve">Eligible cost base ($/yr)</t>
  </si>
  <si>
    <t xml:space="preserve">Effective rate</t>
  </si>
  <si>
    <t xml:space="preserve">Benefit ($/yr)</t>
  </si>
  <si>
    <t xml:space="preserve">FTE base</t>
  </si>
  <si>
    <t xml:space="preserve">FTE released</t>
  </si>
  <si>
    <t xml:space="preserve">Rates = S2 tier assumptions (CA_*). Bases = S2 eligible opening cost aggregated from the 77-intent engine.</t>
  </si>
  <si>
    <t xml:space="preserve">Easy (12 L2 intents)</t>
  </si>
  <si>
    <t xml:space="preserve">S2 rate: 20% of contacts avoidable</t>
  </si>
  <si>
    <t xml:space="preserve">Medium (43 L2 intents)</t>
  </si>
  <si>
    <t xml:space="preserve">S2 rate: 10%</t>
  </si>
  <si>
    <t xml:space="preserve">Hard (19 L2 intents)</t>
  </si>
  <si>
    <t xml:space="preserve">S2 rate: 5%</t>
  </si>
  <si>
    <t xml:space="preserve">Ineligible (NEI / unmappable / no product fix)</t>
  </si>
  <si>
    <t xml:space="preserve">H='No' rows + NEI + 'Others' — no benefit booked</t>
  </si>
  <si>
    <t xml:space="preserve">Subtotal — Eligible opening cost by difficulty tier</t>
  </si>
  <si>
    <t xml:space="preserve">2. BENEFIT CALCULATION  (steady-state annual run-rate)</t>
  </si>
  <si>
    <t xml:space="preserve">Total annual benefit (steady state)</t>
  </si>
  <si>
    <t xml:space="preserve">Ties to S2 A1 benefit $12,838,616</t>
  </si>
  <si>
    <t xml:space="preserve">FTE impacted (feeds Non-FTE model SVC-6)</t>
  </si>
  <si>
    <t xml:space="preserve">Ties to S2: 540.9 FTE</t>
  </si>
  <si>
    <t xml:space="preserve">Closing cost (hand-off baseline to SVC-2)</t>
  </si>
  <si>
    <t xml:space="preserve">S2: $143,185,920</t>
  </si>
  <si>
    <t xml:space="preserve">3. RAMP &amp; PHASING</t>
  </si>
  <si>
    <t xml:space="preserve">Months to full run rate after go-live (linear ramp)</t>
  </si>
  <si>
    <t xml:space="preserve">Benefit starts at go-live and ramps linearly to steady state over this many months.</t>
  </si>
  <si>
    <t xml:space="preserve">Monthly ramp % (run-rate captured in month)</t>
  </si>
  <si>
    <t xml:space="preserve">Resulting average ramp % by year (info)</t>
  </si>
  <si>
    <t xml:space="preserve">4. RECURRING BENEFIT LINES  ($M — these rows feed the WAVE sheet)</t>
  </si>
  <si>
    <t xml:space="preserve">Line (WAVE category)</t>
  </si>
  <si>
    <t xml:space="preserve">Baseline $M</t>
  </si>
  <si>
    <t xml:space="preserve">OPEX - Front-office cost reduction (avoided contacts)   [OPEX]</t>
  </si>
  <si>
    <t xml:space="preserve">Total recurring benefit ($M)</t>
  </si>
  <si>
    <t xml:space="preserve">5. ONE-TIME INVESTMENT — people cost by milestone (standard approach)</t>
  </si>
  <si>
    <t xml:space="preserve">Assumptions</t>
  </si>
  <si>
    <t xml:space="preserve">Team size</t>
  </si>
  <si>
    <t xml:space="preserve">Billing months</t>
  </si>
  <si>
    <t xml:space="preserve">Contingency Factor</t>
  </si>
  <si>
    <t xml:space="preserve">Labor Costs</t>
  </si>
  <si>
    <t xml:space="preserve">Start month</t>
  </si>
  <si>
    <t xml:space="preserve">Cap % (labor)</t>
  </si>
  <si>
    <t xml:space="preserve">Rate override ($/mo)</t>
  </si>
  <si>
    <t xml:space="preserve">Capture any assumptions on cost drivers, timelines, contingency factor etc.</t>
  </si>
  <si>
    <t xml:space="preserve">Months the team works at full utilization</t>
  </si>
  <si>
    <t xml:space="preserve">Low=10% Medium=15% High=20% Very high=50%</t>
  </si>
  <si>
    <t xml:space="preserve">Total labor costs for milestone</t>
  </si>
  <si>
    <t xml:space="preserve">Default links to Rate Card policy — type a % to override</t>
  </si>
  <si>
    <t xml:space="preserve">S2 build shape: design team of 4 for 2 months. Durations are the S2 assumption, not IO-validated delivery plans.</t>
  </si>
  <si>
    <t xml:space="preserve">S2: one 8-FTE pod (PO, PM/Scrum, Tech Lead, 2 AI Eng, DevOps, QA, FA/UX) for 5 months.</t>
  </si>
  <si>
    <t xml:space="preserve">S2 scale-up &amp; rollout: 5 FTE (product roles step down) for 6 months — drives the benefit ramp.</t>
  </si>
  <si>
    <t xml:space="preserve">Run-phase support carried as recurring run cost (Section 6) — S2 treats run as a consolidated run team.</t>
  </si>
  <si>
    <t xml:space="preserve">Milestone labor phasing ($/month, spread evenly over billing months)</t>
  </si>
  <si>
    <t xml:space="preserve">   Plan / Design</t>
  </si>
  <si>
    <t xml:space="preserve">   Build / Test</t>
  </si>
  <si>
    <t xml:space="preserve">   Pilot / Change Mgmt.</t>
  </si>
  <si>
    <t xml:space="preserve">   Scale / Run</t>
  </si>
  <si>
    <t xml:space="preserve">Total milestone labor (all blocks)</t>
  </si>
  <si>
    <t xml:space="preserve">One-time non-labor costs (vendor, integration, licences, change mgmt., etc.)</t>
  </si>
  <si>
    <t xml:space="preserve">Item</t>
  </si>
  <si>
    <t xml:space="preserve">Assumptions / notes</t>
  </si>
  <si>
    <t xml:space="preserve">Total $</t>
  </si>
  <si>
    <t xml:space="preserve">Spread months</t>
  </si>
  <si>
    <t xml:space="preserve">Platform and licence set-up</t>
  </si>
  <si>
    <t xml:space="preserve">S2 C2 planning number ($0 for this initiative)</t>
  </si>
  <si>
    <t xml:space="preserve">Hardware and infrastructure</t>
  </si>
  <si>
    <t xml:space="preserve">S2 C2 planning number — no basis documented in S2; validate</t>
  </si>
  <si>
    <t xml:space="preserve">Integration connectors</t>
  </si>
  <si>
    <t xml:space="preserve">S2 C2 planning number</t>
  </si>
  <si>
    <t xml:space="preserve">Cloud compute for build &amp; evaluation</t>
  </si>
  <si>
    <t xml:space="preserve">Programme management (8% of build)</t>
  </si>
  <si>
    <t xml:space="preserve">S2 standard: 8% x (delivery labour + other one-time)</t>
  </si>
  <si>
    <t xml:space="preserve">Contingency (10% of build incl. PM)</t>
  </si>
  <si>
    <t xml:space="preserve">S2 standard: 10% x subtotal incl. PM. Total one-time ties to S2: $1,960,200</t>
  </si>
  <si>
    <t xml:space="preserve">(spare)</t>
  </si>
  <si>
    <t xml:space="preserve">Non-labor phasing ($/month)</t>
  </si>
  <si>
    <t xml:space="preserve">   phasing — item 1</t>
  </si>
  <si>
    <t xml:space="preserve">   phasing — item 2</t>
  </si>
  <si>
    <t xml:space="preserve">   phasing — item 3</t>
  </si>
  <si>
    <t xml:space="preserve">   phasing — item 4</t>
  </si>
  <si>
    <t xml:space="preserve">   phasing — item 5</t>
  </si>
  <si>
    <t xml:space="preserve">   phasing — item 6</t>
  </si>
  <si>
    <t xml:space="preserve">   phasing — item 7</t>
  </si>
  <si>
    <t xml:space="preserve">One-time investment feed rows ($M — these feed the WAVE sheet)</t>
  </si>
  <si>
    <t xml:space="preserve">CAPEX — capitalized build labor</t>
  </si>
  <si>
    <t xml:space="preserve">CAPEX — capitalized non-labor</t>
  </si>
  <si>
    <t xml:space="preserve">OTC — build labor (expensed)</t>
  </si>
  <si>
    <t xml:space="preserve">OTC — non-labor (expensed)</t>
  </si>
  <si>
    <t xml:space="preserve">Total one-time investment ($M)</t>
  </si>
  <si>
    <t xml:space="preserve">6. RECURRING RUN COSTS to achieve impact</t>
  </si>
  <si>
    <t xml:space="preserve">Line</t>
  </si>
  <si>
    <t xml:space="preserve">Annual $ (steady state)</t>
  </si>
  <si>
    <t xml:space="preserve">Scales with ramp? (Y/N)</t>
  </si>
  <si>
    <t xml:space="preserve">OPEX - Run team (keep-the-lights-on)</t>
  </si>
  <si>
    <t xml:space="preserve">S2 C3: 2.0 FTE x $180k</t>
  </si>
  <si>
    <t xml:space="preserve">N</t>
  </si>
  <si>
    <t xml:space="preserve">OPEX - Vendor support &amp; maintenance</t>
  </si>
  <si>
    <t xml:space="preserve">S2 C3 planning number</t>
  </si>
  <si>
    <t xml:space="preserve">OPEX - Incremental infrastructure</t>
  </si>
  <si>
    <t xml:space="preserve">Run-cost feed rows ($M)</t>
  </si>
  <si>
    <t xml:space="preserve">OPEX - Run team (keep-the-lights-on)   [RUN]</t>
  </si>
  <si>
    <t xml:space="preserve">OPEX - Vendor support &amp; maintenance   [RUN]</t>
  </si>
  <si>
    <t xml:space="preserve">OPEX - Incremental infrastructure   [RUN]</t>
  </si>
  <si>
    <t xml:space="preserve">Total run cost ($M)</t>
  </si>
  <si>
    <t xml:space="preserve">7. WAVE MAPPING (reference)</t>
  </si>
  <si>
    <t xml:space="preserve">Model row 57 — OPEX - Front-office cost reduction (avoided contacts)</t>
  </si>
  <si>
    <t xml:space="preserve">→  WAVE row 79 (Section II — Recurring Benefits)</t>
  </si>
  <si>
    <t xml:space="preserve">Model row 110 — OPEX - Run team (keep-the-lights-on)</t>
  </si>
  <si>
    <t xml:space="preserve">→  WAVE row 107 (Section II — Recurring Costs)</t>
  </si>
  <si>
    <t xml:space="preserve">Model row 111 — OPEX - Vendor support &amp; maintenance</t>
  </si>
  <si>
    <t xml:space="preserve">→  WAVE row 108 (Section II — Recurring Costs)</t>
  </si>
  <si>
    <t xml:space="preserve">Model row 112 — OPEX - Incremental infrastructure</t>
  </si>
  <si>
    <t xml:space="preserve">→  WAVE row 109 (Section II — Recurring Costs)</t>
  </si>
  <si>
    <t xml:space="preserve">Model row 96 — CAPEX — capitalized build labor</t>
  </si>
  <si>
    <t xml:space="preserve">→  WAVE row 136 (Section III — CapEx)</t>
  </si>
  <si>
    <t xml:space="preserve">Model row 97 — CAPEX — capitalized non-labor</t>
  </si>
  <si>
    <t xml:space="preserve">→  WAVE row 137 (Section III — CapEx)</t>
  </si>
  <si>
    <t xml:space="preserve">Model row 98 — OTC — build labor (expensed)</t>
  </si>
  <si>
    <t xml:space="preserve">→  WAVE row 141 (Section III — OTC)</t>
  </si>
  <si>
    <t xml:space="preserve">Model row 99 — OTC — non-labor (expensed)</t>
  </si>
  <si>
    <t xml:space="preserve">→  WAVE row 142 (Section III — OTC)</t>
  </si>
  <si>
    <t xml:space="preserve">8. FLEX / SCRATCH AREA — free space for refinements with the initiative owner</t>
  </si>
  <si>
    <t xml:space="preserve">TBD</t>
  </si>
  <si>
    <t xml:space="preserve">Primary value driver — linked to the Model sheet; refine with the initiative owner</t>
  </si>
  <si>
    <t xml:space="preserve">Front-office servicing cost baseline (annualized)</t>
  </si>
  <si>
    <t xml:space="preserve">Jan–Jul 2026 x 12/7</t>
  </si>
  <si>
    <t xml:space="preserve">Eligible base (Easy+Medium+Hard tiers)</t>
  </si>
  <si>
    <t xml:space="preserve">same</t>
  </si>
  <si>
    <t xml:space="preserve">Implied front-office FTE (S2 A0)</t>
  </si>
  <si>
    <t xml:space="preserve">Blended avoidance rate on opening cost</t>
  </si>
  <si>
    <t xml:space="preserve">Steady state</t>
  </si>
  <si>
    <t xml:space="preserve">FTE impacted</t>
  </si>
  <si>
    <t xml:space="preserve">Annual benefit (run rate)</t>
  </si>
  <si>
    <t xml:space="preserve">CHECK</t>
  </si>
  <si>
    <t xml:space="preserve">OPEX - Front-office cost reduction (avoided contacts)</t>
  </si>
  <si>
    <t xml:space="preserve">Eligible cost x tier avoidance rates (S2 tier engine, distilled)</t>
  </si>
  <si>
    <t xml:space="preserve">Total One-Time Implementation Cost</t>
  </si>
  <si>
    <t xml:space="preserve">Return on Investment</t>
  </si>
  <si>
    <t xml:space="preserve">NRB/OTC</t>
  </si>
  <si>
    <t xml:space="preserve">Internal Rate of Return</t>
  </si>
  <si>
    <t xml:space="preserve">5-yr IRR</t>
  </si>
  <si>
    <t xml:space="preserve">Breakeven timeline</t>
  </si>
  <si>
    <t xml:space="preserve">SVC-2 — Enhanced Chat / Self-Serve  |  INITIATIVE MODEL</t>
  </si>
  <si>
    <t xml:space="preserve">Workstream: Servicing (ELT sponsor: Aaron | WSL: Tahira | IOs: Jackie Yu, Matt Anderson, Bob Hurst)   •   Model status: Seeded 1:1 from S2 vDraft5 (Base) — benefit ties to $14.77M</t>
  </si>
  <si>
    <t xml:space="preserve">Enhanced chat and self-serve containment on messaging and email demand</t>
  </si>
  <si>
    <t xml:space="preserve">  – Voice channel is out of scope for this lever (S2 channel gate: chat acts on messaging + email only — $39.0M of the $143.2M opening baseline).</t>
  </si>
  <si>
    <t xml:space="preserve">  – Effective rates embed the S2 ceiling logic (target containment capped at 90% of demand) and the 30% funnel-hardening haircut — underlying target rates: Easy 50% / Medium 40% / Hard 20% of escalated demand.</t>
  </si>
  <si>
    <t xml:space="preserve">  – S2 books nothing where current PPA containment already beats the tier ceiling (2 intents).</t>
  </si>
  <si>
    <t xml:space="preserve">Opening baseline (S2 waterfall: opens on SVC-1 closing)</t>
  </si>
  <si>
    <t xml:space="preserve">Opening cost baseline (all channels)</t>
  </si>
  <si>
    <t xml:space="preserve">Servicing S2 sizing model vDraft5 (28 Aug 2026), Base scenario. Opening cost follows the S2 stacking waterfall (each lever opens on the prior lever's closing baseline; order: 1 Avoidance → 2 Chat → 3a Voice → 3b Co-pilot → 4a SBR → 4b Utilisation). Tier-level bases below are snapshots of the S2 L2 engine — refresh them from the S2 model if upstream levers or tiering change.</t>
  </si>
  <si>
    <t xml:space="preserve">S2 C3</t>
  </si>
  <si>
    <t xml:space="preserve">FTE impacted (A0 basis — feeds SVC-6)</t>
  </si>
  <si>
    <t xml:space="preserve">S2 A2 'Resource impacted' (V column, A0 basis). Residual-basis reduction is 779.7 — S2 uses the A0 basis in the non-FTE flow-through; refresh from S2 if rates change</t>
  </si>
  <si>
    <t xml:space="preserve">Eligible opening cost by tier — messaging + email channels only (S2 chat-tier column)</t>
  </si>
  <si>
    <t xml:space="preserve">Effective rates implied from the S2 engine (benefit / eligible base per tier) — they bundle target rate, 90% containment ceiling and funnel hardening. Edit to test different containment ambitions.</t>
  </si>
  <si>
    <t xml:space="preserve">Easy (68 L2 intents)</t>
  </si>
  <si>
    <t xml:space="preserve">S2 target 50% of escalated demand; ceiling 90% binds on many rows -&gt; effective 43.1%</t>
  </si>
  <si>
    <t xml:space="preserve">Medium (6 L2 intents)</t>
  </si>
  <si>
    <t xml:space="preserve">S2 target 40%; effective 38.9% after ceiling/hardening</t>
  </si>
  <si>
    <t xml:space="preserve">Hard (3 L2 intents)</t>
  </si>
  <si>
    <t xml:space="preserve">S2 target 20%</t>
  </si>
  <si>
    <t xml:space="preserve">Subtotal — Eligible opening cost by tier — messaging + email channels only</t>
  </si>
  <si>
    <t xml:space="preserve">Ties to S2 A2 benefit $14,771,230</t>
  </si>
  <si>
    <t xml:space="preserve">Closing cost (hand-off baseline to SVC-3)</t>
  </si>
  <si>
    <t xml:space="preserve">S2: $128,414,690</t>
  </si>
  <si>
    <t xml:space="preserve">OPEX - Front-office cost reduction (chat/self-serve containment)   [OPEX]</t>
  </si>
  <si>
    <t xml:space="preserve">S2 build shape: 4 FTE x 2 months.</t>
  </si>
  <si>
    <t xml:space="preserve">S2: 8-FTE pod x 6 months.</t>
  </si>
  <si>
    <t xml:space="preserve">S2 scale-up: 5 FTE x 7 months.</t>
  </si>
  <si>
    <t xml:space="preserve">Run-phase support in Section 6 run costs.</t>
  </si>
  <si>
    <t xml:space="preserve">S2 standard</t>
  </si>
  <si>
    <t xml:space="preserve">Total one-time ties to S2: $2,504,700</t>
  </si>
  <si>
    <t xml:space="preserve">OPEX - Inference &amp; token consumption</t>
  </si>
  <si>
    <t xml:space="preserve">S2 C3 planning assumption — replace with consumption forecast; scales with ramp</t>
  </si>
  <si>
    <t xml:space="preserve">Y</t>
  </si>
  <si>
    <t xml:space="preserve">OPEX - AI platform subscription</t>
  </si>
  <si>
    <t xml:space="preserve">S2 C3: 3.0 FTE x $180k</t>
  </si>
  <si>
    <t xml:space="preserve">OPEX - Inference &amp; token consumption   [RUN]</t>
  </si>
  <si>
    <t xml:space="preserve">OPEX - AI platform subscription   [RUN]</t>
  </si>
  <si>
    <t xml:space="preserve">Model row 56 — OPEX - Front-office cost reduction (chat/self-serve containment)</t>
  </si>
  <si>
    <t xml:space="preserve">Model row 111 — OPEX - Inference &amp; token consumption</t>
  </si>
  <si>
    <t xml:space="preserve">Model row 112 — OPEX - AI platform subscription</t>
  </si>
  <si>
    <t xml:space="preserve">Model row 113 — OPEX - Run team (keep-the-lights-on)</t>
  </si>
  <si>
    <t xml:space="preserve">Model row 114 — OPEX - Vendor support &amp; maintenance</t>
  </si>
  <si>
    <t xml:space="preserve">→  WAVE row 110 (Section II — Recurring Costs)</t>
  </si>
  <si>
    <t xml:space="preserve">Model row 115 — OPEX - Incremental infrastructure</t>
  </si>
  <si>
    <t xml:space="preserve">→  WAVE row 111 (Section II — Recurring Costs)</t>
  </si>
  <si>
    <t xml:space="preserve">Model row 95 — CAPEX — capitalized build labor</t>
  </si>
  <si>
    <t xml:space="preserve">Model row 96 — CAPEX — capitalized non-labor</t>
  </si>
  <si>
    <t xml:space="preserve">Model row 97 — OTC — build labor (expensed)</t>
  </si>
  <si>
    <t xml:space="preserve">Model row 98 — OTC — non-labor (expensed)</t>
  </si>
  <si>
    <t xml:space="preserve">Opening cost baseline (post contact-avoidance)</t>
  </si>
  <si>
    <t xml:space="preserve">Post-upstream levers (S2 waterfall)</t>
  </si>
  <si>
    <t xml:space="preserve">In-scope base (messaging + email)</t>
  </si>
  <si>
    <t xml:space="preserve">Blended containment uplift on in-scope base</t>
  </si>
  <si>
    <t xml:space="preserve">FTE impacted (A0 basis)</t>
  </si>
  <si>
    <t xml:space="preserve">OPEX - Front-office cost reduction (chat/self-serve containment)</t>
  </si>
  <si>
    <t xml:space="preserve">Messaging+email eligible cost x tier containment rates (S2 engine, distilled)</t>
  </si>
  <si>
    <t xml:space="preserve">SVC-3 — Agentic Voice &amp; AI Co-pilot  |  INITIATIVE MODEL</t>
  </si>
  <si>
    <t xml:space="preserve">Workstream: Servicing (ELT sponsor: Aaron | WSL: Tahira | IOs: Jackie Yu, Matt Anderson, Bob Hurst)   •   Model status: Seeded 1:1 from S2 vDraft5 (Base) — benefit ties to $35.25M (3a $26.95M + 3b $8.30M)</t>
  </si>
  <si>
    <t xml:space="preserve">Agentic AI voice — end-to-end contact resolution plus AI co-pilot agent assist</t>
  </si>
  <si>
    <t xml:space="preserve">  – S2 splits this initiative into 3a (contact resolution/abatement, voice only) and 3b (co-pilot handle-time reduction on residual + text); check #9 in S2 enforces that they sum to the combined voice benefit. Both sub-levers modeled below; WAVE carries them as two benefit lines.</t>
  </si>
  <si>
    <t xml:space="preserve">  – 3b QC from S2: after-call-work share is zero on every intent (M10 split carries no ACW minutes) — co-pilot voice rates are built from talk+hold only; 6 intents have talk shares &gt;1 (data fault); 5 intents ride flat fallback rates incl. the largest single voice benefit ($0.7M).</t>
  </si>
  <si>
    <t xml:space="preserve">  – Sensitivity (S2): voice resolution rates ±30% swing total benefit $13.5M — largest driver in the model.</t>
  </si>
  <si>
    <t xml:space="preserve">Opening baselines (S2 waterfall: 3a opens on SVC-2 closing; 3b on 3a closing)</t>
  </si>
  <si>
    <t xml:space="preserve">Opening cost — 3a (all channels)</t>
  </si>
  <si>
    <t xml:space="preserve">Opening cost — 3b (post-3a residual)</t>
  </si>
  <si>
    <t xml:space="preserve">Equals 3a closing; refresh if 3a changes</t>
  </si>
  <si>
    <t xml:space="preserve">Run team headcount (3a + 3b consolidated)</t>
  </si>
  <si>
    <t xml:space="preserve">S2 C3: 3.0 (3a) + 2.5 (3b)</t>
  </si>
  <si>
    <t xml:space="preserve">FTE impacted — 3a (A0 basis, feeds SVC-6)</t>
  </si>
  <si>
    <t xml:space="preserve">S2 A3a V102</t>
  </si>
  <si>
    <t xml:space="preserve">FTE impacted — 3b (A0 basis, feeds SVC-6)</t>
  </si>
  <si>
    <t xml:space="preserve">S2 A3b V102</t>
  </si>
  <si>
    <t xml:space="preserve">S2 lever 3a — Agentic voice: voice-channel eligible cost by tier (voice-tier column)</t>
  </si>
  <si>
    <t xml:space="preserve">Voice channel only (messaging/email pass through). Effective rates implied from the S2 engine — bundle target rate, 80% ceiling, funnel hardening.</t>
  </si>
  <si>
    <t xml:space="preserve">Easy (27 L2 intents)</t>
  </si>
  <si>
    <t xml:space="preserve">S2 target 40% of escalated voice demand; 80% ceiling + hardening -&gt; effective 35.9%</t>
  </si>
  <si>
    <t xml:space="preserve">Medium (37 L2 intents)</t>
  </si>
  <si>
    <t xml:space="preserve">S2 target 30%; effective 28.0%</t>
  </si>
  <si>
    <t xml:space="preserve">Hard (13 L2 intents)</t>
  </si>
  <si>
    <t xml:space="preserve">S2 target 15%; effective 14.6%</t>
  </si>
  <si>
    <t xml:space="preserve">Subtotal — S2 lever 3a — Agentic voice: voice-channel eligible cost by tier</t>
  </si>
  <si>
    <t xml:space="preserve">S2 lever 3b — AI co-pilot: voice residual (post-3a) cost by tier</t>
  </si>
  <si>
    <t xml:space="preserve">Handle-time reduction on contacts that still reach an agent (voice).</t>
  </si>
  <si>
    <t xml:space="preserve">Easy</t>
  </si>
  <si>
    <t xml:space="preserve">Component-built: talk 10% + hold 35% x M10 minute shares, x hardening</t>
  </si>
  <si>
    <t xml:space="preserve">talk 8% / hold 30% components</t>
  </si>
  <si>
    <t xml:space="preserve">Hard</t>
  </si>
  <si>
    <t xml:space="preserve">talk 5% / hold 20% components; 5 intents on flat fallback rates</t>
  </si>
  <si>
    <t xml:space="preserve">Subtotal — S2 lever 3b — AI co-pilot: voice residual</t>
  </si>
  <si>
    <t xml:space="preserve">S2 lever 3b — AI co-pilot: text (messaging + email) cost by tier</t>
  </si>
  <si>
    <t xml:space="preserve">Text handled-cost reduction (blended rate per tier).</t>
  </si>
  <si>
    <t xml:space="preserve">S2 flat text rate 15% x hardening</t>
  </si>
  <si>
    <t xml:space="preserve">S2 flat 12%</t>
  </si>
  <si>
    <t xml:space="preserve">S2 flat 8%</t>
  </si>
  <si>
    <t xml:space="preserve">Subtotal — S2 lever 3b — AI co-pilot: text</t>
  </si>
  <si>
    <t xml:space="preserve">Benefit — S2 lever 3a (agentic voice resolution)</t>
  </si>
  <si>
    <t xml:space="preserve">Ties to S2: $26,949,059</t>
  </si>
  <si>
    <t xml:space="preserve">Benefit — S2 lever 3b (AI co-pilot, voice + text)</t>
  </si>
  <si>
    <t xml:space="preserve">Ties to S2: $8,301,681</t>
  </si>
  <si>
    <t xml:space="preserve">Ties to S2 combined: $35,250,739</t>
  </si>
  <si>
    <t xml:space="preserve">FTE impacted total (feeds SVC-6)</t>
  </si>
  <si>
    <t xml:space="preserve">Closing cost (hand-off baseline to SVC-4)</t>
  </si>
  <si>
    <t xml:space="preserve">S2: $93,163,951</t>
  </si>
  <si>
    <t xml:space="preserve">OPEX - Agentic voice contact resolution (3a)   [OPEX]</t>
  </si>
  <si>
    <t xml:space="preserve">OPEX - AI co-pilot handle-time reduction (3b)   [OPEX]</t>
  </si>
  <si>
    <t xml:space="preserve">Build A — Agentic voice resolution (3a)</t>
  </si>
  <si>
    <t xml:space="preserve">S2: 4 FTE x 2 months.</t>
  </si>
  <si>
    <t xml:space="preserve">S2 scale-up: 5 FTE x 8 months.</t>
  </si>
  <si>
    <t xml:space="preserve">Run-phase in Section 6.</t>
  </si>
  <si>
    <t xml:space="preserve">Build B — AI co-pilot (3b)</t>
  </si>
  <si>
    <t xml:space="preserve">S2: 8-FTE pod x 5 months.</t>
  </si>
  <si>
    <t xml:space="preserve">S2 scale-up: 5 FTE x 6 months.</t>
  </si>
  <si>
    <t xml:space="preserve">   Plan / Design  (Build A — Agentic voice resolution (3a))</t>
  </si>
  <si>
    <t xml:space="preserve">   Build / Test  (Build A — Agentic voice resolution (3a))</t>
  </si>
  <si>
    <t xml:space="preserve">   Pilot / Change Mgmt.  (Build A — Agentic voice resolution (3a))</t>
  </si>
  <si>
    <t xml:space="preserve">   Scale / Run  (Build A — Agentic voice resolution (3a))</t>
  </si>
  <si>
    <t xml:space="preserve">   Plan / Design  (Build B — AI co-pilot (3b))</t>
  </si>
  <si>
    <t xml:space="preserve">   Build / Test  (Build B — AI co-pilot (3b))</t>
  </si>
  <si>
    <t xml:space="preserve">   Pilot / Change Mgmt.  (Build B — AI co-pilot (3b))</t>
  </si>
  <si>
    <t xml:space="preserve">   Scale / Run  (Build B — AI co-pilot (3b))</t>
  </si>
  <si>
    <t xml:space="preserve">S2 C2: $120k (3a) + $60k (3b)</t>
  </si>
  <si>
    <t xml:space="preserve">S2 C2: $280k + $100k</t>
  </si>
  <si>
    <t xml:space="preserve">S2 C2: $180k + $80k</t>
  </si>
  <si>
    <t xml:space="preserve">S2 C2: $80k + $40k</t>
  </si>
  <si>
    <t xml:space="preserve">Total one-time ties to S2: $4,906,440 ($2,874,960 3a + $2,031,480 3b)</t>
  </si>
  <si>
    <t xml:space="preserve">S2 C3: $2.5M (3a) + $0.9M (3b) planning assumption; scales with ramp</t>
  </si>
  <si>
    <t xml:space="preserve">S2 C3: $300k + $180k</t>
  </si>
  <si>
    <t xml:space="preserve">S2 C3: 5.5 FTE x $180k</t>
  </si>
  <si>
    <t xml:space="preserve">S2 C3: $300k + $150k</t>
  </si>
  <si>
    <t xml:space="preserve">S2 C3: $150k + $80k</t>
  </si>
  <si>
    <t xml:space="preserve">Model row 75 — OPEX - Agentic voice contact resolution (3a)</t>
  </si>
  <si>
    <t xml:space="preserve">Model row 76 — OPEX - AI co-pilot handle-time reduction (3b)</t>
  </si>
  <si>
    <t xml:space="preserve">→  WAVE row 80 (Section II — Recurring Benefits)</t>
  </si>
  <si>
    <t xml:space="preserve">Model row 143 — OPEX - Inference &amp; token consumption</t>
  </si>
  <si>
    <t xml:space="preserve">Model row 144 — OPEX - AI platform subscription</t>
  </si>
  <si>
    <t xml:space="preserve">Model row 145 — OPEX - Run team (keep-the-lights-on)</t>
  </si>
  <si>
    <t xml:space="preserve">Model row 146 — OPEX - Vendor support &amp; maintenance</t>
  </si>
  <si>
    <t xml:space="preserve">Model row 147 — OPEX - Incremental infrastructure</t>
  </si>
  <si>
    <t xml:space="preserve">Model row 127 — CAPEX — capitalized build labor</t>
  </si>
  <si>
    <t xml:space="preserve">Model row 128 — CAPEX — capitalized non-labor</t>
  </si>
  <si>
    <t xml:space="preserve">Model row 129 — OTC — build labor (expensed)</t>
  </si>
  <si>
    <t xml:space="preserve">Model row 130 — OTC — non-labor (expensed)</t>
  </si>
  <si>
    <t xml:space="preserve">Opening cost — 3a (post chat/self-serve)</t>
  </si>
  <si>
    <t xml:space="preserve">Voice-channel in-scope base (3a)</t>
  </si>
  <si>
    <t xml:space="preserve">Residual base for co-pilot (3b)</t>
  </si>
  <si>
    <t xml:space="preserve">3a blended resolution rate (voice base)</t>
  </si>
  <si>
    <t xml:space="preserve">3b blended handle-time reduction</t>
  </si>
  <si>
    <t xml:space="preserve">Annual benefit (run rate, 3a+3b)</t>
  </si>
  <si>
    <t xml:space="preserve">OPEX - Agentic voice contact resolution (3a)</t>
  </si>
  <si>
    <t xml:space="preserve">Voice-eligible cost x tier resolution rates (S2 engine, distilled)</t>
  </si>
  <si>
    <t xml:space="preserve">OPEX - AI co-pilot handle-time reduction (3b)</t>
  </si>
  <si>
    <t xml:space="preserve">Talk/hold component rates on voice residual + flat text rates</t>
  </si>
  <si>
    <t xml:space="preserve">SVC-4 — AI Workforce Management  |  INITIATIVE MODEL</t>
  </si>
  <si>
    <t xml:space="preserve">Workstream: Servicing (ELT sponsor: Aaron | WSL: Tahira | IOs: Jackie Yu, Matt Anderson, Bob Hurst)   •   Model status: Seeded 1:1 from S2 vDraft5 (Base) — benefit ties to $7.65M (4a $3.92M + 4b $3.74M)</t>
  </si>
  <si>
    <t xml:space="preserve">AI-driven workforce management — skill-based routing and occupancy-led utilisation uplift</t>
  </si>
  <si>
    <t xml:space="preserve">  – S2 caveat on 4a (check #33): PayPal queues show a tighter AHT spread (1.517x) than the GFCCP benchmark (1.7x) that earned the 10% ceiling — S2's own note says the ceiling should arguably scale down; most intents run above the mix-shift cross-check. Treat 4a as the least-defended benefit in the stack.</t>
  </si>
  <si>
    <t xml:space="preserve">  – 4b banks occupancy only (80.8% -&gt; 85.0%); shrinkage is held at the 2026 actual 40.9% in Base/Downside (upside case banks improvement to 36%) pending interval-level data.</t>
  </si>
  <si>
    <t xml:space="preserve">  – Interval-level WFM data was scoped down by the provider (2 years daily avg vs 15-min asked) — may limit refinement.</t>
  </si>
  <si>
    <t xml:space="preserve">Opening baselines (S2 waterfall: 4a opens on SVC-3 closing; 4b on 4a closing)</t>
  </si>
  <si>
    <t xml:space="preserve">Opening cost — 4a skill-based routing</t>
  </si>
  <si>
    <t xml:space="preserve">S2 lever 4a — skill-based routing drivers</t>
  </si>
  <si>
    <t xml:space="preserve">Routing ceiling (GFCCP diagnostic)</t>
  </si>
  <si>
    <t xml:space="preserve">S2 SBR_CEILING — share of residual cost at benchmark spread</t>
  </si>
  <si>
    <t xml:space="preserve">Target expansion (share of theoretical gain)</t>
  </si>
  <si>
    <t xml:space="preserve">S2 SBR_EXPANSION</t>
  </si>
  <si>
    <t xml:space="preserve">Weighted spread position x hardening (implied)</t>
  </si>
  <si>
    <t xml:space="preserve">Implied from S2 engine: per-intent MIN((P75/P25 - 1)/0.7, 1) weighted by cost x hardening</t>
  </si>
  <si>
    <t xml:space="preserve">S2 lever 4b — utilisation drivers</t>
  </si>
  <si>
    <t xml:space="preserve">Occupancy — 2026 YTD actual</t>
  </si>
  <si>
    <t xml:space="preserve">S2 WFM actuals</t>
  </si>
  <si>
    <t xml:space="preserve">Occupancy — target</t>
  </si>
  <si>
    <t xml:space="preserve">S2 OCC_TGT: bottom of 85–90% best-in-class band (Upside 87.5%)</t>
  </si>
  <si>
    <t xml:space="preserve">Shrinkage — held at 2026 actual</t>
  </si>
  <si>
    <t xml:space="preserve">S2: no shrinkage improvement banked in Base (UT_SHRINK_IMPROVE = N)</t>
  </si>
  <si>
    <t xml:space="preserve">Realisation haircut on occupancy gain</t>
  </si>
  <si>
    <t xml:space="preserve">S2 UT_REALISE — service-level protection in low-volume intervals</t>
  </si>
  <si>
    <t xml:space="preserve">Run team headcount (4a + 4b consolidated)</t>
  </si>
  <si>
    <t xml:space="preserve">S2 C3: 2.0 + 2.0</t>
  </si>
  <si>
    <t xml:space="preserve">FTE impacted — 4a (A0 basis, feeds SVC-6)</t>
  </si>
  <si>
    <t xml:space="preserve">S2 A4a V102</t>
  </si>
  <si>
    <t xml:space="preserve">FTE impacted — 4b (feeds SVC-6)</t>
  </si>
  <si>
    <t xml:space="preserve">S2 A4b D25 (net FTE)</t>
  </si>
  <si>
    <t xml:space="preserve">Benefit — S2 lever 4a (skill-based routing)</t>
  </si>
  <si>
    <t xml:space="preserve">Ties to S2: $3,918,907</t>
  </si>
  <si>
    <t xml:space="preserve">Opening cost — 4b (post-4a residual)</t>
  </si>
  <si>
    <t xml:space="preserve">S2: $89,245,044</t>
  </si>
  <si>
    <t xml:space="preserve">Utilisation today = (1 - shrinkage) x occupancy</t>
  </si>
  <si>
    <t xml:space="preserve">S2: 47.80%</t>
  </si>
  <si>
    <t xml:space="preserve">Utilisation target</t>
  </si>
  <si>
    <t xml:space="preserve">S2: 50.27%</t>
  </si>
  <si>
    <t xml:space="preserve">Gross capacity released</t>
  </si>
  <si>
    <t xml:space="preserve">S2: 4.92%</t>
  </si>
  <si>
    <t xml:space="preserve">Net released rate (x realisation)</t>
  </si>
  <si>
    <t xml:space="preserve">S2: 4.19%</t>
  </si>
  <si>
    <t xml:space="preserve">Benefit — S2 lever 4b (utilisation/occupancy)</t>
  </si>
  <si>
    <t xml:space="preserve">Ties to S2: $3,735,543</t>
  </si>
  <si>
    <t xml:space="preserve">Ties to S2 combined: $7,654,450</t>
  </si>
  <si>
    <t xml:space="preserve">Closing front-office residual</t>
  </si>
  <si>
    <t xml:space="preserve">S2: $85,509,501</t>
  </si>
  <si>
    <t xml:space="preserve">OPEX - Skill-based routing capacity release (4a)   [OPEX]</t>
  </si>
  <si>
    <t xml:space="preserve">OPEX - Utilisation / occupancy uplift (4b)   [OPEX]</t>
  </si>
  <si>
    <t xml:space="preserve">Build A — Skill-based routing (4a)</t>
  </si>
  <si>
    <t xml:space="preserve">S2: 3 FTE x 1 month.</t>
  </si>
  <si>
    <t xml:space="preserve">S2 scale-up: 4 FTE x 6 months.</t>
  </si>
  <si>
    <t xml:space="preserve">Build B — Utilisation (4b)</t>
  </si>
  <si>
    <t xml:space="preserve">   Plan / Design  (Build A — Skill-based routing (4a))</t>
  </si>
  <si>
    <t xml:space="preserve">   Build / Test  (Build A — Skill-based routing (4a))</t>
  </si>
  <si>
    <t xml:space="preserve">   Pilot / Change Mgmt.  (Build A — Skill-based routing (4a))</t>
  </si>
  <si>
    <t xml:space="preserve">   Scale / Run  (Build A — Skill-based routing (4a))</t>
  </si>
  <si>
    <t xml:space="preserve">   Plan / Design  (Build B — Utilisation (4b))</t>
  </si>
  <si>
    <t xml:space="preserve">   Build / Test  (Build B — Utilisation (4b))</t>
  </si>
  <si>
    <t xml:space="preserve">   Pilot / Change Mgmt.  (Build B — Utilisation (4b))</t>
  </si>
  <si>
    <t xml:space="preserve">   Scale / Run  (Build B — Utilisation (4b))</t>
  </si>
  <si>
    <t xml:space="preserve">S2 C2: $40k (4a) + $50k (4b)</t>
  </si>
  <si>
    <t xml:space="preserve">S2 C2: $80k + $120k</t>
  </si>
  <si>
    <t xml:space="preserve">S2 C2: $60k + $100k</t>
  </si>
  <si>
    <t xml:space="preserve">S2 C2: $30k + $40k</t>
  </si>
  <si>
    <t xml:space="preserve">Total one-time ties to S2: $3,536,280 ($1,708,740 4a + $1,827,540 4b)</t>
  </si>
  <si>
    <t xml:space="preserve">S2 C3: $100k + $150k</t>
  </si>
  <si>
    <t xml:space="preserve">S2 C3: 4.0 FTE x $180k</t>
  </si>
  <si>
    <t xml:space="preserve">S2 C3: $50k + $80k</t>
  </si>
  <si>
    <t xml:space="preserve">Model row 67 — OPEX - Skill-based routing capacity release (4a)</t>
  </si>
  <si>
    <t xml:space="preserve">Model row 68 — OPEX - Utilisation / occupancy uplift (4b)</t>
  </si>
  <si>
    <t xml:space="preserve">Model row 134 — OPEX - AI platform subscription</t>
  </si>
  <si>
    <t xml:space="preserve">Model row 135 — OPEX - Run team (keep-the-lights-on)</t>
  </si>
  <si>
    <t xml:space="preserve">Model row 136 — OPEX - Vendor support &amp; maintenance</t>
  </si>
  <si>
    <t xml:space="preserve">Model row 137 — OPEX - Incremental infrastructure</t>
  </si>
  <si>
    <t xml:space="preserve">Model row 119 — CAPEX — capitalized build labor</t>
  </si>
  <si>
    <t xml:space="preserve">Model row 120 — CAPEX — capitalized non-labor</t>
  </si>
  <si>
    <t xml:space="preserve">Model row 121 — OTC — build labor (expensed)</t>
  </si>
  <si>
    <t xml:space="preserve">Model row 122 — OTC — non-labor (expensed)</t>
  </si>
  <si>
    <t xml:space="preserve">Opening residual cost (post levers 1–3)</t>
  </si>
  <si>
    <t xml:space="preserve">Occupancy today</t>
  </si>
  <si>
    <t xml:space="preserve">2026 YTD</t>
  </si>
  <si>
    <t xml:space="preserve">Utilisation today</t>
  </si>
  <si>
    <t xml:space="preserve">Occupancy target</t>
  </si>
  <si>
    <t xml:space="preserve">Net utilisation release rate</t>
  </si>
  <si>
    <t xml:space="preserve">Annual benefit (run rate, 4a+4b)</t>
  </si>
  <si>
    <t xml:space="preserve">OPEX - Skill-based routing capacity release (4a)</t>
  </si>
  <si>
    <t xml:space="preserve">Residual cost x 10% ceiling x 75% expansion x weighted spread position</t>
  </si>
  <si>
    <t xml:space="preserve">OPEX - Utilisation / occupancy uplift (4b)</t>
  </si>
  <si>
    <t xml:space="preserve">Occupancy 80.8%-&gt;85.0% at 85% realisation; shrinkage held flat</t>
  </si>
  <si>
    <t xml:space="preserve">SVC-5 — Back-Office Automation  |  INITIATIVE MODEL</t>
  </si>
  <si>
    <t xml:space="preserve">Workstream: Servicing (ELT sponsor: Aaron | WSL: Tahira | IOs: Jackie Yu, Matt Anderson, Bob Hurst)   •   Model status: Seeded 1:1 from S2 vDraft5 (Base) — benefit ties to $6.83M</t>
  </si>
  <si>
    <t xml:space="preserve">Back-office automation across disputes workflows — reduce remaining manual case handling</t>
  </si>
  <si>
    <t xml:space="preserve">Source: Servicing S2 sizing model vDraft5 (28 Aug 2026), Base scenario. Distilled at parent-workflow grain (7 disputes workflows); reproduces the S2 A5 tab exactly at seed values.</t>
  </si>
  <si>
    <t xml:space="preserve">  – Scope is DISPUTES ONLY ($17.7M base) — the workplan cites a ~$41M back-office baseline; sub-workflow volume/cost/automation data is pending (priority-1 request #7, no owner assigned).</t>
  </si>
  <si>
    <t xml:space="preserve">  – Workflow data is at parent grain pending sub-workflow detail; back-office FTE conversion borrows the front-office utilisation constant (S2 QC flag — implies ~$32k/FTE, offshore-like).</t>
  </si>
  <si>
    <t xml:space="preserve">  – Tier rates (Easy 55% / Medium 40% / Hard 25% of remaining manual, 95% cap) are S2 assumptions gated by the Intent Tiering back-office tiers.</t>
  </si>
  <si>
    <t xml:space="preserve">Automation rate assumptions (S2, editable)</t>
  </si>
  <si>
    <t xml:space="preserve">Tier rate — Easy (reduction of remaining manual)</t>
  </si>
  <si>
    <t xml:space="preserve">S2 BO_R Easy (Upside 70% / Downside 40%)</t>
  </si>
  <si>
    <t xml:space="preserve">Tier rate — Medium</t>
  </si>
  <si>
    <t xml:space="preserve">S2 BO_R Medium</t>
  </si>
  <si>
    <t xml:space="preserve">Tier rate — Hard</t>
  </si>
  <si>
    <t xml:space="preserve">S2 BO_R Hard</t>
  </si>
  <si>
    <t xml:space="preserve">Automation ceiling (max target)</t>
  </si>
  <si>
    <t xml:space="preserve">S2 BO_CAP</t>
  </si>
  <si>
    <t xml:space="preserve">FTE impacted (feeds SVC-6)</t>
  </si>
  <si>
    <t xml:space="preserve">S2 A5 L13 — minutes saved / 59,649 productive min per FTE-yr</t>
  </si>
  <si>
    <t xml:space="preserve">Back-office disputes workflows (S2 grain — parent workflow level, pending sub-workflow data)</t>
  </si>
  <si>
    <t xml:space="preserve">Workflow</t>
  </si>
  <si>
    <t xml:space="preserve">Opening cost ($/yr)</t>
  </si>
  <si>
    <t xml:space="preserve">Current automation</t>
  </si>
  <si>
    <t xml:space="preserve">Tier rate</t>
  </si>
  <si>
    <t xml:space="preserve">Target (cap 95%)</t>
  </si>
  <si>
    <t xml:space="preserve">Reduction of manual</t>
  </si>
  <si>
    <t xml:space="preserve">Unauth Parent</t>
  </si>
  <si>
    <t xml:space="preserve">Unauth Child</t>
  </si>
  <si>
    <t xml:space="preserve">Chargeback</t>
  </si>
  <si>
    <t xml:space="preserve">Unauth ACH (Reversal)</t>
  </si>
  <si>
    <t xml:space="preserve">Billing Errors</t>
  </si>
  <si>
    <t xml:space="preserve">PPBP Claims</t>
  </si>
  <si>
    <t xml:space="preserve">Issuance (PP only)</t>
  </si>
  <si>
    <t xml:space="preserve">Subtotal — back-office disputes</t>
  </si>
  <si>
    <t xml:space="preserve">Ties to S2 A5 benefit $6,833,504</t>
  </si>
  <si>
    <t xml:space="preserve">Closing back-office cost</t>
  </si>
  <si>
    <t xml:space="preserve">S2: $10,830,831</t>
  </si>
  <si>
    <t xml:space="preserve">OPEX - Back-office manual case-handling reduction   [OPEX]</t>
  </si>
  <si>
    <t xml:space="preserve">Total one-time ties to S2: $2,720,520</t>
  </si>
  <si>
    <t xml:space="preserve">S2 C3 planning assumption; scales with ramp</t>
  </si>
  <si>
    <t xml:space="preserve">S2 C3: 2.5 FTE x $180k</t>
  </si>
  <si>
    <t xml:space="preserve">Model row 63 — OPEX - Back-office manual case-handling reduction</t>
  </si>
  <si>
    <t xml:space="preserve">Model row 118 — OPEX - Inference &amp; token consumption</t>
  </si>
  <si>
    <t xml:space="preserve">Model row 119 — OPEX - AI platform subscription</t>
  </si>
  <si>
    <t xml:space="preserve">Model row 120 — OPEX - Run team (keep-the-lights-on)</t>
  </si>
  <si>
    <t xml:space="preserve">Model row 121 — OPEX - Vendor support &amp; maintenance</t>
  </si>
  <si>
    <t xml:space="preserve">Model row 122 — OPEX - Incremental infrastructure</t>
  </si>
  <si>
    <t xml:space="preserve">Model row 102 — CAPEX — capitalized build labor</t>
  </si>
  <si>
    <t xml:space="preserve">Model row 103 — CAPEX — capitalized non-labor</t>
  </si>
  <si>
    <t xml:space="preserve">Model row 104 — OTC — build labor (expensed)</t>
  </si>
  <si>
    <t xml:space="preserve">Model row 105 — OTC — non-labor (expensed)</t>
  </si>
  <si>
    <t xml:space="preserve">Back-office disputes cost baseline</t>
  </si>
  <si>
    <t xml:space="preserve">Manual cases per year (static S2 stat — not linked)</t>
  </si>
  <si>
    <t xml:space="preserve"># cases</t>
  </si>
  <si>
    <t xml:space="preserve">Blended current automation (static S2 stat — not linked)</t>
  </si>
  <si>
    <t xml:space="preserve">Blended reduction of remaining manual</t>
  </si>
  <si>
    <t xml:space="preserve">OPEX - Back-office manual case-handling reduction</t>
  </si>
  <si>
    <t xml:space="preserve">Per-workflow: target = min(current + tier rate x (1-current), 95%); benefit = cost x reduction of remaining manual</t>
  </si>
  <si>
    <t xml:space="preserve">SVC-6 — Non-FTE Savings  |  INITIATIVE MODEL</t>
  </si>
  <si>
    <t xml:space="preserve">Workstream: Servicing (ELT sponsor: Aaron | WSL: Tahira | IOs: Jackie Yu, Matt Anderson, Bob Hurst)   •   Model status: Seeded 1:1 from S2 vDraft5 (Base) — benefit ties to $4.04M; FTE inputs LINK to the other initiative models</t>
  </si>
  <si>
    <t xml:space="preserve">Non-FTE cost flow-through from front- and back-office FTE reduction</t>
  </si>
  <si>
    <t xml:space="preserve">Source: Servicing S2 sizing model vDraft5 (28 Aug 2026), Base scenario. Flow-through lever (S2 A6): non-FTE pool x variability x FTE-impacted share; FTE inputs are live links to the other five initiative models.</t>
  </si>
  <si>
    <t xml:space="preserve">  – Flow-through lever: carries NO build or run cost in S2 (rides initiatives 1–5) and is excluded from the S2 payback calc — confirm WAVE treatment with Finance/AAO before submitting as a standalone business case.</t>
  </si>
  <si>
    <t xml:space="preserve">  – S2 applies one aggregate FTE-impacted share (55.2%) to every category — including facilities lines that arguably scale with front-office seats only (S2 QC flag).</t>
  </si>
  <si>
    <t xml:space="preserve">  – Non-FTE cost baseline granularity is a pending data request (#8, no owner assigned).</t>
  </si>
  <si>
    <t xml:space="preserve">  – Ramp approximates S2's 'follows the levers' quarterly profile with a 9-month linear ramp from Jul-2027.</t>
  </si>
  <si>
    <t xml:space="preserve">  – QC: 'Data Center &amp; Rent' 2026 spend is $3,945/yr in the S2 source — 3-4 orders of magnitude below sibling categories. Faithfully reproduced, but verify it is not a $K-vs-$ slip in the SACP extract.</t>
  </si>
  <si>
    <t xml:space="preserve">Baseline FTE in scope (S2 A6)</t>
  </si>
  <si>
    <t xml:space="preserve">Front-office baseline FTE</t>
  </si>
  <si>
    <t xml:space="preserve">S2 A0 implied FTE</t>
  </si>
  <si>
    <t xml:space="preserve">Back-office baseline FTE (disputes)</t>
  </si>
  <si>
    <t xml:space="preserve">S2 M5 build</t>
  </si>
  <si>
    <t xml:space="preserve">FTE impacted by initiative (GREEN = linked to the other model sheets)</t>
  </si>
  <si>
    <t xml:space="preserve">SVC-1 Contact avoidance</t>
  </si>
  <si>
    <t xml:space="preserve">linked</t>
  </si>
  <si>
    <t xml:space="preserve">SVC-2 Enhanced chat / self-serve</t>
  </si>
  <si>
    <t xml:space="preserve">SVC-3 Agentic voice &amp; co-pilot</t>
  </si>
  <si>
    <t xml:space="preserve">SVC-4 AI workforce management</t>
  </si>
  <si>
    <t xml:space="preserve">SVC-5 Back-office automation</t>
  </si>
  <si>
    <t xml:space="preserve">Total baseline FTE in scope</t>
  </si>
  <si>
    <t xml:space="preserve">S2: 6,407.8</t>
  </si>
  <si>
    <t xml:space="preserve">Total FTE impacted</t>
  </si>
  <si>
    <t xml:space="preserve">S2: 3,537.1</t>
  </si>
  <si>
    <t xml:space="preserve">FTE impacted as share of baseline</t>
  </si>
  <si>
    <t xml:space="preserve">S2: 55.2%</t>
  </si>
  <si>
    <t xml:space="preserve">Non-FTE cost pool x variability with FTE reduction (S2 A6 / SACP ledger 2026)</t>
  </si>
  <si>
    <t xml:space="preserve">Category</t>
  </si>
  <si>
    <t xml:space="preserve">2026 spend ($/yr)</t>
  </si>
  <si>
    <t xml:space="preserve">Variability with FTE</t>
  </si>
  <si>
    <t xml:space="preserve">Savings ($/yr)</t>
  </si>
  <si>
    <t xml:space="preserve">Savings = spend x variability x FTE-impacted share</t>
  </si>
  <si>
    <t xml:space="preserve">Facilities / Networking</t>
  </si>
  <si>
    <t xml:space="preserve">Seat cost follows headcount as leases/footprints renegotiate</t>
  </si>
  <si>
    <t xml:space="preserve">D&amp;A</t>
  </si>
  <si>
    <t xml:space="preserve">Only avoided future refresh is addressable</t>
  </si>
  <si>
    <t xml:space="preserve">SW Maintenance</t>
  </si>
  <si>
    <t xml:space="preserve">Per-seat/per-licence — most headcount-linked line</t>
  </si>
  <si>
    <t xml:space="preserve">Other</t>
  </si>
  <si>
    <t xml:space="preserve">Mixed behaviour; mid-range factor pending breakdown</t>
  </si>
  <si>
    <t xml:space="preserve">Marketing</t>
  </si>
  <si>
    <t xml:space="preserve">Campaign-driven, not headcount-driven</t>
  </si>
  <si>
    <t xml:space="preserve">Data Center &amp; Rent</t>
  </si>
  <si>
    <t xml:space="preserve">Largely fixed, immaterial</t>
  </si>
  <si>
    <t xml:space="preserve">Subtotal — non-FTE savings</t>
  </si>
  <si>
    <t xml:space="preserve">OPEX - Non-FTE cost flow-through   [OPEX]</t>
  </si>
  <si>
    <t xml:space="preserve">No build — flow-through of initiatives 1–5 (S2 carries zero one-time and run cost on this lever).</t>
  </si>
  <si>
    <t xml:space="preserve">n/a</t>
  </si>
  <si>
    <t xml:space="preserve">Model row 63 — OPEX - Non-FTE cost flow-through</t>
  </si>
  <si>
    <t xml:space="preserve">Model row 90 — CAPEX — capitalized build labor</t>
  </si>
  <si>
    <t xml:space="preserve">Model row 91 — CAPEX — capitalized non-labor</t>
  </si>
  <si>
    <t xml:space="preserve">Model row 92 — OTC — build labor (expensed)</t>
  </si>
  <si>
    <t xml:space="preserve">Model row 93 — OTC — non-labor (expensed)</t>
  </si>
  <si>
    <t xml:space="preserve">Non-FTE cost pool (2026)</t>
  </si>
  <si>
    <t xml:space="preserve">FY2026 (SACP cost ledger)</t>
  </si>
  <si>
    <t xml:space="preserve">Baseline FTE in scope</t>
  </si>
  <si>
    <t xml:space="preserve">2026</t>
  </si>
  <si>
    <t xml:space="preserve">FTE impacted (levers 1–5)</t>
  </si>
  <si>
    <t xml:space="preserve">Blended savings rate on the non-FTE pool</t>
  </si>
  <si>
    <t xml:space="preserve">OPEX - Non-FTE cost flow-through</t>
  </si>
  <si>
    <t xml:space="preserve">Category spend x variability x FTE-impacted share (55.2%)</t>
  </si>
  <si>
    <t xml:space="preserve"># CW headcount</t>
  </si>
  <si>
    <t xml:space="preserve">TTM 6/1/26</t>
  </si>
  <si>
    <t xml:space="preserve"># CW</t>
  </si>
  <si>
    <t xml:space="preserve">Average hourly cost for CW</t>
  </si>
  <si>
    <t xml:space="preserve">$USD / # hr</t>
  </si>
  <si>
    <t xml:space="preserve">Average utliization hours for CW - annual</t>
  </si>
  <si>
    <t xml:space="preserve"># hr</t>
  </si>
  <si>
    <t xml:space="preserve">Total CW spend</t>
  </si>
  <si>
    <t xml:space="preserve"># FTE headcount - lower cost location</t>
  </si>
  <si>
    <t xml:space="preserve"># FTE's</t>
  </si>
  <si>
    <t xml:space="preserve">Average fully loaded annual cost per FTE - lower cost location</t>
  </si>
  <si>
    <t xml:space="preserve">$ / FTE</t>
  </si>
  <si>
    <t xml:space="preserve">Total personnel spend for BU</t>
  </si>
  <si>
    <t xml:space="preserve">$USD</t>
  </si>
  <si>
    <t xml:space="preserve">Total personnel spend for X business unit</t>
  </si>
</sst>
</file>

<file path=xl/styles.xml><?xml version="1.0" encoding="utf-8"?>
<styleSheet xmlns="http://schemas.openxmlformats.org/spreadsheetml/2006/main">
  <numFmts count="33">
    <numFmt numFmtId="164" formatCode="General"/>
    <numFmt numFmtId="165" formatCode="_(* #,##0.00_);_(* \(#,##0.00\);_(* \-??_);_(@_)"/>
    <numFmt numFmtId="166" formatCode="0%"/>
    <numFmt numFmtId="167" formatCode="General"/>
    <numFmt numFmtId="168" formatCode="0"/>
    <numFmt numFmtId="169" formatCode="#,##0.0;\-#,##0.0;\-;@"/>
    <numFmt numFmtId="170" formatCode="m/d/yyyy"/>
    <numFmt numFmtId="171" formatCode="#,##0.000;\-#,##0.000;\-;@"/>
    <numFmt numFmtId="172" formatCode="#,##0;\-#,##0;\-;@"/>
    <numFmt numFmtId="173" formatCode="#,##0.00;\-#,##0.00;\-;@"/>
    <numFmt numFmtId="174" formatCode="_(* #,##0.000_);_(* \(#,##0.000\);_(* \-??_);_(@_)"/>
    <numFmt numFmtId="175" formatCode="_(* #,##0.000_);_(* \(#,##0.000\);_(* \-???_);_(@_)"/>
    <numFmt numFmtId="176" formatCode="_(* #,##0_);_(* \(#,##0\);_(* \-??_);_(@_)"/>
    <numFmt numFmtId="177" formatCode="0.000"/>
    <numFmt numFmtId="178" formatCode="mmm\-yy"/>
    <numFmt numFmtId="179" formatCode="#,##0.000;\(#,##0.000\);\-;@"/>
    <numFmt numFmtId="180" formatCode="_(\$* #,##0.0_);_(\$* \(#,##0.0\);_(\$* \-??_);_(@_)"/>
    <numFmt numFmtId="181" formatCode="#,##0;\(#,##0\);\-;@"/>
    <numFmt numFmtId="182" formatCode="#,##0_);\(#,##0\)"/>
    <numFmt numFmtId="183" formatCode="_(\$* #,##0.00_);_(\$* \(#,##0.00\);_(\$* \-??_);_(@_)"/>
    <numFmt numFmtId="184" formatCode="0.0"/>
    <numFmt numFmtId="185" formatCode="_(\$* #,##0_);_(\$* \(#,##0\);_(\$* \-??_);_(@_)"/>
    <numFmt numFmtId="186" formatCode="#,##0.0;\(#,##0.0\);\-;@"/>
    <numFmt numFmtId="187" formatCode="0.0%"/>
    <numFmt numFmtId="188" formatCode="#,##0;\(#,##0\);\-"/>
    <numFmt numFmtId="189" formatCode="\$#,##0;&quot;($&quot;#,##0\);\-"/>
    <numFmt numFmtId="190" formatCode="\$#,##0.00;&quot;($&quot;#,##0.00\);\-"/>
    <numFmt numFmtId="191" formatCode="0%;\(0%\);\-"/>
    <numFmt numFmtId="192" formatCode="#,##0.000;\(#,##0.000\);\-;@"/>
    <numFmt numFmtId="193" formatCode="#,##0.0;\(#,##0.0\);\-"/>
    <numFmt numFmtId="194" formatCode="0.0%;\(0.0%\);\-"/>
    <numFmt numFmtId="195" formatCode="#,##0.0_);\(#,##0.0\);\-"/>
    <numFmt numFmtId="196" formatCode="#,##0_);\(#,##0\);\-"/>
  </numFmts>
  <fonts count="6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008000"/>
      <name val="Calibri"/>
      <family val="0"/>
      <charset val="1"/>
    </font>
    <font>
      <sz val="13"/>
      <color theme="1"/>
      <name val="Calibri"/>
      <family val="2"/>
      <charset val="1"/>
    </font>
    <font>
      <sz val="13"/>
      <color theme="0"/>
      <name val="Calibri"/>
      <family val="2"/>
      <charset val="1"/>
    </font>
    <font>
      <i val="true"/>
      <sz val="13"/>
      <color theme="0" tint="-0.05"/>
      <name val="Calibri"/>
      <family val="2"/>
      <charset val="1"/>
    </font>
    <font>
      <b val="true"/>
      <u val="single"/>
      <sz val="24"/>
      <color theme="3"/>
      <name val="Calibri"/>
      <family val="2"/>
      <charset val="1"/>
    </font>
    <font>
      <b val="true"/>
      <sz val="13"/>
      <color theme="0"/>
      <name val="Calibri"/>
      <family val="2"/>
      <charset val="1"/>
    </font>
    <font>
      <b val="true"/>
      <sz val="13"/>
      <color theme="1"/>
      <name val="Calibri"/>
      <family val="2"/>
      <charset val="1"/>
    </font>
    <font>
      <sz val="13"/>
      <color rgb="FF0000FF"/>
      <name val="Calibri"/>
      <family val="2"/>
      <charset val="1"/>
    </font>
    <font>
      <sz val="13"/>
      <color theme="2" tint="-0.9"/>
      <name val="Calibri"/>
      <family val="2"/>
      <charset val="1"/>
    </font>
    <font>
      <i val="true"/>
      <sz val="13"/>
      <color theme="1"/>
      <name val="Calibri"/>
      <family val="2"/>
      <charset val="1"/>
    </font>
    <font>
      <b val="true"/>
      <sz val="13"/>
      <color theme="3"/>
      <name val="Calibri"/>
      <family val="2"/>
      <charset val="1"/>
    </font>
    <font>
      <b val="true"/>
      <u val="single"/>
      <sz val="13"/>
      <color theme="1"/>
      <name val="Calibri"/>
      <family val="2"/>
      <charset val="1"/>
    </font>
    <font>
      <b val="true"/>
      <sz val="13"/>
      <color rgb="FF0000FF"/>
      <name val="Calibri"/>
      <family val="2"/>
      <charset val="1"/>
    </font>
    <font>
      <sz val="13"/>
      <name val="Calibri"/>
      <family val="2"/>
      <charset val="1"/>
    </font>
    <font>
      <b val="true"/>
      <sz val="13"/>
      <name val="Calibri"/>
      <family val="2"/>
      <charset val="1"/>
    </font>
    <font>
      <b val="true"/>
      <i val="true"/>
      <sz val="13"/>
      <color theme="0" tint="-0.35"/>
      <name val="Calibri"/>
      <family val="2"/>
      <charset val="1"/>
    </font>
    <font>
      <i val="true"/>
      <sz val="13"/>
      <color theme="0" tint="-0.5"/>
      <name val="Calibri"/>
      <family val="2"/>
      <charset val="1"/>
    </font>
    <font>
      <b val="true"/>
      <sz val="13"/>
      <color theme="0" tint="-0.25"/>
      <name val="Calibri"/>
      <family val="2"/>
      <charset val="1"/>
    </font>
    <font>
      <sz val="13"/>
      <color theme="0" tint="-0.25"/>
      <name val="Calibri"/>
      <family val="2"/>
      <charset val="1"/>
    </font>
    <font>
      <sz val="13"/>
      <color theme="0" tint="-0.5"/>
      <name val="Calibri"/>
      <family val="2"/>
      <charset val="1"/>
    </font>
    <font>
      <b val="true"/>
      <i val="true"/>
      <sz val="13"/>
      <color theme="1"/>
      <name val="Calibri"/>
      <family val="2"/>
      <charset val="1"/>
    </font>
    <font>
      <sz val="13"/>
      <color theme="3"/>
      <name val="Calibri"/>
      <family val="2"/>
      <charset val="1"/>
    </font>
    <font>
      <b val="true"/>
      <sz val="13"/>
      <color theme="2" tint="-0.9"/>
      <name val="Calibri"/>
      <family val="2"/>
      <charset val="1"/>
    </font>
    <font>
      <i val="true"/>
      <sz val="13"/>
      <color theme="0" tint="-0.35"/>
      <name val="Calibri"/>
      <family val="2"/>
      <charset val="1"/>
    </font>
    <font>
      <sz val="13"/>
      <color rgb="FFFF0000"/>
      <name val="Calibri"/>
      <family val="2"/>
      <charset val="1"/>
    </font>
    <font>
      <sz val="10"/>
      <name val="Arial"/>
      <family val="2"/>
    </font>
    <font>
      <b val="true"/>
      <sz val="16"/>
      <color rgb="FFFFFFFF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9"/>
      <color rgb="FF80808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i val="true"/>
      <sz val="9"/>
      <color rgb="FF00000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i val="true"/>
      <sz val="9"/>
      <color rgb="FFC00000"/>
      <name val="Calibri"/>
      <family val="0"/>
      <charset val="1"/>
    </font>
    <font>
      <sz val="8"/>
      <color rgb="FF808080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b val="true"/>
      <sz val="8"/>
      <color rgb="FF000000"/>
      <name val="Calibri"/>
      <family val="0"/>
      <charset val="1"/>
    </font>
    <font>
      <b val="true"/>
      <sz val="9"/>
      <color rgb="FFC00000"/>
      <name val="Calibri"/>
      <family val="0"/>
      <charset val="1"/>
    </font>
    <font>
      <sz val="9"/>
      <color rgb="FFC00000"/>
      <name val="Calibri"/>
      <family val="0"/>
      <charset val="1"/>
    </font>
    <font>
      <b val="true"/>
      <i val="true"/>
      <sz val="10"/>
      <color rgb="FF1F3864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i val="true"/>
      <sz val="8"/>
      <color rgb="FF808080"/>
      <name val="Calibri"/>
      <family val="0"/>
      <charset val="1"/>
    </font>
    <font>
      <i val="true"/>
      <sz val="8"/>
      <color rgb="FF595959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9"/>
      <color rgb="FF1F3864"/>
      <name val="Calibri"/>
      <family val="0"/>
      <charset val="1"/>
    </font>
    <font>
      <sz val="13"/>
      <color rgb="FF008000"/>
      <name val="Calibri"/>
      <family val="2"/>
      <charset val="1"/>
    </font>
    <font>
      <b val="true"/>
      <sz val="13"/>
      <color rgb="FF008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7E6E6"/>
      </patternFill>
    </fill>
    <fill>
      <patternFill patternType="solid">
        <fgColor rgb="FFFFFFCC"/>
        <bgColor rgb="FFFFFFFF"/>
      </patternFill>
    </fill>
    <fill>
      <patternFill patternType="solid">
        <fgColor theme="3"/>
        <bgColor rgb="FF595959"/>
      </patternFill>
    </fill>
    <fill>
      <patternFill patternType="solid">
        <fgColor theme="0" tint="-0.05"/>
        <bgColor rgb="FFE7E6E6"/>
      </patternFill>
    </fill>
    <fill>
      <patternFill patternType="solid">
        <fgColor theme="0" tint="-0.15"/>
        <bgColor rgb="FFE7E6E6"/>
      </patternFill>
    </fill>
    <fill>
      <patternFill patternType="solid">
        <fgColor theme="2"/>
        <bgColor rgb="FFE2EFDA"/>
      </patternFill>
    </fill>
    <fill>
      <patternFill patternType="solid">
        <fgColor rgb="FFE2EFDA"/>
        <bgColor rgb="FFE7E6E6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theme="0" tint="-0.5"/>
      </left>
      <right/>
      <top style="thin">
        <color theme="0" tint="-0.5"/>
      </top>
      <bottom style="thin">
        <color theme="0" tint="-0.5"/>
      </bottom>
      <diagonal/>
    </border>
    <border diagonalUp="false" diagonalDown="false">
      <left/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theme="0" tint="-0.5"/>
      </left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 diagonalUp="false" diagonalDown="false">
      <left style="thin">
        <color theme="0"/>
      </left>
      <right style="thin">
        <color theme="0"/>
      </right>
      <top/>
      <bottom style="thin"/>
      <diagonal/>
    </border>
    <border diagonalUp="false" diagonalDown="false">
      <left style="dotted">
        <color theme="0" tint="-0.5"/>
      </left>
      <right/>
      <top style="dotted">
        <color theme="0" tint="-0.5"/>
      </top>
      <bottom style="dotted">
        <color theme="0" tint="-0.5"/>
      </bottom>
      <diagonal/>
    </border>
    <border diagonalUp="false" diagonalDown="false">
      <left style="dotted">
        <color theme="0" tint="-0.5"/>
      </left>
      <right style="dotted">
        <color theme="0" tint="-0.5"/>
      </right>
      <top style="dotted">
        <color theme="0" tint="-0.5"/>
      </top>
      <bottom style="dotted">
        <color theme="0" tint="-0.5"/>
      </bottom>
      <diagonal/>
    </border>
    <border diagonalUp="false" diagonalDown="false">
      <left/>
      <right/>
      <top style="thin"/>
      <bottom/>
      <diagonal/>
    </border>
    <border diagonalUp="false" diagonalDown="false">
      <left style="dotted">
        <color theme="0" tint="-0.5"/>
      </left>
      <right style="dotted">
        <color theme="0" tint="-0.5"/>
      </right>
      <top style="dotted">
        <color theme="0" tint="-0.5"/>
      </top>
      <bottom/>
      <diagonal/>
    </border>
    <border diagonalUp="false" diagonalDown="false">
      <left style="thick">
        <color theme="0"/>
      </left>
      <right style="thin">
        <color theme="0"/>
      </right>
      <top/>
      <bottom style="thin"/>
      <diagonal/>
    </border>
    <border diagonalUp="false" diagonalDown="false">
      <left style="thin">
        <color theme="0"/>
      </left>
      <right/>
      <top/>
      <bottom style="thin"/>
      <diagonal/>
    </border>
    <border diagonalUp="false" diagonalDown="false">
      <left style="thick">
        <color theme="0"/>
      </left>
      <right/>
      <top/>
      <bottom style="thin"/>
      <diagonal/>
    </border>
    <border diagonalUp="false" diagonalDown="false">
      <left style="thick">
        <color theme="0"/>
      </left>
      <right/>
      <top/>
      <bottom/>
      <diagonal/>
    </border>
    <border diagonalUp="false" diagonalDown="false">
      <left style="thick">
        <color theme="0"/>
      </left>
      <right style="dotted">
        <color theme="0" tint="-0.5"/>
      </right>
      <top style="dotted">
        <color theme="0" tint="-0.5"/>
      </top>
      <bottom style="dotted">
        <color theme="0" tint="-0.5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theme="0" tint="-0.5"/>
      </left>
      <right/>
      <top style="thin">
        <color theme="0" tint="-0.5"/>
      </top>
      <bottom/>
      <diagonal/>
    </border>
    <border diagonalUp="false" diagonalDown="false">
      <left/>
      <right style="thin">
        <color theme="0" tint="-0.5"/>
      </right>
      <top style="thin">
        <color theme="0" tint="-0.5"/>
      </top>
      <bottom/>
      <diagonal/>
    </border>
    <border diagonalUp="false" diagonalDown="false">
      <left style="thin">
        <color theme="0" tint="-0.5"/>
      </left>
      <right style="thin">
        <color theme="0" tint="-0.5"/>
      </right>
      <top/>
      <bottom style="thin">
        <color theme="0" tint="-0.5"/>
      </bottom>
      <diagonal/>
    </border>
    <border diagonalUp="false" diagonalDown="false">
      <left style="dotted">
        <color theme="0" tint="-0.5"/>
      </left>
      <right style="dotted">
        <color theme="0" tint="-0.5"/>
      </right>
      <top style="thin"/>
      <bottom style="dotted">
        <color theme="0" tint="-0.5"/>
      </bottom>
      <diagonal/>
    </border>
    <border diagonalUp="false" diagonalDown="false">
      <left style="medium"/>
      <right style="medium"/>
      <top style="medium"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9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9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4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0" fontId="19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0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9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9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8" fillId="6" borderId="9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9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8" fillId="6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6" fillId="6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8" fillId="6" borderId="9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5" fillId="6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6" fillId="6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2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2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30" fillId="7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19" fillId="7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3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9" fillId="7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19" fillId="7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9" fillId="7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9" fillId="7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82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8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3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9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9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19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9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84" fontId="19" fillId="4" borderId="8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3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9" fillId="4" borderId="15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9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3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8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3" fillId="0" borderId="0" xfId="1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5" fontId="13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8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8" fillId="0" borderId="14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2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4" fontId="18" fillId="6" borderId="9" xfId="17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5" fontId="18" fillId="6" borderId="9" xfId="17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1" fontId="18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22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4" fontId="19" fillId="7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9" fillId="7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9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8" fillId="6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9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3" fillId="8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22" fillId="8" borderId="9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22" fillId="8" borderId="9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22" fillId="8" borderId="9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8" fillId="6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8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71" fontId="19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9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8" fillId="6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8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8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1" fontId="34" fillId="8" borderId="9" xfId="1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22" fillId="8" borderId="9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2" fillId="8" borderId="9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1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1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9" fillId="4" borderId="8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1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88" fontId="1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89" fontId="1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0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8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3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1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1" fontId="1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92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3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2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4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1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93" fontId="1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4" fontId="1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3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1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92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91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4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4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59" fillId="4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59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3" fontId="59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3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8" fillId="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4" fontId="59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3" fontId="59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60" fillId="6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13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59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9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59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9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5" fontId="18" fillId="6" borderId="9" xfId="17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8" fillId="6" borderId="9" xfId="17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6" fontId="18" fillId="6" borderId="9" xfId="17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3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5" fontId="22" fillId="8" borderId="9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5" fontId="22" fillId="8" borderId="21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8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59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59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9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8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8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59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4" fontId="59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4" fontId="59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19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4" fontId="19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3" fontId="59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9" fillId="4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9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6" fillId="6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 3" xfId="22"/>
    <cellStyle name="Percent 2" xfId="23"/>
  </cellStyles>
  <dxfs count="6">
    <dxf>
      <font>
        <color rgb="FF0000FF"/>
      </font>
      <fill>
        <patternFill>
          <bgColor rgb="FFFFFFCC"/>
        </patternFill>
      </fill>
    </dxf>
    <dxf>
      <font>
        <name val="Calibri"/>
        <charset val="1"/>
        <family val="2"/>
        <color rgb="FF000000"/>
        <sz val="11"/>
      </font>
      <alignment horizontal="general" vertical="bottom" textRotation="0" wrapText="false" indent="0" shrinkToFit="false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</dxf>
    <dxf>
      <font>
        <color rgb="FFA6A6A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E2EFDA"/>
      <rgbColor rgb="FFC6EFCE"/>
      <rgbColor rgb="FFF2F2F2"/>
      <rgbColor rgb="FFA9D08E"/>
      <rgbColor rgb="FFE7E6E6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595959"/>
      <rgbColor rgb="FFA6A6A6"/>
      <rgbColor rgb="FF1F3864"/>
      <rgbColor rgb="FF70AD47"/>
      <rgbColor rgb="FF181717"/>
      <rgbColor rgb="FF006100"/>
      <rgbColor rgb="FF993300"/>
      <rgbColor rgb="FF993366"/>
      <rgbColor rgb="FF44546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6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7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8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9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0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1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2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3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4.v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N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00"/>
    <col collapsed="false" customWidth="true" hidden="false" outlineLevel="0" max="4" min="4" style="0" width="30"/>
  </cols>
  <sheetData>
    <row r="2" customFormat="false" ht="30" hidden="false" customHeight="true" outlineLevel="0" collapsed="false">
      <c r="B2" s="1" t="s">
        <v>0</v>
      </c>
      <c r="C2" s="2"/>
      <c r="D2" s="2"/>
    </row>
    <row r="4" customFormat="false" ht="28.35" hidden="false" customHeight="false" outlineLevel="0" collapsed="false">
      <c r="B4" s="3" t="s">
        <v>1</v>
      </c>
      <c r="C4" s="4" t="s">
        <v>2</v>
      </c>
    </row>
    <row r="5" customFormat="false" ht="28.35" hidden="false" customHeight="false" outlineLevel="0" collapsed="false">
      <c r="B5" s="3" t="s">
        <v>3</v>
      </c>
      <c r="C5" s="4" t="s">
        <v>4</v>
      </c>
    </row>
    <row r="6" customFormat="false" ht="28.35" hidden="false" customHeight="false" outlineLevel="0" collapsed="false">
      <c r="B6" s="3" t="s">
        <v>5</v>
      </c>
      <c r="C6" s="4" t="s">
        <v>6</v>
      </c>
    </row>
    <row r="7" customFormat="false" ht="28.35" hidden="false" customHeight="false" outlineLevel="0" collapsed="false">
      <c r="B7" s="3" t="s">
        <v>7</v>
      </c>
      <c r="C7" s="4" t="s">
        <v>8</v>
      </c>
    </row>
    <row r="8" customFormat="false" ht="28.35" hidden="false" customHeight="false" outlineLevel="0" collapsed="false">
      <c r="B8" s="3" t="s">
        <v>9</v>
      </c>
      <c r="C8" s="4" t="s">
        <v>10</v>
      </c>
    </row>
    <row r="10" customFormat="false" ht="18" hidden="false" customHeight="true" outlineLevel="0" collapsed="false">
      <c r="B10" s="5" t="s">
        <v>11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2" customFormat="false" ht="15" hidden="false" customHeight="false" outlineLevel="0" collapsed="false">
      <c r="B12" s="7" t="s">
        <v>12</v>
      </c>
      <c r="C12" s="8" t="s">
        <v>13</v>
      </c>
    </row>
    <row r="13" customFormat="false" ht="15" hidden="false" customHeight="false" outlineLevel="0" collapsed="false">
      <c r="B13" s="7" t="s">
        <v>14</v>
      </c>
      <c r="C13" s="8" t="s">
        <v>15</v>
      </c>
    </row>
    <row r="14" customFormat="false" ht="23.85" hidden="false" customHeight="false" outlineLevel="0" collapsed="false">
      <c r="B14" s="7" t="s">
        <v>16</v>
      </c>
      <c r="C14" s="8" t="s">
        <v>17</v>
      </c>
    </row>
    <row r="15" customFormat="false" ht="15" hidden="false" customHeight="false" outlineLevel="0" collapsed="false">
      <c r="B15" s="7" t="s">
        <v>18</v>
      </c>
      <c r="C15" s="8" t="s">
        <v>19</v>
      </c>
    </row>
    <row r="16" customFormat="false" ht="15" hidden="false" customHeight="false" outlineLevel="0" collapsed="false">
      <c r="B16" s="7" t="s">
        <v>20</v>
      </c>
      <c r="C16" s="8" t="s">
        <v>21</v>
      </c>
    </row>
    <row r="17" customFormat="false" ht="15" hidden="false" customHeight="false" outlineLevel="0" collapsed="false">
      <c r="B17" s="7" t="s">
        <v>22</v>
      </c>
      <c r="C17" s="8" t="s">
        <v>23</v>
      </c>
    </row>
    <row r="18" customFormat="false" ht="15" hidden="false" customHeight="false" outlineLevel="0" collapsed="false">
      <c r="B18" s="7" t="s">
        <v>24</v>
      </c>
      <c r="C18" s="8" t="s">
        <v>25</v>
      </c>
    </row>
    <row r="19" customFormat="false" ht="15" hidden="false" customHeight="false" outlineLevel="0" collapsed="false">
      <c r="B19" s="7" t="s">
        <v>26</v>
      </c>
      <c r="C19" s="8" t="s">
        <v>27</v>
      </c>
    </row>
    <row r="20" customFormat="false" ht="15" hidden="false" customHeight="false" outlineLevel="0" collapsed="false">
      <c r="B20" s="7" t="s">
        <v>28</v>
      </c>
      <c r="C20" s="8" t="s">
        <v>29</v>
      </c>
    </row>
    <row r="21" customFormat="false" ht="15" hidden="false" customHeight="false" outlineLevel="0" collapsed="false">
      <c r="B21" s="7" t="s">
        <v>30</v>
      </c>
      <c r="C21" s="8" t="s">
        <v>31</v>
      </c>
    </row>
    <row r="22" customFormat="false" ht="15" hidden="false" customHeight="false" outlineLevel="0" collapsed="false">
      <c r="B22" s="7" t="s">
        <v>32</v>
      </c>
      <c r="C22" s="8" t="s">
        <v>33</v>
      </c>
    </row>
    <row r="24" customFormat="false" ht="18" hidden="false" customHeight="true" outlineLevel="0" collapsed="false">
      <c r="B24" s="5" t="s">
        <v>34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6" customFormat="false" ht="15" hidden="false" customHeight="false" outlineLevel="0" collapsed="false">
      <c r="B26" s="9" t="s">
        <v>35</v>
      </c>
    </row>
    <row r="27" customFormat="false" ht="15" hidden="false" customHeight="false" outlineLevel="0" collapsed="false">
      <c r="B27" s="10" t="s">
        <v>36</v>
      </c>
    </row>
    <row r="28" customFormat="false" ht="15" hidden="false" customHeight="false" outlineLevel="0" collapsed="false">
      <c r="B28" s="11" t="s">
        <v>37</v>
      </c>
    </row>
    <row r="29" customFormat="false" ht="15" hidden="false" customHeight="false" outlineLevel="0" collapsed="false">
      <c r="B29" s="12" t="s">
        <v>38</v>
      </c>
    </row>
    <row r="31" customFormat="false" ht="18" hidden="false" customHeight="true" outlineLevel="0" collapsed="false">
      <c r="B31" s="5" t="s">
        <v>39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3" customFormat="false" ht="25.5" hidden="false" customHeight="true" outlineLevel="0" collapsed="false">
      <c r="B33" s="8" t="s">
        <v>40</v>
      </c>
    </row>
    <row r="34" customFormat="false" ht="25.5" hidden="false" customHeight="true" outlineLevel="0" collapsed="false">
      <c r="B34" s="8" t="s">
        <v>41</v>
      </c>
    </row>
    <row r="35" customFormat="false" ht="25.5" hidden="false" customHeight="true" outlineLevel="0" collapsed="false">
      <c r="B35" s="8" t="s">
        <v>42</v>
      </c>
    </row>
    <row r="36" customFormat="false" ht="25.5" hidden="false" customHeight="true" outlineLevel="0" collapsed="false">
      <c r="B36" s="8" t="s">
        <v>43</v>
      </c>
    </row>
    <row r="37" customFormat="false" ht="25.5" hidden="false" customHeight="true" outlineLevel="0" collapsed="false">
      <c r="B37" s="8" t="s">
        <v>44</v>
      </c>
    </row>
    <row r="38" customFormat="false" ht="25.5" hidden="false" customHeight="true" outlineLevel="0" collapsed="false">
      <c r="B38" s="8" t="s">
        <v>45</v>
      </c>
    </row>
    <row r="40" customFormat="false" ht="18" hidden="false" customHeight="true" outlineLevel="0" collapsed="false">
      <c r="B40" s="5" t="s">
        <v>46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2" customFormat="false" ht="25.5" hidden="false" customHeight="true" outlineLevel="0" collapsed="false">
      <c r="B42" s="8" t="s">
        <v>47</v>
      </c>
    </row>
    <row r="43" customFormat="false" ht="25.5" hidden="false" customHeight="true" outlineLevel="0" collapsed="false">
      <c r="B43" s="8" t="s">
        <v>48</v>
      </c>
    </row>
    <row r="44" customFormat="false" ht="25.5" hidden="false" customHeight="true" outlineLevel="0" collapsed="false">
      <c r="B44" s="8" t="s">
        <v>49</v>
      </c>
    </row>
    <row r="45" customFormat="false" ht="25.5" hidden="false" customHeight="true" outlineLevel="0" collapsed="false">
      <c r="B45" s="8" t="s">
        <v>50</v>
      </c>
    </row>
    <row r="46" customFormat="false" ht="25.5" hidden="false" customHeight="true" outlineLevel="0" collapsed="false">
      <c r="B46" s="8" t="s">
        <v>51</v>
      </c>
    </row>
    <row r="47" customFormat="false" ht="25.5" hidden="false" customHeight="true" outlineLevel="0" collapsed="false">
      <c r="B47" s="8" t="s">
        <v>52</v>
      </c>
    </row>
    <row r="48" customFormat="false" ht="25.5" hidden="false" customHeight="true" outlineLevel="0" collapsed="false">
      <c r="B48" s="8" t="s">
        <v>53</v>
      </c>
    </row>
    <row r="50" customFormat="false" ht="18" hidden="false" customHeight="true" outlineLevel="0" collapsed="false">
      <c r="B50" s="5" t="s">
        <v>54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2" customFormat="false" ht="25.5" hidden="false" customHeight="true" outlineLevel="0" collapsed="false">
      <c r="B52" s="8" t="s">
        <v>55</v>
      </c>
    </row>
    <row r="53" customFormat="false" ht="25.5" hidden="false" customHeight="true" outlineLevel="0" collapsed="false">
      <c r="B53" s="8" t="s">
        <v>56</v>
      </c>
    </row>
    <row r="54" customFormat="false" ht="25.5" hidden="false" customHeight="true" outlineLevel="0" collapsed="false">
      <c r="B54" s="8" t="s">
        <v>57</v>
      </c>
    </row>
    <row r="55" customFormat="false" ht="25.5" hidden="false" customHeight="true" outlineLevel="0" collapsed="false">
      <c r="B55" s="8" t="s">
        <v>58</v>
      </c>
    </row>
    <row r="56" customFormat="false" ht="25.5" hidden="false" customHeight="true" outlineLevel="0" collapsed="false">
      <c r="B56" s="8" t="s">
        <v>59</v>
      </c>
    </row>
    <row r="57" customFormat="false" ht="25.5" hidden="false" customHeight="true" outlineLevel="0" collapsed="false">
      <c r="B57" s="8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C1:CM211"/>
  <sheetViews>
    <sheetView showFormulas="false" showGridLines="false" showRowColHeaders="true" showZeros="true" rightToLeft="false" tabSelected="false" showOutlineSymbols="true" defaultGridColor="true" view="normal" topLeftCell="A1" colorId="64" zoomScale="40" zoomScaleNormal="40" zoomScalePageLayoutView="100" workbookViewId="0">
      <selection pane="topLeft" activeCell="B2" activeCellId="0" sqref="B2"/>
    </sheetView>
  </sheetViews>
  <sheetFormatPr defaultColWidth="8.5390625" defaultRowHeight="14.25" zeroHeight="false" outlineLevelRow="2" outlineLevelCol="1"/>
  <cols>
    <col collapsed="false" customWidth="true" hidden="false" outlineLevel="0" max="4" min="1" style="0" width="2.81"/>
    <col collapsed="false" customWidth="true" hidden="false" outlineLevel="0" max="5" min="5" style="0" width="39.54"/>
    <col collapsed="false" customWidth="true" hidden="false" outlineLevel="0" max="6" min="6" style="0" width="16.54"/>
    <col collapsed="false" customWidth="true" hidden="false" outlineLevel="1" max="7" min="7" style="0" width="12.45"/>
    <col collapsed="false" customWidth="true" hidden="false" outlineLevel="1" max="8" min="8" style="0" width="18"/>
    <col collapsed="false" customWidth="true" hidden="false" outlineLevel="0" max="9" min="9" style="0" width="18.54"/>
    <col collapsed="false" customWidth="true" hidden="false" outlineLevel="0" max="16" min="10" style="0" width="16.54"/>
    <col collapsed="false" customWidth="true" hidden="false" outlineLevel="0" max="18" min="17" style="13" width="16.45"/>
    <col collapsed="false" customWidth="true" hidden="false" outlineLevel="0" max="19" min="19" style="0" width="2.81"/>
    <col collapsed="false" customWidth="true" hidden="false" outlineLevel="0" max="79" min="20" style="0" width="16.54"/>
    <col collapsed="false" customWidth="true" hidden="false" outlineLevel="0" max="80" min="80" style="0" width="2.81"/>
    <col collapsed="false" customWidth="true" hidden="false" outlineLevel="0" max="85" min="81" style="0" width="16.54"/>
    <col collapsed="false" customWidth="true" hidden="false" outlineLevel="0" max="86" min="86" style="0" width="2.81"/>
    <col collapsed="false" customWidth="true" hidden="false" outlineLevel="0" max="91" min="87" style="0" width="16.54"/>
  </cols>
  <sheetData>
    <row r="1" s="14" customFormat="true" ht="16.5" hidden="false" customHeight="true" outlineLevel="1" collapsed="false">
      <c r="L1" s="15" t="n">
        <v>1</v>
      </c>
      <c r="M1" s="15" t="n">
        <v>2</v>
      </c>
      <c r="N1" s="15" t="n">
        <v>3</v>
      </c>
      <c r="O1" s="15" t="n">
        <v>4</v>
      </c>
      <c r="P1" s="15" t="n">
        <v>5</v>
      </c>
      <c r="Q1" s="16"/>
      <c r="R1" s="17" t="n">
        <f aca="false">COUNTIFS($R$78:$R$128, "Error")</f>
        <v>0</v>
      </c>
      <c r="T1" s="17" t="n">
        <v>2026</v>
      </c>
      <c r="U1" s="17" t="n">
        <v>2026</v>
      </c>
      <c r="V1" s="17" t="n">
        <v>2026</v>
      </c>
      <c r="W1" s="17" t="n">
        <v>2026</v>
      </c>
      <c r="X1" s="17" t="n">
        <v>2026</v>
      </c>
      <c r="Y1" s="17" t="n">
        <v>2026</v>
      </c>
      <c r="Z1" s="17" t="n">
        <v>2026</v>
      </c>
      <c r="AA1" s="17" t="n">
        <v>2026</v>
      </c>
      <c r="AB1" s="17" t="n">
        <v>2026</v>
      </c>
      <c r="AC1" s="17" t="n">
        <v>2026</v>
      </c>
      <c r="AD1" s="17" t="n">
        <v>2026</v>
      </c>
      <c r="AE1" s="17" t="n">
        <v>2026</v>
      </c>
      <c r="AF1" s="17" t="n">
        <v>2027</v>
      </c>
      <c r="AG1" s="17" t="n">
        <v>2027</v>
      </c>
      <c r="AH1" s="17" t="n">
        <v>2027</v>
      </c>
      <c r="AI1" s="17" t="n">
        <v>2027</v>
      </c>
      <c r="AJ1" s="17" t="n">
        <v>2027</v>
      </c>
      <c r="AK1" s="17" t="n">
        <v>2027</v>
      </c>
      <c r="AL1" s="17" t="n">
        <v>2027</v>
      </c>
      <c r="AM1" s="17" t="n">
        <v>2027</v>
      </c>
      <c r="AN1" s="17" t="n">
        <v>2027</v>
      </c>
      <c r="AO1" s="17" t="n">
        <v>2027</v>
      </c>
      <c r="AP1" s="17" t="n">
        <v>2027</v>
      </c>
      <c r="AQ1" s="17" t="n">
        <v>2027</v>
      </c>
      <c r="AR1" s="17" t="n">
        <v>2028</v>
      </c>
      <c r="AS1" s="17" t="n">
        <v>2028</v>
      </c>
      <c r="AT1" s="17" t="n">
        <v>2028</v>
      </c>
      <c r="AU1" s="17" t="n">
        <v>2028</v>
      </c>
      <c r="AV1" s="17" t="n">
        <v>2028</v>
      </c>
      <c r="AW1" s="17" t="n">
        <v>2028</v>
      </c>
      <c r="AX1" s="17" t="n">
        <v>2028</v>
      </c>
      <c r="AY1" s="17" t="n">
        <v>2028</v>
      </c>
      <c r="AZ1" s="17" t="n">
        <v>2028</v>
      </c>
      <c r="BA1" s="17" t="n">
        <v>2028</v>
      </c>
      <c r="BB1" s="17" t="n">
        <v>2028</v>
      </c>
      <c r="BC1" s="17" t="n">
        <v>2028</v>
      </c>
      <c r="BD1" s="17" t="n">
        <v>2029</v>
      </c>
      <c r="BE1" s="17" t="n">
        <v>2029</v>
      </c>
      <c r="BF1" s="17" t="n">
        <v>2029</v>
      </c>
      <c r="BG1" s="17" t="n">
        <v>2029</v>
      </c>
      <c r="BH1" s="17" t="n">
        <v>2029</v>
      </c>
      <c r="BI1" s="17" t="n">
        <v>2029</v>
      </c>
      <c r="BJ1" s="17" t="n">
        <v>2029</v>
      </c>
      <c r="BK1" s="17" t="n">
        <v>2029</v>
      </c>
      <c r="BL1" s="17" t="n">
        <v>2029</v>
      </c>
      <c r="BM1" s="17" t="n">
        <v>2029</v>
      </c>
      <c r="BN1" s="17" t="n">
        <v>2029</v>
      </c>
      <c r="BO1" s="17" t="n">
        <v>2029</v>
      </c>
      <c r="BP1" s="17" t="n">
        <v>2030</v>
      </c>
      <c r="BQ1" s="17" t="n">
        <v>2030</v>
      </c>
      <c r="BR1" s="17" t="n">
        <v>2030</v>
      </c>
      <c r="BS1" s="17" t="n">
        <v>2030</v>
      </c>
      <c r="BT1" s="17" t="n">
        <v>2030</v>
      </c>
      <c r="BU1" s="17" t="n">
        <v>2030</v>
      </c>
      <c r="BV1" s="17" t="n">
        <v>2030</v>
      </c>
      <c r="BW1" s="17" t="n">
        <v>2030</v>
      </c>
      <c r="BX1" s="17" t="n">
        <v>2030</v>
      </c>
      <c r="BY1" s="17" t="n">
        <v>2030</v>
      </c>
      <c r="BZ1" s="17" t="n">
        <v>2030</v>
      </c>
      <c r="CA1" s="17" t="n">
        <v>2030</v>
      </c>
      <c r="CI1" s="17" t="n">
        <f aca="false">COUNTIFS(CI$78:CI$159, "FALSE")</f>
        <v>0</v>
      </c>
      <c r="CJ1" s="17" t="n">
        <f aca="false">COUNTIFS(CJ$78:CJ$159, "FALSE")</f>
        <v>4</v>
      </c>
      <c r="CK1" s="17" t="n">
        <f aca="false">COUNTIFS(CK$78:CK$159, "FALSE")</f>
        <v>4</v>
      </c>
      <c r="CL1" s="17" t="n">
        <f aca="false">COUNTIFS(CL$78:CL$159, "FALSE")</f>
        <v>0</v>
      </c>
      <c r="CM1" s="17" t="n">
        <f aca="false">COUNTIFS(CM$78:CM$159, "FALSE")</f>
        <v>0</v>
      </c>
    </row>
    <row r="2" s="14" customFormat="true" ht="16.5" hidden="false" customHeight="true" outlineLevel="1" collapsed="false">
      <c r="L2" s="15"/>
      <c r="M2" s="15"/>
      <c r="N2" s="15"/>
      <c r="O2" s="15"/>
      <c r="P2" s="15"/>
      <c r="Q2" s="16"/>
      <c r="R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I2" s="17"/>
      <c r="CJ2" s="17"/>
      <c r="CK2" s="17"/>
      <c r="CL2" s="17"/>
      <c r="CM2" s="17"/>
    </row>
    <row r="3" s="14" customFormat="true" ht="16.5" hidden="false" customHeight="true" outlineLevel="1" collapsed="false">
      <c r="L3" s="15"/>
      <c r="M3" s="15"/>
      <c r="N3" s="15"/>
      <c r="O3" s="15"/>
      <c r="P3" s="15"/>
      <c r="Q3" s="16"/>
      <c r="R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I3" s="17"/>
      <c r="CJ3" s="17"/>
      <c r="CK3" s="17"/>
      <c r="CL3" s="17"/>
      <c r="CM3" s="17"/>
    </row>
    <row r="4" s="14" customFormat="true" ht="16.5" hidden="false" customHeight="true" outlineLevel="1" collapsed="false">
      <c r="L4" s="15"/>
      <c r="M4" s="15"/>
      <c r="N4" s="15"/>
      <c r="O4" s="15"/>
      <c r="P4" s="15"/>
      <c r="Q4" s="16"/>
      <c r="R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I4" s="17"/>
      <c r="CJ4" s="17"/>
      <c r="CK4" s="17"/>
      <c r="CL4" s="17"/>
      <c r="CM4" s="17"/>
    </row>
    <row r="5" s="14" customFormat="true" ht="16.5" hidden="false" customHeight="true" outlineLevel="1" collapsed="false">
      <c r="L5" s="15"/>
      <c r="M5" s="15"/>
      <c r="N5" s="15"/>
      <c r="O5" s="15"/>
      <c r="P5" s="15"/>
      <c r="Q5" s="16"/>
      <c r="R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I5" s="17"/>
      <c r="CJ5" s="17"/>
      <c r="CK5" s="17"/>
      <c r="CL5" s="17"/>
      <c r="CM5" s="17"/>
    </row>
    <row r="6" s="14" customFormat="true" ht="16.5" hidden="false" customHeight="true" outlineLevel="1" collapsed="false">
      <c r="L6" s="15"/>
      <c r="M6" s="15"/>
      <c r="N6" s="15"/>
      <c r="O6" s="15"/>
      <c r="P6" s="15"/>
      <c r="Q6" s="16"/>
      <c r="R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I6" s="17"/>
      <c r="CJ6" s="17"/>
      <c r="CK6" s="17"/>
      <c r="CL6" s="17"/>
      <c r="CM6" s="17"/>
    </row>
    <row r="7" s="14" customFormat="true" ht="16.5" hidden="false" customHeight="true" outlineLevel="0" collapsed="false">
      <c r="Q7" s="16"/>
      <c r="R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</row>
    <row r="8" s="14" customFormat="true" ht="16.5" hidden="false" customHeight="true" outlineLevel="0" collapsed="false">
      <c r="Q8" s="16"/>
      <c r="R8" s="16"/>
    </row>
    <row r="9" s="14" customFormat="true" ht="30.75" hidden="false" customHeight="true" outlineLevel="0" collapsed="false">
      <c r="C9" s="18" t="str">
        <f aca="false">"#"&amp;$F$13&amp;" Initiative Business Case"</f>
        <v>#123456 Initiative Business Case</v>
      </c>
      <c r="Q9" s="16"/>
      <c r="R9" s="16"/>
    </row>
    <row r="10" s="14" customFormat="true" ht="16.5" hidden="false" customHeight="true" outlineLevel="0" collapsed="false">
      <c r="Q10" s="16"/>
      <c r="R10" s="16"/>
    </row>
    <row r="11" s="14" customFormat="true" ht="16.5" hidden="false" customHeight="true" outlineLevel="0" collapsed="false">
      <c r="C11" s="19" t="s">
        <v>61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20"/>
      <c r="R11" s="20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</row>
    <row r="12" s="14" customFormat="true" ht="16.5" hidden="false" customHeight="true" outlineLevel="0" collapsed="false">
      <c r="Q12" s="16"/>
      <c r="R12" s="16"/>
    </row>
    <row r="13" s="14" customFormat="true" ht="16.5" hidden="false" customHeight="true" outlineLevel="0" collapsed="false">
      <c r="D13" s="21" t="s">
        <v>62</v>
      </c>
      <c r="F13" s="22" t="n">
        <v>123456</v>
      </c>
      <c r="G13" s="23"/>
      <c r="Q13" s="16"/>
      <c r="R13" s="16"/>
    </row>
    <row r="14" customFormat="false" ht="16.5" hidden="false" customHeight="true" outlineLevel="0" collapsed="false">
      <c r="D14" s="21" t="s">
        <v>63</v>
      </c>
      <c r="F14" s="24" t="s">
        <v>64</v>
      </c>
      <c r="G14" s="25"/>
      <c r="I14" s="14"/>
      <c r="J14" s="14"/>
      <c r="K14" s="14"/>
    </row>
    <row r="15" s="14" customFormat="true" ht="16.5" hidden="false" customHeight="true" outlineLevel="0" collapsed="false">
      <c r="D15" s="21" t="s">
        <v>65</v>
      </c>
      <c r="F15" s="26" t="s">
        <v>66</v>
      </c>
      <c r="G15" s="26"/>
      <c r="I15" s="14" t="s">
        <v>67</v>
      </c>
      <c r="Q15" s="16"/>
      <c r="R15" s="16"/>
    </row>
    <row r="16" s="14" customFormat="true" ht="16.5" hidden="false" customHeight="true" outlineLevel="0" collapsed="false">
      <c r="D16" s="21"/>
      <c r="F16" s="26"/>
      <c r="G16" s="26"/>
      <c r="I16" s="14" t="s">
        <v>68</v>
      </c>
      <c r="N16" s="21"/>
      <c r="Q16" s="16"/>
      <c r="R16" s="16"/>
    </row>
    <row r="17" s="14" customFormat="true" ht="16.5" hidden="false" customHeight="true" outlineLevel="0" collapsed="false">
      <c r="F17" s="26"/>
      <c r="G17" s="26"/>
      <c r="Q17" s="16"/>
      <c r="R17" s="16"/>
    </row>
    <row r="18" s="14" customFormat="true" ht="16.5" hidden="false" customHeight="true" outlineLevel="0" collapsed="false">
      <c r="D18" s="21" t="s">
        <v>69</v>
      </c>
      <c r="F18" s="27" t="n">
        <v>46736</v>
      </c>
      <c r="M18" s="21"/>
      <c r="Q18" s="16"/>
      <c r="R18" s="16"/>
    </row>
    <row r="19" s="14" customFormat="true" ht="16.5" hidden="false" customHeight="true" outlineLevel="0" collapsed="false">
      <c r="D19" s="21" t="s">
        <v>70</v>
      </c>
      <c r="F19" s="28" t="n">
        <f aca="false">$K$128</f>
        <v>7.2</v>
      </c>
      <c r="M19" s="21"/>
      <c r="Q19" s="16"/>
      <c r="R19" s="16"/>
    </row>
    <row r="20" s="14" customFormat="true" ht="17.25" hidden="false" customHeight="true" outlineLevel="0" collapsed="false">
      <c r="Q20" s="16"/>
      <c r="R20" s="16"/>
    </row>
    <row r="21" s="14" customFormat="true" ht="16.5" hidden="false" customHeight="true" outlineLevel="0" collapsed="false">
      <c r="C21" s="19" t="s">
        <v>71</v>
      </c>
      <c r="D21" s="19"/>
      <c r="E21" s="19"/>
      <c r="F21" s="19"/>
      <c r="G21" s="19"/>
      <c r="H21" s="19"/>
      <c r="I21" s="19"/>
      <c r="J21" s="19"/>
      <c r="L21" s="19" t="s">
        <v>72</v>
      </c>
      <c r="M21" s="19"/>
      <c r="N21" s="19"/>
      <c r="O21" s="19"/>
      <c r="P21" s="19"/>
      <c r="Q21" s="20"/>
      <c r="R21" s="20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</row>
    <row r="22" s="14" customFormat="true" ht="17.25" hidden="false" customHeight="true" outlineLevel="0" collapsed="false">
      <c r="Q22" s="16"/>
      <c r="R22" s="16"/>
    </row>
    <row r="23" s="14" customFormat="true" ht="17.25" hidden="false" customHeight="true" outlineLevel="0" collapsed="false">
      <c r="D23" s="29" t="s">
        <v>73</v>
      </c>
      <c r="L23" s="30" t="s">
        <v>74</v>
      </c>
      <c r="M23" s="30"/>
      <c r="N23" s="30"/>
      <c r="O23" s="30"/>
      <c r="P23" s="31" t="s">
        <v>75</v>
      </c>
      <c r="Q23" s="30" t="s">
        <v>76</v>
      </c>
      <c r="R23" s="30"/>
    </row>
    <row r="24" s="14" customFormat="true" ht="17.25" hidden="false" customHeight="true" outlineLevel="0" collapsed="false">
      <c r="D24" s="32" t="s">
        <v>77</v>
      </c>
      <c r="E24" s="33"/>
      <c r="F24" s="33"/>
      <c r="G24" s="33"/>
      <c r="H24" s="32" t="s">
        <v>78</v>
      </c>
      <c r="I24" s="32" t="s">
        <v>79</v>
      </c>
      <c r="J24" s="34" t="s">
        <v>80</v>
      </c>
      <c r="L24" s="14" t="s">
        <v>81</v>
      </c>
      <c r="P24" s="16" t="str">
        <f aca="false">IF($R$1=0, "PASS", "ERROR")</f>
        <v>PASS</v>
      </c>
      <c r="Q24" s="35" t="str">
        <f aca="false">IF(P24="Error", "Check column R for errors", "")</f>
        <v/>
      </c>
      <c r="R24" s="16"/>
    </row>
    <row r="25" s="14" customFormat="true" ht="17.25" hidden="false" customHeight="true" outlineLevel="0" collapsed="false">
      <c r="D25" s="33"/>
      <c r="E25" s="33" t="s">
        <v>82</v>
      </c>
      <c r="F25" s="33"/>
      <c r="G25" s="36" t="s">
        <v>83</v>
      </c>
      <c r="H25" s="33" t="s">
        <v>84</v>
      </c>
      <c r="I25" s="37" t="s">
        <v>85</v>
      </c>
      <c r="J25" s="38" t="n">
        <v>6000</v>
      </c>
      <c r="L25" s="14" t="s">
        <v>86</v>
      </c>
      <c r="P25" s="16" t="str">
        <f aca="false">IF($CI$1=0, "PASS", "ERROR")</f>
        <v>PASS</v>
      </c>
      <c r="Q25" s="35" t="str">
        <f aca="false">IF(P25="Error", "Check column CI for errors", "")</f>
        <v/>
      </c>
      <c r="R25" s="16"/>
    </row>
    <row r="26" s="14" customFormat="true" ht="17.25" hidden="false" customHeight="true" outlineLevel="0" collapsed="false">
      <c r="D26" s="33"/>
      <c r="E26" s="33" t="s">
        <v>87</v>
      </c>
      <c r="F26" s="33"/>
      <c r="G26" s="36" t="s">
        <v>88</v>
      </c>
      <c r="H26" s="33" t="s">
        <v>89</v>
      </c>
      <c r="I26" s="37" t="s">
        <v>90</v>
      </c>
      <c r="J26" s="39" t="n">
        <v>150</v>
      </c>
      <c r="L26" s="14" t="s">
        <v>91</v>
      </c>
      <c r="P26" s="16" t="str">
        <f aca="false">IF($CJ$1=0, "PASS", "ERROR")</f>
        <v>ERROR</v>
      </c>
      <c r="Q26" s="35" t="str">
        <f aca="false">IF(P26="Error", "Check column CJ for errors", "")</f>
        <v>Check column CJ for errors</v>
      </c>
      <c r="R26" s="16"/>
    </row>
    <row r="27" s="14" customFormat="true" ht="17.25" hidden="false" customHeight="true" outlineLevel="0" collapsed="false">
      <c r="D27" s="33"/>
      <c r="E27" s="33" t="s">
        <v>92</v>
      </c>
      <c r="F27" s="33"/>
      <c r="G27" s="36" t="s">
        <v>93</v>
      </c>
      <c r="H27" s="33" t="s">
        <v>94</v>
      </c>
      <c r="I27" s="37" t="s">
        <v>95</v>
      </c>
      <c r="J27" s="39" t="n">
        <v>500</v>
      </c>
      <c r="L27" s="14" t="s">
        <v>96</v>
      </c>
      <c r="P27" s="16" t="str">
        <f aca="false">IF($CK$1=0, "PASS", "ERROR")</f>
        <v>ERROR</v>
      </c>
      <c r="Q27" s="35" t="str">
        <f aca="false">IF(P27="Error", "Check column CK for errors", "")</f>
        <v>Check column CK for errors</v>
      </c>
      <c r="R27" s="16"/>
    </row>
    <row r="28" s="14" customFormat="true" ht="17.25" hidden="false" customHeight="true" outlineLevel="0" collapsed="false">
      <c r="D28" s="33"/>
      <c r="E28" s="33" t="s">
        <v>97</v>
      </c>
      <c r="F28" s="33"/>
      <c r="G28" s="36"/>
      <c r="H28" s="33" t="s">
        <v>89</v>
      </c>
      <c r="I28" s="37" t="s">
        <v>98</v>
      </c>
      <c r="J28" s="39" t="n">
        <v>50000</v>
      </c>
      <c r="L28" s="14" t="s">
        <v>99</v>
      </c>
      <c r="P28" s="16" t="str">
        <f aca="false">IF($CL$1=0, "PASS", "ERROR")</f>
        <v>PASS</v>
      </c>
      <c r="Q28" s="35" t="str">
        <f aca="false">IF(P28="Error", "Check column CL for errors", "")</f>
        <v/>
      </c>
      <c r="R28" s="16"/>
    </row>
    <row r="29" s="14" customFormat="true" ht="17.25" hidden="false" customHeight="true" outlineLevel="0" collapsed="false">
      <c r="D29" s="33"/>
      <c r="E29" s="40" t="s">
        <v>100</v>
      </c>
      <c r="F29" s="40"/>
      <c r="G29" s="41" t="s">
        <v>101</v>
      </c>
      <c r="H29" s="40" t="s">
        <v>84</v>
      </c>
      <c r="I29" s="42" t="s">
        <v>102</v>
      </c>
      <c r="J29" s="43" t="n">
        <f aca="false">(J27*J28)/1000000</f>
        <v>25</v>
      </c>
      <c r="L29" s="14" t="s">
        <v>103</v>
      </c>
      <c r="P29" s="16" t="str">
        <f aca="false">IF($CM$1=0, "PASS", "ERROR")</f>
        <v>PASS</v>
      </c>
      <c r="Q29" s="35" t="str">
        <f aca="false">IF(P29="Error", "Check column CM for errors", "")</f>
        <v/>
      </c>
      <c r="R29" s="16"/>
    </row>
    <row r="30" s="14" customFormat="true" ht="17.25" hidden="false" customHeight="true" outlineLevel="0" collapsed="false">
      <c r="D30" s="33"/>
      <c r="E30" s="33"/>
      <c r="F30" s="33"/>
      <c r="G30" s="36"/>
      <c r="H30" s="33"/>
      <c r="I30" s="37"/>
      <c r="J30" s="33"/>
      <c r="Q30" s="16"/>
      <c r="R30" s="16"/>
    </row>
    <row r="31" s="14" customFormat="true" ht="17.25" hidden="false" customHeight="true" outlineLevel="0" collapsed="false">
      <c r="D31" s="32" t="s">
        <v>104</v>
      </c>
      <c r="E31" s="33"/>
      <c r="F31" s="33"/>
      <c r="G31" s="36"/>
      <c r="H31" s="32"/>
      <c r="I31" s="32"/>
      <c r="J31" s="34"/>
      <c r="Q31" s="16"/>
      <c r="R31" s="16"/>
      <c r="Y31" s="14" t="s">
        <v>105</v>
      </c>
    </row>
    <row r="32" s="14" customFormat="true" ht="17.25" hidden="false" customHeight="true" outlineLevel="0" collapsed="false">
      <c r="D32" s="33"/>
      <c r="E32" s="33" t="s">
        <v>82</v>
      </c>
      <c r="F32" s="33"/>
      <c r="G32" s="36" t="s">
        <v>106</v>
      </c>
      <c r="H32" s="33"/>
      <c r="I32" s="37" t="s">
        <v>85</v>
      </c>
      <c r="J32" s="44" t="n">
        <v>4000</v>
      </c>
      <c r="Q32" s="16"/>
      <c r="R32" s="16"/>
    </row>
    <row r="33" s="14" customFormat="true" ht="17.25" hidden="false" customHeight="true" outlineLevel="0" collapsed="false">
      <c r="D33" s="33"/>
      <c r="E33" s="33" t="s">
        <v>87</v>
      </c>
      <c r="F33" s="33"/>
      <c r="G33" s="36" t="s">
        <v>107</v>
      </c>
      <c r="H33" s="33"/>
      <c r="I33" s="37" t="s">
        <v>90</v>
      </c>
      <c r="J33" s="44" t="n">
        <v>120</v>
      </c>
      <c r="Q33" s="16"/>
      <c r="R33" s="16"/>
    </row>
    <row r="34" s="14" customFormat="true" ht="17.25" hidden="false" customHeight="true" outlineLevel="0" collapsed="false">
      <c r="D34" s="33"/>
      <c r="E34" s="33" t="s">
        <v>92</v>
      </c>
      <c r="F34" s="33"/>
      <c r="G34" s="36" t="s">
        <v>108</v>
      </c>
      <c r="H34" s="33"/>
      <c r="I34" s="37" t="s">
        <v>95</v>
      </c>
      <c r="J34" s="39" t="n">
        <v>260</v>
      </c>
      <c r="Q34" s="16"/>
      <c r="R34" s="16"/>
    </row>
    <row r="35" s="14" customFormat="true" ht="17.25" hidden="false" customHeight="true" outlineLevel="0" collapsed="false">
      <c r="D35" s="33"/>
      <c r="E35" s="33" t="s">
        <v>97</v>
      </c>
      <c r="F35" s="33"/>
      <c r="G35" s="36"/>
      <c r="H35" s="33"/>
      <c r="I35" s="37" t="s">
        <v>98</v>
      </c>
      <c r="J35" s="44" t="n">
        <f aca="false">J28</f>
        <v>50000</v>
      </c>
      <c r="Q35" s="16"/>
      <c r="R35" s="16"/>
    </row>
    <row r="36" s="14" customFormat="true" ht="17.25" hidden="false" customHeight="true" outlineLevel="0" collapsed="false">
      <c r="D36" s="33"/>
      <c r="E36" s="40" t="s">
        <v>100</v>
      </c>
      <c r="F36" s="40"/>
      <c r="G36" s="41" t="s">
        <v>109</v>
      </c>
      <c r="H36" s="40" t="s">
        <v>110</v>
      </c>
      <c r="I36" s="42" t="s">
        <v>102</v>
      </c>
      <c r="J36" s="43" t="n">
        <f aca="false">(J34*J35)/1000000</f>
        <v>13</v>
      </c>
      <c r="K36" s="45"/>
      <c r="Q36" s="16"/>
      <c r="R36" s="16"/>
    </row>
    <row r="37" s="14" customFormat="true" ht="17.25" hidden="false" customHeight="true" outlineLevel="0" collapsed="false">
      <c r="D37" s="33"/>
      <c r="E37" s="46"/>
      <c r="F37" s="46"/>
      <c r="G37" s="47"/>
      <c r="H37" s="46"/>
      <c r="I37" s="48"/>
      <c r="J37" s="49"/>
      <c r="K37" s="50"/>
      <c r="Q37" s="16"/>
      <c r="R37" s="16"/>
    </row>
    <row r="38" s="14" customFormat="true" ht="17.25" hidden="false" customHeight="true" outlineLevel="0" collapsed="false">
      <c r="D38" s="32" t="s">
        <v>111</v>
      </c>
      <c r="E38" s="46"/>
      <c r="F38" s="46"/>
      <c r="G38" s="47"/>
      <c r="H38" s="46"/>
      <c r="I38" s="48"/>
      <c r="J38" s="49"/>
      <c r="K38" s="50"/>
      <c r="L38" s="51"/>
      <c r="Q38" s="16"/>
      <c r="R38" s="16"/>
    </row>
    <row r="39" s="14" customFormat="true" ht="17.25" hidden="false" customHeight="true" outlineLevel="0" collapsed="false">
      <c r="D39" s="32"/>
      <c r="E39" s="33" t="s">
        <v>82</v>
      </c>
      <c r="F39" s="46"/>
      <c r="G39" s="36" t="s">
        <v>112</v>
      </c>
      <c r="H39" s="46"/>
      <c r="I39" s="37" t="s">
        <v>85</v>
      </c>
      <c r="J39" s="52" t="n">
        <f aca="false">J25-J32</f>
        <v>2000</v>
      </c>
      <c r="Q39" s="16"/>
      <c r="R39" s="16"/>
    </row>
    <row r="40" s="14" customFormat="true" ht="17.25" hidden="false" customHeight="true" outlineLevel="0" collapsed="false">
      <c r="D40" s="32"/>
      <c r="E40" s="33" t="s">
        <v>87</v>
      </c>
      <c r="F40" s="46"/>
      <c r="G40" s="36" t="s">
        <v>113</v>
      </c>
      <c r="H40" s="46"/>
      <c r="I40" s="37" t="s">
        <v>90</v>
      </c>
      <c r="J40" s="52" t="n">
        <f aca="false">J26-J33</f>
        <v>30</v>
      </c>
      <c r="Q40" s="16"/>
      <c r="R40" s="16"/>
    </row>
    <row r="41" s="14" customFormat="true" ht="17.25" hidden="false" customHeight="true" outlineLevel="0" collapsed="false">
      <c r="D41" s="32"/>
      <c r="E41" s="33" t="s">
        <v>92</v>
      </c>
      <c r="F41" s="46"/>
      <c r="G41" s="36" t="s">
        <v>114</v>
      </c>
      <c r="H41" s="46"/>
      <c r="I41" s="37" t="s">
        <v>95</v>
      </c>
      <c r="J41" s="52" t="n">
        <f aca="false">J27-J34</f>
        <v>240</v>
      </c>
      <c r="Q41" s="16"/>
      <c r="R41" s="16"/>
    </row>
    <row r="42" s="14" customFormat="true" ht="17.25" hidden="false" customHeight="true" outlineLevel="0" collapsed="false">
      <c r="D42" s="32"/>
      <c r="E42" s="33" t="s">
        <v>115</v>
      </c>
      <c r="F42" s="46"/>
      <c r="G42" s="36" t="s">
        <v>116</v>
      </c>
      <c r="H42" s="46"/>
      <c r="I42" s="48" t="s">
        <v>117</v>
      </c>
      <c r="J42" s="52" t="n">
        <f aca="false">J29-J36</f>
        <v>12</v>
      </c>
      <c r="Q42" s="16"/>
      <c r="R42" s="16"/>
    </row>
    <row r="43" s="14" customFormat="true" ht="17.25" hidden="true" customHeight="true" outlineLevel="1" collapsed="false">
      <c r="D43" s="32" t="s">
        <v>77</v>
      </c>
      <c r="E43" s="33"/>
      <c r="F43" s="33"/>
      <c r="G43" s="33"/>
      <c r="H43" s="32" t="s">
        <v>78</v>
      </c>
      <c r="I43" s="42" t="s">
        <v>102</v>
      </c>
      <c r="J43" s="34" t="s">
        <v>80</v>
      </c>
      <c r="Q43" s="16"/>
      <c r="R43" s="16"/>
    </row>
    <row r="44" s="14" customFormat="true" ht="17.25" hidden="true" customHeight="true" outlineLevel="1" collapsed="false">
      <c r="D44" s="33"/>
      <c r="E44" s="33" t="s">
        <v>118</v>
      </c>
      <c r="F44" s="33"/>
      <c r="G44" s="36"/>
      <c r="H44" s="33" t="s">
        <v>84</v>
      </c>
      <c r="I44" s="37" t="s">
        <v>118</v>
      </c>
      <c r="J44" s="38" t="n">
        <v>12000000</v>
      </c>
      <c r="Q44" s="16"/>
      <c r="R44" s="16"/>
    </row>
    <row r="45" s="14" customFormat="true" ht="17.25" hidden="true" customHeight="true" outlineLevel="1" collapsed="false">
      <c r="D45" s="33"/>
      <c r="E45" s="33" t="s">
        <v>119</v>
      </c>
      <c r="F45" s="33"/>
      <c r="G45" s="36" t="s">
        <v>83</v>
      </c>
      <c r="H45" s="33" t="s">
        <v>84</v>
      </c>
      <c r="I45" s="37" t="s">
        <v>120</v>
      </c>
      <c r="J45" s="39" t="n">
        <v>0.14</v>
      </c>
      <c r="Q45" s="16"/>
      <c r="R45" s="16"/>
    </row>
    <row r="46" s="14" customFormat="true" ht="17.25" hidden="true" customHeight="true" outlineLevel="1" collapsed="false">
      <c r="D46" s="33"/>
      <c r="E46" s="40" t="s">
        <v>121</v>
      </c>
      <c r="F46" s="40"/>
      <c r="G46" s="41" t="s">
        <v>88</v>
      </c>
      <c r="H46" s="40" t="s">
        <v>84</v>
      </c>
      <c r="I46" s="42" t="s">
        <v>122</v>
      </c>
      <c r="J46" s="53" t="n">
        <f aca="false">(J44*J45)/1000</f>
        <v>1680</v>
      </c>
      <c r="Q46" s="16"/>
      <c r="R46" s="16"/>
    </row>
    <row r="47" s="14" customFormat="true" ht="17.25" hidden="true" customHeight="true" outlineLevel="1" collapsed="false">
      <c r="D47" s="33"/>
      <c r="E47" s="33"/>
      <c r="F47" s="33"/>
      <c r="G47" s="36"/>
      <c r="H47" s="33"/>
      <c r="I47" s="37"/>
      <c r="J47" s="33"/>
      <c r="Q47" s="16"/>
      <c r="R47" s="16"/>
    </row>
    <row r="48" s="14" customFormat="true" ht="17.25" hidden="true" customHeight="true" outlineLevel="1" collapsed="false">
      <c r="D48" s="32" t="s">
        <v>104</v>
      </c>
      <c r="E48" s="33"/>
      <c r="F48" s="33"/>
      <c r="G48" s="36"/>
      <c r="H48" s="32"/>
      <c r="I48" s="32"/>
      <c r="J48" s="34"/>
      <c r="Q48" s="16"/>
      <c r="R48" s="16"/>
    </row>
    <row r="49" s="14" customFormat="true" ht="17.25" hidden="true" customHeight="true" outlineLevel="1" collapsed="false">
      <c r="D49" s="33"/>
      <c r="E49" s="33" t="s">
        <v>118</v>
      </c>
      <c r="F49" s="33"/>
      <c r="G49" s="36"/>
      <c r="H49" s="33" t="s">
        <v>84</v>
      </c>
      <c r="I49" s="37" t="s">
        <v>118</v>
      </c>
      <c r="J49" s="54" t="n">
        <f aca="false">$J$25</f>
        <v>6000</v>
      </c>
      <c r="Q49" s="16"/>
      <c r="R49" s="16"/>
    </row>
    <row r="50" s="14" customFormat="true" ht="17.25" hidden="true" customHeight="true" outlineLevel="1" collapsed="false">
      <c r="D50" s="33"/>
      <c r="E50" s="33" t="s">
        <v>119</v>
      </c>
      <c r="F50" s="33"/>
      <c r="G50" s="36" t="s">
        <v>93</v>
      </c>
      <c r="H50" s="33" t="s">
        <v>110</v>
      </c>
      <c r="I50" s="37" t="s">
        <v>120</v>
      </c>
      <c r="J50" s="44" t="n">
        <v>0.1</v>
      </c>
      <c r="Q50" s="16"/>
      <c r="R50" s="16"/>
    </row>
    <row r="51" s="14" customFormat="true" ht="17.25" hidden="true" customHeight="true" outlineLevel="1" collapsed="false">
      <c r="D51" s="33"/>
      <c r="E51" s="40" t="s">
        <v>121</v>
      </c>
      <c r="F51" s="40"/>
      <c r="G51" s="41" t="s">
        <v>101</v>
      </c>
      <c r="H51" s="40" t="s">
        <v>110</v>
      </c>
      <c r="I51" s="42" t="s">
        <v>122</v>
      </c>
      <c r="J51" s="53" t="n">
        <f aca="false">(J49*J50)/1000</f>
        <v>0.6</v>
      </c>
      <c r="Q51" s="16"/>
      <c r="R51" s="16"/>
    </row>
    <row r="52" s="14" customFormat="true" ht="17.25" hidden="true" customHeight="true" outlineLevel="1" collapsed="false">
      <c r="D52" s="33"/>
      <c r="E52" s="46"/>
      <c r="F52" s="46"/>
      <c r="G52" s="47"/>
      <c r="H52" s="46"/>
      <c r="I52" s="48"/>
      <c r="J52" s="49"/>
      <c r="Q52" s="16"/>
      <c r="R52" s="16"/>
    </row>
    <row r="53" s="14" customFormat="true" ht="17.25" hidden="true" customHeight="true" outlineLevel="1" collapsed="false">
      <c r="D53" s="32" t="s">
        <v>111</v>
      </c>
      <c r="E53" s="46"/>
      <c r="F53" s="46"/>
      <c r="G53" s="47"/>
      <c r="H53" s="46"/>
      <c r="I53" s="48"/>
      <c r="J53" s="49"/>
      <c r="Q53" s="16"/>
      <c r="R53" s="16"/>
    </row>
    <row r="54" s="14" customFormat="true" ht="17.25" hidden="true" customHeight="true" outlineLevel="1" collapsed="false">
      <c r="D54" s="32"/>
      <c r="E54" s="33" t="str">
        <f aca="false">E50</f>
        <v>xxxx unit cost</v>
      </c>
      <c r="F54" s="46"/>
      <c r="G54" s="36" t="s">
        <v>123</v>
      </c>
      <c r="H54" s="46"/>
      <c r="I54" s="37" t="s">
        <v>124</v>
      </c>
      <c r="J54" s="52" t="n">
        <f aca="false">J45-J50</f>
        <v>0.04</v>
      </c>
      <c r="Q54" s="16"/>
      <c r="R54" s="16"/>
    </row>
    <row r="55" s="14" customFormat="true" ht="17.25" hidden="true" customHeight="true" outlineLevel="1" collapsed="false">
      <c r="D55" s="32"/>
      <c r="E55" s="33" t="str">
        <f aca="false">E51</f>
        <v>xxxx total spend</v>
      </c>
      <c r="F55" s="46"/>
      <c r="G55" s="36" t="s">
        <v>125</v>
      </c>
      <c r="H55" s="46"/>
      <c r="I55" s="37" t="s">
        <v>122</v>
      </c>
      <c r="J55" s="55" t="n">
        <f aca="false">J46-J51</f>
        <v>1679.4</v>
      </c>
      <c r="Q55" s="16"/>
      <c r="R55" s="16"/>
    </row>
    <row r="56" s="14" customFormat="true" ht="17.25" hidden="true" customHeight="true" outlineLevel="1" collapsed="false">
      <c r="E56" s="21"/>
      <c r="F56" s="21"/>
      <c r="G56" s="21"/>
      <c r="H56" s="21"/>
      <c r="I56" s="56"/>
      <c r="J56" s="57"/>
      <c r="Q56" s="16"/>
      <c r="R56" s="16"/>
    </row>
    <row r="57" s="14" customFormat="true" ht="17.25" hidden="false" customHeight="true" outlineLevel="0" collapsed="false">
      <c r="E57" s="21"/>
      <c r="F57" s="21"/>
      <c r="G57" s="21"/>
      <c r="H57" s="21"/>
      <c r="I57" s="56"/>
      <c r="J57" s="57"/>
      <c r="Q57" s="16"/>
      <c r="R57" s="16"/>
    </row>
    <row r="58" s="14" customFormat="true" ht="17.25" hidden="true" customHeight="true" outlineLevel="1" collapsed="false">
      <c r="D58" s="32" t="s">
        <v>77</v>
      </c>
      <c r="E58" s="33"/>
      <c r="F58" s="33"/>
      <c r="G58" s="33"/>
      <c r="H58" s="32" t="s">
        <v>78</v>
      </c>
      <c r="I58" s="32" t="s">
        <v>79</v>
      </c>
      <c r="J58" s="34" t="s">
        <v>80</v>
      </c>
      <c r="Q58" s="16"/>
      <c r="R58" s="16"/>
    </row>
    <row r="59" s="14" customFormat="true" ht="17.25" hidden="true" customHeight="true" outlineLevel="1" collapsed="false">
      <c r="D59" s="33"/>
      <c r="E59" s="33" t="s">
        <v>118</v>
      </c>
      <c r="F59" s="33"/>
      <c r="G59" s="36"/>
      <c r="H59" s="33" t="s">
        <v>84</v>
      </c>
      <c r="I59" s="37" t="s">
        <v>118</v>
      </c>
      <c r="J59" s="38" t="n">
        <v>12000000</v>
      </c>
      <c r="Q59" s="16"/>
      <c r="R59" s="16"/>
    </row>
    <row r="60" s="14" customFormat="true" ht="17.25" hidden="true" customHeight="true" outlineLevel="1" collapsed="false">
      <c r="D60" s="33"/>
      <c r="E60" s="33" t="s">
        <v>119</v>
      </c>
      <c r="F60" s="33"/>
      <c r="G60" s="36" t="s">
        <v>83</v>
      </c>
      <c r="H60" s="33" t="s">
        <v>84</v>
      </c>
      <c r="I60" s="37" t="s">
        <v>120</v>
      </c>
      <c r="J60" s="39" t="n">
        <v>0.14</v>
      </c>
      <c r="Q60" s="16"/>
      <c r="R60" s="16"/>
    </row>
    <row r="61" s="14" customFormat="true" ht="17.25" hidden="true" customHeight="true" outlineLevel="1" collapsed="false">
      <c r="D61" s="33"/>
      <c r="E61" s="40" t="s">
        <v>121</v>
      </c>
      <c r="F61" s="40"/>
      <c r="G61" s="41" t="s">
        <v>88</v>
      </c>
      <c r="H61" s="40" t="s">
        <v>84</v>
      </c>
      <c r="I61" s="42" t="s">
        <v>122</v>
      </c>
      <c r="J61" s="53" t="n">
        <f aca="false">(J59*J60)/1000</f>
        <v>1680</v>
      </c>
      <c r="Q61" s="16"/>
      <c r="R61" s="16"/>
    </row>
    <row r="62" s="14" customFormat="true" ht="17.25" hidden="true" customHeight="true" outlineLevel="1" collapsed="false">
      <c r="D62" s="33"/>
      <c r="E62" s="33"/>
      <c r="F62" s="33"/>
      <c r="G62" s="36"/>
      <c r="H62" s="33"/>
      <c r="I62" s="37"/>
      <c r="J62" s="33"/>
      <c r="Q62" s="16"/>
      <c r="R62" s="16"/>
    </row>
    <row r="63" s="14" customFormat="true" ht="17.25" hidden="true" customHeight="true" outlineLevel="1" collapsed="false">
      <c r="D63" s="32" t="s">
        <v>104</v>
      </c>
      <c r="E63" s="33"/>
      <c r="F63" s="33"/>
      <c r="G63" s="36"/>
      <c r="H63" s="32"/>
      <c r="I63" s="32"/>
      <c r="J63" s="34"/>
      <c r="Q63" s="16"/>
      <c r="R63" s="16"/>
    </row>
    <row r="64" s="14" customFormat="true" ht="17.25" hidden="true" customHeight="true" outlineLevel="1" collapsed="false">
      <c r="D64" s="33"/>
      <c r="E64" s="33" t="s">
        <v>118</v>
      </c>
      <c r="F64" s="33"/>
      <c r="G64" s="36"/>
      <c r="H64" s="33" t="s">
        <v>84</v>
      </c>
      <c r="I64" s="37" t="s">
        <v>118</v>
      </c>
      <c r="J64" s="54" t="n">
        <f aca="false">$J$25</f>
        <v>6000</v>
      </c>
      <c r="Q64" s="16"/>
      <c r="R64" s="16"/>
    </row>
    <row r="65" s="14" customFormat="true" ht="17.25" hidden="true" customHeight="true" outlineLevel="1" collapsed="false">
      <c r="D65" s="33"/>
      <c r="E65" s="33" t="s">
        <v>119</v>
      </c>
      <c r="F65" s="33"/>
      <c r="G65" s="36" t="s">
        <v>93</v>
      </c>
      <c r="H65" s="33" t="s">
        <v>110</v>
      </c>
      <c r="I65" s="37" t="s">
        <v>120</v>
      </c>
      <c r="J65" s="44" t="n">
        <v>0.1</v>
      </c>
      <c r="Q65" s="16"/>
      <c r="R65" s="16"/>
    </row>
    <row r="66" s="14" customFormat="true" ht="17.25" hidden="true" customHeight="true" outlineLevel="1" collapsed="false">
      <c r="D66" s="33"/>
      <c r="E66" s="40" t="s">
        <v>121</v>
      </c>
      <c r="F66" s="40"/>
      <c r="G66" s="41" t="s">
        <v>101</v>
      </c>
      <c r="H66" s="40" t="s">
        <v>110</v>
      </c>
      <c r="I66" s="42" t="s">
        <v>122</v>
      </c>
      <c r="J66" s="53" t="n">
        <f aca="false">(J64*J65)/1000</f>
        <v>0.6</v>
      </c>
      <c r="Q66" s="16"/>
      <c r="R66" s="16"/>
    </row>
    <row r="67" s="14" customFormat="true" ht="17.25" hidden="true" customHeight="true" outlineLevel="1" collapsed="false">
      <c r="D67" s="33"/>
      <c r="E67" s="46"/>
      <c r="F67" s="46"/>
      <c r="G67" s="47"/>
      <c r="H67" s="46"/>
      <c r="I67" s="48"/>
      <c r="J67" s="49"/>
      <c r="Q67" s="16"/>
      <c r="R67" s="16"/>
    </row>
    <row r="68" s="14" customFormat="true" ht="17.25" hidden="true" customHeight="true" outlineLevel="1" collapsed="false">
      <c r="D68" s="32" t="s">
        <v>111</v>
      </c>
      <c r="E68" s="46"/>
      <c r="F68" s="46"/>
      <c r="G68" s="47"/>
      <c r="H68" s="46"/>
      <c r="I68" s="48"/>
      <c r="J68" s="49"/>
      <c r="Q68" s="16"/>
      <c r="R68" s="16"/>
    </row>
    <row r="69" s="14" customFormat="true" ht="17.25" hidden="true" customHeight="true" outlineLevel="1" collapsed="false">
      <c r="D69" s="32"/>
      <c r="E69" s="33" t="str">
        <f aca="false">E65</f>
        <v>xxxx unit cost</v>
      </c>
      <c r="F69" s="46"/>
      <c r="G69" s="36" t="s">
        <v>123</v>
      </c>
      <c r="H69" s="46"/>
      <c r="I69" s="37" t="s">
        <v>124</v>
      </c>
      <c r="J69" s="52" t="n">
        <f aca="false">J60-J65</f>
        <v>0.04</v>
      </c>
      <c r="Q69" s="16"/>
      <c r="R69" s="16"/>
    </row>
    <row r="70" s="14" customFormat="true" ht="17.25" hidden="true" customHeight="true" outlineLevel="1" collapsed="false">
      <c r="D70" s="32"/>
      <c r="E70" s="33" t="str">
        <f aca="false">E66</f>
        <v>xxxx total spend</v>
      </c>
      <c r="F70" s="46"/>
      <c r="G70" s="36" t="s">
        <v>125</v>
      </c>
      <c r="H70" s="46"/>
      <c r="I70" s="37" t="s">
        <v>122</v>
      </c>
      <c r="J70" s="55" t="n">
        <f aca="false">J61-J66</f>
        <v>1679.4</v>
      </c>
      <c r="Q70" s="16"/>
      <c r="R70" s="16"/>
    </row>
    <row r="71" s="14" customFormat="true" ht="17.25" hidden="true" customHeight="true" outlineLevel="1" collapsed="false">
      <c r="E71" s="21"/>
      <c r="F71" s="21"/>
      <c r="G71" s="21"/>
      <c r="H71" s="21"/>
      <c r="I71" s="56"/>
      <c r="J71" s="57"/>
      <c r="Q71" s="16"/>
      <c r="R71" s="16"/>
    </row>
    <row r="72" s="14" customFormat="true" ht="16.5" hidden="true" customHeight="true" outlineLevel="1" collapsed="false">
      <c r="H72" s="58"/>
      <c r="Q72" s="16"/>
      <c r="R72" s="16"/>
    </row>
    <row r="73" s="14" customFormat="true" ht="16.5" hidden="false" customHeight="true" outlineLevel="0" collapsed="false">
      <c r="C73" s="19" t="s">
        <v>126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20"/>
      <c r="R73" s="20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C73" s="19" t="s">
        <v>127</v>
      </c>
      <c r="CD73" s="19"/>
      <c r="CE73" s="19"/>
      <c r="CF73" s="19"/>
      <c r="CG73" s="19"/>
      <c r="CI73" s="19" t="s">
        <v>128</v>
      </c>
      <c r="CJ73" s="19"/>
      <c r="CK73" s="19"/>
      <c r="CL73" s="19"/>
      <c r="CM73" s="19"/>
    </row>
    <row r="74" s="14" customFormat="true" ht="16.5" hidden="false" customHeight="true" outlineLevel="0" collapsed="false">
      <c r="Q74" s="16"/>
    </row>
    <row r="75" s="14" customFormat="true" ht="16.5" hidden="false" customHeight="true" outlineLevel="0" collapsed="false">
      <c r="D75" s="30" t="s">
        <v>129</v>
      </c>
      <c r="E75" s="31"/>
      <c r="F75" s="31"/>
      <c r="G75" s="31"/>
      <c r="H75" s="30" t="s">
        <v>130</v>
      </c>
      <c r="I75" s="31" t="s">
        <v>77</v>
      </c>
      <c r="J75" s="31" t="s">
        <v>104</v>
      </c>
      <c r="K75" s="31" t="s">
        <v>131</v>
      </c>
      <c r="L75" s="31" t="n">
        <v>2026</v>
      </c>
      <c r="M75" s="31" t="n">
        <f aca="false">L75+1</f>
        <v>2027</v>
      </c>
      <c r="N75" s="31" t="n">
        <f aca="false">M75+1</f>
        <v>2028</v>
      </c>
      <c r="O75" s="31" t="n">
        <f aca="false">N75+1</f>
        <v>2029</v>
      </c>
      <c r="P75" s="31" t="n">
        <f aca="false">O75+1</f>
        <v>2030</v>
      </c>
      <c r="Q75" s="31" t="s">
        <v>132</v>
      </c>
      <c r="R75" s="31" t="s">
        <v>75</v>
      </c>
      <c r="T75" s="59" t="n">
        <v>46023</v>
      </c>
      <c r="U75" s="60" t="n">
        <f aca="false">EOMONTH(T75, 1)</f>
        <v>46081</v>
      </c>
      <c r="V75" s="60" t="n">
        <f aca="false">EOMONTH(U75, 1)</f>
        <v>46112</v>
      </c>
      <c r="W75" s="60" t="n">
        <f aca="false">EOMONTH(V75, 1)</f>
        <v>46142</v>
      </c>
      <c r="X75" s="60" t="n">
        <f aca="false">EOMONTH(W75, 1)</f>
        <v>46173</v>
      </c>
      <c r="Y75" s="60" t="n">
        <f aca="false">EOMONTH(X75, 1)</f>
        <v>46203</v>
      </c>
      <c r="Z75" s="60" t="n">
        <f aca="false">EOMONTH(Y75, 1)</f>
        <v>46234</v>
      </c>
      <c r="AA75" s="60" t="n">
        <f aca="false">EOMONTH(Z75, 1)</f>
        <v>46265</v>
      </c>
      <c r="AB75" s="60" t="n">
        <f aca="false">EOMONTH(AA75, 1)</f>
        <v>46295</v>
      </c>
      <c r="AC75" s="60" t="n">
        <f aca="false">EOMONTH(AB75, 1)</f>
        <v>46326</v>
      </c>
      <c r="AD75" s="60" t="n">
        <f aca="false">EOMONTH(AC75, 1)</f>
        <v>46356</v>
      </c>
      <c r="AE75" s="61" t="n">
        <f aca="false">EOMONTH(AD75, 1)</f>
        <v>46387</v>
      </c>
      <c r="AF75" s="59" t="n">
        <f aca="false">EOMONTH(AE75, 1)</f>
        <v>46418</v>
      </c>
      <c r="AG75" s="60" t="n">
        <f aca="false">EOMONTH(AF75, 1)</f>
        <v>46446</v>
      </c>
      <c r="AH75" s="60" t="n">
        <f aca="false">EOMONTH(AG75, 1)</f>
        <v>46477</v>
      </c>
      <c r="AI75" s="60" t="n">
        <f aca="false">EOMONTH(AH75, 1)</f>
        <v>46507</v>
      </c>
      <c r="AJ75" s="60" t="n">
        <f aca="false">EOMONTH(AI75, 1)</f>
        <v>46538</v>
      </c>
      <c r="AK75" s="60" t="n">
        <f aca="false">EOMONTH(AJ75, 1)</f>
        <v>46568</v>
      </c>
      <c r="AL75" s="60" t="n">
        <f aca="false">EOMONTH(AK75, 1)</f>
        <v>46599</v>
      </c>
      <c r="AM75" s="60" t="n">
        <f aca="false">EOMONTH(AL75, 1)</f>
        <v>46630</v>
      </c>
      <c r="AN75" s="60" t="n">
        <f aca="false">EOMONTH(AM75, 1)</f>
        <v>46660</v>
      </c>
      <c r="AO75" s="60" t="n">
        <f aca="false">EOMONTH(AN75, 1)</f>
        <v>46691</v>
      </c>
      <c r="AP75" s="60" t="n">
        <f aca="false">EOMONTH(AO75, 1)</f>
        <v>46721</v>
      </c>
      <c r="AQ75" s="61" t="n">
        <f aca="false">EOMONTH(AP75, 1)</f>
        <v>46752</v>
      </c>
      <c r="AR75" s="59" t="n">
        <f aca="false">EOMONTH(AQ75, 1)</f>
        <v>46783</v>
      </c>
      <c r="AS75" s="60" t="n">
        <f aca="false">EOMONTH(AR75, 1)</f>
        <v>46812</v>
      </c>
      <c r="AT75" s="60" t="n">
        <f aca="false">EOMONTH(AS75, 1)</f>
        <v>46843</v>
      </c>
      <c r="AU75" s="60" t="n">
        <f aca="false">EOMONTH(AT75, 1)</f>
        <v>46873</v>
      </c>
      <c r="AV75" s="60" t="n">
        <f aca="false">EOMONTH(AU75, 1)</f>
        <v>46904</v>
      </c>
      <c r="AW75" s="60" t="n">
        <f aca="false">EOMONTH(AV75, 1)</f>
        <v>46934</v>
      </c>
      <c r="AX75" s="60" t="n">
        <f aca="false">EOMONTH(AW75, 1)</f>
        <v>46965</v>
      </c>
      <c r="AY75" s="60" t="n">
        <f aca="false">EOMONTH(AX75, 1)</f>
        <v>46996</v>
      </c>
      <c r="AZ75" s="60" t="n">
        <f aca="false">EOMONTH(AY75, 1)</f>
        <v>47026</v>
      </c>
      <c r="BA75" s="60" t="n">
        <f aca="false">EOMONTH(AZ75, 1)</f>
        <v>47057</v>
      </c>
      <c r="BB75" s="60" t="n">
        <f aca="false">EOMONTH(BA75, 1)</f>
        <v>47087</v>
      </c>
      <c r="BC75" s="61" t="n">
        <f aca="false">EOMONTH(BB75, 1)</f>
        <v>47118</v>
      </c>
      <c r="BD75" s="59" t="n">
        <f aca="false">EOMONTH(BC75, 1)</f>
        <v>47149</v>
      </c>
      <c r="BE75" s="60" t="n">
        <f aca="false">EOMONTH(BD75, 1)</f>
        <v>47177</v>
      </c>
      <c r="BF75" s="60" t="n">
        <f aca="false">EOMONTH(BE75, 1)</f>
        <v>47208</v>
      </c>
      <c r="BG75" s="60" t="n">
        <f aca="false">EOMONTH(BF75, 1)</f>
        <v>47238</v>
      </c>
      <c r="BH75" s="60" t="n">
        <f aca="false">EOMONTH(BG75, 1)</f>
        <v>47269</v>
      </c>
      <c r="BI75" s="60" t="n">
        <f aca="false">EOMONTH(BH75, 1)</f>
        <v>47299</v>
      </c>
      <c r="BJ75" s="60" t="n">
        <f aca="false">EOMONTH(BI75, 1)</f>
        <v>47330</v>
      </c>
      <c r="BK75" s="60" t="n">
        <f aca="false">EOMONTH(BJ75, 1)</f>
        <v>47361</v>
      </c>
      <c r="BL75" s="60" t="n">
        <f aca="false">EOMONTH(BK75, 1)</f>
        <v>47391</v>
      </c>
      <c r="BM75" s="60" t="n">
        <f aca="false">EOMONTH(BL75, 1)</f>
        <v>47422</v>
      </c>
      <c r="BN75" s="60" t="n">
        <f aca="false">EOMONTH(BM75, 1)</f>
        <v>47452</v>
      </c>
      <c r="BO75" s="61" t="n">
        <f aca="false">EOMONTH(BN75, 1)</f>
        <v>47483</v>
      </c>
      <c r="BP75" s="59" t="n">
        <f aca="false">EOMONTH(BO75, 1)</f>
        <v>47514</v>
      </c>
      <c r="BQ75" s="60" t="n">
        <f aca="false">EOMONTH(BP75, 1)</f>
        <v>47542</v>
      </c>
      <c r="BR75" s="60" t="n">
        <f aca="false">EOMONTH(BQ75, 1)</f>
        <v>47573</v>
      </c>
      <c r="BS75" s="60" t="n">
        <f aca="false">EOMONTH(BR75, 1)</f>
        <v>47603</v>
      </c>
      <c r="BT75" s="60" t="n">
        <f aca="false">EOMONTH(BS75, 1)</f>
        <v>47634</v>
      </c>
      <c r="BU75" s="60" t="n">
        <f aca="false">EOMONTH(BT75, 1)</f>
        <v>47664</v>
      </c>
      <c r="BV75" s="60" t="n">
        <f aca="false">EOMONTH(BU75, 1)</f>
        <v>47695</v>
      </c>
      <c r="BW75" s="60" t="n">
        <f aca="false">EOMONTH(BV75, 1)</f>
        <v>47726</v>
      </c>
      <c r="BX75" s="60" t="n">
        <f aca="false">EOMONTH(BW75, 1)</f>
        <v>47756</v>
      </c>
      <c r="BY75" s="60" t="n">
        <f aca="false">EOMONTH(BX75, 1)</f>
        <v>47787</v>
      </c>
      <c r="BZ75" s="60" t="n">
        <f aca="false">EOMONTH(BY75, 1)</f>
        <v>47817</v>
      </c>
      <c r="CA75" s="60" t="n">
        <f aca="false">EOMONTH(BZ75, 1)</f>
        <v>47848</v>
      </c>
      <c r="CC75" s="62" t="n">
        <v>2026</v>
      </c>
      <c r="CD75" s="62" t="n">
        <f aca="false">CC75+1</f>
        <v>2027</v>
      </c>
      <c r="CE75" s="62" t="n">
        <f aca="false">CD75+1</f>
        <v>2028</v>
      </c>
      <c r="CF75" s="62" t="n">
        <f aca="false">CE75+1</f>
        <v>2029</v>
      </c>
      <c r="CG75" s="62" t="n">
        <f aca="false">CF75+1</f>
        <v>2030</v>
      </c>
      <c r="CI75" s="62" t="n">
        <v>2026</v>
      </c>
      <c r="CJ75" s="62" t="n">
        <f aca="false">CI75+1</f>
        <v>2027</v>
      </c>
      <c r="CK75" s="62" t="n">
        <f aca="false">CJ75+1</f>
        <v>2028</v>
      </c>
      <c r="CL75" s="62" t="n">
        <f aca="false">CK75+1</f>
        <v>2029</v>
      </c>
      <c r="CM75" s="62" t="n">
        <f aca="false">CL75+1</f>
        <v>2030</v>
      </c>
    </row>
    <row r="76" s="14" customFormat="true" ht="16.5" hidden="true" customHeight="true" outlineLevel="1" collapsed="false">
      <c r="D76" s="63"/>
      <c r="E76" s="64" t="s">
        <v>102</v>
      </c>
      <c r="H76" s="16"/>
      <c r="I76" s="65" t="s">
        <v>133</v>
      </c>
      <c r="J76" s="65" t="s">
        <v>134</v>
      </c>
      <c r="K76" s="65" t="s">
        <v>135</v>
      </c>
      <c r="L76" s="66"/>
      <c r="M76" s="66"/>
      <c r="N76" s="66"/>
      <c r="O76" s="66"/>
      <c r="P76" s="66"/>
      <c r="Q76" s="16"/>
      <c r="R76" s="1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7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7"/>
      <c r="AS76" s="66"/>
      <c r="AT76" s="66"/>
      <c r="AU76" s="66"/>
      <c r="AV76" s="66"/>
      <c r="AW76" s="66"/>
      <c r="AX76" s="66"/>
      <c r="AY76" s="66"/>
      <c r="AZ76" s="66"/>
      <c r="BA76" s="66"/>
      <c r="BB76" s="66"/>
      <c r="BC76" s="66"/>
      <c r="BD76" s="67"/>
      <c r="BE76" s="66"/>
      <c r="BF76" s="66"/>
      <c r="BG76" s="66"/>
      <c r="BH76" s="66"/>
      <c r="BI76" s="66"/>
      <c r="BJ76" s="66"/>
      <c r="BK76" s="66"/>
      <c r="BL76" s="66"/>
      <c r="BM76" s="66"/>
      <c r="BN76" s="66"/>
      <c r="BO76" s="66"/>
      <c r="BP76" s="67"/>
      <c r="BQ76" s="66"/>
      <c r="BR76" s="66"/>
      <c r="BS76" s="66"/>
      <c r="BT76" s="66"/>
      <c r="BU76" s="66"/>
      <c r="BV76" s="66"/>
      <c r="BW76" s="66"/>
      <c r="BX76" s="66"/>
      <c r="BY76" s="66"/>
      <c r="BZ76" s="66"/>
      <c r="CA76" s="66"/>
    </row>
    <row r="77" s="14" customFormat="true" ht="16.5" hidden="true" customHeight="true" outlineLevel="1" collapsed="false">
      <c r="E77" s="68" t="s">
        <v>136</v>
      </c>
      <c r="F77" s="21"/>
      <c r="G77" s="21"/>
      <c r="H77" s="16"/>
      <c r="I77" s="65"/>
      <c r="J77" s="65"/>
      <c r="K77" s="65"/>
      <c r="Q77" s="16"/>
      <c r="R77" s="16"/>
      <c r="AF77" s="69"/>
      <c r="AR77" s="69"/>
      <c r="BD77" s="69"/>
      <c r="BP77" s="69"/>
    </row>
    <row r="78" s="14" customFormat="true" ht="16.5" hidden="true" customHeight="true" outlineLevel="2" collapsed="false">
      <c r="E78" s="70"/>
      <c r="H78" s="71"/>
      <c r="I78" s="72" t="n">
        <v>0</v>
      </c>
      <c r="J78" s="72" t="n">
        <v>0</v>
      </c>
      <c r="K78" s="73" t="n">
        <f aca="false">J78-I78</f>
        <v>0</v>
      </c>
      <c r="L78" s="72"/>
      <c r="M78" s="72"/>
      <c r="N78" s="72"/>
      <c r="O78" s="72"/>
      <c r="P78" s="74"/>
      <c r="Q78" s="75"/>
      <c r="R78" s="16" t="str">
        <f aca="false">IF(K78=P78, "", "Error")</f>
        <v/>
      </c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7"/>
      <c r="AF78" s="78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7"/>
      <c r="AR78" s="78"/>
      <c r="AS78" s="76"/>
      <c r="AT78" s="76"/>
      <c r="AU78" s="76"/>
      <c r="AV78" s="76"/>
      <c r="AW78" s="76"/>
      <c r="AX78" s="76"/>
      <c r="AY78" s="76"/>
      <c r="AZ78" s="76"/>
      <c r="BA78" s="76"/>
      <c r="BB78" s="76"/>
      <c r="BC78" s="77"/>
      <c r="BD78" s="78"/>
      <c r="BE78" s="76"/>
      <c r="BF78" s="76"/>
      <c r="BG78" s="76"/>
      <c r="BH78" s="76"/>
      <c r="BI78" s="76"/>
      <c r="BJ78" s="76"/>
      <c r="BK78" s="76"/>
      <c r="BL78" s="76"/>
      <c r="BM78" s="76"/>
      <c r="BN78" s="76"/>
      <c r="BO78" s="77"/>
      <c r="BP78" s="78"/>
      <c r="BQ78" s="76"/>
      <c r="BR78" s="76"/>
      <c r="BS78" s="76"/>
      <c r="BT78" s="76"/>
      <c r="BU78" s="76"/>
      <c r="BV78" s="76"/>
      <c r="BW78" s="76"/>
      <c r="BX78" s="76"/>
      <c r="BY78" s="76"/>
      <c r="BZ78" s="76"/>
      <c r="CA78" s="76"/>
      <c r="CC78" s="79" t="n">
        <f aca="false">SUMIFS($T78:$CA78, $T$1:$CA$1, CC$75)</f>
        <v>0</v>
      </c>
      <c r="CD78" s="79" t="n">
        <f aca="false">SUMIFS($T78:$CA78, $T$1:$CA$1, CD$75)</f>
        <v>0</v>
      </c>
      <c r="CE78" s="79" t="n">
        <f aca="false">SUMIFS($T78:$CA78, $T$1:$CA$1, CE$75)</f>
        <v>0</v>
      </c>
      <c r="CF78" s="79" t="n">
        <f aca="false">SUMIFS($T78:$CA78, $T$1:$CA$1, CF$75)</f>
        <v>0</v>
      </c>
      <c r="CG78" s="79" t="n">
        <f aca="false">SUMIFS($T78:$CA78, $T$1:$CA$1, CG$75)</f>
        <v>0</v>
      </c>
      <c r="CI78" s="79" t="n">
        <f aca="false">CC78=L78</f>
        <v>1</v>
      </c>
      <c r="CJ78" s="79" t="n">
        <f aca="false">CD78=M78</f>
        <v>1</v>
      </c>
      <c r="CK78" s="79" t="n">
        <f aca="false">CE78=N78</f>
        <v>1</v>
      </c>
      <c r="CL78" s="79" t="n">
        <f aca="false">CF78=O78</f>
        <v>1</v>
      </c>
      <c r="CM78" s="79" t="n">
        <f aca="false">CG78=P78</f>
        <v>1</v>
      </c>
    </row>
    <row r="79" s="14" customFormat="true" ht="16.5" hidden="true" customHeight="true" outlineLevel="2" collapsed="false">
      <c r="E79" s="70"/>
      <c r="H79" s="71"/>
      <c r="I79" s="72" t="n">
        <v>0</v>
      </c>
      <c r="J79" s="72" t="n">
        <v>0</v>
      </c>
      <c r="K79" s="73" t="n">
        <f aca="false">J79-I79</f>
        <v>0</v>
      </c>
      <c r="L79" s="72"/>
      <c r="M79" s="72"/>
      <c r="N79" s="72"/>
      <c r="O79" s="72"/>
      <c r="P79" s="74"/>
      <c r="Q79" s="75"/>
      <c r="R79" s="16" t="str">
        <f aca="false">IF(K79=P79, "", "Error")</f>
        <v/>
      </c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7"/>
      <c r="AF79" s="78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7"/>
      <c r="AR79" s="78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7"/>
      <c r="BD79" s="78"/>
      <c r="BE79" s="76"/>
      <c r="BF79" s="76"/>
      <c r="BG79" s="76"/>
      <c r="BH79" s="76"/>
      <c r="BI79" s="76"/>
      <c r="BJ79" s="76"/>
      <c r="BK79" s="76"/>
      <c r="BL79" s="76"/>
      <c r="BM79" s="76"/>
      <c r="BN79" s="76"/>
      <c r="BO79" s="77"/>
      <c r="BP79" s="78"/>
      <c r="BQ79" s="76"/>
      <c r="BR79" s="76"/>
      <c r="BS79" s="76"/>
      <c r="BT79" s="76"/>
      <c r="BU79" s="76"/>
      <c r="BV79" s="76"/>
      <c r="BW79" s="76"/>
      <c r="BX79" s="76"/>
      <c r="BY79" s="76"/>
      <c r="BZ79" s="76"/>
      <c r="CA79" s="76"/>
      <c r="CC79" s="79" t="n">
        <f aca="false">SUMIFS($T79:$CA79, $T$1:$CA$1, CC$75)</f>
        <v>0</v>
      </c>
      <c r="CD79" s="79" t="n">
        <f aca="false">SUMIFS($T79:$CA79, $T$1:$CA$1, CD$75)</f>
        <v>0</v>
      </c>
      <c r="CE79" s="79" t="n">
        <f aca="false">SUMIFS($T79:$CA79, $T$1:$CA$1, CE$75)</f>
        <v>0</v>
      </c>
      <c r="CF79" s="79" t="n">
        <f aca="false">SUMIFS($T79:$CA79, $T$1:$CA$1, CF$75)</f>
        <v>0</v>
      </c>
      <c r="CG79" s="79" t="n">
        <f aca="false">SUMIFS($T79:$CA79, $T$1:$CA$1, CG$75)</f>
        <v>0</v>
      </c>
      <c r="CI79" s="79" t="n">
        <f aca="false">CC79=L79</f>
        <v>1</v>
      </c>
      <c r="CJ79" s="79" t="n">
        <f aca="false">CD79=M79</f>
        <v>1</v>
      </c>
      <c r="CK79" s="79" t="n">
        <f aca="false">CE79=N79</f>
        <v>1</v>
      </c>
      <c r="CL79" s="79" t="n">
        <f aca="false">CF79=O79</f>
        <v>1</v>
      </c>
      <c r="CM79" s="79" t="n">
        <f aca="false">CG79=P79</f>
        <v>1</v>
      </c>
    </row>
    <row r="80" s="14" customFormat="true" ht="16.5" hidden="true" customHeight="true" outlineLevel="1" collapsed="true">
      <c r="E80" s="80" t="s">
        <v>137</v>
      </c>
      <c r="H80" s="71"/>
      <c r="I80" s="81" t="n">
        <f aca="false">SUM(I78:I79)</f>
        <v>0</v>
      </c>
      <c r="J80" s="81" t="n">
        <f aca="false">SUM(J78:J79)</f>
        <v>0</v>
      </c>
      <c r="K80" s="81" t="n">
        <f aca="false">SUM(K78:K79)</f>
        <v>0</v>
      </c>
      <c r="L80" s="81" t="n">
        <f aca="false">SUM(L78:L79)</f>
        <v>0</v>
      </c>
      <c r="M80" s="81" t="n">
        <f aca="false">SUM(M78:M79)</f>
        <v>0</v>
      </c>
      <c r="N80" s="81" t="n">
        <f aca="false">SUM(N78:N79)</f>
        <v>0</v>
      </c>
      <c r="O80" s="81" t="n">
        <f aca="false">SUM(O78:O79)</f>
        <v>0</v>
      </c>
      <c r="P80" s="81" t="n">
        <f aca="false">SUM(P78:P79)</f>
        <v>0</v>
      </c>
      <c r="Q80" s="16"/>
      <c r="R80" s="16"/>
      <c r="T80" s="82" t="n">
        <f aca="false">SUM(T78:T79)</f>
        <v>0</v>
      </c>
      <c r="U80" s="82" t="n">
        <f aca="false">SUM(U78:U79)</f>
        <v>0</v>
      </c>
      <c r="V80" s="82" t="n">
        <f aca="false">SUM(V78:V79)</f>
        <v>0</v>
      </c>
      <c r="W80" s="82" t="n">
        <f aca="false">SUM(W78:W79)</f>
        <v>0</v>
      </c>
      <c r="X80" s="82" t="n">
        <f aca="false">SUM(X78:X79)</f>
        <v>0</v>
      </c>
      <c r="Y80" s="82" t="n">
        <f aca="false">SUM(Y78:Y79)</f>
        <v>0</v>
      </c>
      <c r="Z80" s="82" t="n">
        <f aca="false">SUM(Z78:Z79)</f>
        <v>0</v>
      </c>
      <c r="AA80" s="82" t="n">
        <f aca="false">SUM(AA78:AA79)</f>
        <v>0</v>
      </c>
      <c r="AB80" s="82" t="n">
        <f aca="false">SUM(AB78:AB79)</f>
        <v>0</v>
      </c>
      <c r="AC80" s="82" t="n">
        <f aca="false">SUM(AC78:AC79)</f>
        <v>0</v>
      </c>
      <c r="AD80" s="82" t="n">
        <f aca="false">SUM(AD78:AD79)</f>
        <v>0</v>
      </c>
      <c r="AE80" s="82" t="n">
        <f aca="false">SUM(AE78:AE79)</f>
        <v>0</v>
      </c>
      <c r="AF80" s="83" t="n">
        <f aca="false">SUM(AF78:AF79)</f>
        <v>0</v>
      </c>
      <c r="AG80" s="82" t="n">
        <f aca="false">SUM(AG78:AG79)</f>
        <v>0</v>
      </c>
      <c r="AH80" s="82" t="n">
        <f aca="false">SUM(AH78:AH79)</f>
        <v>0</v>
      </c>
      <c r="AI80" s="82" t="n">
        <f aca="false">SUM(AI78:AI79)</f>
        <v>0</v>
      </c>
      <c r="AJ80" s="82" t="n">
        <f aca="false">SUM(AJ78:AJ79)</f>
        <v>0</v>
      </c>
      <c r="AK80" s="82" t="n">
        <f aca="false">SUM(AK78:AK79)</f>
        <v>0</v>
      </c>
      <c r="AL80" s="82" t="n">
        <f aca="false">SUM(AL78:AL79)</f>
        <v>0</v>
      </c>
      <c r="AM80" s="82" t="n">
        <f aca="false">SUM(AM78:AM79)</f>
        <v>0</v>
      </c>
      <c r="AN80" s="82" t="n">
        <f aca="false">SUM(AN78:AN79)</f>
        <v>0</v>
      </c>
      <c r="AO80" s="82" t="n">
        <f aca="false">SUM(AO78:AO79)</f>
        <v>0</v>
      </c>
      <c r="AP80" s="82" t="n">
        <f aca="false">SUM(AP78:AP79)</f>
        <v>0</v>
      </c>
      <c r="AQ80" s="82" t="n">
        <f aca="false">SUM(AQ78:AQ79)</f>
        <v>0</v>
      </c>
      <c r="AR80" s="83" t="n">
        <f aca="false">SUM(AR78:AR79)</f>
        <v>0</v>
      </c>
      <c r="AS80" s="82" t="n">
        <f aca="false">SUM(AS78:AS79)</f>
        <v>0</v>
      </c>
      <c r="AT80" s="82" t="n">
        <f aca="false">SUM(AT78:AT79)</f>
        <v>0</v>
      </c>
      <c r="AU80" s="82" t="n">
        <f aca="false">SUM(AU78:AU79)</f>
        <v>0</v>
      </c>
      <c r="AV80" s="82" t="n">
        <f aca="false">SUM(AV78:AV79)</f>
        <v>0</v>
      </c>
      <c r="AW80" s="82" t="n">
        <f aca="false">SUM(AW78:AW79)</f>
        <v>0</v>
      </c>
      <c r="AX80" s="82" t="n">
        <f aca="false">SUM(AX78:AX79)</f>
        <v>0</v>
      </c>
      <c r="AY80" s="82" t="n">
        <f aca="false">SUM(AY78:AY79)</f>
        <v>0</v>
      </c>
      <c r="AZ80" s="82" t="n">
        <f aca="false">SUM(AZ78:AZ79)</f>
        <v>0</v>
      </c>
      <c r="BA80" s="82" t="n">
        <f aca="false">SUM(BA78:BA79)</f>
        <v>0</v>
      </c>
      <c r="BB80" s="82" t="n">
        <f aca="false">SUM(BB78:BB79)</f>
        <v>0</v>
      </c>
      <c r="BC80" s="82" t="n">
        <f aca="false">SUM(BC78:BC79)</f>
        <v>0</v>
      </c>
      <c r="BD80" s="83" t="n">
        <f aca="false">SUM(BD78:BD79)</f>
        <v>0</v>
      </c>
      <c r="BE80" s="82" t="n">
        <f aca="false">SUM(BE78:BE79)</f>
        <v>0</v>
      </c>
      <c r="BF80" s="82" t="n">
        <f aca="false">SUM(BF78:BF79)</f>
        <v>0</v>
      </c>
      <c r="BG80" s="82" t="n">
        <f aca="false">SUM(BG78:BG79)</f>
        <v>0</v>
      </c>
      <c r="BH80" s="82" t="n">
        <f aca="false">SUM(BH78:BH79)</f>
        <v>0</v>
      </c>
      <c r="BI80" s="82" t="n">
        <f aca="false">SUM(BI78:BI79)</f>
        <v>0</v>
      </c>
      <c r="BJ80" s="82" t="n">
        <f aca="false">SUM(BJ78:BJ79)</f>
        <v>0</v>
      </c>
      <c r="BK80" s="82" t="n">
        <f aca="false">SUM(BK78:BK79)</f>
        <v>0</v>
      </c>
      <c r="BL80" s="82" t="n">
        <f aca="false">SUM(BL78:BL79)</f>
        <v>0</v>
      </c>
      <c r="BM80" s="82" t="n">
        <f aca="false">SUM(BM78:BM79)</f>
        <v>0</v>
      </c>
      <c r="BN80" s="82" t="n">
        <f aca="false">SUM(BN78:BN79)</f>
        <v>0</v>
      </c>
      <c r="BO80" s="82" t="n">
        <f aca="false">SUM(BO78:BO79)</f>
        <v>0</v>
      </c>
      <c r="BP80" s="83" t="n">
        <f aca="false">SUM(BP78:BP79)</f>
        <v>0</v>
      </c>
      <c r="BQ80" s="82" t="n">
        <f aca="false">SUM(BQ78:BQ79)</f>
        <v>0</v>
      </c>
      <c r="BR80" s="82" t="n">
        <f aca="false">SUM(BR78:BR79)</f>
        <v>0</v>
      </c>
      <c r="BS80" s="82" t="n">
        <f aca="false">SUM(BS78:BS79)</f>
        <v>0</v>
      </c>
      <c r="BT80" s="82" t="n">
        <f aca="false">SUM(BT78:BT79)</f>
        <v>0</v>
      </c>
      <c r="BU80" s="82" t="n">
        <f aca="false">SUM(BU78:BU79)</f>
        <v>0</v>
      </c>
      <c r="BV80" s="82" t="n">
        <f aca="false">SUM(BV78:BV79)</f>
        <v>0</v>
      </c>
      <c r="BW80" s="82" t="n">
        <f aca="false">SUM(BW78:BW79)</f>
        <v>0</v>
      </c>
      <c r="BX80" s="82" t="n">
        <f aca="false">SUM(BX78:BX79)</f>
        <v>0</v>
      </c>
      <c r="BY80" s="82" t="n">
        <f aca="false">SUM(BY78:BY79)</f>
        <v>0</v>
      </c>
      <c r="BZ80" s="82" t="n">
        <f aca="false">SUM(BZ78:BZ79)</f>
        <v>0</v>
      </c>
      <c r="CA80" s="82" t="n">
        <f aca="false">SUM(CA78:CA79)</f>
        <v>0</v>
      </c>
      <c r="CC80" s="84" t="n">
        <f aca="false">SUM(CC78:CC79)</f>
        <v>0</v>
      </c>
      <c r="CD80" s="84" t="n">
        <f aca="false">SUM(CD78:CD79)</f>
        <v>0</v>
      </c>
      <c r="CE80" s="84" t="n">
        <f aca="false">SUM(CE78:CE79)</f>
        <v>0</v>
      </c>
      <c r="CF80" s="84" t="n">
        <f aca="false">SUM(CF78:CF79)</f>
        <v>0</v>
      </c>
      <c r="CG80" s="84" t="n">
        <f aca="false">SUM(CG78:CG79)</f>
        <v>0</v>
      </c>
      <c r="CI80" s="84" t="n">
        <f aca="false">CC80=L80</f>
        <v>1</v>
      </c>
      <c r="CJ80" s="84" t="n">
        <f aca="false">CD80=M80</f>
        <v>1</v>
      </c>
      <c r="CK80" s="84" t="n">
        <f aca="false">CE80=N80</f>
        <v>1</v>
      </c>
      <c r="CL80" s="84" t="n">
        <f aca="false">CF80=O80</f>
        <v>1</v>
      </c>
      <c r="CM80" s="84" t="n">
        <f aca="false">CG80=P80</f>
        <v>1</v>
      </c>
    </row>
    <row r="81" s="14" customFormat="true" ht="16.5" hidden="true" customHeight="true" outlineLevel="1" collapsed="false">
      <c r="E81" s="85"/>
      <c r="H81" s="86"/>
      <c r="I81" s="87"/>
      <c r="J81" s="87"/>
      <c r="K81" s="87"/>
      <c r="L81" s="87"/>
      <c r="M81" s="87"/>
      <c r="N81" s="87"/>
      <c r="O81" s="87"/>
      <c r="P81" s="87"/>
      <c r="Q81" s="16"/>
      <c r="R81" s="16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9"/>
      <c r="AG81" s="88"/>
      <c r="AH81" s="88"/>
      <c r="AI81" s="88"/>
      <c r="AJ81" s="88"/>
      <c r="AK81" s="88"/>
      <c r="AL81" s="88"/>
      <c r="AM81" s="88"/>
      <c r="AN81" s="88"/>
      <c r="AO81" s="88"/>
      <c r="AP81" s="88"/>
      <c r="AQ81" s="88"/>
      <c r="AR81" s="89"/>
      <c r="AS81" s="88"/>
      <c r="AT81" s="88"/>
      <c r="AU81" s="88"/>
      <c r="AV81" s="88"/>
      <c r="AW81" s="88"/>
      <c r="AX81" s="88"/>
      <c r="AY81" s="88"/>
      <c r="AZ81" s="88"/>
      <c r="BA81" s="88"/>
      <c r="BB81" s="88"/>
      <c r="BC81" s="88"/>
      <c r="BD81" s="89"/>
      <c r="BE81" s="88"/>
      <c r="BF81" s="88"/>
      <c r="BG81" s="88"/>
      <c r="BH81" s="88"/>
      <c r="BI81" s="88"/>
      <c r="BJ81" s="88"/>
      <c r="BK81" s="88"/>
      <c r="BL81" s="88"/>
      <c r="BM81" s="88"/>
      <c r="BN81" s="88"/>
      <c r="BO81" s="88"/>
      <c r="BP81" s="89"/>
      <c r="BQ81" s="88"/>
      <c r="BR81" s="88"/>
      <c r="BS81" s="88"/>
      <c r="BT81" s="88"/>
      <c r="BU81" s="88"/>
      <c r="BV81" s="88"/>
      <c r="BW81" s="88"/>
      <c r="BX81" s="88"/>
      <c r="BY81" s="88"/>
      <c r="BZ81" s="88"/>
      <c r="CA81" s="88"/>
      <c r="CC81" s="90"/>
      <c r="CD81" s="90"/>
      <c r="CE81" s="90"/>
      <c r="CF81" s="90"/>
      <c r="CG81" s="90"/>
      <c r="CI81" s="90"/>
      <c r="CJ81" s="90"/>
      <c r="CK81" s="90"/>
      <c r="CL81" s="90"/>
      <c r="CM81" s="90"/>
    </row>
    <row r="82" s="14" customFormat="true" ht="16.5" hidden="true" customHeight="true" outlineLevel="1" collapsed="false">
      <c r="E82" s="21" t="s">
        <v>138</v>
      </c>
      <c r="H82" s="71"/>
      <c r="I82" s="87"/>
      <c r="J82" s="87"/>
      <c r="K82" s="87"/>
      <c r="L82" s="87"/>
      <c r="M82" s="87"/>
      <c r="N82" s="87"/>
      <c r="O82" s="87"/>
      <c r="P82" s="87"/>
      <c r="Q82" s="16"/>
      <c r="R82" s="16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9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89"/>
      <c r="AS82" s="88"/>
      <c r="AT82" s="88"/>
      <c r="AU82" s="88"/>
      <c r="AV82" s="88"/>
      <c r="AW82" s="88"/>
      <c r="AX82" s="88"/>
      <c r="AY82" s="88"/>
      <c r="AZ82" s="88"/>
      <c r="BA82" s="88"/>
      <c r="BB82" s="88"/>
      <c r="BC82" s="88"/>
      <c r="BD82" s="89"/>
      <c r="BE82" s="88"/>
      <c r="BF82" s="88"/>
      <c r="BG82" s="88"/>
      <c r="BH82" s="88"/>
      <c r="BI82" s="88"/>
      <c r="BJ82" s="88"/>
      <c r="BK82" s="88"/>
      <c r="BL82" s="88"/>
      <c r="BM82" s="88"/>
      <c r="BN82" s="88"/>
      <c r="BO82" s="88"/>
      <c r="BP82" s="89"/>
      <c r="BQ82" s="88"/>
      <c r="BR82" s="88"/>
      <c r="BS82" s="88"/>
      <c r="BT82" s="88"/>
      <c r="BU82" s="88"/>
      <c r="BV82" s="88"/>
      <c r="BW82" s="88"/>
      <c r="BX82" s="88"/>
      <c r="BY82" s="88"/>
      <c r="BZ82" s="88"/>
      <c r="CA82" s="88"/>
      <c r="CC82" s="90"/>
      <c r="CD82" s="90"/>
      <c r="CE82" s="90"/>
      <c r="CF82" s="90"/>
      <c r="CG82" s="90"/>
      <c r="CI82" s="90"/>
      <c r="CJ82" s="90"/>
      <c r="CK82" s="90"/>
      <c r="CL82" s="90"/>
      <c r="CM82" s="90"/>
    </row>
    <row r="83" s="14" customFormat="true" ht="16.5" hidden="true" customHeight="true" outlineLevel="2" collapsed="false">
      <c r="E83" s="91"/>
      <c r="H83" s="71"/>
      <c r="I83" s="92"/>
      <c r="J83" s="92"/>
      <c r="K83" s="73" t="n">
        <f aca="false">I83-J83</f>
        <v>0</v>
      </c>
      <c r="L83" s="92"/>
      <c r="M83" s="92"/>
      <c r="N83" s="92"/>
      <c r="O83" s="92"/>
      <c r="P83" s="92"/>
      <c r="Q83" s="93"/>
      <c r="R83" s="16" t="str">
        <f aca="false">IF(K83=P83, "", "Error")</f>
        <v/>
      </c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4"/>
      <c r="AF83" s="95"/>
      <c r="AG83" s="91"/>
      <c r="AH83" s="91"/>
      <c r="AI83" s="91"/>
      <c r="AJ83" s="91"/>
      <c r="AK83" s="91"/>
      <c r="AL83" s="91"/>
      <c r="AM83" s="91"/>
      <c r="AN83" s="91"/>
      <c r="AO83" s="91"/>
      <c r="AP83" s="91"/>
      <c r="AQ83" s="94"/>
      <c r="AR83" s="95"/>
      <c r="AS83" s="91"/>
      <c r="AT83" s="91"/>
      <c r="AU83" s="91"/>
      <c r="AV83" s="91"/>
      <c r="AW83" s="91"/>
      <c r="AX83" s="91"/>
      <c r="AY83" s="91"/>
      <c r="AZ83" s="91"/>
      <c r="BA83" s="91"/>
      <c r="BB83" s="91"/>
      <c r="BC83" s="94"/>
      <c r="BD83" s="95"/>
      <c r="BE83" s="91"/>
      <c r="BF83" s="91"/>
      <c r="BG83" s="91"/>
      <c r="BH83" s="91"/>
      <c r="BI83" s="91"/>
      <c r="BJ83" s="91"/>
      <c r="BK83" s="91"/>
      <c r="BL83" s="91"/>
      <c r="BM83" s="91"/>
      <c r="BN83" s="91"/>
      <c r="BO83" s="94"/>
      <c r="BP83" s="95"/>
      <c r="BQ83" s="91"/>
      <c r="BR83" s="91"/>
      <c r="BS83" s="91"/>
      <c r="BT83" s="91"/>
      <c r="BU83" s="91"/>
      <c r="BV83" s="91"/>
      <c r="BW83" s="91"/>
      <c r="BX83" s="91"/>
      <c r="BY83" s="91"/>
      <c r="BZ83" s="91"/>
      <c r="CA83" s="91"/>
      <c r="CC83" s="79" t="n">
        <f aca="false">SUMIFS($T83:$CA83, $T$1:$CA$1, CC$75)</f>
        <v>0</v>
      </c>
      <c r="CD83" s="79" t="n">
        <f aca="false">SUMIFS($T83:$CA83, $T$1:$CA$1, CD$75)</f>
        <v>0</v>
      </c>
      <c r="CE83" s="79" t="n">
        <f aca="false">SUMIFS($T83:$CA83, $T$1:$CA$1, CE$75)</f>
        <v>0</v>
      </c>
      <c r="CF83" s="79" t="n">
        <f aca="false">SUMIFS($T83:$CA83, $T$1:$CA$1, CF$75)</f>
        <v>0</v>
      </c>
      <c r="CG83" s="79" t="n">
        <f aca="false">SUMIFS($T83:$CA83, $T$1:$CA$1, CG$75)</f>
        <v>0</v>
      </c>
      <c r="CI83" s="79" t="n">
        <f aca="false">CC83=L83</f>
        <v>1</v>
      </c>
      <c r="CJ83" s="79" t="n">
        <f aca="false">CD83=M83</f>
        <v>1</v>
      </c>
      <c r="CK83" s="79" t="n">
        <f aca="false">CE83=N83</f>
        <v>1</v>
      </c>
      <c r="CL83" s="79" t="n">
        <f aca="false">CF83=O83</f>
        <v>1</v>
      </c>
      <c r="CM83" s="79" t="n">
        <f aca="false">CG83=P83</f>
        <v>1</v>
      </c>
    </row>
    <row r="84" s="14" customFormat="true" ht="16.5" hidden="true" customHeight="true" outlineLevel="2" collapsed="false">
      <c r="E84" s="91"/>
      <c r="H84" s="71"/>
      <c r="I84" s="92" t="n">
        <v>0</v>
      </c>
      <c r="J84" s="92" t="n">
        <v>0</v>
      </c>
      <c r="K84" s="73" t="n">
        <f aca="false">I84-J84</f>
        <v>0</v>
      </c>
      <c r="L84" s="92"/>
      <c r="M84" s="92"/>
      <c r="N84" s="92"/>
      <c r="O84" s="92"/>
      <c r="P84" s="92"/>
      <c r="Q84" s="93"/>
      <c r="R84" s="16" t="str">
        <f aca="false">IF(K84=P84, "", "Error")</f>
        <v/>
      </c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4"/>
      <c r="AF84" s="95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4"/>
      <c r="AR84" s="95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94"/>
      <c r="BD84" s="95"/>
      <c r="BE84" s="91"/>
      <c r="BF84" s="91"/>
      <c r="BG84" s="91"/>
      <c r="BH84" s="91"/>
      <c r="BI84" s="91"/>
      <c r="BJ84" s="91"/>
      <c r="BK84" s="91"/>
      <c r="BL84" s="91"/>
      <c r="BM84" s="91"/>
      <c r="BN84" s="91"/>
      <c r="BO84" s="94"/>
      <c r="BP84" s="95"/>
      <c r="BQ84" s="91"/>
      <c r="BR84" s="91"/>
      <c r="BS84" s="91"/>
      <c r="BT84" s="91"/>
      <c r="BU84" s="91"/>
      <c r="BV84" s="91"/>
      <c r="BW84" s="91"/>
      <c r="BX84" s="91"/>
      <c r="BY84" s="91"/>
      <c r="BZ84" s="91"/>
      <c r="CA84" s="91"/>
      <c r="CC84" s="79" t="n">
        <f aca="false">SUMIFS($T84:$CA84, $T$1:$CA$1, CC$75)</f>
        <v>0</v>
      </c>
      <c r="CD84" s="79" t="n">
        <f aca="false">SUMIFS($T84:$CA84, $T$1:$CA$1, CD$75)</f>
        <v>0</v>
      </c>
      <c r="CE84" s="79" t="n">
        <f aca="false">SUMIFS($T84:$CA84, $T$1:$CA$1, CE$75)</f>
        <v>0</v>
      </c>
      <c r="CF84" s="79" t="n">
        <f aca="false">SUMIFS($T84:$CA84, $T$1:$CA$1, CF$75)</f>
        <v>0</v>
      </c>
      <c r="CG84" s="79" t="n">
        <f aca="false">SUMIFS($T84:$CA84, $T$1:$CA$1, CG$75)</f>
        <v>0</v>
      </c>
      <c r="CI84" s="79" t="n">
        <f aca="false">CC84=L84</f>
        <v>1</v>
      </c>
      <c r="CJ84" s="79" t="n">
        <f aca="false">CD84=M84</f>
        <v>1</v>
      </c>
      <c r="CK84" s="79" t="n">
        <f aca="false">CE84=N84</f>
        <v>1</v>
      </c>
      <c r="CL84" s="79" t="n">
        <f aca="false">CF84=O84</f>
        <v>1</v>
      </c>
      <c r="CM84" s="79" t="n">
        <f aca="false">CG84=P84</f>
        <v>1</v>
      </c>
    </row>
    <row r="85" s="14" customFormat="true" ht="16.5" hidden="true" customHeight="true" outlineLevel="2" collapsed="false">
      <c r="E85" s="91"/>
      <c r="H85" s="71"/>
      <c r="I85" s="92" t="n">
        <v>0</v>
      </c>
      <c r="J85" s="92" t="n">
        <v>0</v>
      </c>
      <c r="K85" s="73" t="n">
        <f aca="false">I85-J85</f>
        <v>0</v>
      </c>
      <c r="L85" s="92"/>
      <c r="M85" s="92"/>
      <c r="N85" s="92"/>
      <c r="O85" s="92"/>
      <c r="P85" s="92"/>
      <c r="Q85" s="93"/>
      <c r="R85" s="16" t="str">
        <f aca="false">IF(K85=P85, "", "Error")</f>
        <v/>
      </c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4"/>
      <c r="AF85" s="95"/>
      <c r="AG85" s="91"/>
      <c r="AH85" s="91"/>
      <c r="AI85" s="91"/>
      <c r="AJ85" s="91"/>
      <c r="AK85" s="91"/>
      <c r="AL85" s="91"/>
      <c r="AM85" s="91"/>
      <c r="AN85" s="91"/>
      <c r="AO85" s="91"/>
      <c r="AP85" s="91"/>
      <c r="AQ85" s="94"/>
      <c r="AR85" s="95"/>
      <c r="AS85" s="91"/>
      <c r="AT85" s="91"/>
      <c r="AU85" s="91"/>
      <c r="AV85" s="91"/>
      <c r="AW85" s="91"/>
      <c r="AX85" s="91"/>
      <c r="AY85" s="91"/>
      <c r="AZ85" s="91"/>
      <c r="BA85" s="91"/>
      <c r="BB85" s="91"/>
      <c r="BC85" s="94"/>
      <c r="BD85" s="95"/>
      <c r="BE85" s="91"/>
      <c r="BF85" s="91"/>
      <c r="BG85" s="91"/>
      <c r="BH85" s="91"/>
      <c r="BI85" s="91"/>
      <c r="BJ85" s="91"/>
      <c r="BK85" s="91"/>
      <c r="BL85" s="91"/>
      <c r="BM85" s="91"/>
      <c r="BN85" s="91"/>
      <c r="BO85" s="94"/>
      <c r="BP85" s="95"/>
      <c r="BQ85" s="91"/>
      <c r="BR85" s="91"/>
      <c r="BS85" s="91"/>
      <c r="BT85" s="91"/>
      <c r="BU85" s="91"/>
      <c r="BV85" s="91"/>
      <c r="BW85" s="91"/>
      <c r="BX85" s="91"/>
      <c r="BY85" s="91"/>
      <c r="BZ85" s="91"/>
      <c r="CA85" s="91"/>
      <c r="CC85" s="79" t="n">
        <f aca="false">SUMIFS($T85:$CA85, $T$1:$CA$1, CC$75)</f>
        <v>0</v>
      </c>
      <c r="CD85" s="79" t="n">
        <f aca="false">SUMIFS($T85:$CA85, $T$1:$CA$1, CD$75)</f>
        <v>0</v>
      </c>
      <c r="CE85" s="79" t="n">
        <f aca="false">SUMIFS($T85:$CA85, $T$1:$CA$1, CE$75)</f>
        <v>0</v>
      </c>
      <c r="CF85" s="79" t="n">
        <f aca="false">SUMIFS($T85:$CA85, $T$1:$CA$1, CF$75)</f>
        <v>0</v>
      </c>
      <c r="CG85" s="79" t="n">
        <f aca="false">SUMIFS($T85:$CA85, $T$1:$CA$1, CG$75)</f>
        <v>0</v>
      </c>
      <c r="CI85" s="79" t="n">
        <f aca="false">CC85=L85</f>
        <v>1</v>
      </c>
      <c r="CJ85" s="79" t="n">
        <f aca="false">CD85=M85</f>
        <v>1</v>
      </c>
      <c r="CK85" s="79" t="n">
        <f aca="false">CE85=N85</f>
        <v>1</v>
      </c>
      <c r="CL85" s="79" t="n">
        <f aca="false">CF85=O85</f>
        <v>1</v>
      </c>
      <c r="CM85" s="79" t="n">
        <f aca="false">CG85=P85</f>
        <v>1</v>
      </c>
    </row>
    <row r="86" s="14" customFormat="true" ht="16.5" hidden="true" customHeight="true" outlineLevel="2" collapsed="false">
      <c r="E86" s="91"/>
      <c r="H86" s="71"/>
      <c r="I86" s="92" t="n">
        <v>0</v>
      </c>
      <c r="J86" s="92" t="n">
        <v>0</v>
      </c>
      <c r="K86" s="73" t="n">
        <f aca="false">I86-J86</f>
        <v>0</v>
      </c>
      <c r="L86" s="92"/>
      <c r="M86" s="92"/>
      <c r="N86" s="92"/>
      <c r="O86" s="92"/>
      <c r="P86" s="92"/>
      <c r="Q86" s="93"/>
      <c r="R86" s="16" t="str">
        <f aca="false">IF(K86=P86, "", "Error")</f>
        <v/>
      </c>
      <c r="T86" s="91"/>
      <c r="U86" s="91"/>
      <c r="V86" s="91"/>
      <c r="W86" s="91"/>
      <c r="X86" s="91"/>
      <c r="Y86" s="91"/>
      <c r="Z86" s="91"/>
      <c r="AA86" s="91"/>
      <c r="AB86" s="91"/>
      <c r="AC86" s="91"/>
      <c r="AD86" s="91"/>
      <c r="AE86" s="94"/>
      <c r="AF86" s="95"/>
      <c r="AG86" s="91"/>
      <c r="AH86" s="91"/>
      <c r="AI86" s="91"/>
      <c r="AJ86" s="91"/>
      <c r="AK86" s="91"/>
      <c r="AL86" s="91"/>
      <c r="AM86" s="91"/>
      <c r="AN86" s="91"/>
      <c r="AO86" s="91"/>
      <c r="AP86" s="91"/>
      <c r="AQ86" s="94"/>
      <c r="AR86" s="95"/>
      <c r="AS86" s="91"/>
      <c r="AT86" s="91"/>
      <c r="AU86" s="91"/>
      <c r="AV86" s="91"/>
      <c r="AW86" s="91"/>
      <c r="AX86" s="91"/>
      <c r="AY86" s="91"/>
      <c r="AZ86" s="91"/>
      <c r="BA86" s="91"/>
      <c r="BB86" s="91"/>
      <c r="BC86" s="94"/>
      <c r="BD86" s="95"/>
      <c r="BE86" s="91"/>
      <c r="BF86" s="91"/>
      <c r="BG86" s="91"/>
      <c r="BH86" s="91"/>
      <c r="BI86" s="91"/>
      <c r="BJ86" s="91"/>
      <c r="BK86" s="91"/>
      <c r="BL86" s="91"/>
      <c r="BM86" s="91"/>
      <c r="BN86" s="91"/>
      <c r="BO86" s="94"/>
      <c r="BP86" s="95"/>
      <c r="BQ86" s="91"/>
      <c r="BR86" s="91"/>
      <c r="BS86" s="91"/>
      <c r="BT86" s="91"/>
      <c r="BU86" s="91"/>
      <c r="BV86" s="91"/>
      <c r="BW86" s="91"/>
      <c r="BX86" s="91"/>
      <c r="BY86" s="91"/>
      <c r="BZ86" s="91"/>
      <c r="CA86" s="91"/>
      <c r="CC86" s="79" t="n">
        <f aca="false">SUMIFS($T86:$CA86, $T$1:$CA$1, CC$75)</f>
        <v>0</v>
      </c>
      <c r="CD86" s="79" t="n">
        <f aca="false">SUMIFS($T86:$CA86, $T$1:$CA$1, CD$75)</f>
        <v>0</v>
      </c>
      <c r="CE86" s="79" t="n">
        <f aca="false">SUMIFS($T86:$CA86, $T$1:$CA$1, CE$75)</f>
        <v>0</v>
      </c>
      <c r="CF86" s="79" t="n">
        <f aca="false">SUMIFS($T86:$CA86, $T$1:$CA$1, CF$75)</f>
        <v>0</v>
      </c>
      <c r="CG86" s="79" t="n">
        <f aca="false">SUMIFS($T86:$CA86, $T$1:$CA$1, CG$75)</f>
        <v>0</v>
      </c>
      <c r="CI86" s="79" t="n">
        <f aca="false">CC86=L86</f>
        <v>1</v>
      </c>
      <c r="CJ86" s="79" t="n">
        <f aca="false">CD86=M86</f>
        <v>1</v>
      </c>
      <c r="CK86" s="79" t="n">
        <f aca="false">CE86=N86</f>
        <v>1</v>
      </c>
      <c r="CL86" s="79" t="n">
        <f aca="false">CF86=O86</f>
        <v>1</v>
      </c>
      <c r="CM86" s="79" t="n">
        <f aca="false">CG86=P86</f>
        <v>1</v>
      </c>
    </row>
    <row r="87" s="14" customFormat="true" ht="16.5" hidden="true" customHeight="true" outlineLevel="2" collapsed="false">
      <c r="E87" s="91"/>
      <c r="H87" s="71"/>
      <c r="I87" s="92"/>
      <c r="J87" s="92"/>
      <c r="K87" s="73" t="n">
        <f aca="false">I87-J87</f>
        <v>0</v>
      </c>
      <c r="L87" s="92"/>
      <c r="M87" s="92"/>
      <c r="N87" s="92"/>
      <c r="O87" s="92"/>
      <c r="P87" s="92"/>
      <c r="Q87" s="93"/>
      <c r="R87" s="16" t="str">
        <f aca="false">IF(K87=P87, "", "Error")</f>
        <v/>
      </c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4"/>
      <c r="AF87" s="95"/>
      <c r="AG87" s="91"/>
      <c r="AH87" s="91"/>
      <c r="AI87" s="91"/>
      <c r="AJ87" s="91"/>
      <c r="AK87" s="91"/>
      <c r="AL87" s="91"/>
      <c r="AM87" s="91"/>
      <c r="AN87" s="91"/>
      <c r="AO87" s="91"/>
      <c r="AP87" s="91"/>
      <c r="AQ87" s="94"/>
      <c r="AR87" s="95"/>
      <c r="AS87" s="91"/>
      <c r="AT87" s="91"/>
      <c r="AU87" s="91"/>
      <c r="AV87" s="91"/>
      <c r="AW87" s="91"/>
      <c r="AX87" s="91"/>
      <c r="AY87" s="91"/>
      <c r="AZ87" s="91"/>
      <c r="BA87" s="91"/>
      <c r="BB87" s="91"/>
      <c r="BC87" s="94"/>
      <c r="BD87" s="95"/>
      <c r="BE87" s="91"/>
      <c r="BF87" s="91"/>
      <c r="BG87" s="91"/>
      <c r="BH87" s="91"/>
      <c r="BI87" s="91"/>
      <c r="BJ87" s="91"/>
      <c r="BK87" s="91"/>
      <c r="BL87" s="91"/>
      <c r="BM87" s="91"/>
      <c r="BN87" s="91"/>
      <c r="BO87" s="94"/>
      <c r="BP87" s="95"/>
      <c r="BQ87" s="91"/>
      <c r="BR87" s="91"/>
      <c r="BS87" s="91"/>
      <c r="BT87" s="91"/>
      <c r="BU87" s="91"/>
      <c r="BV87" s="91"/>
      <c r="BW87" s="91"/>
      <c r="BX87" s="91"/>
      <c r="BY87" s="91"/>
      <c r="BZ87" s="91"/>
      <c r="CA87" s="91"/>
      <c r="CC87" s="79" t="n">
        <f aca="false">SUMIFS($T87:$CA87, $T$1:$CA$1, CC$75)</f>
        <v>0</v>
      </c>
      <c r="CD87" s="79" t="n">
        <f aca="false">SUMIFS($T87:$CA87, $T$1:$CA$1, CD$75)</f>
        <v>0</v>
      </c>
      <c r="CE87" s="79" t="n">
        <f aca="false">SUMIFS($T87:$CA87, $T$1:$CA$1, CE$75)</f>
        <v>0</v>
      </c>
      <c r="CF87" s="79" t="n">
        <f aca="false">SUMIFS($T87:$CA87, $T$1:$CA$1, CF$75)</f>
        <v>0</v>
      </c>
      <c r="CG87" s="79" t="n">
        <f aca="false">SUMIFS($T87:$CA87, $T$1:$CA$1, CG$75)</f>
        <v>0</v>
      </c>
      <c r="CI87" s="79" t="n">
        <f aca="false">CC87=L87</f>
        <v>1</v>
      </c>
      <c r="CJ87" s="79" t="n">
        <f aca="false">CD87=M87</f>
        <v>1</v>
      </c>
      <c r="CK87" s="79" t="n">
        <f aca="false">CE87=N87</f>
        <v>1</v>
      </c>
      <c r="CL87" s="79" t="n">
        <f aca="false">CF87=O87</f>
        <v>1</v>
      </c>
      <c r="CM87" s="79" t="n">
        <f aca="false">CG87=P87</f>
        <v>1</v>
      </c>
    </row>
    <row r="88" s="14" customFormat="true" ht="16.5" hidden="true" customHeight="true" outlineLevel="1" collapsed="true">
      <c r="E88" s="96" t="s">
        <v>139</v>
      </c>
      <c r="H88" s="71"/>
      <c r="I88" s="81" t="n">
        <f aca="false">SUM(I83:I87)</f>
        <v>0</v>
      </c>
      <c r="J88" s="81" t="n">
        <f aca="false">SUM(J83:J87)</f>
        <v>0</v>
      </c>
      <c r="K88" s="81" t="n">
        <f aca="false">SUM(K83:K87)</f>
        <v>0</v>
      </c>
      <c r="L88" s="81" t="n">
        <f aca="false">SUM(L83:L87)</f>
        <v>0</v>
      </c>
      <c r="M88" s="81" t="n">
        <f aca="false">SUM(M83:M87)</f>
        <v>0</v>
      </c>
      <c r="N88" s="81" t="n">
        <f aca="false">SUM(N83:N87)</f>
        <v>0</v>
      </c>
      <c r="O88" s="81" t="n">
        <f aca="false">SUM(O83:O87)</f>
        <v>0</v>
      </c>
      <c r="P88" s="81" t="n">
        <f aca="false">SUM(P83:P87)</f>
        <v>0</v>
      </c>
      <c r="Q88" s="16"/>
      <c r="R88" s="16"/>
      <c r="T88" s="82" t="n">
        <f aca="false">SUM(T83:T87)</f>
        <v>0</v>
      </c>
      <c r="U88" s="82" t="n">
        <f aca="false">SUM(U83:U87)</f>
        <v>0</v>
      </c>
      <c r="V88" s="82" t="n">
        <f aca="false">SUM(V83:V87)</f>
        <v>0</v>
      </c>
      <c r="W88" s="82" t="n">
        <f aca="false">SUM(W83:W87)</f>
        <v>0</v>
      </c>
      <c r="X88" s="82" t="n">
        <f aca="false">SUM(X83:X87)</f>
        <v>0</v>
      </c>
      <c r="Y88" s="82" t="n">
        <f aca="false">SUM(Y83:Y87)</f>
        <v>0</v>
      </c>
      <c r="Z88" s="82" t="n">
        <f aca="false">SUM(Z83:Z87)</f>
        <v>0</v>
      </c>
      <c r="AA88" s="82" t="n">
        <f aca="false">SUM(AA83:AA87)</f>
        <v>0</v>
      </c>
      <c r="AB88" s="82" t="n">
        <f aca="false">SUM(AB83:AB87)</f>
        <v>0</v>
      </c>
      <c r="AC88" s="82" t="n">
        <f aca="false">SUM(AC83:AC87)</f>
        <v>0</v>
      </c>
      <c r="AD88" s="82" t="n">
        <f aca="false">SUM(AD83:AD87)</f>
        <v>0</v>
      </c>
      <c r="AE88" s="82" t="n">
        <f aca="false">SUM(AE83:AE87)</f>
        <v>0</v>
      </c>
      <c r="AF88" s="83" t="n">
        <f aca="false">SUM(AF83:AF87)</f>
        <v>0</v>
      </c>
      <c r="AG88" s="82" t="n">
        <f aca="false">SUM(AG83:AG87)</f>
        <v>0</v>
      </c>
      <c r="AH88" s="82" t="n">
        <f aca="false">SUM(AH83:AH87)</f>
        <v>0</v>
      </c>
      <c r="AI88" s="82" t="n">
        <f aca="false">SUM(AI83:AI87)</f>
        <v>0</v>
      </c>
      <c r="AJ88" s="82" t="n">
        <f aca="false">SUM(AJ83:AJ87)</f>
        <v>0</v>
      </c>
      <c r="AK88" s="82" t="n">
        <f aca="false">SUM(AK83:AK87)</f>
        <v>0</v>
      </c>
      <c r="AL88" s="82" t="n">
        <f aca="false">SUM(AL83:AL87)</f>
        <v>0</v>
      </c>
      <c r="AM88" s="82" t="n">
        <f aca="false">SUM(AM83:AM87)</f>
        <v>0</v>
      </c>
      <c r="AN88" s="82" t="n">
        <f aca="false">SUM(AN83:AN87)</f>
        <v>0</v>
      </c>
      <c r="AO88" s="82" t="n">
        <f aca="false">SUM(AO83:AO87)</f>
        <v>0</v>
      </c>
      <c r="AP88" s="82" t="n">
        <f aca="false">SUM(AP83:AP87)</f>
        <v>0</v>
      </c>
      <c r="AQ88" s="82" t="n">
        <f aca="false">SUM(AQ83:AQ87)</f>
        <v>0</v>
      </c>
      <c r="AR88" s="83" t="n">
        <f aca="false">SUM(AR83:AR87)</f>
        <v>0</v>
      </c>
      <c r="AS88" s="82" t="n">
        <f aca="false">SUM(AS83:AS87)</f>
        <v>0</v>
      </c>
      <c r="AT88" s="82" t="n">
        <f aca="false">SUM(AT83:AT87)</f>
        <v>0</v>
      </c>
      <c r="AU88" s="82" t="n">
        <f aca="false">SUM(AU83:AU87)</f>
        <v>0</v>
      </c>
      <c r="AV88" s="82" t="n">
        <f aca="false">SUM(AV83:AV87)</f>
        <v>0</v>
      </c>
      <c r="AW88" s="82" t="n">
        <f aca="false">SUM(AW83:AW87)</f>
        <v>0</v>
      </c>
      <c r="AX88" s="82" t="n">
        <f aca="false">SUM(AX83:AX87)</f>
        <v>0</v>
      </c>
      <c r="AY88" s="82" t="n">
        <f aca="false">SUM(AY83:AY87)</f>
        <v>0</v>
      </c>
      <c r="AZ88" s="82" t="n">
        <f aca="false">SUM(AZ83:AZ87)</f>
        <v>0</v>
      </c>
      <c r="BA88" s="82" t="n">
        <f aca="false">SUM(BA83:BA87)</f>
        <v>0</v>
      </c>
      <c r="BB88" s="82" t="n">
        <f aca="false">SUM(BB83:BB87)</f>
        <v>0</v>
      </c>
      <c r="BC88" s="82" t="n">
        <f aca="false">SUM(BC83:BC87)</f>
        <v>0</v>
      </c>
      <c r="BD88" s="83" t="n">
        <f aca="false">SUM(BD83:BD87)</f>
        <v>0</v>
      </c>
      <c r="BE88" s="82" t="n">
        <f aca="false">SUM(BE83:BE87)</f>
        <v>0</v>
      </c>
      <c r="BF88" s="82" t="n">
        <f aca="false">SUM(BF83:BF87)</f>
        <v>0</v>
      </c>
      <c r="BG88" s="82" t="n">
        <f aca="false">SUM(BG83:BG87)</f>
        <v>0</v>
      </c>
      <c r="BH88" s="82" t="n">
        <f aca="false">SUM(BH83:BH87)</f>
        <v>0</v>
      </c>
      <c r="BI88" s="82" t="n">
        <f aca="false">SUM(BI83:BI87)</f>
        <v>0</v>
      </c>
      <c r="BJ88" s="82" t="n">
        <f aca="false">SUM(BJ83:BJ87)</f>
        <v>0</v>
      </c>
      <c r="BK88" s="82" t="n">
        <f aca="false">SUM(BK83:BK87)</f>
        <v>0</v>
      </c>
      <c r="BL88" s="82" t="n">
        <f aca="false">SUM(BL83:BL87)</f>
        <v>0</v>
      </c>
      <c r="BM88" s="82" t="n">
        <f aca="false">SUM(BM83:BM87)</f>
        <v>0</v>
      </c>
      <c r="BN88" s="82" t="n">
        <f aca="false">SUM(BN83:BN87)</f>
        <v>0</v>
      </c>
      <c r="BO88" s="82" t="n">
        <f aca="false">SUM(BO83:BO87)</f>
        <v>0</v>
      </c>
      <c r="BP88" s="83" t="n">
        <f aca="false">SUM(BP83:BP87)</f>
        <v>0</v>
      </c>
      <c r="BQ88" s="82" t="n">
        <f aca="false">SUM(BQ83:BQ87)</f>
        <v>0</v>
      </c>
      <c r="BR88" s="82" t="n">
        <f aca="false">SUM(BR83:BR87)</f>
        <v>0</v>
      </c>
      <c r="BS88" s="82" t="n">
        <f aca="false">SUM(BS83:BS87)</f>
        <v>0</v>
      </c>
      <c r="BT88" s="82" t="n">
        <f aca="false">SUM(BT83:BT87)</f>
        <v>0</v>
      </c>
      <c r="BU88" s="82" t="n">
        <f aca="false">SUM(BU83:BU87)</f>
        <v>0</v>
      </c>
      <c r="BV88" s="82" t="n">
        <f aca="false">SUM(BV83:BV87)</f>
        <v>0</v>
      </c>
      <c r="BW88" s="82" t="n">
        <f aca="false">SUM(BW83:BW87)</f>
        <v>0</v>
      </c>
      <c r="BX88" s="82" t="n">
        <f aca="false">SUM(BX83:BX87)</f>
        <v>0</v>
      </c>
      <c r="BY88" s="82" t="n">
        <f aca="false">SUM(BY83:BY87)</f>
        <v>0</v>
      </c>
      <c r="BZ88" s="82" t="n">
        <f aca="false">SUM(BZ83:BZ87)</f>
        <v>0</v>
      </c>
      <c r="CA88" s="82" t="n">
        <f aca="false">SUM(CA83:CA87)</f>
        <v>0</v>
      </c>
      <c r="CC88" s="84" t="n">
        <f aca="false">SUM(CC83:CC87)</f>
        <v>0</v>
      </c>
      <c r="CD88" s="84" t="n">
        <f aca="false">SUM(CD83:CD87)</f>
        <v>0</v>
      </c>
      <c r="CE88" s="84" t="n">
        <f aca="false">SUM(CE83:CE87)</f>
        <v>0</v>
      </c>
      <c r="CF88" s="84" t="n">
        <f aca="false">SUM(CF83:CF87)</f>
        <v>0</v>
      </c>
      <c r="CG88" s="84" t="n">
        <f aca="false">SUM(CG83:CG87)</f>
        <v>0</v>
      </c>
      <c r="CI88" s="84" t="n">
        <f aca="false">CC88=L88</f>
        <v>1</v>
      </c>
      <c r="CJ88" s="84" t="n">
        <f aca="false">CD88=M88</f>
        <v>1</v>
      </c>
      <c r="CK88" s="84" t="n">
        <f aca="false">CE88=N88</f>
        <v>1</v>
      </c>
      <c r="CL88" s="84" t="n">
        <f aca="false">CF88=O88</f>
        <v>1</v>
      </c>
      <c r="CM88" s="84" t="n">
        <f aca="false">CG88=P88</f>
        <v>1</v>
      </c>
    </row>
    <row r="89" s="14" customFormat="true" ht="16.5" hidden="true" customHeight="true" outlineLevel="1" collapsed="false">
      <c r="H89" s="71"/>
      <c r="I89" s="87"/>
      <c r="J89" s="87"/>
      <c r="K89" s="87"/>
      <c r="L89" s="87"/>
      <c r="M89" s="87"/>
      <c r="N89" s="87"/>
      <c r="O89" s="87"/>
      <c r="P89" s="87"/>
      <c r="Q89" s="16"/>
      <c r="R89" s="16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9"/>
      <c r="AG89" s="88"/>
      <c r="AH89" s="88"/>
      <c r="AI89" s="88"/>
      <c r="AJ89" s="88"/>
      <c r="AK89" s="88"/>
      <c r="AL89" s="88"/>
      <c r="AM89" s="88"/>
      <c r="AN89" s="88"/>
      <c r="AO89" s="88"/>
      <c r="AP89" s="88"/>
      <c r="AQ89" s="88"/>
      <c r="AR89" s="89"/>
      <c r="AS89" s="88"/>
      <c r="AT89" s="88"/>
      <c r="AU89" s="88"/>
      <c r="AV89" s="88"/>
      <c r="AW89" s="88"/>
      <c r="AX89" s="88"/>
      <c r="AY89" s="88"/>
      <c r="AZ89" s="88"/>
      <c r="BA89" s="88"/>
      <c r="BB89" s="88"/>
      <c r="BC89" s="88"/>
      <c r="BD89" s="89"/>
      <c r="BE89" s="88"/>
      <c r="BF89" s="88"/>
      <c r="BG89" s="88"/>
      <c r="BH89" s="88"/>
      <c r="BI89" s="88"/>
      <c r="BJ89" s="88"/>
      <c r="BK89" s="88"/>
      <c r="BL89" s="88"/>
      <c r="BM89" s="88"/>
      <c r="BN89" s="88"/>
      <c r="BO89" s="88"/>
      <c r="BP89" s="89"/>
      <c r="BQ89" s="88"/>
      <c r="BR89" s="88"/>
      <c r="BS89" s="88"/>
      <c r="BT89" s="88"/>
      <c r="BU89" s="88"/>
      <c r="BV89" s="88"/>
      <c r="BW89" s="88"/>
      <c r="BX89" s="88"/>
      <c r="BY89" s="88"/>
      <c r="BZ89" s="88"/>
      <c r="CA89" s="88"/>
      <c r="CC89" s="90"/>
      <c r="CD89" s="90"/>
      <c r="CE89" s="90"/>
      <c r="CF89" s="90"/>
      <c r="CG89" s="90"/>
      <c r="CI89" s="90"/>
      <c r="CJ89" s="90"/>
      <c r="CK89" s="90"/>
      <c r="CL89" s="90"/>
      <c r="CM89" s="90"/>
    </row>
    <row r="90" s="14" customFormat="true" ht="16.5" hidden="false" customHeight="true" outlineLevel="0" collapsed="false">
      <c r="E90" s="21" t="s">
        <v>140</v>
      </c>
      <c r="H90" s="71"/>
      <c r="I90" s="87"/>
      <c r="J90" s="87"/>
      <c r="K90" s="87"/>
      <c r="L90" s="87"/>
      <c r="M90" s="87"/>
      <c r="N90" s="87"/>
      <c r="O90" s="87"/>
      <c r="P90" s="87"/>
      <c r="Q90" s="16"/>
      <c r="R90" s="16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9"/>
      <c r="AG90" s="88"/>
      <c r="AH90" s="88"/>
      <c r="AI90" s="88"/>
      <c r="AJ90" s="88"/>
      <c r="AK90" s="88"/>
      <c r="AL90" s="88"/>
      <c r="AM90" s="88"/>
      <c r="AN90" s="88"/>
      <c r="AO90" s="88"/>
      <c r="AP90" s="88"/>
      <c r="AQ90" s="88"/>
      <c r="AR90" s="89"/>
      <c r="AS90" s="88"/>
      <c r="AT90" s="88"/>
      <c r="AU90" s="88"/>
      <c r="AV90" s="88"/>
      <c r="AW90" s="88"/>
      <c r="AX90" s="88"/>
      <c r="AY90" s="88"/>
      <c r="AZ90" s="88"/>
      <c r="BA90" s="88"/>
      <c r="BB90" s="88"/>
      <c r="BC90" s="88"/>
      <c r="BD90" s="89"/>
      <c r="BE90" s="88"/>
      <c r="BF90" s="88"/>
      <c r="BG90" s="88"/>
      <c r="BH90" s="88"/>
      <c r="BI90" s="88"/>
      <c r="BJ90" s="88"/>
      <c r="BK90" s="88"/>
      <c r="BL90" s="88"/>
      <c r="BM90" s="88"/>
      <c r="BN90" s="88"/>
      <c r="BO90" s="88"/>
      <c r="BP90" s="89"/>
      <c r="BQ90" s="88"/>
      <c r="BR90" s="88"/>
      <c r="BS90" s="88"/>
      <c r="BT90" s="88"/>
      <c r="BU90" s="88"/>
      <c r="BV90" s="88"/>
      <c r="BW90" s="88"/>
      <c r="BX90" s="88"/>
      <c r="BY90" s="88"/>
      <c r="BZ90" s="88"/>
      <c r="CA90" s="88"/>
      <c r="CC90" s="90"/>
      <c r="CD90" s="90"/>
      <c r="CE90" s="90"/>
      <c r="CF90" s="90"/>
      <c r="CG90" s="90"/>
      <c r="CI90" s="90"/>
      <c r="CJ90" s="90"/>
      <c r="CK90" s="90"/>
      <c r="CL90" s="90"/>
      <c r="CM90" s="90"/>
    </row>
    <row r="91" s="14" customFormat="true" ht="16.5" hidden="false" customHeight="true" outlineLevel="0" collapsed="false">
      <c r="E91" s="91" t="s">
        <v>141</v>
      </c>
      <c r="H91" s="71"/>
      <c r="I91" s="97" t="n">
        <f aca="false">J29</f>
        <v>25</v>
      </c>
      <c r="J91" s="97" t="n">
        <f aca="false">J36</f>
        <v>13</v>
      </c>
      <c r="K91" s="98" t="n">
        <f aca="false">I91-J91</f>
        <v>12</v>
      </c>
      <c r="L91" s="97"/>
      <c r="M91" s="97"/>
      <c r="N91" s="97" t="n">
        <f aca="false">K91</f>
        <v>12</v>
      </c>
      <c r="O91" s="97" t="n">
        <f aca="false">N91</f>
        <v>12</v>
      </c>
      <c r="P91" s="97" t="n">
        <f aca="false">O91</f>
        <v>12</v>
      </c>
      <c r="Q91" s="93" t="s">
        <v>142</v>
      </c>
      <c r="R91" s="16" t="str">
        <f aca="false">IF(K91=P91, "", "Error")</f>
        <v/>
      </c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4"/>
      <c r="AF91" s="95"/>
      <c r="AG91" s="91"/>
      <c r="AH91" s="91"/>
      <c r="AI91" s="91"/>
      <c r="AJ91" s="91"/>
      <c r="AK91" s="91"/>
      <c r="AL91" s="91"/>
      <c r="AM91" s="91"/>
      <c r="AN91" s="91"/>
      <c r="AO91" s="91"/>
      <c r="AP91" s="91"/>
      <c r="AQ91" s="94"/>
      <c r="AR91" s="99" t="n">
        <f aca="false">$P$91/12</f>
        <v>1</v>
      </c>
      <c r="AS91" s="99" t="n">
        <f aca="false">$P$91/12</f>
        <v>1</v>
      </c>
      <c r="AT91" s="99" t="n">
        <f aca="false">$P$91/12</f>
        <v>1</v>
      </c>
      <c r="AU91" s="99" t="n">
        <f aca="false">$P$91/12</f>
        <v>1</v>
      </c>
      <c r="AV91" s="99" t="n">
        <f aca="false">$P$91/12</f>
        <v>1</v>
      </c>
      <c r="AW91" s="99" t="n">
        <f aca="false">$P$91/12</f>
        <v>1</v>
      </c>
      <c r="AX91" s="99" t="n">
        <f aca="false">$P$91/12</f>
        <v>1</v>
      </c>
      <c r="AY91" s="99" t="n">
        <f aca="false">$P$91/12</f>
        <v>1</v>
      </c>
      <c r="AZ91" s="99" t="n">
        <f aca="false">$P$91/12</f>
        <v>1</v>
      </c>
      <c r="BA91" s="99" t="n">
        <f aca="false">$P$91/12</f>
        <v>1</v>
      </c>
      <c r="BB91" s="99" t="n">
        <f aca="false">$P$91/12</f>
        <v>1</v>
      </c>
      <c r="BC91" s="99" t="n">
        <f aca="false">$P$91/12</f>
        <v>1</v>
      </c>
      <c r="BD91" s="99" t="n">
        <f aca="false">$P$91/12</f>
        <v>1</v>
      </c>
      <c r="BE91" s="99" t="n">
        <f aca="false">$P$91/12</f>
        <v>1</v>
      </c>
      <c r="BF91" s="99" t="n">
        <f aca="false">$P$91/12</f>
        <v>1</v>
      </c>
      <c r="BG91" s="99" t="n">
        <f aca="false">$P$91/12</f>
        <v>1</v>
      </c>
      <c r="BH91" s="99" t="n">
        <f aca="false">$P$91/12</f>
        <v>1</v>
      </c>
      <c r="BI91" s="99" t="n">
        <f aca="false">$P$91/12</f>
        <v>1</v>
      </c>
      <c r="BJ91" s="99" t="n">
        <f aca="false">$P$91/12</f>
        <v>1</v>
      </c>
      <c r="BK91" s="99" t="n">
        <f aca="false">$P$91/12</f>
        <v>1</v>
      </c>
      <c r="BL91" s="99" t="n">
        <f aca="false">$P$91/12</f>
        <v>1</v>
      </c>
      <c r="BM91" s="99" t="n">
        <f aca="false">$P$91/12</f>
        <v>1</v>
      </c>
      <c r="BN91" s="99" t="n">
        <f aca="false">$P$91/12</f>
        <v>1</v>
      </c>
      <c r="BO91" s="99" t="n">
        <f aca="false">$P$91/12</f>
        <v>1</v>
      </c>
      <c r="BP91" s="99" t="n">
        <f aca="false">$P$91/12</f>
        <v>1</v>
      </c>
      <c r="BQ91" s="99" t="n">
        <f aca="false">$P$91/12</f>
        <v>1</v>
      </c>
      <c r="BR91" s="99" t="n">
        <f aca="false">$P$91/12</f>
        <v>1</v>
      </c>
      <c r="BS91" s="99" t="n">
        <f aca="false">$P$91/12</f>
        <v>1</v>
      </c>
      <c r="BT91" s="99" t="n">
        <f aca="false">$P$91/12</f>
        <v>1</v>
      </c>
      <c r="BU91" s="99" t="n">
        <f aca="false">$P$91/12</f>
        <v>1</v>
      </c>
      <c r="BV91" s="99" t="n">
        <f aca="false">$P$91/12</f>
        <v>1</v>
      </c>
      <c r="BW91" s="99" t="n">
        <f aca="false">$P$91/12</f>
        <v>1</v>
      </c>
      <c r="BX91" s="99" t="n">
        <f aca="false">$P$91/12</f>
        <v>1</v>
      </c>
      <c r="BY91" s="99" t="n">
        <f aca="false">$P$91/12</f>
        <v>1</v>
      </c>
      <c r="BZ91" s="99" t="n">
        <f aca="false">$P$91/12</f>
        <v>1</v>
      </c>
      <c r="CA91" s="99" t="n">
        <f aca="false">$P$91/12</f>
        <v>1</v>
      </c>
      <c r="CB91" s="95" t="n">
        <f aca="false">20/12</f>
        <v>1.66666666666667</v>
      </c>
      <c r="CC91" s="79" t="n">
        <f aca="false">SUMIFS($T91:$CA91, $T$1:$CA$1, CC$75)</f>
        <v>0</v>
      </c>
      <c r="CD91" s="79"/>
      <c r="CE91" s="79" t="n">
        <f aca="false">SUMIFS($T91:$CA91, $T$1:$CA$1, CE$75)</f>
        <v>12</v>
      </c>
      <c r="CF91" s="79" t="n">
        <f aca="false">SUMIFS($T91:$CA91, $T$1:$CA$1, CF$75)</f>
        <v>12</v>
      </c>
      <c r="CG91" s="79" t="n">
        <f aca="false">SUMIFS($T91:$CA91, $T$1:$CA$1, CG$75)</f>
        <v>12</v>
      </c>
      <c r="CI91" s="79" t="n">
        <f aca="false">CC91=L91</f>
        <v>1</v>
      </c>
      <c r="CJ91" s="79" t="n">
        <f aca="false">CD91=M91</f>
        <v>1</v>
      </c>
      <c r="CK91" s="79" t="n">
        <f aca="false">CE91=N91</f>
        <v>1</v>
      </c>
      <c r="CL91" s="79" t="n">
        <f aca="false">CF91=O91</f>
        <v>1</v>
      </c>
      <c r="CM91" s="79" t="n">
        <f aca="false">CG91=P91</f>
        <v>1</v>
      </c>
    </row>
    <row r="92" s="14" customFormat="true" ht="16.5" hidden="true" customHeight="true" outlineLevel="1" collapsed="false">
      <c r="E92" s="91"/>
      <c r="H92" s="71"/>
      <c r="I92" s="100" t="n">
        <v>0</v>
      </c>
      <c r="J92" s="100" t="n">
        <v>0</v>
      </c>
      <c r="K92" s="101" t="n">
        <f aca="false">I92-J92</f>
        <v>0</v>
      </c>
      <c r="L92" s="100"/>
      <c r="M92" s="100"/>
      <c r="N92" s="100"/>
      <c r="O92" s="100"/>
      <c r="P92" s="100"/>
      <c r="Q92" s="93"/>
      <c r="R92" s="16" t="str">
        <f aca="false">IF(K92=P92, "", "Error")</f>
        <v/>
      </c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4"/>
      <c r="AF92" s="95"/>
      <c r="AG92" s="91"/>
      <c r="AH92" s="91"/>
      <c r="AI92" s="91"/>
      <c r="AJ92" s="91"/>
      <c r="AK92" s="91"/>
      <c r="AL92" s="91"/>
      <c r="AM92" s="91"/>
      <c r="AN92" s="91"/>
      <c r="AO92" s="91"/>
      <c r="AP92" s="91"/>
      <c r="AQ92" s="94"/>
      <c r="AR92" s="95"/>
      <c r="AS92" s="91"/>
      <c r="AT92" s="91"/>
      <c r="AU92" s="91"/>
      <c r="AV92" s="91"/>
      <c r="AW92" s="91"/>
      <c r="AX92" s="91"/>
      <c r="AY92" s="91"/>
      <c r="AZ92" s="91"/>
      <c r="BA92" s="91"/>
      <c r="BB92" s="91"/>
      <c r="BC92" s="94"/>
      <c r="BD92" s="95"/>
      <c r="BE92" s="91"/>
      <c r="BF92" s="91"/>
      <c r="BG92" s="91"/>
      <c r="BH92" s="91"/>
      <c r="BI92" s="91"/>
      <c r="BJ92" s="91"/>
      <c r="BK92" s="91"/>
      <c r="BL92" s="91"/>
      <c r="BM92" s="91"/>
      <c r="BN92" s="91"/>
      <c r="BO92" s="94"/>
      <c r="BP92" s="95"/>
      <c r="BQ92" s="91"/>
      <c r="BR92" s="91"/>
      <c r="BS92" s="91"/>
      <c r="BT92" s="91"/>
      <c r="BU92" s="91"/>
      <c r="BV92" s="91"/>
      <c r="BW92" s="91"/>
      <c r="BX92" s="91"/>
      <c r="BY92" s="91"/>
      <c r="BZ92" s="91"/>
      <c r="CA92" s="91"/>
      <c r="CC92" s="79" t="n">
        <f aca="false">SUMIFS($T92:$CA92, $T$1:$CA$1, CC$75)</f>
        <v>0</v>
      </c>
      <c r="CD92" s="79" t="n">
        <f aca="false">SUMIFS($T92:$CA92, $T$1:$CA$1, CD$75)</f>
        <v>0</v>
      </c>
      <c r="CE92" s="79" t="n">
        <f aca="false">SUMIFS($T92:$CA92, $T$1:$CA$1, CE$75)</f>
        <v>0</v>
      </c>
      <c r="CF92" s="79" t="n">
        <f aca="false">SUMIFS($T92:$CA92, $T$1:$CA$1, CF$75)</f>
        <v>0</v>
      </c>
      <c r="CG92" s="79" t="n">
        <f aca="false">SUMIFS($T92:$CA92, $T$1:$CA$1, CG$75)</f>
        <v>0</v>
      </c>
      <c r="CI92" s="79" t="n">
        <f aca="false">CC92=L92</f>
        <v>1</v>
      </c>
      <c r="CJ92" s="79" t="n">
        <f aca="false">CD92=M92</f>
        <v>1</v>
      </c>
      <c r="CK92" s="79" t="n">
        <f aca="false">CE92=N92</f>
        <v>1</v>
      </c>
      <c r="CL92" s="79" t="n">
        <f aca="false">CF92=O92</f>
        <v>1</v>
      </c>
      <c r="CM92" s="79" t="n">
        <f aca="false">CG92=P92</f>
        <v>1</v>
      </c>
    </row>
    <row r="93" s="14" customFormat="true" ht="16.5" hidden="true" customHeight="true" outlineLevel="1" collapsed="false">
      <c r="E93" s="91"/>
      <c r="H93" s="71"/>
      <c r="I93" s="100" t="n">
        <v>0</v>
      </c>
      <c r="J93" s="100" t="n">
        <v>0</v>
      </c>
      <c r="K93" s="101" t="n">
        <f aca="false">I93-J93</f>
        <v>0</v>
      </c>
      <c r="L93" s="100"/>
      <c r="M93" s="100"/>
      <c r="N93" s="100"/>
      <c r="O93" s="100"/>
      <c r="P93" s="100"/>
      <c r="Q93" s="93"/>
      <c r="R93" s="16" t="str">
        <f aca="false">IF(K93=P93, "", "Error")</f>
        <v/>
      </c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4"/>
      <c r="AF93" s="95"/>
      <c r="AG93" s="91"/>
      <c r="AH93" s="91"/>
      <c r="AI93" s="91"/>
      <c r="AJ93" s="91"/>
      <c r="AK93" s="91"/>
      <c r="AL93" s="91"/>
      <c r="AM93" s="91"/>
      <c r="AN93" s="91"/>
      <c r="AO93" s="91"/>
      <c r="AP93" s="91"/>
      <c r="AQ93" s="94"/>
      <c r="AR93" s="95"/>
      <c r="AS93" s="91"/>
      <c r="AT93" s="91"/>
      <c r="AU93" s="91"/>
      <c r="AV93" s="91"/>
      <c r="AW93" s="91"/>
      <c r="AX93" s="91"/>
      <c r="AY93" s="91"/>
      <c r="AZ93" s="91"/>
      <c r="BA93" s="91"/>
      <c r="BB93" s="91"/>
      <c r="BC93" s="94"/>
      <c r="BD93" s="95"/>
      <c r="BE93" s="91"/>
      <c r="BF93" s="91"/>
      <c r="BG93" s="91"/>
      <c r="BH93" s="91"/>
      <c r="BI93" s="91"/>
      <c r="BJ93" s="91"/>
      <c r="BK93" s="91"/>
      <c r="BL93" s="91"/>
      <c r="BM93" s="91"/>
      <c r="BN93" s="91"/>
      <c r="BO93" s="94"/>
      <c r="BP93" s="95"/>
      <c r="BQ93" s="91"/>
      <c r="BR93" s="91"/>
      <c r="BS93" s="91"/>
      <c r="BT93" s="91"/>
      <c r="BU93" s="91"/>
      <c r="BV93" s="91"/>
      <c r="BW93" s="91"/>
      <c r="BX93" s="91"/>
      <c r="BY93" s="91"/>
      <c r="BZ93" s="91"/>
      <c r="CA93" s="91"/>
      <c r="CC93" s="79" t="n">
        <f aca="false">SUMIFS($T93:$CA93, $T$1:$CA$1, CC$75)</f>
        <v>0</v>
      </c>
      <c r="CD93" s="79" t="n">
        <f aca="false">SUMIFS($T93:$CA93, $T$1:$CA$1, CD$75)</f>
        <v>0</v>
      </c>
      <c r="CE93" s="79" t="n">
        <f aca="false">SUMIFS($T93:$CA93, $T$1:$CA$1, CE$75)</f>
        <v>0</v>
      </c>
      <c r="CF93" s="79" t="n">
        <f aca="false">SUMIFS($T93:$CA93, $T$1:$CA$1, CF$75)</f>
        <v>0</v>
      </c>
      <c r="CG93" s="79" t="n">
        <f aca="false">SUMIFS($T93:$CA93, $T$1:$CA$1, CG$75)</f>
        <v>0</v>
      </c>
      <c r="CI93" s="79" t="n">
        <f aca="false">CC93=L93</f>
        <v>1</v>
      </c>
      <c r="CJ93" s="79" t="n">
        <f aca="false">CD93=M93</f>
        <v>1</v>
      </c>
      <c r="CK93" s="79" t="n">
        <f aca="false">CE93=N93</f>
        <v>1</v>
      </c>
      <c r="CL93" s="79" t="n">
        <f aca="false">CF93=O93</f>
        <v>1</v>
      </c>
      <c r="CM93" s="79" t="n">
        <f aca="false">CG93=P93</f>
        <v>1</v>
      </c>
    </row>
    <row r="94" s="14" customFormat="true" ht="16.5" hidden="true" customHeight="true" outlineLevel="1" collapsed="false">
      <c r="E94" s="91"/>
      <c r="H94" s="71"/>
      <c r="I94" s="100" t="n">
        <v>0</v>
      </c>
      <c r="J94" s="100" t="n">
        <v>0</v>
      </c>
      <c r="K94" s="101" t="n">
        <f aca="false">I94-J94</f>
        <v>0</v>
      </c>
      <c r="L94" s="100"/>
      <c r="M94" s="100"/>
      <c r="N94" s="100"/>
      <c r="O94" s="100"/>
      <c r="P94" s="100"/>
      <c r="Q94" s="93"/>
      <c r="R94" s="16" t="str">
        <f aca="false">IF(K94=P94, "", "Error")</f>
        <v/>
      </c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1"/>
      <c r="AE94" s="94"/>
      <c r="AF94" s="95"/>
      <c r="AG94" s="91"/>
      <c r="AH94" s="91"/>
      <c r="AI94" s="91"/>
      <c r="AJ94" s="91"/>
      <c r="AK94" s="91"/>
      <c r="AL94" s="91"/>
      <c r="AM94" s="91"/>
      <c r="AN94" s="91"/>
      <c r="AO94" s="91"/>
      <c r="AP94" s="91"/>
      <c r="AQ94" s="94"/>
      <c r="AR94" s="95"/>
      <c r="AS94" s="91"/>
      <c r="AT94" s="91"/>
      <c r="AU94" s="91"/>
      <c r="AV94" s="91"/>
      <c r="AW94" s="91"/>
      <c r="AX94" s="91"/>
      <c r="AY94" s="91"/>
      <c r="AZ94" s="91"/>
      <c r="BA94" s="91"/>
      <c r="BB94" s="91"/>
      <c r="BC94" s="94"/>
      <c r="BD94" s="95"/>
      <c r="BE94" s="91"/>
      <c r="BF94" s="91"/>
      <c r="BG94" s="91"/>
      <c r="BH94" s="91"/>
      <c r="BI94" s="91"/>
      <c r="BJ94" s="91"/>
      <c r="BK94" s="91"/>
      <c r="BL94" s="91"/>
      <c r="BM94" s="91"/>
      <c r="BN94" s="91"/>
      <c r="BO94" s="94"/>
      <c r="BP94" s="95"/>
      <c r="BQ94" s="91"/>
      <c r="BR94" s="91"/>
      <c r="BS94" s="91"/>
      <c r="BT94" s="91"/>
      <c r="BU94" s="91"/>
      <c r="BV94" s="91"/>
      <c r="BW94" s="91"/>
      <c r="BX94" s="91"/>
      <c r="BY94" s="91"/>
      <c r="BZ94" s="91"/>
      <c r="CA94" s="91"/>
      <c r="CC94" s="79" t="n">
        <f aca="false">SUMIFS($T94:$CA94, $T$1:$CA$1, CC$75)</f>
        <v>0</v>
      </c>
      <c r="CD94" s="79" t="n">
        <f aca="false">SUMIFS($T94:$CA94, $T$1:$CA$1, CD$75)</f>
        <v>0</v>
      </c>
      <c r="CE94" s="79" t="n">
        <f aca="false">SUMIFS($T94:$CA94, $T$1:$CA$1, CE$75)</f>
        <v>0</v>
      </c>
      <c r="CF94" s="79" t="n">
        <f aca="false">SUMIFS($T94:$CA94, $T$1:$CA$1, CF$75)</f>
        <v>0</v>
      </c>
      <c r="CG94" s="79" t="n">
        <f aca="false">SUMIFS($T94:$CA94, $T$1:$CA$1, CG$75)</f>
        <v>0</v>
      </c>
      <c r="CI94" s="79" t="n">
        <f aca="false">CC94=L94</f>
        <v>1</v>
      </c>
      <c r="CJ94" s="79" t="n">
        <f aca="false">CD94=M94</f>
        <v>1</v>
      </c>
      <c r="CK94" s="79" t="n">
        <f aca="false">CE94=N94</f>
        <v>1</v>
      </c>
      <c r="CL94" s="79" t="n">
        <f aca="false">CF94=O94</f>
        <v>1</v>
      </c>
      <c r="CM94" s="79" t="n">
        <f aca="false">CG94=P94</f>
        <v>1</v>
      </c>
    </row>
    <row r="95" s="14" customFormat="true" ht="16.5" hidden="true" customHeight="true" outlineLevel="1" collapsed="false">
      <c r="E95" s="91"/>
      <c r="H95" s="71"/>
      <c r="I95" s="100" t="n">
        <v>0</v>
      </c>
      <c r="J95" s="100" t="n">
        <v>0</v>
      </c>
      <c r="K95" s="101" t="n">
        <f aca="false">I95-J95</f>
        <v>0</v>
      </c>
      <c r="L95" s="100"/>
      <c r="M95" s="100"/>
      <c r="N95" s="100"/>
      <c r="O95" s="100"/>
      <c r="P95" s="100"/>
      <c r="Q95" s="93"/>
      <c r="R95" s="16" t="str">
        <f aca="false">IF(K95=P95, "", "Error")</f>
        <v/>
      </c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91"/>
      <c r="AE95" s="94"/>
      <c r="AF95" s="95"/>
      <c r="AG95" s="91"/>
      <c r="AH95" s="91"/>
      <c r="AI95" s="91"/>
      <c r="AJ95" s="91"/>
      <c r="AK95" s="91"/>
      <c r="AL95" s="91"/>
      <c r="AM95" s="91"/>
      <c r="AN95" s="91"/>
      <c r="AO95" s="91"/>
      <c r="AP95" s="91"/>
      <c r="AQ95" s="94"/>
      <c r="AR95" s="95"/>
      <c r="AS95" s="91"/>
      <c r="AT95" s="91"/>
      <c r="AU95" s="91"/>
      <c r="AV95" s="91"/>
      <c r="AW95" s="91"/>
      <c r="AX95" s="91"/>
      <c r="AY95" s="91"/>
      <c r="AZ95" s="91"/>
      <c r="BA95" s="91"/>
      <c r="BB95" s="91"/>
      <c r="BC95" s="94"/>
      <c r="BD95" s="95"/>
      <c r="BE95" s="91"/>
      <c r="BF95" s="91"/>
      <c r="BG95" s="91"/>
      <c r="BH95" s="91"/>
      <c r="BI95" s="91"/>
      <c r="BJ95" s="91"/>
      <c r="BK95" s="91"/>
      <c r="BL95" s="91"/>
      <c r="BM95" s="91"/>
      <c r="BN95" s="91"/>
      <c r="BO95" s="94"/>
      <c r="BP95" s="95"/>
      <c r="BQ95" s="91"/>
      <c r="BR95" s="91"/>
      <c r="BS95" s="91"/>
      <c r="BT95" s="91"/>
      <c r="BU95" s="91"/>
      <c r="BV95" s="91"/>
      <c r="BW95" s="91"/>
      <c r="BX95" s="91"/>
      <c r="BY95" s="91"/>
      <c r="BZ95" s="91"/>
      <c r="CA95" s="91"/>
      <c r="CC95" s="79" t="n">
        <f aca="false">SUMIFS($T95:$CA95, $T$1:$CA$1, CC$75)</f>
        <v>0</v>
      </c>
      <c r="CD95" s="79" t="n">
        <f aca="false">SUMIFS($T95:$CA95, $T$1:$CA$1, CD$75)</f>
        <v>0</v>
      </c>
      <c r="CE95" s="79" t="n">
        <f aca="false">SUMIFS($T95:$CA95, $T$1:$CA$1, CE$75)</f>
        <v>0</v>
      </c>
      <c r="CF95" s="79" t="n">
        <f aca="false">SUMIFS($T95:$CA95, $T$1:$CA$1, CF$75)</f>
        <v>0</v>
      </c>
      <c r="CG95" s="79" t="n">
        <f aca="false">SUMIFS($T95:$CA95, $T$1:$CA$1, CG$75)</f>
        <v>0</v>
      </c>
      <c r="CI95" s="79" t="n">
        <f aca="false">CC95=L95</f>
        <v>1</v>
      </c>
      <c r="CJ95" s="79" t="n">
        <f aca="false">CD95=M95</f>
        <v>1</v>
      </c>
      <c r="CK95" s="79" t="n">
        <f aca="false">CE95=N95</f>
        <v>1</v>
      </c>
      <c r="CL95" s="79" t="n">
        <f aca="false">CF95=O95</f>
        <v>1</v>
      </c>
      <c r="CM95" s="79" t="n">
        <f aca="false">CG95=P95</f>
        <v>1</v>
      </c>
    </row>
    <row r="96" s="14" customFormat="true" ht="16.5" hidden="false" customHeight="true" outlineLevel="0" collapsed="false">
      <c r="E96" s="96" t="s">
        <v>143</v>
      </c>
      <c r="H96" s="71"/>
      <c r="I96" s="102" t="n">
        <f aca="false">SUM(I91:I95)</f>
        <v>25</v>
      </c>
      <c r="J96" s="102" t="n">
        <f aca="false">SUM(J91:J95)</f>
        <v>13</v>
      </c>
      <c r="K96" s="102" t="n">
        <f aca="false">SUM(K91:K95)</f>
        <v>12</v>
      </c>
      <c r="L96" s="102" t="n">
        <f aca="false">SUM(L91:L95)</f>
        <v>0</v>
      </c>
      <c r="M96" s="102" t="n">
        <f aca="false">SUM(M91:M95)</f>
        <v>0</v>
      </c>
      <c r="N96" s="102" t="n">
        <f aca="false">SUM(N91:N95)</f>
        <v>12</v>
      </c>
      <c r="O96" s="102" t="n">
        <f aca="false">SUM(O91:O95)</f>
        <v>12</v>
      </c>
      <c r="P96" s="102" t="n">
        <f aca="false">SUM(P91:P95)</f>
        <v>12</v>
      </c>
      <c r="Q96" s="103"/>
      <c r="R96" s="103"/>
      <c r="S96" s="104"/>
      <c r="T96" s="105" t="n">
        <f aca="false">SUM(T91:T95)</f>
        <v>0</v>
      </c>
      <c r="U96" s="105" t="n">
        <f aca="false">SUM(U91:U95)</f>
        <v>0</v>
      </c>
      <c r="V96" s="105" t="n">
        <f aca="false">SUM(V91:V95)</f>
        <v>0</v>
      </c>
      <c r="W96" s="105" t="n">
        <f aca="false">SUM(W91:W95)</f>
        <v>0</v>
      </c>
      <c r="X96" s="105" t="n">
        <f aca="false">SUM(X91:X95)</f>
        <v>0</v>
      </c>
      <c r="Y96" s="105" t="n">
        <f aca="false">SUM(Y91:Y95)</f>
        <v>0</v>
      </c>
      <c r="Z96" s="105" t="n">
        <f aca="false">SUM(Z91:Z95)</f>
        <v>0</v>
      </c>
      <c r="AA96" s="105" t="n">
        <f aca="false">SUM(AA91:AA95)</f>
        <v>0</v>
      </c>
      <c r="AB96" s="105" t="n">
        <f aca="false">SUM(AB91:AB95)</f>
        <v>0</v>
      </c>
      <c r="AC96" s="105" t="n">
        <f aca="false">SUM(AC91:AC95)</f>
        <v>0</v>
      </c>
      <c r="AD96" s="105" t="n">
        <f aca="false">SUM(AD91:AD95)</f>
        <v>0</v>
      </c>
      <c r="AE96" s="105" t="n">
        <f aca="false">SUM(AE91:AE95)</f>
        <v>0</v>
      </c>
      <c r="AF96" s="106" t="n">
        <f aca="false">SUM(AF91:AF95)</f>
        <v>0</v>
      </c>
      <c r="AG96" s="105" t="n">
        <f aca="false">SUM(AG91:AG95)</f>
        <v>0</v>
      </c>
      <c r="AH96" s="105" t="n">
        <f aca="false">SUM(AH91:AH95)</f>
        <v>0</v>
      </c>
      <c r="AI96" s="105" t="n">
        <f aca="false">SUM(AI91:AI95)</f>
        <v>0</v>
      </c>
      <c r="AJ96" s="105" t="n">
        <f aca="false">SUM(AJ91:AJ95)</f>
        <v>0</v>
      </c>
      <c r="AK96" s="105" t="n">
        <f aca="false">SUM(AK91:AK95)</f>
        <v>0</v>
      </c>
      <c r="AL96" s="105" t="n">
        <f aca="false">SUM(AL91:AL95)</f>
        <v>0</v>
      </c>
      <c r="AM96" s="105" t="n">
        <f aca="false">SUM(AM91:AM95)</f>
        <v>0</v>
      </c>
      <c r="AN96" s="105" t="n">
        <f aca="false">SUM(AN91:AN95)</f>
        <v>0</v>
      </c>
      <c r="AO96" s="105" t="n">
        <f aca="false">SUM(AO91:AO95)</f>
        <v>0</v>
      </c>
      <c r="AP96" s="105" t="n">
        <f aca="false">SUM(AP91:AP95)</f>
        <v>0</v>
      </c>
      <c r="AQ96" s="105" t="n">
        <f aca="false">SUM(AQ91:AQ95)</f>
        <v>0</v>
      </c>
      <c r="AR96" s="106" t="n">
        <f aca="false">SUM(AR91:AR95)</f>
        <v>1</v>
      </c>
      <c r="AS96" s="105" t="n">
        <f aca="false">SUM(AS91:AS95)</f>
        <v>1</v>
      </c>
      <c r="AT96" s="105" t="n">
        <f aca="false">SUM(AT91:AT95)</f>
        <v>1</v>
      </c>
      <c r="AU96" s="105" t="n">
        <f aca="false">SUM(AU91:AU95)</f>
        <v>1</v>
      </c>
      <c r="AV96" s="105" t="n">
        <f aca="false">SUM(AV91:AV95)</f>
        <v>1</v>
      </c>
      <c r="AW96" s="105" t="n">
        <f aca="false">SUM(AW91:AW95)</f>
        <v>1</v>
      </c>
      <c r="AX96" s="105" t="n">
        <f aca="false">SUM(AX91:AX95)</f>
        <v>1</v>
      </c>
      <c r="AY96" s="105" t="n">
        <f aca="false">SUM(AY91:AY95)</f>
        <v>1</v>
      </c>
      <c r="AZ96" s="105" t="n">
        <f aca="false">SUM(AZ91:AZ95)</f>
        <v>1</v>
      </c>
      <c r="BA96" s="105" t="n">
        <f aca="false">SUM(BA91:BA95)</f>
        <v>1</v>
      </c>
      <c r="BB96" s="105" t="n">
        <f aca="false">SUM(BB91:BB95)</f>
        <v>1</v>
      </c>
      <c r="BC96" s="105" t="n">
        <f aca="false">SUM(BC91:BC95)</f>
        <v>1</v>
      </c>
      <c r="BD96" s="106" t="n">
        <f aca="false">SUM(BD91:BD95)</f>
        <v>1</v>
      </c>
      <c r="BE96" s="105" t="n">
        <f aca="false">SUM(BE91:BE95)</f>
        <v>1</v>
      </c>
      <c r="BF96" s="105" t="n">
        <f aca="false">SUM(BF91:BF95)</f>
        <v>1</v>
      </c>
      <c r="BG96" s="105" t="n">
        <f aca="false">SUM(BG91:BG95)</f>
        <v>1</v>
      </c>
      <c r="BH96" s="105" t="n">
        <f aca="false">SUM(BH91:BH95)</f>
        <v>1</v>
      </c>
      <c r="BI96" s="105" t="n">
        <f aca="false">SUM(BI91:BI95)</f>
        <v>1</v>
      </c>
      <c r="BJ96" s="105" t="n">
        <f aca="false">SUM(BJ91:BJ95)</f>
        <v>1</v>
      </c>
      <c r="BK96" s="105" t="n">
        <f aca="false">SUM(BK91:BK95)</f>
        <v>1</v>
      </c>
      <c r="BL96" s="105" t="n">
        <f aca="false">SUM(BL91:BL95)</f>
        <v>1</v>
      </c>
      <c r="BM96" s="105" t="n">
        <f aca="false">SUM(BM91:BM95)</f>
        <v>1</v>
      </c>
      <c r="BN96" s="105" t="n">
        <f aca="false">SUM(BN91:BN95)</f>
        <v>1</v>
      </c>
      <c r="BO96" s="105" t="n">
        <f aca="false">SUM(BO91:BO95)</f>
        <v>1</v>
      </c>
      <c r="BP96" s="106" t="n">
        <f aca="false">SUM(BP91:BP95)</f>
        <v>1</v>
      </c>
      <c r="BQ96" s="105" t="n">
        <f aca="false">SUM(BQ91:BQ95)</f>
        <v>1</v>
      </c>
      <c r="BR96" s="105" t="n">
        <f aca="false">SUM(BR91:BR95)</f>
        <v>1</v>
      </c>
      <c r="BS96" s="105" t="n">
        <f aca="false">SUM(BS91:BS95)</f>
        <v>1</v>
      </c>
      <c r="BT96" s="105" t="n">
        <f aca="false">SUM(BT91:BT95)</f>
        <v>1</v>
      </c>
      <c r="BU96" s="105" t="n">
        <f aca="false">SUM(BU91:BU95)</f>
        <v>1</v>
      </c>
      <c r="BV96" s="105" t="n">
        <f aca="false">SUM(BV91:BV95)</f>
        <v>1</v>
      </c>
      <c r="BW96" s="105" t="n">
        <f aca="false">SUM(BW91:BW95)</f>
        <v>1</v>
      </c>
      <c r="BX96" s="105" t="n">
        <f aca="false">SUM(BX91:BX95)</f>
        <v>1</v>
      </c>
      <c r="BY96" s="105" t="n">
        <f aca="false">SUM(BY91:BY95)</f>
        <v>1</v>
      </c>
      <c r="BZ96" s="105" t="n">
        <f aca="false">SUM(BZ91:BZ95)</f>
        <v>1</v>
      </c>
      <c r="CA96" s="105" t="n">
        <f aca="false">SUM(CA91:CA95)</f>
        <v>1</v>
      </c>
      <c r="CB96" s="104"/>
      <c r="CC96" s="105" t="n">
        <f aca="false">SUM(CC91:CC95)</f>
        <v>0</v>
      </c>
      <c r="CD96" s="105" t="n">
        <f aca="false">SUM(CD91:CD95)</f>
        <v>0</v>
      </c>
      <c r="CE96" s="105" t="n">
        <f aca="false">SUM(CE91:CE95)</f>
        <v>12</v>
      </c>
      <c r="CF96" s="105" t="n">
        <f aca="false">SUM(CF91:CF95)</f>
        <v>12</v>
      </c>
      <c r="CG96" s="105" t="n">
        <f aca="false">SUM(CG91:CG95)</f>
        <v>12</v>
      </c>
      <c r="CI96" s="84" t="n">
        <f aca="false">CC96=L96</f>
        <v>1</v>
      </c>
      <c r="CJ96" s="84" t="n">
        <f aca="false">CD96=M96</f>
        <v>1</v>
      </c>
      <c r="CK96" s="84" t="n">
        <f aca="false">CE96=N96</f>
        <v>1</v>
      </c>
      <c r="CL96" s="84" t="n">
        <f aca="false">CF96=O96</f>
        <v>1</v>
      </c>
      <c r="CM96" s="84" t="n">
        <f aca="false">CG96=P96</f>
        <v>1</v>
      </c>
    </row>
    <row r="97" s="14" customFormat="true" ht="16.5" hidden="true" customHeight="true" outlineLevel="1" collapsed="false">
      <c r="E97" s="96"/>
      <c r="H97" s="71"/>
      <c r="I97" s="107"/>
      <c r="J97" s="107"/>
      <c r="K97" s="107"/>
      <c r="L97" s="107"/>
      <c r="M97" s="107"/>
      <c r="N97" s="107"/>
      <c r="O97" s="107"/>
      <c r="P97" s="107"/>
      <c r="Q97" s="16"/>
      <c r="R97" s="16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3"/>
      <c r="AG97" s="82"/>
      <c r="AH97" s="82"/>
      <c r="AI97" s="82"/>
      <c r="AJ97" s="82"/>
      <c r="AK97" s="82"/>
      <c r="AL97" s="82"/>
      <c r="AM97" s="82"/>
      <c r="AN97" s="82"/>
      <c r="AO97" s="82"/>
      <c r="AP97" s="82"/>
      <c r="AQ97" s="82"/>
      <c r="AR97" s="83"/>
      <c r="AS97" s="82"/>
      <c r="AT97" s="82"/>
      <c r="AU97" s="82"/>
      <c r="AV97" s="82"/>
      <c r="AW97" s="82"/>
      <c r="AX97" s="82"/>
      <c r="AY97" s="82"/>
      <c r="AZ97" s="82"/>
      <c r="BA97" s="82"/>
      <c r="BB97" s="82"/>
      <c r="BC97" s="82"/>
      <c r="BD97" s="83"/>
      <c r="BE97" s="82"/>
      <c r="BF97" s="82"/>
      <c r="BG97" s="82"/>
      <c r="BH97" s="82"/>
      <c r="BI97" s="82"/>
      <c r="BJ97" s="82"/>
      <c r="BK97" s="82"/>
      <c r="BL97" s="82"/>
      <c r="BM97" s="82"/>
      <c r="BN97" s="82"/>
      <c r="BO97" s="82"/>
      <c r="BP97" s="83"/>
      <c r="BQ97" s="82"/>
      <c r="BR97" s="82"/>
      <c r="BS97" s="82"/>
      <c r="BT97" s="82"/>
      <c r="BU97" s="82"/>
      <c r="BV97" s="82"/>
      <c r="BW97" s="82"/>
      <c r="BX97" s="82"/>
      <c r="BY97" s="82"/>
      <c r="BZ97" s="82"/>
      <c r="CA97" s="82"/>
      <c r="CC97" s="84"/>
      <c r="CD97" s="84"/>
      <c r="CE97" s="84"/>
      <c r="CF97" s="84"/>
      <c r="CG97" s="84"/>
      <c r="CI97" s="84"/>
      <c r="CJ97" s="84"/>
      <c r="CK97" s="84"/>
      <c r="CL97" s="84"/>
      <c r="CM97" s="84"/>
    </row>
    <row r="98" s="14" customFormat="true" ht="16.5" hidden="true" customHeight="true" outlineLevel="1" collapsed="false">
      <c r="E98" s="96"/>
      <c r="H98" s="71"/>
      <c r="I98" s="107"/>
      <c r="J98" s="107"/>
      <c r="K98" s="107"/>
      <c r="L98" s="107"/>
      <c r="M98" s="107"/>
      <c r="N98" s="107"/>
      <c r="O98" s="107"/>
      <c r="P98" s="107"/>
      <c r="Q98" s="16"/>
      <c r="R98" s="16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3"/>
      <c r="AG98" s="82"/>
      <c r="AH98" s="82"/>
      <c r="AI98" s="82"/>
      <c r="AJ98" s="82"/>
      <c r="AK98" s="82"/>
      <c r="AL98" s="82"/>
      <c r="AM98" s="82"/>
      <c r="AN98" s="82"/>
      <c r="AO98" s="82"/>
      <c r="AP98" s="82"/>
      <c r="AQ98" s="82"/>
      <c r="AR98" s="83"/>
      <c r="AS98" s="82"/>
      <c r="AT98" s="82"/>
      <c r="AU98" s="82"/>
      <c r="AV98" s="82"/>
      <c r="AW98" s="82"/>
      <c r="AX98" s="82"/>
      <c r="AY98" s="82"/>
      <c r="AZ98" s="82"/>
      <c r="BA98" s="82"/>
      <c r="BB98" s="82"/>
      <c r="BC98" s="82"/>
      <c r="BD98" s="83"/>
      <c r="BE98" s="82"/>
      <c r="BF98" s="82"/>
      <c r="BG98" s="82"/>
      <c r="BH98" s="82"/>
      <c r="BI98" s="82"/>
      <c r="BJ98" s="82"/>
      <c r="BK98" s="82"/>
      <c r="BL98" s="82"/>
      <c r="BM98" s="82"/>
      <c r="BN98" s="82"/>
      <c r="BO98" s="82"/>
      <c r="BP98" s="83"/>
      <c r="BQ98" s="82"/>
      <c r="BR98" s="82"/>
      <c r="BS98" s="82"/>
      <c r="BT98" s="82"/>
      <c r="BU98" s="82"/>
      <c r="BV98" s="82"/>
      <c r="BW98" s="82"/>
      <c r="BX98" s="82"/>
      <c r="BY98" s="82"/>
      <c r="BZ98" s="82"/>
      <c r="CA98" s="82"/>
      <c r="CC98" s="84"/>
      <c r="CD98" s="84"/>
      <c r="CE98" s="84"/>
      <c r="CF98" s="84"/>
      <c r="CG98" s="84"/>
      <c r="CI98" s="84"/>
      <c r="CJ98" s="84"/>
      <c r="CK98" s="84"/>
      <c r="CL98" s="84"/>
      <c r="CM98" s="84"/>
    </row>
    <row r="99" s="14" customFormat="true" ht="16.5" hidden="true" customHeight="true" outlineLevel="1" collapsed="false">
      <c r="E99" s="85"/>
      <c r="H99" s="71"/>
      <c r="I99" s="108"/>
      <c r="J99" s="108"/>
      <c r="K99" s="108"/>
      <c r="L99" s="108"/>
      <c r="M99" s="108"/>
      <c r="N99" s="108"/>
      <c r="O99" s="108"/>
      <c r="P99" s="108"/>
      <c r="Q99" s="16"/>
      <c r="R99" s="16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9"/>
      <c r="AG99" s="88"/>
      <c r="AH99" s="88"/>
      <c r="AI99" s="88"/>
      <c r="AJ99" s="88"/>
      <c r="AK99" s="88"/>
      <c r="AL99" s="88"/>
      <c r="AM99" s="88"/>
      <c r="AN99" s="88"/>
      <c r="AO99" s="88"/>
      <c r="AP99" s="88"/>
      <c r="AQ99" s="88"/>
      <c r="AR99" s="89"/>
      <c r="AS99" s="88"/>
      <c r="AT99" s="88"/>
      <c r="AU99" s="88"/>
      <c r="AV99" s="88"/>
      <c r="AW99" s="88"/>
      <c r="AX99" s="88"/>
      <c r="AY99" s="88"/>
      <c r="AZ99" s="88"/>
      <c r="BA99" s="88"/>
      <c r="BB99" s="88"/>
      <c r="BC99" s="88"/>
      <c r="BD99" s="89"/>
      <c r="BE99" s="88"/>
      <c r="BF99" s="88"/>
      <c r="BG99" s="88"/>
      <c r="BH99" s="88"/>
      <c r="BI99" s="88"/>
      <c r="BJ99" s="88"/>
      <c r="BK99" s="88"/>
      <c r="BL99" s="88"/>
      <c r="BM99" s="88"/>
      <c r="BN99" s="88"/>
      <c r="BO99" s="88"/>
      <c r="BP99" s="89"/>
      <c r="BQ99" s="88"/>
      <c r="BR99" s="88"/>
      <c r="BS99" s="88"/>
      <c r="BT99" s="88"/>
      <c r="BU99" s="88"/>
      <c r="BV99" s="88"/>
      <c r="BW99" s="88"/>
      <c r="BX99" s="88"/>
      <c r="BY99" s="88"/>
      <c r="BZ99" s="88"/>
      <c r="CA99" s="88"/>
      <c r="CC99" s="90"/>
      <c r="CD99" s="90"/>
      <c r="CE99" s="90"/>
      <c r="CF99" s="90"/>
      <c r="CG99" s="90"/>
      <c r="CI99" s="90"/>
      <c r="CJ99" s="90"/>
      <c r="CK99" s="90"/>
      <c r="CL99" s="90"/>
      <c r="CM99" s="90"/>
    </row>
    <row r="100" s="14" customFormat="true" ht="16.5" hidden="false" customHeight="true" outlineLevel="0" collapsed="false">
      <c r="E100" s="109" t="s">
        <v>144</v>
      </c>
      <c r="F100" s="109"/>
      <c r="G100" s="109"/>
      <c r="H100" s="110"/>
      <c r="I100" s="111" t="n">
        <f aca="false">SUM(I80, I88, I96)</f>
        <v>25</v>
      </c>
      <c r="J100" s="111" t="n">
        <f aca="false">SUM(J80, J88, J96)</f>
        <v>13</v>
      </c>
      <c r="K100" s="111" t="n">
        <f aca="false">SUM(-K80, K88, K96)</f>
        <v>12</v>
      </c>
      <c r="L100" s="111" t="n">
        <f aca="false">SUM(L80, L88, L96)</f>
        <v>0</v>
      </c>
      <c r="M100" s="111" t="n">
        <f aca="false">SUM(M80, M88, M96)</f>
        <v>0</v>
      </c>
      <c r="N100" s="111" t="n">
        <f aca="false">SUM(N80, N88, N96)</f>
        <v>12</v>
      </c>
      <c r="O100" s="111" t="n">
        <f aca="false">SUM(O80, O88, O96)</f>
        <v>12</v>
      </c>
      <c r="P100" s="111" t="n">
        <f aca="false">SUM(P80, P88, P96)</f>
        <v>12</v>
      </c>
      <c r="Q100" s="16"/>
      <c r="R100" s="16"/>
      <c r="T100" s="112" t="n">
        <f aca="false">SUM(T80, T88, T96)</f>
        <v>0</v>
      </c>
      <c r="U100" s="112" t="n">
        <f aca="false">SUM(U80, U88, U96)</f>
        <v>0</v>
      </c>
      <c r="V100" s="112" t="n">
        <f aca="false">SUM(V80, V88, V96)</f>
        <v>0</v>
      </c>
      <c r="W100" s="112" t="n">
        <f aca="false">SUM(W80, W88, W96)</f>
        <v>0</v>
      </c>
      <c r="X100" s="112" t="n">
        <f aca="false">SUM(X80, X88, X96)</f>
        <v>0</v>
      </c>
      <c r="Y100" s="112" t="n">
        <f aca="false">SUM(Y80, Y88, Y96)</f>
        <v>0</v>
      </c>
      <c r="Z100" s="112" t="n">
        <f aca="false">SUM(Z80, Z88, Z96)</f>
        <v>0</v>
      </c>
      <c r="AA100" s="112" t="n">
        <f aca="false">SUM(AA80, AA88, AA96)</f>
        <v>0</v>
      </c>
      <c r="AB100" s="112" t="n">
        <f aca="false">SUM(AB80, AB88, AB96)</f>
        <v>0</v>
      </c>
      <c r="AC100" s="112" t="n">
        <f aca="false">SUM(AC80, AC88, AC96)</f>
        <v>0</v>
      </c>
      <c r="AD100" s="112" t="n">
        <f aca="false">SUM(AD80, AD88, AD96)</f>
        <v>0</v>
      </c>
      <c r="AE100" s="112" t="n">
        <f aca="false">SUM(AE80, AE88, AE96)</f>
        <v>0</v>
      </c>
      <c r="AF100" s="112" t="n">
        <f aca="false">SUM(AF80, AF88, AF96)</f>
        <v>0</v>
      </c>
      <c r="AG100" s="112" t="n">
        <f aca="false">SUM(AG80, AG88, AG96)</f>
        <v>0</v>
      </c>
      <c r="AH100" s="112" t="n">
        <f aca="false">SUM(AH80, AH88, AH96)</f>
        <v>0</v>
      </c>
      <c r="AI100" s="112" t="n">
        <f aca="false">SUM(AI80, AI88, AI96)</f>
        <v>0</v>
      </c>
      <c r="AJ100" s="112" t="n">
        <f aca="false">SUM(AJ80, AJ88, AJ96)</f>
        <v>0</v>
      </c>
      <c r="AK100" s="112" t="n">
        <f aca="false">SUM(AK80, AK88, AK96)</f>
        <v>0</v>
      </c>
      <c r="AL100" s="112" t="n">
        <f aca="false">SUM(AL80, AL88, AL96)</f>
        <v>0</v>
      </c>
      <c r="AM100" s="112" t="n">
        <f aca="false">SUM(AM80, AM88, AM96)</f>
        <v>0</v>
      </c>
      <c r="AN100" s="112" t="n">
        <f aca="false">SUM(AN80, AN88, AN96)</f>
        <v>0</v>
      </c>
      <c r="AO100" s="112" t="n">
        <f aca="false">SUM(AO80, AO88, AO96)</f>
        <v>0</v>
      </c>
      <c r="AP100" s="112" t="n">
        <f aca="false">SUM(AP80, AP88, AP96)</f>
        <v>0</v>
      </c>
      <c r="AQ100" s="112" t="n">
        <f aca="false">SUM(AQ80, AQ88, AQ96)</f>
        <v>0</v>
      </c>
      <c r="AR100" s="112" t="n">
        <f aca="false">SUM(AR80, AR88, AR96)</f>
        <v>1</v>
      </c>
      <c r="AS100" s="112" t="n">
        <f aca="false">SUM(AS80, AS88, AS96)</f>
        <v>1</v>
      </c>
      <c r="AT100" s="112" t="n">
        <f aca="false">SUM(AT80, AT88, AT96)</f>
        <v>1</v>
      </c>
      <c r="AU100" s="112" t="n">
        <f aca="false">SUM(AU80, AU88, AU96)</f>
        <v>1</v>
      </c>
      <c r="AV100" s="112" t="n">
        <f aca="false">SUM(AV80, AV88, AV96)</f>
        <v>1</v>
      </c>
      <c r="AW100" s="112" t="n">
        <f aca="false">SUM(AW80, AW88, AW96)</f>
        <v>1</v>
      </c>
      <c r="AX100" s="112" t="n">
        <f aca="false">SUM(AX80, AX88, AX96)</f>
        <v>1</v>
      </c>
      <c r="AY100" s="112" t="n">
        <f aca="false">SUM(AY80, AY88, AY96)</f>
        <v>1</v>
      </c>
      <c r="AZ100" s="112" t="n">
        <f aca="false">SUM(AZ80, AZ88, AZ96)</f>
        <v>1</v>
      </c>
      <c r="BA100" s="112" t="n">
        <f aca="false">SUM(BA80, BA88, BA96)</f>
        <v>1</v>
      </c>
      <c r="BB100" s="112" t="n">
        <f aca="false">SUM(BB80, BB88, BB96)</f>
        <v>1</v>
      </c>
      <c r="BC100" s="112" t="n">
        <f aca="false">SUM(BC80, BC88, BC96)</f>
        <v>1</v>
      </c>
      <c r="BD100" s="112" t="n">
        <f aca="false">SUM(BD80, BD88, BD96)</f>
        <v>1</v>
      </c>
      <c r="BE100" s="112" t="n">
        <f aca="false">SUM(BE80, BE88, BE96)</f>
        <v>1</v>
      </c>
      <c r="BF100" s="112" t="n">
        <f aca="false">SUM(BF80, BF88, BF96)</f>
        <v>1</v>
      </c>
      <c r="BG100" s="112" t="n">
        <f aca="false">SUM(BG80, BG88, BG96)</f>
        <v>1</v>
      </c>
      <c r="BH100" s="112" t="n">
        <f aca="false">SUM(BH80, BH88, BH96)</f>
        <v>1</v>
      </c>
      <c r="BI100" s="112" t="n">
        <f aca="false">SUM(BI80, BI88, BI96)</f>
        <v>1</v>
      </c>
      <c r="BJ100" s="112" t="n">
        <f aca="false">SUM(BJ80, BJ88, BJ96)</f>
        <v>1</v>
      </c>
      <c r="BK100" s="112" t="n">
        <f aca="false">SUM(BK80, BK88, BK96)</f>
        <v>1</v>
      </c>
      <c r="BL100" s="112" t="n">
        <f aca="false">SUM(BL80, BL88, BL96)</f>
        <v>1</v>
      </c>
      <c r="BM100" s="112" t="n">
        <f aca="false">SUM(BM80, BM88, BM96)</f>
        <v>1</v>
      </c>
      <c r="BN100" s="112" t="n">
        <f aca="false">SUM(BN80, BN88, BN96)</f>
        <v>1</v>
      </c>
      <c r="BO100" s="112" t="n">
        <f aca="false">SUM(BO80, BO88, BO96)</f>
        <v>1</v>
      </c>
      <c r="BP100" s="112" t="n">
        <f aca="false">SUM(BP80, BP88, BP96)</f>
        <v>1</v>
      </c>
      <c r="BQ100" s="112" t="n">
        <f aca="false">SUM(BQ80, BQ88, BQ96)</f>
        <v>1</v>
      </c>
      <c r="BR100" s="112" t="n">
        <f aca="false">SUM(BR80, BR88, BR96)</f>
        <v>1</v>
      </c>
      <c r="BS100" s="112" t="n">
        <f aca="false">SUM(BS80, BS88, BS96)</f>
        <v>1</v>
      </c>
      <c r="BT100" s="112" t="n">
        <f aca="false">SUM(BT80, BT88, BT96)</f>
        <v>1</v>
      </c>
      <c r="BU100" s="112" t="n">
        <f aca="false">SUM(BU80, BU88, BU96)</f>
        <v>1</v>
      </c>
      <c r="BV100" s="112" t="n">
        <f aca="false">SUM(BV80, BV88, BV96)</f>
        <v>1</v>
      </c>
      <c r="BW100" s="112" t="n">
        <f aca="false">SUM(BW80, BW88, BW96)</f>
        <v>1</v>
      </c>
      <c r="BX100" s="112" t="n">
        <f aca="false">SUM(BX80, BX88, BX96)</f>
        <v>1</v>
      </c>
      <c r="BY100" s="112" t="n">
        <f aca="false">SUM(BY80, BY88, BY96)</f>
        <v>1</v>
      </c>
      <c r="BZ100" s="112" t="n">
        <f aca="false">SUM(BZ80, BZ88, BZ96)</f>
        <v>1</v>
      </c>
      <c r="CA100" s="112" t="n">
        <f aca="false">SUM(CA80, CA88, CA96)</f>
        <v>1</v>
      </c>
      <c r="CC100" s="112" t="n">
        <f aca="false">SUM(CC80, CC88, CC96)</f>
        <v>0</v>
      </c>
      <c r="CD100" s="112" t="n">
        <f aca="false">SUM(CD80, CD88, CD96)</f>
        <v>0</v>
      </c>
      <c r="CE100" s="112" t="n">
        <f aca="false">SUM(CE80, CE88, CE96)</f>
        <v>12</v>
      </c>
      <c r="CF100" s="112" t="n">
        <f aca="false">SUM(CF80, CF88, CF96)</f>
        <v>12</v>
      </c>
      <c r="CG100" s="112" t="n">
        <f aca="false">SUM(CG80, CG88, CG96)</f>
        <v>12</v>
      </c>
      <c r="CH100" s="112" t="n">
        <f aca="false">SUM(CH80, CH88, CH96)</f>
        <v>0</v>
      </c>
      <c r="CI100" s="113" t="n">
        <f aca="false">CC100=L100</f>
        <v>1</v>
      </c>
      <c r="CJ100" s="113" t="n">
        <f aca="false">CD100=M100</f>
        <v>1</v>
      </c>
      <c r="CK100" s="113" t="n">
        <f aca="false">CE100=N100</f>
        <v>1</v>
      </c>
      <c r="CL100" s="113" t="n">
        <f aca="false">CF100=O100</f>
        <v>1</v>
      </c>
      <c r="CM100" s="113" t="n">
        <f aca="false">CG100=P100</f>
        <v>1</v>
      </c>
    </row>
    <row r="101" s="14" customFormat="true" ht="16.5" hidden="false" customHeight="true" outlineLevel="0" collapsed="false">
      <c r="H101" s="29"/>
      <c r="I101" s="108"/>
      <c r="J101" s="108"/>
      <c r="K101" s="108"/>
      <c r="L101" s="108"/>
      <c r="M101" s="108"/>
      <c r="N101" s="108"/>
      <c r="O101" s="108"/>
      <c r="P101" s="108"/>
      <c r="Q101" s="16"/>
      <c r="R101" s="16"/>
    </row>
    <row r="102" s="14" customFormat="true" ht="16.5" hidden="false" customHeight="true" outlineLevel="0" collapsed="false">
      <c r="D102" s="30" t="s">
        <v>145</v>
      </c>
      <c r="E102" s="31"/>
      <c r="F102" s="31"/>
      <c r="G102" s="31"/>
      <c r="H102" s="30" t="s">
        <v>130</v>
      </c>
      <c r="I102" s="114" t="s">
        <v>77</v>
      </c>
      <c r="J102" s="114" t="s">
        <v>104</v>
      </c>
      <c r="K102" s="114" t="s">
        <v>131</v>
      </c>
      <c r="L102" s="114" t="n">
        <v>2026</v>
      </c>
      <c r="M102" s="114" t="n">
        <f aca="false">L102+1</f>
        <v>2027</v>
      </c>
      <c r="N102" s="114" t="n">
        <f aca="false">M102+1</f>
        <v>2028</v>
      </c>
      <c r="O102" s="114" t="n">
        <f aca="false">N102+1</f>
        <v>2029</v>
      </c>
      <c r="P102" s="114" t="n">
        <f aca="false">O102+1</f>
        <v>2030</v>
      </c>
      <c r="Q102" s="31" t="s">
        <v>132</v>
      </c>
      <c r="R102" s="31" t="s">
        <v>75</v>
      </c>
      <c r="T102" s="59" t="n">
        <v>46023</v>
      </c>
      <c r="U102" s="60" t="n">
        <f aca="false">EOMONTH(T102, 1)</f>
        <v>46081</v>
      </c>
      <c r="V102" s="60" t="n">
        <f aca="false">EOMONTH(U102, 1)</f>
        <v>46112</v>
      </c>
      <c r="W102" s="60" t="n">
        <f aca="false">EOMONTH(V102, 1)</f>
        <v>46142</v>
      </c>
      <c r="X102" s="60" t="n">
        <f aca="false">EOMONTH(W102, 1)</f>
        <v>46173</v>
      </c>
      <c r="Y102" s="60" t="n">
        <f aca="false">EOMONTH(X102, 1)</f>
        <v>46203</v>
      </c>
      <c r="Z102" s="60" t="n">
        <f aca="false">EOMONTH(Y102, 1)</f>
        <v>46234</v>
      </c>
      <c r="AA102" s="60" t="n">
        <f aca="false">EOMONTH(Z102, 1)</f>
        <v>46265</v>
      </c>
      <c r="AB102" s="60" t="n">
        <f aca="false">EOMONTH(AA102, 1)</f>
        <v>46295</v>
      </c>
      <c r="AC102" s="60" t="n">
        <f aca="false">EOMONTH(AB102, 1)</f>
        <v>46326</v>
      </c>
      <c r="AD102" s="60" t="n">
        <f aca="false">EOMONTH(AC102, 1)</f>
        <v>46356</v>
      </c>
      <c r="AE102" s="61" t="n">
        <f aca="false">EOMONTH(AD102, 1)</f>
        <v>46387</v>
      </c>
      <c r="AF102" s="59" t="n">
        <f aca="false">EOMONTH(AE102, 1)</f>
        <v>46418</v>
      </c>
      <c r="AG102" s="60" t="n">
        <f aca="false">EOMONTH(AF102, 1)</f>
        <v>46446</v>
      </c>
      <c r="AH102" s="60" t="n">
        <f aca="false">EOMONTH(AG102, 1)</f>
        <v>46477</v>
      </c>
      <c r="AI102" s="60" t="n">
        <f aca="false">EOMONTH(AH102, 1)</f>
        <v>46507</v>
      </c>
      <c r="AJ102" s="60" t="n">
        <f aca="false">EOMONTH(AI102, 1)</f>
        <v>46538</v>
      </c>
      <c r="AK102" s="60" t="n">
        <f aca="false">EOMONTH(AJ102, 1)</f>
        <v>46568</v>
      </c>
      <c r="AL102" s="60" t="n">
        <f aca="false">EOMONTH(AK102, 1)</f>
        <v>46599</v>
      </c>
      <c r="AM102" s="60" t="n">
        <f aca="false">EOMONTH(AL102, 1)</f>
        <v>46630</v>
      </c>
      <c r="AN102" s="60" t="n">
        <f aca="false">EOMONTH(AM102, 1)</f>
        <v>46660</v>
      </c>
      <c r="AO102" s="60" t="n">
        <f aca="false">EOMONTH(AN102, 1)</f>
        <v>46691</v>
      </c>
      <c r="AP102" s="60" t="n">
        <f aca="false">EOMONTH(AO102, 1)</f>
        <v>46721</v>
      </c>
      <c r="AQ102" s="61" t="n">
        <f aca="false">EOMONTH(AP102, 1)</f>
        <v>46752</v>
      </c>
      <c r="AR102" s="59" t="n">
        <f aca="false">EOMONTH(AQ102, 1)</f>
        <v>46783</v>
      </c>
      <c r="AS102" s="60" t="n">
        <f aca="false">EOMONTH(AR102, 1)</f>
        <v>46812</v>
      </c>
      <c r="AT102" s="60" t="n">
        <f aca="false">EOMONTH(AS102, 1)</f>
        <v>46843</v>
      </c>
      <c r="AU102" s="60" t="n">
        <f aca="false">EOMONTH(AT102, 1)</f>
        <v>46873</v>
      </c>
      <c r="AV102" s="60" t="n">
        <f aca="false">EOMONTH(AU102, 1)</f>
        <v>46904</v>
      </c>
      <c r="AW102" s="60" t="n">
        <f aca="false">EOMONTH(AV102, 1)</f>
        <v>46934</v>
      </c>
      <c r="AX102" s="60" t="n">
        <f aca="false">EOMONTH(AW102, 1)</f>
        <v>46965</v>
      </c>
      <c r="AY102" s="60" t="n">
        <f aca="false">EOMONTH(AX102, 1)</f>
        <v>46996</v>
      </c>
      <c r="AZ102" s="60" t="n">
        <f aca="false">EOMONTH(AY102, 1)</f>
        <v>47026</v>
      </c>
      <c r="BA102" s="60" t="n">
        <f aca="false">EOMONTH(AZ102, 1)</f>
        <v>47057</v>
      </c>
      <c r="BB102" s="60" t="n">
        <f aca="false">EOMONTH(BA102, 1)</f>
        <v>47087</v>
      </c>
      <c r="BC102" s="61" t="n">
        <f aca="false">EOMONTH(BB102, 1)</f>
        <v>47118</v>
      </c>
      <c r="BD102" s="59" t="n">
        <f aca="false">EOMONTH(BC102, 1)</f>
        <v>47149</v>
      </c>
      <c r="BE102" s="60" t="n">
        <f aca="false">EOMONTH(BD102, 1)</f>
        <v>47177</v>
      </c>
      <c r="BF102" s="60" t="n">
        <f aca="false">EOMONTH(BE102, 1)</f>
        <v>47208</v>
      </c>
      <c r="BG102" s="60" t="n">
        <f aca="false">EOMONTH(BF102, 1)</f>
        <v>47238</v>
      </c>
      <c r="BH102" s="60" t="n">
        <f aca="false">EOMONTH(BG102, 1)</f>
        <v>47269</v>
      </c>
      <c r="BI102" s="60" t="n">
        <f aca="false">EOMONTH(BH102, 1)</f>
        <v>47299</v>
      </c>
      <c r="BJ102" s="60" t="n">
        <f aca="false">EOMONTH(BI102, 1)</f>
        <v>47330</v>
      </c>
      <c r="BK102" s="60" t="n">
        <f aca="false">EOMONTH(BJ102, 1)</f>
        <v>47361</v>
      </c>
      <c r="BL102" s="60" t="n">
        <f aca="false">EOMONTH(BK102, 1)</f>
        <v>47391</v>
      </c>
      <c r="BM102" s="60" t="n">
        <f aca="false">EOMONTH(BL102, 1)</f>
        <v>47422</v>
      </c>
      <c r="BN102" s="60" t="n">
        <f aca="false">EOMONTH(BM102, 1)</f>
        <v>47452</v>
      </c>
      <c r="BO102" s="61" t="n">
        <f aca="false">EOMONTH(BN102, 1)</f>
        <v>47483</v>
      </c>
      <c r="BP102" s="59" t="n">
        <f aca="false">EOMONTH(BO102, 1)</f>
        <v>47514</v>
      </c>
      <c r="BQ102" s="60" t="n">
        <f aca="false">EOMONTH(BP102, 1)</f>
        <v>47542</v>
      </c>
      <c r="BR102" s="60" t="n">
        <f aca="false">EOMONTH(BQ102, 1)</f>
        <v>47573</v>
      </c>
      <c r="BS102" s="60" t="n">
        <f aca="false">EOMONTH(BR102, 1)</f>
        <v>47603</v>
      </c>
      <c r="BT102" s="60" t="n">
        <f aca="false">EOMONTH(BS102, 1)</f>
        <v>47634</v>
      </c>
      <c r="BU102" s="60" t="n">
        <f aca="false">EOMONTH(BT102, 1)</f>
        <v>47664</v>
      </c>
      <c r="BV102" s="60" t="n">
        <f aca="false">EOMONTH(BU102, 1)</f>
        <v>47695</v>
      </c>
      <c r="BW102" s="60" t="n">
        <f aca="false">EOMONTH(BV102, 1)</f>
        <v>47726</v>
      </c>
      <c r="BX102" s="60" t="n">
        <f aca="false">EOMONTH(BW102, 1)</f>
        <v>47756</v>
      </c>
      <c r="BY102" s="60" t="n">
        <f aca="false">EOMONTH(BX102, 1)</f>
        <v>47787</v>
      </c>
      <c r="BZ102" s="60" t="n">
        <f aca="false">EOMONTH(BY102, 1)</f>
        <v>47817</v>
      </c>
      <c r="CA102" s="60" t="n">
        <f aca="false">EOMONTH(BZ102, 1)</f>
        <v>47848</v>
      </c>
      <c r="CC102" s="62" t="n">
        <v>2026</v>
      </c>
      <c r="CD102" s="62" t="n">
        <f aca="false">CC102+1</f>
        <v>2027</v>
      </c>
      <c r="CE102" s="62" t="n">
        <f aca="false">CD102+1</f>
        <v>2028</v>
      </c>
      <c r="CF102" s="62" t="n">
        <f aca="false">CE102+1</f>
        <v>2029</v>
      </c>
      <c r="CG102" s="62" t="n">
        <f aca="false">CF102+1</f>
        <v>2030</v>
      </c>
      <c r="CI102" s="62" t="n">
        <v>2026</v>
      </c>
      <c r="CJ102" s="62" t="n">
        <f aca="false">CI102+1</f>
        <v>2027</v>
      </c>
      <c r="CK102" s="62" t="n">
        <f aca="false">CJ102+1</f>
        <v>2028</v>
      </c>
      <c r="CL102" s="62" t="n">
        <f aca="false">CK102+1</f>
        <v>2029</v>
      </c>
      <c r="CM102" s="62" t="n">
        <f aca="false">CL102+1</f>
        <v>2030</v>
      </c>
    </row>
    <row r="103" s="14" customFormat="true" ht="16.5" hidden="true" customHeight="true" outlineLevel="1" collapsed="false">
      <c r="D103" s="63"/>
      <c r="E103" s="64" t="s">
        <v>102</v>
      </c>
      <c r="H103" s="29"/>
      <c r="I103" s="115" t="s">
        <v>133</v>
      </c>
      <c r="J103" s="115" t="s">
        <v>134</v>
      </c>
      <c r="K103" s="115" t="s">
        <v>135</v>
      </c>
      <c r="L103" s="116"/>
      <c r="M103" s="116"/>
      <c r="N103" s="116"/>
      <c r="O103" s="116"/>
      <c r="P103" s="116"/>
      <c r="Q103" s="16"/>
      <c r="R103" s="1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7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7"/>
      <c r="AS103" s="66"/>
      <c r="AT103" s="66"/>
      <c r="AU103" s="66"/>
      <c r="AV103" s="66"/>
      <c r="AW103" s="66"/>
      <c r="AX103" s="66"/>
      <c r="AY103" s="66"/>
      <c r="AZ103" s="66"/>
      <c r="BA103" s="66"/>
      <c r="BB103" s="66"/>
      <c r="BC103" s="66"/>
      <c r="BD103" s="67"/>
      <c r="BE103" s="66"/>
      <c r="BF103" s="66"/>
      <c r="BG103" s="66"/>
      <c r="BH103" s="66"/>
      <c r="BI103" s="66"/>
      <c r="BJ103" s="66"/>
      <c r="BK103" s="66"/>
      <c r="BL103" s="66"/>
      <c r="BM103" s="66"/>
      <c r="BN103" s="66"/>
      <c r="BO103" s="66"/>
      <c r="BP103" s="67"/>
      <c r="BQ103" s="66"/>
      <c r="BR103" s="66"/>
      <c r="BS103" s="66"/>
      <c r="BT103" s="66"/>
      <c r="BU103" s="66"/>
      <c r="BV103" s="66"/>
      <c r="BW103" s="66"/>
      <c r="BX103" s="66"/>
      <c r="BY103" s="66"/>
      <c r="BZ103" s="66"/>
      <c r="CA103" s="66"/>
    </row>
    <row r="104" s="14" customFormat="true" ht="16.5" hidden="true" customHeight="true" outlineLevel="1" collapsed="false">
      <c r="E104" s="68" t="s">
        <v>136</v>
      </c>
      <c r="F104" s="21"/>
      <c r="G104" s="21"/>
      <c r="H104" s="29"/>
      <c r="I104" s="115"/>
      <c r="J104" s="115"/>
      <c r="K104" s="115"/>
      <c r="L104" s="108"/>
      <c r="M104" s="108"/>
      <c r="N104" s="108"/>
      <c r="O104" s="108"/>
      <c r="P104" s="108"/>
      <c r="Q104" s="16"/>
      <c r="R104" s="16"/>
      <c r="AF104" s="69"/>
      <c r="AR104" s="69"/>
      <c r="BD104" s="69"/>
      <c r="BP104" s="69"/>
    </row>
    <row r="105" s="14" customFormat="true" ht="16.5" hidden="true" customHeight="true" outlineLevel="2" collapsed="false">
      <c r="E105" s="70"/>
      <c r="H105" s="71"/>
      <c r="I105" s="117" t="n">
        <v>0</v>
      </c>
      <c r="J105" s="117" t="n">
        <v>0</v>
      </c>
      <c r="K105" s="101" t="n">
        <f aca="false">J105-I105</f>
        <v>0</v>
      </c>
      <c r="L105" s="117"/>
      <c r="M105" s="117"/>
      <c r="N105" s="117"/>
      <c r="O105" s="117"/>
      <c r="P105" s="118"/>
      <c r="Q105" s="75"/>
      <c r="R105" s="16" t="str">
        <f aca="false">IF(K105=P105, "", "Error")</f>
        <v/>
      </c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7"/>
      <c r="AF105" s="78"/>
      <c r="AG105" s="76"/>
      <c r="AH105" s="76"/>
      <c r="AI105" s="76"/>
      <c r="AJ105" s="76"/>
      <c r="AK105" s="76"/>
      <c r="AL105" s="76"/>
      <c r="AM105" s="76"/>
      <c r="AN105" s="76"/>
      <c r="AO105" s="76"/>
      <c r="AP105" s="76"/>
      <c r="AQ105" s="77"/>
      <c r="AR105" s="78"/>
      <c r="AS105" s="76"/>
      <c r="AT105" s="76"/>
      <c r="AU105" s="76"/>
      <c r="AV105" s="76"/>
      <c r="AW105" s="76"/>
      <c r="AX105" s="76"/>
      <c r="AY105" s="76"/>
      <c r="AZ105" s="76"/>
      <c r="BA105" s="76"/>
      <c r="BB105" s="76"/>
      <c r="BC105" s="77"/>
      <c r="BD105" s="78"/>
      <c r="BE105" s="76"/>
      <c r="BF105" s="76"/>
      <c r="BG105" s="76"/>
      <c r="BH105" s="76"/>
      <c r="BI105" s="76"/>
      <c r="BJ105" s="76"/>
      <c r="BK105" s="76"/>
      <c r="BL105" s="76"/>
      <c r="BM105" s="76"/>
      <c r="BN105" s="76"/>
      <c r="BO105" s="77"/>
      <c r="BP105" s="78"/>
      <c r="BQ105" s="76"/>
      <c r="BR105" s="76"/>
      <c r="BS105" s="76"/>
      <c r="BT105" s="76"/>
      <c r="BU105" s="76"/>
      <c r="BV105" s="76"/>
      <c r="BW105" s="76"/>
      <c r="BX105" s="76"/>
      <c r="BY105" s="76"/>
      <c r="BZ105" s="76"/>
      <c r="CA105" s="76"/>
      <c r="CC105" s="79" t="n">
        <f aca="false">SUMIFS($T105:$CA105, $T$1:$CA$1, CC$75)</f>
        <v>0</v>
      </c>
      <c r="CD105" s="79" t="n">
        <f aca="false">SUMIFS($T105:$CA105, $T$1:$CA$1, CD$75)</f>
        <v>0</v>
      </c>
      <c r="CE105" s="79" t="n">
        <f aca="false">SUMIFS($T105:$CA105, $T$1:$CA$1, CE$75)</f>
        <v>0</v>
      </c>
      <c r="CF105" s="79" t="n">
        <f aca="false">SUMIFS($T105:$CA105, $T$1:$CA$1, CF$75)</f>
        <v>0</v>
      </c>
      <c r="CG105" s="79" t="n">
        <f aca="false">SUMIFS($T105:$CA105, $T$1:$CA$1, CG$75)</f>
        <v>0</v>
      </c>
      <c r="CI105" s="79" t="n">
        <f aca="false">CC105=L105</f>
        <v>1</v>
      </c>
      <c r="CJ105" s="79" t="n">
        <f aca="false">CD105=M105</f>
        <v>1</v>
      </c>
      <c r="CK105" s="79" t="n">
        <f aca="false">CE105=N105</f>
        <v>1</v>
      </c>
      <c r="CL105" s="79" t="n">
        <f aca="false">CF105=O105</f>
        <v>1</v>
      </c>
      <c r="CM105" s="79" t="n">
        <f aca="false">CG105=P105</f>
        <v>1</v>
      </c>
    </row>
    <row r="106" s="14" customFormat="true" ht="16.5" hidden="true" customHeight="true" outlineLevel="2" collapsed="false">
      <c r="E106" s="70"/>
      <c r="H106" s="71"/>
      <c r="I106" s="117" t="n">
        <v>0</v>
      </c>
      <c r="J106" s="117" t="n">
        <v>0</v>
      </c>
      <c r="K106" s="101" t="n">
        <f aca="false">J106-I106</f>
        <v>0</v>
      </c>
      <c r="L106" s="117"/>
      <c r="M106" s="117"/>
      <c r="N106" s="117"/>
      <c r="O106" s="117"/>
      <c r="P106" s="118"/>
      <c r="Q106" s="75"/>
      <c r="R106" s="16" t="str">
        <f aca="false">IF(K106=P106, "", "Error")</f>
        <v/>
      </c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7"/>
      <c r="AF106" s="78"/>
      <c r="AG106" s="76"/>
      <c r="AH106" s="76"/>
      <c r="AI106" s="76"/>
      <c r="AJ106" s="76"/>
      <c r="AK106" s="76"/>
      <c r="AL106" s="76"/>
      <c r="AM106" s="76"/>
      <c r="AN106" s="76"/>
      <c r="AO106" s="76"/>
      <c r="AP106" s="76"/>
      <c r="AQ106" s="77"/>
      <c r="AR106" s="78"/>
      <c r="AS106" s="76"/>
      <c r="AT106" s="76"/>
      <c r="AU106" s="76"/>
      <c r="AV106" s="76"/>
      <c r="AW106" s="76"/>
      <c r="AX106" s="76"/>
      <c r="AY106" s="76"/>
      <c r="AZ106" s="76"/>
      <c r="BA106" s="76"/>
      <c r="BB106" s="76"/>
      <c r="BC106" s="77"/>
      <c r="BD106" s="78"/>
      <c r="BE106" s="76"/>
      <c r="BF106" s="76"/>
      <c r="BG106" s="76"/>
      <c r="BH106" s="76"/>
      <c r="BI106" s="76"/>
      <c r="BJ106" s="76"/>
      <c r="BK106" s="76"/>
      <c r="BL106" s="76"/>
      <c r="BM106" s="76"/>
      <c r="BN106" s="76"/>
      <c r="BO106" s="77"/>
      <c r="BP106" s="78"/>
      <c r="BQ106" s="76"/>
      <c r="BR106" s="76"/>
      <c r="BS106" s="76"/>
      <c r="BT106" s="76"/>
      <c r="BU106" s="76"/>
      <c r="BV106" s="76"/>
      <c r="BW106" s="76"/>
      <c r="BX106" s="76"/>
      <c r="BY106" s="76"/>
      <c r="BZ106" s="76"/>
      <c r="CA106" s="76"/>
      <c r="CC106" s="79" t="n">
        <f aca="false">SUMIFS($T106:$CA106, $T$1:$CA$1, CC$75)</f>
        <v>0</v>
      </c>
      <c r="CD106" s="79" t="n">
        <f aca="false">SUMIFS($T106:$CA106, $T$1:$CA$1, CD$75)</f>
        <v>0</v>
      </c>
      <c r="CE106" s="79" t="n">
        <f aca="false">SUMIFS($T106:$CA106, $T$1:$CA$1, CE$75)</f>
        <v>0</v>
      </c>
      <c r="CF106" s="79" t="n">
        <f aca="false">SUMIFS($T106:$CA106, $T$1:$CA$1, CF$75)</f>
        <v>0</v>
      </c>
      <c r="CG106" s="79" t="n">
        <f aca="false">SUMIFS($T106:$CA106, $T$1:$CA$1, CG$75)</f>
        <v>0</v>
      </c>
      <c r="CI106" s="79" t="n">
        <f aca="false">CC106=L106</f>
        <v>1</v>
      </c>
      <c r="CJ106" s="79" t="n">
        <f aca="false">CD106=M106</f>
        <v>1</v>
      </c>
      <c r="CK106" s="79" t="n">
        <f aca="false">CE106=N106</f>
        <v>1</v>
      </c>
      <c r="CL106" s="79" t="n">
        <f aca="false">CF106=O106</f>
        <v>1</v>
      </c>
      <c r="CM106" s="79" t="n">
        <f aca="false">CG106=P106</f>
        <v>1</v>
      </c>
    </row>
    <row r="107" s="14" customFormat="true" ht="16.5" hidden="true" customHeight="true" outlineLevel="1" collapsed="true">
      <c r="E107" s="80" t="s">
        <v>137</v>
      </c>
      <c r="H107" s="29"/>
      <c r="I107" s="107" t="n">
        <f aca="false">SUM(I105:I106)</f>
        <v>0</v>
      </c>
      <c r="J107" s="107" t="n">
        <f aca="false">SUM(J105:J106)</f>
        <v>0</v>
      </c>
      <c r="K107" s="107" t="n">
        <f aca="false">SUM(K105:K106)</f>
        <v>0</v>
      </c>
      <c r="L107" s="107" t="n">
        <f aca="false">SUM(L105:L106)</f>
        <v>0</v>
      </c>
      <c r="M107" s="107" t="n">
        <f aca="false">SUM(M105:M106)</f>
        <v>0</v>
      </c>
      <c r="N107" s="107" t="n">
        <f aca="false">SUM(N105:N106)</f>
        <v>0</v>
      </c>
      <c r="O107" s="107" t="n">
        <f aca="false">SUM(O105:O106)</f>
        <v>0</v>
      </c>
      <c r="P107" s="107" t="n">
        <f aca="false">SUM(P105:P106)</f>
        <v>0</v>
      </c>
      <c r="Q107" s="16"/>
      <c r="R107" s="16"/>
      <c r="T107" s="82" t="n">
        <f aca="false">SUM(T105:T106)</f>
        <v>0</v>
      </c>
      <c r="U107" s="82" t="n">
        <f aca="false">SUM(U105:U106)</f>
        <v>0</v>
      </c>
      <c r="V107" s="82" t="n">
        <f aca="false">SUM(V105:V106)</f>
        <v>0</v>
      </c>
      <c r="W107" s="82" t="n">
        <f aca="false">SUM(W105:W106)</f>
        <v>0</v>
      </c>
      <c r="X107" s="82" t="n">
        <f aca="false">SUM(X105:X106)</f>
        <v>0</v>
      </c>
      <c r="Y107" s="82" t="n">
        <f aca="false">SUM(Y105:Y106)</f>
        <v>0</v>
      </c>
      <c r="Z107" s="82" t="n">
        <f aca="false">SUM(Z105:Z106)</f>
        <v>0</v>
      </c>
      <c r="AA107" s="82" t="n">
        <f aca="false">SUM(AA105:AA106)</f>
        <v>0</v>
      </c>
      <c r="AB107" s="82" t="n">
        <f aca="false">SUM(AB105:AB106)</f>
        <v>0</v>
      </c>
      <c r="AC107" s="82" t="n">
        <f aca="false">SUM(AC105:AC106)</f>
        <v>0</v>
      </c>
      <c r="AD107" s="82" t="n">
        <f aca="false">SUM(AD105:AD106)</f>
        <v>0</v>
      </c>
      <c r="AE107" s="82" t="n">
        <f aca="false">SUM(AE105:AE106)</f>
        <v>0</v>
      </c>
      <c r="AF107" s="83" t="n">
        <f aca="false">SUM(AF105:AF106)</f>
        <v>0</v>
      </c>
      <c r="AG107" s="82" t="n">
        <f aca="false">SUM(AG105:AG106)</f>
        <v>0</v>
      </c>
      <c r="AH107" s="82" t="n">
        <f aca="false">SUM(AH105:AH106)</f>
        <v>0</v>
      </c>
      <c r="AI107" s="82" t="n">
        <f aca="false">SUM(AI105:AI106)</f>
        <v>0</v>
      </c>
      <c r="AJ107" s="82" t="n">
        <f aca="false">SUM(AJ105:AJ106)</f>
        <v>0</v>
      </c>
      <c r="AK107" s="82" t="n">
        <f aca="false">SUM(AK105:AK106)</f>
        <v>0</v>
      </c>
      <c r="AL107" s="82" t="n">
        <f aca="false">SUM(AL105:AL106)</f>
        <v>0</v>
      </c>
      <c r="AM107" s="82" t="n">
        <f aca="false">SUM(AM105:AM106)</f>
        <v>0</v>
      </c>
      <c r="AN107" s="82" t="n">
        <f aca="false">SUM(AN105:AN106)</f>
        <v>0</v>
      </c>
      <c r="AO107" s="82" t="n">
        <f aca="false">SUM(AO105:AO106)</f>
        <v>0</v>
      </c>
      <c r="AP107" s="82" t="n">
        <f aca="false">SUM(AP105:AP106)</f>
        <v>0</v>
      </c>
      <c r="AQ107" s="82" t="n">
        <f aca="false">SUM(AQ105:AQ106)</f>
        <v>0</v>
      </c>
      <c r="AR107" s="83" t="n">
        <f aca="false">SUM(AR105:AR106)</f>
        <v>0</v>
      </c>
      <c r="AS107" s="82" t="n">
        <f aca="false">SUM(AS105:AS106)</f>
        <v>0</v>
      </c>
      <c r="AT107" s="82" t="n">
        <f aca="false">SUM(AT105:AT106)</f>
        <v>0</v>
      </c>
      <c r="AU107" s="82" t="n">
        <f aca="false">SUM(AU105:AU106)</f>
        <v>0</v>
      </c>
      <c r="AV107" s="82" t="n">
        <f aca="false">SUM(AV105:AV106)</f>
        <v>0</v>
      </c>
      <c r="AW107" s="82" t="n">
        <f aca="false">SUM(AW105:AW106)</f>
        <v>0</v>
      </c>
      <c r="AX107" s="82" t="n">
        <f aca="false">SUM(AX105:AX106)</f>
        <v>0</v>
      </c>
      <c r="AY107" s="82" t="n">
        <f aca="false">SUM(AY105:AY106)</f>
        <v>0</v>
      </c>
      <c r="AZ107" s="82" t="n">
        <f aca="false">SUM(AZ105:AZ106)</f>
        <v>0</v>
      </c>
      <c r="BA107" s="82" t="n">
        <f aca="false">SUM(BA105:BA106)</f>
        <v>0</v>
      </c>
      <c r="BB107" s="82" t="n">
        <f aca="false">SUM(BB105:BB106)</f>
        <v>0</v>
      </c>
      <c r="BC107" s="82" t="n">
        <f aca="false">SUM(BC105:BC106)</f>
        <v>0</v>
      </c>
      <c r="BD107" s="83" t="n">
        <f aca="false">SUM(BD105:BD106)</f>
        <v>0</v>
      </c>
      <c r="BE107" s="82" t="n">
        <f aca="false">SUM(BE105:BE106)</f>
        <v>0</v>
      </c>
      <c r="BF107" s="82" t="n">
        <f aca="false">SUM(BF105:BF106)</f>
        <v>0</v>
      </c>
      <c r="BG107" s="82" t="n">
        <f aca="false">SUM(BG105:BG106)</f>
        <v>0</v>
      </c>
      <c r="BH107" s="82" t="n">
        <f aca="false">SUM(BH105:BH106)</f>
        <v>0</v>
      </c>
      <c r="BI107" s="82" t="n">
        <f aca="false">SUM(BI105:BI106)</f>
        <v>0</v>
      </c>
      <c r="BJ107" s="82" t="n">
        <f aca="false">SUM(BJ105:BJ106)</f>
        <v>0</v>
      </c>
      <c r="BK107" s="82" t="n">
        <f aca="false">SUM(BK105:BK106)</f>
        <v>0</v>
      </c>
      <c r="BL107" s="82" t="n">
        <f aca="false">SUM(BL105:BL106)</f>
        <v>0</v>
      </c>
      <c r="BM107" s="82" t="n">
        <f aca="false">SUM(BM105:BM106)</f>
        <v>0</v>
      </c>
      <c r="BN107" s="82" t="n">
        <f aca="false">SUM(BN105:BN106)</f>
        <v>0</v>
      </c>
      <c r="BO107" s="82" t="n">
        <f aca="false">SUM(BO105:BO106)</f>
        <v>0</v>
      </c>
      <c r="BP107" s="83" t="n">
        <f aca="false">SUM(BP105:BP106)</f>
        <v>0</v>
      </c>
      <c r="BQ107" s="82" t="n">
        <f aca="false">SUM(BQ105:BQ106)</f>
        <v>0</v>
      </c>
      <c r="BR107" s="82" t="n">
        <f aca="false">SUM(BR105:BR106)</f>
        <v>0</v>
      </c>
      <c r="BS107" s="82" t="n">
        <f aca="false">SUM(BS105:BS106)</f>
        <v>0</v>
      </c>
      <c r="BT107" s="82" t="n">
        <f aca="false">SUM(BT105:BT106)</f>
        <v>0</v>
      </c>
      <c r="BU107" s="82" t="n">
        <f aca="false">SUM(BU105:BU106)</f>
        <v>0</v>
      </c>
      <c r="BV107" s="82" t="n">
        <f aca="false">SUM(BV105:BV106)</f>
        <v>0</v>
      </c>
      <c r="BW107" s="82" t="n">
        <f aca="false">SUM(BW105:BW106)</f>
        <v>0</v>
      </c>
      <c r="BX107" s="82" t="n">
        <f aca="false">SUM(BX105:BX106)</f>
        <v>0</v>
      </c>
      <c r="BY107" s="82" t="n">
        <f aca="false">SUM(BY105:BY106)</f>
        <v>0</v>
      </c>
      <c r="BZ107" s="82" t="n">
        <f aca="false">SUM(BZ105:BZ106)</f>
        <v>0</v>
      </c>
      <c r="CA107" s="84" t="n">
        <f aca="false">SUM(CA105:CA106)</f>
        <v>0</v>
      </c>
      <c r="CC107" s="84" t="n">
        <f aca="false">SUM(CC105:CC106)</f>
        <v>0</v>
      </c>
      <c r="CD107" s="84" t="n">
        <f aca="false">SUM(CD105:CD106)</f>
        <v>0</v>
      </c>
      <c r="CE107" s="84" t="n">
        <f aca="false">SUM(CE105:CE106)</f>
        <v>0</v>
      </c>
      <c r="CF107" s="84" t="n">
        <f aca="false">SUM(CF105:CF106)</f>
        <v>0</v>
      </c>
      <c r="CG107" s="84" t="n">
        <f aca="false">SUM(CG105:CG106)</f>
        <v>0</v>
      </c>
      <c r="CI107" s="84" t="n">
        <f aca="false">CC107=L107</f>
        <v>1</v>
      </c>
      <c r="CJ107" s="84" t="n">
        <f aca="false">CD107=M107</f>
        <v>1</v>
      </c>
      <c r="CK107" s="84" t="n">
        <f aca="false">CE107=N107</f>
        <v>1</v>
      </c>
      <c r="CL107" s="84" t="n">
        <f aca="false">CF107=O107</f>
        <v>1</v>
      </c>
      <c r="CM107" s="84" t="n">
        <f aca="false">CG107=P107</f>
        <v>1</v>
      </c>
    </row>
    <row r="108" s="14" customFormat="true" ht="16.5" hidden="true" customHeight="true" outlineLevel="1" collapsed="false">
      <c r="E108" s="85"/>
      <c r="H108" s="29"/>
      <c r="I108" s="108"/>
      <c r="J108" s="108"/>
      <c r="K108" s="108"/>
      <c r="L108" s="108"/>
      <c r="M108" s="108"/>
      <c r="N108" s="108"/>
      <c r="O108" s="108"/>
      <c r="P108" s="108"/>
      <c r="Q108" s="16"/>
      <c r="R108" s="16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9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  <c r="AQ108" s="88"/>
      <c r="AR108" s="89"/>
      <c r="AS108" s="88"/>
      <c r="AT108" s="88"/>
      <c r="AU108" s="88"/>
      <c r="AV108" s="88"/>
      <c r="AW108" s="88"/>
      <c r="AX108" s="88"/>
      <c r="AY108" s="88"/>
      <c r="AZ108" s="88"/>
      <c r="BA108" s="88"/>
      <c r="BB108" s="88"/>
      <c r="BC108" s="88"/>
      <c r="BD108" s="89"/>
      <c r="BE108" s="88"/>
      <c r="BF108" s="88"/>
      <c r="BG108" s="88"/>
      <c r="BH108" s="88"/>
      <c r="BI108" s="88"/>
      <c r="BJ108" s="88"/>
      <c r="BK108" s="88"/>
      <c r="BL108" s="88"/>
      <c r="BM108" s="88"/>
      <c r="BN108" s="88"/>
      <c r="BO108" s="88"/>
      <c r="BP108" s="89"/>
      <c r="BQ108" s="88"/>
      <c r="BR108" s="88"/>
      <c r="BS108" s="88"/>
      <c r="BT108" s="88"/>
      <c r="BU108" s="88"/>
      <c r="BV108" s="88"/>
      <c r="BW108" s="88"/>
      <c r="BX108" s="88"/>
      <c r="BY108" s="88"/>
      <c r="BZ108" s="88"/>
      <c r="CA108" s="90"/>
      <c r="CC108" s="90"/>
      <c r="CD108" s="90"/>
      <c r="CE108" s="90"/>
      <c r="CF108" s="90"/>
      <c r="CG108" s="90"/>
      <c r="CI108" s="90"/>
      <c r="CJ108" s="90"/>
      <c r="CK108" s="90"/>
      <c r="CL108" s="90"/>
      <c r="CM108" s="90"/>
    </row>
    <row r="109" s="14" customFormat="true" ht="16.5" hidden="true" customHeight="true" outlineLevel="1" collapsed="false">
      <c r="E109" s="21" t="s">
        <v>138</v>
      </c>
      <c r="H109" s="29"/>
      <c r="I109" s="108"/>
      <c r="J109" s="108"/>
      <c r="K109" s="108"/>
      <c r="L109" s="108"/>
      <c r="M109" s="108"/>
      <c r="N109" s="108"/>
      <c r="O109" s="108"/>
      <c r="P109" s="108"/>
      <c r="Q109" s="16"/>
      <c r="R109" s="16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9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  <c r="AQ109" s="88"/>
      <c r="AR109" s="89"/>
      <c r="AS109" s="88"/>
      <c r="AT109" s="88"/>
      <c r="AU109" s="88"/>
      <c r="AV109" s="88"/>
      <c r="AW109" s="88"/>
      <c r="AX109" s="88"/>
      <c r="AY109" s="88"/>
      <c r="AZ109" s="88"/>
      <c r="BA109" s="88"/>
      <c r="BB109" s="88"/>
      <c r="BC109" s="88"/>
      <c r="BD109" s="89"/>
      <c r="BE109" s="88"/>
      <c r="BF109" s="88"/>
      <c r="BG109" s="88"/>
      <c r="BH109" s="88"/>
      <c r="BI109" s="88"/>
      <c r="BJ109" s="88"/>
      <c r="BK109" s="88"/>
      <c r="BL109" s="88"/>
      <c r="BM109" s="88"/>
      <c r="BN109" s="88"/>
      <c r="BO109" s="88"/>
      <c r="BP109" s="89"/>
      <c r="BQ109" s="88"/>
      <c r="BR109" s="88"/>
      <c r="BS109" s="88"/>
      <c r="BT109" s="88"/>
      <c r="BU109" s="88"/>
      <c r="BV109" s="88"/>
      <c r="BW109" s="88"/>
      <c r="BX109" s="88"/>
      <c r="BY109" s="88"/>
      <c r="BZ109" s="88"/>
      <c r="CA109" s="90"/>
      <c r="CC109" s="90"/>
      <c r="CD109" s="90"/>
      <c r="CE109" s="90"/>
      <c r="CF109" s="90"/>
      <c r="CG109" s="90"/>
      <c r="CI109" s="90"/>
      <c r="CJ109" s="90"/>
      <c r="CK109" s="90"/>
      <c r="CL109" s="90"/>
      <c r="CM109" s="90"/>
    </row>
    <row r="110" s="14" customFormat="true" ht="16.5" hidden="true" customHeight="true" outlineLevel="2" collapsed="false">
      <c r="E110" s="91"/>
      <c r="H110" s="29"/>
      <c r="I110" s="100" t="n">
        <v>0</v>
      </c>
      <c r="J110" s="100" t="n">
        <v>0</v>
      </c>
      <c r="K110" s="101" t="n">
        <f aca="false">J110-I110</f>
        <v>0</v>
      </c>
      <c r="L110" s="100"/>
      <c r="M110" s="100"/>
      <c r="N110" s="100"/>
      <c r="O110" s="100"/>
      <c r="P110" s="100"/>
      <c r="Q110" s="93"/>
      <c r="R110" s="16" t="str">
        <f aca="false">IF(K110=P110, "", "Error")</f>
        <v/>
      </c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4"/>
      <c r="AF110" s="95"/>
      <c r="AG110" s="91"/>
      <c r="AH110" s="91"/>
      <c r="AI110" s="91"/>
      <c r="AJ110" s="91"/>
      <c r="AK110" s="91"/>
      <c r="AL110" s="91"/>
      <c r="AM110" s="91"/>
      <c r="AN110" s="91"/>
      <c r="AO110" s="91"/>
      <c r="AP110" s="91"/>
      <c r="AQ110" s="94"/>
      <c r="AR110" s="95"/>
      <c r="AS110" s="91"/>
      <c r="AT110" s="91"/>
      <c r="AU110" s="91"/>
      <c r="AV110" s="91"/>
      <c r="AW110" s="91"/>
      <c r="AX110" s="91"/>
      <c r="AY110" s="91"/>
      <c r="AZ110" s="91"/>
      <c r="BA110" s="91"/>
      <c r="BB110" s="91"/>
      <c r="BC110" s="94"/>
      <c r="BD110" s="95"/>
      <c r="BE110" s="91"/>
      <c r="BF110" s="91"/>
      <c r="BG110" s="91"/>
      <c r="BH110" s="91"/>
      <c r="BI110" s="91"/>
      <c r="BJ110" s="91"/>
      <c r="BK110" s="91"/>
      <c r="BL110" s="91"/>
      <c r="BM110" s="91"/>
      <c r="BN110" s="91"/>
      <c r="BO110" s="94"/>
      <c r="BP110" s="95"/>
      <c r="BQ110" s="91"/>
      <c r="BR110" s="91"/>
      <c r="BS110" s="91"/>
      <c r="BT110" s="91"/>
      <c r="BU110" s="91"/>
      <c r="BV110" s="91"/>
      <c r="BW110" s="91"/>
      <c r="BX110" s="91"/>
      <c r="BY110" s="91"/>
      <c r="BZ110" s="91"/>
      <c r="CA110" s="119"/>
      <c r="CC110" s="79" t="n">
        <f aca="false">SUMIFS($T110:$CA110, $T$1:$CA$1, CC$75)</f>
        <v>0</v>
      </c>
      <c r="CD110" s="79" t="n">
        <f aca="false">SUMIFS($T110:$CA110, $T$1:$CA$1, CD$75)</f>
        <v>0</v>
      </c>
      <c r="CE110" s="79" t="n">
        <f aca="false">SUMIFS($T110:$CA110, $T$1:$CA$1, CE$75)</f>
        <v>0</v>
      </c>
      <c r="CF110" s="79" t="n">
        <f aca="false">SUMIFS($T110:$CA110, $T$1:$CA$1, CF$75)</f>
        <v>0</v>
      </c>
      <c r="CG110" s="79" t="n">
        <f aca="false">SUMIFS($T110:$CA110, $T$1:$CA$1, CG$75)</f>
        <v>0</v>
      </c>
      <c r="CI110" s="79" t="n">
        <f aca="false">CC110=L110</f>
        <v>1</v>
      </c>
      <c r="CJ110" s="79" t="n">
        <f aca="false">CD110=M110</f>
        <v>1</v>
      </c>
      <c r="CK110" s="79" t="n">
        <f aca="false">CE110=N110</f>
        <v>1</v>
      </c>
      <c r="CL110" s="79" t="n">
        <f aca="false">CF110=O110</f>
        <v>1</v>
      </c>
      <c r="CM110" s="79" t="n">
        <f aca="false">CG110=P110</f>
        <v>1</v>
      </c>
    </row>
    <row r="111" s="14" customFormat="true" ht="16.5" hidden="true" customHeight="true" outlineLevel="2" collapsed="false">
      <c r="E111" s="91"/>
      <c r="H111" s="29"/>
      <c r="I111" s="100" t="n">
        <v>0</v>
      </c>
      <c r="J111" s="100" t="n">
        <v>0</v>
      </c>
      <c r="K111" s="101" t="n">
        <f aca="false">J111-I111</f>
        <v>0</v>
      </c>
      <c r="L111" s="100"/>
      <c r="M111" s="100"/>
      <c r="N111" s="100"/>
      <c r="O111" s="100"/>
      <c r="P111" s="100"/>
      <c r="Q111" s="93"/>
      <c r="R111" s="16" t="str">
        <f aca="false">IF(K111=P111, "", "Error")</f>
        <v/>
      </c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4"/>
      <c r="AF111" s="95"/>
      <c r="AG111" s="91"/>
      <c r="AH111" s="91"/>
      <c r="AI111" s="91"/>
      <c r="AJ111" s="91"/>
      <c r="AK111" s="91"/>
      <c r="AL111" s="91"/>
      <c r="AM111" s="91"/>
      <c r="AN111" s="91"/>
      <c r="AO111" s="91"/>
      <c r="AP111" s="91"/>
      <c r="AQ111" s="94"/>
      <c r="AR111" s="95"/>
      <c r="AS111" s="91"/>
      <c r="AT111" s="91"/>
      <c r="AU111" s="91"/>
      <c r="AV111" s="91"/>
      <c r="AW111" s="91"/>
      <c r="AX111" s="91"/>
      <c r="AY111" s="91"/>
      <c r="AZ111" s="91"/>
      <c r="BA111" s="91"/>
      <c r="BB111" s="91"/>
      <c r="BC111" s="94"/>
      <c r="BD111" s="95"/>
      <c r="BE111" s="91"/>
      <c r="BF111" s="91"/>
      <c r="BG111" s="91"/>
      <c r="BH111" s="91"/>
      <c r="BI111" s="91"/>
      <c r="BJ111" s="91"/>
      <c r="BK111" s="91"/>
      <c r="BL111" s="91"/>
      <c r="BM111" s="91"/>
      <c r="BN111" s="91"/>
      <c r="BO111" s="94"/>
      <c r="BP111" s="95"/>
      <c r="BQ111" s="91"/>
      <c r="BR111" s="91"/>
      <c r="BS111" s="91"/>
      <c r="BT111" s="91"/>
      <c r="BU111" s="91"/>
      <c r="BV111" s="91"/>
      <c r="BW111" s="91"/>
      <c r="BX111" s="91"/>
      <c r="BY111" s="91"/>
      <c r="BZ111" s="91"/>
      <c r="CA111" s="119"/>
      <c r="CC111" s="79" t="n">
        <f aca="false">SUMIFS($T111:$CA111, $T$1:$CA$1, CC$75)</f>
        <v>0</v>
      </c>
      <c r="CD111" s="79" t="n">
        <f aca="false">SUMIFS($T111:$CA111, $T$1:$CA$1, CD$75)</f>
        <v>0</v>
      </c>
      <c r="CE111" s="79" t="n">
        <f aca="false">SUMIFS($T111:$CA111, $T$1:$CA$1, CE$75)</f>
        <v>0</v>
      </c>
      <c r="CF111" s="79" t="n">
        <f aca="false">SUMIFS($T111:$CA111, $T$1:$CA$1, CF$75)</f>
        <v>0</v>
      </c>
      <c r="CG111" s="79" t="n">
        <f aca="false">SUMIFS($T111:$CA111, $T$1:$CA$1, CG$75)</f>
        <v>0</v>
      </c>
      <c r="CI111" s="79" t="n">
        <f aca="false">CC111=L111</f>
        <v>1</v>
      </c>
      <c r="CJ111" s="79" t="n">
        <f aca="false">CD111=M111</f>
        <v>1</v>
      </c>
      <c r="CK111" s="79" t="n">
        <f aca="false">CE111=N111</f>
        <v>1</v>
      </c>
      <c r="CL111" s="79" t="n">
        <f aca="false">CF111=O111</f>
        <v>1</v>
      </c>
      <c r="CM111" s="79" t="n">
        <f aca="false">CG111=P111</f>
        <v>1</v>
      </c>
    </row>
    <row r="112" s="14" customFormat="true" ht="16.5" hidden="true" customHeight="true" outlineLevel="2" collapsed="false">
      <c r="E112" s="91"/>
      <c r="H112" s="29"/>
      <c r="I112" s="100" t="n">
        <v>0</v>
      </c>
      <c r="J112" s="100" t="n">
        <v>0</v>
      </c>
      <c r="K112" s="101" t="n">
        <f aca="false">J112-I112</f>
        <v>0</v>
      </c>
      <c r="L112" s="100"/>
      <c r="M112" s="100"/>
      <c r="N112" s="100"/>
      <c r="O112" s="100"/>
      <c r="P112" s="100"/>
      <c r="Q112" s="93"/>
      <c r="R112" s="16" t="str">
        <f aca="false">IF(K112=P112, "", "Error")</f>
        <v/>
      </c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4"/>
      <c r="AF112" s="95"/>
      <c r="AG112" s="91"/>
      <c r="AH112" s="91"/>
      <c r="AI112" s="91"/>
      <c r="AJ112" s="91"/>
      <c r="AK112" s="91"/>
      <c r="AL112" s="91"/>
      <c r="AM112" s="91"/>
      <c r="AN112" s="91"/>
      <c r="AO112" s="91"/>
      <c r="AP112" s="91"/>
      <c r="AQ112" s="94"/>
      <c r="AR112" s="95"/>
      <c r="AS112" s="91"/>
      <c r="AT112" s="91"/>
      <c r="AU112" s="91"/>
      <c r="AV112" s="91"/>
      <c r="AW112" s="91"/>
      <c r="AX112" s="91"/>
      <c r="AY112" s="91"/>
      <c r="AZ112" s="91"/>
      <c r="BA112" s="91"/>
      <c r="BB112" s="91"/>
      <c r="BC112" s="94"/>
      <c r="BD112" s="95"/>
      <c r="BE112" s="91"/>
      <c r="BF112" s="91"/>
      <c r="BG112" s="91"/>
      <c r="BH112" s="91"/>
      <c r="BI112" s="91"/>
      <c r="BJ112" s="91"/>
      <c r="BK112" s="91"/>
      <c r="BL112" s="91"/>
      <c r="BM112" s="91"/>
      <c r="BN112" s="91"/>
      <c r="BO112" s="94"/>
      <c r="BP112" s="95"/>
      <c r="BQ112" s="91"/>
      <c r="BR112" s="91"/>
      <c r="BS112" s="91"/>
      <c r="BT112" s="91"/>
      <c r="BU112" s="91"/>
      <c r="BV112" s="91"/>
      <c r="BW112" s="91"/>
      <c r="BX112" s="91"/>
      <c r="BY112" s="91"/>
      <c r="BZ112" s="91"/>
      <c r="CA112" s="119"/>
      <c r="CC112" s="79" t="n">
        <f aca="false">SUMIFS($T112:$CA112, $T$1:$CA$1, CC$75)</f>
        <v>0</v>
      </c>
      <c r="CD112" s="79" t="n">
        <f aca="false">SUMIFS($T112:$CA112, $T$1:$CA$1, CD$75)</f>
        <v>0</v>
      </c>
      <c r="CE112" s="79" t="n">
        <f aca="false">SUMIFS($T112:$CA112, $T$1:$CA$1, CE$75)</f>
        <v>0</v>
      </c>
      <c r="CF112" s="79" t="n">
        <f aca="false">SUMIFS($T112:$CA112, $T$1:$CA$1, CF$75)</f>
        <v>0</v>
      </c>
      <c r="CG112" s="79" t="n">
        <f aca="false">SUMIFS($T112:$CA112, $T$1:$CA$1, CG$75)</f>
        <v>0</v>
      </c>
      <c r="CI112" s="79" t="n">
        <f aca="false">CC112=L112</f>
        <v>1</v>
      </c>
      <c r="CJ112" s="79" t="n">
        <f aca="false">CD112=M112</f>
        <v>1</v>
      </c>
      <c r="CK112" s="79" t="n">
        <f aca="false">CE112=N112</f>
        <v>1</v>
      </c>
      <c r="CL112" s="79" t="n">
        <f aca="false">CF112=O112</f>
        <v>1</v>
      </c>
      <c r="CM112" s="79" t="n">
        <f aca="false">CG112=P112</f>
        <v>1</v>
      </c>
    </row>
    <row r="113" s="14" customFormat="true" ht="16.5" hidden="true" customHeight="true" outlineLevel="2" collapsed="false">
      <c r="E113" s="91"/>
      <c r="H113" s="29"/>
      <c r="I113" s="100" t="n">
        <v>0</v>
      </c>
      <c r="J113" s="100" t="n">
        <v>0</v>
      </c>
      <c r="K113" s="101" t="n">
        <f aca="false">J113-I113</f>
        <v>0</v>
      </c>
      <c r="L113" s="100"/>
      <c r="M113" s="100"/>
      <c r="N113" s="100"/>
      <c r="O113" s="100"/>
      <c r="P113" s="100"/>
      <c r="Q113" s="93"/>
      <c r="R113" s="16" t="str">
        <f aca="false">IF(K113=P113, "", "Error")</f>
        <v/>
      </c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4"/>
      <c r="AF113" s="95"/>
      <c r="AG113" s="91"/>
      <c r="AH113" s="91"/>
      <c r="AI113" s="91"/>
      <c r="AJ113" s="91"/>
      <c r="AK113" s="91"/>
      <c r="AL113" s="91"/>
      <c r="AM113" s="91"/>
      <c r="AN113" s="91"/>
      <c r="AO113" s="91"/>
      <c r="AP113" s="91"/>
      <c r="AQ113" s="94"/>
      <c r="AR113" s="95"/>
      <c r="AS113" s="91"/>
      <c r="AT113" s="91"/>
      <c r="AU113" s="91"/>
      <c r="AV113" s="91"/>
      <c r="AW113" s="91"/>
      <c r="AX113" s="91"/>
      <c r="AY113" s="91"/>
      <c r="AZ113" s="91"/>
      <c r="BA113" s="91"/>
      <c r="BB113" s="91"/>
      <c r="BC113" s="94"/>
      <c r="BD113" s="95"/>
      <c r="BE113" s="91"/>
      <c r="BF113" s="91"/>
      <c r="BG113" s="91"/>
      <c r="BH113" s="91"/>
      <c r="BI113" s="91"/>
      <c r="BJ113" s="91"/>
      <c r="BK113" s="91"/>
      <c r="BL113" s="91"/>
      <c r="BM113" s="91"/>
      <c r="BN113" s="91"/>
      <c r="BO113" s="94"/>
      <c r="BP113" s="95"/>
      <c r="BQ113" s="91"/>
      <c r="BR113" s="91"/>
      <c r="BS113" s="91"/>
      <c r="BT113" s="91"/>
      <c r="BU113" s="91"/>
      <c r="BV113" s="91"/>
      <c r="BW113" s="91"/>
      <c r="BX113" s="91"/>
      <c r="BY113" s="91"/>
      <c r="BZ113" s="91"/>
      <c r="CA113" s="119"/>
      <c r="CC113" s="79" t="n">
        <f aca="false">SUMIFS($T113:$CA113, $T$1:$CA$1, CC$75)</f>
        <v>0</v>
      </c>
      <c r="CD113" s="79" t="n">
        <f aca="false">SUMIFS($T113:$CA113, $T$1:$CA$1, CD$75)</f>
        <v>0</v>
      </c>
      <c r="CE113" s="79" t="n">
        <f aca="false">SUMIFS($T113:$CA113, $T$1:$CA$1, CE$75)</f>
        <v>0</v>
      </c>
      <c r="CF113" s="79" t="n">
        <f aca="false">SUMIFS($T113:$CA113, $T$1:$CA$1, CF$75)</f>
        <v>0</v>
      </c>
      <c r="CG113" s="79" t="n">
        <f aca="false">SUMIFS($T113:$CA113, $T$1:$CA$1, CG$75)</f>
        <v>0</v>
      </c>
      <c r="CI113" s="79" t="n">
        <f aca="false">CC113=L113</f>
        <v>1</v>
      </c>
      <c r="CJ113" s="79" t="n">
        <f aca="false">CD113=M113</f>
        <v>1</v>
      </c>
      <c r="CK113" s="79" t="n">
        <f aca="false">CE113=N113</f>
        <v>1</v>
      </c>
      <c r="CL113" s="79" t="n">
        <f aca="false">CF113=O113</f>
        <v>1</v>
      </c>
      <c r="CM113" s="79" t="n">
        <f aca="false">CG113=P113</f>
        <v>1</v>
      </c>
    </row>
    <row r="114" s="14" customFormat="true" ht="16.5" hidden="true" customHeight="true" outlineLevel="2" collapsed="false">
      <c r="E114" s="91"/>
      <c r="H114" s="29"/>
      <c r="I114" s="100"/>
      <c r="J114" s="100"/>
      <c r="K114" s="101"/>
      <c r="L114" s="100"/>
      <c r="M114" s="100"/>
      <c r="N114" s="100"/>
      <c r="O114" s="100"/>
      <c r="P114" s="100"/>
      <c r="Q114" s="93"/>
      <c r="R114" s="16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4"/>
      <c r="AF114" s="95"/>
      <c r="AG114" s="91"/>
      <c r="AH114" s="91"/>
      <c r="AI114" s="91"/>
      <c r="AJ114" s="91"/>
      <c r="AK114" s="91"/>
      <c r="AL114" s="91"/>
      <c r="AM114" s="91"/>
      <c r="AN114" s="91"/>
      <c r="AO114" s="91"/>
      <c r="AP114" s="91"/>
      <c r="AQ114" s="94"/>
      <c r="AR114" s="95"/>
      <c r="AS114" s="91"/>
      <c r="AT114" s="91"/>
      <c r="AU114" s="91"/>
      <c r="AV114" s="91"/>
      <c r="AW114" s="91"/>
      <c r="AX114" s="91"/>
      <c r="AY114" s="91"/>
      <c r="AZ114" s="91"/>
      <c r="BA114" s="91"/>
      <c r="BB114" s="91"/>
      <c r="BC114" s="94"/>
      <c r="BD114" s="95"/>
      <c r="BE114" s="91"/>
      <c r="BF114" s="91"/>
      <c r="BG114" s="91"/>
      <c r="BH114" s="91"/>
      <c r="BI114" s="91"/>
      <c r="BJ114" s="91"/>
      <c r="BK114" s="91"/>
      <c r="BL114" s="91"/>
      <c r="BM114" s="91"/>
      <c r="BN114" s="91"/>
      <c r="BO114" s="94"/>
      <c r="BP114" s="95"/>
      <c r="BQ114" s="91"/>
      <c r="BR114" s="91"/>
      <c r="BS114" s="91"/>
      <c r="BT114" s="91"/>
      <c r="BU114" s="91"/>
      <c r="BV114" s="91"/>
      <c r="BW114" s="91"/>
      <c r="BX114" s="91"/>
      <c r="BY114" s="91"/>
      <c r="BZ114" s="91"/>
      <c r="CA114" s="119"/>
      <c r="CC114" s="79"/>
      <c r="CD114" s="79"/>
      <c r="CE114" s="79"/>
      <c r="CF114" s="79"/>
      <c r="CG114" s="79"/>
      <c r="CI114" s="79"/>
      <c r="CJ114" s="79"/>
      <c r="CK114" s="79"/>
      <c r="CL114" s="79"/>
      <c r="CM114" s="79"/>
    </row>
    <row r="115" s="14" customFormat="true" ht="16.5" hidden="true" customHeight="true" outlineLevel="1" collapsed="true">
      <c r="E115" s="96" t="s">
        <v>139</v>
      </c>
      <c r="H115" s="29"/>
      <c r="I115" s="107" t="n">
        <f aca="false">SUM(I110:I114)</f>
        <v>0</v>
      </c>
      <c r="J115" s="107" t="n">
        <f aca="false">SUM(J110:J114)</f>
        <v>0</v>
      </c>
      <c r="K115" s="107" t="n">
        <f aca="false">SUM(K110:K114)</f>
        <v>0</v>
      </c>
      <c r="L115" s="107" t="n">
        <f aca="false">SUM(L110:L114)</f>
        <v>0</v>
      </c>
      <c r="M115" s="107" t="n">
        <f aca="false">SUM(M110:M114)</f>
        <v>0</v>
      </c>
      <c r="N115" s="107" t="n">
        <f aca="false">SUM(N110:N114)</f>
        <v>0</v>
      </c>
      <c r="O115" s="107" t="n">
        <f aca="false">SUM(O110:O114)</f>
        <v>0</v>
      </c>
      <c r="P115" s="107" t="n">
        <f aca="false">SUM(P110:P114)</f>
        <v>0</v>
      </c>
      <c r="Q115" s="16"/>
      <c r="R115" s="16"/>
      <c r="T115" s="82" t="n">
        <f aca="false">SUM(T110:T114)</f>
        <v>0</v>
      </c>
      <c r="U115" s="82" t="n">
        <f aca="false">SUM(U110:U114)</f>
        <v>0</v>
      </c>
      <c r="V115" s="82" t="n">
        <f aca="false">SUM(V110:V114)</f>
        <v>0</v>
      </c>
      <c r="W115" s="82" t="n">
        <f aca="false">SUM(W110:W114)</f>
        <v>0</v>
      </c>
      <c r="X115" s="82" t="n">
        <f aca="false">SUM(X110:X114)</f>
        <v>0</v>
      </c>
      <c r="Y115" s="82" t="n">
        <f aca="false">SUM(Y110:Y114)</f>
        <v>0</v>
      </c>
      <c r="Z115" s="82" t="n">
        <f aca="false">SUM(Z110:Z114)</f>
        <v>0</v>
      </c>
      <c r="AA115" s="82" t="n">
        <f aca="false">SUM(AA110:AA114)</f>
        <v>0</v>
      </c>
      <c r="AB115" s="82" t="n">
        <f aca="false">SUM(AB110:AB114)</f>
        <v>0</v>
      </c>
      <c r="AC115" s="82" t="n">
        <f aca="false">SUM(AC110:AC114)</f>
        <v>0</v>
      </c>
      <c r="AD115" s="82" t="n">
        <f aca="false">SUM(AD110:AD114)</f>
        <v>0</v>
      </c>
      <c r="AE115" s="82" t="n">
        <f aca="false">SUM(AE110:AE114)</f>
        <v>0</v>
      </c>
      <c r="AF115" s="83" t="n">
        <f aca="false">SUM(AF110:AF114)</f>
        <v>0</v>
      </c>
      <c r="AG115" s="82" t="n">
        <f aca="false">SUM(AG110:AG114)</f>
        <v>0</v>
      </c>
      <c r="AH115" s="82" t="n">
        <f aca="false">SUM(AH110:AH114)</f>
        <v>0</v>
      </c>
      <c r="AI115" s="82" t="n">
        <f aca="false">SUM(AI110:AI114)</f>
        <v>0</v>
      </c>
      <c r="AJ115" s="82" t="n">
        <f aca="false">SUM(AJ110:AJ114)</f>
        <v>0</v>
      </c>
      <c r="AK115" s="82" t="n">
        <f aca="false">SUM(AK110:AK114)</f>
        <v>0</v>
      </c>
      <c r="AL115" s="82" t="n">
        <f aca="false">SUM(AL110:AL114)</f>
        <v>0</v>
      </c>
      <c r="AM115" s="82" t="n">
        <f aca="false">SUM(AM110:AM114)</f>
        <v>0</v>
      </c>
      <c r="AN115" s="82" t="n">
        <f aca="false">SUM(AN110:AN114)</f>
        <v>0</v>
      </c>
      <c r="AO115" s="82" t="n">
        <f aca="false">SUM(AO110:AO114)</f>
        <v>0</v>
      </c>
      <c r="AP115" s="82" t="n">
        <f aca="false">SUM(AP110:AP114)</f>
        <v>0</v>
      </c>
      <c r="AQ115" s="82" t="n">
        <f aca="false">SUM(AQ110:AQ114)</f>
        <v>0</v>
      </c>
      <c r="AR115" s="83" t="n">
        <f aca="false">SUM(AR110:AR114)</f>
        <v>0</v>
      </c>
      <c r="AS115" s="82" t="n">
        <f aca="false">SUM(AS110:AS114)</f>
        <v>0</v>
      </c>
      <c r="AT115" s="82" t="n">
        <f aca="false">SUM(AT110:AT114)</f>
        <v>0</v>
      </c>
      <c r="AU115" s="82" t="n">
        <f aca="false">SUM(AU110:AU114)</f>
        <v>0</v>
      </c>
      <c r="AV115" s="82" t="n">
        <f aca="false">SUM(AV110:AV114)</f>
        <v>0</v>
      </c>
      <c r="AW115" s="82" t="n">
        <f aca="false">SUM(AW110:AW114)</f>
        <v>0</v>
      </c>
      <c r="AX115" s="82" t="n">
        <f aca="false">SUM(AX110:AX114)</f>
        <v>0</v>
      </c>
      <c r="AY115" s="82" t="n">
        <f aca="false">SUM(AY110:AY114)</f>
        <v>0</v>
      </c>
      <c r="AZ115" s="82" t="n">
        <f aca="false">SUM(AZ110:AZ114)</f>
        <v>0</v>
      </c>
      <c r="BA115" s="82" t="n">
        <f aca="false">SUM(BA110:BA114)</f>
        <v>0</v>
      </c>
      <c r="BB115" s="82" t="n">
        <f aca="false">SUM(BB110:BB114)</f>
        <v>0</v>
      </c>
      <c r="BC115" s="82" t="n">
        <f aca="false">SUM(BC110:BC114)</f>
        <v>0</v>
      </c>
      <c r="BD115" s="83" t="n">
        <f aca="false">SUM(BD110:BD114)</f>
        <v>0</v>
      </c>
      <c r="BE115" s="82" t="n">
        <f aca="false">SUM(BE110:BE114)</f>
        <v>0</v>
      </c>
      <c r="BF115" s="82" t="n">
        <f aca="false">SUM(BF110:BF114)</f>
        <v>0</v>
      </c>
      <c r="BG115" s="82" t="n">
        <f aca="false">SUM(BG110:BG114)</f>
        <v>0</v>
      </c>
      <c r="BH115" s="82" t="n">
        <f aca="false">SUM(BH110:BH114)</f>
        <v>0</v>
      </c>
      <c r="BI115" s="82" t="n">
        <f aca="false">SUM(BI110:BI114)</f>
        <v>0</v>
      </c>
      <c r="BJ115" s="82" t="n">
        <f aca="false">SUM(BJ110:BJ114)</f>
        <v>0</v>
      </c>
      <c r="BK115" s="82" t="n">
        <f aca="false">SUM(BK110:BK114)</f>
        <v>0</v>
      </c>
      <c r="BL115" s="82" t="n">
        <f aca="false">SUM(BL110:BL114)</f>
        <v>0</v>
      </c>
      <c r="BM115" s="82" t="n">
        <f aca="false">SUM(BM110:BM114)</f>
        <v>0</v>
      </c>
      <c r="BN115" s="82" t="n">
        <f aca="false">SUM(BN110:BN114)</f>
        <v>0</v>
      </c>
      <c r="BO115" s="82" t="n">
        <f aca="false">SUM(BO110:BO114)</f>
        <v>0</v>
      </c>
      <c r="BP115" s="83" t="n">
        <f aca="false">SUM(BP110:BP114)</f>
        <v>0</v>
      </c>
      <c r="BQ115" s="82" t="n">
        <f aca="false">SUM(BQ110:BQ114)</f>
        <v>0</v>
      </c>
      <c r="BR115" s="82" t="n">
        <f aca="false">SUM(BR110:BR114)</f>
        <v>0</v>
      </c>
      <c r="BS115" s="82" t="n">
        <f aca="false">SUM(BS110:BS114)</f>
        <v>0</v>
      </c>
      <c r="BT115" s="82" t="n">
        <f aca="false">SUM(BT110:BT114)</f>
        <v>0</v>
      </c>
      <c r="BU115" s="82" t="n">
        <f aca="false">SUM(BU110:BU114)</f>
        <v>0</v>
      </c>
      <c r="BV115" s="82" t="n">
        <f aca="false">SUM(BV110:BV114)</f>
        <v>0</v>
      </c>
      <c r="BW115" s="82" t="n">
        <f aca="false">SUM(BW110:BW114)</f>
        <v>0</v>
      </c>
      <c r="BX115" s="82" t="n">
        <f aca="false">SUM(BX110:BX114)</f>
        <v>0</v>
      </c>
      <c r="BY115" s="82" t="n">
        <f aca="false">SUM(BY110:BY114)</f>
        <v>0</v>
      </c>
      <c r="BZ115" s="82" t="n">
        <f aca="false">SUM(BZ110:BZ114)</f>
        <v>0</v>
      </c>
      <c r="CA115" s="84" t="n">
        <f aca="false">SUM(CA110:CA114)</f>
        <v>0</v>
      </c>
      <c r="CC115" s="84" t="n">
        <f aca="false">SUM(CC110:CC114)</f>
        <v>0</v>
      </c>
      <c r="CD115" s="84" t="n">
        <f aca="false">SUM(CD110:CD114)</f>
        <v>0</v>
      </c>
      <c r="CE115" s="84" t="n">
        <f aca="false">SUM(CE110:CE114)</f>
        <v>0</v>
      </c>
      <c r="CF115" s="84" t="n">
        <f aca="false">SUM(CF110:CF114)</f>
        <v>0</v>
      </c>
      <c r="CG115" s="84" t="n">
        <f aca="false">SUM(CG110:CG114)</f>
        <v>0</v>
      </c>
      <c r="CI115" s="84" t="n">
        <f aca="false">CC115=L115</f>
        <v>1</v>
      </c>
      <c r="CJ115" s="84" t="n">
        <f aca="false">CD115=M115</f>
        <v>1</v>
      </c>
      <c r="CK115" s="84" t="n">
        <f aca="false">CE115=N115</f>
        <v>1</v>
      </c>
      <c r="CL115" s="84" t="n">
        <f aca="false">CF115=O115</f>
        <v>1</v>
      </c>
      <c r="CM115" s="84" t="n">
        <f aca="false">CG115=P115</f>
        <v>1</v>
      </c>
    </row>
    <row r="116" s="14" customFormat="true" ht="16.5" hidden="true" customHeight="true" outlineLevel="1" collapsed="false">
      <c r="H116" s="29"/>
      <c r="I116" s="108"/>
      <c r="J116" s="108"/>
      <c r="K116" s="108"/>
      <c r="L116" s="108"/>
      <c r="M116" s="108"/>
      <c r="N116" s="108"/>
      <c r="O116" s="108"/>
      <c r="P116" s="108"/>
      <c r="Q116" s="16"/>
      <c r="R116" s="16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9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  <c r="AQ116" s="88"/>
      <c r="AR116" s="89"/>
      <c r="AS116" s="88"/>
      <c r="AT116" s="88"/>
      <c r="AU116" s="88"/>
      <c r="AV116" s="88"/>
      <c r="AW116" s="88"/>
      <c r="AX116" s="88"/>
      <c r="AY116" s="88"/>
      <c r="AZ116" s="88"/>
      <c r="BA116" s="88"/>
      <c r="BB116" s="88"/>
      <c r="BC116" s="88"/>
      <c r="BD116" s="89"/>
      <c r="BE116" s="88"/>
      <c r="BF116" s="88"/>
      <c r="BG116" s="88"/>
      <c r="BH116" s="88"/>
      <c r="BI116" s="88"/>
      <c r="BJ116" s="88"/>
      <c r="BK116" s="88"/>
      <c r="BL116" s="88"/>
      <c r="BM116" s="88"/>
      <c r="BN116" s="88"/>
      <c r="BO116" s="88"/>
      <c r="BP116" s="89"/>
      <c r="BQ116" s="88"/>
      <c r="BR116" s="88"/>
      <c r="BS116" s="88"/>
      <c r="BT116" s="88"/>
      <c r="BU116" s="88"/>
      <c r="BV116" s="88"/>
      <c r="BW116" s="88"/>
      <c r="BX116" s="88"/>
      <c r="BY116" s="88"/>
      <c r="BZ116" s="88"/>
      <c r="CA116" s="90"/>
      <c r="CC116" s="90"/>
      <c r="CD116" s="90"/>
      <c r="CE116" s="90"/>
      <c r="CF116" s="90"/>
      <c r="CG116" s="90"/>
      <c r="CI116" s="90"/>
      <c r="CJ116" s="90"/>
      <c r="CK116" s="90"/>
      <c r="CL116" s="90"/>
      <c r="CM116" s="90"/>
    </row>
    <row r="117" s="14" customFormat="true" ht="16.5" hidden="false" customHeight="true" outlineLevel="0" collapsed="false">
      <c r="E117" s="21" t="s">
        <v>140</v>
      </c>
      <c r="H117" s="29"/>
      <c r="I117" s="108"/>
      <c r="J117" s="108"/>
      <c r="K117" s="108"/>
      <c r="L117" s="108"/>
      <c r="M117" s="108"/>
      <c r="N117" s="108"/>
      <c r="O117" s="108"/>
      <c r="P117" s="108"/>
      <c r="Q117" s="16"/>
      <c r="R117" s="16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9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  <c r="AQ117" s="88"/>
      <c r="AR117" s="89"/>
      <c r="AS117" s="88"/>
      <c r="AT117" s="88"/>
      <c r="AU117" s="88"/>
      <c r="AV117" s="88"/>
      <c r="AW117" s="88"/>
      <c r="AX117" s="88"/>
      <c r="AY117" s="88"/>
      <c r="AZ117" s="88"/>
      <c r="BA117" s="88"/>
      <c r="BB117" s="88"/>
      <c r="BC117" s="88"/>
      <c r="BD117" s="89"/>
      <c r="BE117" s="88"/>
      <c r="BF117" s="88"/>
      <c r="BG117" s="88"/>
      <c r="BH117" s="88"/>
      <c r="BI117" s="88"/>
      <c r="BJ117" s="88"/>
      <c r="BK117" s="88"/>
      <c r="BL117" s="88"/>
      <c r="BM117" s="88"/>
      <c r="BN117" s="88"/>
      <c r="BO117" s="88"/>
      <c r="BP117" s="89"/>
      <c r="BQ117" s="88"/>
      <c r="BR117" s="88"/>
      <c r="BS117" s="88"/>
      <c r="BT117" s="88"/>
      <c r="BU117" s="88"/>
      <c r="BV117" s="88"/>
      <c r="BW117" s="88"/>
      <c r="BX117" s="88"/>
      <c r="BY117" s="88"/>
      <c r="BZ117" s="88"/>
      <c r="CA117" s="90"/>
      <c r="CC117" s="90"/>
      <c r="CD117" s="90"/>
      <c r="CE117" s="90"/>
      <c r="CF117" s="90"/>
      <c r="CG117" s="90"/>
      <c r="CI117" s="90"/>
      <c r="CJ117" s="90"/>
      <c r="CK117" s="90"/>
      <c r="CL117" s="90"/>
      <c r="CM117" s="90"/>
    </row>
    <row r="118" s="14" customFormat="true" ht="16.5" hidden="false" customHeight="true" outlineLevel="0" collapsed="false">
      <c r="E118" s="91" t="s">
        <v>146</v>
      </c>
      <c r="H118" s="29" t="s">
        <v>147</v>
      </c>
      <c r="I118" s="97" t="n">
        <v>0</v>
      </c>
      <c r="J118" s="97" t="n">
        <v>3.6</v>
      </c>
      <c r="K118" s="98" t="n">
        <f aca="false">J118-I118</f>
        <v>3.6</v>
      </c>
      <c r="L118" s="97"/>
      <c r="M118" s="97"/>
      <c r="N118" s="97" t="n">
        <v>3.6</v>
      </c>
      <c r="O118" s="97" t="n">
        <v>3.6</v>
      </c>
      <c r="P118" s="97" t="n">
        <v>3.6</v>
      </c>
      <c r="Q118" s="93"/>
      <c r="R118" s="16" t="str">
        <f aca="false">IF(K118=P118, "", "Error")</f>
        <v/>
      </c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4"/>
      <c r="AF118" s="95"/>
      <c r="AG118" s="91"/>
      <c r="AH118" s="91"/>
      <c r="AI118" s="91"/>
      <c r="AJ118" s="91"/>
      <c r="AK118" s="91"/>
      <c r="AL118" s="91"/>
      <c r="AM118" s="91"/>
      <c r="AN118" s="91"/>
      <c r="AO118" s="91"/>
      <c r="AP118" s="91"/>
      <c r="AQ118" s="94"/>
      <c r="AR118" s="95" t="n">
        <f aca="false">3.6/12</f>
        <v>0.3</v>
      </c>
      <c r="AS118" s="95" t="n">
        <f aca="false">3.6/12</f>
        <v>0.3</v>
      </c>
      <c r="AT118" s="95" t="n">
        <f aca="false">3.6/12</f>
        <v>0.3</v>
      </c>
      <c r="AU118" s="95" t="n">
        <f aca="false">3.6/12</f>
        <v>0.3</v>
      </c>
      <c r="AV118" s="95" t="n">
        <f aca="false">3.6/12</f>
        <v>0.3</v>
      </c>
      <c r="AW118" s="95" t="n">
        <f aca="false">3.6/12</f>
        <v>0.3</v>
      </c>
      <c r="AX118" s="95" t="n">
        <f aca="false">3.6/12</f>
        <v>0.3</v>
      </c>
      <c r="AY118" s="95" t="n">
        <f aca="false">3.6/12</f>
        <v>0.3</v>
      </c>
      <c r="AZ118" s="95" t="n">
        <f aca="false">3.6/12</f>
        <v>0.3</v>
      </c>
      <c r="BA118" s="95" t="n">
        <f aca="false">3.6/12</f>
        <v>0.3</v>
      </c>
      <c r="BB118" s="95" t="n">
        <f aca="false">3.6/12</f>
        <v>0.3</v>
      </c>
      <c r="BC118" s="95" t="n">
        <f aca="false">3.6/12</f>
        <v>0.3</v>
      </c>
      <c r="BD118" s="95" t="n">
        <f aca="false">3.6/12</f>
        <v>0.3</v>
      </c>
      <c r="BE118" s="95" t="n">
        <f aca="false">3.6/12</f>
        <v>0.3</v>
      </c>
      <c r="BF118" s="95" t="n">
        <f aca="false">3.6/12</f>
        <v>0.3</v>
      </c>
      <c r="BG118" s="95" t="n">
        <f aca="false">3.6/12</f>
        <v>0.3</v>
      </c>
      <c r="BH118" s="95" t="n">
        <f aca="false">3.6/12</f>
        <v>0.3</v>
      </c>
      <c r="BI118" s="95" t="n">
        <f aca="false">3.6/12</f>
        <v>0.3</v>
      </c>
      <c r="BJ118" s="95" t="n">
        <f aca="false">3.6/12</f>
        <v>0.3</v>
      </c>
      <c r="BK118" s="95" t="n">
        <f aca="false">3.6/12</f>
        <v>0.3</v>
      </c>
      <c r="BL118" s="95" t="n">
        <f aca="false">3.6/12</f>
        <v>0.3</v>
      </c>
      <c r="BM118" s="95" t="n">
        <f aca="false">3.6/12</f>
        <v>0.3</v>
      </c>
      <c r="BN118" s="95" t="n">
        <f aca="false">3.6/12</f>
        <v>0.3</v>
      </c>
      <c r="BO118" s="95" t="n">
        <f aca="false">3.6/12</f>
        <v>0.3</v>
      </c>
      <c r="BP118" s="95" t="n">
        <f aca="false">3.6/12</f>
        <v>0.3</v>
      </c>
      <c r="BQ118" s="95" t="n">
        <f aca="false">3.6/12</f>
        <v>0.3</v>
      </c>
      <c r="BR118" s="95" t="n">
        <f aca="false">3.6/12</f>
        <v>0.3</v>
      </c>
      <c r="BS118" s="95" t="n">
        <f aca="false">3.6/12</f>
        <v>0.3</v>
      </c>
      <c r="BT118" s="95" t="n">
        <f aca="false">3.6/12</f>
        <v>0.3</v>
      </c>
      <c r="BU118" s="95" t="n">
        <f aca="false">3.6/12</f>
        <v>0.3</v>
      </c>
      <c r="BV118" s="95" t="n">
        <f aca="false">3.6/12</f>
        <v>0.3</v>
      </c>
      <c r="BW118" s="95" t="n">
        <f aca="false">3.6/12</f>
        <v>0.3</v>
      </c>
      <c r="BX118" s="95" t="n">
        <f aca="false">3.6/12</f>
        <v>0.3</v>
      </c>
      <c r="BY118" s="95" t="n">
        <f aca="false">3.6/12</f>
        <v>0.3</v>
      </c>
      <c r="BZ118" s="95" t="n">
        <f aca="false">3.6/12</f>
        <v>0.3</v>
      </c>
      <c r="CA118" s="95" t="n">
        <f aca="false">3.6/12</f>
        <v>0.3</v>
      </c>
      <c r="CC118" s="79" t="n">
        <f aca="false">SUMIFS($T118:$CA118, $T$1:$CA$1, CC$75)</f>
        <v>0</v>
      </c>
      <c r="CD118" s="79" t="n">
        <f aca="false">SUMIFS($T118:$CA118, $T$1:$CA$1, CD$75)</f>
        <v>0</v>
      </c>
      <c r="CE118" s="79" t="n">
        <f aca="false">SUMIFS($T118:$CA118, $T$1:$CA$1, CE$75)</f>
        <v>3.6</v>
      </c>
      <c r="CF118" s="79" t="n">
        <f aca="false">SUMIFS($T118:$CA118, $T$1:$CA$1, CF$75)</f>
        <v>3.6</v>
      </c>
      <c r="CG118" s="79" t="n">
        <f aca="false">SUMIFS($T118:$CA118, $T$1:$CA$1, CG$75)</f>
        <v>3.6</v>
      </c>
      <c r="CI118" s="79" t="n">
        <f aca="false">CC118=L118</f>
        <v>1</v>
      </c>
      <c r="CJ118" s="79" t="n">
        <f aca="false">CD118=M118</f>
        <v>1</v>
      </c>
      <c r="CK118" s="79" t="n">
        <f aca="false">CE118=N118</f>
        <v>1</v>
      </c>
      <c r="CL118" s="79" t="n">
        <f aca="false">CF118=O118</f>
        <v>1</v>
      </c>
      <c r="CM118" s="79" t="n">
        <f aca="false">CG118=P118</f>
        <v>1</v>
      </c>
    </row>
    <row r="119" s="14" customFormat="true" ht="16.5" hidden="false" customHeight="true" outlineLevel="0" collapsed="false">
      <c r="E119" s="91" t="s">
        <v>148</v>
      </c>
      <c r="H119" s="29" t="s">
        <v>149</v>
      </c>
      <c r="I119" s="97" t="n">
        <v>0</v>
      </c>
      <c r="J119" s="97" t="n">
        <v>1.2</v>
      </c>
      <c r="K119" s="98" t="n">
        <f aca="false">J119-I119</f>
        <v>1.2</v>
      </c>
      <c r="L119" s="97"/>
      <c r="M119" s="97" t="n">
        <v>1.2</v>
      </c>
      <c r="N119" s="97" t="n">
        <v>1.2</v>
      </c>
      <c r="O119" s="97" t="n">
        <v>1.2</v>
      </c>
      <c r="P119" s="97" t="n">
        <v>1.2</v>
      </c>
      <c r="Q119" s="93"/>
      <c r="R119" s="16" t="str">
        <f aca="false">IF(K119=P119, "", "Error")</f>
        <v/>
      </c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4"/>
      <c r="AF119" s="94" t="n">
        <f aca="false">1.2/12</f>
        <v>0.1</v>
      </c>
      <c r="AG119" s="94" t="n">
        <f aca="false">1.2/12</f>
        <v>0.1</v>
      </c>
      <c r="AH119" s="94" t="n">
        <f aca="false">1.2/12</f>
        <v>0.1</v>
      </c>
      <c r="AI119" s="94" t="n">
        <f aca="false">1.2/12</f>
        <v>0.1</v>
      </c>
      <c r="AJ119" s="94" t="n">
        <f aca="false">1.2/12</f>
        <v>0.1</v>
      </c>
      <c r="AK119" s="94" t="n">
        <f aca="false">1.2/12</f>
        <v>0.1</v>
      </c>
      <c r="AL119" s="94" t="n">
        <f aca="false">1.2/12</f>
        <v>0.1</v>
      </c>
      <c r="AM119" s="94" t="n">
        <f aca="false">1.2/12</f>
        <v>0.1</v>
      </c>
      <c r="AN119" s="94" t="n">
        <f aca="false">1.2/12</f>
        <v>0.1</v>
      </c>
      <c r="AO119" s="94" t="n">
        <f aca="false">1.2/12</f>
        <v>0.1</v>
      </c>
      <c r="AP119" s="94" t="n">
        <f aca="false">1.2/12</f>
        <v>0.1</v>
      </c>
      <c r="AQ119" s="94" t="n">
        <f aca="false">1.2/12</f>
        <v>0.1</v>
      </c>
      <c r="AR119" s="94" t="n">
        <f aca="false">1.2/12</f>
        <v>0.1</v>
      </c>
      <c r="AS119" s="94" t="n">
        <f aca="false">1.2/12</f>
        <v>0.1</v>
      </c>
      <c r="AT119" s="94" t="n">
        <f aca="false">1.2/12</f>
        <v>0.1</v>
      </c>
      <c r="AU119" s="94" t="n">
        <f aca="false">1.2/12</f>
        <v>0.1</v>
      </c>
      <c r="AV119" s="94" t="n">
        <f aca="false">1.2/12</f>
        <v>0.1</v>
      </c>
      <c r="AW119" s="94" t="n">
        <f aca="false">1.2/12</f>
        <v>0.1</v>
      </c>
      <c r="AX119" s="94" t="n">
        <f aca="false">1.2/12</f>
        <v>0.1</v>
      </c>
      <c r="AY119" s="94" t="n">
        <f aca="false">1.2/12</f>
        <v>0.1</v>
      </c>
      <c r="AZ119" s="94" t="n">
        <f aca="false">1.2/12</f>
        <v>0.1</v>
      </c>
      <c r="BA119" s="94" t="n">
        <f aca="false">1.2/12</f>
        <v>0.1</v>
      </c>
      <c r="BB119" s="94" t="n">
        <f aca="false">1.2/12</f>
        <v>0.1</v>
      </c>
      <c r="BC119" s="94" t="n">
        <f aca="false">1.2/12</f>
        <v>0.1</v>
      </c>
      <c r="BD119" s="94" t="n">
        <f aca="false">1.2/12</f>
        <v>0.1</v>
      </c>
      <c r="BE119" s="94" t="n">
        <f aca="false">1.2/12</f>
        <v>0.1</v>
      </c>
      <c r="BF119" s="94" t="n">
        <f aca="false">1.2/12</f>
        <v>0.1</v>
      </c>
      <c r="BG119" s="94" t="n">
        <f aca="false">1.2/12</f>
        <v>0.1</v>
      </c>
      <c r="BH119" s="94" t="n">
        <f aca="false">1.2/12</f>
        <v>0.1</v>
      </c>
      <c r="BI119" s="94" t="n">
        <f aca="false">1.2/12</f>
        <v>0.1</v>
      </c>
      <c r="BJ119" s="94" t="n">
        <f aca="false">1.2/12</f>
        <v>0.1</v>
      </c>
      <c r="BK119" s="94" t="n">
        <f aca="false">1.2/12</f>
        <v>0.1</v>
      </c>
      <c r="BL119" s="94" t="n">
        <f aca="false">1.2/12</f>
        <v>0.1</v>
      </c>
      <c r="BM119" s="94" t="n">
        <f aca="false">1.2/12</f>
        <v>0.1</v>
      </c>
      <c r="BN119" s="94" t="n">
        <f aca="false">1.2/12</f>
        <v>0.1</v>
      </c>
      <c r="BO119" s="94" t="n">
        <f aca="false">1.2/12</f>
        <v>0.1</v>
      </c>
      <c r="BP119" s="94" t="n">
        <f aca="false">1.2/12</f>
        <v>0.1</v>
      </c>
      <c r="BQ119" s="94" t="n">
        <f aca="false">1.2/12</f>
        <v>0.1</v>
      </c>
      <c r="BR119" s="94" t="n">
        <f aca="false">1.2/12</f>
        <v>0.1</v>
      </c>
      <c r="BS119" s="94" t="n">
        <f aca="false">1.2/12</f>
        <v>0.1</v>
      </c>
      <c r="BT119" s="94" t="n">
        <f aca="false">1.2/12</f>
        <v>0.1</v>
      </c>
      <c r="BU119" s="94" t="n">
        <f aca="false">1.2/12</f>
        <v>0.1</v>
      </c>
      <c r="BV119" s="94" t="n">
        <f aca="false">1.2/12</f>
        <v>0.1</v>
      </c>
      <c r="BW119" s="94" t="n">
        <f aca="false">1.2/12</f>
        <v>0.1</v>
      </c>
      <c r="BX119" s="94" t="n">
        <f aca="false">1.2/12</f>
        <v>0.1</v>
      </c>
      <c r="BY119" s="94" t="n">
        <f aca="false">1.2/12</f>
        <v>0.1</v>
      </c>
      <c r="BZ119" s="94" t="n">
        <f aca="false">1.2/12</f>
        <v>0.1</v>
      </c>
      <c r="CA119" s="94" t="n">
        <f aca="false">1.2/12</f>
        <v>0.1</v>
      </c>
      <c r="CC119" s="79" t="n">
        <f aca="false">SUMIFS($T119:$CA119, $T$1:$CA$1, CC$75)</f>
        <v>0</v>
      </c>
      <c r="CD119" s="79" t="n">
        <f aca="false">SUMIFS($T119:$CA119, $T$1:$CA$1, CD$75)</f>
        <v>1.2</v>
      </c>
      <c r="CE119" s="79" t="n">
        <f aca="false">SUMIFS($T119:$CA119, $T$1:$CA$1, CE$75)</f>
        <v>1.2</v>
      </c>
      <c r="CF119" s="79" t="n">
        <f aca="false">SUMIFS($T119:$CA119, $T$1:$CA$1, CF$75)</f>
        <v>1.2</v>
      </c>
      <c r="CG119" s="79" t="n">
        <f aca="false">SUMIFS($T119:$CA119, $T$1:$CA$1, CG$75)</f>
        <v>1.2</v>
      </c>
      <c r="CI119" s="79" t="n">
        <f aca="false">CC119=L119</f>
        <v>1</v>
      </c>
      <c r="CJ119" s="79" t="n">
        <f aca="false">CD119=M119</f>
        <v>1</v>
      </c>
      <c r="CK119" s="79" t="n">
        <f aca="false">CE119=N119</f>
        <v>1</v>
      </c>
      <c r="CL119" s="79" t="n">
        <f aca="false">CF119=O119</f>
        <v>1</v>
      </c>
      <c r="CM119" s="79" t="n">
        <f aca="false">CG119=P119</f>
        <v>1</v>
      </c>
    </row>
    <row r="120" s="14" customFormat="true" ht="16.5" hidden="true" customHeight="true" outlineLevel="1" collapsed="false">
      <c r="E120" s="91"/>
      <c r="H120" s="29"/>
      <c r="I120" s="97"/>
      <c r="J120" s="97"/>
      <c r="K120" s="98"/>
      <c r="L120" s="97"/>
      <c r="M120" s="97"/>
      <c r="N120" s="97"/>
      <c r="O120" s="97"/>
      <c r="P120" s="97"/>
      <c r="Q120" s="93"/>
      <c r="R120" s="16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4"/>
      <c r="AF120" s="94"/>
      <c r="AG120" s="94"/>
      <c r="AH120" s="94"/>
      <c r="AI120" s="94"/>
      <c r="AJ120" s="94"/>
      <c r="AK120" s="94"/>
      <c r="AL120" s="94"/>
      <c r="AM120" s="94"/>
      <c r="AN120" s="94"/>
      <c r="AO120" s="94"/>
      <c r="AP120" s="94"/>
      <c r="AQ120" s="94"/>
      <c r="AR120" s="94"/>
      <c r="AS120" s="94"/>
      <c r="AT120" s="94"/>
      <c r="AU120" s="94"/>
      <c r="AV120" s="94"/>
      <c r="AW120" s="94"/>
      <c r="AX120" s="94"/>
      <c r="AY120" s="94"/>
      <c r="AZ120" s="94"/>
      <c r="BA120" s="94"/>
      <c r="BB120" s="94"/>
      <c r="BC120" s="94"/>
      <c r="BD120" s="94"/>
      <c r="BE120" s="94"/>
      <c r="BF120" s="94"/>
      <c r="BG120" s="94"/>
      <c r="BH120" s="94"/>
      <c r="BI120" s="94"/>
      <c r="BJ120" s="94"/>
      <c r="BK120" s="94"/>
      <c r="BL120" s="94"/>
      <c r="BM120" s="94"/>
      <c r="BN120" s="94"/>
      <c r="BO120" s="94"/>
      <c r="BP120" s="94"/>
      <c r="BQ120" s="94"/>
      <c r="BR120" s="94"/>
      <c r="BS120" s="94"/>
      <c r="BT120" s="94"/>
      <c r="BU120" s="94"/>
      <c r="BV120" s="94"/>
      <c r="BW120" s="94"/>
      <c r="BX120" s="94"/>
      <c r="BY120" s="94"/>
      <c r="BZ120" s="94"/>
      <c r="CA120" s="94"/>
      <c r="CC120" s="79" t="n">
        <f aca="false">SUMIFS($T120:$CA120, $T$1:$CA$1, CC$75)</f>
        <v>0</v>
      </c>
      <c r="CD120" s="79" t="n">
        <f aca="false">SUMIFS($T120:$CA120, $T$1:$CA$1, CD$75)</f>
        <v>0</v>
      </c>
      <c r="CE120" s="79" t="n">
        <f aca="false">SUMIFS($T120:$CA120, $T$1:$CA$1, CE$75)</f>
        <v>0</v>
      </c>
      <c r="CF120" s="79" t="n">
        <f aca="false">SUMIFS($T120:$CA120, $T$1:$CA$1, CF$75)</f>
        <v>0</v>
      </c>
      <c r="CG120" s="79" t="n">
        <f aca="false">SUMIFS($T120:$CA120, $T$1:$CA$1, CG$75)</f>
        <v>0</v>
      </c>
      <c r="CI120" s="79" t="n">
        <f aca="false">CC120=L120</f>
        <v>1</v>
      </c>
      <c r="CJ120" s="79" t="n">
        <f aca="false">CD120=M120</f>
        <v>1</v>
      </c>
      <c r="CK120" s="79" t="n">
        <f aca="false">CE120=N120</f>
        <v>1</v>
      </c>
      <c r="CL120" s="79" t="n">
        <f aca="false">CF120=O120</f>
        <v>1</v>
      </c>
      <c r="CM120" s="79" t="n">
        <f aca="false">CG120=P120</f>
        <v>1</v>
      </c>
    </row>
    <row r="121" s="14" customFormat="true" ht="16.5" hidden="true" customHeight="true" outlineLevel="1" collapsed="false">
      <c r="E121" s="91"/>
      <c r="H121" s="29"/>
      <c r="I121" s="97"/>
      <c r="J121" s="97" t="n">
        <v>0</v>
      </c>
      <c r="K121" s="98" t="n">
        <f aca="false">J121-I121</f>
        <v>0</v>
      </c>
      <c r="L121" s="97"/>
      <c r="M121" s="97"/>
      <c r="N121" s="97"/>
      <c r="O121" s="97"/>
      <c r="P121" s="97"/>
      <c r="Q121" s="93"/>
      <c r="R121" s="16" t="str">
        <f aca="false">IF(K121=P121, "", "Error")</f>
        <v/>
      </c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4"/>
      <c r="AF121" s="95"/>
      <c r="AG121" s="91"/>
      <c r="AH121" s="91"/>
      <c r="AI121" s="91"/>
      <c r="AJ121" s="91"/>
      <c r="AK121" s="91"/>
      <c r="AL121" s="91"/>
      <c r="AM121" s="91"/>
      <c r="AN121" s="91"/>
      <c r="AO121" s="91"/>
      <c r="AP121" s="91"/>
      <c r="AQ121" s="94"/>
      <c r="AR121" s="95"/>
      <c r="AS121" s="91"/>
      <c r="AT121" s="91"/>
      <c r="AU121" s="91"/>
      <c r="AV121" s="91"/>
      <c r="AW121" s="91"/>
      <c r="AX121" s="91"/>
      <c r="AY121" s="91"/>
      <c r="AZ121" s="91"/>
      <c r="BA121" s="91"/>
      <c r="BB121" s="91"/>
      <c r="BC121" s="94"/>
      <c r="BD121" s="95"/>
      <c r="BE121" s="91"/>
      <c r="BF121" s="91"/>
      <c r="BG121" s="91"/>
      <c r="BH121" s="91"/>
      <c r="BI121" s="91"/>
      <c r="BJ121" s="91"/>
      <c r="BK121" s="91"/>
      <c r="BL121" s="91"/>
      <c r="BM121" s="91"/>
      <c r="BN121" s="91"/>
      <c r="BO121" s="94"/>
      <c r="BP121" s="95"/>
      <c r="BQ121" s="91"/>
      <c r="BR121" s="91"/>
      <c r="BS121" s="91"/>
      <c r="BT121" s="91"/>
      <c r="BU121" s="91"/>
      <c r="BV121" s="91"/>
      <c r="BW121" s="91"/>
      <c r="BX121" s="91"/>
      <c r="BY121" s="91"/>
      <c r="BZ121" s="91"/>
      <c r="CA121" s="119"/>
      <c r="CC121" s="79" t="n">
        <f aca="false">SUMIFS($T121:$CA121, $T$1:$CA$1, CC$75)</f>
        <v>0</v>
      </c>
      <c r="CD121" s="79" t="n">
        <f aca="false">SUMIFS($T121:$CA121, $T$1:$CA$1, CD$75)</f>
        <v>0</v>
      </c>
      <c r="CE121" s="79" t="n">
        <f aca="false">SUMIFS($T121:$CA121, $T$1:$CA$1, CE$75)</f>
        <v>0</v>
      </c>
      <c r="CF121" s="79" t="n">
        <f aca="false">SUMIFS($T121:$CA121, $T$1:$CA$1, CF$75)</f>
        <v>0</v>
      </c>
      <c r="CG121" s="79" t="n">
        <f aca="false">SUMIFS($T121:$CA121, $T$1:$CA$1, CG$75)</f>
        <v>0</v>
      </c>
      <c r="CI121" s="79" t="n">
        <f aca="false">CC121=L121</f>
        <v>1</v>
      </c>
      <c r="CJ121" s="79" t="n">
        <f aca="false">CD121=M121</f>
        <v>1</v>
      </c>
      <c r="CK121" s="79" t="n">
        <f aca="false">CE121=N121</f>
        <v>1</v>
      </c>
      <c r="CL121" s="79" t="n">
        <f aca="false">CF121=O121</f>
        <v>1</v>
      </c>
      <c r="CM121" s="79" t="n">
        <f aca="false">CG121=P121</f>
        <v>1</v>
      </c>
    </row>
    <row r="122" s="14" customFormat="true" ht="16.5" hidden="true" customHeight="true" outlineLevel="1" collapsed="false">
      <c r="E122" s="91"/>
      <c r="H122" s="29"/>
      <c r="I122" s="97" t="n">
        <v>0</v>
      </c>
      <c r="J122" s="97" t="n">
        <v>0</v>
      </c>
      <c r="K122" s="98" t="n">
        <f aca="false">J122-I122</f>
        <v>0</v>
      </c>
      <c r="L122" s="97"/>
      <c r="M122" s="97"/>
      <c r="N122" s="97"/>
      <c r="O122" s="97"/>
      <c r="P122" s="97"/>
      <c r="Q122" s="93"/>
      <c r="R122" s="16" t="str">
        <f aca="false">IF(K122=P122, "", "Error")</f>
        <v/>
      </c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4"/>
      <c r="AF122" s="95"/>
      <c r="AG122" s="91"/>
      <c r="AH122" s="91"/>
      <c r="AI122" s="91"/>
      <c r="AJ122" s="91"/>
      <c r="AK122" s="91"/>
      <c r="AL122" s="91"/>
      <c r="AM122" s="91"/>
      <c r="AN122" s="91"/>
      <c r="AO122" s="91"/>
      <c r="AP122" s="91"/>
      <c r="AQ122" s="94"/>
      <c r="AR122" s="95"/>
      <c r="AS122" s="91"/>
      <c r="AT122" s="91"/>
      <c r="AU122" s="91"/>
      <c r="AV122" s="91"/>
      <c r="AW122" s="91"/>
      <c r="AX122" s="91"/>
      <c r="AY122" s="91"/>
      <c r="AZ122" s="91"/>
      <c r="BA122" s="91"/>
      <c r="BB122" s="91"/>
      <c r="BC122" s="94"/>
      <c r="BD122" s="95"/>
      <c r="BE122" s="91"/>
      <c r="BF122" s="91"/>
      <c r="BG122" s="91"/>
      <c r="BH122" s="91"/>
      <c r="BI122" s="91"/>
      <c r="BJ122" s="91"/>
      <c r="BK122" s="91"/>
      <c r="BL122" s="91"/>
      <c r="BM122" s="91"/>
      <c r="BN122" s="91"/>
      <c r="BO122" s="94"/>
      <c r="BP122" s="95"/>
      <c r="BQ122" s="91"/>
      <c r="BR122" s="91"/>
      <c r="BS122" s="91"/>
      <c r="BT122" s="91"/>
      <c r="BU122" s="91"/>
      <c r="BV122" s="91"/>
      <c r="BW122" s="91"/>
      <c r="BX122" s="91"/>
      <c r="BY122" s="91"/>
      <c r="BZ122" s="91"/>
      <c r="CA122" s="119"/>
      <c r="CC122" s="79" t="n">
        <f aca="false">SUMIFS($T122:$CA122, $T$1:$CA$1, CC$75)</f>
        <v>0</v>
      </c>
      <c r="CD122" s="79" t="n">
        <f aca="false">SUMIFS($T122:$CA122, $T$1:$CA$1, CD$75)</f>
        <v>0</v>
      </c>
      <c r="CE122" s="79" t="n">
        <f aca="false">SUMIFS($T122:$CA122, $T$1:$CA$1, CE$75)</f>
        <v>0</v>
      </c>
      <c r="CF122" s="79" t="n">
        <f aca="false">SUMIFS($T122:$CA122, $T$1:$CA$1, CF$75)</f>
        <v>0</v>
      </c>
      <c r="CG122" s="79" t="n">
        <f aca="false">SUMIFS($T122:$CA122, $T$1:$CA$1, CG$75)</f>
        <v>0</v>
      </c>
      <c r="CI122" s="79" t="n">
        <f aca="false">CC122=L122</f>
        <v>1</v>
      </c>
      <c r="CJ122" s="79" t="n">
        <f aca="false">CD122=M122</f>
        <v>1</v>
      </c>
      <c r="CK122" s="79" t="n">
        <f aca="false">CE122=N122</f>
        <v>1</v>
      </c>
      <c r="CL122" s="79" t="n">
        <f aca="false">CF122=O122</f>
        <v>1</v>
      </c>
      <c r="CM122" s="79" t="n">
        <f aca="false">CG122=P122</f>
        <v>1</v>
      </c>
    </row>
    <row r="123" s="14" customFormat="true" ht="16.5" hidden="false" customHeight="true" outlineLevel="0" collapsed="false">
      <c r="E123" s="96" t="s">
        <v>143</v>
      </c>
      <c r="H123" s="29"/>
      <c r="I123" s="102" t="n">
        <f aca="false">SUM(I118:I122)</f>
        <v>0</v>
      </c>
      <c r="J123" s="102" t="n">
        <f aca="false">SUM(J118:J122)</f>
        <v>4.8</v>
      </c>
      <c r="K123" s="102" t="n">
        <f aca="false">SUM(K118:K122)</f>
        <v>4.8</v>
      </c>
      <c r="L123" s="102" t="n">
        <f aca="false">SUM(L118:L122)</f>
        <v>0</v>
      </c>
      <c r="M123" s="102" t="n">
        <f aca="false">SUM(M118:M122)</f>
        <v>1.2</v>
      </c>
      <c r="N123" s="102" t="n">
        <f aca="false">SUM(N118:N122)</f>
        <v>4.8</v>
      </c>
      <c r="O123" s="102" t="n">
        <f aca="false">SUM(O118:O122)</f>
        <v>4.8</v>
      </c>
      <c r="P123" s="102" t="n">
        <f aca="false">SUM(P118:P122)</f>
        <v>4.8</v>
      </c>
      <c r="Q123" s="16"/>
      <c r="R123" s="16"/>
      <c r="T123" s="82" t="n">
        <f aca="false">SUM(T118:T122)</f>
        <v>0</v>
      </c>
      <c r="U123" s="82" t="n">
        <f aca="false">SUM(U118:U122)</f>
        <v>0</v>
      </c>
      <c r="V123" s="82" t="n">
        <f aca="false">SUM(V118:V122)</f>
        <v>0</v>
      </c>
      <c r="W123" s="82" t="n">
        <f aca="false">SUM(W118:W122)</f>
        <v>0</v>
      </c>
      <c r="X123" s="82" t="n">
        <f aca="false">SUM(X118:X122)</f>
        <v>0</v>
      </c>
      <c r="Y123" s="82" t="n">
        <f aca="false">SUM(Y118:Y122)</f>
        <v>0</v>
      </c>
      <c r="Z123" s="82" t="n">
        <f aca="false">SUM(Z118:Z122)</f>
        <v>0</v>
      </c>
      <c r="AA123" s="82" t="n">
        <f aca="false">SUM(AA118:AA122)</f>
        <v>0</v>
      </c>
      <c r="AB123" s="82" t="n">
        <f aca="false">SUM(AB118:AB122)</f>
        <v>0</v>
      </c>
      <c r="AC123" s="82" t="n">
        <f aca="false">SUM(AC118:AC122)</f>
        <v>0</v>
      </c>
      <c r="AD123" s="82" t="n">
        <f aca="false">SUM(AD118:AD122)</f>
        <v>0</v>
      </c>
      <c r="AE123" s="82" t="n">
        <f aca="false">SUM(AE118:AE122)</f>
        <v>0</v>
      </c>
      <c r="AF123" s="83" t="n">
        <f aca="false">SUM(AF118:AF122)</f>
        <v>0.1</v>
      </c>
      <c r="AG123" s="82" t="n">
        <f aca="false">SUM(AG118:AG122)</f>
        <v>0.1</v>
      </c>
      <c r="AH123" s="82" t="n">
        <f aca="false">SUM(AH118:AH122)</f>
        <v>0.1</v>
      </c>
      <c r="AI123" s="82" t="n">
        <f aca="false">SUM(AI118:AI122)</f>
        <v>0.1</v>
      </c>
      <c r="AJ123" s="82" t="n">
        <f aca="false">SUM(AJ118:AJ122)</f>
        <v>0.1</v>
      </c>
      <c r="AK123" s="82" t="n">
        <f aca="false">SUM(AK118:AK122)</f>
        <v>0.1</v>
      </c>
      <c r="AL123" s="82" t="n">
        <f aca="false">SUM(AL118:AL122)</f>
        <v>0.1</v>
      </c>
      <c r="AM123" s="82" t="n">
        <f aca="false">SUM(AM118:AM122)</f>
        <v>0.1</v>
      </c>
      <c r="AN123" s="82" t="n">
        <f aca="false">SUM(AN118:AN122)</f>
        <v>0.1</v>
      </c>
      <c r="AO123" s="82" t="n">
        <f aca="false">SUM(AO118:AO122)</f>
        <v>0.1</v>
      </c>
      <c r="AP123" s="82" t="n">
        <f aca="false">SUM(AP118:AP122)</f>
        <v>0.1</v>
      </c>
      <c r="AQ123" s="82" t="n">
        <f aca="false">SUM(AQ118:AQ122)</f>
        <v>0.1</v>
      </c>
      <c r="AR123" s="83" t="n">
        <f aca="false">SUM(AR118:AR122)</f>
        <v>0.4</v>
      </c>
      <c r="AS123" s="82" t="n">
        <f aca="false">SUM(AS118:AS122)</f>
        <v>0.4</v>
      </c>
      <c r="AT123" s="82" t="n">
        <f aca="false">SUM(AT118:AT122)</f>
        <v>0.4</v>
      </c>
      <c r="AU123" s="82" t="n">
        <f aca="false">SUM(AU118:AU122)</f>
        <v>0.4</v>
      </c>
      <c r="AV123" s="82" t="n">
        <f aca="false">SUM(AV118:AV122)</f>
        <v>0.4</v>
      </c>
      <c r="AW123" s="82" t="n">
        <f aca="false">SUM(AW118:AW122)</f>
        <v>0.4</v>
      </c>
      <c r="AX123" s="82" t="n">
        <f aca="false">SUM(AX118:AX122)</f>
        <v>0.4</v>
      </c>
      <c r="AY123" s="82" t="n">
        <f aca="false">SUM(AY118:AY122)</f>
        <v>0.4</v>
      </c>
      <c r="AZ123" s="82" t="n">
        <f aca="false">SUM(AZ118:AZ122)</f>
        <v>0.4</v>
      </c>
      <c r="BA123" s="82" t="n">
        <f aca="false">SUM(BA118:BA122)</f>
        <v>0.4</v>
      </c>
      <c r="BB123" s="82" t="n">
        <f aca="false">SUM(BB118:BB122)</f>
        <v>0.4</v>
      </c>
      <c r="BC123" s="82" t="n">
        <f aca="false">SUM(BC118:BC122)</f>
        <v>0.4</v>
      </c>
      <c r="BD123" s="83" t="n">
        <f aca="false">SUM(BD118:BD122)</f>
        <v>0.4</v>
      </c>
      <c r="BE123" s="82" t="n">
        <f aca="false">SUM(BE118:BE122)</f>
        <v>0.4</v>
      </c>
      <c r="BF123" s="82" t="n">
        <f aca="false">SUM(BF118:BF122)</f>
        <v>0.4</v>
      </c>
      <c r="BG123" s="82" t="n">
        <f aca="false">SUM(BG118:BG122)</f>
        <v>0.4</v>
      </c>
      <c r="BH123" s="82" t="n">
        <f aca="false">SUM(BH118:BH122)</f>
        <v>0.4</v>
      </c>
      <c r="BI123" s="82" t="n">
        <f aca="false">SUM(BI118:BI122)</f>
        <v>0.4</v>
      </c>
      <c r="BJ123" s="82" t="n">
        <f aca="false">SUM(BJ118:BJ122)</f>
        <v>0.4</v>
      </c>
      <c r="BK123" s="82" t="n">
        <f aca="false">SUM(BK118:BK122)</f>
        <v>0.4</v>
      </c>
      <c r="BL123" s="82" t="n">
        <f aca="false">SUM(BL118:BL122)</f>
        <v>0.4</v>
      </c>
      <c r="BM123" s="82" t="n">
        <f aca="false">SUM(BM118:BM122)</f>
        <v>0.4</v>
      </c>
      <c r="BN123" s="82" t="n">
        <f aca="false">SUM(BN118:BN122)</f>
        <v>0.4</v>
      </c>
      <c r="BO123" s="82" t="n">
        <f aca="false">SUM(BO118:BO122)</f>
        <v>0.4</v>
      </c>
      <c r="BP123" s="83" t="n">
        <f aca="false">SUM(BP118:BP122)</f>
        <v>0.4</v>
      </c>
      <c r="BQ123" s="82" t="n">
        <f aca="false">SUM(BQ118:BQ122)</f>
        <v>0.4</v>
      </c>
      <c r="BR123" s="82" t="n">
        <f aca="false">SUM(BR118:BR122)</f>
        <v>0.4</v>
      </c>
      <c r="BS123" s="82" t="n">
        <f aca="false">SUM(BS118:BS122)</f>
        <v>0.4</v>
      </c>
      <c r="BT123" s="82" t="n">
        <f aca="false">SUM(BT118:BT122)</f>
        <v>0.4</v>
      </c>
      <c r="BU123" s="82" t="n">
        <f aca="false">SUM(BU118:BU122)</f>
        <v>0.4</v>
      </c>
      <c r="BV123" s="82" t="n">
        <f aca="false">SUM(BV118:BV122)</f>
        <v>0.4</v>
      </c>
      <c r="BW123" s="82" t="n">
        <f aca="false">SUM(BW118:BW122)</f>
        <v>0.4</v>
      </c>
      <c r="BX123" s="82" t="n">
        <f aca="false">SUM(BX118:BX122)</f>
        <v>0.4</v>
      </c>
      <c r="BY123" s="82" t="n">
        <f aca="false">SUM(BY118:BY122)</f>
        <v>0.4</v>
      </c>
      <c r="BZ123" s="82" t="n">
        <f aca="false">SUM(BZ118:BZ122)</f>
        <v>0.4</v>
      </c>
      <c r="CA123" s="84" t="n">
        <f aca="false">SUM(CA118:CA122)</f>
        <v>0.4</v>
      </c>
      <c r="CC123" s="84" t="n">
        <f aca="false">SUM(CC118:CC122)</f>
        <v>0</v>
      </c>
      <c r="CD123" s="84" t="n">
        <f aca="false">SUM(CD118:CD122)</f>
        <v>1.2</v>
      </c>
      <c r="CE123" s="84" t="n">
        <f aca="false">SUM(CE118:CE122)</f>
        <v>4.8</v>
      </c>
      <c r="CF123" s="84" t="n">
        <f aca="false">SUM(CF118:CF122)</f>
        <v>4.8</v>
      </c>
      <c r="CG123" s="84" t="n">
        <f aca="false">SUM(CG118:CG122)</f>
        <v>4.8</v>
      </c>
      <c r="CI123" s="84" t="n">
        <f aca="false">CC123=L123</f>
        <v>1</v>
      </c>
      <c r="CJ123" s="84" t="n">
        <f aca="false">CD123=M123</f>
        <v>1</v>
      </c>
      <c r="CK123" s="84" t="n">
        <f aca="false">CE123=N123</f>
        <v>1</v>
      </c>
      <c r="CL123" s="84" t="n">
        <f aca="false">CF123=O123</f>
        <v>1</v>
      </c>
      <c r="CM123" s="84" t="n">
        <f aca="false">CG123=P123</f>
        <v>1</v>
      </c>
    </row>
    <row r="124" s="14" customFormat="true" ht="16.5" hidden="true" customHeight="true" outlineLevel="1" collapsed="false">
      <c r="E124" s="96"/>
      <c r="H124" s="29"/>
      <c r="I124" s="102"/>
      <c r="J124" s="102"/>
      <c r="K124" s="102"/>
      <c r="L124" s="102"/>
      <c r="M124" s="102"/>
      <c r="N124" s="102"/>
      <c r="O124" s="102"/>
      <c r="P124" s="102"/>
      <c r="Q124" s="16"/>
      <c r="R124" s="16"/>
      <c r="T124" s="82"/>
      <c r="U124" s="82"/>
      <c r="V124" s="82"/>
      <c r="W124" s="82"/>
      <c r="X124" s="82"/>
      <c r="Y124" s="82"/>
      <c r="Z124" s="82"/>
      <c r="AA124" s="82"/>
      <c r="AB124" s="82"/>
      <c r="AC124" s="82"/>
      <c r="AD124" s="82"/>
      <c r="AE124" s="82"/>
      <c r="AF124" s="83"/>
      <c r="AG124" s="82"/>
      <c r="AH124" s="82"/>
      <c r="AI124" s="82"/>
      <c r="AJ124" s="82"/>
      <c r="AK124" s="82"/>
      <c r="AL124" s="82"/>
      <c r="AM124" s="82"/>
      <c r="AN124" s="82"/>
      <c r="AO124" s="82"/>
      <c r="AP124" s="82"/>
      <c r="AQ124" s="82"/>
      <c r="AR124" s="83"/>
      <c r="AS124" s="82"/>
      <c r="AT124" s="82"/>
      <c r="AU124" s="82"/>
      <c r="AV124" s="82"/>
      <c r="AW124" s="82"/>
      <c r="AX124" s="82"/>
      <c r="AY124" s="82"/>
      <c r="AZ124" s="82"/>
      <c r="BA124" s="82"/>
      <c r="BB124" s="82"/>
      <c r="BC124" s="82"/>
      <c r="BD124" s="83"/>
      <c r="BE124" s="82"/>
      <c r="BF124" s="82"/>
      <c r="BG124" s="82"/>
      <c r="BH124" s="82"/>
      <c r="BI124" s="82"/>
      <c r="BJ124" s="82"/>
      <c r="BK124" s="82"/>
      <c r="BL124" s="82"/>
      <c r="BM124" s="82"/>
      <c r="BN124" s="82"/>
      <c r="BO124" s="82"/>
      <c r="BP124" s="83"/>
      <c r="BQ124" s="82"/>
      <c r="BR124" s="82"/>
      <c r="BS124" s="82"/>
      <c r="BT124" s="82"/>
      <c r="BU124" s="82"/>
      <c r="BV124" s="82"/>
      <c r="BW124" s="82"/>
      <c r="BX124" s="82"/>
      <c r="BY124" s="82"/>
      <c r="BZ124" s="82"/>
      <c r="CA124" s="84"/>
      <c r="CC124" s="84"/>
      <c r="CD124" s="84"/>
      <c r="CE124" s="84"/>
      <c r="CF124" s="84"/>
      <c r="CG124" s="84"/>
      <c r="CI124" s="84"/>
      <c r="CJ124" s="84"/>
      <c r="CK124" s="84"/>
      <c r="CL124" s="84"/>
      <c r="CM124" s="84"/>
    </row>
    <row r="125" s="14" customFormat="true" ht="16.5" hidden="true" customHeight="true" outlineLevel="1" collapsed="false">
      <c r="E125" s="85"/>
      <c r="I125" s="98"/>
      <c r="J125" s="98"/>
      <c r="K125" s="98"/>
      <c r="L125" s="98"/>
      <c r="M125" s="98"/>
      <c r="N125" s="98"/>
      <c r="O125" s="98"/>
      <c r="P125" s="98"/>
      <c r="Q125" s="16"/>
      <c r="R125" s="16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9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  <c r="AQ125" s="88"/>
      <c r="AR125" s="89"/>
      <c r="AS125" s="88"/>
      <c r="AT125" s="88"/>
      <c r="AU125" s="88"/>
      <c r="AV125" s="88"/>
      <c r="AW125" s="88"/>
      <c r="AX125" s="88"/>
      <c r="AY125" s="88"/>
      <c r="AZ125" s="88"/>
      <c r="BA125" s="88"/>
      <c r="BB125" s="88"/>
      <c r="BC125" s="88"/>
      <c r="BD125" s="89"/>
      <c r="BE125" s="88"/>
      <c r="BF125" s="88"/>
      <c r="BG125" s="88"/>
      <c r="BH125" s="88"/>
      <c r="BI125" s="88"/>
      <c r="BJ125" s="88"/>
      <c r="BK125" s="88"/>
      <c r="BL125" s="88"/>
      <c r="BM125" s="88"/>
      <c r="BN125" s="88"/>
      <c r="BO125" s="88"/>
      <c r="BP125" s="89"/>
      <c r="BQ125" s="88"/>
      <c r="BR125" s="88"/>
      <c r="BS125" s="88"/>
      <c r="BT125" s="88"/>
      <c r="BU125" s="88"/>
      <c r="BV125" s="88"/>
      <c r="BW125" s="88"/>
      <c r="BX125" s="88"/>
      <c r="BY125" s="88"/>
      <c r="BZ125" s="88"/>
      <c r="CA125" s="90"/>
      <c r="CC125" s="90"/>
      <c r="CD125" s="90"/>
      <c r="CE125" s="90"/>
      <c r="CF125" s="90"/>
      <c r="CG125" s="90"/>
      <c r="CI125" s="90"/>
      <c r="CJ125" s="90"/>
      <c r="CK125" s="90"/>
      <c r="CL125" s="90"/>
      <c r="CM125" s="90"/>
    </row>
    <row r="126" s="14" customFormat="true" ht="16.5" hidden="false" customHeight="true" outlineLevel="0" collapsed="false">
      <c r="E126" s="109" t="s">
        <v>150</v>
      </c>
      <c r="F126" s="109"/>
      <c r="G126" s="109"/>
      <c r="H126" s="109"/>
      <c r="I126" s="111" t="n">
        <f aca="false">SUM(-I107, I115, I123)</f>
        <v>0</v>
      </c>
      <c r="J126" s="111" t="n">
        <f aca="false">SUM(-J107, J115, J123)</f>
        <v>4.8</v>
      </c>
      <c r="K126" s="111" t="n">
        <f aca="false">SUM(-K107, K115, K123)</f>
        <v>4.8</v>
      </c>
      <c r="L126" s="111" t="n">
        <f aca="false">SUM(-L107, L115, L123)</f>
        <v>0</v>
      </c>
      <c r="M126" s="111" t="n">
        <f aca="false">SUM(-M107, M115, M123)</f>
        <v>1.2</v>
      </c>
      <c r="N126" s="111" t="n">
        <f aca="false">SUM(-N107, N115, N123)</f>
        <v>4.8</v>
      </c>
      <c r="O126" s="111" t="n">
        <f aca="false">SUM(-O107, O115, O123)</f>
        <v>4.8</v>
      </c>
      <c r="P126" s="111" t="n">
        <f aca="false">SUM(-P107, P115, P123)</f>
        <v>4.8</v>
      </c>
      <c r="Q126" s="16"/>
      <c r="R126" s="16"/>
      <c r="T126" s="120" t="n">
        <f aca="false">SUM(-T107, T115, T123)</f>
        <v>0</v>
      </c>
      <c r="U126" s="120" t="n">
        <f aca="false">SUM(-U107, U115, U123)</f>
        <v>0</v>
      </c>
      <c r="V126" s="120" t="n">
        <f aca="false">SUM(-V107, V115, V123)</f>
        <v>0</v>
      </c>
      <c r="W126" s="120" t="n">
        <f aca="false">SUM(-W107, W115, W123)</f>
        <v>0</v>
      </c>
      <c r="X126" s="120" t="n">
        <f aca="false">SUM(-X107, X115, X123)</f>
        <v>0</v>
      </c>
      <c r="Y126" s="120" t="n">
        <f aca="false">SUM(-Y107, Y115, Y123)</f>
        <v>0</v>
      </c>
      <c r="Z126" s="120" t="n">
        <f aca="false">SUM(-Z107, Z115, Z123)</f>
        <v>0</v>
      </c>
      <c r="AA126" s="120" t="n">
        <f aca="false">SUM(-AA107, AA115, AA123)</f>
        <v>0</v>
      </c>
      <c r="AB126" s="120" t="n">
        <f aca="false">SUM(-AB107, AB115, AB123)</f>
        <v>0</v>
      </c>
      <c r="AC126" s="120" t="n">
        <f aca="false">SUM(-AC107, AC115, AC123)</f>
        <v>0</v>
      </c>
      <c r="AD126" s="120" t="n">
        <f aca="false">SUM(-AD107, AD115, AD123)</f>
        <v>0</v>
      </c>
      <c r="AE126" s="120" t="n">
        <f aca="false">SUM(-AE107, AE115, AE123)</f>
        <v>0</v>
      </c>
      <c r="AF126" s="120" t="n">
        <f aca="false">SUM(-AF107, AF115, AF123)</f>
        <v>0.1</v>
      </c>
      <c r="AG126" s="120" t="n">
        <f aca="false">SUM(-AG107, AG115, AG123)</f>
        <v>0.1</v>
      </c>
      <c r="AH126" s="120" t="n">
        <f aca="false">SUM(-AH107, AH115, AH123)</f>
        <v>0.1</v>
      </c>
      <c r="AI126" s="120" t="n">
        <f aca="false">SUM(-AI107, AI115, AI123)</f>
        <v>0.1</v>
      </c>
      <c r="AJ126" s="120" t="n">
        <f aca="false">SUM(-AJ107, AJ115, AJ123)</f>
        <v>0.1</v>
      </c>
      <c r="AK126" s="120" t="n">
        <f aca="false">SUM(-AK107, AK115, AK123)</f>
        <v>0.1</v>
      </c>
      <c r="AL126" s="120" t="n">
        <f aca="false">SUM(-AL107, AL115, AL123)</f>
        <v>0.1</v>
      </c>
      <c r="AM126" s="120" t="n">
        <f aca="false">SUM(-AM107, AM115, AM123)</f>
        <v>0.1</v>
      </c>
      <c r="AN126" s="120" t="n">
        <f aca="false">SUM(-AN107, AN115, AN123)</f>
        <v>0.1</v>
      </c>
      <c r="AO126" s="120" t="n">
        <f aca="false">SUM(-AO107, AO115, AO123)</f>
        <v>0.1</v>
      </c>
      <c r="AP126" s="120" t="n">
        <f aca="false">SUM(-AP107, AP115, AP123)</f>
        <v>0.1</v>
      </c>
      <c r="AQ126" s="120" t="n">
        <f aca="false">SUM(-AQ107, AQ115, AQ123)</f>
        <v>0.1</v>
      </c>
      <c r="AR126" s="120" t="n">
        <f aca="false">SUM(-AR107, AR115, AR123)</f>
        <v>0.4</v>
      </c>
      <c r="AS126" s="120" t="n">
        <f aca="false">SUM(-AS107, AS115, AS123)</f>
        <v>0.4</v>
      </c>
      <c r="AT126" s="120" t="n">
        <f aca="false">SUM(-AT107, AT115, AT123)</f>
        <v>0.4</v>
      </c>
      <c r="AU126" s="120" t="n">
        <f aca="false">SUM(-AU107, AU115, AU123)</f>
        <v>0.4</v>
      </c>
      <c r="AV126" s="120" t="n">
        <f aca="false">SUM(-AV107, AV115, AV123)</f>
        <v>0.4</v>
      </c>
      <c r="AW126" s="120" t="n">
        <f aca="false">SUM(-AW107, AW115, AW123)</f>
        <v>0.4</v>
      </c>
      <c r="AX126" s="120" t="n">
        <f aca="false">SUM(-AX107, AX115, AX123)</f>
        <v>0.4</v>
      </c>
      <c r="AY126" s="120" t="n">
        <f aca="false">SUM(-AY107, AY115, AY123)</f>
        <v>0.4</v>
      </c>
      <c r="AZ126" s="120" t="n">
        <f aca="false">SUM(-AZ107, AZ115, AZ123)</f>
        <v>0.4</v>
      </c>
      <c r="BA126" s="120" t="n">
        <f aca="false">SUM(-BA107, BA115, BA123)</f>
        <v>0.4</v>
      </c>
      <c r="BB126" s="120" t="n">
        <f aca="false">SUM(-BB107, BB115, BB123)</f>
        <v>0.4</v>
      </c>
      <c r="BC126" s="120" t="n">
        <f aca="false">SUM(-BC107, BC115, BC123)</f>
        <v>0.4</v>
      </c>
      <c r="BD126" s="120" t="n">
        <f aca="false">SUM(-BD107, BD115, BD123)</f>
        <v>0.4</v>
      </c>
      <c r="BE126" s="120" t="n">
        <f aca="false">SUM(-BE107, BE115, BE123)</f>
        <v>0.4</v>
      </c>
      <c r="BF126" s="120" t="n">
        <f aca="false">SUM(-BF107, BF115, BF123)</f>
        <v>0.4</v>
      </c>
      <c r="BG126" s="120" t="n">
        <f aca="false">SUM(-BG107, BG115, BG123)</f>
        <v>0.4</v>
      </c>
      <c r="BH126" s="120" t="n">
        <f aca="false">SUM(-BH107, BH115, BH123)</f>
        <v>0.4</v>
      </c>
      <c r="BI126" s="120" t="n">
        <f aca="false">SUM(-BI107, BI115, BI123)</f>
        <v>0.4</v>
      </c>
      <c r="BJ126" s="120" t="n">
        <f aca="false">SUM(-BJ107, BJ115, BJ123)</f>
        <v>0.4</v>
      </c>
      <c r="BK126" s="120" t="n">
        <f aca="false">SUM(-BK107, BK115, BK123)</f>
        <v>0.4</v>
      </c>
      <c r="BL126" s="120" t="n">
        <f aca="false">SUM(-BL107, BL115, BL123)</f>
        <v>0.4</v>
      </c>
      <c r="BM126" s="120" t="n">
        <f aca="false">SUM(-BM107, BM115, BM123)</f>
        <v>0.4</v>
      </c>
      <c r="BN126" s="120" t="n">
        <f aca="false">SUM(-BN107, BN115, BN123)</f>
        <v>0.4</v>
      </c>
      <c r="BO126" s="120" t="n">
        <f aca="false">SUM(-BO107, BO115, BO123)</f>
        <v>0.4</v>
      </c>
      <c r="BP126" s="120" t="n">
        <f aca="false">SUM(-BP107, BP115, BP123)</f>
        <v>0.4</v>
      </c>
      <c r="BQ126" s="120" t="n">
        <f aca="false">SUM(-BQ107, BQ115, BQ123)</f>
        <v>0.4</v>
      </c>
      <c r="BR126" s="120" t="n">
        <f aca="false">SUM(-BR107, BR115, BR123)</f>
        <v>0.4</v>
      </c>
      <c r="BS126" s="120" t="n">
        <f aca="false">SUM(-BS107, BS115, BS123)</f>
        <v>0.4</v>
      </c>
      <c r="BT126" s="120" t="n">
        <f aca="false">SUM(-BT107, BT115, BT123)</f>
        <v>0.4</v>
      </c>
      <c r="BU126" s="120" t="n">
        <f aca="false">SUM(-BU107, BU115, BU123)</f>
        <v>0.4</v>
      </c>
      <c r="BV126" s="120" t="n">
        <f aca="false">SUM(-BV107, BV115, BV123)</f>
        <v>0.4</v>
      </c>
      <c r="BW126" s="120" t="n">
        <f aca="false">SUM(-BW107, BW115, BW123)</f>
        <v>0.4</v>
      </c>
      <c r="BX126" s="120" t="n">
        <f aca="false">SUM(-BX107, BX115, BX123)</f>
        <v>0.4</v>
      </c>
      <c r="BY126" s="120" t="n">
        <f aca="false">SUM(-BY107, BY115, BY123)</f>
        <v>0.4</v>
      </c>
      <c r="BZ126" s="120" t="n">
        <f aca="false">SUM(-BZ107, BZ115, BZ123)</f>
        <v>0.4</v>
      </c>
      <c r="CA126" s="120" t="n">
        <f aca="false">SUM(-CA107, CA115, CA123)</f>
        <v>0.4</v>
      </c>
      <c r="CC126" s="120" t="n">
        <f aca="false">SUM(-CC107, CC115, CC123)</f>
        <v>0</v>
      </c>
      <c r="CD126" s="120" t="n">
        <f aca="false">SUM(-CD107, CD115, CD123)</f>
        <v>1.2</v>
      </c>
      <c r="CE126" s="120" t="n">
        <f aca="false">SUM(-CE107, CE115, CE123)</f>
        <v>4.8</v>
      </c>
      <c r="CF126" s="120" t="n">
        <f aca="false">SUM(-CF107, CF115, CF123)</f>
        <v>4.8</v>
      </c>
      <c r="CG126" s="120" t="n">
        <f aca="false">SUM(-CG107, CG115, CG123)</f>
        <v>4.8</v>
      </c>
      <c r="CI126" s="113" t="n">
        <f aca="false">CC126=L126</f>
        <v>1</v>
      </c>
      <c r="CJ126" s="113" t="n">
        <f aca="false">CD126=M126</f>
        <v>1</v>
      </c>
      <c r="CK126" s="113" t="n">
        <f aca="false">CE126=N126</f>
        <v>1</v>
      </c>
      <c r="CL126" s="113" t="n">
        <f aca="false">CF126=O126</f>
        <v>1</v>
      </c>
      <c r="CM126" s="113" t="n">
        <f aca="false">CG126=P126</f>
        <v>1</v>
      </c>
    </row>
    <row r="127" s="14" customFormat="true" ht="16.5" hidden="false" customHeight="true" outlineLevel="0" collapsed="false">
      <c r="E127" s="21"/>
      <c r="I127" s="98"/>
      <c r="J127" s="98"/>
      <c r="K127" s="98"/>
      <c r="L127" s="98"/>
      <c r="M127" s="98"/>
      <c r="N127" s="98"/>
      <c r="O127" s="98"/>
      <c r="P127" s="98"/>
      <c r="Q127" s="16"/>
      <c r="R127" s="16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  <c r="AQ127" s="88"/>
      <c r="AR127" s="88"/>
      <c r="AS127" s="88"/>
      <c r="AT127" s="88"/>
      <c r="AU127" s="88"/>
      <c r="AV127" s="88"/>
      <c r="AW127" s="88"/>
      <c r="AX127" s="88"/>
      <c r="AY127" s="88"/>
      <c r="AZ127" s="88"/>
      <c r="BA127" s="88"/>
      <c r="BB127" s="88"/>
      <c r="BC127" s="88"/>
      <c r="BD127" s="88"/>
      <c r="BE127" s="88"/>
      <c r="BF127" s="88"/>
      <c r="BG127" s="88"/>
      <c r="BH127" s="88"/>
      <c r="BI127" s="88"/>
      <c r="BJ127" s="88"/>
      <c r="BK127" s="88"/>
      <c r="BL127" s="88"/>
      <c r="BM127" s="88"/>
      <c r="BN127" s="88"/>
      <c r="BO127" s="88"/>
      <c r="BP127" s="88"/>
      <c r="BQ127" s="88"/>
      <c r="BR127" s="88"/>
      <c r="BS127" s="88"/>
      <c r="BT127" s="88"/>
      <c r="BU127" s="88"/>
      <c r="BV127" s="88"/>
      <c r="BW127" s="88"/>
      <c r="BX127" s="88"/>
      <c r="BY127" s="88"/>
      <c r="BZ127" s="88"/>
      <c r="CA127" s="121"/>
    </row>
    <row r="128" s="14" customFormat="true" ht="16.5" hidden="false" customHeight="true" outlineLevel="0" collapsed="false">
      <c r="E128" s="122" t="s">
        <v>151</v>
      </c>
      <c r="F128" s="123"/>
      <c r="G128" s="123"/>
      <c r="H128" s="123"/>
      <c r="I128" s="124" t="n">
        <f aca="false">SUM(I100, -I126)</f>
        <v>25</v>
      </c>
      <c r="J128" s="124" t="n">
        <f aca="false">SUM(J100, -J126)</f>
        <v>8.2</v>
      </c>
      <c r="K128" s="124" t="n">
        <f aca="false">SUM(K100, -K126)</f>
        <v>7.2</v>
      </c>
      <c r="L128" s="124" t="n">
        <f aca="false">SUM(L100, -L126)</f>
        <v>0</v>
      </c>
      <c r="M128" s="124" t="n">
        <f aca="false">SUM(M100, -M126)</f>
        <v>-1.2</v>
      </c>
      <c r="N128" s="124" t="n">
        <f aca="false">SUM(N100, -N126)</f>
        <v>7.2</v>
      </c>
      <c r="O128" s="124" t="n">
        <f aca="false">SUM(O100, -O126)</f>
        <v>7.2</v>
      </c>
      <c r="P128" s="124" t="n">
        <f aca="false">SUM(P100, -P126)</f>
        <v>7.2</v>
      </c>
      <c r="Q128" s="16"/>
      <c r="R128" s="16" t="str">
        <f aca="false">IF(K128=P128, "", "Error")</f>
        <v/>
      </c>
      <c r="T128" s="125" t="n">
        <f aca="false">SUM(T100, -T126)</f>
        <v>0</v>
      </c>
      <c r="U128" s="125" t="n">
        <f aca="false">SUM(U100, -U126)</f>
        <v>0</v>
      </c>
      <c r="V128" s="125" t="n">
        <f aca="false">SUM(V100, -V126)</f>
        <v>0</v>
      </c>
      <c r="W128" s="125" t="n">
        <f aca="false">SUM(W100, -W126)</f>
        <v>0</v>
      </c>
      <c r="X128" s="125" t="n">
        <f aca="false">SUM(X100, -X126)</f>
        <v>0</v>
      </c>
      <c r="Y128" s="125" t="n">
        <f aca="false">SUM(Y100, -Y126)</f>
        <v>0</v>
      </c>
      <c r="Z128" s="125" t="n">
        <f aca="false">SUM(Z100, -Z126)</f>
        <v>0</v>
      </c>
      <c r="AA128" s="125" t="n">
        <f aca="false">SUM(AA100, -AA126)</f>
        <v>0</v>
      </c>
      <c r="AB128" s="125" t="n">
        <f aca="false">SUM(AB100, -AB126)</f>
        <v>0</v>
      </c>
      <c r="AC128" s="125" t="n">
        <f aca="false">SUM(AC100, -AC126)</f>
        <v>0</v>
      </c>
      <c r="AD128" s="125" t="n">
        <f aca="false">SUM(AD100, -AD126)</f>
        <v>0</v>
      </c>
      <c r="AE128" s="125" t="n">
        <f aca="false">SUM(AE100, -AE126)</f>
        <v>0</v>
      </c>
      <c r="AF128" s="125" t="n">
        <f aca="false">SUM(AF100, -AF126)</f>
        <v>-0.1</v>
      </c>
      <c r="AG128" s="125" t="n">
        <f aca="false">SUM(AG100, -AG126)</f>
        <v>-0.1</v>
      </c>
      <c r="AH128" s="125" t="n">
        <f aca="false">SUM(AH100, -AH126)</f>
        <v>-0.1</v>
      </c>
      <c r="AI128" s="125" t="n">
        <f aca="false">SUM(AI100, -AI126)</f>
        <v>-0.1</v>
      </c>
      <c r="AJ128" s="125" t="n">
        <f aca="false">SUM(AJ100, -AJ126)</f>
        <v>-0.1</v>
      </c>
      <c r="AK128" s="125" t="n">
        <f aca="false">SUM(AK100, -AK126)</f>
        <v>-0.1</v>
      </c>
      <c r="AL128" s="125" t="n">
        <f aca="false">SUM(AL100, -AL126)</f>
        <v>-0.1</v>
      </c>
      <c r="AM128" s="125" t="n">
        <f aca="false">SUM(AM100, -AM126)</f>
        <v>-0.1</v>
      </c>
      <c r="AN128" s="125" t="n">
        <f aca="false">SUM(AN100, -AN126)</f>
        <v>-0.1</v>
      </c>
      <c r="AO128" s="125" t="n">
        <f aca="false">SUM(AO100, -AO126)</f>
        <v>-0.1</v>
      </c>
      <c r="AP128" s="125" t="n">
        <f aca="false">SUM(AP100, -AP126)</f>
        <v>-0.1</v>
      </c>
      <c r="AQ128" s="125" t="n">
        <f aca="false">SUM(AQ100, -AQ126)</f>
        <v>-0.1</v>
      </c>
      <c r="AR128" s="125" t="n">
        <f aca="false">SUM(AR100, -AR126)</f>
        <v>0.6</v>
      </c>
      <c r="AS128" s="125" t="n">
        <f aca="false">SUM(AS100, -AS126)</f>
        <v>0.6</v>
      </c>
      <c r="AT128" s="125" t="n">
        <f aca="false">SUM(AT100, -AT126)</f>
        <v>0.6</v>
      </c>
      <c r="AU128" s="125" t="n">
        <f aca="false">SUM(AU100, -AU126)</f>
        <v>0.6</v>
      </c>
      <c r="AV128" s="125" t="n">
        <f aca="false">SUM(AV100, -AV126)</f>
        <v>0.6</v>
      </c>
      <c r="AW128" s="125" t="n">
        <f aca="false">SUM(AW100, -AW126)</f>
        <v>0.6</v>
      </c>
      <c r="AX128" s="125" t="n">
        <f aca="false">SUM(AX100, -AX126)</f>
        <v>0.6</v>
      </c>
      <c r="AY128" s="125" t="n">
        <f aca="false">SUM(AY100, -AY126)</f>
        <v>0.6</v>
      </c>
      <c r="AZ128" s="125" t="n">
        <f aca="false">SUM(AZ100, -AZ126)</f>
        <v>0.6</v>
      </c>
      <c r="BA128" s="125" t="n">
        <f aca="false">SUM(BA100, -BA126)</f>
        <v>0.6</v>
      </c>
      <c r="BB128" s="125" t="n">
        <f aca="false">SUM(BB100, -BB126)</f>
        <v>0.6</v>
      </c>
      <c r="BC128" s="125" t="n">
        <f aca="false">SUM(BC100, -BC126)</f>
        <v>0.6</v>
      </c>
      <c r="BD128" s="125" t="n">
        <f aca="false">SUM(BD100, -BD126)</f>
        <v>0.6</v>
      </c>
      <c r="BE128" s="125" t="n">
        <f aca="false">SUM(BE100, -BE126)</f>
        <v>0.6</v>
      </c>
      <c r="BF128" s="125" t="n">
        <f aca="false">SUM(BF100, -BF126)</f>
        <v>0.6</v>
      </c>
      <c r="BG128" s="125" t="n">
        <f aca="false">SUM(BG100, -BG126)</f>
        <v>0.6</v>
      </c>
      <c r="BH128" s="125" t="n">
        <f aca="false">SUM(BH100, -BH126)</f>
        <v>0.6</v>
      </c>
      <c r="BI128" s="125" t="n">
        <f aca="false">SUM(BI100, -BI126)</f>
        <v>0.6</v>
      </c>
      <c r="BJ128" s="125" t="n">
        <f aca="false">SUM(BJ100, -BJ126)</f>
        <v>0.6</v>
      </c>
      <c r="BK128" s="125" t="n">
        <f aca="false">SUM(BK100, -BK126)</f>
        <v>0.6</v>
      </c>
      <c r="BL128" s="125" t="n">
        <f aca="false">SUM(BL100, -BL126)</f>
        <v>0.6</v>
      </c>
      <c r="BM128" s="125" t="n">
        <f aca="false">SUM(BM100, -BM126)</f>
        <v>0.6</v>
      </c>
      <c r="BN128" s="125" t="n">
        <f aca="false">SUM(BN100, -BN126)</f>
        <v>0.6</v>
      </c>
      <c r="BO128" s="125" t="n">
        <f aca="false">SUM(BO100, -BO126)</f>
        <v>0.6</v>
      </c>
      <c r="BP128" s="125" t="n">
        <f aca="false">SUM(BP100, -BP126)</f>
        <v>0.6</v>
      </c>
      <c r="BQ128" s="125" t="n">
        <f aca="false">SUM(BQ100, -BQ126)</f>
        <v>0.6</v>
      </c>
      <c r="BR128" s="125" t="n">
        <f aca="false">SUM(BR100, -BR126)</f>
        <v>0.6</v>
      </c>
      <c r="BS128" s="125" t="n">
        <f aca="false">SUM(BS100, -BS126)</f>
        <v>0.6</v>
      </c>
      <c r="BT128" s="125" t="n">
        <f aca="false">SUM(BT100, -BT126)</f>
        <v>0.6</v>
      </c>
      <c r="BU128" s="125" t="n">
        <f aca="false">SUM(BU100, -BU126)</f>
        <v>0.6</v>
      </c>
      <c r="BV128" s="125" t="n">
        <f aca="false">SUM(BV100, -BV126)</f>
        <v>0.6</v>
      </c>
      <c r="BW128" s="125" t="n">
        <f aca="false">SUM(BW100, -BW126)</f>
        <v>0.6</v>
      </c>
      <c r="BX128" s="125" t="n">
        <f aca="false">SUM(BX100, -BX126)</f>
        <v>0.6</v>
      </c>
      <c r="BY128" s="125" t="n">
        <f aca="false">SUM(BY100, -BY126)</f>
        <v>0.6</v>
      </c>
      <c r="BZ128" s="125" t="n">
        <f aca="false">SUM(BZ100, -BZ126)</f>
        <v>0.6</v>
      </c>
      <c r="CA128" s="126" t="n">
        <f aca="false">SUM(CA100, -CA126)</f>
        <v>0.6</v>
      </c>
      <c r="CC128" s="126" t="n">
        <f aca="false">SUM(CC100, -CC126)</f>
        <v>0</v>
      </c>
      <c r="CD128" s="126" t="n">
        <f aca="false">SUM(CD100, -CD126)</f>
        <v>-1.2</v>
      </c>
      <c r="CE128" s="126" t="n">
        <f aca="false">SUM(CE100, -CE126)</f>
        <v>7.2</v>
      </c>
      <c r="CF128" s="126" t="n">
        <f aca="false">SUM(CF100, -CF126)</f>
        <v>7.2</v>
      </c>
      <c r="CG128" s="126" t="n">
        <f aca="false">SUM(CG100, -CG126)</f>
        <v>7.2</v>
      </c>
      <c r="CI128" s="126" t="n">
        <f aca="false">CC128=L128</f>
        <v>1</v>
      </c>
      <c r="CJ128" s="126" t="n">
        <f aca="false">CD128=M128</f>
        <v>1</v>
      </c>
      <c r="CK128" s="126" t="n">
        <f aca="false">CE128=N128</f>
        <v>1</v>
      </c>
      <c r="CL128" s="126" t="n">
        <f aca="false">CF128=O128</f>
        <v>1</v>
      </c>
      <c r="CM128" s="126" t="n">
        <f aca="false">CG128=P128</f>
        <v>1</v>
      </c>
    </row>
    <row r="129" s="14" customFormat="true" ht="17.25" hidden="false" customHeight="true" outlineLevel="0" collapsed="false">
      <c r="K129" s="127"/>
      <c r="Q129" s="16"/>
      <c r="R129" s="16"/>
    </row>
    <row r="130" s="14" customFormat="true" ht="17.25" hidden="false" customHeight="true" outlineLevel="0" collapsed="false">
      <c r="E130" s="128"/>
      <c r="Q130" s="16"/>
      <c r="R130" s="16"/>
    </row>
    <row r="131" s="14" customFormat="true" ht="16.5" hidden="false" customHeight="true" outlineLevel="0" collapsed="false">
      <c r="C131" s="19" t="s">
        <v>152</v>
      </c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20"/>
      <c r="R131" s="20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C131" s="19" t="s">
        <v>127</v>
      </c>
      <c r="CD131" s="19"/>
      <c r="CE131" s="19"/>
      <c r="CF131" s="19"/>
      <c r="CG131" s="19"/>
      <c r="CI131" s="19" t="s">
        <v>128</v>
      </c>
      <c r="CJ131" s="19"/>
      <c r="CK131" s="19"/>
      <c r="CL131" s="19"/>
      <c r="CM131" s="19"/>
    </row>
    <row r="132" s="14" customFormat="true" ht="16.5" hidden="false" customHeight="true" outlineLevel="0" collapsed="false">
      <c r="Q132" s="16"/>
      <c r="R132" s="16"/>
    </row>
    <row r="133" s="14" customFormat="true" ht="16.5" hidden="false" customHeight="true" outlineLevel="0" collapsed="false">
      <c r="Q133" s="16"/>
      <c r="R133" s="16"/>
      <c r="T133" s="62" t="n">
        <v>2026</v>
      </c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62" t="n">
        <v>2027</v>
      </c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62" t="n">
        <v>2028</v>
      </c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62" t="n">
        <v>2029</v>
      </c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62" t="n">
        <v>2030</v>
      </c>
      <c r="BQ133" s="130"/>
      <c r="BR133" s="130"/>
      <c r="BS133" s="130"/>
      <c r="BT133" s="130"/>
      <c r="BU133" s="130"/>
      <c r="BV133" s="130"/>
      <c r="BW133" s="130"/>
      <c r="BX133" s="130"/>
      <c r="BY133" s="130"/>
      <c r="BZ133" s="130"/>
      <c r="CA133" s="130"/>
    </row>
    <row r="134" s="14" customFormat="true" ht="16.5" hidden="false" customHeight="true" outlineLevel="0" collapsed="false">
      <c r="D134" s="30" t="s">
        <v>153</v>
      </c>
      <c r="E134" s="31"/>
      <c r="F134" s="31"/>
      <c r="G134" s="31"/>
      <c r="H134" s="31"/>
      <c r="I134" s="31"/>
      <c r="J134" s="31"/>
      <c r="K134" s="31" t="s">
        <v>130</v>
      </c>
      <c r="L134" s="31" t="n">
        <v>2026</v>
      </c>
      <c r="M134" s="31" t="n">
        <f aca="false">L134+1</f>
        <v>2027</v>
      </c>
      <c r="N134" s="31" t="n">
        <f aca="false">M134+1</f>
        <v>2028</v>
      </c>
      <c r="O134" s="31" t="n">
        <f aca="false">N134+1</f>
        <v>2029</v>
      </c>
      <c r="P134" s="31" t="n">
        <f aca="false">O134+1</f>
        <v>2030</v>
      </c>
      <c r="Q134" s="31" t="s">
        <v>132</v>
      </c>
      <c r="R134" s="16"/>
      <c r="T134" s="59" t="n">
        <v>46023</v>
      </c>
      <c r="U134" s="60" t="n">
        <f aca="false">EOMONTH(T134, 1)</f>
        <v>46081</v>
      </c>
      <c r="V134" s="60" t="n">
        <f aca="false">EOMONTH(U134, 1)</f>
        <v>46112</v>
      </c>
      <c r="W134" s="60" t="n">
        <f aca="false">EOMONTH(V134, 1)</f>
        <v>46142</v>
      </c>
      <c r="X134" s="60" t="n">
        <f aca="false">EOMONTH(W134, 1)</f>
        <v>46173</v>
      </c>
      <c r="Y134" s="60" t="n">
        <f aca="false">EOMONTH(X134, 1)</f>
        <v>46203</v>
      </c>
      <c r="Z134" s="60" t="n">
        <f aca="false">EOMONTH(Y134, 1)</f>
        <v>46234</v>
      </c>
      <c r="AA134" s="60" t="n">
        <f aca="false">EOMONTH(Z134, 1)</f>
        <v>46265</v>
      </c>
      <c r="AB134" s="60" t="n">
        <f aca="false">EOMONTH(AA134, 1)</f>
        <v>46295</v>
      </c>
      <c r="AC134" s="60" t="n">
        <f aca="false">EOMONTH(AB134, 1)</f>
        <v>46326</v>
      </c>
      <c r="AD134" s="60" t="n">
        <f aca="false">EOMONTH(AC134, 1)</f>
        <v>46356</v>
      </c>
      <c r="AE134" s="61" t="n">
        <f aca="false">EOMONTH(AD134, 1)</f>
        <v>46387</v>
      </c>
      <c r="AF134" s="59" t="n">
        <f aca="false">EOMONTH(AE134, 1)</f>
        <v>46418</v>
      </c>
      <c r="AG134" s="60" t="n">
        <f aca="false">EOMONTH(AF134, 1)</f>
        <v>46446</v>
      </c>
      <c r="AH134" s="60" t="n">
        <f aca="false">EOMONTH(AG134, 1)</f>
        <v>46477</v>
      </c>
      <c r="AI134" s="60" t="n">
        <f aca="false">EOMONTH(AH134, 1)</f>
        <v>46507</v>
      </c>
      <c r="AJ134" s="60" t="n">
        <f aca="false">EOMONTH(AI134, 1)</f>
        <v>46538</v>
      </c>
      <c r="AK134" s="60" t="n">
        <f aca="false">EOMONTH(AJ134, 1)</f>
        <v>46568</v>
      </c>
      <c r="AL134" s="60" t="n">
        <f aca="false">EOMONTH(AK134, 1)</f>
        <v>46599</v>
      </c>
      <c r="AM134" s="60" t="n">
        <f aca="false">EOMONTH(AL134, 1)</f>
        <v>46630</v>
      </c>
      <c r="AN134" s="60" t="n">
        <f aca="false">EOMONTH(AM134, 1)</f>
        <v>46660</v>
      </c>
      <c r="AO134" s="60" t="n">
        <f aca="false">EOMONTH(AN134, 1)</f>
        <v>46691</v>
      </c>
      <c r="AP134" s="60" t="n">
        <f aca="false">EOMONTH(AO134, 1)</f>
        <v>46721</v>
      </c>
      <c r="AQ134" s="61" t="n">
        <f aca="false">EOMONTH(AP134, 1)</f>
        <v>46752</v>
      </c>
      <c r="AR134" s="59" t="n">
        <f aca="false">EOMONTH(AQ134, 1)</f>
        <v>46783</v>
      </c>
      <c r="AS134" s="60" t="n">
        <f aca="false">EOMONTH(AR134, 1)</f>
        <v>46812</v>
      </c>
      <c r="AT134" s="60" t="n">
        <f aca="false">EOMONTH(AS134, 1)</f>
        <v>46843</v>
      </c>
      <c r="AU134" s="60" t="n">
        <f aca="false">EOMONTH(AT134, 1)</f>
        <v>46873</v>
      </c>
      <c r="AV134" s="60" t="n">
        <f aca="false">EOMONTH(AU134, 1)</f>
        <v>46904</v>
      </c>
      <c r="AW134" s="60" t="n">
        <f aca="false">EOMONTH(AV134, 1)</f>
        <v>46934</v>
      </c>
      <c r="AX134" s="60" t="n">
        <f aca="false">EOMONTH(AW134, 1)</f>
        <v>46965</v>
      </c>
      <c r="AY134" s="60" t="n">
        <f aca="false">EOMONTH(AX134, 1)</f>
        <v>46996</v>
      </c>
      <c r="AZ134" s="60" t="n">
        <f aca="false">EOMONTH(AY134, 1)</f>
        <v>47026</v>
      </c>
      <c r="BA134" s="60" t="n">
        <f aca="false">EOMONTH(AZ134, 1)</f>
        <v>47057</v>
      </c>
      <c r="BB134" s="60" t="n">
        <f aca="false">EOMONTH(BA134, 1)</f>
        <v>47087</v>
      </c>
      <c r="BC134" s="61" t="n">
        <f aca="false">EOMONTH(BB134, 1)</f>
        <v>47118</v>
      </c>
      <c r="BD134" s="59" t="n">
        <f aca="false">EOMONTH(BC134, 1)</f>
        <v>47149</v>
      </c>
      <c r="BE134" s="60" t="n">
        <f aca="false">EOMONTH(BD134, 1)</f>
        <v>47177</v>
      </c>
      <c r="BF134" s="60" t="n">
        <f aca="false">EOMONTH(BE134, 1)</f>
        <v>47208</v>
      </c>
      <c r="BG134" s="60" t="n">
        <f aca="false">EOMONTH(BF134, 1)</f>
        <v>47238</v>
      </c>
      <c r="BH134" s="60" t="n">
        <f aca="false">EOMONTH(BG134, 1)</f>
        <v>47269</v>
      </c>
      <c r="BI134" s="60" t="n">
        <f aca="false">EOMONTH(BH134, 1)</f>
        <v>47299</v>
      </c>
      <c r="BJ134" s="60" t="n">
        <f aca="false">EOMONTH(BI134, 1)</f>
        <v>47330</v>
      </c>
      <c r="BK134" s="60" t="n">
        <f aca="false">EOMONTH(BJ134, 1)</f>
        <v>47361</v>
      </c>
      <c r="BL134" s="60" t="n">
        <f aca="false">EOMONTH(BK134, 1)</f>
        <v>47391</v>
      </c>
      <c r="BM134" s="60" t="n">
        <f aca="false">EOMONTH(BL134, 1)</f>
        <v>47422</v>
      </c>
      <c r="BN134" s="60" t="n">
        <f aca="false">EOMONTH(BM134, 1)</f>
        <v>47452</v>
      </c>
      <c r="BO134" s="61" t="n">
        <f aca="false">EOMONTH(BN134, 1)</f>
        <v>47483</v>
      </c>
      <c r="BP134" s="59" t="n">
        <f aca="false">EOMONTH(BO134, 1)</f>
        <v>47514</v>
      </c>
      <c r="BQ134" s="60" t="n">
        <f aca="false">EOMONTH(BP134, 1)</f>
        <v>47542</v>
      </c>
      <c r="BR134" s="60" t="n">
        <f aca="false">EOMONTH(BQ134, 1)</f>
        <v>47573</v>
      </c>
      <c r="BS134" s="60" t="n">
        <f aca="false">EOMONTH(BR134, 1)</f>
        <v>47603</v>
      </c>
      <c r="BT134" s="60" t="n">
        <f aca="false">EOMONTH(BS134, 1)</f>
        <v>47634</v>
      </c>
      <c r="BU134" s="60" t="n">
        <f aca="false">EOMONTH(BT134, 1)</f>
        <v>47664</v>
      </c>
      <c r="BV134" s="60" t="n">
        <f aca="false">EOMONTH(BU134, 1)</f>
        <v>47695</v>
      </c>
      <c r="BW134" s="60" t="n">
        <f aca="false">EOMONTH(BV134, 1)</f>
        <v>47726</v>
      </c>
      <c r="BX134" s="60" t="n">
        <f aca="false">EOMONTH(BW134, 1)</f>
        <v>47756</v>
      </c>
      <c r="BY134" s="60" t="n">
        <f aca="false">EOMONTH(BX134, 1)</f>
        <v>47787</v>
      </c>
      <c r="BZ134" s="60" t="n">
        <f aca="false">EOMONTH(BY134, 1)</f>
        <v>47817</v>
      </c>
      <c r="CA134" s="60" t="n">
        <f aca="false">EOMONTH(BZ134, 1)</f>
        <v>47848</v>
      </c>
      <c r="CC134" s="62" t="n">
        <v>2026</v>
      </c>
      <c r="CD134" s="62" t="n">
        <f aca="false">CC134+1</f>
        <v>2027</v>
      </c>
      <c r="CE134" s="62" t="n">
        <f aca="false">CD134+1</f>
        <v>2028</v>
      </c>
      <c r="CF134" s="62" t="n">
        <f aca="false">CE134+1</f>
        <v>2029</v>
      </c>
      <c r="CG134" s="62" t="n">
        <f aca="false">CF134+1</f>
        <v>2030</v>
      </c>
      <c r="CI134" s="62" t="n">
        <v>2026</v>
      </c>
      <c r="CJ134" s="62" t="n">
        <f aca="false">CI134+1</f>
        <v>2027</v>
      </c>
      <c r="CK134" s="62" t="n">
        <f aca="false">CJ134+1</f>
        <v>2028</v>
      </c>
      <c r="CL134" s="62" t="n">
        <f aca="false">CK134+1</f>
        <v>2029</v>
      </c>
      <c r="CM134" s="62" t="n">
        <f aca="false">CL134+1</f>
        <v>2030</v>
      </c>
    </row>
    <row r="135" s="14" customFormat="true" ht="16.5" hidden="false" customHeight="true" outlineLevel="0" collapsed="false">
      <c r="E135" s="21"/>
      <c r="F135" s="21"/>
      <c r="G135" s="21"/>
      <c r="Q135" s="16"/>
      <c r="R135" s="16"/>
    </row>
    <row r="136" s="14" customFormat="true" ht="16.5" hidden="false" customHeight="true" outlineLevel="0" collapsed="false">
      <c r="E136" s="21" t="s">
        <v>154</v>
      </c>
      <c r="Q136" s="16"/>
      <c r="R136" s="16"/>
    </row>
    <row r="137" s="14" customFormat="true" ht="16.5" hidden="false" customHeight="true" outlineLevel="0" collapsed="false">
      <c r="E137" s="91"/>
      <c r="L137" s="91"/>
      <c r="M137" s="91"/>
      <c r="N137" s="91"/>
      <c r="O137" s="91"/>
      <c r="P137" s="91"/>
      <c r="Q137" s="93"/>
      <c r="R137" s="16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1"/>
      <c r="AI137" s="91"/>
      <c r="AJ137" s="91"/>
      <c r="AK137" s="91"/>
      <c r="AL137" s="91"/>
      <c r="AM137" s="91"/>
      <c r="AN137" s="91"/>
      <c r="AO137" s="91"/>
      <c r="AP137" s="91"/>
      <c r="AQ137" s="91"/>
      <c r="AR137" s="91"/>
      <c r="AS137" s="91"/>
      <c r="AT137" s="91"/>
      <c r="AU137" s="91"/>
      <c r="AV137" s="91"/>
      <c r="AW137" s="91"/>
      <c r="AX137" s="91"/>
      <c r="AY137" s="91"/>
      <c r="AZ137" s="91"/>
      <c r="BA137" s="91"/>
      <c r="BB137" s="91"/>
      <c r="BC137" s="91"/>
      <c r="BD137" s="91"/>
      <c r="BE137" s="91"/>
      <c r="BF137" s="91"/>
      <c r="BG137" s="91"/>
      <c r="BH137" s="91"/>
      <c r="BI137" s="91"/>
      <c r="BJ137" s="91"/>
      <c r="BK137" s="91"/>
      <c r="BL137" s="91"/>
      <c r="BM137" s="91"/>
      <c r="BN137" s="91"/>
      <c r="BO137" s="91"/>
      <c r="BP137" s="91"/>
      <c r="BQ137" s="91"/>
      <c r="BR137" s="91"/>
      <c r="BS137" s="91"/>
      <c r="BT137" s="91"/>
      <c r="BU137" s="91"/>
      <c r="BV137" s="91"/>
      <c r="BW137" s="91"/>
      <c r="BX137" s="91"/>
      <c r="BY137" s="91"/>
      <c r="BZ137" s="91"/>
      <c r="CA137" s="91"/>
      <c r="CC137" s="79" t="n">
        <f aca="false">SUMIFS($T137:$CA137, $T$1:$CA$1, CC$75)</f>
        <v>0</v>
      </c>
      <c r="CD137" s="79" t="n">
        <f aca="false">SUMIFS($T137:$CA137, $T$1:$CA$1, CD$75)</f>
        <v>0</v>
      </c>
      <c r="CE137" s="79" t="n">
        <f aca="false">SUMIFS($T137:$CA137, $T$1:$CA$1, CE$75)</f>
        <v>0</v>
      </c>
      <c r="CF137" s="79" t="n">
        <f aca="false">SUMIFS($T137:$CA137, $T$1:$CA$1, CF$75)</f>
        <v>0</v>
      </c>
      <c r="CG137" s="79" t="n">
        <f aca="false">SUMIFS($T137:$CA137, $T$1:$CA$1, CG$75)</f>
        <v>0</v>
      </c>
      <c r="CI137" s="79" t="n">
        <f aca="false">CC137=L137</f>
        <v>1</v>
      </c>
      <c r="CJ137" s="79" t="n">
        <f aca="false">CD137=M137</f>
        <v>1</v>
      </c>
      <c r="CK137" s="79" t="n">
        <f aca="false">CE137=N137</f>
        <v>1</v>
      </c>
      <c r="CL137" s="79" t="n">
        <f aca="false">CF137=O137</f>
        <v>1</v>
      </c>
      <c r="CM137" s="79" t="n">
        <f aca="false">CG137=P137</f>
        <v>1</v>
      </c>
    </row>
    <row r="138" s="14" customFormat="true" ht="16.5" hidden="false" customHeight="true" outlineLevel="0" collapsed="false">
      <c r="E138" s="91"/>
      <c r="L138" s="91"/>
      <c r="M138" s="91"/>
      <c r="N138" s="91"/>
      <c r="O138" s="91"/>
      <c r="P138" s="91"/>
      <c r="Q138" s="93"/>
      <c r="R138" s="16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1"/>
      <c r="AF138" s="91"/>
      <c r="AG138" s="91"/>
      <c r="AH138" s="91"/>
      <c r="AI138" s="91"/>
      <c r="AJ138" s="91"/>
      <c r="AK138" s="91"/>
      <c r="AL138" s="91"/>
      <c r="AM138" s="91"/>
      <c r="AN138" s="91"/>
      <c r="AO138" s="91"/>
      <c r="AP138" s="91"/>
      <c r="AQ138" s="91"/>
      <c r="AR138" s="91"/>
      <c r="AS138" s="91"/>
      <c r="AT138" s="91"/>
      <c r="AU138" s="91"/>
      <c r="AV138" s="91"/>
      <c r="AW138" s="91"/>
      <c r="AX138" s="91"/>
      <c r="AY138" s="91"/>
      <c r="AZ138" s="91"/>
      <c r="BA138" s="91"/>
      <c r="BB138" s="91"/>
      <c r="BC138" s="91"/>
      <c r="BD138" s="91"/>
      <c r="BE138" s="91"/>
      <c r="BF138" s="91"/>
      <c r="BG138" s="91"/>
      <c r="BH138" s="91"/>
      <c r="BI138" s="91"/>
      <c r="BJ138" s="91"/>
      <c r="BK138" s="91"/>
      <c r="BL138" s="91"/>
      <c r="BM138" s="91"/>
      <c r="BN138" s="91"/>
      <c r="BO138" s="91"/>
      <c r="BP138" s="91"/>
      <c r="BQ138" s="91"/>
      <c r="BR138" s="91"/>
      <c r="BS138" s="91"/>
      <c r="BT138" s="91"/>
      <c r="BU138" s="91"/>
      <c r="BV138" s="91"/>
      <c r="BW138" s="91"/>
      <c r="BX138" s="91"/>
      <c r="BY138" s="91"/>
      <c r="BZ138" s="91"/>
      <c r="CA138" s="91"/>
      <c r="CC138" s="79" t="n">
        <f aca="false">SUMIFS($T138:$CA138, $T$1:$CA$1, CC$75)</f>
        <v>0</v>
      </c>
      <c r="CD138" s="79" t="n">
        <f aca="false">SUMIFS($T138:$CA138, $T$1:$CA$1, CD$75)</f>
        <v>0</v>
      </c>
      <c r="CE138" s="79" t="n">
        <f aca="false">SUMIFS($T138:$CA138, $T$1:$CA$1, CE$75)</f>
        <v>0</v>
      </c>
      <c r="CF138" s="79" t="n">
        <f aca="false">SUMIFS($T138:$CA138, $T$1:$CA$1, CF$75)</f>
        <v>0</v>
      </c>
      <c r="CG138" s="79" t="n">
        <f aca="false">SUMIFS($T138:$CA138, $T$1:$CA$1, CG$75)</f>
        <v>0</v>
      </c>
      <c r="CI138" s="79" t="n">
        <f aca="false">CC138=L138</f>
        <v>1</v>
      </c>
      <c r="CJ138" s="79" t="n">
        <f aca="false">CD138=M138</f>
        <v>1</v>
      </c>
      <c r="CK138" s="79" t="n">
        <f aca="false">CE138=N138</f>
        <v>1</v>
      </c>
      <c r="CL138" s="79" t="n">
        <f aca="false">CF138=O138</f>
        <v>1</v>
      </c>
      <c r="CM138" s="79" t="n">
        <f aca="false">CG138=P138</f>
        <v>1</v>
      </c>
    </row>
    <row r="139" s="14" customFormat="true" ht="16.5" hidden="false" customHeight="true" outlineLevel="0" collapsed="false">
      <c r="E139" s="96" t="s">
        <v>155</v>
      </c>
      <c r="L139" s="82" t="n">
        <f aca="false">SUM(L137:L138)</f>
        <v>0</v>
      </c>
      <c r="M139" s="82" t="n">
        <f aca="false">SUM(M137:M138)</f>
        <v>0</v>
      </c>
      <c r="N139" s="82" t="n">
        <f aca="false">SUM(N137:N138)</f>
        <v>0</v>
      </c>
      <c r="O139" s="82" t="n">
        <f aca="false">SUM(O137:O138)</f>
        <v>0</v>
      </c>
      <c r="P139" s="82" t="n">
        <f aca="false">SUM(P137:P138)</f>
        <v>0</v>
      </c>
      <c r="Q139" s="16"/>
      <c r="R139" s="16"/>
      <c r="T139" s="82" t="n">
        <f aca="false">SUM(T137:T138)</f>
        <v>0</v>
      </c>
      <c r="U139" s="82" t="n">
        <f aca="false">SUM(U137:U138)</f>
        <v>0</v>
      </c>
      <c r="V139" s="82" t="n">
        <f aca="false">SUM(V137:V138)</f>
        <v>0</v>
      </c>
      <c r="W139" s="82" t="n">
        <f aca="false">SUM(W137:W138)</f>
        <v>0</v>
      </c>
      <c r="X139" s="82" t="n">
        <f aca="false">SUM(X137:X138)</f>
        <v>0</v>
      </c>
      <c r="Y139" s="82" t="n">
        <f aca="false">SUM(Y137:Y138)</f>
        <v>0</v>
      </c>
      <c r="Z139" s="82" t="n">
        <f aca="false">SUM(Z137:Z138)</f>
        <v>0</v>
      </c>
      <c r="AA139" s="82" t="n">
        <f aca="false">SUM(AA137:AA138)</f>
        <v>0</v>
      </c>
      <c r="AB139" s="82" t="n">
        <f aca="false">SUM(AB137:AB138)</f>
        <v>0</v>
      </c>
      <c r="AC139" s="82" t="n">
        <f aca="false">SUM(AC137:AC138)</f>
        <v>0</v>
      </c>
      <c r="AD139" s="82" t="n">
        <f aca="false">SUM(AD137:AD138)</f>
        <v>0</v>
      </c>
      <c r="AE139" s="82" t="n">
        <f aca="false">SUM(AE137:AE138)</f>
        <v>0</v>
      </c>
      <c r="AF139" s="82" t="n">
        <f aca="false">SUM(AF137:AF138)</f>
        <v>0</v>
      </c>
      <c r="AG139" s="82" t="n">
        <f aca="false">SUM(AG137:AG138)</f>
        <v>0</v>
      </c>
      <c r="AH139" s="82" t="n">
        <f aca="false">SUM(AH137:AH138)</f>
        <v>0</v>
      </c>
      <c r="AI139" s="82" t="n">
        <f aca="false">SUM(AI137:AI138)</f>
        <v>0</v>
      </c>
      <c r="AJ139" s="82" t="n">
        <f aca="false">SUM(AJ137:AJ138)</f>
        <v>0</v>
      </c>
      <c r="AK139" s="82" t="n">
        <f aca="false">SUM(AK137:AK138)</f>
        <v>0</v>
      </c>
      <c r="AL139" s="82" t="n">
        <f aca="false">SUM(AL137:AL138)</f>
        <v>0</v>
      </c>
      <c r="AM139" s="82" t="n">
        <f aca="false">SUM(AM137:AM138)</f>
        <v>0</v>
      </c>
      <c r="AN139" s="82" t="n">
        <f aca="false">SUM(AN137:AN138)</f>
        <v>0</v>
      </c>
      <c r="AO139" s="82" t="n">
        <f aca="false">SUM(AO137:AO138)</f>
        <v>0</v>
      </c>
      <c r="AP139" s="82" t="n">
        <f aca="false">SUM(AP137:AP138)</f>
        <v>0</v>
      </c>
      <c r="AQ139" s="82" t="n">
        <f aca="false">SUM(AQ137:AQ138)</f>
        <v>0</v>
      </c>
      <c r="AR139" s="82" t="n">
        <f aca="false">SUM(AR137:AR138)</f>
        <v>0</v>
      </c>
      <c r="AS139" s="82" t="n">
        <f aca="false">SUM(AS137:AS138)</f>
        <v>0</v>
      </c>
      <c r="AT139" s="82" t="n">
        <f aca="false">SUM(AT137:AT138)</f>
        <v>0</v>
      </c>
      <c r="AU139" s="82" t="n">
        <f aca="false">SUM(AU137:AU138)</f>
        <v>0</v>
      </c>
      <c r="AV139" s="82" t="n">
        <f aca="false">SUM(AV137:AV138)</f>
        <v>0</v>
      </c>
      <c r="AW139" s="82" t="n">
        <f aca="false">SUM(AW137:AW138)</f>
        <v>0</v>
      </c>
      <c r="AX139" s="82" t="n">
        <f aca="false">SUM(AX137:AX138)</f>
        <v>0</v>
      </c>
      <c r="AY139" s="82" t="n">
        <f aca="false">SUM(AY137:AY138)</f>
        <v>0</v>
      </c>
      <c r="AZ139" s="82" t="n">
        <f aca="false">SUM(AZ137:AZ138)</f>
        <v>0</v>
      </c>
      <c r="BA139" s="82" t="n">
        <f aca="false">SUM(BA137:BA138)</f>
        <v>0</v>
      </c>
      <c r="BB139" s="82" t="n">
        <f aca="false">SUM(BB137:BB138)</f>
        <v>0</v>
      </c>
      <c r="BC139" s="82" t="n">
        <f aca="false">SUM(BC137:BC138)</f>
        <v>0</v>
      </c>
      <c r="BD139" s="82" t="n">
        <f aca="false">SUM(BD137:BD138)</f>
        <v>0</v>
      </c>
      <c r="BE139" s="82" t="n">
        <f aca="false">SUM(BE137:BE138)</f>
        <v>0</v>
      </c>
      <c r="BF139" s="82" t="n">
        <f aca="false">SUM(BF137:BF138)</f>
        <v>0</v>
      </c>
      <c r="BG139" s="82" t="n">
        <f aca="false">SUM(BG137:BG138)</f>
        <v>0</v>
      </c>
      <c r="BH139" s="82" t="n">
        <f aca="false">SUM(BH137:BH138)</f>
        <v>0</v>
      </c>
      <c r="BI139" s="82" t="n">
        <f aca="false">SUM(BI137:BI138)</f>
        <v>0</v>
      </c>
      <c r="BJ139" s="82" t="n">
        <f aca="false">SUM(BJ137:BJ138)</f>
        <v>0</v>
      </c>
      <c r="BK139" s="82" t="n">
        <f aca="false">SUM(BK137:BK138)</f>
        <v>0</v>
      </c>
      <c r="BL139" s="82" t="n">
        <f aca="false">SUM(BL137:BL138)</f>
        <v>0</v>
      </c>
      <c r="BM139" s="82" t="n">
        <f aca="false">SUM(BM137:BM138)</f>
        <v>0</v>
      </c>
      <c r="BN139" s="82" t="n">
        <f aca="false">SUM(BN137:BN138)</f>
        <v>0</v>
      </c>
      <c r="BO139" s="82" t="n">
        <f aca="false">SUM(BO137:BO138)</f>
        <v>0</v>
      </c>
      <c r="BP139" s="82" t="n">
        <f aca="false">SUM(BP137:BP138)</f>
        <v>0</v>
      </c>
      <c r="BQ139" s="82" t="n">
        <f aca="false">SUM(BQ137:BQ138)</f>
        <v>0</v>
      </c>
      <c r="BR139" s="82" t="n">
        <f aca="false">SUM(BR137:BR138)</f>
        <v>0</v>
      </c>
      <c r="BS139" s="82" t="n">
        <f aca="false">SUM(BS137:BS138)</f>
        <v>0</v>
      </c>
      <c r="BT139" s="82" t="n">
        <f aca="false">SUM(BT137:BT138)</f>
        <v>0</v>
      </c>
      <c r="BU139" s="82" t="n">
        <f aca="false">SUM(BU137:BU138)</f>
        <v>0</v>
      </c>
      <c r="BV139" s="82" t="n">
        <f aca="false">SUM(BV137:BV138)</f>
        <v>0</v>
      </c>
      <c r="BW139" s="82" t="n">
        <f aca="false">SUM(BW137:BW138)</f>
        <v>0</v>
      </c>
      <c r="BX139" s="82" t="n">
        <f aca="false">SUM(BX137:BX138)</f>
        <v>0</v>
      </c>
      <c r="BY139" s="82" t="n">
        <f aca="false">SUM(BY137:BY138)</f>
        <v>0</v>
      </c>
      <c r="BZ139" s="82" t="n">
        <f aca="false">SUM(BZ137:BZ138)</f>
        <v>0</v>
      </c>
      <c r="CA139" s="82" t="n">
        <f aca="false">SUM(CA137:CA138)</f>
        <v>0</v>
      </c>
      <c r="CC139" s="131" t="n">
        <f aca="false">SUM(CC137:CC138)</f>
        <v>0</v>
      </c>
      <c r="CD139" s="131" t="n">
        <f aca="false">SUM(CD137:CD138)</f>
        <v>0</v>
      </c>
      <c r="CE139" s="131" t="n">
        <f aca="false">SUM(CE137:CE138)</f>
        <v>0</v>
      </c>
      <c r="CF139" s="131" t="n">
        <f aca="false">SUM(CF137:CF138)</f>
        <v>0</v>
      </c>
      <c r="CG139" s="131" t="n">
        <f aca="false">SUM(CG137:CG138)</f>
        <v>0</v>
      </c>
      <c r="CI139" s="131" t="n">
        <f aca="false">CC139=L139</f>
        <v>1</v>
      </c>
      <c r="CJ139" s="131" t="n">
        <f aca="false">CD139=M139</f>
        <v>1</v>
      </c>
      <c r="CK139" s="131" t="n">
        <f aca="false">CE139=N139</f>
        <v>1</v>
      </c>
      <c r="CL139" s="131" t="n">
        <f aca="false">CF139=O139</f>
        <v>1</v>
      </c>
      <c r="CM139" s="131" t="n">
        <f aca="false">CG139=P139</f>
        <v>1</v>
      </c>
    </row>
    <row r="140" s="14" customFormat="true" ht="16.5" hidden="false" customHeight="true" outlineLevel="0" collapsed="false">
      <c r="E140" s="96"/>
      <c r="L140" s="82"/>
      <c r="M140" s="82"/>
      <c r="N140" s="82"/>
      <c r="O140" s="82"/>
      <c r="P140" s="82"/>
      <c r="Q140" s="16"/>
      <c r="R140" s="16"/>
      <c r="T140" s="82"/>
      <c r="U140" s="82"/>
      <c r="V140" s="82"/>
      <c r="W140" s="82"/>
      <c r="X140" s="82"/>
      <c r="Y140" s="82"/>
      <c r="Z140" s="82"/>
      <c r="AA140" s="82"/>
      <c r="AB140" s="82"/>
      <c r="AC140" s="82"/>
      <c r="AD140" s="82"/>
      <c r="AE140" s="82"/>
      <c r="AF140" s="82"/>
      <c r="AG140" s="82"/>
      <c r="AH140" s="82"/>
      <c r="AI140" s="82"/>
      <c r="AJ140" s="82"/>
      <c r="AK140" s="82"/>
      <c r="AL140" s="82"/>
      <c r="AM140" s="82"/>
      <c r="AN140" s="82"/>
      <c r="AO140" s="82"/>
      <c r="AP140" s="82"/>
      <c r="AQ140" s="82"/>
      <c r="AR140" s="82"/>
      <c r="AS140" s="82"/>
      <c r="AT140" s="82"/>
      <c r="AU140" s="82"/>
      <c r="AV140" s="82"/>
      <c r="AW140" s="82"/>
      <c r="AX140" s="82"/>
      <c r="AY140" s="82"/>
      <c r="AZ140" s="82"/>
      <c r="BA140" s="82"/>
      <c r="BB140" s="82"/>
      <c r="BC140" s="82"/>
      <c r="BD140" s="82"/>
      <c r="BE140" s="82"/>
      <c r="BF140" s="82"/>
      <c r="BG140" s="82"/>
      <c r="BH140" s="82"/>
      <c r="BI140" s="82"/>
      <c r="BJ140" s="82"/>
      <c r="BK140" s="82"/>
      <c r="BL140" s="82"/>
      <c r="BM140" s="82"/>
      <c r="BN140" s="82"/>
      <c r="BO140" s="82"/>
      <c r="BP140" s="82"/>
      <c r="BQ140" s="82"/>
      <c r="BR140" s="82"/>
      <c r="BS140" s="82"/>
      <c r="BT140" s="82"/>
      <c r="BU140" s="82"/>
      <c r="BV140" s="82"/>
      <c r="BW140" s="82"/>
      <c r="BX140" s="82"/>
      <c r="BY140" s="82"/>
      <c r="BZ140" s="82"/>
      <c r="CA140" s="82"/>
    </row>
    <row r="141" s="14" customFormat="true" ht="16.5" hidden="false" customHeight="true" outlineLevel="0" collapsed="false">
      <c r="E141" s="109" t="s">
        <v>156</v>
      </c>
      <c r="F141" s="109"/>
      <c r="G141" s="109"/>
      <c r="H141" s="109"/>
      <c r="I141" s="132"/>
      <c r="J141" s="132"/>
      <c r="K141" s="132"/>
      <c r="L141" s="120" t="n">
        <f aca="false">L139</f>
        <v>0</v>
      </c>
      <c r="M141" s="120" t="n">
        <f aca="false">M139</f>
        <v>0</v>
      </c>
      <c r="N141" s="120" t="n">
        <f aca="false">N139</f>
        <v>0</v>
      </c>
      <c r="O141" s="120" t="n">
        <f aca="false">O139</f>
        <v>0</v>
      </c>
      <c r="P141" s="120" t="n">
        <f aca="false">P139</f>
        <v>0</v>
      </c>
      <c r="Q141" s="16"/>
      <c r="R141" s="16"/>
      <c r="T141" s="120" t="n">
        <f aca="false">T139</f>
        <v>0</v>
      </c>
      <c r="U141" s="120" t="n">
        <f aca="false">U139</f>
        <v>0</v>
      </c>
      <c r="V141" s="120" t="n">
        <f aca="false">V139</f>
        <v>0</v>
      </c>
      <c r="W141" s="120" t="n">
        <f aca="false">W139</f>
        <v>0</v>
      </c>
      <c r="X141" s="120" t="n">
        <f aca="false">X139</f>
        <v>0</v>
      </c>
      <c r="Y141" s="120" t="n">
        <f aca="false">Y139</f>
        <v>0</v>
      </c>
      <c r="Z141" s="120" t="n">
        <f aca="false">Z139</f>
        <v>0</v>
      </c>
      <c r="AA141" s="120" t="n">
        <f aca="false">AA139</f>
        <v>0</v>
      </c>
      <c r="AB141" s="120" t="n">
        <f aca="false">AB139</f>
        <v>0</v>
      </c>
      <c r="AC141" s="120" t="n">
        <f aca="false">AC139</f>
        <v>0</v>
      </c>
      <c r="AD141" s="120" t="n">
        <f aca="false">AD139</f>
        <v>0</v>
      </c>
      <c r="AE141" s="120" t="n">
        <f aca="false">AE139</f>
        <v>0</v>
      </c>
      <c r="AF141" s="120" t="n">
        <f aca="false">AF139</f>
        <v>0</v>
      </c>
      <c r="AG141" s="120" t="n">
        <f aca="false">AG139</f>
        <v>0</v>
      </c>
      <c r="AH141" s="120" t="n">
        <f aca="false">AH139</f>
        <v>0</v>
      </c>
      <c r="AI141" s="120" t="n">
        <f aca="false">AI139</f>
        <v>0</v>
      </c>
      <c r="AJ141" s="120" t="n">
        <f aca="false">AJ139</f>
        <v>0</v>
      </c>
      <c r="AK141" s="120" t="n">
        <f aca="false">AK139</f>
        <v>0</v>
      </c>
      <c r="AL141" s="120" t="n">
        <f aca="false">AL139</f>
        <v>0</v>
      </c>
      <c r="AM141" s="120" t="n">
        <f aca="false">AM139</f>
        <v>0</v>
      </c>
      <c r="AN141" s="120" t="n">
        <f aca="false">AN139</f>
        <v>0</v>
      </c>
      <c r="AO141" s="120" t="n">
        <f aca="false">AO139</f>
        <v>0</v>
      </c>
      <c r="AP141" s="120" t="n">
        <f aca="false">AP139</f>
        <v>0</v>
      </c>
      <c r="AQ141" s="120" t="n">
        <f aca="false">AQ139</f>
        <v>0</v>
      </c>
      <c r="AR141" s="120" t="n">
        <f aca="false">AR139</f>
        <v>0</v>
      </c>
      <c r="AS141" s="120" t="n">
        <f aca="false">AS139</f>
        <v>0</v>
      </c>
      <c r="AT141" s="120" t="n">
        <f aca="false">AT139</f>
        <v>0</v>
      </c>
      <c r="AU141" s="120" t="n">
        <f aca="false">AU139</f>
        <v>0</v>
      </c>
      <c r="AV141" s="120" t="n">
        <f aca="false">AV139</f>
        <v>0</v>
      </c>
      <c r="AW141" s="120" t="n">
        <f aca="false">AW139</f>
        <v>0</v>
      </c>
      <c r="AX141" s="120" t="n">
        <f aca="false">AX139</f>
        <v>0</v>
      </c>
      <c r="AY141" s="120" t="n">
        <f aca="false">AY139</f>
        <v>0</v>
      </c>
      <c r="AZ141" s="120" t="n">
        <f aca="false">AZ139</f>
        <v>0</v>
      </c>
      <c r="BA141" s="120" t="n">
        <f aca="false">BA139</f>
        <v>0</v>
      </c>
      <c r="BB141" s="120" t="n">
        <f aca="false">BB139</f>
        <v>0</v>
      </c>
      <c r="BC141" s="120" t="n">
        <f aca="false">BC139</f>
        <v>0</v>
      </c>
      <c r="BD141" s="120" t="n">
        <f aca="false">BD139</f>
        <v>0</v>
      </c>
      <c r="BE141" s="120" t="n">
        <f aca="false">BE139</f>
        <v>0</v>
      </c>
      <c r="BF141" s="120" t="n">
        <f aca="false">BF139</f>
        <v>0</v>
      </c>
      <c r="BG141" s="120" t="n">
        <f aca="false">BG139</f>
        <v>0</v>
      </c>
      <c r="BH141" s="120" t="n">
        <f aca="false">BH139</f>
        <v>0</v>
      </c>
      <c r="BI141" s="120" t="n">
        <f aca="false">BI139</f>
        <v>0</v>
      </c>
      <c r="BJ141" s="120" t="n">
        <f aca="false">BJ139</f>
        <v>0</v>
      </c>
      <c r="BK141" s="120" t="n">
        <f aca="false">BK139</f>
        <v>0</v>
      </c>
      <c r="BL141" s="120" t="n">
        <f aca="false">BL139</f>
        <v>0</v>
      </c>
      <c r="BM141" s="120" t="n">
        <f aca="false">BM139</f>
        <v>0</v>
      </c>
      <c r="BN141" s="120" t="n">
        <f aca="false">BN139</f>
        <v>0</v>
      </c>
      <c r="BO141" s="120" t="n">
        <f aca="false">BO139</f>
        <v>0</v>
      </c>
      <c r="BP141" s="120" t="n">
        <f aca="false">BP139</f>
        <v>0</v>
      </c>
      <c r="BQ141" s="120" t="n">
        <f aca="false">BQ139</f>
        <v>0</v>
      </c>
      <c r="BR141" s="120" t="n">
        <f aca="false">BR139</f>
        <v>0</v>
      </c>
      <c r="BS141" s="120" t="n">
        <f aca="false">BS139</f>
        <v>0</v>
      </c>
      <c r="BT141" s="120" t="n">
        <f aca="false">BT139</f>
        <v>0</v>
      </c>
      <c r="BU141" s="120" t="n">
        <f aca="false">BU139</f>
        <v>0</v>
      </c>
      <c r="BV141" s="120" t="n">
        <f aca="false">BV139</f>
        <v>0</v>
      </c>
      <c r="BW141" s="120" t="n">
        <f aca="false">BW139</f>
        <v>0</v>
      </c>
      <c r="BX141" s="120" t="n">
        <f aca="false">BX139</f>
        <v>0</v>
      </c>
      <c r="BY141" s="120" t="n">
        <f aca="false">BY139</f>
        <v>0</v>
      </c>
      <c r="BZ141" s="120" t="n">
        <f aca="false">BZ139</f>
        <v>0</v>
      </c>
      <c r="CA141" s="120" t="n">
        <f aca="false">CA139</f>
        <v>0</v>
      </c>
      <c r="CC141" s="132" t="n">
        <f aca="false">CC139</f>
        <v>0</v>
      </c>
      <c r="CD141" s="132" t="n">
        <f aca="false">CD139</f>
        <v>0</v>
      </c>
      <c r="CE141" s="132" t="n">
        <f aca="false">CE139</f>
        <v>0</v>
      </c>
      <c r="CF141" s="132" t="n">
        <f aca="false">CF139</f>
        <v>0</v>
      </c>
      <c r="CG141" s="132" t="n">
        <f aca="false">CG139</f>
        <v>0</v>
      </c>
      <c r="CI141" s="133" t="n">
        <f aca="false">CI139</f>
        <v>1</v>
      </c>
      <c r="CJ141" s="133" t="n">
        <f aca="false">CJ139</f>
        <v>1</v>
      </c>
      <c r="CK141" s="133" t="n">
        <f aca="false">CK139</f>
        <v>1</v>
      </c>
      <c r="CL141" s="133" t="n">
        <f aca="false">CL139</f>
        <v>1</v>
      </c>
      <c r="CM141" s="133" t="n">
        <f aca="false">CM139</f>
        <v>1</v>
      </c>
    </row>
    <row r="142" s="14" customFormat="true" ht="16.5" hidden="false" customHeight="true" outlineLevel="0" collapsed="false"/>
    <row r="143" s="14" customFormat="true" ht="16.5" hidden="false" customHeight="true" outlineLevel="0" collapsed="false">
      <c r="E143" s="85"/>
      <c r="Q143" s="16"/>
      <c r="R143" s="16"/>
      <c r="T143" s="62" t="n">
        <v>2026</v>
      </c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62" t="n">
        <v>2027</v>
      </c>
      <c r="AG143" s="129"/>
      <c r="AH143" s="129"/>
      <c r="AI143" s="129"/>
      <c r="AJ143" s="129"/>
      <c r="AK143" s="129"/>
      <c r="AL143" s="129"/>
      <c r="AM143" s="129"/>
      <c r="AN143" s="129"/>
      <c r="AO143" s="129"/>
      <c r="AP143" s="129"/>
      <c r="AQ143" s="129"/>
      <c r="AR143" s="62" t="n">
        <v>2028</v>
      </c>
      <c r="AS143" s="129"/>
      <c r="AT143" s="129"/>
      <c r="AU143" s="129"/>
      <c r="AV143" s="129"/>
      <c r="AW143" s="129"/>
      <c r="AX143" s="129"/>
      <c r="AY143" s="129"/>
      <c r="AZ143" s="129"/>
      <c r="BA143" s="129"/>
      <c r="BB143" s="129"/>
      <c r="BC143" s="129"/>
      <c r="BD143" s="62" t="n">
        <v>2029</v>
      </c>
      <c r="BE143" s="129"/>
      <c r="BF143" s="129"/>
      <c r="BG143" s="129"/>
      <c r="BH143" s="129"/>
      <c r="BI143" s="129"/>
      <c r="BJ143" s="129"/>
      <c r="BK143" s="129"/>
      <c r="BL143" s="129"/>
      <c r="BM143" s="129"/>
      <c r="BN143" s="129"/>
      <c r="BO143" s="129"/>
      <c r="BP143" s="62" t="n">
        <v>2030</v>
      </c>
      <c r="BQ143" s="130"/>
      <c r="BR143" s="130"/>
      <c r="BS143" s="130"/>
      <c r="BT143" s="130"/>
      <c r="BU143" s="130"/>
      <c r="BV143" s="130"/>
      <c r="BW143" s="130"/>
      <c r="BX143" s="130"/>
      <c r="BY143" s="130"/>
      <c r="BZ143" s="130"/>
      <c r="CA143" s="130"/>
    </row>
    <row r="144" s="14" customFormat="true" ht="16.5" hidden="false" customHeight="true" outlineLevel="0" collapsed="false">
      <c r="D144" s="30" t="s">
        <v>157</v>
      </c>
      <c r="E144" s="31"/>
      <c r="F144" s="31"/>
      <c r="G144" s="31"/>
      <c r="H144" s="31"/>
      <c r="I144" s="31"/>
      <c r="J144" s="31"/>
      <c r="K144" s="31" t="s">
        <v>130</v>
      </c>
      <c r="L144" s="31" t="n">
        <v>2026</v>
      </c>
      <c r="M144" s="31" t="n">
        <f aca="false">L144+1</f>
        <v>2027</v>
      </c>
      <c r="N144" s="31" t="n">
        <f aca="false">M144+1</f>
        <v>2028</v>
      </c>
      <c r="O144" s="31" t="n">
        <f aca="false">N144+1</f>
        <v>2029</v>
      </c>
      <c r="P144" s="31" t="n">
        <f aca="false">O144+1</f>
        <v>2030</v>
      </c>
      <c r="Q144" s="16"/>
      <c r="R144" s="16"/>
      <c r="T144" s="59" t="n">
        <v>46023</v>
      </c>
      <c r="U144" s="60" t="n">
        <f aca="false">EOMONTH(T144, 1)</f>
        <v>46081</v>
      </c>
      <c r="V144" s="60" t="n">
        <f aca="false">EOMONTH(U144, 1)</f>
        <v>46112</v>
      </c>
      <c r="W144" s="60" t="n">
        <f aca="false">EOMONTH(V144, 1)</f>
        <v>46142</v>
      </c>
      <c r="X144" s="60" t="n">
        <f aca="false">EOMONTH(W144, 1)</f>
        <v>46173</v>
      </c>
      <c r="Y144" s="60" t="n">
        <f aca="false">EOMONTH(X144, 1)</f>
        <v>46203</v>
      </c>
      <c r="Z144" s="60" t="n">
        <f aca="false">EOMONTH(Y144, 1)</f>
        <v>46234</v>
      </c>
      <c r="AA144" s="60" t="n">
        <f aca="false">EOMONTH(Z144, 1)</f>
        <v>46265</v>
      </c>
      <c r="AB144" s="60" t="n">
        <f aca="false">EOMONTH(AA144, 1)</f>
        <v>46295</v>
      </c>
      <c r="AC144" s="60" t="n">
        <f aca="false">EOMONTH(AB144, 1)</f>
        <v>46326</v>
      </c>
      <c r="AD144" s="60" t="n">
        <f aca="false">EOMONTH(AC144, 1)</f>
        <v>46356</v>
      </c>
      <c r="AE144" s="61" t="n">
        <f aca="false">EOMONTH(AD144, 1)</f>
        <v>46387</v>
      </c>
      <c r="AF144" s="59" t="n">
        <f aca="false">EOMONTH(AE144, 1)</f>
        <v>46418</v>
      </c>
      <c r="AG144" s="60" t="n">
        <f aca="false">EOMONTH(AF144, 1)</f>
        <v>46446</v>
      </c>
      <c r="AH144" s="60" t="n">
        <f aca="false">EOMONTH(AG144, 1)</f>
        <v>46477</v>
      </c>
      <c r="AI144" s="60" t="n">
        <f aca="false">EOMONTH(AH144, 1)</f>
        <v>46507</v>
      </c>
      <c r="AJ144" s="60" t="n">
        <f aca="false">EOMONTH(AI144, 1)</f>
        <v>46538</v>
      </c>
      <c r="AK144" s="60" t="n">
        <f aca="false">EOMONTH(AJ144, 1)</f>
        <v>46568</v>
      </c>
      <c r="AL144" s="60" t="n">
        <f aca="false">EOMONTH(AK144, 1)</f>
        <v>46599</v>
      </c>
      <c r="AM144" s="60" t="n">
        <f aca="false">EOMONTH(AL144, 1)</f>
        <v>46630</v>
      </c>
      <c r="AN144" s="60" t="n">
        <f aca="false">EOMONTH(AM144, 1)</f>
        <v>46660</v>
      </c>
      <c r="AO144" s="60" t="n">
        <f aca="false">EOMONTH(AN144, 1)</f>
        <v>46691</v>
      </c>
      <c r="AP144" s="60" t="n">
        <f aca="false">EOMONTH(AO144, 1)</f>
        <v>46721</v>
      </c>
      <c r="AQ144" s="61" t="n">
        <f aca="false">EOMONTH(AP144, 1)</f>
        <v>46752</v>
      </c>
      <c r="AR144" s="59" t="n">
        <f aca="false">EOMONTH(AQ144, 1)</f>
        <v>46783</v>
      </c>
      <c r="AS144" s="60" t="n">
        <f aca="false">EOMONTH(AR144, 1)</f>
        <v>46812</v>
      </c>
      <c r="AT144" s="60" t="n">
        <f aca="false">EOMONTH(AS144, 1)</f>
        <v>46843</v>
      </c>
      <c r="AU144" s="60" t="n">
        <f aca="false">EOMONTH(AT144, 1)</f>
        <v>46873</v>
      </c>
      <c r="AV144" s="60" t="n">
        <f aca="false">EOMONTH(AU144, 1)</f>
        <v>46904</v>
      </c>
      <c r="AW144" s="60" t="n">
        <f aca="false">EOMONTH(AV144, 1)</f>
        <v>46934</v>
      </c>
      <c r="AX144" s="60" t="n">
        <f aca="false">EOMONTH(AW144, 1)</f>
        <v>46965</v>
      </c>
      <c r="AY144" s="60" t="n">
        <f aca="false">EOMONTH(AX144, 1)</f>
        <v>46996</v>
      </c>
      <c r="AZ144" s="60" t="n">
        <f aca="false">EOMONTH(AY144, 1)</f>
        <v>47026</v>
      </c>
      <c r="BA144" s="60" t="n">
        <f aca="false">EOMONTH(AZ144, 1)</f>
        <v>47057</v>
      </c>
      <c r="BB144" s="60" t="n">
        <f aca="false">EOMONTH(BA144, 1)</f>
        <v>47087</v>
      </c>
      <c r="BC144" s="61" t="n">
        <f aca="false">EOMONTH(BB144, 1)</f>
        <v>47118</v>
      </c>
      <c r="BD144" s="59" t="n">
        <f aca="false">EOMONTH(BC144, 1)</f>
        <v>47149</v>
      </c>
      <c r="BE144" s="60" t="n">
        <f aca="false">EOMONTH(BD144, 1)</f>
        <v>47177</v>
      </c>
      <c r="BF144" s="60" t="n">
        <f aca="false">EOMONTH(BE144, 1)</f>
        <v>47208</v>
      </c>
      <c r="BG144" s="60" t="n">
        <f aca="false">EOMONTH(BF144, 1)</f>
        <v>47238</v>
      </c>
      <c r="BH144" s="60" t="n">
        <f aca="false">EOMONTH(BG144, 1)</f>
        <v>47269</v>
      </c>
      <c r="BI144" s="60" t="n">
        <f aca="false">EOMONTH(BH144, 1)</f>
        <v>47299</v>
      </c>
      <c r="BJ144" s="60" t="n">
        <f aca="false">EOMONTH(BI144, 1)</f>
        <v>47330</v>
      </c>
      <c r="BK144" s="60" t="n">
        <f aca="false">EOMONTH(BJ144, 1)</f>
        <v>47361</v>
      </c>
      <c r="BL144" s="60" t="n">
        <f aca="false">EOMONTH(BK144, 1)</f>
        <v>47391</v>
      </c>
      <c r="BM144" s="60" t="n">
        <f aca="false">EOMONTH(BL144, 1)</f>
        <v>47422</v>
      </c>
      <c r="BN144" s="60" t="n">
        <f aca="false">EOMONTH(BM144, 1)</f>
        <v>47452</v>
      </c>
      <c r="BO144" s="61" t="n">
        <f aca="false">EOMONTH(BN144, 1)</f>
        <v>47483</v>
      </c>
      <c r="BP144" s="59" t="n">
        <f aca="false">EOMONTH(BO144, 1)</f>
        <v>47514</v>
      </c>
      <c r="BQ144" s="60" t="n">
        <f aca="false">EOMONTH(BP144, 1)</f>
        <v>47542</v>
      </c>
      <c r="BR144" s="60" t="n">
        <f aca="false">EOMONTH(BQ144, 1)</f>
        <v>47573</v>
      </c>
      <c r="BS144" s="60" t="n">
        <f aca="false">EOMONTH(BR144, 1)</f>
        <v>47603</v>
      </c>
      <c r="BT144" s="60" t="n">
        <f aca="false">EOMONTH(BS144, 1)</f>
        <v>47634</v>
      </c>
      <c r="BU144" s="60" t="n">
        <f aca="false">EOMONTH(BT144, 1)</f>
        <v>47664</v>
      </c>
      <c r="BV144" s="60" t="n">
        <f aca="false">EOMONTH(BU144, 1)</f>
        <v>47695</v>
      </c>
      <c r="BW144" s="60" t="n">
        <f aca="false">EOMONTH(BV144, 1)</f>
        <v>47726</v>
      </c>
      <c r="BX144" s="60" t="n">
        <f aca="false">EOMONTH(BW144, 1)</f>
        <v>47756</v>
      </c>
      <c r="BY144" s="60" t="n">
        <f aca="false">EOMONTH(BX144, 1)</f>
        <v>47787</v>
      </c>
      <c r="BZ144" s="60" t="n">
        <f aca="false">EOMONTH(BY144, 1)</f>
        <v>47817</v>
      </c>
      <c r="CA144" s="60" t="n">
        <f aca="false">EOMONTH(BZ144, 1)</f>
        <v>47848</v>
      </c>
      <c r="CC144" s="62" t="n">
        <v>2026</v>
      </c>
      <c r="CD144" s="62" t="n">
        <f aca="false">CC144+1</f>
        <v>2027</v>
      </c>
      <c r="CE144" s="62" t="n">
        <f aca="false">CD144+1</f>
        <v>2028</v>
      </c>
      <c r="CF144" s="62" t="n">
        <f aca="false">CE144+1</f>
        <v>2029</v>
      </c>
      <c r="CG144" s="62" t="n">
        <f aca="false">CF144+1</f>
        <v>2030</v>
      </c>
      <c r="CI144" s="62" t="n">
        <v>2026</v>
      </c>
      <c r="CJ144" s="62" t="n">
        <f aca="false">CI144+1</f>
        <v>2027</v>
      </c>
      <c r="CK144" s="62" t="n">
        <f aca="false">CJ144+1</f>
        <v>2028</v>
      </c>
      <c r="CL144" s="62" t="n">
        <f aca="false">CK144+1</f>
        <v>2029</v>
      </c>
      <c r="CM144" s="62" t="n">
        <f aca="false">CL144+1</f>
        <v>2030</v>
      </c>
    </row>
    <row r="145" s="14" customFormat="true" ht="16.5" hidden="false" customHeight="true" outlineLevel="0" collapsed="false">
      <c r="F145" s="21"/>
      <c r="G145" s="21"/>
      <c r="Q145" s="16"/>
      <c r="R145" s="16"/>
    </row>
    <row r="146" s="14" customFormat="true" ht="16.5" hidden="false" customHeight="true" outlineLevel="0" collapsed="false">
      <c r="E146" s="21" t="s">
        <v>158</v>
      </c>
      <c r="Q146" s="16"/>
      <c r="R146" s="16"/>
    </row>
    <row r="147" s="14" customFormat="true" ht="16.5" hidden="false" customHeight="true" outlineLevel="0" collapsed="false">
      <c r="D147" s="134"/>
      <c r="E147" s="91" t="s">
        <v>159</v>
      </c>
      <c r="L147" s="91"/>
      <c r="M147" s="91" t="n">
        <v>5</v>
      </c>
      <c r="N147" s="91"/>
      <c r="O147" s="91"/>
      <c r="P147" s="91"/>
      <c r="Q147" s="93"/>
      <c r="R147" s="16"/>
      <c r="T147" s="135"/>
      <c r="U147" s="135"/>
      <c r="V147" s="135"/>
      <c r="W147" s="135"/>
      <c r="X147" s="135"/>
      <c r="Y147" s="135"/>
      <c r="Z147" s="135"/>
      <c r="AA147" s="135"/>
      <c r="AB147" s="135"/>
      <c r="AC147" s="135"/>
      <c r="AD147" s="135"/>
      <c r="AE147" s="135"/>
      <c r="AF147" s="135" t="n">
        <f aca="false">3/12</f>
        <v>0.25</v>
      </c>
      <c r="AG147" s="135" t="n">
        <f aca="false">3/12</f>
        <v>0.25</v>
      </c>
      <c r="AH147" s="135" t="n">
        <f aca="false">3/12</f>
        <v>0.25</v>
      </c>
      <c r="AI147" s="135" t="n">
        <f aca="false">3/12</f>
        <v>0.25</v>
      </c>
      <c r="AJ147" s="135" t="n">
        <f aca="false">3/12</f>
        <v>0.25</v>
      </c>
      <c r="AK147" s="135" t="n">
        <f aca="false">3/12</f>
        <v>0.25</v>
      </c>
      <c r="AL147" s="135" t="n">
        <f aca="false">3/12</f>
        <v>0.25</v>
      </c>
      <c r="AM147" s="135" t="n">
        <f aca="false">3/12</f>
        <v>0.25</v>
      </c>
      <c r="AN147" s="135" t="n">
        <f aca="false">3/12</f>
        <v>0.25</v>
      </c>
      <c r="AO147" s="135" t="n">
        <f aca="false">3/12</f>
        <v>0.25</v>
      </c>
      <c r="AP147" s="135" t="n">
        <f aca="false">3/12</f>
        <v>0.25</v>
      </c>
      <c r="AQ147" s="135" t="n">
        <f aca="false">3/12</f>
        <v>0.25</v>
      </c>
      <c r="AR147" s="135" t="n">
        <f aca="false">3/12</f>
        <v>0.25</v>
      </c>
      <c r="AS147" s="135" t="n">
        <f aca="false">3/12</f>
        <v>0.25</v>
      </c>
      <c r="AT147" s="135" t="n">
        <f aca="false">3/12</f>
        <v>0.25</v>
      </c>
      <c r="AU147" s="135" t="n">
        <f aca="false">3/12</f>
        <v>0.25</v>
      </c>
      <c r="AV147" s="135" t="n">
        <f aca="false">3/12</f>
        <v>0.25</v>
      </c>
      <c r="AW147" s="135" t="n">
        <f aca="false">3/12</f>
        <v>0.25</v>
      </c>
      <c r="AX147" s="135" t="n">
        <f aca="false">3/12</f>
        <v>0.25</v>
      </c>
      <c r="AY147" s="135" t="n">
        <f aca="false">3/12</f>
        <v>0.25</v>
      </c>
      <c r="AZ147" s="135" t="n">
        <f aca="false">3/12</f>
        <v>0.25</v>
      </c>
      <c r="BA147" s="135" t="n">
        <f aca="false">3/12</f>
        <v>0.25</v>
      </c>
      <c r="BB147" s="135" t="n">
        <f aca="false">3/12</f>
        <v>0.25</v>
      </c>
      <c r="BC147" s="135" t="n">
        <f aca="false">3/12</f>
        <v>0.25</v>
      </c>
      <c r="BD147" s="135"/>
      <c r="BE147" s="135"/>
      <c r="BF147" s="135"/>
      <c r="BG147" s="135"/>
      <c r="BH147" s="135"/>
      <c r="BI147" s="135"/>
      <c r="BJ147" s="135"/>
      <c r="BK147" s="135"/>
      <c r="BL147" s="135"/>
      <c r="BM147" s="135"/>
      <c r="BN147" s="135"/>
      <c r="BO147" s="135"/>
      <c r="BP147" s="135"/>
      <c r="BQ147" s="135"/>
      <c r="BR147" s="135"/>
      <c r="BS147" s="135"/>
      <c r="BT147" s="135"/>
      <c r="BU147" s="135"/>
      <c r="BV147" s="135"/>
      <c r="BW147" s="135"/>
      <c r="BX147" s="135"/>
      <c r="BY147" s="135"/>
      <c r="BZ147" s="119"/>
      <c r="CA147" s="119"/>
      <c r="CC147" s="79" t="n">
        <f aca="false">SUMIFS($T147:$CA147, $T$1:$CA$1, CC$75)</f>
        <v>0</v>
      </c>
      <c r="CD147" s="79" t="n">
        <f aca="false">SUMIFS($T147:$CA147, $T$1:$CA$1, CD$75)</f>
        <v>3</v>
      </c>
      <c r="CE147" s="79" t="n">
        <f aca="false">SUMIFS($T147:$CA147, $T$1:$CA$1, CE$75)</f>
        <v>3</v>
      </c>
      <c r="CF147" s="79" t="n">
        <f aca="false">SUMIFS($T147:$CA147, $T$1:$CA$1, CF$75)</f>
        <v>0</v>
      </c>
      <c r="CG147" s="79" t="n">
        <f aca="false">SUMIFS($T147:$CA147, $T$1:$CA$1, CG$75)</f>
        <v>0</v>
      </c>
      <c r="CI147" s="79" t="n">
        <f aca="false">CC147=L147</f>
        <v>1</v>
      </c>
      <c r="CJ147" s="79" t="n">
        <f aca="false">CD147=M147</f>
        <v>0</v>
      </c>
      <c r="CK147" s="79" t="n">
        <f aca="false">CE147=N147</f>
        <v>0</v>
      </c>
      <c r="CL147" s="79" t="n">
        <f aca="false">CF147=O147</f>
        <v>1</v>
      </c>
      <c r="CM147" s="79" t="n">
        <f aca="false">CG147=P147</f>
        <v>1</v>
      </c>
    </row>
    <row r="148" s="14" customFormat="true" ht="16.5" hidden="false" customHeight="true" outlineLevel="0" collapsed="false">
      <c r="D148" s="134"/>
      <c r="E148" s="91"/>
      <c r="L148" s="91"/>
      <c r="M148" s="91"/>
      <c r="N148" s="91"/>
      <c r="O148" s="91"/>
      <c r="P148" s="91"/>
      <c r="Q148" s="93"/>
      <c r="R148" s="16"/>
      <c r="T148" s="135"/>
      <c r="U148" s="135"/>
      <c r="V148" s="135"/>
      <c r="W148" s="135"/>
      <c r="X148" s="135"/>
      <c r="Y148" s="135"/>
      <c r="Z148" s="135"/>
      <c r="AA148" s="135"/>
      <c r="AB148" s="135"/>
      <c r="AC148" s="135"/>
      <c r="AD148" s="135"/>
      <c r="AE148" s="135"/>
      <c r="AF148" s="135"/>
      <c r="AG148" s="135"/>
      <c r="AH148" s="135"/>
      <c r="AI148" s="135"/>
      <c r="AJ148" s="135"/>
      <c r="AK148" s="135"/>
      <c r="AL148" s="135"/>
      <c r="AM148" s="135"/>
      <c r="AN148" s="135"/>
      <c r="AO148" s="135"/>
      <c r="AP148" s="135"/>
      <c r="AQ148" s="135"/>
      <c r="AR148" s="135"/>
      <c r="AS148" s="135"/>
      <c r="AT148" s="135"/>
      <c r="AU148" s="135"/>
      <c r="AV148" s="135"/>
      <c r="AW148" s="135"/>
      <c r="AX148" s="135"/>
      <c r="AY148" s="135"/>
      <c r="AZ148" s="135"/>
      <c r="BA148" s="135"/>
      <c r="BB148" s="135"/>
      <c r="BC148" s="135"/>
      <c r="BD148" s="135"/>
      <c r="BE148" s="135"/>
      <c r="BF148" s="135"/>
      <c r="BG148" s="135"/>
      <c r="BH148" s="135"/>
      <c r="BI148" s="135"/>
      <c r="BJ148" s="135"/>
      <c r="BK148" s="135"/>
      <c r="BL148" s="135"/>
      <c r="BM148" s="135"/>
      <c r="BN148" s="135"/>
      <c r="BO148" s="135"/>
      <c r="BP148" s="135"/>
      <c r="BQ148" s="135"/>
      <c r="BR148" s="135"/>
      <c r="BS148" s="135"/>
      <c r="BT148" s="135"/>
      <c r="BU148" s="135"/>
      <c r="BV148" s="135"/>
      <c r="BW148" s="135"/>
      <c r="BX148" s="135"/>
      <c r="BY148" s="135"/>
      <c r="BZ148" s="119"/>
      <c r="CA148" s="119"/>
      <c r="CC148" s="79" t="n">
        <f aca="false">SUMIFS($T148:$CA148, $T$1:$CA$1, CC$75)</f>
        <v>0</v>
      </c>
      <c r="CD148" s="79" t="n">
        <f aca="false">SUMIFS($T148:$CA148, $T$1:$CA$1, CD$75)</f>
        <v>0</v>
      </c>
      <c r="CE148" s="79" t="n">
        <f aca="false">SUMIFS($T148:$CA148, $T$1:$CA$1, CE$75)</f>
        <v>0</v>
      </c>
      <c r="CF148" s="79" t="n">
        <f aca="false">SUMIFS($T148:$CA148, $T$1:$CA$1, CF$75)</f>
        <v>0</v>
      </c>
      <c r="CG148" s="79" t="n">
        <f aca="false">SUMIFS($T148:$CA148, $T$1:$CA$1, CG$75)</f>
        <v>0</v>
      </c>
      <c r="CI148" s="79" t="n">
        <f aca="false">CC148=L148</f>
        <v>1</v>
      </c>
      <c r="CJ148" s="79" t="n">
        <f aca="false">CD148=M148</f>
        <v>1</v>
      </c>
      <c r="CK148" s="79" t="n">
        <f aca="false">CE148=N148</f>
        <v>1</v>
      </c>
      <c r="CL148" s="79" t="n">
        <f aca="false">CF148=O148</f>
        <v>1</v>
      </c>
      <c r="CM148" s="79" t="n">
        <f aca="false">CG148=P148</f>
        <v>1</v>
      </c>
    </row>
    <row r="149" s="14" customFormat="true" ht="16.5" hidden="false" customHeight="true" outlineLevel="0" collapsed="false">
      <c r="E149" s="96" t="s">
        <v>160</v>
      </c>
      <c r="L149" s="82" t="n">
        <f aca="false">SUM(L147:L148)</f>
        <v>0</v>
      </c>
      <c r="M149" s="82" t="n">
        <f aca="false">SUM(M147:M148)</f>
        <v>5</v>
      </c>
      <c r="N149" s="82" t="n">
        <f aca="false">SUM(N147:N148)</f>
        <v>0</v>
      </c>
      <c r="O149" s="82" t="n">
        <f aca="false">SUM(O147:O148)</f>
        <v>0</v>
      </c>
      <c r="P149" s="82" t="n">
        <f aca="false">SUM(P147:P148)</f>
        <v>0</v>
      </c>
      <c r="Q149" s="16"/>
      <c r="R149" s="16"/>
      <c r="T149" s="131" t="n">
        <f aca="false">SUM(T147:T148)</f>
        <v>0</v>
      </c>
      <c r="U149" s="131" t="n">
        <f aca="false">SUM(U147:U148)</f>
        <v>0</v>
      </c>
      <c r="V149" s="131" t="n">
        <f aca="false">SUM(V147:V148)</f>
        <v>0</v>
      </c>
      <c r="W149" s="131" t="n">
        <f aca="false">SUM(W147:W148)</f>
        <v>0</v>
      </c>
      <c r="X149" s="131" t="n">
        <f aca="false">SUM(X147:X148)</f>
        <v>0</v>
      </c>
      <c r="Y149" s="131" t="n">
        <f aca="false">SUM(Y147:Y148)</f>
        <v>0</v>
      </c>
      <c r="Z149" s="131" t="n">
        <f aca="false">SUM(Z147:Z148)</f>
        <v>0</v>
      </c>
      <c r="AA149" s="131" t="n">
        <f aca="false">SUM(AA147:AA148)</f>
        <v>0</v>
      </c>
      <c r="AB149" s="131" t="n">
        <f aca="false">SUM(AB147:AB148)</f>
        <v>0</v>
      </c>
      <c r="AC149" s="131" t="n">
        <f aca="false">SUM(AC147:AC148)</f>
        <v>0</v>
      </c>
      <c r="AD149" s="131" t="n">
        <f aca="false">SUM(AD147:AD148)</f>
        <v>0</v>
      </c>
      <c r="AE149" s="131" t="n">
        <f aca="false">SUM(AE147:AE148)</f>
        <v>0</v>
      </c>
      <c r="AF149" s="131" t="n">
        <f aca="false">SUM(AF147:AF148)</f>
        <v>0.25</v>
      </c>
      <c r="AG149" s="131" t="n">
        <f aca="false">SUM(AG147:AG148)</f>
        <v>0.25</v>
      </c>
      <c r="AH149" s="131" t="n">
        <f aca="false">SUM(AH147:AH148)</f>
        <v>0.25</v>
      </c>
      <c r="AI149" s="131" t="n">
        <f aca="false">SUM(AI147:AI148)</f>
        <v>0.25</v>
      </c>
      <c r="AJ149" s="131" t="n">
        <f aca="false">SUM(AJ147:AJ148)</f>
        <v>0.25</v>
      </c>
      <c r="AK149" s="131" t="n">
        <f aca="false">SUM(AK147:AK148)</f>
        <v>0.25</v>
      </c>
      <c r="AL149" s="131" t="n">
        <f aca="false">SUM(AL147:AL148)</f>
        <v>0.25</v>
      </c>
      <c r="AM149" s="131" t="n">
        <f aca="false">SUM(AM147:AM148)</f>
        <v>0.25</v>
      </c>
      <c r="AN149" s="131" t="n">
        <f aca="false">SUM(AN147:AN148)</f>
        <v>0.25</v>
      </c>
      <c r="AO149" s="131" t="n">
        <f aca="false">SUM(AO147:AO148)</f>
        <v>0.25</v>
      </c>
      <c r="AP149" s="131" t="n">
        <f aca="false">SUM(AP147:AP148)</f>
        <v>0.25</v>
      </c>
      <c r="AQ149" s="131" t="n">
        <f aca="false">SUM(AQ147:AQ148)</f>
        <v>0.25</v>
      </c>
      <c r="AR149" s="131" t="n">
        <f aca="false">SUM(AR147:AR148)</f>
        <v>0.25</v>
      </c>
      <c r="AS149" s="131" t="n">
        <f aca="false">SUM(AS147:AS148)</f>
        <v>0.25</v>
      </c>
      <c r="AT149" s="131" t="n">
        <f aca="false">SUM(AT147:AT148)</f>
        <v>0.25</v>
      </c>
      <c r="AU149" s="131" t="n">
        <f aca="false">SUM(AU147:AU148)</f>
        <v>0.25</v>
      </c>
      <c r="AV149" s="131" t="n">
        <f aca="false">SUM(AV147:AV148)</f>
        <v>0.25</v>
      </c>
      <c r="AW149" s="131" t="n">
        <f aca="false">SUM(AW147:AW148)</f>
        <v>0.25</v>
      </c>
      <c r="AX149" s="131" t="n">
        <f aca="false">SUM(AX147:AX148)</f>
        <v>0.25</v>
      </c>
      <c r="AY149" s="131" t="n">
        <f aca="false">SUM(AY147:AY148)</f>
        <v>0.25</v>
      </c>
      <c r="AZ149" s="131" t="n">
        <f aca="false">SUM(AZ147:AZ148)</f>
        <v>0.25</v>
      </c>
      <c r="BA149" s="131" t="n">
        <f aca="false">SUM(BA147:BA148)</f>
        <v>0.25</v>
      </c>
      <c r="BB149" s="131" t="n">
        <f aca="false">SUM(BB147:BB148)</f>
        <v>0.25</v>
      </c>
      <c r="BC149" s="131" t="n">
        <f aca="false">SUM(BC147:BC148)</f>
        <v>0.25</v>
      </c>
      <c r="BD149" s="131" t="n">
        <f aca="false">SUM(BD147:BD148)</f>
        <v>0</v>
      </c>
      <c r="BE149" s="131" t="n">
        <f aca="false">SUM(BE147:BE148)</f>
        <v>0</v>
      </c>
      <c r="BF149" s="131" t="n">
        <f aca="false">SUM(BF147:BF148)</f>
        <v>0</v>
      </c>
      <c r="BG149" s="131" t="n">
        <f aca="false">SUM(BG147:BG148)</f>
        <v>0</v>
      </c>
      <c r="BH149" s="131" t="n">
        <f aca="false">SUM(BH147:BH148)</f>
        <v>0</v>
      </c>
      <c r="BI149" s="131" t="n">
        <f aca="false">SUM(BI147:BI148)</f>
        <v>0</v>
      </c>
      <c r="BJ149" s="131" t="n">
        <f aca="false">SUM(BJ147:BJ148)</f>
        <v>0</v>
      </c>
      <c r="BK149" s="131" t="n">
        <f aca="false">SUM(BK147:BK148)</f>
        <v>0</v>
      </c>
      <c r="BL149" s="131" t="n">
        <f aca="false">SUM(BL147:BL148)</f>
        <v>0</v>
      </c>
      <c r="BM149" s="131" t="n">
        <f aca="false">SUM(BM147:BM148)</f>
        <v>0</v>
      </c>
      <c r="BN149" s="131" t="n">
        <f aca="false">SUM(BN147:BN148)</f>
        <v>0</v>
      </c>
      <c r="BO149" s="131" t="n">
        <f aca="false">SUM(BO147:BO148)</f>
        <v>0</v>
      </c>
      <c r="BP149" s="131" t="n">
        <f aca="false">SUM(BP147:BP148)</f>
        <v>0</v>
      </c>
      <c r="BQ149" s="131" t="n">
        <f aca="false">SUM(BQ147:BQ148)</f>
        <v>0</v>
      </c>
      <c r="BR149" s="131" t="n">
        <f aca="false">SUM(BR147:BR148)</f>
        <v>0</v>
      </c>
      <c r="BS149" s="131" t="n">
        <f aca="false">SUM(BS147:BS148)</f>
        <v>0</v>
      </c>
      <c r="BT149" s="131" t="n">
        <f aca="false">SUM(BT147:BT148)</f>
        <v>0</v>
      </c>
      <c r="BU149" s="131" t="n">
        <f aca="false">SUM(BU147:BU148)</f>
        <v>0</v>
      </c>
      <c r="BV149" s="131" t="n">
        <f aca="false">SUM(BV147:BV148)</f>
        <v>0</v>
      </c>
      <c r="BW149" s="131" t="n">
        <f aca="false">SUM(BW147:BW148)</f>
        <v>0</v>
      </c>
      <c r="BX149" s="131" t="n">
        <f aca="false">SUM(BX147:BX148)</f>
        <v>0</v>
      </c>
      <c r="BY149" s="131" t="n">
        <f aca="false">SUM(BY147:BY148)</f>
        <v>0</v>
      </c>
      <c r="BZ149" s="136" t="n">
        <f aca="false">SUM(BZ147:BZ148)</f>
        <v>0</v>
      </c>
      <c r="CA149" s="136" t="n">
        <f aca="false">SUM(CA147:CA148)</f>
        <v>0</v>
      </c>
      <c r="CC149" s="136" t="n">
        <f aca="false">SUM(CC147:CC148)</f>
        <v>0</v>
      </c>
      <c r="CD149" s="136" t="n">
        <f aca="false">SUM(CD147:CD148)</f>
        <v>3</v>
      </c>
      <c r="CE149" s="136" t="n">
        <f aca="false">SUM(CE147:CE148)</f>
        <v>3</v>
      </c>
      <c r="CF149" s="136" t="n">
        <f aca="false">SUM(CF147:CF148)</f>
        <v>0</v>
      </c>
      <c r="CG149" s="136" t="n">
        <f aca="false">SUM(CG147:CG148)</f>
        <v>0</v>
      </c>
      <c r="CI149" s="136" t="n">
        <f aca="false">CC149=L149</f>
        <v>1</v>
      </c>
      <c r="CJ149" s="136" t="n">
        <f aca="false">CD149=M149</f>
        <v>0</v>
      </c>
      <c r="CK149" s="136" t="n">
        <f aca="false">CE149=N149</f>
        <v>0</v>
      </c>
      <c r="CL149" s="136" t="n">
        <f aca="false">CF149=O149</f>
        <v>1</v>
      </c>
      <c r="CM149" s="136" t="n">
        <f aca="false">CG149=P149</f>
        <v>1</v>
      </c>
    </row>
    <row r="150" s="14" customFormat="true" ht="16.5" hidden="false" customHeight="true" outlineLevel="0" collapsed="false">
      <c r="L150" s="88"/>
      <c r="M150" s="88"/>
      <c r="N150" s="88"/>
      <c r="O150" s="88"/>
      <c r="P150" s="88"/>
      <c r="Q150" s="16"/>
      <c r="R150" s="16"/>
      <c r="T150" s="137"/>
      <c r="U150" s="137"/>
      <c r="V150" s="137"/>
      <c r="W150" s="137"/>
      <c r="X150" s="137"/>
      <c r="Y150" s="137"/>
      <c r="Z150" s="137"/>
      <c r="AA150" s="137"/>
      <c r="AB150" s="137"/>
      <c r="AC150" s="137"/>
      <c r="AD150" s="137"/>
      <c r="AE150" s="137"/>
      <c r="AF150" s="137"/>
      <c r="AG150" s="137"/>
      <c r="AH150" s="137"/>
      <c r="AI150" s="137"/>
      <c r="AJ150" s="137"/>
      <c r="AK150" s="137"/>
      <c r="AL150" s="137"/>
      <c r="AM150" s="137"/>
      <c r="AN150" s="137"/>
      <c r="AO150" s="137"/>
      <c r="AP150" s="137"/>
      <c r="AQ150" s="137"/>
      <c r="AR150" s="137"/>
      <c r="AS150" s="137"/>
      <c r="AT150" s="137"/>
      <c r="AU150" s="137"/>
      <c r="AV150" s="137"/>
      <c r="AW150" s="137"/>
      <c r="AX150" s="137"/>
      <c r="AY150" s="137"/>
      <c r="AZ150" s="137"/>
      <c r="BA150" s="137"/>
      <c r="BB150" s="137"/>
      <c r="BC150" s="137"/>
      <c r="BD150" s="137"/>
      <c r="BE150" s="137"/>
      <c r="BF150" s="137"/>
      <c r="BG150" s="137"/>
      <c r="BH150" s="137"/>
      <c r="BI150" s="137"/>
      <c r="BJ150" s="137"/>
      <c r="BK150" s="137"/>
      <c r="BL150" s="137"/>
      <c r="BM150" s="137"/>
      <c r="BN150" s="137"/>
      <c r="BO150" s="137"/>
      <c r="BP150" s="137"/>
      <c r="BQ150" s="137"/>
      <c r="BR150" s="137"/>
      <c r="BS150" s="137"/>
      <c r="BT150" s="137"/>
      <c r="BU150" s="137"/>
      <c r="BV150" s="137"/>
      <c r="BW150" s="137"/>
      <c r="BX150" s="137"/>
      <c r="BY150" s="137"/>
      <c r="BZ150" s="121"/>
      <c r="CA150" s="121"/>
    </row>
    <row r="151" s="14" customFormat="true" ht="16.5" hidden="false" customHeight="true" outlineLevel="0" collapsed="false">
      <c r="E151" s="21" t="s">
        <v>161</v>
      </c>
      <c r="L151" s="88"/>
      <c r="M151" s="88"/>
      <c r="N151" s="88"/>
      <c r="O151" s="88"/>
      <c r="P151" s="88"/>
      <c r="Q151" s="16"/>
      <c r="R151" s="16"/>
      <c r="T151" s="137"/>
      <c r="U151" s="137"/>
      <c r="V151" s="137"/>
      <c r="W151" s="137"/>
      <c r="X151" s="137"/>
      <c r="Y151" s="137"/>
      <c r="Z151" s="137"/>
      <c r="AA151" s="137"/>
      <c r="AB151" s="137"/>
      <c r="AC151" s="137"/>
      <c r="AD151" s="137"/>
      <c r="AE151" s="137"/>
      <c r="AF151" s="137"/>
      <c r="AG151" s="137"/>
      <c r="AH151" s="137"/>
      <c r="AI151" s="137"/>
      <c r="AJ151" s="137"/>
      <c r="AK151" s="137"/>
      <c r="AL151" s="137"/>
      <c r="AM151" s="137"/>
      <c r="AN151" s="137"/>
      <c r="AO151" s="137"/>
      <c r="AP151" s="137"/>
      <c r="AQ151" s="137"/>
      <c r="AR151" s="137"/>
      <c r="AS151" s="137"/>
      <c r="AT151" s="137"/>
      <c r="AU151" s="137"/>
      <c r="AV151" s="137"/>
      <c r="AW151" s="137"/>
      <c r="AX151" s="137"/>
      <c r="AY151" s="137"/>
      <c r="AZ151" s="137"/>
      <c r="BA151" s="137"/>
      <c r="BB151" s="137"/>
      <c r="BC151" s="137"/>
      <c r="BD151" s="137"/>
      <c r="BE151" s="137"/>
      <c r="BF151" s="137"/>
      <c r="BG151" s="137"/>
      <c r="BH151" s="137"/>
      <c r="BI151" s="137"/>
      <c r="BJ151" s="137"/>
      <c r="BK151" s="137"/>
      <c r="BL151" s="137"/>
      <c r="BM151" s="137"/>
      <c r="BN151" s="137"/>
      <c r="BO151" s="137"/>
      <c r="BP151" s="137"/>
      <c r="BQ151" s="137"/>
      <c r="BR151" s="137"/>
      <c r="BS151" s="137"/>
      <c r="BT151" s="137"/>
      <c r="BU151" s="137"/>
      <c r="BV151" s="137"/>
      <c r="BW151" s="137"/>
      <c r="BX151" s="137"/>
      <c r="BY151" s="137"/>
      <c r="BZ151" s="121"/>
      <c r="CA151" s="121"/>
    </row>
    <row r="152" s="14" customFormat="true" ht="16.5" hidden="false" customHeight="true" outlineLevel="0" collapsed="false">
      <c r="E152" s="91"/>
      <c r="L152" s="91"/>
      <c r="M152" s="91"/>
      <c r="N152" s="91"/>
      <c r="O152" s="91"/>
      <c r="P152" s="91"/>
      <c r="Q152" s="93"/>
      <c r="R152" s="16"/>
      <c r="T152" s="135"/>
      <c r="U152" s="135"/>
      <c r="V152" s="135"/>
      <c r="W152" s="135"/>
      <c r="X152" s="135"/>
      <c r="Y152" s="135"/>
      <c r="Z152" s="135"/>
      <c r="AA152" s="135"/>
      <c r="AB152" s="135"/>
      <c r="AC152" s="135"/>
      <c r="AD152" s="135"/>
      <c r="AE152" s="135"/>
      <c r="AF152" s="135"/>
      <c r="AG152" s="135"/>
      <c r="AH152" s="135"/>
      <c r="AI152" s="135"/>
      <c r="AJ152" s="135"/>
      <c r="AK152" s="135"/>
      <c r="AL152" s="135"/>
      <c r="AM152" s="135"/>
      <c r="AN152" s="135"/>
      <c r="AO152" s="135"/>
      <c r="AP152" s="135"/>
      <c r="AQ152" s="135"/>
      <c r="AR152" s="135"/>
      <c r="AS152" s="135"/>
      <c r="AT152" s="135"/>
      <c r="AU152" s="135"/>
      <c r="AV152" s="135"/>
      <c r="AW152" s="135"/>
      <c r="AX152" s="135"/>
      <c r="AY152" s="135"/>
      <c r="AZ152" s="135"/>
      <c r="BA152" s="135"/>
      <c r="BB152" s="135"/>
      <c r="BC152" s="135"/>
      <c r="BD152" s="135"/>
      <c r="BE152" s="135"/>
      <c r="BF152" s="135"/>
      <c r="BG152" s="135"/>
      <c r="BH152" s="135"/>
      <c r="BI152" s="135"/>
      <c r="BJ152" s="135"/>
      <c r="BK152" s="135"/>
      <c r="BL152" s="135"/>
      <c r="BM152" s="135"/>
      <c r="BN152" s="135"/>
      <c r="BO152" s="135"/>
      <c r="BP152" s="135"/>
      <c r="BQ152" s="135"/>
      <c r="BR152" s="135"/>
      <c r="BS152" s="135"/>
      <c r="BT152" s="135"/>
      <c r="BU152" s="135"/>
      <c r="BV152" s="135"/>
      <c r="BW152" s="135"/>
      <c r="BX152" s="135"/>
      <c r="BY152" s="135"/>
      <c r="BZ152" s="138"/>
      <c r="CA152" s="138"/>
      <c r="CC152" s="79" t="n">
        <f aca="false">SUMIFS($T152:$CA152, $T$1:$CA$1, CC$75)</f>
        <v>0</v>
      </c>
      <c r="CD152" s="79" t="n">
        <f aca="false">SUMIFS($T152:$CA152, $T$1:$CA$1, CD$75)</f>
        <v>0</v>
      </c>
      <c r="CE152" s="79" t="n">
        <f aca="false">SUMIFS($T152:$CA152, $T$1:$CA$1, CE$75)</f>
        <v>0</v>
      </c>
      <c r="CF152" s="79" t="n">
        <f aca="false">SUMIFS($T152:$CA152, $T$1:$CA$1, CF$75)</f>
        <v>0</v>
      </c>
      <c r="CG152" s="79" t="n">
        <f aca="false">SUMIFS($T152:$CA152, $T$1:$CA$1, CG$75)</f>
        <v>0</v>
      </c>
      <c r="CI152" s="79" t="n">
        <f aca="false">CC152=L152</f>
        <v>1</v>
      </c>
      <c r="CJ152" s="79" t="n">
        <f aca="false">CD152=M152</f>
        <v>1</v>
      </c>
      <c r="CK152" s="79" t="n">
        <f aca="false">CE152=N152</f>
        <v>1</v>
      </c>
      <c r="CL152" s="79" t="n">
        <f aca="false">CF152=O152</f>
        <v>1</v>
      </c>
      <c r="CM152" s="79" t="n">
        <f aca="false">CG152=P152</f>
        <v>1</v>
      </c>
    </row>
    <row r="153" s="14" customFormat="true" ht="16.5" hidden="false" customHeight="true" outlineLevel="0" collapsed="false">
      <c r="E153" s="91"/>
      <c r="L153" s="91"/>
      <c r="M153" s="91"/>
      <c r="N153" s="91"/>
      <c r="O153" s="91"/>
      <c r="P153" s="91"/>
      <c r="Q153" s="93"/>
      <c r="R153" s="16"/>
      <c r="T153" s="135"/>
      <c r="U153" s="135"/>
      <c r="V153" s="135"/>
      <c r="W153" s="135"/>
      <c r="X153" s="135"/>
      <c r="Y153" s="135"/>
      <c r="Z153" s="135"/>
      <c r="AA153" s="135"/>
      <c r="AB153" s="135"/>
      <c r="AC153" s="135"/>
      <c r="AD153" s="135"/>
      <c r="AE153" s="135"/>
      <c r="AF153" s="135"/>
      <c r="AG153" s="135"/>
      <c r="AH153" s="135"/>
      <c r="AI153" s="135"/>
      <c r="AJ153" s="135"/>
      <c r="AK153" s="135"/>
      <c r="AL153" s="135"/>
      <c r="AM153" s="135"/>
      <c r="AN153" s="135"/>
      <c r="AO153" s="135"/>
      <c r="AP153" s="135"/>
      <c r="AQ153" s="135"/>
      <c r="AR153" s="135"/>
      <c r="AS153" s="135"/>
      <c r="AT153" s="135"/>
      <c r="AU153" s="135"/>
      <c r="AV153" s="135"/>
      <c r="AW153" s="135"/>
      <c r="AX153" s="135"/>
      <c r="AY153" s="135"/>
      <c r="AZ153" s="135"/>
      <c r="BA153" s="135"/>
      <c r="BB153" s="135"/>
      <c r="BC153" s="135"/>
      <c r="BD153" s="135"/>
      <c r="BE153" s="135"/>
      <c r="BF153" s="135"/>
      <c r="BG153" s="135"/>
      <c r="BH153" s="135"/>
      <c r="BI153" s="135"/>
      <c r="BJ153" s="135"/>
      <c r="BK153" s="135"/>
      <c r="BL153" s="135"/>
      <c r="BM153" s="135"/>
      <c r="BN153" s="135"/>
      <c r="BO153" s="135"/>
      <c r="BP153" s="135"/>
      <c r="BQ153" s="135"/>
      <c r="BR153" s="135"/>
      <c r="BS153" s="135"/>
      <c r="BT153" s="135"/>
      <c r="BU153" s="135"/>
      <c r="BV153" s="135"/>
      <c r="BW153" s="135"/>
      <c r="BX153" s="135"/>
      <c r="BY153" s="135"/>
      <c r="BZ153" s="138"/>
      <c r="CA153" s="138"/>
      <c r="CC153" s="79" t="n">
        <f aca="false">SUMIFS($T153:$CA153, $T$1:$CA$1, CC$75)</f>
        <v>0</v>
      </c>
      <c r="CD153" s="79" t="n">
        <f aca="false">SUMIFS($T153:$CA153, $T$1:$CA$1, CD$75)</f>
        <v>0</v>
      </c>
      <c r="CE153" s="79" t="n">
        <f aca="false">SUMIFS($T153:$CA153, $T$1:$CA$1, CE$75)</f>
        <v>0</v>
      </c>
      <c r="CF153" s="79" t="n">
        <f aca="false">SUMIFS($T153:$CA153, $T$1:$CA$1, CF$75)</f>
        <v>0</v>
      </c>
      <c r="CG153" s="79" t="n">
        <f aca="false">SUMIFS($T153:$CA153, $T$1:$CA$1, CG$75)</f>
        <v>0</v>
      </c>
      <c r="CI153" s="79" t="n">
        <f aca="false">CC153=L153</f>
        <v>1</v>
      </c>
      <c r="CJ153" s="79" t="n">
        <f aca="false">CD153=M153</f>
        <v>1</v>
      </c>
      <c r="CK153" s="79" t="n">
        <f aca="false">CE153=N153</f>
        <v>1</v>
      </c>
      <c r="CL153" s="79" t="n">
        <f aca="false">CF153=O153</f>
        <v>1</v>
      </c>
      <c r="CM153" s="79" t="n">
        <f aca="false">CG153=P153</f>
        <v>1</v>
      </c>
    </row>
    <row r="154" s="14" customFormat="true" ht="16.5" hidden="false" customHeight="true" outlineLevel="0" collapsed="false">
      <c r="E154" s="91"/>
      <c r="L154" s="91"/>
      <c r="M154" s="91"/>
      <c r="N154" s="91"/>
      <c r="O154" s="91"/>
      <c r="P154" s="91"/>
      <c r="Q154" s="93"/>
      <c r="R154" s="16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5"/>
      <c r="AH154" s="135"/>
      <c r="AI154" s="135"/>
      <c r="AJ154" s="135"/>
      <c r="AK154" s="135"/>
      <c r="AL154" s="135"/>
      <c r="AM154" s="135"/>
      <c r="AN154" s="135"/>
      <c r="AO154" s="135"/>
      <c r="AP154" s="135"/>
      <c r="AQ154" s="135"/>
      <c r="AR154" s="135"/>
      <c r="AS154" s="135"/>
      <c r="AT154" s="135"/>
      <c r="AU154" s="135"/>
      <c r="AV154" s="135"/>
      <c r="AW154" s="135"/>
      <c r="AX154" s="135"/>
      <c r="AY154" s="135"/>
      <c r="AZ154" s="135"/>
      <c r="BA154" s="135"/>
      <c r="BB154" s="135"/>
      <c r="BC154" s="135"/>
      <c r="BD154" s="135"/>
      <c r="BE154" s="135"/>
      <c r="BF154" s="135"/>
      <c r="BG154" s="135"/>
      <c r="BH154" s="135"/>
      <c r="BI154" s="135"/>
      <c r="BJ154" s="135"/>
      <c r="BK154" s="135"/>
      <c r="BL154" s="135"/>
      <c r="BM154" s="135"/>
      <c r="BN154" s="135"/>
      <c r="BO154" s="135"/>
      <c r="BP154" s="135"/>
      <c r="BQ154" s="135"/>
      <c r="BR154" s="135"/>
      <c r="BS154" s="135"/>
      <c r="BT154" s="135"/>
      <c r="BU154" s="135"/>
      <c r="BV154" s="135"/>
      <c r="BW154" s="135"/>
      <c r="BX154" s="135"/>
      <c r="BY154" s="135"/>
      <c r="BZ154" s="138"/>
      <c r="CA154" s="138"/>
      <c r="CC154" s="79" t="n">
        <f aca="false">SUMIFS($T154:$CA154, $T$1:$CA$1, CC$75)</f>
        <v>0</v>
      </c>
      <c r="CD154" s="79" t="n">
        <f aca="false">SUMIFS($T154:$CA154, $T$1:$CA$1, CD$75)</f>
        <v>0</v>
      </c>
      <c r="CE154" s="79" t="n">
        <f aca="false">SUMIFS($T154:$CA154, $T$1:$CA$1, CE$75)</f>
        <v>0</v>
      </c>
      <c r="CF154" s="79" t="n">
        <f aca="false">SUMIFS($T154:$CA154, $T$1:$CA$1, CF$75)</f>
        <v>0</v>
      </c>
      <c r="CG154" s="79" t="n">
        <f aca="false">SUMIFS($T154:$CA154, $T$1:$CA$1, CG$75)</f>
        <v>0</v>
      </c>
      <c r="CI154" s="79" t="n">
        <f aca="false">CC154=L154</f>
        <v>1</v>
      </c>
      <c r="CJ154" s="79" t="n">
        <f aca="false">CD154=M154</f>
        <v>1</v>
      </c>
      <c r="CK154" s="79" t="n">
        <f aca="false">CE154=N154</f>
        <v>1</v>
      </c>
      <c r="CL154" s="79" t="n">
        <f aca="false">CF154=O154</f>
        <v>1</v>
      </c>
      <c r="CM154" s="79" t="n">
        <f aca="false">CG154=P154</f>
        <v>1</v>
      </c>
    </row>
    <row r="155" s="14" customFormat="true" ht="16.5" hidden="false" customHeight="true" outlineLevel="0" collapsed="false">
      <c r="E155" s="96" t="s">
        <v>162</v>
      </c>
      <c r="L155" s="82" t="n">
        <f aca="false">SUM(L152:L154)</f>
        <v>0</v>
      </c>
      <c r="M155" s="82" t="n">
        <f aca="false">SUM(M152:M154)</f>
        <v>0</v>
      </c>
      <c r="N155" s="82" t="n">
        <f aca="false">SUM(N152:N154)</f>
        <v>0</v>
      </c>
      <c r="O155" s="82" t="n">
        <f aca="false">SUM(O152:O154)</f>
        <v>0</v>
      </c>
      <c r="P155" s="82" t="n">
        <f aca="false">SUM(P152:P154)</f>
        <v>0</v>
      </c>
      <c r="Q155" s="16"/>
      <c r="R155" s="16"/>
      <c r="T155" s="131" t="n">
        <f aca="false">SUM(T152:T154)</f>
        <v>0</v>
      </c>
      <c r="U155" s="131" t="n">
        <f aca="false">SUM(U152:U154)</f>
        <v>0</v>
      </c>
      <c r="V155" s="131" t="n">
        <f aca="false">SUM(V152:V154)</f>
        <v>0</v>
      </c>
      <c r="W155" s="131" t="n">
        <f aca="false">SUM(W152:W154)</f>
        <v>0</v>
      </c>
      <c r="X155" s="131" t="n">
        <f aca="false">SUM(X152:X154)</f>
        <v>0</v>
      </c>
      <c r="Y155" s="131" t="n">
        <f aca="false">SUM(Y152:Y154)</f>
        <v>0</v>
      </c>
      <c r="Z155" s="131" t="n">
        <f aca="false">SUM(Z152:Z154)</f>
        <v>0</v>
      </c>
      <c r="AA155" s="131" t="n">
        <f aca="false">SUM(AA152:AA154)</f>
        <v>0</v>
      </c>
      <c r="AB155" s="131" t="n">
        <f aca="false">SUM(AB152:AB154)</f>
        <v>0</v>
      </c>
      <c r="AC155" s="131" t="n">
        <f aca="false">SUM(AC152:AC154)</f>
        <v>0</v>
      </c>
      <c r="AD155" s="131" t="n">
        <f aca="false">SUM(AD152:AD154)</f>
        <v>0</v>
      </c>
      <c r="AE155" s="131" t="n">
        <f aca="false">SUM(AE152:AE154)</f>
        <v>0</v>
      </c>
      <c r="AF155" s="131" t="n">
        <f aca="false">SUM(AF152:AF154)</f>
        <v>0</v>
      </c>
      <c r="AG155" s="131" t="n">
        <f aca="false">SUM(AG152:AG154)</f>
        <v>0</v>
      </c>
      <c r="AH155" s="131" t="n">
        <f aca="false">SUM(AH152:AH154)</f>
        <v>0</v>
      </c>
      <c r="AI155" s="131" t="n">
        <f aca="false">SUM(AI152:AI154)</f>
        <v>0</v>
      </c>
      <c r="AJ155" s="131" t="n">
        <f aca="false">SUM(AJ152:AJ154)</f>
        <v>0</v>
      </c>
      <c r="AK155" s="131" t="n">
        <f aca="false">SUM(AK152:AK154)</f>
        <v>0</v>
      </c>
      <c r="AL155" s="131" t="n">
        <f aca="false">SUM(AL152:AL154)</f>
        <v>0</v>
      </c>
      <c r="AM155" s="131" t="n">
        <f aca="false">SUM(AM152:AM154)</f>
        <v>0</v>
      </c>
      <c r="AN155" s="131" t="n">
        <f aca="false">SUM(AN152:AN154)</f>
        <v>0</v>
      </c>
      <c r="AO155" s="131" t="n">
        <f aca="false">SUM(AO152:AO154)</f>
        <v>0</v>
      </c>
      <c r="AP155" s="131" t="n">
        <f aca="false">SUM(AP152:AP154)</f>
        <v>0</v>
      </c>
      <c r="AQ155" s="131" t="n">
        <f aca="false">SUM(AQ152:AQ154)</f>
        <v>0</v>
      </c>
      <c r="AR155" s="131" t="n">
        <f aca="false">SUM(AR152:AR154)</f>
        <v>0</v>
      </c>
      <c r="AS155" s="131" t="n">
        <f aca="false">SUM(AS152:AS154)</f>
        <v>0</v>
      </c>
      <c r="AT155" s="131" t="n">
        <f aca="false">SUM(AT152:AT154)</f>
        <v>0</v>
      </c>
      <c r="AU155" s="131" t="n">
        <f aca="false">SUM(AU152:AU154)</f>
        <v>0</v>
      </c>
      <c r="AV155" s="131" t="n">
        <f aca="false">SUM(AV152:AV154)</f>
        <v>0</v>
      </c>
      <c r="AW155" s="131" t="n">
        <f aca="false">SUM(AW152:AW154)</f>
        <v>0</v>
      </c>
      <c r="AX155" s="131" t="n">
        <f aca="false">SUM(AX152:AX154)</f>
        <v>0</v>
      </c>
      <c r="AY155" s="131" t="n">
        <f aca="false">SUM(AY152:AY154)</f>
        <v>0</v>
      </c>
      <c r="AZ155" s="131" t="n">
        <f aca="false">SUM(AZ152:AZ154)</f>
        <v>0</v>
      </c>
      <c r="BA155" s="131" t="n">
        <f aca="false">SUM(BA152:BA154)</f>
        <v>0</v>
      </c>
      <c r="BB155" s="131" t="n">
        <f aca="false">SUM(BB152:BB154)</f>
        <v>0</v>
      </c>
      <c r="BC155" s="131" t="n">
        <f aca="false">SUM(BC152:BC154)</f>
        <v>0</v>
      </c>
      <c r="BD155" s="131" t="n">
        <f aca="false">SUM(BD152:BD154)</f>
        <v>0</v>
      </c>
      <c r="BE155" s="131" t="n">
        <f aca="false">SUM(BE152:BE154)</f>
        <v>0</v>
      </c>
      <c r="BF155" s="131" t="n">
        <f aca="false">SUM(BF152:BF154)</f>
        <v>0</v>
      </c>
      <c r="BG155" s="131" t="n">
        <f aca="false">SUM(BG152:BG154)</f>
        <v>0</v>
      </c>
      <c r="BH155" s="131" t="n">
        <f aca="false">SUM(BH152:BH154)</f>
        <v>0</v>
      </c>
      <c r="BI155" s="131" t="n">
        <f aca="false">SUM(BI152:BI154)</f>
        <v>0</v>
      </c>
      <c r="BJ155" s="131" t="n">
        <f aca="false">SUM(BJ152:BJ154)</f>
        <v>0</v>
      </c>
      <c r="BK155" s="131" t="n">
        <f aca="false">SUM(BK152:BK154)</f>
        <v>0</v>
      </c>
      <c r="BL155" s="131" t="n">
        <f aca="false">SUM(BL152:BL154)</f>
        <v>0</v>
      </c>
      <c r="BM155" s="131" t="n">
        <f aca="false">SUM(BM152:BM154)</f>
        <v>0</v>
      </c>
      <c r="BN155" s="131" t="n">
        <f aca="false">SUM(BN152:BN154)</f>
        <v>0</v>
      </c>
      <c r="BO155" s="131" t="n">
        <f aca="false">SUM(BO152:BO154)</f>
        <v>0</v>
      </c>
      <c r="BP155" s="131" t="n">
        <f aca="false">SUM(BP152:BP154)</f>
        <v>0</v>
      </c>
      <c r="BQ155" s="131" t="n">
        <f aca="false">SUM(BQ152:BQ154)</f>
        <v>0</v>
      </c>
      <c r="BR155" s="131" t="n">
        <f aca="false">SUM(BR152:BR154)</f>
        <v>0</v>
      </c>
      <c r="BS155" s="131" t="n">
        <f aca="false">SUM(BS152:BS154)</f>
        <v>0</v>
      </c>
      <c r="BT155" s="131" t="n">
        <f aca="false">SUM(BT152:BT154)</f>
        <v>0</v>
      </c>
      <c r="BU155" s="131" t="n">
        <f aca="false">SUM(BU152:BU154)</f>
        <v>0</v>
      </c>
      <c r="BV155" s="131" t="n">
        <f aca="false">SUM(BV152:BV154)</f>
        <v>0</v>
      </c>
      <c r="BW155" s="131" t="n">
        <f aca="false">SUM(BW152:BW154)</f>
        <v>0</v>
      </c>
      <c r="BX155" s="131" t="n">
        <f aca="false">SUM(BX152:BX154)</f>
        <v>0</v>
      </c>
      <c r="BY155" s="131" t="n">
        <f aca="false">SUM(BY152:BY154)</f>
        <v>0</v>
      </c>
      <c r="BZ155" s="136" t="n">
        <f aca="false">SUM(BZ152:BZ154)</f>
        <v>0</v>
      </c>
      <c r="CA155" s="136" t="n">
        <f aca="false">SUM(CA152:CA154)</f>
        <v>0</v>
      </c>
      <c r="CC155" s="136" t="n">
        <f aca="false">SUM(CC152:CC154)</f>
        <v>0</v>
      </c>
      <c r="CD155" s="136" t="n">
        <f aca="false">SUM(CD152:CD154)</f>
        <v>0</v>
      </c>
      <c r="CE155" s="136" t="n">
        <f aca="false">SUM(CE152:CE154)</f>
        <v>0</v>
      </c>
      <c r="CF155" s="136" t="n">
        <f aca="false">SUM(CF152:CF154)</f>
        <v>0</v>
      </c>
      <c r="CG155" s="136" t="n">
        <f aca="false">SUM(CG152:CG154)</f>
        <v>0</v>
      </c>
      <c r="CI155" s="136" t="n">
        <f aca="false">CC155=L155</f>
        <v>1</v>
      </c>
      <c r="CJ155" s="136" t="n">
        <f aca="false">CD155=M155</f>
        <v>1</v>
      </c>
      <c r="CK155" s="136" t="n">
        <f aca="false">CE155=N155</f>
        <v>1</v>
      </c>
      <c r="CL155" s="136" t="n">
        <f aca="false">CF155=O155</f>
        <v>1</v>
      </c>
      <c r="CM155" s="136" t="n">
        <f aca="false">CG155=P155</f>
        <v>1</v>
      </c>
    </row>
    <row r="156" s="14" customFormat="true" ht="16.5" hidden="false" customHeight="true" outlineLevel="0" collapsed="false">
      <c r="E156" s="96"/>
      <c r="L156" s="82"/>
      <c r="M156" s="82"/>
      <c r="N156" s="82"/>
      <c r="O156" s="82"/>
      <c r="P156" s="82"/>
      <c r="Q156" s="16"/>
      <c r="R156" s="16"/>
      <c r="T156" s="131"/>
      <c r="U156" s="131"/>
      <c r="V156" s="131"/>
      <c r="W156" s="131"/>
      <c r="X156" s="131"/>
      <c r="Y156" s="131"/>
      <c r="Z156" s="131"/>
      <c r="AA156" s="131"/>
      <c r="AB156" s="131"/>
      <c r="AC156" s="131"/>
      <c r="AD156" s="131"/>
      <c r="AE156" s="131"/>
      <c r="AF156" s="131"/>
      <c r="AG156" s="131"/>
      <c r="AH156" s="131"/>
      <c r="AI156" s="131"/>
      <c r="AJ156" s="131"/>
      <c r="AK156" s="131"/>
      <c r="AL156" s="131"/>
      <c r="AM156" s="131"/>
      <c r="AN156" s="131"/>
      <c r="AO156" s="131"/>
      <c r="AP156" s="131"/>
      <c r="AQ156" s="131"/>
      <c r="AR156" s="131"/>
      <c r="AS156" s="131"/>
      <c r="AT156" s="131"/>
      <c r="AU156" s="131"/>
      <c r="AV156" s="131"/>
      <c r="AW156" s="131"/>
      <c r="AX156" s="131"/>
      <c r="AY156" s="131"/>
      <c r="AZ156" s="131"/>
      <c r="BA156" s="131"/>
      <c r="BB156" s="131"/>
      <c r="BC156" s="131"/>
      <c r="BD156" s="131"/>
      <c r="BE156" s="131"/>
      <c r="BF156" s="131"/>
      <c r="BG156" s="131"/>
      <c r="BH156" s="131"/>
      <c r="BI156" s="131"/>
      <c r="BJ156" s="131"/>
      <c r="BK156" s="131"/>
      <c r="BL156" s="131"/>
      <c r="BM156" s="131"/>
      <c r="BN156" s="131"/>
      <c r="BO156" s="131"/>
      <c r="BP156" s="131"/>
      <c r="BQ156" s="131"/>
      <c r="BR156" s="131"/>
      <c r="BS156" s="131"/>
      <c r="BT156" s="131"/>
      <c r="BU156" s="131"/>
      <c r="BV156" s="131"/>
      <c r="BW156" s="131"/>
      <c r="BX156" s="131"/>
      <c r="BY156" s="131"/>
      <c r="BZ156" s="136"/>
      <c r="CA156" s="136"/>
    </row>
    <row r="157" s="14" customFormat="true" ht="16.5" hidden="false" customHeight="true" outlineLevel="0" collapsed="false">
      <c r="E157" s="109" t="s">
        <v>163</v>
      </c>
      <c r="F157" s="109"/>
      <c r="G157" s="109"/>
      <c r="H157" s="109"/>
      <c r="I157" s="132"/>
      <c r="J157" s="132"/>
      <c r="K157" s="132"/>
      <c r="L157" s="120" t="n">
        <f aca="false">SUM(L149, L155)</f>
        <v>0</v>
      </c>
      <c r="M157" s="120" t="n">
        <f aca="false">SUM(M149, M155)</f>
        <v>5</v>
      </c>
      <c r="N157" s="120" t="n">
        <f aca="false">SUM(N149, N155)</f>
        <v>0</v>
      </c>
      <c r="O157" s="120" t="n">
        <f aca="false">SUM(O149, O155)</f>
        <v>0</v>
      </c>
      <c r="P157" s="120" t="n">
        <f aca="false">SUM(P149, P155)</f>
        <v>0</v>
      </c>
      <c r="Q157" s="139"/>
      <c r="R157" s="139"/>
      <c r="T157" s="120" t="n">
        <f aca="false">SUM(T149, T155)</f>
        <v>0</v>
      </c>
      <c r="U157" s="120" t="n">
        <f aca="false">SUM(U149, U155)</f>
        <v>0</v>
      </c>
      <c r="V157" s="120" t="n">
        <f aca="false">SUM(V149, V155)</f>
        <v>0</v>
      </c>
      <c r="W157" s="120" t="n">
        <f aca="false">SUM(W149, W155)</f>
        <v>0</v>
      </c>
      <c r="X157" s="120" t="n">
        <f aca="false">SUM(X149, X155)</f>
        <v>0</v>
      </c>
      <c r="Y157" s="120" t="n">
        <f aca="false">SUM(Y149, Y155)</f>
        <v>0</v>
      </c>
      <c r="Z157" s="120" t="n">
        <f aca="false">SUM(Z149, Z155)</f>
        <v>0</v>
      </c>
      <c r="AA157" s="120" t="n">
        <f aca="false">SUM(AA149, AA155)</f>
        <v>0</v>
      </c>
      <c r="AB157" s="120" t="n">
        <f aca="false">SUM(AB149, AB155)</f>
        <v>0</v>
      </c>
      <c r="AC157" s="120" t="n">
        <f aca="false">SUM(AC149, AC155)</f>
        <v>0</v>
      </c>
      <c r="AD157" s="120" t="n">
        <f aca="false">SUM(AD149, AD155)</f>
        <v>0</v>
      </c>
      <c r="AE157" s="120" t="n">
        <f aca="false">SUM(AE149, AE155)</f>
        <v>0</v>
      </c>
      <c r="AF157" s="120" t="n">
        <f aca="false">SUM(AF149, AF155)</f>
        <v>0.25</v>
      </c>
      <c r="AG157" s="120" t="n">
        <f aca="false">SUM(AG149, AG155)</f>
        <v>0.25</v>
      </c>
      <c r="AH157" s="120" t="n">
        <f aca="false">SUM(AH149, AH155)</f>
        <v>0.25</v>
      </c>
      <c r="AI157" s="120" t="n">
        <f aca="false">SUM(AI149, AI155)</f>
        <v>0.25</v>
      </c>
      <c r="AJ157" s="120" t="n">
        <f aca="false">SUM(AJ149, AJ155)</f>
        <v>0.25</v>
      </c>
      <c r="AK157" s="120" t="n">
        <f aca="false">SUM(AK149, AK155)</f>
        <v>0.25</v>
      </c>
      <c r="AL157" s="120" t="n">
        <f aca="false">SUM(AL149, AL155)</f>
        <v>0.25</v>
      </c>
      <c r="AM157" s="120" t="n">
        <f aca="false">SUM(AM149, AM155)</f>
        <v>0.25</v>
      </c>
      <c r="AN157" s="120" t="n">
        <f aca="false">SUM(AN149, AN155)</f>
        <v>0.25</v>
      </c>
      <c r="AO157" s="120" t="n">
        <f aca="false">SUM(AO149, AO155)</f>
        <v>0.25</v>
      </c>
      <c r="AP157" s="120" t="n">
        <f aca="false">SUM(AP149, AP155)</f>
        <v>0.25</v>
      </c>
      <c r="AQ157" s="120" t="n">
        <f aca="false">SUM(AQ149, AQ155)</f>
        <v>0.25</v>
      </c>
      <c r="AR157" s="120" t="n">
        <f aca="false">SUM(AR149, AR155)</f>
        <v>0.25</v>
      </c>
      <c r="AS157" s="120" t="n">
        <f aca="false">SUM(AS149, AS155)</f>
        <v>0.25</v>
      </c>
      <c r="AT157" s="120" t="n">
        <f aca="false">SUM(AT149, AT155)</f>
        <v>0.25</v>
      </c>
      <c r="AU157" s="120" t="n">
        <f aca="false">SUM(AU149, AU155)</f>
        <v>0.25</v>
      </c>
      <c r="AV157" s="120" t="n">
        <f aca="false">SUM(AV149, AV155)</f>
        <v>0.25</v>
      </c>
      <c r="AW157" s="120" t="n">
        <f aca="false">SUM(AW149, AW155)</f>
        <v>0.25</v>
      </c>
      <c r="AX157" s="120" t="n">
        <f aca="false">SUM(AX149, AX155)</f>
        <v>0.25</v>
      </c>
      <c r="AY157" s="120" t="n">
        <f aca="false">SUM(AY149, AY155)</f>
        <v>0.25</v>
      </c>
      <c r="AZ157" s="120" t="n">
        <f aca="false">SUM(AZ149, AZ155)</f>
        <v>0.25</v>
      </c>
      <c r="BA157" s="120" t="n">
        <f aca="false">SUM(BA149, BA155)</f>
        <v>0.25</v>
      </c>
      <c r="BB157" s="120" t="n">
        <f aca="false">SUM(BB149, BB155)</f>
        <v>0.25</v>
      </c>
      <c r="BC157" s="120" t="n">
        <f aca="false">SUM(BC149, BC155)</f>
        <v>0.25</v>
      </c>
      <c r="BD157" s="120" t="n">
        <f aca="false">SUM(BD149, BD155)</f>
        <v>0</v>
      </c>
      <c r="BE157" s="120" t="n">
        <f aca="false">SUM(BE149, BE155)</f>
        <v>0</v>
      </c>
      <c r="BF157" s="120" t="n">
        <f aca="false">SUM(BF149, BF155)</f>
        <v>0</v>
      </c>
      <c r="BG157" s="120" t="n">
        <f aca="false">SUM(BG149, BG155)</f>
        <v>0</v>
      </c>
      <c r="BH157" s="120" t="n">
        <f aca="false">SUM(BH149, BH155)</f>
        <v>0</v>
      </c>
      <c r="BI157" s="120" t="n">
        <f aca="false">SUM(BI149, BI155)</f>
        <v>0</v>
      </c>
      <c r="BJ157" s="120" t="n">
        <f aca="false">SUM(BJ149, BJ155)</f>
        <v>0</v>
      </c>
      <c r="BK157" s="120" t="n">
        <f aca="false">SUM(BK149, BK155)</f>
        <v>0</v>
      </c>
      <c r="BL157" s="120" t="n">
        <f aca="false">SUM(BL149, BL155)</f>
        <v>0</v>
      </c>
      <c r="BM157" s="120" t="n">
        <f aca="false">SUM(BM149, BM155)</f>
        <v>0</v>
      </c>
      <c r="BN157" s="120" t="n">
        <f aca="false">SUM(BN149, BN155)</f>
        <v>0</v>
      </c>
      <c r="BO157" s="120" t="n">
        <f aca="false">SUM(BO149, BO155)</f>
        <v>0</v>
      </c>
      <c r="BP157" s="120" t="n">
        <f aca="false">SUM(BP149, BP155)</f>
        <v>0</v>
      </c>
      <c r="BQ157" s="120" t="n">
        <f aca="false">SUM(BQ149, BQ155)</f>
        <v>0</v>
      </c>
      <c r="BR157" s="120" t="n">
        <f aca="false">SUM(BR149, BR155)</f>
        <v>0</v>
      </c>
      <c r="BS157" s="120" t="n">
        <f aca="false">SUM(BS149, BS155)</f>
        <v>0</v>
      </c>
      <c r="BT157" s="120" t="n">
        <f aca="false">SUM(BT149, BT155)</f>
        <v>0</v>
      </c>
      <c r="BU157" s="120" t="n">
        <f aca="false">SUM(BU149, BU155)</f>
        <v>0</v>
      </c>
      <c r="BV157" s="120" t="n">
        <f aca="false">SUM(BV149, BV155)</f>
        <v>0</v>
      </c>
      <c r="BW157" s="120" t="n">
        <f aca="false">SUM(BW149, BW155)</f>
        <v>0</v>
      </c>
      <c r="BX157" s="120" t="n">
        <f aca="false">SUM(BX149, BX155)</f>
        <v>0</v>
      </c>
      <c r="BY157" s="120" t="n">
        <f aca="false">SUM(BY149, BY155)</f>
        <v>0</v>
      </c>
      <c r="BZ157" s="120" t="n">
        <f aca="false">SUM(BZ149, BZ155)</f>
        <v>0</v>
      </c>
      <c r="CA157" s="120" t="n">
        <f aca="false">SUM(CA149, CA155)</f>
        <v>0</v>
      </c>
      <c r="CC157" s="120" t="n">
        <f aca="false">SUM(CC149, CC155)</f>
        <v>0</v>
      </c>
      <c r="CD157" s="120" t="n">
        <f aca="false">SUM(CD149, CD155)</f>
        <v>3</v>
      </c>
      <c r="CE157" s="120" t="n">
        <f aca="false">SUM(CE149, CE155)</f>
        <v>3</v>
      </c>
      <c r="CF157" s="120" t="n">
        <f aca="false">SUM(CF149, CF155)</f>
        <v>0</v>
      </c>
      <c r="CG157" s="120" t="n">
        <f aca="false">SUM(CG149, CG155)</f>
        <v>0</v>
      </c>
      <c r="CI157" s="140" t="n">
        <f aca="false">CC157=L157</f>
        <v>1</v>
      </c>
      <c r="CJ157" s="140" t="n">
        <f aca="false">CD157=M157</f>
        <v>0</v>
      </c>
      <c r="CK157" s="140" t="n">
        <f aca="false">CE157=N157</f>
        <v>0</v>
      </c>
      <c r="CL157" s="140" t="n">
        <f aca="false">CF157=O157</f>
        <v>1</v>
      </c>
      <c r="CM157" s="140" t="n">
        <f aca="false">CG157=P157</f>
        <v>1</v>
      </c>
    </row>
    <row r="158" s="14" customFormat="true" ht="16.5" hidden="false" customHeight="true" outlineLevel="0" collapsed="false">
      <c r="E158" s="21"/>
      <c r="L158" s="88"/>
      <c r="M158" s="88"/>
      <c r="N158" s="88"/>
      <c r="O158" s="88"/>
      <c r="P158" s="88"/>
      <c r="Q158" s="121"/>
      <c r="R158" s="121"/>
      <c r="T158" s="137"/>
      <c r="U158" s="137"/>
      <c r="V158" s="137"/>
      <c r="W158" s="137"/>
      <c r="X158" s="137"/>
      <c r="Y158" s="137"/>
      <c r="Z158" s="137"/>
      <c r="AA158" s="137"/>
      <c r="AB158" s="137"/>
      <c r="AC158" s="137"/>
      <c r="AD158" s="137"/>
      <c r="AE158" s="137"/>
      <c r="AF158" s="137"/>
      <c r="AG158" s="137"/>
      <c r="AH158" s="137"/>
      <c r="AI158" s="137"/>
      <c r="AJ158" s="137"/>
      <c r="AK158" s="137"/>
      <c r="AL158" s="137"/>
      <c r="AM158" s="137"/>
      <c r="AN158" s="137"/>
      <c r="AO158" s="137"/>
      <c r="AP158" s="137"/>
      <c r="AQ158" s="137"/>
      <c r="AR158" s="137"/>
      <c r="AS158" s="137"/>
      <c r="AT158" s="137"/>
      <c r="AU158" s="137"/>
      <c r="AV158" s="137"/>
      <c r="AW158" s="137"/>
      <c r="AX158" s="137"/>
      <c r="AY158" s="137"/>
      <c r="AZ158" s="137"/>
      <c r="BA158" s="137"/>
      <c r="BB158" s="137"/>
      <c r="BC158" s="137"/>
      <c r="BD158" s="137"/>
      <c r="BE158" s="137"/>
      <c r="BF158" s="137"/>
      <c r="BG158" s="137"/>
      <c r="BH158" s="137"/>
      <c r="BI158" s="137"/>
      <c r="BJ158" s="137"/>
      <c r="BK158" s="137"/>
      <c r="BL158" s="137"/>
      <c r="BM158" s="137"/>
      <c r="BN158" s="137"/>
      <c r="BO158" s="137"/>
      <c r="BP158" s="137"/>
      <c r="BQ158" s="137"/>
      <c r="BR158" s="137"/>
      <c r="BS158" s="137"/>
      <c r="BT158" s="137"/>
      <c r="BU158" s="137"/>
      <c r="BV158" s="137"/>
      <c r="BW158" s="137"/>
      <c r="BX158" s="137"/>
      <c r="BY158" s="137"/>
      <c r="BZ158" s="121"/>
      <c r="CA158" s="121"/>
    </row>
    <row r="159" s="14" customFormat="true" ht="16.5" hidden="false" customHeight="true" outlineLevel="0" collapsed="false">
      <c r="E159" s="141" t="s">
        <v>164</v>
      </c>
      <c r="F159" s="123"/>
      <c r="G159" s="123"/>
      <c r="H159" s="123"/>
      <c r="I159" s="126"/>
      <c r="J159" s="126"/>
      <c r="K159" s="142"/>
      <c r="L159" s="125" t="n">
        <f aca="false">SUM(L141, -L157)</f>
        <v>0</v>
      </c>
      <c r="M159" s="125" t="n">
        <f aca="false">SUM(M141, -M157)</f>
        <v>-5</v>
      </c>
      <c r="N159" s="125" t="n">
        <f aca="false">SUM(N141, -N157)</f>
        <v>0</v>
      </c>
      <c r="O159" s="125" t="n">
        <f aca="false">SUM(O141, -O157)</f>
        <v>0</v>
      </c>
      <c r="P159" s="125" t="n">
        <f aca="false">SUM(P141, -P157)</f>
        <v>0</v>
      </c>
      <c r="Q159" s="143"/>
      <c r="R159" s="143"/>
      <c r="T159" s="144" t="n">
        <f aca="false">SUM(T141, -T157)</f>
        <v>0</v>
      </c>
      <c r="U159" s="144" t="n">
        <f aca="false">SUM(U141, -U157)</f>
        <v>0</v>
      </c>
      <c r="V159" s="144" t="n">
        <f aca="false">SUM(V141, -V157)</f>
        <v>0</v>
      </c>
      <c r="W159" s="144" t="n">
        <f aca="false">SUM(W141, -W157)</f>
        <v>0</v>
      </c>
      <c r="X159" s="144" t="n">
        <f aca="false">SUM(X141, -X157)</f>
        <v>0</v>
      </c>
      <c r="Y159" s="144" t="n">
        <f aca="false">SUM(Y141, -Y157)</f>
        <v>0</v>
      </c>
      <c r="Z159" s="144" t="n">
        <f aca="false">SUM(Z141, -Z157)</f>
        <v>0</v>
      </c>
      <c r="AA159" s="144" t="n">
        <f aca="false">SUM(AA141, -AA157)</f>
        <v>0</v>
      </c>
      <c r="AB159" s="144" t="n">
        <f aca="false">SUM(AB141, -AB157)</f>
        <v>0</v>
      </c>
      <c r="AC159" s="144" t="n">
        <f aca="false">SUM(AC141, -AC157)</f>
        <v>0</v>
      </c>
      <c r="AD159" s="144" t="n">
        <f aca="false">SUM(AD141, -AD157)</f>
        <v>0</v>
      </c>
      <c r="AE159" s="144" t="n">
        <f aca="false">SUM(AE141, -AE157)</f>
        <v>0</v>
      </c>
      <c r="AF159" s="144" t="n">
        <f aca="false">SUM(AF141, -AF157)</f>
        <v>-0.25</v>
      </c>
      <c r="AG159" s="144" t="n">
        <f aca="false">SUM(AG141, -AG157)</f>
        <v>-0.25</v>
      </c>
      <c r="AH159" s="144" t="n">
        <f aca="false">SUM(AH141, -AH157)</f>
        <v>-0.25</v>
      </c>
      <c r="AI159" s="144" t="n">
        <f aca="false">SUM(AI141, -AI157)</f>
        <v>-0.25</v>
      </c>
      <c r="AJ159" s="144" t="n">
        <f aca="false">SUM(AJ141, -AJ157)</f>
        <v>-0.25</v>
      </c>
      <c r="AK159" s="144" t="n">
        <f aca="false">SUM(AK141, -AK157)</f>
        <v>-0.25</v>
      </c>
      <c r="AL159" s="144" t="n">
        <f aca="false">SUM(AL141, -AL157)</f>
        <v>-0.25</v>
      </c>
      <c r="AM159" s="144" t="n">
        <f aca="false">SUM(AM141, -AM157)</f>
        <v>-0.25</v>
      </c>
      <c r="AN159" s="144" t="n">
        <f aca="false">SUM(AN141, -AN157)</f>
        <v>-0.25</v>
      </c>
      <c r="AO159" s="144" t="n">
        <f aca="false">SUM(AO141, -AO157)</f>
        <v>-0.25</v>
      </c>
      <c r="AP159" s="144" t="n">
        <f aca="false">SUM(AP141, -AP157)</f>
        <v>-0.25</v>
      </c>
      <c r="AQ159" s="144" t="n">
        <f aca="false">SUM(AQ141, -AQ157)</f>
        <v>-0.25</v>
      </c>
      <c r="AR159" s="144" t="n">
        <f aca="false">SUM(AR141, -AR157)</f>
        <v>-0.25</v>
      </c>
      <c r="AS159" s="144" t="n">
        <f aca="false">SUM(AS141, -AS157)</f>
        <v>-0.25</v>
      </c>
      <c r="AT159" s="144" t="n">
        <f aca="false">SUM(AT141, -AT157)</f>
        <v>-0.25</v>
      </c>
      <c r="AU159" s="144" t="n">
        <f aca="false">SUM(AU141, -AU157)</f>
        <v>-0.25</v>
      </c>
      <c r="AV159" s="144" t="n">
        <f aca="false">SUM(AV141, -AV157)</f>
        <v>-0.25</v>
      </c>
      <c r="AW159" s="144" t="n">
        <f aca="false">SUM(AW141, -AW157)</f>
        <v>-0.25</v>
      </c>
      <c r="AX159" s="144" t="n">
        <f aca="false">SUM(AX141, -AX157)</f>
        <v>-0.25</v>
      </c>
      <c r="AY159" s="144" t="n">
        <f aca="false">SUM(AY141, -AY157)</f>
        <v>-0.25</v>
      </c>
      <c r="AZ159" s="144" t="n">
        <f aca="false">SUM(AZ141, -AZ157)</f>
        <v>-0.25</v>
      </c>
      <c r="BA159" s="144" t="n">
        <f aca="false">SUM(BA141, -BA157)</f>
        <v>-0.25</v>
      </c>
      <c r="BB159" s="144" t="n">
        <f aca="false">SUM(BB141, -BB157)</f>
        <v>-0.25</v>
      </c>
      <c r="BC159" s="144" t="n">
        <f aca="false">SUM(BC141, -BC157)</f>
        <v>-0.25</v>
      </c>
      <c r="BD159" s="144" t="n">
        <f aca="false">SUM(BD141, -BD157)</f>
        <v>0</v>
      </c>
      <c r="BE159" s="144" t="n">
        <f aca="false">SUM(BE141, -BE157)</f>
        <v>0</v>
      </c>
      <c r="BF159" s="144" t="n">
        <f aca="false">SUM(BF141, -BF157)</f>
        <v>0</v>
      </c>
      <c r="BG159" s="144" t="n">
        <f aca="false">SUM(BG141, -BG157)</f>
        <v>0</v>
      </c>
      <c r="BH159" s="144" t="n">
        <f aca="false">SUM(BH141, -BH157)</f>
        <v>0</v>
      </c>
      <c r="BI159" s="144" t="n">
        <f aca="false">SUM(BI141, -BI157)</f>
        <v>0</v>
      </c>
      <c r="BJ159" s="144" t="n">
        <f aca="false">SUM(BJ141, -BJ157)</f>
        <v>0</v>
      </c>
      <c r="BK159" s="144" t="n">
        <f aca="false">SUM(BK141, -BK157)</f>
        <v>0</v>
      </c>
      <c r="BL159" s="144" t="n">
        <f aca="false">SUM(BL141, -BL157)</f>
        <v>0</v>
      </c>
      <c r="BM159" s="144" t="n">
        <f aca="false">SUM(BM141, -BM157)</f>
        <v>0</v>
      </c>
      <c r="BN159" s="144" t="n">
        <f aca="false">SUM(BN141, -BN157)</f>
        <v>0</v>
      </c>
      <c r="BO159" s="144" t="n">
        <f aca="false">SUM(BO141, -BO157)</f>
        <v>0</v>
      </c>
      <c r="BP159" s="144" t="n">
        <f aca="false">SUM(BP141, -BP157)</f>
        <v>0</v>
      </c>
      <c r="BQ159" s="144" t="n">
        <f aca="false">SUM(BQ141, -BQ157)</f>
        <v>0</v>
      </c>
      <c r="BR159" s="144" t="n">
        <f aca="false">SUM(BR141, -BR157)</f>
        <v>0</v>
      </c>
      <c r="BS159" s="144" t="n">
        <f aca="false">SUM(BS141, -BS157)</f>
        <v>0</v>
      </c>
      <c r="BT159" s="144" t="n">
        <f aca="false">SUM(BT141, -BT157)</f>
        <v>0</v>
      </c>
      <c r="BU159" s="144" t="n">
        <f aca="false">SUM(BU141, -BU157)</f>
        <v>0</v>
      </c>
      <c r="BV159" s="144" t="n">
        <f aca="false">SUM(BV141, -BV157)</f>
        <v>0</v>
      </c>
      <c r="BW159" s="144" t="n">
        <f aca="false">SUM(BW141, -BW157)</f>
        <v>0</v>
      </c>
      <c r="BX159" s="144" t="n">
        <f aca="false">SUM(BX141, -BX157)</f>
        <v>0</v>
      </c>
      <c r="BY159" s="144" t="n">
        <f aca="false">SUM(BY141, -BY157)</f>
        <v>0</v>
      </c>
      <c r="BZ159" s="143" t="n">
        <f aca="false">SUM(BZ141, -BZ157)</f>
        <v>0</v>
      </c>
      <c r="CA159" s="143" t="n">
        <f aca="false">SUM(CA141, -CA157)</f>
        <v>0</v>
      </c>
      <c r="CC159" s="143" t="n">
        <f aca="false">SUM(CC141, -CC157)</f>
        <v>0</v>
      </c>
      <c r="CD159" s="143" t="n">
        <f aca="false">SUM(CD141, -CD157)</f>
        <v>-3</v>
      </c>
      <c r="CE159" s="143" t="n">
        <f aca="false">SUM(CE141, -CE157)</f>
        <v>-3</v>
      </c>
      <c r="CF159" s="143" t="n">
        <f aca="false">SUM(CF141, -CF157)</f>
        <v>0</v>
      </c>
      <c r="CG159" s="143" t="n">
        <f aca="false">SUM(CG141, -CG157)</f>
        <v>0</v>
      </c>
      <c r="CI159" s="143" t="n">
        <f aca="false">CC159=L159</f>
        <v>1</v>
      </c>
      <c r="CJ159" s="143" t="n">
        <f aca="false">CD159=M159</f>
        <v>0</v>
      </c>
      <c r="CK159" s="143" t="n">
        <f aca="false">CE159=N159</f>
        <v>0</v>
      </c>
      <c r="CL159" s="143" t="n">
        <f aca="false">CF159=O159</f>
        <v>1</v>
      </c>
      <c r="CM159" s="143" t="n">
        <f aca="false">CG159=P159</f>
        <v>1</v>
      </c>
    </row>
    <row r="160" s="14" customFormat="true" ht="16.5" hidden="false" customHeight="true" outlineLevel="0" collapsed="false">
      <c r="E160" s="21"/>
      <c r="H160" s="21"/>
      <c r="I160" s="21"/>
      <c r="J160" s="21"/>
      <c r="K160" s="21"/>
      <c r="L160" s="21"/>
      <c r="M160" s="21"/>
      <c r="N160" s="21"/>
      <c r="O160" s="21"/>
      <c r="P160" s="21"/>
      <c r="Q160" s="145"/>
      <c r="R160" s="145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</row>
    <row r="161" s="14" customFormat="true" ht="16.5" hidden="false" customHeight="true" outlineLevel="0" collapsed="false">
      <c r="E161" s="21"/>
      <c r="H161" s="21"/>
      <c r="I161" s="21"/>
      <c r="J161" s="21"/>
      <c r="K161" s="21"/>
      <c r="L161" s="21"/>
      <c r="M161" s="21"/>
      <c r="N161" s="21"/>
      <c r="O161" s="21"/>
      <c r="P161" s="21"/>
      <c r="Q161" s="145"/>
      <c r="R161" s="145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</row>
    <row r="162" s="14" customFormat="true" ht="16.5" hidden="true" customHeight="true" outlineLevel="1" collapsed="false">
      <c r="C162" s="19" t="s">
        <v>165</v>
      </c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20"/>
      <c r="R162" s="20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C162" s="19" t="s">
        <v>127</v>
      </c>
      <c r="CD162" s="19"/>
      <c r="CE162" s="19"/>
      <c r="CF162" s="19"/>
      <c r="CG162" s="19"/>
      <c r="CI162" s="19" t="s">
        <v>128</v>
      </c>
      <c r="CJ162" s="19"/>
      <c r="CK162" s="19"/>
      <c r="CL162" s="19"/>
      <c r="CM162" s="19"/>
    </row>
    <row r="163" s="14" customFormat="true" ht="16.5" hidden="true" customHeight="true" outlineLevel="1" collapsed="false">
      <c r="E163" s="21"/>
      <c r="H163" s="21"/>
      <c r="I163" s="21"/>
      <c r="J163" s="21"/>
      <c r="K163" s="21"/>
      <c r="L163" s="21"/>
      <c r="M163" s="21"/>
      <c r="N163" s="21"/>
      <c r="O163" s="21"/>
      <c r="P163" s="21"/>
      <c r="Q163" s="145"/>
      <c r="R163" s="145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</row>
    <row r="164" s="14" customFormat="true" ht="16.5" hidden="true" customHeight="true" outlineLevel="1" collapsed="false">
      <c r="E164" s="21"/>
      <c r="H164" s="21"/>
      <c r="I164" s="21"/>
      <c r="J164" s="21"/>
      <c r="K164" s="21"/>
      <c r="Q164" s="145"/>
      <c r="R164" s="145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</row>
    <row r="165" s="14" customFormat="true" ht="16.5" hidden="true" customHeight="true" outlineLevel="1" collapsed="false">
      <c r="E165" s="30" t="s">
        <v>166</v>
      </c>
      <c r="F165" s="31"/>
      <c r="G165" s="31"/>
      <c r="H165" s="31"/>
      <c r="I165" s="31"/>
      <c r="J165" s="31"/>
      <c r="K165" s="31"/>
      <c r="L165" s="31" t="n">
        <v>2026</v>
      </c>
      <c r="M165" s="31" t="n">
        <f aca="false">L165+1</f>
        <v>2027</v>
      </c>
      <c r="N165" s="31" t="n">
        <f aca="false">M165+1</f>
        <v>2028</v>
      </c>
      <c r="O165" s="31" t="n">
        <f aca="false">N165+1</f>
        <v>2029</v>
      </c>
      <c r="P165" s="31" t="n">
        <f aca="false">O165+1</f>
        <v>2030</v>
      </c>
      <c r="Q165" s="31" t="s">
        <v>167</v>
      </c>
      <c r="R165" s="145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</row>
    <row r="166" s="14" customFormat="true" ht="16.5" hidden="true" customHeight="true" outlineLevel="1" collapsed="false">
      <c r="Q166" s="145"/>
      <c r="R166" s="145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</row>
    <row r="167" s="14" customFormat="true" ht="16.5" hidden="true" customHeight="true" outlineLevel="1" collapsed="false">
      <c r="E167" s="14" t="s">
        <v>168</v>
      </c>
      <c r="H167" s="21"/>
      <c r="I167" s="21"/>
      <c r="J167" s="21"/>
      <c r="K167" s="21"/>
      <c r="L167" s="90" t="n">
        <f aca="false">L128</f>
        <v>0</v>
      </c>
      <c r="M167" s="90" t="n">
        <f aca="false">M128</f>
        <v>-1.2</v>
      </c>
      <c r="N167" s="90" t="n">
        <f aca="false">N128</f>
        <v>7.2</v>
      </c>
      <c r="O167" s="90" t="n">
        <f aca="false">O128</f>
        <v>7.2</v>
      </c>
      <c r="P167" s="90" t="n">
        <f aca="false">P128</f>
        <v>7.2</v>
      </c>
      <c r="Q167" s="146" t="n">
        <f aca="false">SUM(L167:P167)</f>
        <v>20.4</v>
      </c>
      <c r="R167" s="145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</row>
    <row r="168" s="14" customFormat="true" ht="16.5" hidden="true" customHeight="true" outlineLevel="1" collapsed="false">
      <c r="E168" s="14" t="s">
        <v>169</v>
      </c>
      <c r="L168" s="90" t="n">
        <f aca="false">L141</f>
        <v>0</v>
      </c>
      <c r="M168" s="90" t="n">
        <f aca="false">M141</f>
        <v>0</v>
      </c>
      <c r="N168" s="90" t="n">
        <f aca="false">N141</f>
        <v>0</v>
      </c>
      <c r="O168" s="90" t="n">
        <f aca="false">O141</f>
        <v>0</v>
      </c>
      <c r="P168" s="90" t="n">
        <f aca="false">P141</f>
        <v>0</v>
      </c>
      <c r="Q168" s="146" t="n">
        <f aca="false">SUM(L168:P168)</f>
        <v>0</v>
      </c>
      <c r="R168" s="145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</row>
    <row r="169" s="14" customFormat="true" ht="16.5" hidden="true" customHeight="true" outlineLevel="1" collapsed="false">
      <c r="E169" s="14" t="s">
        <v>170</v>
      </c>
      <c r="L169" s="90" t="n">
        <f aca="false">-L157</f>
        <v>-0</v>
      </c>
      <c r="M169" s="90" t="n">
        <f aca="false">-M157</f>
        <v>-5</v>
      </c>
      <c r="N169" s="90" t="n">
        <f aca="false">-N157</f>
        <v>-0</v>
      </c>
      <c r="O169" s="90" t="n">
        <f aca="false">-O157</f>
        <v>-0</v>
      </c>
      <c r="P169" s="90" t="n">
        <f aca="false">-P157</f>
        <v>-0</v>
      </c>
      <c r="Q169" s="146" t="n">
        <f aca="false">SUM(L169:P169)</f>
        <v>-5</v>
      </c>
      <c r="R169" s="145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</row>
    <row r="170" s="14" customFormat="true" ht="16.5" hidden="true" customHeight="true" outlineLevel="1" collapsed="false">
      <c r="E170" s="21" t="s">
        <v>166</v>
      </c>
      <c r="F170" s="21"/>
      <c r="G170" s="21"/>
      <c r="H170" s="21"/>
      <c r="I170" s="21"/>
      <c r="J170" s="21"/>
      <c r="K170" s="21"/>
      <c r="L170" s="84" t="n">
        <f aca="false">SUM(L167:L169)</f>
        <v>0</v>
      </c>
      <c r="M170" s="84" t="n">
        <f aca="false">SUM(M167:M169)</f>
        <v>-6.2</v>
      </c>
      <c r="N170" s="84" t="n">
        <f aca="false">SUM(N167:N169)</f>
        <v>7.2</v>
      </c>
      <c r="O170" s="84" t="n">
        <f aca="false">SUM(O167:O169)</f>
        <v>7.2</v>
      </c>
      <c r="P170" s="84" t="n">
        <f aca="false">SUM(P167:P169)</f>
        <v>7.2</v>
      </c>
      <c r="Q170" s="147" t="n">
        <f aca="false">SUM(L170:P170)</f>
        <v>15.4</v>
      </c>
      <c r="R170" s="145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</row>
    <row r="171" s="14" customFormat="true" ht="16.5" hidden="true" customHeight="true" outlineLevel="1" collapsed="false">
      <c r="E171" s="14" t="s">
        <v>171</v>
      </c>
      <c r="H171" s="21"/>
      <c r="I171" s="21"/>
      <c r="J171" s="21"/>
      <c r="K171" s="21"/>
      <c r="L171" s="90" t="n">
        <f aca="false">L170</f>
        <v>0</v>
      </c>
      <c r="M171" s="90" t="n">
        <f aca="false">L171+M170</f>
        <v>-6.2</v>
      </c>
      <c r="N171" s="90" t="n">
        <f aca="false">M171+N170</f>
        <v>1</v>
      </c>
      <c r="O171" s="90" t="n">
        <f aca="false">N171+O170</f>
        <v>8.2</v>
      </c>
      <c r="P171" s="90" t="n">
        <f aca="false">O171+P170</f>
        <v>15.4</v>
      </c>
      <c r="Q171" s="146" t="n">
        <f aca="false">SUM(L171:P171)</f>
        <v>18.4</v>
      </c>
      <c r="R171" s="145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</row>
    <row r="172" s="14" customFormat="true" ht="16.5" hidden="true" customHeight="true" outlineLevel="1" collapsed="false">
      <c r="E172" s="14" t="s">
        <v>172</v>
      </c>
      <c r="H172" s="21"/>
      <c r="I172" s="21"/>
      <c r="J172" s="21"/>
      <c r="K172" s="21"/>
      <c r="L172" s="148" t="n">
        <f aca="false">IF(L171&lt;0,1,0)</f>
        <v>0</v>
      </c>
      <c r="M172" s="148" t="n">
        <f aca="false">IF(L172&lt;1,0,IF(M171&lt;0,1,-L171/M170))</f>
        <v>0</v>
      </c>
      <c r="N172" s="148" t="n">
        <f aca="false">IF(M172&lt;1,0,IF(N171&lt;0,1,-M171/N170))</f>
        <v>0</v>
      </c>
      <c r="O172" s="148" t="n">
        <f aca="false">IF(N172&lt;1,0,IF(O171&lt;0,1,-N171/O170))</f>
        <v>0</v>
      </c>
      <c r="P172" s="148" t="n">
        <f aca="false">IF(O172&lt;1,0,IF(P171&lt;0,1,-O171/P170))</f>
        <v>0</v>
      </c>
      <c r="Q172" s="90"/>
      <c r="R172" s="145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</row>
    <row r="173" s="14" customFormat="true" ht="16.5" hidden="true" customHeight="true" outlineLevel="1" collapsed="false">
      <c r="E173" s="21"/>
      <c r="H173" s="21"/>
      <c r="I173" s="21"/>
      <c r="J173" s="21"/>
      <c r="K173" s="21"/>
      <c r="R173" s="145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</row>
    <row r="174" s="14" customFormat="true" ht="16.5" hidden="true" customHeight="true" outlineLevel="1" collapsed="false">
      <c r="E174" s="21" t="s">
        <v>173</v>
      </c>
      <c r="G174" s="149" t="n">
        <v>0.095</v>
      </c>
      <c r="H174" s="21"/>
      <c r="I174" s="21"/>
      <c r="J174" s="21"/>
      <c r="K174" s="21"/>
      <c r="R174" s="145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</row>
    <row r="175" s="14" customFormat="true" ht="16.5" hidden="true" customHeight="true" outlineLevel="1" collapsed="false">
      <c r="E175" s="21" t="s">
        <v>174</v>
      </c>
      <c r="F175" s="150" t="s">
        <v>175</v>
      </c>
      <c r="G175" s="90" t="n">
        <f aca="false">SUM(L175:P175)</f>
        <v>9.89481383602244</v>
      </c>
      <c r="H175" s="21"/>
      <c r="I175" s="21"/>
      <c r="J175" s="21"/>
      <c r="K175" s="21"/>
      <c r="L175" s="90" t="n">
        <f aca="false">L170/(1+$G$174)^L$1</f>
        <v>0</v>
      </c>
      <c r="M175" s="90" t="n">
        <f aca="false">M170/(1+$G$174)^M$1</f>
        <v>-5.17086799691416</v>
      </c>
      <c r="N175" s="90" t="n">
        <f aca="false">N170/(1+$G$174)^N$1</f>
        <v>5.483907729825</v>
      </c>
      <c r="O175" s="90" t="n">
        <f aca="false">O170/(1+$G$174)^O$1</f>
        <v>5.0081349130822</v>
      </c>
      <c r="P175" s="90" t="n">
        <f aca="false">P170/(1+$G$174)^P$1</f>
        <v>4.5736391900294</v>
      </c>
      <c r="Q175" s="90" t="n">
        <f aca="false">SUM(L175:P175)</f>
        <v>9.89481383602244</v>
      </c>
      <c r="R175" s="145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</row>
    <row r="176" s="14" customFormat="true" ht="16.5" hidden="true" customHeight="true" outlineLevel="1" collapsed="false">
      <c r="E176" s="21" t="s">
        <v>172</v>
      </c>
      <c r="F176" s="150" t="s">
        <v>176</v>
      </c>
      <c r="G176" s="148" t="n">
        <f aca="false">SUM(L172:P172)</f>
        <v>0</v>
      </c>
      <c r="H176" s="21"/>
      <c r="I176" s="21"/>
      <c r="J176" s="21"/>
      <c r="K176" s="21"/>
      <c r="L176" s="90"/>
      <c r="M176" s="90"/>
      <c r="N176" s="90"/>
      <c r="O176" s="90"/>
      <c r="P176" s="90"/>
      <c r="Q176" s="90"/>
      <c r="R176" s="145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</row>
    <row r="177" s="14" customFormat="true" ht="16.5" hidden="true" customHeight="true" outlineLevel="1" collapsed="false">
      <c r="H177" s="21"/>
      <c r="I177" s="21"/>
      <c r="J177" s="21"/>
      <c r="K177" s="21"/>
      <c r="L177" s="90"/>
      <c r="M177" s="90"/>
      <c r="N177" s="90"/>
      <c r="O177" s="90"/>
      <c r="P177" s="90"/>
      <c r="Q177" s="90"/>
      <c r="R177" s="145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</row>
    <row r="178" s="14" customFormat="true" ht="16.5" hidden="true" customHeight="true" outlineLevel="1" collapsed="false">
      <c r="E178" s="21"/>
      <c r="H178" s="21"/>
      <c r="I178" s="21"/>
      <c r="J178" s="21"/>
      <c r="K178" s="21"/>
      <c r="L178" s="90"/>
      <c r="M178" s="90"/>
      <c r="N178" s="90"/>
      <c r="O178" s="90"/>
      <c r="P178" s="90"/>
      <c r="Q178" s="151"/>
      <c r="R178" s="145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</row>
    <row r="179" s="14" customFormat="true" ht="16.5" hidden="true" customHeight="true" outlineLevel="1" collapsed="false">
      <c r="Q179" s="16"/>
      <c r="R179" s="16"/>
    </row>
    <row r="180" s="14" customFormat="true" ht="16.5" hidden="false" customHeight="true" outlineLevel="0" collapsed="false">
      <c r="Q180" s="16"/>
      <c r="R180" s="16"/>
    </row>
    <row r="181" s="14" customFormat="true" ht="16.5" hidden="true" customHeight="true" outlineLevel="1" collapsed="false">
      <c r="E181" s="152" t="s">
        <v>177</v>
      </c>
      <c r="Q181" s="16"/>
      <c r="R181" s="16"/>
    </row>
    <row r="182" s="14" customFormat="true" ht="16.5" hidden="true" customHeight="true" outlineLevel="1" collapsed="false">
      <c r="E182" s="88" t="n">
        <f aca="false">E78</f>
        <v>0</v>
      </c>
      <c r="Q182" s="16"/>
      <c r="R182" s="16"/>
    </row>
    <row r="183" s="14" customFormat="true" ht="16.5" hidden="true" customHeight="true" outlineLevel="1" collapsed="false">
      <c r="E183" s="88" t="n">
        <f aca="false">E79</f>
        <v>0</v>
      </c>
      <c r="Q183" s="16"/>
      <c r="R183" s="16"/>
    </row>
    <row r="184" s="14" customFormat="true" ht="16.5" hidden="true" customHeight="true" outlineLevel="1" collapsed="false">
      <c r="Q184" s="16"/>
      <c r="R184" s="16"/>
    </row>
    <row r="185" s="14" customFormat="true" ht="16.5" hidden="true" customHeight="true" outlineLevel="1" collapsed="false">
      <c r="E185" s="88" t="n">
        <f aca="false">E83</f>
        <v>0</v>
      </c>
      <c r="Q185" s="16"/>
      <c r="R185" s="16"/>
    </row>
    <row r="186" s="14" customFormat="true" ht="16.5" hidden="true" customHeight="true" outlineLevel="1" collapsed="false">
      <c r="E186" s="88" t="n">
        <f aca="false">E84</f>
        <v>0</v>
      </c>
      <c r="Q186" s="16"/>
      <c r="R186" s="16"/>
    </row>
    <row r="187" s="14" customFormat="true" ht="16.5" hidden="true" customHeight="true" outlineLevel="1" collapsed="false">
      <c r="E187" s="88" t="n">
        <f aca="false">E85</f>
        <v>0</v>
      </c>
      <c r="Q187" s="16"/>
      <c r="R187" s="16"/>
    </row>
    <row r="188" s="14" customFormat="true" ht="16.5" hidden="true" customHeight="true" outlineLevel="1" collapsed="false">
      <c r="E188" s="88" t="n">
        <f aca="false">E86</f>
        <v>0</v>
      </c>
      <c r="Q188" s="16"/>
      <c r="R188" s="16"/>
    </row>
    <row r="189" s="14" customFormat="true" ht="16.5" hidden="true" customHeight="true" outlineLevel="1" collapsed="false">
      <c r="E189" s="88" t="n">
        <f aca="false">E87</f>
        <v>0</v>
      </c>
      <c r="Q189" s="16"/>
      <c r="R189" s="16"/>
    </row>
    <row r="190" s="14" customFormat="true" ht="16.5" hidden="true" customHeight="true" outlineLevel="1" collapsed="false">
      <c r="Q190" s="16"/>
      <c r="R190" s="16"/>
    </row>
    <row r="191" s="14" customFormat="true" ht="16.5" hidden="true" customHeight="true" outlineLevel="1" collapsed="false">
      <c r="Q191" s="16"/>
      <c r="R191" s="16"/>
    </row>
    <row r="192" s="14" customFormat="true" ht="16.5" hidden="true" customHeight="true" outlineLevel="1" collapsed="false">
      <c r="Q192" s="16"/>
      <c r="R192" s="16"/>
    </row>
    <row r="193" s="14" customFormat="true" ht="16.5" hidden="true" customHeight="true" outlineLevel="1" collapsed="false">
      <c r="E193" s="14" t="str">
        <f aca="false">E91</f>
        <v>OPEX - Temporary Workers</v>
      </c>
      <c r="Q193" s="16"/>
      <c r="R193" s="16"/>
    </row>
    <row r="194" s="14" customFormat="true" ht="16.5" hidden="true" customHeight="true" outlineLevel="1" collapsed="false">
      <c r="E194" s="88" t="n">
        <f aca="false">E92</f>
        <v>0</v>
      </c>
      <c r="Q194" s="16"/>
      <c r="R194" s="16"/>
    </row>
    <row r="195" s="14" customFormat="true" ht="16.5" hidden="true" customHeight="true" outlineLevel="1" collapsed="false">
      <c r="E195" s="88" t="n">
        <f aca="false">E93</f>
        <v>0</v>
      </c>
      <c r="Q195" s="16"/>
      <c r="R195" s="16"/>
    </row>
    <row r="196" s="14" customFormat="true" ht="16.5" hidden="true" customHeight="true" outlineLevel="1" collapsed="false">
      <c r="E196" s="88" t="n">
        <f aca="false">E94</f>
        <v>0</v>
      </c>
      <c r="Q196" s="16"/>
      <c r="R196" s="16"/>
    </row>
    <row r="197" s="14" customFormat="true" ht="16.5" hidden="true" customHeight="true" outlineLevel="1" collapsed="false">
      <c r="E197" s="88" t="n">
        <f aca="false">E95</f>
        <v>0</v>
      </c>
      <c r="Q197" s="16"/>
      <c r="R197" s="16"/>
    </row>
    <row r="198" s="14" customFormat="true" ht="16.5" hidden="true" customHeight="true" outlineLevel="1" collapsed="false">
      <c r="Q198" s="16"/>
      <c r="R198" s="16"/>
    </row>
    <row r="199" s="14" customFormat="true" ht="16.5" hidden="true" customHeight="true" outlineLevel="1" collapsed="false">
      <c r="Q199" s="16"/>
      <c r="R199" s="16"/>
    </row>
    <row r="200" s="14" customFormat="true" ht="16.5" hidden="true" customHeight="true" outlineLevel="1" collapsed="false">
      <c r="Q200" s="16"/>
      <c r="R200" s="16"/>
    </row>
    <row r="201" s="14" customFormat="true" ht="16.5" hidden="true" customHeight="true" outlineLevel="1" collapsed="false">
      <c r="Q201" s="16"/>
      <c r="R201" s="16"/>
    </row>
    <row r="202" s="14" customFormat="true" ht="16.5" hidden="true" customHeight="true" outlineLevel="1" collapsed="false">
      <c r="Q202" s="16"/>
      <c r="R202" s="16"/>
    </row>
    <row r="203" s="14" customFormat="true" ht="16.5" hidden="true" customHeight="true" outlineLevel="1" collapsed="false">
      <c r="Q203" s="16"/>
      <c r="R203" s="16"/>
    </row>
    <row r="204" s="14" customFormat="true" ht="16.5" hidden="true" customHeight="true" outlineLevel="1" collapsed="false">
      <c r="Q204" s="16"/>
      <c r="R204" s="16"/>
    </row>
    <row r="205" s="14" customFormat="true" ht="16.5" hidden="true" customHeight="true" outlineLevel="1" collapsed="false">
      <c r="Q205" s="16"/>
      <c r="R205" s="16"/>
    </row>
    <row r="206" s="14" customFormat="true" ht="16.5" hidden="true" customHeight="true" outlineLevel="1" collapsed="false">
      <c r="Q206" s="16"/>
      <c r="R206" s="16"/>
    </row>
    <row r="207" s="14" customFormat="true" ht="16.5" hidden="true" customHeight="true" outlineLevel="1" collapsed="false">
      <c r="Q207" s="16"/>
      <c r="R207" s="16"/>
    </row>
    <row r="208" s="14" customFormat="true" ht="16.5" hidden="true" customHeight="true" outlineLevel="1" collapsed="false">
      <c r="Q208" s="16"/>
      <c r="R208" s="16"/>
    </row>
    <row r="209" s="14" customFormat="true" ht="16.5" hidden="true" customHeight="true" outlineLevel="1" collapsed="false">
      <c r="Q209" s="16"/>
      <c r="R209" s="16"/>
    </row>
    <row r="210" s="14" customFormat="true" ht="16.5" hidden="true" customHeight="true" outlineLevel="1" collapsed="false">
      <c r="Q210" s="16"/>
      <c r="R210" s="16"/>
    </row>
    <row r="211" s="14" customFormat="true" ht="16.5" hidden="false" customHeight="true" outlineLevel="0" collapsed="false">
      <c r="C211" s="19" t="s">
        <v>178</v>
      </c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20"/>
      <c r="R211" s="20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  <c r="BX211" s="19"/>
      <c r="BY211" s="19"/>
      <c r="BZ211" s="19"/>
      <c r="CA211" s="19"/>
      <c r="CB211" s="19"/>
      <c r="CC211" s="19"/>
      <c r="CD211" s="19"/>
      <c r="CE211" s="19"/>
      <c r="CF211" s="19"/>
      <c r="CG211" s="19"/>
      <c r="CH211" s="19"/>
      <c r="CI211" s="19"/>
      <c r="CJ211" s="19"/>
      <c r="CK211" s="19"/>
      <c r="CL211" s="19"/>
      <c r="CM211" s="19"/>
    </row>
  </sheetData>
  <mergeCells count="1">
    <mergeCell ref="F15:G17"/>
  </mergeCells>
  <conditionalFormatting sqref="I88:P88">
    <cfRule type="expression" priority="2" aboveAverage="0" equalAverage="0" bottom="0" percent="0" rank="0" text="" dxfId="0">
      <formula>AND($F88="Yes")</formula>
    </cfRule>
    <cfRule type="expression" priority="3" aboveAverage="0" equalAverage="0" bottom="0" percent="0" rank="0" text="" dxfId="1">
      <formula>AND($F88="No")</formula>
    </cfRule>
  </conditionalFormatting>
  <conditionalFormatting sqref="J34">
    <cfRule type="expression" priority="4" aboveAverage="0" equalAverage="0" bottom="0" percent="0" rank="0" text="" dxfId="0">
      <formula>AND($F34="Yes")</formula>
    </cfRule>
    <cfRule type="expression" priority="5" aboveAverage="0" equalAverage="0" bottom="0" percent="0" rank="0" text="" dxfId="1">
      <formula>AND($F34="No")</formula>
    </cfRule>
  </conditionalFormatting>
  <conditionalFormatting sqref="E105:E106">
    <cfRule type="expression" priority="6" aboveAverage="0" equalAverage="0" bottom="0" percent="0" rank="0" text="" dxfId="0">
      <formula>AND($F105="Yes")</formula>
    </cfRule>
    <cfRule type="expression" priority="7" aboveAverage="0" equalAverage="0" bottom="0" percent="0" rank="0" text="" dxfId="1">
      <formula>AND($F105="No")</formula>
    </cfRule>
  </conditionalFormatting>
  <conditionalFormatting sqref="E118:E122">
    <cfRule type="expression" priority="8" aboveAverage="0" equalAverage="0" bottom="0" percent="0" rank="0" text="" dxfId="0">
      <formula>AND($F118="Yes")</formula>
    </cfRule>
    <cfRule type="expression" priority="9" aboveAverage="0" equalAverage="0" bottom="0" percent="0" rank="0" text="" dxfId="1">
      <formula>AND($F118="No")</formula>
    </cfRule>
  </conditionalFormatting>
  <conditionalFormatting sqref="E152:E154">
    <cfRule type="expression" priority="10" aboveAverage="0" equalAverage="0" bottom="0" percent="0" rank="0" text="" dxfId="0">
      <formula>AND($F152="Yes")</formula>
    </cfRule>
    <cfRule type="expression" priority="11" aboveAverage="0" equalAverage="0" bottom="0" percent="0" rank="0" text="" dxfId="1">
      <formula>AND($F152="No")</formula>
    </cfRule>
  </conditionalFormatting>
  <conditionalFormatting sqref="E147:E148">
    <cfRule type="expression" priority="12" aboveAverage="0" equalAverage="0" bottom="0" percent="0" rank="0" text="" dxfId="0">
      <formula>AND($F147="Yes")</formula>
    </cfRule>
    <cfRule type="expression" priority="13" aboveAverage="0" equalAverage="0" bottom="0" percent="0" rank="0" text="" dxfId="1">
      <formula>AND($F147="No")</formula>
    </cfRule>
  </conditionalFormatting>
  <conditionalFormatting sqref="E137:E138">
    <cfRule type="expression" priority="14" aboveAverage="0" equalAverage="0" bottom="0" percent="0" rank="0" text="" dxfId="0">
      <formula>AND($F137="Yes")</formula>
    </cfRule>
    <cfRule type="expression" priority="15" aboveAverage="0" equalAverage="0" bottom="0" percent="0" rank="0" text="" dxfId="1">
      <formula>AND($F137="No")</formula>
    </cfRule>
  </conditionalFormatting>
  <conditionalFormatting sqref="E78:E79 T152:CA156">
    <cfRule type="expression" priority="16" aboveAverage="0" equalAverage="0" bottom="0" percent="0" rank="0" text="" dxfId="0">
      <formula>AND($F78="Yes")</formula>
    </cfRule>
    <cfRule type="expression" priority="17" aboveAverage="0" equalAverage="0" bottom="0" percent="0" rank="0" text="" dxfId="1">
      <formula>AND($F78="No")</formula>
    </cfRule>
  </conditionalFormatting>
  <conditionalFormatting sqref="CJ162:CM162">
    <cfRule type="containsText" priority="18" operator="containsText" aboveAverage="0" equalAverage="0" bottom="0" percent="0" rank="0" text="FALSE" dxfId="2">
      <formula>NOT(ISERROR(SEARCH("FALSE",CJ162)))</formula>
    </cfRule>
  </conditionalFormatting>
  <conditionalFormatting sqref="Q152:Q154">
    <cfRule type="containsText" priority="19" operator="containsText" aboveAverage="0" equalAverage="0" bottom="0" percent="0" rank="0" text="Error" dxfId="2">
      <formula>NOT(ISERROR(SEARCH("Error",Q152)))</formula>
    </cfRule>
    <cfRule type="containsText" priority="20" operator="containsText" aboveAverage="0" equalAverage="0" bottom="0" percent="0" rank="0" text="FALSE" dxfId="2">
      <formula>NOT(ISERROR(SEARCH("FALSE",Q152)))</formula>
    </cfRule>
  </conditionalFormatting>
  <conditionalFormatting sqref="Q147:Q148">
    <cfRule type="containsText" priority="21" operator="containsText" aboveAverage="0" equalAverage="0" bottom="0" percent="0" rank="0" text="Error" dxfId="2">
      <formula>NOT(ISERROR(SEARCH("Error",Q147)))</formula>
    </cfRule>
    <cfRule type="containsText" priority="22" operator="containsText" aboveAverage="0" equalAverage="0" bottom="0" percent="0" rank="0" text="FALSE" dxfId="2">
      <formula>NOT(ISERROR(SEARCH("FALSE",Q147)))</formula>
    </cfRule>
  </conditionalFormatting>
  <conditionalFormatting sqref="Q137:Q138">
    <cfRule type="containsText" priority="23" operator="containsText" aboveAverage="0" equalAverage="0" bottom="0" percent="0" rank="0" text="Error" dxfId="2">
      <formula>NOT(ISERROR(SEARCH("Error",Q137)))</formula>
    </cfRule>
    <cfRule type="containsText" priority="24" operator="containsText" aboveAverage="0" equalAverage="0" bottom="0" percent="0" rank="0" text="FALSE" dxfId="2">
      <formula>NOT(ISERROR(SEARCH("FALSE",Q137)))</formula>
    </cfRule>
  </conditionalFormatting>
  <conditionalFormatting sqref="J69:J70">
    <cfRule type="expression" priority="25" aboveAverage="0" equalAverage="0" bottom="0" percent="0" rank="0" text="" dxfId="0">
      <formula>AND($F69="Yes")</formula>
    </cfRule>
    <cfRule type="expression" priority="26" aboveAverage="0" equalAverage="0" bottom="0" percent="0" rank="0" text="" dxfId="1">
      <formula>AND($F69="No")</formula>
    </cfRule>
  </conditionalFormatting>
  <conditionalFormatting sqref="J59:J60 J64">
    <cfRule type="expression" priority="27" aboveAverage="0" equalAverage="0" bottom="0" percent="0" rank="0" text="" dxfId="0">
      <formula>AND($F59="Yes")</formula>
    </cfRule>
    <cfRule type="expression" priority="28" aboveAverage="0" equalAverage="0" bottom="0" percent="0" rank="0" text="" dxfId="1">
      <formula>AND($F59="No")</formula>
    </cfRule>
  </conditionalFormatting>
  <conditionalFormatting sqref="J65">
    <cfRule type="expression" priority="29" aboveAverage="0" equalAverage="0" bottom="0" percent="0" rank="0" text="" dxfId="0">
      <formula>AND(#ref!="Yes")</formula>
    </cfRule>
    <cfRule type="expression" priority="30" aboveAverage="0" equalAverage="0" bottom="0" percent="0" rank="0" text="" dxfId="1">
      <formula>AND(#ref!="No")</formula>
    </cfRule>
  </conditionalFormatting>
  <conditionalFormatting sqref="J54:J55">
    <cfRule type="expression" priority="31" aboveAverage="0" equalAverage="0" bottom="0" percent="0" rank="0" text="" dxfId="0">
      <formula>AND($F54="Yes")</formula>
    </cfRule>
    <cfRule type="expression" priority="32" aboveAverage="0" equalAverage="0" bottom="0" percent="0" rank="0" text="" dxfId="1">
      <formula>AND($F54="No")</formula>
    </cfRule>
  </conditionalFormatting>
  <conditionalFormatting sqref="J44:J45 J49">
    <cfRule type="expression" priority="33" aboveAverage="0" equalAverage="0" bottom="0" percent="0" rank="0" text="" dxfId="0">
      <formula>AND($F44="Yes")</formula>
    </cfRule>
    <cfRule type="expression" priority="34" aboveAverage="0" equalAverage="0" bottom="0" percent="0" rank="0" text="" dxfId="1">
      <formula>AND($F44="No")</formula>
    </cfRule>
  </conditionalFormatting>
  <conditionalFormatting sqref="J50">
    <cfRule type="expression" priority="35" aboveAverage="0" equalAverage="0" bottom="0" percent="0" rank="0" text="" dxfId="0">
      <formula>AND(#ref!="Yes")</formula>
    </cfRule>
    <cfRule type="expression" priority="36" aboveAverage="0" equalAverage="0" bottom="0" percent="0" rank="0" text="" dxfId="1">
      <formula>AND(#ref!="No")</formula>
    </cfRule>
  </conditionalFormatting>
  <conditionalFormatting sqref="CJ211:CM211">
    <cfRule type="containsText" priority="37" operator="containsText" aboveAverage="0" equalAverage="0" bottom="0" percent="0" rank="0" text="FALSE" dxfId="2">
      <formula>NOT(ISERROR(SEARCH("FALSE",CJ211)))</formula>
    </cfRule>
  </conditionalFormatting>
  <conditionalFormatting sqref="CJ131:CM131">
    <cfRule type="containsText" priority="38" operator="containsText" aboveAverage="0" equalAverage="0" bottom="0" percent="0" rank="0" text="FALSE" dxfId="2">
      <formula>NOT(ISERROR(SEARCH("FALSE",CJ131)))</formula>
    </cfRule>
  </conditionalFormatting>
  <conditionalFormatting sqref="P24:P29">
    <cfRule type="containsText" priority="39" operator="containsText" aboveAverage="0" equalAverage="0" bottom="0" percent="0" rank="0" text="PASS" dxfId="3">
      <formula>NOT(ISERROR(SEARCH("PASS",P24)))</formula>
    </cfRule>
  </conditionalFormatting>
  <conditionalFormatting sqref="CI152:CM155">
    <cfRule type="expression" priority="40" aboveAverage="0" equalAverage="0" bottom="0" percent="0" rank="0" text="" dxfId="0">
      <formula>AND($F152="Yes")</formula>
    </cfRule>
    <cfRule type="expression" priority="41" aboveAverage="0" equalAverage="0" bottom="0" percent="0" rank="0" text="" dxfId="1">
      <formula>AND($F152="No")</formula>
    </cfRule>
  </conditionalFormatting>
  <conditionalFormatting sqref="CI147:CM149">
    <cfRule type="expression" priority="42" aboveAverage="0" equalAverage="0" bottom="0" percent="0" rank="0" text="" dxfId="0">
      <formula>AND($F147="Yes")</formula>
    </cfRule>
    <cfRule type="expression" priority="43" aboveAverage="0" equalAverage="0" bottom="0" percent="0" rank="0" text="" dxfId="1">
      <formula>AND($F147="No")</formula>
    </cfRule>
  </conditionalFormatting>
  <conditionalFormatting sqref="CC152:CG155">
    <cfRule type="expression" priority="44" aboveAverage="0" equalAverage="0" bottom="0" percent="0" rank="0" text="" dxfId="0">
      <formula>AND($F152="Yes")</formula>
    </cfRule>
    <cfRule type="expression" priority="45" aboveAverage="0" equalAverage="0" bottom="0" percent="0" rank="0" text="" dxfId="1">
      <formula>AND($F152="No")</formula>
    </cfRule>
  </conditionalFormatting>
  <conditionalFormatting sqref="CC147:CG149">
    <cfRule type="expression" priority="46" aboveAverage="0" equalAverage="0" bottom="0" percent="0" rank="0" text="" dxfId="0">
      <formula>AND($F147="Yes")</formula>
    </cfRule>
    <cfRule type="expression" priority="47" aboveAverage="0" equalAverage="0" bottom="0" percent="0" rank="0" text="" dxfId="1">
      <formula>AND($F147="No")</formula>
    </cfRule>
  </conditionalFormatting>
  <conditionalFormatting sqref="V123:CA124">
    <cfRule type="expression" priority="48" aboveAverage="0" equalAverage="0" bottom="0" percent="0" rank="0" text="" dxfId="0">
      <formula>AND($F123="Yes")</formula>
    </cfRule>
    <cfRule type="expression" priority="49" aboveAverage="0" equalAverage="0" bottom="0" percent="0" rank="0" text="" dxfId="1">
      <formula>AND($F123="No")</formula>
    </cfRule>
  </conditionalFormatting>
  <conditionalFormatting sqref="T147:CA149">
    <cfRule type="expression" priority="50" aboveAverage="0" equalAverage="0" bottom="0" percent="0" rank="0" text="" dxfId="0">
      <formula>AND($F147="Yes")</formula>
    </cfRule>
    <cfRule type="expression" priority="51" aboveAverage="0" equalAverage="0" bottom="0" percent="0" rank="0" text="" dxfId="1">
      <formula>AND($F147="No")</formula>
    </cfRule>
  </conditionalFormatting>
  <conditionalFormatting sqref="V96:CA97">
    <cfRule type="expression" priority="52" aboveAverage="0" equalAverage="0" bottom="0" percent="0" rank="0" text="" dxfId="0">
      <formula>AND($F96="Yes")</formula>
    </cfRule>
    <cfRule type="expression" priority="53" aboveAverage="0" equalAverage="0" bottom="0" percent="0" rank="0" text="" dxfId="1">
      <formula>AND($F96="No")</formula>
    </cfRule>
  </conditionalFormatting>
  <conditionalFormatting sqref="Q75:R124 Q134">
    <cfRule type="containsText" priority="54" operator="containsText" aboveAverage="0" equalAverage="0" bottom="0" percent="0" rank="0" text="Error" dxfId="2">
      <formula>NOT(ISERROR(SEARCH("Error",Q75)))</formula>
    </cfRule>
  </conditionalFormatting>
  <conditionalFormatting sqref="Q78:R101 Q103:R124 CI78:CM130 CI132:CM159">
    <cfRule type="containsText" priority="55" operator="containsText" aboveAverage="0" equalAverage="0" bottom="0" percent="0" rank="0" text="FALSE" dxfId="2">
      <formula>NOT(ISERROR(SEARCH("FALSE",Q78)))</formula>
    </cfRule>
  </conditionalFormatting>
  <conditionalFormatting sqref="L147:P149">
    <cfRule type="expression" priority="56" aboveAverage="0" equalAverage="0" bottom="0" percent="0" rank="0" text="" dxfId="0">
      <formula>AND($F147="Yes")</formula>
    </cfRule>
    <cfRule type="expression" priority="57" aboveAverage="0" equalAverage="0" bottom="0" percent="0" rank="0" text="" dxfId="1">
      <formula>AND($F147="No")</formula>
    </cfRule>
  </conditionalFormatting>
  <conditionalFormatting sqref="Q128:R128">
    <cfRule type="containsText" priority="58" operator="containsText" aboveAverage="0" equalAverage="0" bottom="0" percent="0" rank="0" text="Error" dxfId="2">
      <formula>NOT(ISERROR(SEARCH("Error",Q128)))</formula>
    </cfRule>
    <cfRule type="containsText" priority="59" operator="containsText" aboveAverage="0" equalAverage="0" bottom="0" percent="0" rank="0" text="FALSE" dxfId="2">
      <formula>NOT(ISERROR(SEARCH("FALSE",Q128)))</formula>
    </cfRule>
  </conditionalFormatting>
  <conditionalFormatting sqref="I107:K107">
    <cfRule type="expression" priority="60" aboveAverage="0" equalAverage="0" bottom="0" percent="0" rank="0" text="" dxfId="0">
      <formula>AND($F107="Yes")</formula>
    </cfRule>
    <cfRule type="expression" priority="61" aboveAverage="0" equalAverage="0" bottom="0" percent="0" rank="0" text="" dxfId="1">
      <formula>AND($F107="No")</formula>
    </cfRule>
  </conditionalFormatting>
  <conditionalFormatting sqref="I123:K124">
    <cfRule type="expression" priority="62" aboveAverage="0" equalAverage="0" bottom="0" percent="0" rank="0" text="" dxfId="0">
      <formula>AND($F123="Yes")</formula>
    </cfRule>
    <cfRule type="expression" priority="63" aboveAverage="0" equalAverage="0" bottom="0" percent="0" rank="0" text="" dxfId="1">
      <formula>AND($F123="No")</formula>
    </cfRule>
  </conditionalFormatting>
  <conditionalFormatting sqref="I115:K115">
    <cfRule type="expression" priority="64" aboveAverage="0" equalAverage="0" bottom="0" percent="0" rank="0" text="" dxfId="0">
      <formula>AND($F115="Yes")</formula>
    </cfRule>
    <cfRule type="expression" priority="65" aboveAverage="0" equalAverage="0" bottom="0" percent="0" rank="0" text="" dxfId="1">
      <formula>AND($F115="No")</formula>
    </cfRule>
  </conditionalFormatting>
  <conditionalFormatting sqref="E83:E87 E91:E95 E110:E114 F13:G13 I78:J79 I83:J87 I91:J95 I96:P98 I105:J106 I110:J114 I118:J122 J25:J28 J39:J42 L78:P79 L83:P87 L91:P95 L105:P107 L110:P115 L118:P124 L137:P140 L152:P156 T78:CA80 T83:CA88 T91:CB91 T92:CA98 T105:CA107 T110:CA115 T118:CA124 T137:CA140 CC78:CG80 CC83:CG88 CC91:CG98 CC105:CG107 CC110:CG115 CC118:CG124 CC137:CG139 CI78:CM80 CI83:CM88 CI91:CM98 CI105:CM107 CI110:CM115 CI118:CM124 CI137:CM139">
    <cfRule type="expression" priority="66" aboveAverage="0" equalAverage="0" bottom="0" percent="0" rank="0" text="" dxfId="0">
      <formula>AND($F13="Yes")</formula>
    </cfRule>
    <cfRule type="expression" priority="67" aboveAverage="0" equalAverage="0" bottom="0" percent="0" rank="0" text="" dxfId="1">
      <formula>AND($F13="No")</formula>
    </cfRule>
  </conditionalFormatting>
  <conditionalFormatting sqref="E108">
    <cfRule type="expression" priority="68" aboveAverage="0" equalAverage="0" bottom="0" percent="0" rank="0" text="" dxfId="4">
      <formula>AND($F108="Yes")</formula>
    </cfRule>
    <cfRule type="expression" priority="69" aboveAverage="0" equalAverage="0" bottom="0" percent="0" rank="0" text="" dxfId="5">
      <formula>AND($F108="No")</formula>
    </cfRule>
  </conditionalFormatting>
  <conditionalFormatting sqref="E125">
    <cfRule type="expression" priority="70" aboveAverage="0" equalAverage="0" bottom="0" percent="0" rank="0" text="" dxfId="4">
      <formula>AND($F125="Yes")</formula>
    </cfRule>
    <cfRule type="expression" priority="71" aboveAverage="0" equalAverage="0" bottom="0" percent="0" rank="0" text="" dxfId="5">
      <formula>AND($F125="No")</formula>
    </cfRule>
  </conditionalFormatting>
  <conditionalFormatting sqref="I80:P80">
    <cfRule type="expression" priority="72" aboveAverage="0" equalAverage="0" bottom="0" percent="0" rank="0" text="" dxfId="0">
      <formula>AND($F80="Yes")</formula>
    </cfRule>
    <cfRule type="expression" priority="73" aboveAverage="0" equalAverage="0" bottom="0" percent="0" rank="0" text="" dxfId="1">
      <formula>AND($F80="No")</formula>
    </cfRule>
  </conditionalFormatting>
  <conditionalFormatting sqref="D147:D148 E81 E143">
    <cfRule type="expression" priority="74" aboveAverage="0" equalAverage="0" bottom="0" percent="0" rank="0" text="" dxfId="4">
      <formula>AND($F81="Yes")</formula>
    </cfRule>
    <cfRule type="expression" priority="75" aboveAverage="0" equalAverage="0" bottom="0" percent="0" rank="0" text="" dxfId="5">
      <formula>AND($F81="No")</formula>
    </cfRule>
  </conditionalFormatting>
  <conditionalFormatting sqref="E99">
    <cfRule type="expression" priority="76" aboveAverage="0" equalAverage="0" bottom="0" percent="0" rank="0" text="" dxfId="4">
      <formula>AND($F99="Yes")</formula>
    </cfRule>
    <cfRule type="expression" priority="77" aboveAverage="0" equalAverage="0" bottom="0" percent="0" rank="0" text="" dxfId="5">
      <formula>AND($F99="No")</formula>
    </cfRule>
  </conditionalFormatting>
  <conditionalFormatting sqref="G174 J32:J33 J35">
    <cfRule type="expression" priority="78" aboveAverage="0" equalAverage="0" bottom="0" percent="0" rank="0" text="" dxfId="0">
      <formula>AND(#ref!="Yes")</formula>
    </cfRule>
    <cfRule type="expression" priority="79" aboveAverage="0" equalAverage="0" bottom="0" percent="0" rank="0" text="" dxfId="1">
      <formula>AND(#ref!="No")</formula>
    </cfRule>
  </conditionalFormatting>
  <printOptions headings="false" gridLines="false" gridLinesSet="true" horizontalCentered="true" verticalCentered="false"/>
  <pageMargins left="0.25" right="0.25" top="0.75" bottom="0.75" header="0.3" footer="0.3"/>
  <pageSetup paperSize="1" scale="27" fitToWidth="1" fitToHeight="1" pageOrder="downThenOver" orientation="portrait" blackAndWhite="false" draft="false" cellComments="none" horizontalDpi="300" verticalDpi="300" copies="1"/>
  <headerFooter differentFirst="false" differentOddEven="false">
    <oddHeader>&amp;CSTRICTLY CONFIDENTIAL</oddHeader>
    <oddFooter>&amp;R&amp;P/&amp;N</oddFooter>
  </headerFooter>
  <rowBreaks count="2" manualBreakCount="2">
    <brk id="143" man="true" max="16383" min="0"/>
    <brk id="194" man="true" max="16383" min="0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B2:N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8" min="6" style="0" width="16"/>
    <col collapsed="false" customWidth="true" hidden="false" outlineLevel="0" max="9" min="9" style="0" width="60"/>
    <col collapsed="false" customWidth="true" hidden="false" outlineLevel="0" max="10" min="10" style="0" width="2"/>
    <col collapsed="false" customWidth="true" hidden="false" outlineLevel="0" max="11" min="11" style="0" width="12"/>
    <col collapsed="false" customWidth="true" hidden="false" outlineLevel="0" max="16" min="12" style="0" width="11"/>
    <col collapsed="false" customWidth="true" hidden="false" outlineLevel="0" max="17" min="17" style="0" width="2"/>
    <col collapsed="false" customWidth="true" hidden="false" outlineLevel="0" max="18" min="18" style="0" width="60"/>
    <col collapsed="false" customWidth="true" hidden="false" outlineLevel="0" max="19" min="19" style="0" width="2"/>
    <col collapsed="false" customWidth="true" hidden="false" outlineLevel="0" max="79" min="20" style="0" width="9"/>
  </cols>
  <sheetData>
    <row r="2" customFormat="false" ht="24" hidden="false" customHeight="true" outlineLevel="0" collapsed="false">
      <c r="B2" s="153" t="s">
        <v>179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B4" s="154" t="s">
        <v>180</v>
      </c>
    </row>
    <row r="6" customFormat="false" ht="18" hidden="false" customHeight="true" outlineLevel="0" collapsed="false">
      <c r="B6" s="5" t="s">
        <v>181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8" customFormat="false" ht="158.2" hidden="false" customHeight="false" outlineLevel="0" collapsed="false">
      <c r="B8" s="3" t="s">
        <v>182</v>
      </c>
      <c r="D8" s="9" t="s">
        <v>183</v>
      </c>
      <c r="F8" s="155" t="s">
        <v>184</v>
      </c>
    </row>
    <row r="10" customFormat="false" ht="22.35" hidden="false" customHeight="false" outlineLevel="0" collapsed="false">
      <c r="B10" s="10" t="s">
        <v>185</v>
      </c>
      <c r="D10" s="156" t="n">
        <v>8</v>
      </c>
      <c r="F10" s="155" t="s">
        <v>186</v>
      </c>
    </row>
    <row r="11" customFormat="false" ht="15" hidden="false" customHeight="false" outlineLevel="0" collapsed="false">
      <c r="B11" s="10" t="s">
        <v>187</v>
      </c>
      <c r="D11" s="156" t="n">
        <v>21</v>
      </c>
    </row>
    <row r="12" customFormat="false" ht="15" hidden="false" customHeight="false" outlineLevel="0" collapsed="false">
      <c r="B12" s="10" t="s">
        <v>188</v>
      </c>
      <c r="D12" s="156" t="n">
        <v>12</v>
      </c>
    </row>
    <row r="14" customFormat="false" ht="18" hidden="false" customHeight="true" outlineLevel="0" collapsed="false">
      <c r="B14" s="5" t="s">
        <v>189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6" customFormat="false" ht="23.85" hidden="false" customHeight="false" outlineLevel="0" collapsed="false">
      <c r="B16" s="157" t="s">
        <v>190</v>
      </c>
      <c r="C16" s="157" t="s">
        <v>191</v>
      </c>
      <c r="D16" s="157" t="s">
        <v>192</v>
      </c>
      <c r="E16" s="157" t="s">
        <v>193</v>
      </c>
      <c r="F16" s="157" t="s">
        <v>194</v>
      </c>
      <c r="G16" s="157" t="s">
        <v>195</v>
      </c>
      <c r="H16" s="157" t="s">
        <v>196</v>
      </c>
      <c r="I16" s="157" t="s">
        <v>197</v>
      </c>
    </row>
    <row r="17" customFormat="false" ht="15" hidden="false" customHeight="false" outlineLevel="0" collapsed="false">
      <c r="B17" s="9" t="s">
        <v>198</v>
      </c>
      <c r="C17" s="156" t="n">
        <v>1</v>
      </c>
      <c r="D17" s="158" t="n">
        <v>200000</v>
      </c>
      <c r="E17" s="159" t="n">
        <f aca="false">IF(D17="",0,D17/$D$12)</f>
        <v>16666.6666666667</v>
      </c>
      <c r="F17" s="160" t="n">
        <f aca="false">IF(D17="",0,E17/($D$10*$D$11))</f>
        <v>99.2063492063492</v>
      </c>
      <c r="G17" s="159" t="n">
        <f aca="false">IF($D$8="Hourly",F17*$D$10*$D$11,IF($D$8="Monthly",E17,IF(D17="",0,D17/$D$12)))</f>
        <v>16666.6666666667</v>
      </c>
      <c r="H17" s="159" t="n">
        <f aca="false">IF(C17="",0,C17*G17)</f>
        <v>16666.6666666667</v>
      </c>
    </row>
    <row r="18" customFormat="false" ht="15" hidden="false" customHeight="false" outlineLevel="0" collapsed="false">
      <c r="B18" s="9" t="s">
        <v>199</v>
      </c>
      <c r="C18" s="156" t="n">
        <v>1</v>
      </c>
      <c r="D18" s="158" t="n">
        <v>200000</v>
      </c>
      <c r="E18" s="159" t="n">
        <f aca="false">IF(D18="",0,D18/$D$12)</f>
        <v>16666.6666666667</v>
      </c>
      <c r="F18" s="160" t="n">
        <f aca="false">IF(D18="",0,E18/($D$10*$D$11))</f>
        <v>99.2063492063492</v>
      </c>
      <c r="G18" s="159" t="n">
        <f aca="false">IF($D$8="Hourly",F18*$D$10*$D$11,IF($D$8="Monthly",E18,IF(D18="",0,D18/$D$12)))</f>
        <v>16666.6666666667</v>
      </c>
      <c r="H18" s="159" t="n">
        <f aca="false">IF(C18="",0,C18*G18)</f>
        <v>16666.6666666667</v>
      </c>
    </row>
    <row r="19" customFormat="false" ht="15" hidden="false" customHeight="false" outlineLevel="0" collapsed="false">
      <c r="B19" s="9" t="s">
        <v>200</v>
      </c>
      <c r="C19" s="156" t="n">
        <v>1</v>
      </c>
      <c r="D19" s="158" t="n">
        <v>200000</v>
      </c>
      <c r="E19" s="159" t="n">
        <f aca="false">IF(D19="",0,D19/$D$12)</f>
        <v>16666.6666666667</v>
      </c>
      <c r="F19" s="160" t="n">
        <f aca="false">IF(D19="",0,E19/($D$10*$D$11))</f>
        <v>99.2063492063492</v>
      </c>
      <c r="G19" s="159" t="n">
        <f aca="false">IF($D$8="Hourly",F19*$D$10*$D$11,IF($D$8="Monthly",E19,IF(D19="",0,D19/$D$12)))</f>
        <v>16666.6666666667</v>
      </c>
      <c r="H19" s="159" t="n">
        <f aca="false">IF(C19="",0,C19*G19)</f>
        <v>16666.6666666667</v>
      </c>
    </row>
    <row r="20" customFormat="false" ht="15" hidden="false" customHeight="false" outlineLevel="0" collapsed="false">
      <c r="B20" s="9" t="s">
        <v>201</v>
      </c>
      <c r="C20" s="156" t="n">
        <v>2</v>
      </c>
      <c r="D20" s="158" t="n">
        <v>200000</v>
      </c>
      <c r="E20" s="159" t="n">
        <f aca="false">IF(D20="",0,D20/$D$12)</f>
        <v>16666.6666666667</v>
      </c>
      <c r="F20" s="160" t="n">
        <f aca="false">IF(D20="",0,E20/($D$10*$D$11))</f>
        <v>99.2063492063492</v>
      </c>
      <c r="G20" s="159" t="n">
        <f aca="false">IF($D$8="Hourly",F20*$D$10*$D$11,IF($D$8="Monthly",E20,IF(D20="",0,D20/$D$12)))</f>
        <v>16666.6666666667</v>
      </c>
      <c r="H20" s="159" t="n">
        <f aca="false">IF(C20="",0,C20*G20)</f>
        <v>33333.3333333333</v>
      </c>
    </row>
    <row r="21" customFormat="false" ht="15" hidden="false" customHeight="false" outlineLevel="0" collapsed="false">
      <c r="B21" s="9" t="s">
        <v>202</v>
      </c>
      <c r="C21" s="156" t="n">
        <v>1</v>
      </c>
      <c r="D21" s="158" t="n">
        <v>200000</v>
      </c>
      <c r="E21" s="159" t="n">
        <f aca="false">IF(D21="",0,D21/$D$12)</f>
        <v>16666.6666666667</v>
      </c>
      <c r="F21" s="160" t="n">
        <f aca="false">IF(D21="",0,E21/($D$10*$D$11))</f>
        <v>99.2063492063492</v>
      </c>
      <c r="G21" s="159" t="n">
        <f aca="false">IF($D$8="Hourly",F21*$D$10*$D$11,IF($D$8="Monthly",E21,IF(D21="",0,D21/$D$12)))</f>
        <v>16666.6666666667</v>
      </c>
      <c r="H21" s="159" t="n">
        <f aca="false">IF(C21="",0,C21*G21)</f>
        <v>16666.6666666667</v>
      </c>
    </row>
    <row r="22" customFormat="false" ht="15" hidden="false" customHeight="false" outlineLevel="0" collapsed="false">
      <c r="B22" s="9" t="s">
        <v>203</v>
      </c>
      <c r="C22" s="156" t="n">
        <v>1</v>
      </c>
      <c r="D22" s="158" t="n">
        <v>200000</v>
      </c>
      <c r="E22" s="159" t="n">
        <f aca="false">IF(D22="",0,D22/$D$12)</f>
        <v>16666.6666666667</v>
      </c>
      <c r="F22" s="160" t="n">
        <f aca="false">IF(D22="",0,E22/($D$10*$D$11))</f>
        <v>99.2063492063492</v>
      </c>
      <c r="G22" s="159" t="n">
        <f aca="false">IF($D$8="Hourly",F22*$D$10*$D$11,IF($D$8="Monthly",E22,IF(D22="",0,D22/$D$12)))</f>
        <v>16666.6666666667</v>
      </c>
      <c r="H22" s="159" t="n">
        <f aca="false">IF(C22="",0,C22*G22)</f>
        <v>16666.6666666667</v>
      </c>
    </row>
    <row r="23" customFormat="false" ht="15" hidden="false" customHeight="false" outlineLevel="0" collapsed="false">
      <c r="B23" s="9" t="s">
        <v>204</v>
      </c>
      <c r="C23" s="156" t="n">
        <v>1</v>
      </c>
      <c r="D23" s="158" t="n">
        <v>200000</v>
      </c>
      <c r="E23" s="159" t="n">
        <f aca="false">IF(D23="",0,D23/$D$12)</f>
        <v>16666.6666666667</v>
      </c>
      <c r="F23" s="160" t="n">
        <f aca="false">IF(D23="",0,E23/($D$10*$D$11))</f>
        <v>99.2063492063492</v>
      </c>
      <c r="G23" s="159" t="n">
        <f aca="false">IF($D$8="Hourly",F23*$D$10*$D$11,IF($D$8="Monthly",E23,IF(D23="",0,D23/$D$12)))</f>
        <v>16666.6666666667</v>
      </c>
      <c r="H23" s="159" t="n">
        <f aca="false">IF(C23="",0,C23*G23)</f>
        <v>16666.6666666667</v>
      </c>
    </row>
    <row r="24" customFormat="false" ht="15" hidden="false" customHeight="false" outlineLevel="0" collapsed="false">
      <c r="B24" s="9"/>
      <c r="C24" s="156"/>
      <c r="D24" s="158"/>
      <c r="E24" s="159" t="n">
        <f aca="false">IF(D24="",0,D24/$D$12)</f>
        <v>0</v>
      </c>
      <c r="F24" s="160" t="n">
        <f aca="false">IF(D24="",0,E24/($D$10*$D$11))</f>
        <v>0</v>
      </c>
      <c r="G24" s="159" t="n">
        <f aca="false">IF($D$8="Hourly",F24*$D$10*$D$11,IF($D$8="Monthly",E24,IF(D24="",0,D24/$D$12)))</f>
        <v>0</v>
      </c>
      <c r="H24" s="159" t="n">
        <f aca="false">IF(C24="",0,C24*G24)</f>
        <v>0</v>
      </c>
      <c r="I24" s="161" t="s">
        <v>205</v>
      </c>
    </row>
    <row r="25" customFormat="false" ht="15" hidden="false" customHeight="false" outlineLevel="0" collapsed="false">
      <c r="B25" s="9"/>
      <c r="C25" s="156"/>
      <c r="D25" s="158"/>
      <c r="E25" s="159" t="n">
        <f aca="false">IF(D25="",0,D25/$D$12)</f>
        <v>0</v>
      </c>
      <c r="F25" s="160" t="n">
        <f aca="false">IF(D25="",0,E25/($D$10*$D$11))</f>
        <v>0</v>
      </c>
      <c r="G25" s="159" t="n">
        <f aca="false">IF($D$8="Hourly",F25*$D$10*$D$11,IF($D$8="Monthly",E25,IF(D25="",0,D25/$D$12)))</f>
        <v>0</v>
      </c>
      <c r="H25" s="159" t="n">
        <f aca="false">IF(C25="",0,C25*G25)</f>
        <v>0</v>
      </c>
      <c r="I25" s="161" t="s">
        <v>205</v>
      </c>
    </row>
    <row r="26" customFormat="false" ht="15" hidden="false" customHeight="false" outlineLevel="0" collapsed="false">
      <c r="B26" s="9"/>
      <c r="C26" s="156"/>
      <c r="D26" s="158"/>
      <c r="E26" s="159" t="n">
        <f aca="false">IF(D26="",0,D26/$D$12)</f>
        <v>0</v>
      </c>
      <c r="F26" s="160" t="n">
        <f aca="false">IF(D26="",0,E26/($D$10*$D$11))</f>
        <v>0</v>
      </c>
      <c r="G26" s="159" t="n">
        <f aca="false">IF($D$8="Hourly",F26*$D$10*$D$11,IF($D$8="Monthly",E26,IF(D26="",0,D26/$D$12)))</f>
        <v>0</v>
      </c>
      <c r="H26" s="159" t="n">
        <f aca="false">IF(C26="",0,C26*G26)</f>
        <v>0</v>
      </c>
      <c r="I26" s="161" t="s">
        <v>205</v>
      </c>
    </row>
    <row r="27" customFormat="false" ht="15" hidden="false" customHeight="false" outlineLevel="0" collapsed="false">
      <c r="B27" s="3" t="s">
        <v>206</v>
      </c>
      <c r="C27" s="162" t="n">
        <f aca="false">SUM(C17:C26)</f>
        <v>8</v>
      </c>
      <c r="H27" s="159" t="n">
        <f aca="false">SUM(H17:H26)</f>
        <v>133333.333333333</v>
      </c>
    </row>
    <row r="29" customFormat="false" ht="22.35" hidden="false" customHeight="false" outlineLevel="0" collapsed="false">
      <c r="B29" s="163" t="s">
        <v>207</v>
      </c>
      <c r="G29" s="159" t="n">
        <f aca="false">IF(C27=0,0,H27/C27)</f>
        <v>16666.6666666667</v>
      </c>
      <c r="H29" s="164" t="s">
        <v>208</v>
      </c>
      <c r="I29" s="155" t="s">
        <v>209</v>
      </c>
    </row>
    <row r="30" customFormat="false" ht="15" hidden="false" customHeight="false" outlineLevel="0" collapsed="false">
      <c r="G30" s="159" t="n">
        <f aca="false">G29*$D$12</f>
        <v>200000</v>
      </c>
      <c r="H30" s="164" t="s">
        <v>210</v>
      </c>
    </row>
    <row r="31" customFormat="false" ht="15" hidden="false" customHeight="false" outlineLevel="0" collapsed="false">
      <c r="G31" s="160" t="n">
        <f aca="false">G29/($D$10*$D$11)</f>
        <v>99.2063492063492</v>
      </c>
      <c r="H31" s="164" t="s">
        <v>211</v>
      </c>
    </row>
    <row r="33" customFormat="false" ht="18" hidden="false" customHeight="true" outlineLevel="0" collapsed="false">
      <c r="B33" s="5" t="s">
        <v>212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5" customFormat="false" ht="15" hidden="false" customHeight="false" outlineLevel="0" collapsed="false">
      <c r="B35" s="165" t="s">
        <v>213</v>
      </c>
      <c r="C35" s="166" t="s">
        <v>214</v>
      </c>
      <c r="F35" s="167" t="s">
        <v>215</v>
      </c>
    </row>
    <row r="36" customFormat="false" ht="15" hidden="false" customHeight="false" outlineLevel="0" collapsed="false">
      <c r="B36" s="10" t="s">
        <v>216</v>
      </c>
      <c r="C36" s="168" t="n">
        <v>0.1</v>
      </c>
    </row>
    <row r="37" customFormat="false" ht="15" hidden="false" customHeight="false" outlineLevel="0" collapsed="false">
      <c r="B37" s="10" t="s">
        <v>217</v>
      </c>
      <c r="C37" s="168" t="n">
        <v>0.15</v>
      </c>
    </row>
    <row r="38" customFormat="false" ht="15" hidden="false" customHeight="false" outlineLevel="0" collapsed="false">
      <c r="B38" s="10" t="s">
        <v>218</v>
      </c>
      <c r="C38" s="168" t="n">
        <v>0.2</v>
      </c>
    </row>
    <row r="39" customFormat="false" ht="15" hidden="false" customHeight="false" outlineLevel="0" collapsed="false">
      <c r="B39" s="10" t="s">
        <v>219</v>
      </c>
      <c r="C39" s="168" t="n">
        <v>0.5</v>
      </c>
    </row>
    <row r="42" customFormat="false" ht="18" hidden="false" customHeight="true" outlineLevel="0" collapsed="false">
      <c r="B42" s="5" t="s">
        <v>220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4" customFormat="false" ht="45" hidden="false" customHeight="true" outlineLevel="0" collapsed="false">
      <c r="B44" s="165" t="s">
        <v>221</v>
      </c>
      <c r="C44" s="166" t="s">
        <v>222</v>
      </c>
      <c r="F44" s="155" t="s">
        <v>223</v>
      </c>
    </row>
    <row r="45" customFormat="false" ht="15" hidden="false" customHeight="false" outlineLevel="0" collapsed="false">
      <c r="B45" s="10" t="s">
        <v>224</v>
      </c>
      <c r="C45" s="168" t="n">
        <v>0</v>
      </c>
    </row>
    <row r="46" customFormat="false" ht="15" hidden="false" customHeight="false" outlineLevel="0" collapsed="false">
      <c r="B46" s="10" t="s">
        <v>225</v>
      </c>
      <c r="C46" s="168" t="n">
        <v>0</v>
      </c>
    </row>
    <row r="47" customFormat="false" ht="15" hidden="false" customHeight="false" outlineLevel="0" collapsed="false">
      <c r="B47" s="10" t="s">
        <v>226</v>
      </c>
      <c r="C47" s="168" t="n">
        <v>0</v>
      </c>
    </row>
    <row r="48" customFormat="false" ht="15" hidden="false" customHeight="false" outlineLevel="0" collapsed="false">
      <c r="B48" s="10" t="s">
        <v>227</v>
      </c>
      <c r="C48" s="168" t="n">
        <v>0</v>
      </c>
    </row>
    <row r="49" customFormat="false" ht="15" hidden="false" customHeight="false" outlineLevel="0" collapsed="false">
      <c r="B49" s="10" t="s">
        <v>228</v>
      </c>
      <c r="C49" s="168" t="n">
        <v>0</v>
      </c>
    </row>
    <row r="51" customFormat="false" ht="18" hidden="false" customHeight="true" outlineLevel="0" collapsed="false">
      <c r="B51" s="5" t="s">
        <v>229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customFormat="false" ht="91" hidden="false" customHeight="false" outlineLevel="0" collapsed="false">
      <c r="B52" s="8" t="s">
        <v>230</v>
      </c>
    </row>
    <row r="53" customFormat="false" ht="79.85" hidden="false" customHeight="false" outlineLevel="0" collapsed="false">
      <c r="B53" s="8" t="s">
        <v>231</v>
      </c>
    </row>
    <row r="54" customFormat="false" ht="91" hidden="false" customHeight="false" outlineLevel="0" collapsed="false">
      <c r="B54" s="8" t="s">
        <v>232</v>
      </c>
    </row>
    <row r="55" customFormat="false" ht="35.05" hidden="false" customHeight="false" outlineLevel="0" collapsed="false">
      <c r="B55" s="8" t="s">
        <v>233</v>
      </c>
    </row>
  </sheetData>
  <dataValidations count="1">
    <dataValidation allowBlank="false" errorStyle="stop" operator="between" showDropDown="false" showErrorMessage="false" showInputMessage="false" sqref="D8" type="list">
      <formula1>"Yearly,Monthly,Hourly"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B2:N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12" min="3" style="0" width="13"/>
  </cols>
  <sheetData>
    <row r="2" customFormat="false" ht="24" hidden="false" customHeight="true" outlineLevel="0" collapsed="false">
      <c r="B2" s="153" t="s">
        <v>234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B3" s="167" t="s">
        <v>235</v>
      </c>
    </row>
    <row r="5" customFormat="false" ht="22.35" hidden="false" customHeight="false" outlineLevel="0" collapsed="false">
      <c r="B5" s="169" t="s">
        <v>236</v>
      </c>
      <c r="C5" s="169" t="s">
        <v>237</v>
      </c>
      <c r="D5" s="169" t="s">
        <v>238</v>
      </c>
      <c r="E5" s="169" t="s">
        <v>239</v>
      </c>
      <c r="F5" s="169" t="s">
        <v>240</v>
      </c>
      <c r="G5" s="169" t="s">
        <v>241</v>
      </c>
      <c r="H5" s="169" t="s">
        <v>242</v>
      </c>
      <c r="I5" s="169" t="s">
        <v>243</v>
      </c>
      <c r="J5" s="169" t="s">
        <v>244</v>
      </c>
      <c r="K5" s="169" t="s">
        <v>245</v>
      </c>
      <c r="L5" s="169" t="s">
        <v>246</v>
      </c>
    </row>
    <row r="6" customFormat="false" ht="15" hidden="false" customHeight="false" outlineLevel="0" collapsed="false">
      <c r="B6" s="3" t="s">
        <v>247</v>
      </c>
      <c r="C6" s="170" t="n">
        <f aca="false">'SVC-1 WAVE'!$K$117</f>
        <v>12.338616184</v>
      </c>
      <c r="D6" s="170" t="n">
        <f aca="false">'SVC-1 WAVE'!$L$117</f>
        <v>0</v>
      </c>
      <c r="E6" s="170" t="n">
        <f aca="false">'SVC-1 WAVE'!$M$117</f>
        <v>2.0205930875</v>
      </c>
      <c r="F6" s="170" t="n">
        <f aca="false">'SVC-1 WAVE'!$N$117</f>
        <v>12.2494591271667</v>
      </c>
      <c r="G6" s="170" t="n">
        <f aca="false">'SVC-1 WAVE'!$O$117</f>
        <v>12.338616184</v>
      </c>
      <c r="H6" s="170" t="n">
        <f aca="false">'SVC-1 WAVE'!$P$117</f>
        <v>12.338616184</v>
      </c>
      <c r="I6" s="170" t="n">
        <f aca="false">SUM('SVC-1 WAVE'!$L$147:$P$147)</f>
        <v>1.9602</v>
      </c>
      <c r="J6" s="170" t="n">
        <f aca="false">'SVC-1 WAVE'!$P$115</f>
        <v>0.5</v>
      </c>
      <c r="K6" s="170" t="n">
        <f aca="false">'SVC-1 WAVE'!$G$168</f>
        <v>25.808830092509</v>
      </c>
      <c r="L6" s="171" t="n">
        <f aca="false">'SVC-1 WAVE'!$G$165</f>
        <v>0</v>
      </c>
    </row>
    <row r="7" customFormat="false" ht="15" hidden="false" customHeight="false" outlineLevel="0" collapsed="false">
      <c r="B7" s="3" t="s">
        <v>248</v>
      </c>
      <c r="C7" s="170" t="n">
        <f aca="false">'SVC-2 WAVE'!$K$117</f>
        <v>12.4312297585212</v>
      </c>
      <c r="D7" s="170" t="n">
        <f aca="false">'SVC-2 WAVE'!$L$117</f>
        <v>0</v>
      </c>
      <c r="E7" s="170" t="n">
        <f aca="false">'SVC-2 WAVE'!$M$117</f>
        <v>0.912498072240113</v>
      </c>
      <c r="F7" s="170" t="n">
        <f aca="false">'SVC-2 WAVE'!$N$117</f>
        <v>11.7041995928861</v>
      </c>
      <c r="G7" s="170" t="n">
        <f aca="false">'SVC-2 WAVE'!$O$117</f>
        <v>12.4312297585212</v>
      </c>
      <c r="H7" s="170" t="n">
        <f aca="false">'SVC-2 WAVE'!$P$117</f>
        <v>12.4312297585212</v>
      </c>
      <c r="I7" s="170" t="n">
        <f aca="false">SUM('SVC-2 WAVE'!$L$147:$P$147)</f>
        <v>2.5047</v>
      </c>
      <c r="J7" s="170" t="n">
        <f aca="false">'SVC-2 WAVE'!$P$115</f>
        <v>2.34</v>
      </c>
      <c r="K7" s="170" t="n">
        <f aca="false">'SVC-2 WAVE'!$G$168</f>
        <v>24.1557739363794</v>
      </c>
      <c r="L7" s="171" t="n">
        <f aca="false">'SVC-2 WAVE'!$G$165</f>
        <v>1.10906930724635</v>
      </c>
    </row>
    <row r="8" customFormat="false" ht="15" hidden="false" customHeight="false" outlineLevel="0" collapsed="false">
      <c r="B8" s="3" t="s">
        <v>249</v>
      </c>
      <c r="C8" s="170" t="n">
        <f aca="false">'SVC-3 WAVE'!$K$117</f>
        <v>29.7007394127843</v>
      </c>
      <c r="D8" s="170" t="n">
        <f aca="false">'SVC-3 WAVE'!$L$117</f>
        <v>0</v>
      </c>
      <c r="E8" s="170" t="n">
        <f aca="false">'SVC-3 WAVE'!$M$117</f>
        <v>1.93756161773202</v>
      </c>
      <c r="F8" s="170" t="n">
        <f aca="false">'SVC-3 WAVE'!$N$117</f>
        <v>27.0465111283856</v>
      </c>
      <c r="G8" s="170" t="n">
        <f aca="false">'SVC-3 WAVE'!$O$117</f>
        <v>29.7007394127843</v>
      </c>
      <c r="H8" s="170" t="n">
        <f aca="false">'SVC-3 WAVE'!$P$117</f>
        <v>29.7007394127843</v>
      </c>
      <c r="I8" s="170" t="n">
        <f aca="false">SUM('SVC-3 WAVE'!$L$147:$P$147)</f>
        <v>4.90644</v>
      </c>
      <c r="J8" s="170" t="n">
        <f aca="false">'SVC-3 WAVE'!$P$115</f>
        <v>5.55</v>
      </c>
      <c r="K8" s="170" t="n">
        <f aca="false">'SVC-3 WAVE'!$G$168</f>
        <v>57.6970133408761</v>
      </c>
      <c r="L8" s="171" t="n">
        <f aca="false">'SVC-3 WAVE'!$G$165</f>
        <v>1.08776347272128</v>
      </c>
    </row>
    <row r="9" customFormat="false" ht="15" hidden="false" customHeight="false" outlineLevel="0" collapsed="false">
      <c r="B9" s="3" t="s">
        <v>250</v>
      </c>
      <c r="C9" s="170" t="n">
        <f aca="false">'SVC-4 WAVE'!$K$117</f>
        <v>6.3044495921416</v>
      </c>
      <c r="D9" s="170" t="n">
        <f aca="false">'SVC-4 WAVE'!$L$117</f>
        <v>0</v>
      </c>
      <c r="E9" s="170" t="n">
        <f aca="false">'SVC-4 WAVE'!$M$117</f>
        <v>1.2386123980354</v>
      </c>
      <c r="F9" s="170" t="n">
        <f aca="false">'SVC-4 WAVE'!$N$117</f>
        <v>6.3044495921416</v>
      </c>
      <c r="G9" s="170" t="n">
        <f aca="false">'SVC-4 WAVE'!$O$117</f>
        <v>6.3044495921416</v>
      </c>
      <c r="H9" s="170" t="n">
        <f aca="false">'SVC-4 WAVE'!$P$117</f>
        <v>6.3044495921416</v>
      </c>
      <c r="I9" s="170" t="n">
        <f aca="false">SUM('SVC-4 WAVE'!$L$147:$P$147)</f>
        <v>3.53628</v>
      </c>
      <c r="J9" s="170" t="n">
        <f aca="false">'SVC-4 WAVE'!$P$115</f>
        <v>1.35</v>
      </c>
      <c r="K9" s="170" t="n">
        <f aca="false">'SVC-4 WAVE'!$G$168</f>
        <v>11.2755021996287</v>
      </c>
      <c r="L9" s="171" t="n">
        <f aca="false">'SVC-4 WAVE'!$G$165</f>
        <v>1.3644517365685</v>
      </c>
    </row>
    <row r="10" customFormat="false" ht="15" hidden="false" customHeight="false" outlineLevel="0" collapsed="false">
      <c r="B10" s="3" t="s">
        <v>251</v>
      </c>
      <c r="C10" s="170" t="n">
        <f aca="false">'SVC-5 WAVE'!$K$117</f>
        <v>5.55350358976987</v>
      </c>
      <c r="D10" s="170" t="n">
        <f aca="false">'SVC-5 WAVE'!$L$117</f>
        <v>0</v>
      </c>
      <c r="E10" s="170" t="n">
        <f aca="false">'SVC-5 WAVE'!$M$117</f>
        <v>0.242791965814156</v>
      </c>
      <c r="F10" s="170" t="n">
        <f aca="false">'SVC-5 WAVE'!$N$117</f>
        <v>5.01737829062238</v>
      </c>
      <c r="G10" s="170" t="n">
        <f aca="false">'SVC-5 WAVE'!$O$117</f>
        <v>5.55350358976987</v>
      </c>
      <c r="H10" s="170" t="n">
        <f aca="false">'SVC-5 WAVE'!$P$117</f>
        <v>5.55350358976987</v>
      </c>
      <c r="I10" s="170" t="n">
        <f aca="false">SUM('SVC-5 WAVE'!$L$147:$P$147)</f>
        <v>2.72052</v>
      </c>
      <c r="J10" s="170" t="n">
        <f aca="false">'SVC-5 WAVE'!$P$115</f>
        <v>1.28</v>
      </c>
      <c r="K10" s="170" t="n">
        <f aca="false">'SVC-5 WAVE'!$G$168</f>
        <v>9.17998533859444</v>
      </c>
      <c r="L10" s="171" t="n">
        <f aca="false">'SVC-5 WAVE'!$G$165</f>
        <v>1.44098511392687</v>
      </c>
    </row>
    <row r="11" customFormat="false" ht="15" hidden="false" customHeight="false" outlineLevel="0" collapsed="false">
      <c r="B11" s="3" t="s">
        <v>252</v>
      </c>
      <c r="C11" s="170" t="n">
        <f aca="false">'SVC-6 WAVE'!$K$117</f>
        <v>4.03954669300466</v>
      </c>
      <c r="D11" s="170" t="n">
        <f aca="false">'SVC-6 WAVE'!$L$117</f>
        <v>0</v>
      </c>
      <c r="E11" s="170" t="n">
        <f aca="false">'SVC-6 WAVE'!$M$117</f>
        <v>0.673257782167443</v>
      </c>
      <c r="F11" s="170" t="n">
        <f aca="false">'SVC-6 WAVE'!$N$117</f>
        <v>3.87123224746279</v>
      </c>
      <c r="G11" s="170" t="n">
        <f aca="false">'SVC-6 WAVE'!$O$117</f>
        <v>4.03954669300466</v>
      </c>
      <c r="H11" s="170" t="n">
        <f aca="false">'SVC-6 WAVE'!$P$117</f>
        <v>4.03954669300466</v>
      </c>
      <c r="I11" s="170" t="n">
        <f aca="false">SUM('SVC-6 WAVE'!$L$147:$P$147)</f>
        <v>0</v>
      </c>
      <c r="J11" s="170" t="n">
        <f aca="false">'SVC-6 WAVE'!$P$115</f>
        <v>0</v>
      </c>
      <c r="K11" s="170" t="n">
        <f aca="false">'SVC-6 WAVE'!$G$168</f>
        <v>8.88587997649227</v>
      </c>
      <c r="L11" s="171" t="n">
        <f aca="false">'SVC-6 WAVE'!$G$165</f>
        <v>0</v>
      </c>
    </row>
    <row r="12" customFormat="false" ht="15" hidden="false" customHeight="false" outlineLevel="0" collapsed="false">
      <c r="B12" s="172" t="s">
        <v>253</v>
      </c>
      <c r="C12" s="173" t="n">
        <f aca="false">SUM(C6:C11)</f>
        <v>70.3680852302216</v>
      </c>
      <c r="D12" s="173" t="n">
        <f aca="false">SUM(D6:D11)</f>
        <v>0</v>
      </c>
      <c r="E12" s="173" t="n">
        <f aca="false">SUM(E6:E11)</f>
        <v>7.02531492348914</v>
      </c>
      <c r="F12" s="173" t="n">
        <f aca="false">SUM(F6:F11)</f>
        <v>66.1932299786652</v>
      </c>
      <c r="G12" s="173" t="n">
        <f aca="false">SUM(G6:G11)</f>
        <v>70.3680852302216</v>
      </c>
      <c r="H12" s="173" t="n">
        <f aca="false">SUM(H6:H11)</f>
        <v>70.3680852302216</v>
      </c>
      <c r="I12" s="173" t="n">
        <f aca="false">SUM(I6:I11)</f>
        <v>15.62814</v>
      </c>
      <c r="J12" s="173" t="n">
        <f aca="false">SUM(J6:J11)</f>
        <v>11.02</v>
      </c>
    </row>
    <row r="14" customFormat="false" ht="15" hidden="false" customHeight="false" outlineLevel="0" collapsed="false">
      <c r="B14" s="167" t="s">
        <v>254</v>
      </c>
    </row>
    <row r="15" customFormat="false" ht="15" hidden="false" customHeight="false" outlineLevel="0" collapsed="false">
      <c r="B15" s="174" t="s">
        <v>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B2:CA1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6" topLeftCell="G7" activePane="bottomRight" state="frozen"/>
      <selection pane="topLeft" activeCell="A1" activeCellId="0" sqref="A1"/>
      <selection pane="topRight" activeCell="G1" activeCellId="0" sqref="G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4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8" min="6" style="0" width="15"/>
    <col collapsed="false" customWidth="true" hidden="false" outlineLevel="0" max="9" min="9" style="0" width="13"/>
    <col collapsed="false" customWidth="true" hidden="false" outlineLevel="0" max="10" min="10" style="0" width="2"/>
    <col collapsed="false" customWidth="true" hidden="false" outlineLevel="0" max="11" min="11" style="0" width="12"/>
    <col collapsed="false" customWidth="true" hidden="false" outlineLevel="0" max="16" min="12" style="0" width="11"/>
    <col collapsed="false" customWidth="true" hidden="false" outlineLevel="0" max="17" min="17" style="0" width="2"/>
    <col collapsed="false" customWidth="true" hidden="false" outlineLevel="0" max="18" min="18" style="0" width="60"/>
    <col collapsed="false" customWidth="true" hidden="false" outlineLevel="0" max="19" min="19" style="0" width="2"/>
    <col collapsed="false" customWidth="true" hidden="false" outlineLevel="0" max="79" min="20" style="0" width="9"/>
  </cols>
  <sheetData>
    <row r="2" customFormat="false" ht="24" hidden="false" customHeight="true" outlineLevel="0" collapsed="false">
      <c r="B2" s="153" t="s">
        <v>256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B3" s="154" t="s">
        <v>257</v>
      </c>
    </row>
    <row r="5" customFormat="false" ht="15" hidden="false" customHeight="false" outlineLevel="0" collapsed="false">
      <c r="T5" s="175" t="n">
        <v>2026</v>
      </c>
      <c r="U5" s="175" t="n">
        <v>2026</v>
      </c>
      <c r="V5" s="175" t="n">
        <v>2026</v>
      </c>
      <c r="W5" s="175" t="n">
        <v>2026</v>
      </c>
      <c r="X5" s="175" t="n">
        <v>2026</v>
      </c>
      <c r="Y5" s="175" t="n">
        <v>2026</v>
      </c>
      <c r="Z5" s="175" t="n">
        <v>2026</v>
      </c>
      <c r="AA5" s="175" t="n">
        <v>2026</v>
      </c>
      <c r="AB5" s="175" t="n">
        <v>2026</v>
      </c>
      <c r="AC5" s="175" t="n">
        <v>2026</v>
      </c>
      <c r="AD5" s="175" t="n">
        <v>2026</v>
      </c>
      <c r="AE5" s="175" t="n">
        <v>2026</v>
      </c>
      <c r="AF5" s="175" t="n">
        <v>2027</v>
      </c>
      <c r="AG5" s="175" t="n">
        <v>2027</v>
      </c>
      <c r="AH5" s="175" t="n">
        <v>2027</v>
      </c>
      <c r="AI5" s="175" t="n">
        <v>2027</v>
      </c>
      <c r="AJ5" s="175" t="n">
        <v>2027</v>
      </c>
      <c r="AK5" s="175" t="n">
        <v>2027</v>
      </c>
      <c r="AL5" s="175" t="n">
        <v>2027</v>
      </c>
      <c r="AM5" s="175" t="n">
        <v>2027</v>
      </c>
      <c r="AN5" s="175" t="n">
        <v>2027</v>
      </c>
      <c r="AO5" s="175" t="n">
        <v>2027</v>
      </c>
      <c r="AP5" s="175" t="n">
        <v>2027</v>
      </c>
      <c r="AQ5" s="175" t="n">
        <v>2027</v>
      </c>
      <c r="AR5" s="175" t="n">
        <v>2028</v>
      </c>
      <c r="AS5" s="175" t="n">
        <v>2028</v>
      </c>
      <c r="AT5" s="175" t="n">
        <v>2028</v>
      </c>
      <c r="AU5" s="175" t="n">
        <v>2028</v>
      </c>
      <c r="AV5" s="175" t="n">
        <v>2028</v>
      </c>
      <c r="AW5" s="175" t="n">
        <v>2028</v>
      </c>
      <c r="AX5" s="175" t="n">
        <v>2028</v>
      </c>
      <c r="AY5" s="175" t="n">
        <v>2028</v>
      </c>
      <c r="AZ5" s="175" t="n">
        <v>2028</v>
      </c>
      <c r="BA5" s="175" t="n">
        <v>2028</v>
      </c>
      <c r="BB5" s="175" t="n">
        <v>2028</v>
      </c>
      <c r="BC5" s="175" t="n">
        <v>2028</v>
      </c>
      <c r="BD5" s="175" t="n">
        <v>2029</v>
      </c>
      <c r="BE5" s="175" t="n">
        <v>2029</v>
      </c>
      <c r="BF5" s="175" t="n">
        <v>2029</v>
      </c>
      <c r="BG5" s="175" t="n">
        <v>2029</v>
      </c>
      <c r="BH5" s="175" t="n">
        <v>2029</v>
      </c>
      <c r="BI5" s="175" t="n">
        <v>2029</v>
      </c>
      <c r="BJ5" s="175" t="n">
        <v>2029</v>
      </c>
      <c r="BK5" s="175" t="n">
        <v>2029</v>
      </c>
      <c r="BL5" s="175" t="n">
        <v>2029</v>
      </c>
      <c r="BM5" s="175" t="n">
        <v>2029</v>
      </c>
      <c r="BN5" s="175" t="n">
        <v>2029</v>
      </c>
      <c r="BO5" s="175" t="n">
        <v>2029</v>
      </c>
      <c r="BP5" s="175" t="n">
        <v>2030</v>
      </c>
      <c r="BQ5" s="175" t="n">
        <v>2030</v>
      </c>
      <c r="BR5" s="175" t="n">
        <v>2030</v>
      </c>
      <c r="BS5" s="175" t="n">
        <v>2030</v>
      </c>
      <c r="BT5" s="175" t="n">
        <v>2030</v>
      </c>
      <c r="BU5" s="175" t="n">
        <v>2030</v>
      </c>
      <c r="BV5" s="175" t="n">
        <v>2030</v>
      </c>
      <c r="BW5" s="175" t="n">
        <v>2030</v>
      </c>
      <c r="BX5" s="175" t="n">
        <v>2030</v>
      </c>
      <c r="BY5" s="175" t="n">
        <v>2030</v>
      </c>
      <c r="BZ5" s="175" t="n">
        <v>2030</v>
      </c>
      <c r="CA5" s="175" t="n">
        <v>2030</v>
      </c>
    </row>
    <row r="6" customFormat="false" ht="15" hidden="false" customHeight="false" outlineLevel="0" collapsed="false">
      <c r="B6" s="161" t="s">
        <v>258</v>
      </c>
      <c r="K6" s="176" t="s">
        <v>259</v>
      </c>
      <c r="L6" s="176" t="n">
        <v>2026</v>
      </c>
      <c r="M6" s="176" t="n">
        <v>2027</v>
      </c>
      <c r="N6" s="176" t="n">
        <v>2028</v>
      </c>
      <c r="O6" s="176" t="n">
        <v>2029</v>
      </c>
      <c r="P6" s="176" t="n">
        <v>2030</v>
      </c>
      <c r="T6" s="177" t="n">
        <f aca="false">DATE(2026,1,31)</f>
        <v>46053</v>
      </c>
      <c r="U6" s="177" t="n">
        <f aca="false">EOMONTH(T6,1)</f>
        <v>46081</v>
      </c>
      <c r="V6" s="177" t="n">
        <f aca="false">EOMONTH(U6,1)</f>
        <v>46112</v>
      </c>
      <c r="W6" s="177" t="n">
        <f aca="false">EOMONTH(V6,1)</f>
        <v>46142</v>
      </c>
      <c r="X6" s="177" t="n">
        <f aca="false">EOMONTH(W6,1)</f>
        <v>46173</v>
      </c>
      <c r="Y6" s="177" t="n">
        <f aca="false">EOMONTH(X6,1)</f>
        <v>46203</v>
      </c>
      <c r="Z6" s="177" t="n">
        <f aca="false">EOMONTH(Y6,1)</f>
        <v>46234</v>
      </c>
      <c r="AA6" s="177" t="n">
        <f aca="false">EOMONTH(Z6,1)</f>
        <v>46265</v>
      </c>
      <c r="AB6" s="177" t="n">
        <f aca="false">EOMONTH(AA6,1)</f>
        <v>46295</v>
      </c>
      <c r="AC6" s="177" t="n">
        <f aca="false">EOMONTH(AB6,1)</f>
        <v>46326</v>
      </c>
      <c r="AD6" s="177" t="n">
        <f aca="false">EOMONTH(AC6,1)</f>
        <v>46356</v>
      </c>
      <c r="AE6" s="177" t="n">
        <f aca="false">EOMONTH(AD6,1)</f>
        <v>46387</v>
      </c>
      <c r="AF6" s="177" t="n">
        <f aca="false">EOMONTH(AE6,1)</f>
        <v>46418</v>
      </c>
      <c r="AG6" s="177" t="n">
        <f aca="false">EOMONTH(AF6,1)</f>
        <v>46446</v>
      </c>
      <c r="AH6" s="177" t="n">
        <f aca="false">EOMONTH(AG6,1)</f>
        <v>46477</v>
      </c>
      <c r="AI6" s="177" t="n">
        <f aca="false">EOMONTH(AH6,1)</f>
        <v>46507</v>
      </c>
      <c r="AJ6" s="177" t="n">
        <f aca="false">EOMONTH(AI6,1)</f>
        <v>46538</v>
      </c>
      <c r="AK6" s="177" t="n">
        <f aca="false">EOMONTH(AJ6,1)</f>
        <v>46568</v>
      </c>
      <c r="AL6" s="177" t="n">
        <f aca="false">EOMONTH(AK6,1)</f>
        <v>46599</v>
      </c>
      <c r="AM6" s="177" t="n">
        <f aca="false">EOMONTH(AL6,1)</f>
        <v>46630</v>
      </c>
      <c r="AN6" s="177" t="n">
        <f aca="false">EOMONTH(AM6,1)</f>
        <v>46660</v>
      </c>
      <c r="AO6" s="177" t="n">
        <f aca="false">EOMONTH(AN6,1)</f>
        <v>46691</v>
      </c>
      <c r="AP6" s="177" t="n">
        <f aca="false">EOMONTH(AO6,1)</f>
        <v>46721</v>
      </c>
      <c r="AQ6" s="177" t="n">
        <f aca="false">EOMONTH(AP6,1)</f>
        <v>46752</v>
      </c>
      <c r="AR6" s="177" t="n">
        <f aca="false">EOMONTH(AQ6,1)</f>
        <v>46783</v>
      </c>
      <c r="AS6" s="177" t="n">
        <f aca="false">EOMONTH(AR6,1)</f>
        <v>46812</v>
      </c>
      <c r="AT6" s="177" t="n">
        <f aca="false">EOMONTH(AS6,1)</f>
        <v>46843</v>
      </c>
      <c r="AU6" s="177" t="n">
        <f aca="false">EOMONTH(AT6,1)</f>
        <v>46873</v>
      </c>
      <c r="AV6" s="177" t="n">
        <f aca="false">EOMONTH(AU6,1)</f>
        <v>46904</v>
      </c>
      <c r="AW6" s="177" t="n">
        <f aca="false">EOMONTH(AV6,1)</f>
        <v>46934</v>
      </c>
      <c r="AX6" s="177" t="n">
        <f aca="false">EOMONTH(AW6,1)</f>
        <v>46965</v>
      </c>
      <c r="AY6" s="177" t="n">
        <f aca="false">EOMONTH(AX6,1)</f>
        <v>46996</v>
      </c>
      <c r="AZ6" s="177" t="n">
        <f aca="false">EOMONTH(AY6,1)</f>
        <v>47026</v>
      </c>
      <c r="BA6" s="177" t="n">
        <f aca="false">EOMONTH(AZ6,1)</f>
        <v>47057</v>
      </c>
      <c r="BB6" s="177" t="n">
        <f aca="false">EOMONTH(BA6,1)</f>
        <v>47087</v>
      </c>
      <c r="BC6" s="177" t="n">
        <f aca="false">EOMONTH(BB6,1)</f>
        <v>47118</v>
      </c>
      <c r="BD6" s="177" t="n">
        <f aca="false">EOMONTH(BC6,1)</f>
        <v>47149</v>
      </c>
      <c r="BE6" s="177" t="n">
        <f aca="false">EOMONTH(BD6,1)</f>
        <v>47177</v>
      </c>
      <c r="BF6" s="177" t="n">
        <f aca="false">EOMONTH(BE6,1)</f>
        <v>47208</v>
      </c>
      <c r="BG6" s="177" t="n">
        <f aca="false">EOMONTH(BF6,1)</f>
        <v>47238</v>
      </c>
      <c r="BH6" s="177" t="n">
        <f aca="false">EOMONTH(BG6,1)</f>
        <v>47269</v>
      </c>
      <c r="BI6" s="177" t="n">
        <f aca="false">EOMONTH(BH6,1)</f>
        <v>47299</v>
      </c>
      <c r="BJ6" s="177" t="n">
        <f aca="false">EOMONTH(BI6,1)</f>
        <v>47330</v>
      </c>
      <c r="BK6" s="177" t="n">
        <f aca="false">EOMONTH(BJ6,1)</f>
        <v>47361</v>
      </c>
      <c r="BL6" s="177" t="n">
        <f aca="false">EOMONTH(BK6,1)</f>
        <v>47391</v>
      </c>
      <c r="BM6" s="177" t="n">
        <f aca="false">EOMONTH(BL6,1)</f>
        <v>47422</v>
      </c>
      <c r="BN6" s="177" t="n">
        <f aca="false">EOMONTH(BM6,1)</f>
        <v>47452</v>
      </c>
      <c r="BO6" s="177" t="n">
        <f aca="false">EOMONTH(BN6,1)</f>
        <v>47483</v>
      </c>
      <c r="BP6" s="177" t="n">
        <f aca="false">EOMONTH(BO6,1)</f>
        <v>47514</v>
      </c>
      <c r="BQ6" s="177" t="n">
        <f aca="false">EOMONTH(BP6,1)</f>
        <v>47542</v>
      </c>
      <c r="BR6" s="177" t="n">
        <f aca="false">EOMONTH(BQ6,1)</f>
        <v>47573</v>
      </c>
      <c r="BS6" s="177" t="n">
        <f aca="false">EOMONTH(BR6,1)</f>
        <v>47603</v>
      </c>
      <c r="BT6" s="177" t="n">
        <f aca="false">EOMONTH(BS6,1)</f>
        <v>47634</v>
      </c>
      <c r="BU6" s="177" t="n">
        <f aca="false">EOMONTH(BT6,1)</f>
        <v>47664</v>
      </c>
      <c r="BV6" s="177" t="n">
        <f aca="false">EOMONTH(BU6,1)</f>
        <v>47695</v>
      </c>
      <c r="BW6" s="177" t="n">
        <f aca="false">EOMONTH(BV6,1)</f>
        <v>47726</v>
      </c>
      <c r="BX6" s="177" t="n">
        <f aca="false">EOMONTH(BW6,1)</f>
        <v>47756</v>
      </c>
      <c r="BY6" s="177" t="n">
        <f aca="false">EOMONTH(BX6,1)</f>
        <v>47787</v>
      </c>
      <c r="BZ6" s="177" t="n">
        <f aca="false">EOMONTH(BY6,1)</f>
        <v>47817</v>
      </c>
      <c r="CA6" s="177" t="n">
        <f aca="false">EOMONTH(BZ6,1)</f>
        <v>47848</v>
      </c>
    </row>
    <row r="8" customFormat="false" ht="18" hidden="false" customHeight="true" outlineLevel="0" collapsed="false">
      <c r="B8" s="5" t="s">
        <v>260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10" customFormat="false" ht="15" hidden="false" customHeight="false" outlineLevel="0" collapsed="false">
      <c r="B10" s="10" t="s">
        <v>261</v>
      </c>
      <c r="D10" s="9" t="s">
        <v>262</v>
      </c>
      <c r="E10" s="9"/>
      <c r="F10" s="9"/>
      <c r="G10" s="9"/>
      <c r="H10" s="9"/>
    </row>
    <row r="11" customFormat="false" ht="22.35" hidden="false" customHeight="false" outlineLevel="0" collapsed="false">
      <c r="B11" s="10" t="s">
        <v>263</v>
      </c>
      <c r="D11" s="9" t="s">
        <v>264</v>
      </c>
      <c r="E11" s="9"/>
      <c r="F11" s="9"/>
      <c r="G11" s="9"/>
      <c r="H11" s="9"/>
      <c r="I11" s="155" t="s">
        <v>265</v>
      </c>
    </row>
    <row r="12" customFormat="false" ht="15" hidden="false" customHeight="false" outlineLevel="0" collapsed="false">
      <c r="B12" s="10" t="s">
        <v>132</v>
      </c>
      <c r="D12" s="9" t="s">
        <v>266</v>
      </c>
      <c r="E12" s="9"/>
      <c r="F12" s="9"/>
      <c r="G12" s="9"/>
      <c r="H12" s="9"/>
    </row>
    <row r="13" customFormat="false" ht="22.35" hidden="false" customHeight="false" outlineLevel="0" collapsed="false">
      <c r="B13" s="3" t="s">
        <v>267</v>
      </c>
      <c r="D13" s="178" t="n">
        <f aca="false">DATE(2027,8,1)</f>
        <v>46600</v>
      </c>
      <c r="I13" s="155" t="s">
        <v>268</v>
      </c>
    </row>
    <row r="15" customFormat="false" ht="15" hidden="false" customHeight="false" outlineLevel="0" collapsed="false">
      <c r="B15" s="167" t="s">
        <v>269</v>
      </c>
    </row>
    <row r="16" customFormat="false" ht="15" hidden="false" customHeight="false" outlineLevel="0" collapsed="false">
      <c r="B16" s="167" t="s">
        <v>270</v>
      </c>
    </row>
    <row r="17" customFormat="false" ht="15" hidden="false" customHeight="false" outlineLevel="0" collapsed="false">
      <c r="B17" s="179" t="s">
        <v>271</v>
      </c>
    </row>
    <row r="18" customFormat="false" ht="15" hidden="false" customHeight="false" outlineLevel="0" collapsed="false">
      <c r="B18" s="180" t="s">
        <v>272</v>
      </c>
    </row>
    <row r="19" customFormat="false" ht="15" hidden="false" customHeight="false" outlineLevel="0" collapsed="false">
      <c r="B19" s="180" t="s">
        <v>273</v>
      </c>
    </row>
    <row r="20" customFormat="false" ht="15" hidden="false" customHeight="false" outlineLevel="0" collapsed="false">
      <c r="B20" s="180" t="s">
        <v>274</v>
      </c>
    </row>
    <row r="22" customFormat="false" ht="18" hidden="false" customHeight="true" outlineLevel="0" collapsed="false">
      <c r="B22" s="5" t="s">
        <v>275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4" customFormat="false" ht="15" hidden="false" customHeight="false" outlineLevel="0" collapsed="false">
      <c r="B24" s="181" t="s">
        <v>276</v>
      </c>
    </row>
    <row r="25" customFormat="false" ht="252.2" hidden="false" customHeight="false" outlineLevel="0" collapsed="false">
      <c r="B25" s="182" t="s">
        <v>277</v>
      </c>
      <c r="D25" s="158" t="n">
        <v>156024536.4</v>
      </c>
      <c r="E25" s="167" t="s">
        <v>278</v>
      </c>
      <c r="F25" s="155" t="s">
        <v>279</v>
      </c>
    </row>
    <row r="26" customFormat="false" ht="15" hidden="false" customHeight="false" outlineLevel="0" collapsed="false">
      <c r="B26" s="181" t="s">
        <v>280</v>
      </c>
    </row>
    <row r="27" customFormat="false" ht="15" hidden="false" customHeight="false" outlineLevel="0" collapsed="false">
      <c r="B27" s="182" t="s">
        <v>281</v>
      </c>
      <c r="D27" s="168" t="n">
        <v>0.08</v>
      </c>
      <c r="E27" s="167" t="s">
        <v>282</v>
      </c>
      <c r="F27" s="155" t="s">
        <v>283</v>
      </c>
    </row>
    <row r="28" customFormat="false" ht="15" hidden="false" customHeight="false" outlineLevel="0" collapsed="false">
      <c r="B28" s="182" t="s">
        <v>284</v>
      </c>
      <c r="D28" s="168" t="n">
        <v>0.1</v>
      </c>
      <c r="E28" s="167" t="s">
        <v>282</v>
      </c>
      <c r="F28" s="155" t="s">
        <v>285</v>
      </c>
    </row>
    <row r="29" customFormat="false" ht="22.35" hidden="false" customHeight="false" outlineLevel="0" collapsed="false">
      <c r="B29" s="182" t="s">
        <v>286</v>
      </c>
      <c r="D29" s="183" t="n">
        <v>2</v>
      </c>
      <c r="E29" s="167" t="s">
        <v>287</v>
      </c>
      <c r="F29" s="155" t="s">
        <v>288</v>
      </c>
    </row>
    <row r="30" customFormat="false" ht="15" hidden="false" customHeight="false" outlineLevel="0" collapsed="false">
      <c r="B30" s="182" t="s">
        <v>289</v>
      </c>
      <c r="D30" s="158" t="n">
        <v>180000</v>
      </c>
      <c r="E30" s="167" t="s">
        <v>290</v>
      </c>
      <c r="F30" s="155" t="s">
        <v>291</v>
      </c>
    </row>
    <row r="31" customFormat="false" ht="15" hidden="false" customHeight="false" outlineLevel="0" collapsed="false">
      <c r="B31" s="182" t="s">
        <v>292</v>
      </c>
      <c r="D31" s="9"/>
    </row>
    <row r="32" customFormat="false" ht="15" hidden="false" customHeight="false" outlineLevel="0" collapsed="false">
      <c r="B32" s="182" t="s">
        <v>292</v>
      </c>
      <c r="D32" s="9"/>
    </row>
    <row r="34" customFormat="false" ht="15" hidden="false" customHeight="false" outlineLevel="0" collapsed="false">
      <c r="B34" s="184" t="s">
        <v>293</v>
      </c>
    </row>
    <row r="35" customFormat="false" ht="25.5" hidden="false" customHeight="true" outlineLevel="0" collapsed="false">
      <c r="B35" s="169" t="s">
        <v>294</v>
      </c>
      <c r="D35" s="169" t="s">
        <v>295</v>
      </c>
      <c r="F35" s="169" t="s">
        <v>296</v>
      </c>
      <c r="H35" s="169" t="s">
        <v>297</v>
      </c>
      <c r="J35" s="169" t="s">
        <v>298</v>
      </c>
      <c r="K35" s="169" t="s">
        <v>299</v>
      </c>
      <c r="M35" s="185" t="s">
        <v>300</v>
      </c>
    </row>
    <row r="36" customFormat="false" ht="15" hidden="false" customHeight="false" outlineLevel="0" collapsed="false">
      <c r="B36" s="186" t="s">
        <v>301</v>
      </c>
      <c r="D36" s="158" t="n">
        <v>15982019.63</v>
      </c>
      <c r="F36" s="187" t="n">
        <v>0.2</v>
      </c>
      <c r="H36" s="159" t="n">
        <f aca="false">D36*F36</f>
        <v>3196403.926</v>
      </c>
      <c r="J36" s="183" t="n">
        <v>738.162</v>
      </c>
      <c r="K36" s="188" t="n">
        <f aca="false">J36*F36</f>
        <v>147.6324</v>
      </c>
      <c r="M36" s="189" t="s">
        <v>302</v>
      </c>
    </row>
    <row r="37" customFormat="false" ht="15" hidden="false" customHeight="false" outlineLevel="0" collapsed="false">
      <c r="B37" s="186" t="s">
        <v>303</v>
      </c>
      <c r="D37" s="158" t="n">
        <v>84197499.77</v>
      </c>
      <c r="F37" s="187" t="n">
        <v>0.1</v>
      </c>
      <c r="H37" s="159" t="n">
        <f aca="false">D37*F37</f>
        <v>8419749.977</v>
      </c>
      <c r="J37" s="183" t="n">
        <v>3579.664</v>
      </c>
      <c r="K37" s="188" t="n">
        <f aca="false">J37*F37</f>
        <v>357.9664</v>
      </c>
      <c r="M37" s="189" t="s">
        <v>304</v>
      </c>
    </row>
    <row r="38" customFormat="false" ht="15" hidden="false" customHeight="false" outlineLevel="0" collapsed="false">
      <c r="B38" s="186" t="s">
        <v>305</v>
      </c>
      <c r="D38" s="158" t="n">
        <v>24449245.62</v>
      </c>
      <c r="F38" s="187" t="n">
        <v>0.05</v>
      </c>
      <c r="H38" s="159" t="n">
        <f aca="false">D38*F38</f>
        <v>1222462.281</v>
      </c>
      <c r="J38" s="183" t="n">
        <v>705.871</v>
      </c>
      <c r="K38" s="188" t="n">
        <f aca="false">J38*F38</f>
        <v>35.29355</v>
      </c>
      <c r="M38" s="189" t="s">
        <v>306</v>
      </c>
    </row>
    <row r="39" customFormat="false" ht="15" hidden="false" customHeight="false" outlineLevel="0" collapsed="false">
      <c r="B39" s="186" t="s">
        <v>307</v>
      </c>
      <c r="D39" s="158" t="n">
        <v>31395771.38</v>
      </c>
      <c r="F39" s="187" t="n">
        <v>0</v>
      </c>
      <c r="H39" s="159" t="n">
        <f aca="false">D39*F39</f>
        <v>0</v>
      </c>
      <c r="J39" s="183" t="n">
        <v>897.612</v>
      </c>
      <c r="K39" s="188" t="n">
        <f aca="false">J39*F39</f>
        <v>0</v>
      </c>
      <c r="M39" s="189" t="s">
        <v>308</v>
      </c>
    </row>
    <row r="40" customFormat="false" ht="15" hidden="false" customHeight="false" outlineLevel="0" collapsed="false">
      <c r="B40" s="3" t="s">
        <v>309</v>
      </c>
      <c r="D40" s="159" t="n">
        <f aca="false">SUM(D36:D39)</f>
        <v>156024536.4</v>
      </c>
      <c r="H40" s="159" t="n">
        <f aca="false">SUM(H36:H39)</f>
        <v>12838616.184</v>
      </c>
      <c r="J40" s="188" t="n">
        <f aca="false">SUM(J36:J39)</f>
        <v>5921.309</v>
      </c>
      <c r="K40" s="188" t="n">
        <f aca="false">SUM(K36:K39)</f>
        <v>540.89235</v>
      </c>
    </row>
    <row r="42" customFormat="false" ht="18" hidden="false" customHeight="true" outlineLevel="0" collapsed="false">
      <c r="B42" s="5" t="s">
        <v>310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4" customFormat="false" ht="22.35" hidden="false" customHeight="false" outlineLevel="0" collapsed="false">
      <c r="B44" s="182" t="s">
        <v>311</v>
      </c>
      <c r="D44" s="159" t="n">
        <f aca="false">$H$40</f>
        <v>12838616.184</v>
      </c>
      <c r="E44" s="167" t="s">
        <v>278</v>
      </c>
      <c r="F44" s="155" t="s">
        <v>312</v>
      </c>
    </row>
    <row r="45" customFormat="false" ht="15" hidden="false" customHeight="false" outlineLevel="0" collapsed="false">
      <c r="B45" s="182" t="s">
        <v>313</v>
      </c>
      <c r="D45" s="188" t="n">
        <f aca="false">$K$40</f>
        <v>540.89235</v>
      </c>
      <c r="E45" s="167" t="s">
        <v>287</v>
      </c>
      <c r="F45" s="155" t="s">
        <v>314</v>
      </c>
    </row>
    <row r="46" customFormat="false" ht="15" hidden="false" customHeight="false" outlineLevel="0" collapsed="false">
      <c r="B46" s="182" t="s">
        <v>315</v>
      </c>
      <c r="D46" s="159" t="n">
        <f aca="false">$D$25-$D$44</f>
        <v>143185920.216</v>
      </c>
      <c r="E46" s="167" t="s">
        <v>278</v>
      </c>
      <c r="F46" s="155" t="s">
        <v>316</v>
      </c>
    </row>
    <row r="48" customFormat="false" ht="18" hidden="false" customHeight="true" outlineLevel="0" collapsed="false">
      <c r="B48" s="5" t="s">
        <v>317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50" customFormat="false" ht="53.7" hidden="false" customHeight="false" outlineLevel="0" collapsed="false">
      <c r="B50" s="3" t="s">
        <v>318</v>
      </c>
      <c r="D50" s="156" t="n">
        <v>6</v>
      </c>
      <c r="F50" s="155" t="s">
        <v>319</v>
      </c>
    </row>
    <row r="51" customFormat="false" ht="15" hidden="false" customHeight="false" outlineLevel="0" collapsed="false">
      <c r="B51" s="10" t="s">
        <v>320</v>
      </c>
      <c r="T51" s="190" t="n">
        <f aca="false">MIN(1,MAX(0,((YEAR(T$6)-YEAR($D$13))*12+MONTH(T$6)-MONTH($D$13)+0.5)/MAX($D$50,0.5)))</f>
        <v>0</v>
      </c>
      <c r="U51" s="190" t="n">
        <f aca="false">MIN(1,MAX(0,((YEAR(U$6)-YEAR($D$13))*12+MONTH(U$6)-MONTH($D$13)+0.5)/MAX($D$50,0.5)))</f>
        <v>0</v>
      </c>
      <c r="V51" s="190" t="n">
        <f aca="false">MIN(1,MAX(0,((YEAR(V$6)-YEAR($D$13))*12+MONTH(V$6)-MONTH($D$13)+0.5)/MAX($D$50,0.5)))</f>
        <v>0</v>
      </c>
      <c r="W51" s="190" t="n">
        <f aca="false">MIN(1,MAX(0,((YEAR(W$6)-YEAR($D$13))*12+MONTH(W$6)-MONTH($D$13)+0.5)/MAX($D$50,0.5)))</f>
        <v>0</v>
      </c>
      <c r="X51" s="190" t="n">
        <f aca="false">MIN(1,MAX(0,((YEAR(X$6)-YEAR($D$13))*12+MONTH(X$6)-MONTH($D$13)+0.5)/MAX($D$50,0.5)))</f>
        <v>0</v>
      </c>
      <c r="Y51" s="190" t="n">
        <f aca="false">MIN(1,MAX(0,((YEAR(Y$6)-YEAR($D$13))*12+MONTH(Y$6)-MONTH($D$13)+0.5)/MAX($D$50,0.5)))</f>
        <v>0</v>
      </c>
      <c r="Z51" s="190" t="n">
        <f aca="false">MIN(1,MAX(0,((YEAR(Z$6)-YEAR($D$13))*12+MONTH(Z$6)-MONTH($D$13)+0.5)/MAX($D$50,0.5)))</f>
        <v>0</v>
      </c>
      <c r="AA51" s="190" t="n">
        <f aca="false">MIN(1,MAX(0,((YEAR(AA$6)-YEAR($D$13))*12+MONTH(AA$6)-MONTH($D$13)+0.5)/MAX($D$50,0.5)))</f>
        <v>0</v>
      </c>
      <c r="AB51" s="190" t="n">
        <f aca="false">MIN(1,MAX(0,((YEAR(AB$6)-YEAR($D$13))*12+MONTH(AB$6)-MONTH($D$13)+0.5)/MAX($D$50,0.5)))</f>
        <v>0</v>
      </c>
      <c r="AC51" s="190" t="n">
        <f aca="false">MIN(1,MAX(0,((YEAR(AC$6)-YEAR($D$13))*12+MONTH(AC$6)-MONTH($D$13)+0.5)/MAX($D$50,0.5)))</f>
        <v>0</v>
      </c>
      <c r="AD51" s="190" t="n">
        <f aca="false">MIN(1,MAX(0,((YEAR(AD$6)-YEAR($D$13))*12+MONTH(AD$6)-MONTH($D$13)+0.5)/MAX($D$50,0.5)))</f>
        <v>0</v>
      </c>
      <c r="AE51" s="190" t="n">
        <f aca="false">MIN(1,MAX(0,((YEAR(AE$6)-YEAR($D$13))*12+MONTH(AE$6)-MONTH($D$13)+0.5)/MAX($D$50,0.5)))</f>
        <v>0</v>
      </c>
      <c r="AF51" s="190" t="n">
        <f aca="false">MIN(1,MAX(0,((YEAR(AF$6)-YEAR($D$13))*12+MONTH(AF$6)-MONTH($D$13)+0.5)/MAX($D$50,0.5)))</f>
        <v>0</v>
      </c>
      <c r="AG51" s="190" t="n">
        <f aca="false">MIN(1,MAX(0,((YEAR(AG$6)-YEAR($D$13))*12+MONTH(AG$6)-MONTH($D$13)+0.5)/MAX($D$50,0.5)))</f>
        <v>0</v>
      </c>
      <c r="AH51" s="190" t="n">
        <f aca="false">MIN(1,MAX(0,((YEAR(AH$6)-YEAR($D$13))*12+MONTH(AH$6)-MONTH($D$13)+0.5)/MAX($D$50,0.5)))</f>
        <v>0</v>
      </c>
      <c r="AI51" s="190" t="n">
        <f aca="false">MIN(1,MAX(0,((YEAR(AI$6)-YEAR($D$13))*12+MONTH(AI$6)-MONTH($D$13)+0.5)/MAX($D$50,0.5)))</f>
        <v>0</v>
      </c>
      <c r="AJ51" s="190" t="n">
        <f aca="false">MIN(1,MAX(0,((YEAR(AJ$6)-YEAR($D$13))*12+MONTH(AJ$6)-MONTH($D$13)+0.5)/MAX($D$50,0.5)))</f>
        <v>0</v>
      </c>
      <c r="AK51" s="190" t="n">
        <f aca="false">MIN(1,MAX(0,((YEAR(AK$6)-YEAR($D$13))*12+MONTH(AK$6)-MONTH($D$13)+0.5)/MAX($D$50,0.5)))</f>
        <v>0</v>
      </c>
      <c r="AL51" s="190" t="n">
        <f aca="false">MIN(1,MAX(0,((YEAR(AL$6)-YEAR($D$13))*12+MONTH(AL$6)-MONTH($D$13)+0.5)/MAX($D$50,0.5)))</f>
        <v>0</v>
      </c>
      <c r="AM51" s="190" t="n">
        <f aca="false">MIN(1,MAX(0,((YEAR(AM$6)-YEAR($D$13))*12+MONTH(AM$6)-MONTH($D$13)+0.5)/MAX($D$50,0.5)))</f>
        <v>0.0833333333333333</v>
      </c>
      <c r="AN51" s="190" t="n">
        <f aca="false">MIN(1,MAX(0,((YEAR(AN$6)-YEAR($D$13))*12+MONTH(AN$6)-MONTH($D$13)+0.5)/MAX($D$50,0.5)))</f>
        <v>0.25</v>
      </c>
      <c r="AO51" s="190" t="n">
        <f aca="false">MIN(1,MAX(0,((YEAR(AO$6)-YEAR($D$13))*12+MONTH(AO$6)-MONTH($D$13)+0.5)/MAX($D$50,0.5)))</f>
        <v>0.416666666666667</v>
      </c>
      <c r="AP51" s="190" t="n">
        <f aca="false">MIN(1,MAX(0,((YEAR(AP$6)-YEAR($D$13))*12+MONTH(AP$6)-MONTH($D$13)+0.5)/MAX($D$50,0.5)))</f>
        <v>0.583333333333333</v>
      </c>
      <c r="AQ51" s="190" t="n">
        <f aca="false">MIN(1,MAX(0,((YEAR(AQ$6)-YEAR($D$13))*12+MONTH(AQ$6)-MONTH($D$13)+0.5)/MAX($D$50,0.5)))</f>
        <v>0.75</v>
      </c>
      <c r="AR51" s="190" t="n">
        <f aca="false">MIN(1,MAX(0,((YEAR(AR$6)-YEAR($D$13))*12+MONTH(AR$6)-MONTH($D$13)+0.5)/MAX($D$50,0.5)))</f>
        <v>0.916666666666667</v>
      </c>
      <c r="AS51" s="190" t="n">
        <f aca="false">MIN(1,MAX(0,((YEAR(AS$6)-YEAR($D$13))*12+MONTH(AS$6)-MONTH($D$13)+0.5)/MAX($D$50,0.5)))</f>
        <v>1</v>
      </c>
      <c r="AT51" s="190" t="n">
        <f aca="false">MIN(1,MAX(0,((YEAR(AT$6)-YEAR($D$13))*12+MONTH(AT$6)-MONTH($D$13)+0.5)/MAX($D$50,0.5)))</f>
        <v>1</v>
      </c>
      <c r="AU51" s="190" t="n">
        <f aca="false">MIN(1,MAX(0,((YEAR(AU$6)-YEAR($D$13))*12+MONTH(AU$6)-MONTH($D$13)+0.5)/MAX($D$50,0.5)))</f>
        <v>1</v>
      </c>
      <c r="AV51" s="190" t="n">
        <f aca="false">MIN(1,MAX(0,((YEAR(AV$6)-YEAR($D$13))*12+MONTH(AV$6)-MONTH($D$13)+0.5)/MAX($D$50,0.5)))</f>
        <v>1</v>
      </c>
      <c r="AW51" s="190" t="n">
        <f aca="false">MIN(1,MAX(0,((YEAR(AW$6)-YEAR($D$13))*12+MONTH(AW$6)-MONTH($D$13)+0.5)/MAX($D$50,0.5)))</f>
        <v>1</v>
      </c>
      <c r="AX51" s="190" t="n">
        <f aca="false">MIN(1,MAX(0,((YEAR(AX$6)-YEAR($D$13))*12+MONTH(AX$6)-MONTH($D$13)+0.5)/MAX($D$50,0.5)))</f>
        <v>1</v>
      </c>
      <c r="AY51" s="190" t="n">
        <f aca="false">MIN(1,MAX(0,((YEAR(AY$6)-YEAR($D$13))*12+MONTH(AY$6)-MONTH($D$13)+0.5)/MAX($D$50,0.5)))</f>
        <v>1</v>
      </c>
      <c r="AZ51" s="190" t="n">
        <f aca="false">MIN(1,MAX(0,((YEAR(AZ$6)-YEAR($D$13))*12+MONTH(AZ$6)-MONTH($D$13)+0.5)/MAX($D$50,0.5)))</f>
        <v>1</v>
      </c>
      <c r="BA51" s="190" t="n">
        <f aca="false">MIN(1,MAX(0,((YEAR(BA$6)-YEAR($D$13))*12+MONTH(BA$6)-MONTH($D$13)+0.5)/MAX($D$50,0.5)))</f>
        <v>1</v>
      </c>
      <c r="BB51" s="190" t="n">
        <f aca="false">MIN(1,MAX(0,((YEAR(BB$6)-YEAR($D$13))*12+MONTH(BB$6)-MONTH($D$13)+0.5)/MAX($D$50,0.5)))</f>
        <v>1</v>
      </c>
      <c r="BC51" s="190" t="n">
        <f aca="false">MIN(1,MAX(0,((YEAR(BC$6)-YEAR($D$13))*12+MONTH(BC$6)-MONTH($D$13)+0.5)/MAX($D$50,0.5)))</f>
        <v>1</v>
      </c>
      <c r="BD51" s="190" t="n">
        <f aca="false">MIN(1,MAX(0,((YEAR(BD$6)-YEAR($D$13))*12+MONTH(BD$6)-MONTH($D$13)+0.5)/MAX($D$50,0.5)))</f>
        <v>1</v>
      </c>
      <c r="BE51" s="190" t="n">
        <f aca="false">MIN(1,MAX(0,((YEAR(BE$6)-YEAR($D$13))*12+MONTH(BE$6)-MONTH($D$13)+0.5)/MAX($D$50,0.5)))</f>
        <v>1</v>
      </c>
      <c r="BF51" s="190" t="n">
        <f aca="false">MIN(1,MAX(0,((YEAR(BF$6)-YEAR($D$13))*12+MONTH(BF$6)-MONTH($D$13)+0.5)/MAX($D$50,0.5)))</f>
        <v>1</v>
      </c>
      <c r="BG51" s="190" t="n">
        <f aca="false">MIN(1,MAX(0,((YEAR(BG$6)-YEAR($D$13))*12+MONTH(BG$6)-MONTH($D$13)+0.5)/MAX($D$50,0.5)))</f>
        <v>1</v>
      </c>
      <c r="BH51" s="190" t="n">
        <f aca="false">MIN(1,MAX(0,((YEAR(BH$6)-YEAR($D$13))*12+MONTH(BH$6)-MONTH($D$13)+0.5)/MAX($D$50,0.5)))</f>
        <v>1</v>
      </c>
      <c r="BI51" s="190" t="n">
        <f aca="false">MIN(1,MAX(0,((YEAR(BI$6)-YEAR($D$13))*12+MONTH(BI$6)-MONTH($D$13)+0.5)/MAX($D$50,0.5)))</f>
        <v>1</v>
      </c>
      <c r="BJ51" s="190" t="n">
        <f aca="false">MIN(1,MAX(0,((YEAR(BJ$6)-YEAR($D$13))*12+MONTH(BJ$6)-MONTH($D$13)+0.5)/MAX($D$50,0.5)))</f>
        <v>1</v>
      </c>
      <c r="BK51" s="190" t="n">
        <f aca="false">MIN(1,MAX(0,((YEAR(BK$6)-YEAR($D$13))*12+MONTH(BK$6)-MONTH($D$13)+0.5)/MAX($D$50,0.5)))</f>
        <v>1</v>
      </c>
      <c r="BL51" s="190" t="n">
        <f aca="false">MIN(1,MAX(0,((YEAR(BL$6)-YEAR($D$13))*12+MONTH(BL$6)-MONTH($D$13)+0.5)/MAX($D$50,0.5)))</f>
        <v>1</v>
      </c>
      <c r="BM51" s="190" t="n">
        <f aca="false">MIN(1,MAX(0,((YEAR(BM$6)-YEAR($D$13))*12+MONTH(BM$6)-MONTH($D$13)+0.5)/MAX($D$50,0.5)))</f>
        <v>1</v>
      </c>
      <c r="BN51" s="190" t="n">
        <f aca="false">MIN(1,MAX(0,((YEAR(BN$6)-YEAR($D$13))*12+MONTH(BN$6)-MONTH($D$13)+0.5)/MAX($D$50,0.5)))</f>
        <v>1</v>
      </c>
      <c r="BO51" s="190" t="n">
        <f aca="false">MIN(1,MAX(0,((YEAR(BO$6)-YEAR($D$13))*12+MONTH(BO$6)-MONTH($D$13)+0.5)/MAX($D$50,0.5)))</f>
        <v>1</v>
      </c>
      <c r="BP51" s="190" t="n">
        <f aca="false">MIN(1,MAX(0,((YEAR(BP$6)-YEAR($D$13))*12+MONTH(BP$6)-MONTH($D$13)+0.5)/MAX($D$50,0.5)))</f>
        <v>1</v>
      </c>
      <c r="BQ51" s="190" t="n">
        <f aca="false">MIN(1,MAX(0,((YEAR(BQ$6)-YEAR($D$13))*12+MONTH(BQ$6)-MONTH($D$13)+0.5)/MAX($D$50,0.5)))</f>
        <v>1</v>
      </c>
      <c r="BR51" s="190" t="n">
        <f aca="false">MIN(1,MAX(0,((YEAR(BR$6)-YEAR($D$13))*12+MONTH(BR$6)-MONTH($D$13)+0.5)/MAX($D$50,0.5)))</f>
        <v>1</v>
      </c>
      <c r="BS51" s="190" t="n">
        <f aca="false">MIN(1,MAX(0,((YEAR(BS$6)-YEAR($D$13))*12+MONTH(BS$6)-MONTH($D$13)+0.5)/MAX($D$50,0.5)))</f>
        <v>1</v>
      </c>
      <c r="BT51" s="190" t="n">
        <f aca="false">MIN(1,MAX(0,((YEAR(BT$6)-YEAR($D$13))*12+MONTH(BT$6)-MONTH($D$13)+0.5)/MAX($D$50,0.5)))</f>
        <v>1</v>
      </c>
      <c r="BU51" s="190" t="n">
        <f aca="false">MIN(1,MAX(0,((YEAR(BU$6)-YEAR($D$13))*12+MONTH(BU$6)-MONTH($D$13)+0.5)/MAX($D$50,0.5)))</f>
        <v>1</v>
      </c>
      <c r="BV51" s="190" t="n">
        <f aca="false">MIN(1,MAX(0,((YEAR(BV$6)-YEAR($D$13))*12+MONTH(BV$6)-MONTH($D$13)+0.5)/MAX($D$50,0.5)))</f>
        <v>1</v>
      </c>
      <c r="BW51" s="190" t="n">
        <f aca="false">MIN(1,MAX(0,((YEAR(BW$6)-YEAR($D$13))*12+MONTH(BW$6)-MONTH($D$13)+0.5)/MAX($D$50,0.5)))</f>
        <v>1</v>
      </c>
      <c r="BX51" s="190" t="n">
        <f aca="false">MIN(1,MAX(0,((YEAR(BX$6)-YEAR($D$13))*12+MONTH(BX$6)-MONTH($D$13)+0.5)/MAX($D$50,0.5)))</f>
        <v>1</v>
      </c>
      <c r="BY51" s="190" t="n">
        <f aca="false">MIN(1,MAX(0,((YEAR(BY$6)-YEAR($D$13))*12+MONTH(BY$6)-MONTH($D$13)+0.5)/MAX($D$50,0.5)))</f>
        <v>1</v>
      </c>
      <c r="BZ51" s="190" t="n">
        <f aca="false">MIN(1,MAX(0,((YEAR(BZ$6)-YEAR($D$13))*12+MONTH(BZ$6)-MONTH($D$13)+0.5)/MAX($D$50,0.5)))</f>
        <v>1</v>
      </c>
      <c r="CA51" s="190" t="n">
        <f aca="false">MIN(1,MAX(0,((YEAR(CA$6)-YEAR($D$13))*12+MONTH(CA$6)-MONTH($D$13)+0.5)/MAX($D$50,0.5)))</f>
        <v>1</v>
      </c>
    </row>
    <row r="52" customFormat="false" ht="15" hidden="false" customHeight="false" outlineLevel="0" collapsed="false">
      <c r="B52" s="10" t="s">
        <v>321</v>
      </c>
      <c r="L52" s="190" t="n">
        <f aca="false">SUMIFS($T51:$CA51,$T$5:$CA$5,2026)/12</f>
        <v>0</v>
      </c>
      <c r="M52" s="190" t="n">
        <f aca="false">SUMIFS($T51:$CA51,$T$5:$CA$5,2027)/12</f>
        <v>0.173611111111111</v>
      </c>
      <c r="N52" s="190" t="n">
        <f aca="false">SUMIFS($T51:$CA51,$T$5:$CA$5,2028)/12</f>
        <v>0.993055555555556</v>
      </c>
      <c r="O52" s="190" t="n">
        <f aca="false">SUMIFS($T51:$CA51,$T$5:$CA$5,2029)/12</f>
        <v>1</v>
      </c>
      <c r="P52" s="190" t="n">
        <f aca="false">SUMIFS($T51:$CA51,$T$5:$CA$5,2030)/12</f>
        <v>1</v>
      </c>
    </row>
    <row r="54" customFormat="false" ht="18" hidden="false" customHeight="true" outlineLevel="0" collapsed="false">
      <c r="B54" s="5" t="s">
        <v>322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6" customFormat="false" ht="15" hidden="false" customHeight="false" outlineLevel="0" collapsed="false">
      <c r="B56" s="191" t="s">
        <v>323</v>
      </c>
      <c r="D56" s="169" t="s">
        <v>324</v>
      </c>
      <c r="K56" s="192" t="s">
        <v>259</v>
      </c>
    </row>
    <row r="57" customFormat="false" ht="15" hidden="false" customHeight="false" outlineLevel="0" collapsed="false">
      <c r="B57" s="10" t="s">
        <v>325</v>
      </c>
      <c r="D57" s="193" t="n">
        <f aca="false">$D$25/1000000</f>
        <v>156.0245364</v>
      </c>
      <c r="K57" s="193" t="n">
        <f aca="false">SUMIFS($T57:$CA57,$T$5:$CA$5,2030)</f>
        <v>12.838616184</v>
      </c>
      <c r="L57" s="193" t="n">
        <f aca="false">SUMIFS($T57:$CA57,$T$5:$CA$5,2026)</f>
        <v>0</v>
      </c>
      <c r="M57" s="193" t="n">
        <f aca="false">SUMIFS($T57:$CA57,$T$5:$CA$5,2027)</f>
        <v>2.22892642083333</v>
      </c>
      <c r="N57" s="193" t="n">
        <f aca="false">SUMIFS($T57:$CA57,$T$5:$CA$5,2028)</f>
        <v>12.7494591271667</v>
      </c>
      <c r="O57" s="193" t="n">
        <f aca="false">SUMIFS($T57:$CA57,$T$5:$CA$5,2029)</f>
        <v>12.838616184</v>
      </c>
      <c r="P57" s="193" t="n">
        <f aca="false">SUMIFS($T57:$CA57,$T$5:$CA$5,2030)</f>
        <v>12.838616184</v>
      </c>
      <c r="R57" s="10"/>
      <c r="T57" s="193" t="n">
        <f aca="false">($D$44)/1000000/12*T$51</f>
        <v>0</v>
      </c>
      <c r="U57" s="193" t="n">
        <f aca="false">($D$44)/1000000/12*U$51</f>
        <v>0</v>
      </c>
      <c r="V57" s="193" t="n">
        <f aca="false">($D$44)/1000000/12*V$51</f>
        <v>0</v>
      </c>
      <c r="W57" s="193" t="n">
        <f aca="false">($D$44)/1000000/12*W$51</f>
        <v>0</v>
      </c>
      <c r="X57" s="193" t="n">
        <f aca="false">($D$44)/1000000/12*X$51</f>
        <v>0</v>
      </c>
      <c r="Y57" s="193" t="n">
        <f aca="false">($D$44)/1000000/12*Y$51</f>
        <v>0</v>
      </c>
      <c r="Z57" s="193" t="n">
        <f aca="false">($D$44)/1000000/12*Z$51</f>
        <v>0</v>
      </c>
      <c r="AA57" s="193" t="n">
        <f aca="false">($D$44)/1000000/12*AA$51</f>
        <v>0</v>
      </c>
      <c r="AB57" s="193" t="n">
        <f aca="false">($D$44)/1000000/12*AB$51</f>
        <v>0</v>
      </c>
      <c r="AC57" s="193" t="n">
        <f aca="false">($D$44)/1000000/12*AC$51</f>
        <v>0</v>
      </c>
      <c r="AD57" s="193" t="n">
        <f aca="false">($D$44)/1000000/12*AD$51</f>
        <v>0</v>
      </c>
      <c r="AE57" s="193" t="n">
        <f aca="false">($D$44)/1000000/12*AE$51</f>
        <v>0</v>
      </c>
      <c r="AF57" s="193" t="n">
        <f aca="false">($D$44)/1000000/12*AF$51</f>
        <v>0</v>
      </c>
      <c r="AG57" s="193" t="n">
        <f aca="false">($D$44)/1000000/12*AG$51</f>
        <v>0</v>
      </c>
      <c r="AH57" s="193" t="n">
        <f aca="false">($D$44)/1000000/12*AH$51</f>
        <v>0</v>
      </c>
      <c r="AI57" s="193" t="n">
        <f aca="false">($D$44)/1000000/12*AI$51</f>
        <v>0</v>
      </c>
      <c r="AJ57" s="193" t="n">
        <f aca="false">($D$44)/1000000/12*AJ$51</f>
        <v>0</v>
      </c>
      <c r="AK57" s="193" t="n">
        <f aca="false">($D$44)/1000000/12*AK$51</f>
        <v>0</v>
      </c>
      <c r="AL57" s="193" t="n">
        <f aca="false">($D$44)/1000000/12*AL$51</f>
        <v>0</v>
      </c>
      <c r="AM57" s="193" t="n">
        <f aca="false">($D$44)/1000000/12*AM$51</f>
        <v>0.0891570568333333</v>
      </c>
      <c r="AN57" s="193" t="n">
        <f aca="false">($D$44)/1000000/12*AN$51</f>
        <v>0.2674711705</v>
      </c>
      <c r="AO57" s="193" t="n">
        <f aca="false">($D$44)/1000000/12*AO$51</f>
        <v>0.445785284166667</v>
      </c>
      <c r="AP57" s="193" t="n">
        <f aca="false">($D$44)/1000000/12*AP$51</f>
        <v>0.624099397833334</v>
      </c>
      <c r="AQ57" s="193" t="n">
        <f aca="false">($D$44)/1000000/12*AQ$51</f>
        <v>0.8024135115</v>
      </c>
      <c r="AR57" s="193" t="n">
        <f aca="false">($D$44)/1000000/12*AR$51</f>
        <v>0.980727625166667</v>
      </c>
      <c r="AS57" s="193" t="n">
        <f aca="false">($D$44)/1000000/12*AS$51</f>
        <v>1.069884682</v>
      </c>
      <c r="AT57" s="193" t="n">
        <f aca="false">($D$44)/1000000/12*AT$51</f>
        <v>1.069884682</v>
      </c>
      <c r="AU57" s="193" t="n">
        <f aca="false">($D$44)/1000000/12*AU$51</f>
        <v>1.069884682</v>
      </c>
      <c r="AV57" s="193" t="n">
        <f aca="false">($D$44)/1000000/12*AV$51</f>
        <v>1.069884682</v>
      </c>
      <c r="AW57" s="193" t="n">
        <f aca="false">($D$44)/1000000/12*AW$51</f>
        <v>1.069884682</v>
      </c>
      <c r="AX57" s="193" t="n">
        <f aca="false">($D$44)/1000000/12*AX$51</f>
        <v>1.069884682</v>
      </c>
      <c r="AY57" s="193" t="n">
        <f aca="false">($D$44)/1000000/12*AY$51</f>
        <v>1.069884682</v>
      </c>
      <c r="AZ57" s="193" t="n">
        <f aca="false">($D$44)/1000000/12*AZ$51</f>
        <v>1.069884682</v>
      </c>
      <c r="BA57" s="193" t="n">
        <f aca="false">($D$44)/1000000/12*BA$51</f>
        <v>1.069884682</v>
      </c>
      <c r="BB57" s="193" t="n">
        <f aca="false">($D$44)/1000000/12*BB$51</f>
        <v>1.069884682</v>
      </c>
      <c r="BC57" s="193" t="n">
        <f aca="false">($D$44)/1000000/12*BC$51</f>
        <v>1.069884682</v>
      </c>
      <c r="BD57" s="193" t="n">
        <f aca="false">($D$44)/1000000/12*BD$51</f>
        <v>1.069884682</v>
      </c>
      <c r="BE57" s="193" t="n">
        <f aca="false">($D$44)/1000000/12*BE$51</f>
        <v>1.069884682</v>
      </c>
      <c r="BF57" s="193" t="n">
        <f aca="false">($D$44)/1000000/12*BF$51</f>
        <v>1.069884682</v>
      </c>
      <c r="BG57" s="193" t="n">
        <f aca="false">($D$44)/1000000/12*BG$51</f>
        <v>1.069884682</v>
      </c>
      <c r="BH57" s="193" t="n">
        <f aca="false">($D$44)/1000000/12*BH$51</f>
        <v>1.069884682</v>
      </c>
      <c r="BI57" s="193" t="n">
        <f aca="false">($D$44)/1000000/12*BI$51</f>
        <v>1.069884682</v>
      </c>
      <c r="BJ57" s="193" t="n">
        <f aca="false">($D$44)/1000000/12*BJ$51</f>
        <v>1.069884682</v>
      </c>
      <c r="BK57" s="193" t="n">
        <f aca="false">($D$44)/1000000/12*BK$51</f>
        <v>1.069884682</v>
      </c>
      <c r="BL57" s="193" t="n">
        <f aca="false">($D$44)/1000000/12*BL$51</f>
        <v>1.069884682</v>
      </c>
      <c r="BM57" s="193" t="n">
        <f aca="false">($D$44)/1000000/12*BM$51</f>
        <v>1.069884682</v>
      </c>
      <c r="BN57" s="193" t="n">
        <f aca="false">($D$44)/1000000/12*BN$51</f>
        <v>1.069884682</v>
      </c>
      <c r="BO57" s="193" t="n">
        <f aca="false">($D$44)/1000000/12*BO$51</f>
        <v>1.069884682</v>
      </c>
      <c r="BP57" s="193" t="n">
        <f aca="false">($D$44)/1000000/12*BP$51</f>
        <v>1.069884682</v>
      </c>
      <c r="BQ57" s="193" t="n">
        <f aca="false">($D$44)/1000000/12*BQ$51</f>
        <v>1.069884682</v>
      </c>
      <c r="BR57" s="193" t="n">
        <f aca="false">($D$44)/1000000/12*BR$51</f>
        <v>1.069884682</v>
      </c>
      <c r="BS57" s="193" t="n">
        <f aca="false">($D$44)/1000000/12*BS$51</f>
        <v>1.069884682</v>
      </c>
      <c r="BT57" s="193" t="n">
        <f aca="false">($D$44)/1000000/12*BT$51</f>
        <v>1.069884682</v>
      </c>
      <c r="BU57" s="193" t="n">
        <f aca="false">($D$44)/1000000/12*BU$51</f>
        <v>1.069884682</v>
      </c>
      <c r="BV57" s="193" t="n">
        <f aca="false">($D$44)/1000000/12*BV$51</f>
        <v>1.069884682</v>
      </c>
      <c r="BW57" s="193" t="n">
        <f aca="false">($D$44)/1000000/12*BW$51</f>
        <v>1.069884682</v>
      </c>
      <c r="BX57" s="193" t="n">
        <f aca="false">($D$44)/1000000/12*BX$51</f>
        <v>1.069884682</v>
      </c>
      <c r="BY57" s="193" t="n">
        <f aca="false">($D$44)/1000000/12*BY$51</f>
        <v>1.069884682</v>
      </c>
      <c r="BZ57" s="193" t="n">
        <f aca="false">($D$44)/1000000/12*BZ$51</f>
        <v>1.069884682</v>
      </c>
      <c r="CA57" s="193" t="n">
        <f aca="false">($D$44)/1000000/12*CA$51</f>
        <v>1.069884682</v>
      </c>
    </row>
    <row r="58" customFormat="false" ht="15" hidden="false" customHeight="false" outlineLevel="0" collapsed="false">
      <c r="B58" s="3" t="s">
        <v>326</v>
      </c>
      <c r="K58" s="193" t="n">
        <f aca="false">SUM(K57:K57)</f>
        <v>12.838616184</v>
      </c>
      <c r="L58" s="193" t="n">
        <f aca="false">SUM(L57:L57)</f>
        <v>0</v>
      </c>
      <c r="M58" s="193" t="n">
        <f aca="false">SUM(M57:M57)</f>
        <v>2.22892642083333</v>
      </c>
      <c r="N58" s="193" t="n">
        <f aca="false">SUM(N57:N57)</f>
        <v>12.7494591271667</v>
      </c>
      <c r="O58" s="193" t="n">
        <f aca="false">SUM(O57:O57)</f>
        <v>12.838616184</v>
      </c>
      <c r="P58" s="193" t="n">
        <f aca="false">SUM(P57:P57)</f>
        <v>12.838616184</v>
      </c>
    </row>
    <row r="60" customFormat="false" ht="18" hidden="false" customHeight="true" outlineLevel="0" collapsed="false">
      <c r="B60" s="5" t="s">
        <v>327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2" customFormat="false" ht="22.35" hidden="false" customHeight="false" outlineLevel="0" collapsed="false">
      <c r="B62" s="169" t="s">
        <v>221</v>
      </c>
      <c r="C62" s="169" t="s">
        <v>328</v>
      </c>
      <c r="D62" s="169" t="s">
        <v>329</v>
      </c>
      <c r="E62" s="169" t="s">
        <v>330</v>
      </c>
      <c r="F62" s="169" t="s">
        <v>331</v>
      </c>
      <c r="G62" s="169" t="s">
        <v>332</v>
      </c>
      <c r="H62" s="169" t="s">
        <v>333</v>
      </c>
      <c r="I62" s="169" t="s">
        <v>334</v>
      </c>
      <c r="K62" s="169" t="s">
        <v>335</v>
      </c>
    </row>
    <row r="63" customFormat="false" ht="30" hidden="false" customHeight="true" outlineLevel="0" collapsed="false">
      <c r="C63" s="185" t="s">
        <v>336</v>
      </c>
      <c r="E63" s="185" t="s">
        <v>337</v>
      </c>
      <c r="F63" s="185" t="s">
        <v>338</v>
      </c>
      <c r="G63" s="185" t="s">
        <v>339</v>
      </c>
      <c r="I63" s="185" t="s">
        <v>340</v>
      </c>
    </row>
    <row r="64" customFormat="false" ht="42" hidden="false" customHeight="true" outlineLevel="0" collapsed="false">
      <c r="B64" s="186" t="s">
        <v>224</v>
      </c>
      <c r="C64" s="194" t="s">
        <v>341</v>
      </c>
      <c r="D64" s="183" t="n">
        <v>4</v>
      </c>
      <c r="E64" s="183" t="n">
        <v>2</v>
      </c>
      <c r="F64" s="168" t="n">
        <v>0.1</v>
      </c>
      <c r="G64" s="159" t="n">
        <f aca="false">D64*E64*IF(K64="",'Rate Card'!$G$29,K64)*(1+F64)</f>
        <v>146666.666666667</v>
      </c>
      <c r="H64" s="178" t="n">
        <f aca="false">DATE(2027,1,1)</f>
        <v>46388</v>
      </c>
      <c r="I64" s="195" t="n">
        <f aca="false">'Rate Card'!$C$45</f>
        <v>0</v>
      </c>
      <c r="K64" s="158"/>
    </row>
    <row r="65" customFormat="false" ht="42" hidden="false" customHeight="true" outlineLevel="0" collapsed="false">
      <c r="B65" s="186" t="s">
        <v>225</v>
      </c>
      <c r="C65" s="194" t="s">
        <v>342</v>
      </c>
      <c r="D65" s="183" t="n">
        <v>8</v>
      </c>
      <c r="E65" s="183" t="n">
        <v>5</v>
      </c>
      <c r="F65" s="168" t="n">
        <v>0.1</v>
      </c>
      <c r="G65" s="159" t="n">
        <f aca="false">D65*E65*IF(K65="",'Rate Card'!$G$29,K65)*(1+F65)</f>
        <v>733333.333333334</v>
      </c>
      <c r="H65" s="178" t="n">
        <f aca="false">DATE(2027,3,1)</f>
        <v>46447</v>
      </c>
      <c r="I65" s="195" t="n">
        <f aca="false">'Rate Card'!$C$46</f>
        <v>0</v>
      </c>
      <c r="K65" s="158"/>
    </row>
    <row r="66" customFormat="false" ht="42" hidden="false" customHeight="true" outlineLevel="0" collapsed="false">
      <c r="B66" s="186" t="s">
        <v>226</v>
      </c>
      <c r="C66" s="194" t="s">
        <v>343</v>
      </c>
      <c r="D66" s="183" t="n">
        <v>5</v>
      </c>
      <c r="E66" s="183" t="n">
        <v>6</v>
      </c>
      <c r="F66" s="168" t="n">
        <v>0.1</v>
      </c>
      <c r="G66" s="159" t="n">
        <f aca="false">D66*E66*IF(K66="",'Rate Card'!$G$29,K66)*(1+F66)</f>
        <v>550000</v>
      </c>
      <c r="H66" s="178" t="n">
        <f aca="false">DATE(2027,8,1)</f>
        <v>46600</v>
      </c>
      <c r="I66" s="195" t="n">
        <f aca="false">'Rate Card'!$C$47</f>
        <v>0</v>
      </c>
      <c r="K66" s="158"/>
    </row>
    <row r="67" customFormat="false" ht="42" hidden="false" customHeight="true" outlineLevel="0" collapsed="false">
      <c r="B67" s="186" t="s">
        <v>227</v>
      </c>
      <c r="C67" s="194" t="s">
        <v>344</v>
      </c>
      <c r="D67" s="183" t="n">
        <v>0</v>
      </c>
      <c r="E67" s="183" t="n">
        <v>0</v>
      </c>
      <c r="F67" s="168" t="n">
        <v>0.1</v>
      </c>
      <c r="G67" s="159" t="n">
        <f aca="false">D67*E67*IF(K67="",'Rate Card'!$G$29,K67)*(1+F67)</f>
        <v>0</v>
      </c>
      <c r="H67" s="178" t="n">
        <f aca="false">DATE(2028,2,1)</f>
        <v>46784</v>
      </c>
      <c r="I67" s="195" t="n">
        <f aca="false">'Rate Card'!$C$48</f>
        <v>0</v>
      </c>
      <c r="K67" s="158"/>
    </row>
    <row r="69" customFormat="false" ht="15" hidden="false" customHeight="false" outlineLevel="0" collapsed="false">
      <c r="B69" s="167" t="s">
        <v>345</v>
      </c>
    </row>
    <row r="70" customFormat="false" ht="15" hidden="false" customHeight="false" outlineLevel="0" collapsed="false">
      <c r="B70" s="196" t="s">
        <v>346</v>
      </c>
      <c r="T70" s="159" t="n">
        <f aca="false">IF(AND(T$6&gt;=EOMONTH($H$64,0),T$6&lt;=EOMONTH(EDATE($H$64,$E$64-1),0)),$G$64/MAX($E$64,1),0)</f>
        <v>0</v>
      </c>
      <c r="U70" s="159" t="n">
        <f aca="false">IF(AND(U$6&gt;=EOMONTH($H$64,0),U$6&lt;=EOMONTH(EDATE($H$64,$E$64-1),0)),$G$64/MAX($E$64,1),0)</f>
        <v>0</v>
      </c>
      <c r="V70" s="159" t="n">
        <f aca="false">IF(AND(V$6&gt;=EOMONTH($H$64,0),V$6&lt;=EOMONTH(EDATE($H$64,$E$64-1),0)),$G$64/MAX($E$64,1),0)</f>
        <v>0</v>
      </c>
      <c r="W70" s="159" t="n">
        <f aca="false">IF(AND(W$6&gt;=EOMONTH($H$64,0),W$6&lt;=EOMONTH(EDATE($H$64,$E$64-1),0)),$G$64/MAX($E$64,1),0)</f>
        <v>0</v>
      </c>
      <c r="X70" s="159" t="n">
        <f aca="false">IF(AND(X$6&gt;=EOMONTH($H$64,0),X$6&lt;=EOMONTH(EDATE($H$64,$E$64-1),0)),$G$64/MAX($E$64,1),0)</f>
        <v>0</v>
      </c>
      <c r="Y70" s="159" t="n">
        <f aca="false">IF(AND(Y$6&gt;=EOMONTH($H$64,0),Y$6&lt;=EOMONTH(EDATE($H$64,$E$64-1),0)),$G$64/MAX($E$64,1),0)</f>
        <v>0</v>
      </c>
      <c r="Z70" s="159" t="n">
        <f aca="false">IF(AND(Z$6&gt;=EOMONTH($H$64,0),Z$6&lt;=EOMONTH(EDATE($H$64,$E$64-1),0)),$G$64/MAX($E$64,1),0)</f>
        <v>0</v>
      </c>
      <c r="AA70" s="159" t="n">
        <f aca="false">IF(AND(AA$6&gt;=EOMONTH($H$64,0),AA$6&lt;=EOMONTH(EDATE($H$64,$E$64-1),0)),$G$64/MAX($E$64,1),0)</f>
        <v>0</v>
      </c>
      <c r="AB70" s="159" t="n">
        <f aca="false">IF(AND(AB$6&gt;=EOMONTH($H$64,0),AB$6&lt;=EOMONTH(EDATE($H$64,$E$64-1),0)),$G$64/MAX($E$64,1),0)</f>
        <v>0</v>
      </c>
      <c r="AC70" s="159" t="n">
        <f aca="false">IF(AND(AC$6&gt;=EOMONTH($H$64,0),AC$6&lt;=EOMONTH(EDATE($H$64,$E$64-1),0)),$G$64/MAX($E$64,1),0)</f>
        <v>0</v>
      </c>
      <c r="AD70" s="159" t="n">
        <f aca="false">IF(AND(AD$6&gt;=EOMONTH($H$64,0),AD$6&lt;=EOMONTH(EDATE($H$64,$E$64-1),0)),$G$64/MAX($E$64,1),0)</f>
        <v>0</v>
      </c>
      <c r="AE70" s="159" t="n">
        <f aca="false">IF(AND(AE$6&gt;=EOMONTH($H$64,0),AE$6&lt;=EOMONTH(EDATE($H$64,$E$64-1),0)),$G$64/MAX($E$64,1),0)</f>
        <v>0</v>
      </c>
      <c r="AF70" s="159" t="n">
        <f aca="false">IF(AND(AF$6&gt;=EOMONTH($H$64,0),AF$6&lt;=EOMONTH(EDATE($H$64,$E$64-1),0)),$G$64/MAX($E$64,1),0)</f>
        <v>73333.3333333333</v>
      </c>
      <c r="AG70" s="159" t="n">
        <f aca="false">IF(AND(AG$6&gt;=EOMONTH($H$64,0),AG$6&lt;=EOMONTH(EDATE($H$64,$E$64-1),0)),$G$64/MAX($E$64,1),0)</f>
        <v>73333.3333333333</v>
      </c>
      <c r="AH70" s="159" t="n">
        <f aca="false">IF(AND(AH$6&gt;=EOMONTH($H$64,0),AH$6&lt;=EOMONTH(EDATE($H$64,$E$64-1),0)),$G$64/MAX($E$64,1),0)</f>
        <v>0</v>
      </c>
      <c r="AI70" s="159" t="n">
        <f aca="false">IF(AND(AI$6&gt;=EOMONTH($H$64,0),AI$6&lt;=EOMONTH(EDATE($H$64,$E$64-1),0)),$G$64/MAX($E$64,1),0)</f>
        <v>0</v>
      </c>
      <c r="AJ70" s="159" t="n">
        <f aca="false">IF(AND(AJ$6&gt;=EOMONTH($H$64,0),AJ$6&lt;=EOMONTH(EDATE($H$64,$E$64-1),0)),$G$64/MAX($E$64,1),0)</f>
        <v>0</v>
      </c>
      <c r="AK70" s="159" t="n">
        <f aca="false">IF(AND(AK$6&gt;=EOMONTH($H$64,0),AK$6&lt;=EOMONTH(EDATE($H$64,$E$64-1),0)),$G$64/MAX($E$64,1),0)</f>
        <v>0</v>
      </c>
      <c r="AL70" s="159" t="n">
        <f aca="false">IF(AND(AL$6&gt;=EOMONTH($H$64,0),AL$6&lt;=EOMONTH(EDATE($H$64,$E$64-1),0)),$G$64/MAX($E$64,1),0)</f>
        <v>0</v>
      </c>
      <c r="AM70" s="159" t="n">
        <f aca="false">IF(AND(AM$6&gt;=EOMONTH($H$64,0),AM$6&lt;=EOMONTH(EDATE($H$64,$E$64-1),0)),$G$64/MAX($E$64,1),0)</f>
        <v>0</v>
      </c>
      <c r="AN70" s="159" t="n">
        <f aca="false">IF(AND(AN$6&gt;=EOMONTH($H$64,0),AN$6&lt;=EOMONTH(EDATE($H$64,$E$64-1),0)),$G$64/MAX($E$64,1),0)</f>
        <v>0</v>
      </c>
      <c r="AO70" s="159" t="n">
        <f aca="false">IF(AND(AO$6&gt;=EOMONTH($H$64,0),AO$6&lt;=EOMONTH(EDATE($H$64,$E$64-1),0)),$G$64/MAX($E$64,1),0)</f>
        <v>0</v>
      </c>
      <c r="AP70" s="159" t="n">
        <f aca="false">IF(AND(AP$6&gt;=EOMONTH($H$64,0),AP$6&lt;=EOMONTH(EDATE($H$64,$E$64-1),0)),$G$64/MAX($E$64,1),0)</f>
        <v>0</v>
      </c>
      <c r="AQ70" s="159" t="n">
        <f aca="false">IF(AND(AQ$6&gt;=EOMONTH($H$64,0),AQ$6&lt;=EOMONTH(EDATE($H$64,$E$64-1),0)),$G$64/MAX($E$64,1),0)</f>
        <v>0</v>
      </c>
      <c r="AR70" s="159" t="n">
        <f aca="false">IF(AND(AR$6&gt;=EOMONTH($H$64,0),AR$6&lt;=EOMONTH(EDATE($H$64,$E$64-1),0)),$G$64/MAX($E$64,1),0)</f>
        <v>0</v>
      </c>
      <c r="AS70" s="159" t="n">
        <f aca="false">IF(AND(AS$6&gt;=EOMONTH($H$64,0),AS$6&lt;=EOMONTH(EDATE($H$64,$E$64-1),0)),$G$64/MAX($E$64,1),0)</f>
        <v>0</v>
      </c>
      <c r="AT70" s="159" t="n">
        <f aca="false">IF(AND(AT$6&gt;=EOMONTH($H$64,0),AT$6&lt;=EOMONTH(EDATE($H$64,$E$64-1),0)),$G$64/MAX($E$64,1),0)</f>
        <v>0</v>
      </c>
      <c r="AU70" s="159" t="n">
        <f aca="false">IF(AND(AU$6&gt;=EOMONTH($H$64,0),AU$6&lt;=EOMONTH(EDATE($H$64,$E$64-1),0)),$G$64/MAX($E$64,1),0)</f>
        <v>0</v>
      </c>
      <c r="AV70" s="159" t="n">
        <f aca="false">IF(AND(AV$6&gt;=EOMONTH($H$64,0),AV$6&lt;=EOMONTH(EDATE($H$64,$E$64-1),0)),$G$64/MAX($E$64,1),0)</f>
        <v>0</v>
      </c>
      <c r="AW70" s="159" t="n">
        <f aca="false">IF(AND(AW$6&gt;=EOMONTH($H$64,0),AW$6&lt;=EOMONTH(EDATE($H$64,$E$64-1),0)),$G$64/MAX($E$64,1),0)</f>
        <v>0</v>
      </c>
      <c r="AX70" s="159" t="n">
        <f aca="false">IF(AND(AX$6&gt;=EOMONTH($H$64,0),AX$6&lt;=EOMONTH(EDATE($H$64,$E$64-1),0)),$G$64/MAX($E$64,1),0)</f>
        <v>0</v>
      </c>
      <c r="AY70" s="159" t="n">
        <f aca="false">IF(AND(AY$6&gt;=EOMONTH($H$64,0),AY$6&lt;=EOMONTH(EDATE($H$64,$E$64-1),0)),$G$64/MAX($E$64,1),0)</f>
        <v>0</v>
      </c>
      <c r="AZ70" s="159" t="n">
        <f aca="false">IF(AND(AZ$6&gt;=EOMONTH($H$64,0),AZ$6&lt;=EOMONTH(EDATE($H$64,$E$64-1),0)),$G$64/MAX($E$64,1),0)</f>
        <v>0</v>
      </c>
      <c r="BA70" s="159" t="n">
        <f aca="false">IF(AND(BA$6&gt;=EOMONTH($H$64,0),BA$6&lt;=EOMONTH(EDATE($H$64,$E$64-1),0)),$G$64/MAX($E$64,1),0)</f>
        <v>0</v>
      </c>
      <c r="BB70" s="159" t="n">
        <f aca="false">IF(AND(BB$6&gt;=EOMONTH($H$64,0),BB$6&lt;=EOMONTH(EDATE($H$64,$E$64-1),0)),$G$64/MAX($E$64,1),0)</f>
        <v>0</v>
      </c>
      <c r="BC70" s="159" t="n">
        <f aca="false">IF(AND(BC$6&gt;=EOMONTH($H$64,0),BC$6&lt;=EOMONTH(EDATE($H$64,$E$64-1),0)),$G$64/MAX($E$64,1),0)</f>
        <v>0</v>
      </c>
      <c r="BD70" s="159" t="n">
        <f aca="false">IF(AND(BD$6&gt;=EOMONTH($H$64,0),BD$6&lt;=EOMONTH(EDATE($H$64,$E$64-1),0)),$G$64/MAX($E$64,1),0)</f>
        <v>0</v>
      </c>
      <c r="BE70" s="159" t="n">
        <f aca="false">IF(AND(BE$6&gt;=EOMONTH($H$64,0),BE$6&lt;=EOMONTH(EDATE($H$64,$E$64-1),0)),$G$64/MAX($E$64,1),0)</f>
        <v>0</v>
      </c>
      <c r="BF70" s="159" t="n">
        <f aca="false">IF(AND(BF$6&gt;=EOMONTH($H$64,0),BF$6&lt;=EOMONTH(EDATE($H$64,$E$64-1),0)),$G$64/MAX($E$64,1),0)</f>
        <v>0</v>
      </c>
      <c r="BG70" s="159" t="n">
        <f aca="false">IF(AND(BG$6&gt;=EOMONTH($H$64,0),BG$6&lt;=EOMONTH(EDATE($H$64,$E$64-1),0)),$G$64/MAX($E$64,1),0)</f>
        <v>0</v>
      </c>
      <c r="BH70" s="159" t="n">
        <f aca="false">IF(AND(BH$6&gt;=EOMONTH($H$64,0),BH$6&lt;=EOMONTH(EDATE($H$64,$E$64-1),0)),$G$64/MAX($E$64,1),0)</f>
        <v>0</v>
      </c>
      <c r="BI70" s="159" t="n">
        <f aca="false">IF(AND(BI$6&gt;=EOMONTH($H$64,0),BI$6&lt;=EOMONTH(EDATE($H$64,$E$64-1),0)),$G$64/MAX($E$64,1),0)</f>
        <v>0</v>
      </c>
      <c r="BJ70" s="159" t="n">
        <f aca="false">IF(AND(BJ$6&gt;=EOMONTH($H$64,0),BJ$6&lt;=EOMONTH(EDATE($H$64,$E$64-1),0)),$G$64/MAX($E$64,1),0)</f>
        <v>0</v>
      </c>
      <c r="BK70" s="159" t="n">
        <f aca="false">IF(AND(BK$6&gt;=EOMONTH($H$64,0),BK$6&lt;=EOMONTH(EDATE($H$64,$E$64-1),0)),$G$64/MAX($E$64,1),0)</f>
        <v>0</v>
      </c>
      <c r="BL70" s="159" t="n">
        <f aca="false">IF(AND(BL$6&gt;=EOMONTH($H$64,0),BL$6&lt;=EOMONTH(EDATE($H$64,$E$64-1),0)),$G$64/MAX($E$64,1),0)</f>
        <v>0</v>
      </c>
      <c r="BM70" s="159" t="n">
        <f aca="false">IF(AND(BM$6&gt;=EOMONTH($H$64,0),BM$6&lt;=EOMONTH(EDATE($H$64,$E$64-1),0)),$G$64/MAX($E$64,1),0)</f>
        <v>0</v>
      </c>
      <c r="BN70" s="159" t="n">
        <f aca="false">IF(AND(BN$6&gt;=EOMONTH($H$64,0),BN$6&lt;=EOMONTH(EDATE($H$64,$E$64-1),0)),$G$64/MAX($E$64,1),0)</f>
        <v>0</v>
      </c>
      <c r="BO70" s="159" t="n">
        <f aca="false">IF(AND(BO$6&gt;=EOMONTH($H$64,0),BO$6&lt;=EOMONTH(EDATE($H$64,$E$64-1),0)),$G$64/MAX($E$64,1),0)</f>
        <v>0</v>
      </c>
      <c r="BP70" s="159" t="n">
        <f aca="false">IF(AND(BP$6&gt;=EOMONTH($H$64,0),BP$6&lt;=EOMONTH(EDATE($H$64,$E$64-1),0)),$G$64/MAX($E$64,1),0)</f>
        <v>0</v>
      </c>
      <c r="BQ70" s="159" t="n">
        <f aca="false">IF(AND(BQ$6&gt;=EOMONTH($H$64,0),BQ$6&lt;=EOMONTH(EDATE($H$64,$E$64-1),0)),$G$64/MAX($E$64,1),0)</f>
        <v>0</v>
      </c>
      <c r="BR70" s="159" t="n">
        <f aca="false">IF(AND(BR$6&gt;=EOMONTH($H$64,0),BR$6&lt;=EOMONTH(EDATE($H$64,$E$64-1),0)),$G$64/MAX($E$64,1),0)</f>
        <v>0</v>
      </c>
      <c r="BS70" s="159" t="n">
        <f aca="false">IF(AND(BS$6&gt;=EOMONTH($H$64,0),BS$6&lt;=EOMONTH(EDATE($H$64,$E$64-1),0)),$G$64/MAX($E$64,1),0)</f>
        <v>0</v>
      </c>
      <c r="BT70" s="159" t="n">
        <f aca="false">IF(AND(BT$6&gt;=EOMONTH($H$64,0),BT$6&lt;=EOMONTH(EDATE($H$64,$E$64-1),0)),$G$64/MAX($E$64,1),0)</f>
        <v>0</v>
      </c>
      <c r="BU70" s="159" t="n">
        <f aca="false">IF(AND(BU$6&gt;=EOMONTH($H$64,0),BU$6&lt;=EOMONTH(EDATE($H$64,$E$64-1),0)),$G$64/MAX($E$64,1),0)</f>
        <v>0</v>
      </c>
      <c r="BV70" s="159" t="n">
        <f aca="false">IF(AND(BV$6&gt;=EOMONTH($H$64,0),BV$6&lt;=EOMONTH(EDATE($H$64,$E$64-1),0)),$G$64/MAX($E$64,1),0)</f>
        <v>0</v>
      </c>
      <c r="BW70" s="159" t="n">
        <f aca="false">IF(AND(BW$6&gt;=EOMONTH($H$64,0),BW$6&lt;=EOMONTH(EDATE($H$64,$E$64-1),0)),$G$64/MAX($E$64,1),0)</f>
        <v>0</v>
      </c>
      <c r="BX70" s="159" t="n">
        <f aca="false">IF(AND(BX$6&gt;=EOMONTH($H$64,0),BX$6&lt;=EOMONTH(EDATE($H$64,$E$64-1),0)),$G$64/MAX($E$64,1),0)</f>
        <v>0</v>
      </c>
      <c r="BY70" s="159" t="n">
        <f aca="false">IF(AND(BY$6&gt;=EOMONTH($H$64,0),BY$6&lt;=EOMONTH(EDATE($H$64,$E$64-1),0)),$G$64/MAX($E$64,1),0)</f>
        <v>0</v>
      </c>
      <c r="BZ70" s="159" t="n">
        <f aca="false">IF(AND(BZ$6&gt;=EOMONTH($H$64,0),BZ$6&lt;=EOMONTH(EDATE($H$64,$E$64-1),0)),$G$64/MAX($E$64,1),0)</f>
        <v>0</v>
      </c>
      <c r="CA70" s="159" t="n">
        <f aca="false">IF(AND(CA$6&gt;=EOMONTH($H$64,0),CA$6&lt;=EOMONTH(EDATE($H$64,$E$64-1),0)),$G$64/MAX($E$64,1),0)</f>
        <v>0</v>
      </c>
    </row>
    <row r="71" customFormat="false" ht="15" hidden="false" customHeight="false" outlineLevel="0" collapsed="false">
      <c r="B71" s="196" t="s">
        <v>347</v>
      </c>
      <c r="T71" s="159" t="n">
        <f aca="false">IF(AND(T$6&gt;=EOMONTH($H$65,0),T$6&lt;=EOMONTH(EDATE($H$65,$E$65-1),0)),$G$65/MAX($E$65,1),0)</f>
        <v>0</v>
      </c>
      <c r="U71" s="159" t="n">
        <f aca="false">IF(AND(U$6&gt;=EOMONTH($H$65,0),U$6&lt;=EOMONTH(EDATE($H$65,$E$65-1),0)),$G$65/MAX($E$65,1),0)</f>
        <v>0</v>
      </c>
      <c r="V71" s="159" t="n">
        <f aca="false">IF(AND(V$6&gt;=EOMONTH($H$65,0),V$6&lt;=EOMONTH(EDATE($H$65,$E$65-1),0)),$G$65/MAX($E$65,1),0)</f>
        <v>0</v>
      </c>
      <c r="W71" s="159" t="n">
        <f aca="false">IF(AND(W$6&gt;=EOMONTH($H$65,0),W$6&lt;=EOMONTH(EDATE($H$65,$E$65-1),0)),$G$65/MAX($E$65,1),0)</f>
        <v>0</v>
      </c>
      <c r="X71" s="159" t="n">
        <f aca="false">IF(AND(X$6&gt;=EOMONTH($H$65,0),X$6&lt;=EOMONTH(EDATE($H$65,$E$65-1),0)),$G$65/MAX($E$65,1),0)</f>
        <v>0</v>
      </c>
      <c r="Y71" s="159" t="n">
        <f aca="false">IF(AND(Y$6&gt;=EOMONTH($H$65,0),Y$6&lt;=EOMONTH(EDATE($H$65,$E$65-1),0)),$G$65/MAX($E$65,1),0)</f>
        <v>0</v>
      </c>
      <c r="Z71" s="159" t="n">
        <f aca="false">IF(AND(Z$6&gt;=EOMONTH($H$65,0),Z$6&lt;=EOMONTH(EDATE($H$65,$E$65-1),0)),$G$65/MAX($E$65,1),0)</f>
        <v>0</v>
      </c>
      <c r="AA71" s="159" t="n">
        <f aca="false">IF(AND(AA$6&gt;=EOMONTH($H$65,0),AA$6&lt;=EOMONTH(EDATE($H$65,$E$65-1),0)),$G$65/MAX($E$65,1),0)</f>
        <v>0</v>
      </c>
      <c r="AB71" s="159" t="n">
        <f aca="false">IF(AND(AB$6&gt;=EOMONTH($H$65,0),AB$6&lt;=EOMONTH(EDATE($H$65,$E$65-1),0)),$G$65/MAX($E$65,1),0)</f>
        <v>0</v>
      </c>
      <c r="AC71" s="159" t="n">
        <f aca="false">IF(AND(AC$6&gt;=EOMONTH($H$65,0),AC$6&lt;=EOMONTH(EDATE($H$65,$E$65-1),0)),$G$65/MAX($E$65,1),0)</f>
        <v>0</v>
      </c>
      <c r="AD71" s="159" t="n">
        <f aca="false">IF(AND(AD$6&gt;=EOMONTH($H$65,0),AD$6&lt;=EOMONTH(EDATE($H$65,$E$65-1),0)),$G$65/MAX($E$65,1),0)</f>
        <v>0</v>
      </c>
      <c r="AE71" s="159" t="n">
        <f aca="false">IF(AND(AE$6&gt;=EOMONTH($H$65,0),AE$6&lt;=EOMONTH(EDATE($H$65,$E$65-1),0)),$G$65/MAX($E$65,1),0)</f>
        <v>0</v>
      </c>
      <c r="AF71" s="159" t="n">
        <f aca="false">IF(AND(AF$6&gt;=EOMONTH($H$65,0),AF$6&lt;=EOMONTH(EDATE($H$65,$E$65-1),0)),$G$65/MAX($E$65,1),0)</f>
        <v>0</v>
      </c>
      <c r="AG71" s="159" t="n">
        <f aca="false">IF(AND(AG$6&gt;=EOMONTH($H$65,0),AG$6&lt;=EOMONTH(EDATE($H$65,$E$65-1),0)),$G$65/MAX($E$65,1),0)</f>
        <v>0</v>
      </c>
      <c r="AH71" s="159" t="n">
        <f aca="false">IF(AND(AH$6&gt;=EOMONTH($H$65,0),AH$6&lt;=EOMONTH(EDATE($H$65,$E$65-1),0)),$G$65/MAX($E$65,1),0)</f>
        <v>146666.666666667</v>
      </c>
      <c r="AI71" s="159" t="n">
        <f aca="false">IF(AND(AI$6&gt;=EOMONTH($H$65,0),AI$6&lt;=EOMONTH(EDATE($H$65,$E$65-1),0)),$G$65/MAX($E$65,1),0)</f>
        <v>146666.666666667</v>
      </c>
      <c r="AJ71" s="159" t="n">
        <f aca="false">IF(AND(AJ$6&gt;=EOMONTH($H$65,0),AJ$6&lt;=EOMONTH(EDATE($H$65,$E$65-1),0)),$G$65/MAX($E$65,1),0)</f>
        <v>146666.666666667</v>
      </c>
      <c r="AK71" s="159" t="n">
        <f aca="false">IF(AND(AK$6&gt;=EOMONTH($H$65,0),AK$6&lt;=EOMONTH(EDATE($H$65,$E$65-1),0)),$G$65/MAX($E$65,1),0)</f>
        <v>146666.666666667</v>
      </c>
      <c r="AL71" s="159" t="n">
        <f aca="false">IF(AND(AL$6&gt;=EOMONTH($H$65,0),AL$6&lt;=EOMONTH(EDATE($H$65,$E$65-1),0)),$G$65/MAX($E$65,1),0)</f>
        <v>146666.666666667</v>
      </c>
      <c r="AM71" s="159" t="n">
        <f aca="false">IF(AND(AM$6&gt;=EOMONTH($H$65,0),AM$6&lt;=EOMONTH(EDATE($H$65,$E$65-1),0)),$G$65/MAX($E$65,1),0)</f>
        <v>0</v>
      </c>
      <c r="AN71" s="159" t="n">
        <f aca="false">IF(AND(AN$6&gt;=EOMONTH($H$65,0),AN$6&lt;=EOMONTH(EDATE($H$65,$E$65-1),0)),$G$65/MAX($E$65,1),0)</f>
        <v>0</v>
      </c>
      <c r="AO71" s="159" t="n">
        <f aca="false">IF(AND(AO$6&gt;=EOMONTH($H$65,0),AO$6&lt;=EOMONTH(EDATE($H$65,$E$65-1),0)),$G$65/MAX($E$65,1),0)</f>
        <v>0</v>
      </c>
      <c r="AP71" s="159" t="n">
        <f aca="false">IF(AND(AP$6&gt;=EOMONTH($H$65,0),AP$6&lt;=EOMONTH(EDATE($H$65,$E$65-1),0)),$G$65/MAX($E$65,1),0)</f>
        <v>0</v>
      </c>
      <c r="AQ71" s="159" t="n">
        <f aca="false">IF(AND(AQ$6&gt;=EOMONTH($H$65,0),AQ$6&lt;=EOMONTH(EDATE($H$65,$E$65-1),0)),$G$65/MAX($E$65,1),0)</f>
        <v>0</v>
      </c>
      <c r="AR71" s="159" t="n">
        <f aca="false">IF(AND(AR$6&gt;=EOMONTH($H$65,0),AR$6&lt;=EOMONTH(EDATE($H$65,$E$65-1),0)),$G$65/MAX($E$65,1),0)</f>
        <v>0</v>
      </c>
      <c r="AS71" s="159" t="n">
        <f aca="false">IF(AND(AS$6&gt;=EOMONTH($H$65,0),AS$6&lt;=EOMONTH(EDATE($H$65,$E$65-1),0)),$G$65/MAX($E$65,1),0)</f>
        <v>0</v>
      </c>
      <c r="AT71" s="159" t="n">
        <f aca="false">IF(AND(AT$6&gt;=EOMONTH($H$65,0),AT$6&lt;=EOMONTH(EDATE($H$65,$E$65-1),0)),$G$65/MAX($E$65,1),0)</f>
        <v>0</v>
      </c>
      <c r="AU71" s="159" t="n">
        <f aca="false">IF(AND(AU$6&gt;=EOMONTH($H$65,0),AU$6&lt;=EOMONTH(EDATE($H$65,$E$65-1),0)),$G$65/MAX($E$65,1),0)</f>
        <v>0</v>
      </c>
      <c r="AV71" s="159" t="n">
        <f aca="false">IF(AND(AV$6&gt;=EOMONTH($H$65,0),AV$6&lt;=EOMONTH(EDATE($H$65,$E$65-1),0)),$G$65/MAX($E$65,1),0)</f>
        <v>0</v>
      </c>
      <c r="AW71" s="159" t="n">
        <f aca="false">IF(AND(AW$6&gt;=EOMONTH($H$65,0),AW$6&lt;=EOMONTH(EDATE($H$65,$E$65-1),0)),$G$65/MAX($E$65,1),0)</f>
        <v>0</v>
      </c>
      <c r="AX71" s="159" t="n">
        <f aca="false">IF(AND(AX$6&gt;=EOMONTH($H$65,0),AX$6&lt;=EOMONTH(EDATE($H$65,$E$65-1),0)),$G$65/MAX($E$65,1),0)</f>
        <v>0</v>
      </c>
      <c r="AY71" s="159" t="n">
        <f aca="false">IF(AND(AY$6&gt;=EOMONTH($H$65,0),AY$6&lt;=EOMONTH(EDATE($H$65,$E$65-1),0)),$G$65/MAX($E$65,1),0)</f>
        <v>0</v>
      </c>
      <c r="AZ71" s="159" t="n">
        <f aca="false">IF(AND(AZ$6&gt;=EOMONTH($H$65,0),AZ$6&lt;=EOMONTH(EDATE($H$65,$E$65-1),0)),$G$65/MAX($E$65,1),0)</f>
        <v>0</v>
      </c>
      <c r="BA71" s="159" t="n">
        <f aca="false">IF(AND(BA$6&gt;=EOMONTH($H$65,0),BA$6&lt;=EOMONTH(EDATE($H$65,$E$65-1),0)),$G$65/MAX($E$65,1),0)</f>
        <v>0</v>
      </c>
      <c r="BB71" s="159" t="n">
        <f aca="false">IF(AND(BB$6&gt;=EOMONTH($H$65,0),BB$6&lt;=EOMONTH(EDATE($H$65,$E$65-1),0)),$G$65/MAX($E$65,1),0)</f>
        <v>0</v>
      </c>
      <c r="BC71" s="159" t="n">
        <f aca="false">IF(AND(BC$6&gt;=EOMONTH($H$65,0),BC$6&lt;=EOMONTH(EDATE($H$65,$E$65-1),0)),$G$65/MAX($E$65,1),0)</f>
        <v>0</v>
      </c>
      <c r="BD71" s="159" t="n">
        <f aca="false">IF(AND(BD$6&gt;=EOMONTH($H$65,0),BD$6&lt;=EOMONTH(EDATE($H$65,$E$65-1),0)),$G$65/MAX($E$65,1),0)</f>
        <v>0</v>
      </c>
      <c r="BE71" s="159" t="n">
        <f aca="false">IF(AND(BE$6&gt;=EOMONTH($H$65,0),BE$6&lt;=EOMONTH(EDATE($H$65,$E$65-1),0)),$G$65/MAX($E$65,1),0)</f>
        <v>0</v>
      </c>
      <c r="BF71" s="159" t="n">
        <f aca="false">IF(AND(BF$6&gt;=EOMONTH($H$65,0),BF$6&lt;=EOMONTH(EDATE($H$65,$E$65-1),0)),$G$65/MAX($E$65,1),0)</f>
        <v>0</v>
      </c>
      <c r="BG71" s="159" t="n">
        <f aca="false">IF(AND(BG$6&gt;=EOMONTH($H$65,0),BG$6&lt;=EOMONTH(EDATE($H$65,$E$65-1),0)),$G$65/MAX($E$65,1),0)</f>
        <v>0</v>
      </c>
      <c r="BH71" s="159" t="n">
        <f aca="false">IF(AND(BH$6&gt;=EOMONTH($H$65,0),BH$6&lt;=EOMONTH(EDATE($H$65,$E$65-1),0)),$G$65/MAX($E$65,1),0)</f>
        <v>0</v>
      </c>
      <c r="BI71" s="159" t="n">
        <f aca="false">IF(AND(BI$6&gt;=EOMONTH($H$65,0),BI$6&lt;=EOMONTH(EDATE($H$65,$E$65-1),0)),$G$65/MAX($E$65,1),0)</f>
        <v>0</v>
      </c>
      <c r="BJ71" s="159" t="n">
        <f aca="false">IF(AND(BJ$6&gt;=EOMONTH($H$65,0),BJ$6&lt;=EOMONTH(EDATE($H$65,$E$65-1),0)),$G$65/MAX($E$65,1),0)</f>
        <v>0</v>
      </c>
      <c r="BK71" s="159" t="n">
        <f aca="false">IF(AND(BK$6&gt;=EOMONTH($H$65,0),BK$6&lt;=EOMONTH(EDATE($H$65,$E$65-1),0)),$G$65/MAX($E$65,1),0)</f>
        <v>0</v>
      </c>
      <c r="BL71" s="159" t="n">
        <f aca="false">IF(AND(BL$6&gt;=EOMONTH($H$65,0),BL$6&lt;=EOMONTH(EDATE($H$65,$E$65-1),0)),$G$65/MAX($E$65,1),0)</f>
        <v>0</v>
      </c>
      <c r="BM71" s="159" t="n">
        <f aca="false">IF(AND(BM$6&gt;=EOMONTH($H$65,0),BM$6&lt;=EOMONTH(EDATE($H$65,$E$65-1),0)),$G$65/MAX($E$65,1),0)</f>
        <v>0</v>
      </c>
      <c r="BN71" s="159" t="n">
        <f aca="false">IF(AND(BN$6&gt;=EOMONTH($H$65,0),BN$6&lt;=EOMONTH(EDATE($H$65,$E$65-1),0)),$G$65/MAX($E$65,1),0)</f>
        <v>0</v>
      </c>
      <c r="BO71" s="159" t="n">
        <f aca="false">IF(AND(BO$6&gt;=EOMONTH($H$65,0),BO$6&lt;=EOMONTH(EDATE($H$65,$E$65-1),0)),$G$65/MAX($E$65,1),0)</f>
        <v>0</v>
      </c>
      <c r="BP71" s="159" t="n">
        <f aca="false">IF(AND(BP$6&gt;=EOMONTH($H$65,0),BP$6&lt;=EOMONTH(EDATE($H$65,$E$65-1),0)),$G$65/MAX($E$65,1),0)</f>
        <v>0</v>
      </c>
      <c r="BQ71" s="159" t="n">
        <f aca="false">IF(AND(BQ$6&gt;=EOMONTH($H$65,0),BQ$6&lt;=EOMONTH(EDATE($H$65,$E$65-1),0)),$G$65/MAX($E$65,1),0)</f>
        <v>0</v>
      </c>
      <c r="BR71" s="159" t="n">
        <f aca="false">IF(AND(BR$6&gt;=EOMONTH($H$65,0),BR$6&lt;=EOMONTH(EDATE($H$65,$E$65-1),0)),$G$65/MAX($E$65,1),0)</f>
        <v>0</v>
      </c>
      <c r="BS71" s="159" t="n">
        <f aca="false">IF(AND(BS$6&gt;=EOMONTH($H$65,0),BS$6&lt;=EOMONTH(EDATE($H$65,$E$65-1),0)),$G$65/MAX($E$65,1),0)</f>
        <v>0</v>
      </c>
      <c r="BT71" s="159" t="n">
        <f aca="false">IF(AND(BT$6&gt;=EOMONTH($H$65,0),BT$6&lt;=EOMONTH(EDATE($H$65,$E$65-1),0)),$G$65/MAX($E$65,1),0)</f>
        <v>0</v>
      </c>
      <c r="BU71" s="159" t="n">
        <f aca="false">IF(AND(BU$6&gt;=EOMONTH($H$65,0),BU$6&lt;=EOMONTH(EDATE($H$65,$E$65-1),0)),$G$65/MAX($E$65,1),0)</f>
        <v>0</v>
      </c>
      <c r="BV71" s="159" t="n">
        <f aca="false">IF(AND(BV$6&gt;=EOMONTH($H$65,0),BV$6&lt;=EOMONTH(EDATE($H$65,$E$65-1),0)),$G$65/MAX($E$65,1),0)</f>
        <v>0</v>
      </c>
      <c r="BW71" s="159" t="n">
        <f aca="false">IF(AND(BW$6&gt;=EOMONTH($H$65,0),BW$6&lt;=EOMONTH(EDATE($H$65,$E$65-1),0)),$G$65/MAX($E$65,1),0)</f>
        <v>0</v>
      </c>
      <c r="BX71" s="159" t="n">
        <f aca="false">IF(AND(BX$6&gt;=EOMONTH($H$65,0),BX$6&lt;=EOMONTH(EDATE($H$65,$E$65-1),0)),$G$65/MAX($E$65,1),0)</f>
        <v>0</v>
      </c>
      <c r="BY71" s="159" t="n">
        <f aca="false">IF(AND(BY$6&gt;=EOMONTH($H$65,0),BY$6&lt;=EOMONTH(EDATE($H$65,$E$65-1),0)),$G$65/MAX($E$65,1),0)</f>
        <v>0</v>
      </c>
      <c r="BZ71" s="159" t="n">
        <f aca="false">IF(AND(BZ$6&gt;=EOMONTH($H$65,0),BZ$6&lt;=EOMONTH(EDATE($H$65,$E$65-1),0)),$G$65/MAX($E$65,1),0)</f>
        <v>0</v>
      </c>
      <c r="CA71" s="159" t="n">
        <f aca="false">IF(AND(CA$6&gt;=EOMONTH($H$65,0),CA$6&lt;=EOMONTH(EDATE($H$65,$E$65-1),0)),$G$65/MAX($E$65,1),0)</f>
        <v>0</v>
      </c>
    </row>
    <row r="72" customFormat="false" ht="15" hidden="false" customHeight="false" outlineLevel="0" collapsed="false">
      <c r="B72" s="196" t="s">
        <v>348</v>
      </c>
      <c r="T72" s="159" t="n">
        <f aca="false">IF(AND(T$6&gt;=EOMONTH($H$66,0),T$6&lt;=EOMONTH(EDATE($H$66,$E$66-1),0)),$G$66/MAX($E$66,1),0)</f>
        <v>0</v>
      </c>
      <c r="U72" s="159" t="n">
        <f aca="false">IF(AND(U$6&gt;=EOMONTH($H$66,0),U$6&lt;=EOMONTH(EDATE($H$66,$E$66-1),0)),$G$66/MAX($E$66,1),0)</f>
        <v>0</v>
      </c>
      <c r="V72" s="159" t="n">
        <f aca="false">IF(AND(V$6&gt;=EOMONTH($H$66,0),V$6&lt;=EOMONTH(EDATE($H$66,$E$66-1),0)),$G$66/MAX($E$66,1),0)</f>
        <v>0</v>
      </c>
      <c r="W72" s="159" t="n">
        <f aca="false">IF(AND(W$6&gt;=EOMONTH($H$66,0),W$6&lt;=EOMONTH(EDATE($H$66,$E$66-1),0)),$G$66/MAX($E$66,1),0)</f>
        <v>0</v>
      </c>
      <c r="X72" s="159" t="n">
        <f aca="false">IF(AND(X$6&gt;=EOMONTH($H$66,0),X$6&lt;=EOMONTH(EDATE($H$66,$E$66-1),0)),$G$66/MAX($E$66,1),0)</f>
        <v>0</v>
      </c>
      <c r="Y72" s="159" t="n">
        <f aca="false">IF(AND(Y$6&gt;=EOMONTH($H$66,0),Y$6&lt;=EOMONTH(EDATE($H$66,$E$66-1),0)),$G$66/MAX($E$66,1),0)</f>
        <v>0</v>
      </c>
      <c r="Z72" s="159" t="n">
        <f aca="false">IF(AND(Z$6&gt;=EOMONTH($H$66,0),Z$6&lt;=EOMONTH(EDATE($H$66,$E$66-1),0)),$G$66/MAX($E$66,1),0)</f>
        <v>0</v>
      </c>
      <c r="AA72" s="159" t="n">
        <f aca="false">IF(AND(AA$6&gt;=EOMONTH($H$66,0),AA$6&lt;=EOMONTH(EDATE($H$66,$E$66-1),0)),$G$66/MAX($E$66,1),0)</f>
        <v>0</v>
      </c>
      <c r="AB72" s="159" t="n">
        <f aca="false">IF(AND(AB$6&gt;=EOMONTH($H$66,0),AB$6&lt;=EOMONTH(EDATE($H$66,$E$66-1),0)),$G$66/MAX($E$66,1),0)</f>
        <v>0</v>
      </c>
      <c r="AC72" s="159" t="n">
        <f aca="false">IF(AND(AC$6&gt;=EOMONTH($H$66,0),AC$6&lt;=EOMONTH(EDATE($H$66,$E$66-1),0)),$G$66/MAX($E$66,1),0)</f>
        <v>0</v>
      </c>
      <c r="AD72" s="159" t="n">
        <f aca="false">IF(AND(AD$6&gt;=EOMONTH($H$66,0),AD$6&lt;=EOMONTH(EDATE($H$66,$E$66-1),0)),$G$66/MAX($E$66,1),0)</f>
        <v>0</v>
      </c>
      <c r="AE72" s="159" t="n">
        <f aca="false">IF(AND(AE$6&gt;=EOMONTH($H$66,0),AE$6&lt;=EOMONTH(EDATE($H$66,$E$66-1),0)),$G$66/MAX($E$66,1),0)</f>
        <v>0</v>
      </c>
      <c r="AF72" s="159" t="n">
        <f aca="false">IF(AND(AF$6&gt;=EOMONTH($H$66,0),AF$6&lt;=EOMONTH(EDATE($H$66,$E$66-1),0)),$G$66/MAX($E$66,1),0)</f>
        <v>0</v>
      </c>
      <c r="AG72" s="159" t="n">
        <f aca="false">IF(AND(AG$6&gt;=EOMONTH($H$66,0),AG$6&lt;=EOMONTH(EDATE($H$66,$E$66-1),0)),$G$66/MAX($E$66,1),0)</f>
        <v>0</v>
      </c>
      <c r="AH72" s="159" t="n">
        <f aca="false">IF(AND(AH$6&gt;=EOMONTH($H$66,0),AH$6&lt;=EOMONTH(EDATE($H$66,$E$66-1),0)),$G$66/MAX($E$66,1),0)</f>
        <v>0</v>
      </c>
      <c r="AI72" s="159" t="n">
        <f aca="false">IF(AND(AI$6&gt;=EOMONTH($H$66,0),AI$6&lt;=EOMONTH(EDATE($H$66,$E$66-1),0)),$G$66/MAX($E$66,1),0)</f>
        <v>0</v>
      </c>
      <c r="AJ72" s="159" t="n">
        <f aca="false">IF(AND(AJ$6&gt;=EOMONTH($H$66,0),AJ$6&lt;=EOMONTH(EDATE($H$66,$E$66-1),0)),$G$66/MAX($E$66,1),0)</f>
        <v>0</v>
      </c>
      <c r="AK72" s="159" t="n">
        <f aca="false">IF(AND(AK$6&gt;=EOMONTH($H$66,0),AK$6&lt;=EOMONTH(EDATE($H$66,$E$66-1),0)),$G$66/MAX($E$66,1),0)</f>
        <v>0</v>
      </c>
      <c r="AL72" s="159" t="n">
        <f aca="false">IF(AND(AL$6&gt;=EOMONTH($H$66,0),AL$6&lt;=EOMONTH(EDATE($H$66,$E$66-1),0)),$G$66/MAX($E$66,1),0)</f>
        <v>0</v>
      </c>
      <c r="AM72" s="159" t="n">
        <f aca="false">IF(AND(AM$6&gt;=EOMONTH($H$66,0),AM$6&lt;=EOMONTH(EDATE($H$66,$E$66-1),0)),$G$66/MAX($E$66,1),0)</f>
        <v>91666.6666666667</v>
      </c>
      <c r="AN72" s="159" t="n">
        <f aca="false">IF(AND(AN$6&gt;=EOMONTH($H$66,0),AN$6&lt;=EOMONTH(EDATE($H$66,$E$66-1),0)),$G$66/MAX($E$66,1),0)</f>
        <v>91666.6666666667</v>
      </c>
      <c r="AO72" s="159" t="n">
        <f aca="false">IF(AND(AO$6&gt;=EOMONTH($H$66,0),AO$6&lt;=EOMONTH(EDATE($H$66,$E$66-1),0)),$G$66/MAX($E$66,1),0)</f>
        <v>91666.6666666667</v>
      </c>
      <c r="AP72" s="159" t="n">
        <f aca="false">IF(AND(AP$6&gt;=EOMONTH($H$66,0),AP$6&lt;=EOMONTH(EDATE($H$66,$E$66-1),0)),$G$66/MAX($E$66,1),0)</f>
        <v>91666.6666666667</v>
      </c>
      <c r="AQ72" s="159" t="n">
        <f aca="false">IF(AND(AQ$6&gt;=EOMONTH($H$66,0),AQ$6&lt;=EOMONTH(EDATE($H$66,$E$66-1),0)),$G$66/MAX($E$66,1),0)</f>
        <v>91666.6666666667</v>
      </c>
      <c r="AR72" s="159" t="n">
        <f aca="false">IF(AND(AR$6&gt;=EOMONTH($H$66,0),AR$6&lt;=EOMONTH(EDATE($H$66,$E$66-1),0)),$G$66/MAX($E$66,1),0)</f>
        <v>91666.6666666667</v>
      </c>
      <c r="AS72" s="159" t="n">
        <f aca="false">IF(AND(AS$6&gt;=EOMONTH($H$66,0),AS$6&lt;=EOMONTH(EDATE($H$66,$E$66-1),0)),$G$66/MAX($E$66,1),0)</f>
        <v>0</v>
      </c>
      <c r="AT72" s="159" t="n">
        <f aca="false">IF(AND(AT$6&gt;=EOMONTH($H$66,0),AT$6&lt;=EOMONTH(EDATE($H$66,$E$66-1),0)),$G$66/MAX($E$66,1),0)</f>
        <v>0</v>
      </c>
      <c r="AU72" s="159" t="n">
        <f aca="false">IF(AND(AU$6&gt;=EOMONTH($H$66,0),AU$6&lt;=EOMONTH(EDATE($H$66,$E$66-1),0)),$G$66/MAX($E$66,1),0)</f>
        <v>0</v>
      </c>
      <c r="AV72" s="159" t="n">
        <f aca="false">IF(AND(AV$6&gt;=EOMONTH($H$66,0),AV$6&lt;=EOMONTH(EDATE($H$66,$E$66-1),0)),$G$66/MAX($E$66,1),0)</f>
        <v>0</v>
      </c>
      <c r="AW72" s="159" t="n">
        <f aca="false">IF(AND(AW$6&gt;=EOMONTH($H$66,0),AW$6&lt;=EOMONTH(EDATE($H$66,$E$66-1),0)),$G$66/MAX($E$66,1),0)</f>
        <v>0</v>
      </c>
      <c r="AX72" s="159" t="n">
        <f aca="false">IF(AND(AX$6&gt;=EOMONTH($H$66,0),AX$6&lt;=EOMONTH(EDATE($H$66,$E$66-1),0)),$G$66/MAX($E$66,1),0)</f>
        <v>0</v>
      </c>
      <c r="AY72" s="159" t="n">
        <f aca="false">IF(AND(AY$6&gt;=EOMONTH($H$66,0),AY$6&lt;=EOMONTH(EDATE($H$66,$E$66-1),0)),$G$66/MAX($E$66,1),0)</f>
        <v>0</v>
      </c>
      <c r="AZ72" s="159" t="n">
        <f aca="false">IF(AND(AZ$6&gt;=EOMONTH($H$66,0),AZ$6&lt;=EOMONTH(EDATE($H$66,$E$66-1),0)),$G$66/MAX($E$66,1),0)</f>
        <v>0</v>
      </c>
      <c r="BA72" s="159" t="n">
        <f aca="false">IF(AND(BA$6&gt;=EOMONTH($H$66,0),BA$6&lt;=EOMONTH(EDATE($H$66,$E$66-1),0)),$G$66/MAX($E$66,1),0)</f>
        <v>0</v>
      </c>
      <c r="BB72" s="159" t="n">
        <f aca="false">IF(AND(BB$6&gt;=EOMONTH($H$66,0),BB$6&lt;=EOMONTH(EDATE($H$66,$E$66-1),0)),$G$66/MAX($E$66,1),0)</f>
        <v>0</v>
      </c>
      <c r="BC72" s="159" t="n">
        <f aca="false">IF(AND(BC$6&gt;=EOMONTH($H$66,0),BC$6&lt;=EOMONTH(EDATE($H$66,$E$66-1),0)),$G$66/MAX($E$66,1),0)</f>
        <v>0</v>
      </c>
      <c r="BD72" s="159" t="n">
        <f aca="false">IF(AND(BD$6&gt;=EOMONTH($H$66,0),BD$6&lt;=EOMONTH(EDATE($H$66,$E$66-1),0)),$G$66/MAX($E$66,1),0)</f>
        <v>0</v>
      </c>
      <c r="BE72" s="159" t="n">
        <f aca="false">IF(AND(BE$6&gt;=EOMONTH($H$66,0),BE$6&lt;=EOMONTH(EDATE($H$66,$E$66-1),0)),$G$66/MAX($E$66,1),0)</f>
        <v>0</v>
      </c>
      <c r="BF72" s="159" t="n">
        <f aca="false">IF(AND(BF$6&gt;=EOMONTH($H$66,0),BF$6&lt;=EOMONTH(EDATE($H$66,$E$66-1),0)),$G$66/MAX($E$66,1),0)</f>
        <v>0</v>
      </c>
      <c r="BG72" s="159" t="n">
        <f aca="false">IF(AND(BG$6&gt;=EOMONTH($H$66,0),BG$6&lt;=EOMONTH(EDATE($H$66,$E$66-1),0)),$G$66/MAX($E$66,1),0)</f>
        <v>0</v>
      </c>
      <c r="BH72" s="159" t="n">
        <f aca="false">IF(AND(BH$6&gt;=EOMONTH($H$66,0),BH$6&lt;=EOMONTH(EDATE($H$66,$E$66-1),0)),$G$66/MAX($E$66,1),0)</f>
        <v>0</v>
      </c>
      <c r="BI72" s="159" t="n">
        <f aca="false">IF(AND(BI$6&gt;=EOMONTH($H$66,0),BI$6&lt;=EOMONTH(EDATE($H$66,$E$66-1),0)),$G$66/MAX($E$66,1),0)</f>
        <v>0</v>
      </c>
      <c r="BJ72" s="159" t="n">
        <f aca="false">IF(AND(BJ$6&gt;=EOMONTH($H$66,0),BJ$6&lt;=EOMONTH(EDATE($H$66,$E$66-1),0)),$G$66/MAX($E$66,1),0)</f>
        <v>0</v>
      </c>
      <c r="BK72" s="159" t="n">
        <f aca="false">IF(AND(BK$6&gt;=EOMONTH($H$66,0),BK$6&lt;=EOMONTH(EDATE($H$66,$E$66-1),0)),$G$66/MAX($E$66,1),0)</f>
        <v>0</v>
      </c>
      <c r="BL72" s="159" t="n">
        <f aca="false">IF(AND(BL$6&gt;=EOMONTH($H$66,0),BL$6&lt;=EOMONTH(EDATE($H$66,$E$66-1),0)),$G$66/MAX($E$66,1),0)</f>
        <v>0</v>
      </c>
      <c r="BM72" s="159" t="n">
        <f aca="false">IF(AND(BM$6&gt;=EOMONTH($H$66,0),BM$6&lt;=EOMONTH(EDATE($H$66,$E$66-1),0)),$G$66/MAX($E$66,1),0)</f>
        <v>0</v>
      </c>
      <c r="BN72" s="159" t="n">
        <f aca="false">IF(AND(BN$6&gt;=EOMONTH($H$66,0),BN$6&lt;=EOMONTH(EDATE($H$66,$E$66-1),0)),$G$66/MAX($E$66,1),0)</f>
        <v>0</v>
      </c>
      <c r="BO72" s="159" t="n">
        <f aca="false">IF(AND(BO$6&gt;=EOMONTH($H$66,0),BO$6&lt;=EOMONTH(EDATE($H$66,$E$66-1),0)),$G$66/MAX($E$66,1),0)</f>
        <v>0</v>
      </c>
      <c r="BP72" s="159" t="n">
        <f aca="false">IF(AND(BP$6&gt;=EOMONTH($H$66,0),BP$6&lt;=EOMONTH(EDATE($H$66,$E$66-1),0)),$G$66/MAX($E$66,1),0)</f>
        <v>0</v>
      </c>
      <c r="BQ72" s="159" t="n">
        <f aca="false">IF(AND(BQ$6&gt;=EOMONTH($H$66,0),BQ$6&lt;=EOMONTH(EDATE($H$66,$E$66-1),0)),$G$66/MAX($E$66,1),0)</f>
        <v>0</v>
      </c>
      <c r="BR72" s="159" t="n">
        <f aca="false">IF(AND(BR$6&gt;=EOMONTH($H$66,0),BR$6&lt;=EOMONTH(EDATE($H$66,$E$66-1),0)),$G$66/MAX($E$66,1),0)</f>
        <v>0</v>
      </c>
      <c r="BS72" s="159" t="n">
        <f aca="false">IF(AND(BS$6&gt;=EOMONTH($H$66,0),BS$6&lt;=EOMONTH(EDATE($H$66,$E$66-1),0)),$G$66/MAX($E$66,1),0)</f>
        <v>0</v>
      </c>
      <c r="BT72" s="159" t="n">
        <f aca="false">IF(AND(BT$6&gt;=EOMONTH($H$66,0),BT$6&lt;=EOMONTH(EDATE($H$66,$E$66-1),0)),$G$66/MAX($E$66,1),0)</f>
        <v>0</v>
      </c>
      <c r="BU72" s="159" t="n">
        <f aca="false">IF(AND(BU$6&gt;=EOMONTH($H$66,0),BU$6&lt;=EOMONTH(EDATE($H$66,$E$66-1),0)),$G$66/MAX($E$66,1),0)</f>
        <v>0</v>
      </c>
      <c r="BV72" s="159" t="n">
        <f aca="false">IF(AND(BV$6&gt;=EOMONTH($H$66,0),BV$6&lt;=EOMONTH(EDATE($H$66,$E$66-1),0)),$G$66/MAX($E$66,1),0)</f>
        <v>0</v>
      </c>
      <c r="BW72" s="159" t="n">
        <f aca="false">IF(AND(BW$6&gt;=EOMONTH($H$66,0),BW$6&lt;=EOMONTH(EDATE($H$66,$E$66-1),0)),$G$66/MAX($E$66,1),0)</f>
        <v>0</v>
      </c>
      <c r="BX72" s="159" t="n">
        <f aca="false">IF(AND(BX$6&gt;=EOMONTH($H$66,0),BX$6&lt;=EOMONTH(EDATE($H$66,$E$66-1),0)),$G$66/MAX($E$66,1),0)</f>
        <v>0</v>
      </c>
      <c r="BY72" s="159" t="n">
        <f aca="false">IF(AND(BY$6&gt;=EOMONTH($H$66,0),BY$6&lt;=EOMONTH(EDATE($H$66,$E$66-1),0)),$G$66/MAX($E$66,1),0)</f>
        <v>0</v>
      </c>
      <c r="BZ72" s="159" t="n">
        <f aca="false">IF(AND(BZ$6&gt;=EOMONTH($H$66,0),BZ$6&lt;=EOMONTH(EDATE($H$66,$E$66-1),0)),$G$66/MAX($E$66,1),0)</f>
        <v>0</v>
      </c>
      <c r="CA72" s="159" t="n">
        <f aca="false">IF(AND(CA$6&gt;=EOMONTH($H$66,0),CA$6&lt;=EOMONTH(EDATE($H$66,$E$66-1),0)),$G$66/MAX($E$66,1),0)</f>
        <v>0</v>
      </c>
    </row>
    <row r="73" customFormat="false" ht="15" hidden="false" customHeight="false" outlineLevel="0" collapsed="false">
      <c r="B73" s="196" t="s">
        <v>349</v>
      </c>
      <c r="T73" s="159" t="n">
        <f aca="false">IF(AND(T$6&gt;=EOMONTH($H$67,0),T$6&lt;=EOMONTH(EDATE($H$67,$E$67-1),0)),$G$67/MAX($E$67,1),0)</f>
        <v>0</v>
      </c>
      <c r="U73" s="159" t="n">
        <f aca="false">IF(AND(U$6&gt;=EOMONTH($H$67,0),U$6&lt;=EOMONTH(EDATE($H$67,$E$67-1),0)),$G$67/MAX($E$67,1),0)</f>
        <v>0</v>
      </c>
      <c r="V73" s="159" t="n">
        <f aca="false">IF(AND(V$6&gt;=EOMONTH($H$67,0),V$6&lt;=EOMONTH(EDATE($H$67,$E$67-1),0)),$G$67/MAX($E$67,1),0)</f>
        <v>0</v>
      </c>
      <c r="W73" s="159" t="n">
        <f aca="false">IF(AND(W$6&gt;=EOMONTH($H$67,0),W$6&lt;=EOMONTH(EDATE($H$67,$E$67-1),0)),$G$67/MAX($E$67,1),0)</f>
        <v>0</v>
      </c>
      <c r="X73" s="159" t="n">
        <f aca="false">IF(AND(X$6&gt;=EOMONTH($H$67,0),X$6&lt;=EOMONTH(EDATE($H$67,$E$67-1),0)),$G$67/MAX($E$67,1),0)</f>
        <v>0</v>
      </c>
      <c r="Y73" s="159" t="n">
        <f aca="false">IF(AND(Y$6&gt;=EOMONTH($H$67,0),Y$6&lt;=EOMONTH(EDATE($H$67,$E$67-1),0)),$G$67/MAX($E$67,1),0)</f>
        <v>0</v>
      </c>
      <c r="Z73" s="159" t="n">
        <f aca="false">IF(AND(Z$6&gt;=EOMONTH($H$67,0),Z$6&lt;=EOMONTH(EDATE($H$67,$E$67-1),0)),$G$67/MAX($E$67,1),0)</f>
        <v>0</v>
      </c>
      <c r="AA73" s="159" t="n">
        <f aca="false">IF(AND(AA$6&gt;=EOMONTH($H$67,0),AA$6&lt;=EOMONTH(EDATE($H$67,$E$67-1),0)),$G$67/MAX($E$67,1),0)</f>
        <v>0</v>
      </c>
      <c r="AB73" s="159" t="n">
        <f aca="false">IF(AND(AB$6&gt;=EOMONTH($H$67,0),AB$6&lt;=EOMONTH(EDATE($H$67,$E$67-1),0)),$G$67/MAX($E$67,1),0)</f>
        <v>0</v>
      </c>
      <c r="AC73" s="159" t="n">
        <f aca="false">IF(AND(AC$6&gt;=EOMONTH($H$67,0),AC$6&lt;=EOMONTH(EDATE($H$67,$E$67-1),0)),$G$67/MAX($E$67,1),0)</f>
        <v>0</v>
      </c>
      <c r="AD73" s="159" t="n">
        <f aca="false">IF(AND(AD$6&gt;=EOMONTH($H$67,0),AD$6&lt;=EOMONTH(EDATE($H$67,$E$67-1),0)),$G$67/MAX($E$67,1),0)</f>
        <v>0</v>
      </c>
      <c r="AE73" s="159" t="n">
        <f aca="false">IF(AND(AE$6&gt;=EOMONTH($H$67,0),AE$6&lt;=EOMONTH(EDATE($H$67,$E$67-1),0)),$G$67/MAX($E$67,1),0)</f>
        <v>0</v>
      </c>
      <c r="AF73" s="159" t="n">
        <f aca="false">IF(AND(AF$6&gt;=EOMONTH($H$67,0),AF$6&lt;=EOMONTH(EDATE($H$67,$E$67-1),0)),$G$67/MAX($E$67,1),0)</f>
        <v>0</v>
      </c>
      <c r="AG73" s="159" t="n">
        <f aca="false">IF(AND(AG$6&gt;=EOMONTH($H$67,0),AG$6&lt;=EOMONTH(EDATE($H$67,$E$67-1),0)),$G$67/MAX($E$67,1),0)</f>
        <v>0</v>
      </c>
      <c r="AH73" s="159" t="n">
        <f aca="false">IF(AND(AH$6&gt;=EOMONTH($H$67,0),AH$6&lt;=EOMONTH(EDATE($H$67,$E$67-1),0)),$G$67/MAX($E$67,1),0)</f>
        <v>0</v>
      </c>
      <c r="AI73" s="159" t="n">
        <f aca="false">IF(AND(AI$6&gt;=EOMONTH($H$67,0),AI$6&lt;=EOMONTH(EDATE($H$67,$E$67-1),0)),$G$67/MAX($E$67,1),0)</f>
        <v>0</v>
      </c>
      <c r="AJ73" s="159" t="n">
        <f aca="false">IF(AND(AJ$6&gt;=EOMONTH($H$67,0),AJ$6&lt;=EOMONTH(EDATE($H$67,$E$67-1),0)),$G$67/MAX($E$67,1),0)</f>
        <v>0</v>
      </c>
      <c r="AK73" s="159" t="n">
        <f aca="false">IF(AND(AK$6&gt;=EOMONTH($H$67,0),AK$6&lt;=EOMONTH(EDATE($H$67,$E$67-1),0)),$G$67/MAX($E$67,1),0)</f>
        <v>0</v>
      </c>
      <c r="AL73" s="159" t="n">
        <f aca="false">IF(AND(AL$6&gt;=EOMONTH($H$67,0),AL$6&lt;=EOMONTH(EDATE($H$67,$E$67-1),0)),$G$67/MAX($E$67,1),0)</f>
        <v>0</v>
      </c>
      <c r="AM73" s="159" t="n">
        <f aca="false">IF(AND(AM$6&gt;=EOMONTH($H$67,0),AM$6&lt;=EOMONTH(EDATE($H$67,$E$67-1),0)),$G$67/MAX($E$67,1),0)</f>
        <v>0</v>
      </c>
      <c r="AN73" s="159" t="n">
        <f aca="false">IF(AND(AN$6&gt;=EOMONTH($H$67,0),AN$6&lt;=EOMONTH(EDATE($H$67,$E$67-1),0)),$G$67/MAX($E$67,1),0)</f>
        <v>0</v>
      </c>
      <c r="AO73" s="159" t="n">
        <f aca="false">IF(AND(AO$6&gt;=EOMONTH($H$67,0),AO$6&lt;=EOMONTH(EDATE($H$67,$E$67-1),0)),$G$67/MAX($E$67,1),0)</f>
        <v>0</v>
      </c>
      <c r="AP73" s="159" t="n">
        <f aca="false">IF(AND(AP$6&gt;=EOMONTH($H$67,0),AP$6&lt;=EOMONTH(EDATE($H$67,$E$67-1),0)),$G$67/MAX($E$67,1),0)</f>
        <v>0</v>
      </c>
      <c r="AQ73" s="159" t="n">
        <f aca="false">IF(AND(AQ$6&gt;=EOMONTH($H$67,0),AQ$6&lt;=EOMONTH(EDATE($H$67,$E$67-1),0)),$G$67/MAX($E$67,1),0)</f>
        <v>0</v>
      </c>
      <c r="AR73" s="159" t="n">
        <f aca="false">IF(AND(AR$6&gt;=EOMONTH($H$67,0),AR$6&lt;=EOMONTH(EDATE($H$67,$E$67-1),0)),$G$67/MAX($E$67,1),0)</f>
        <v>0</v>
      </c>
      <c r="AS73" s="159" t="n">
        <f aca="false">IF(AND(AS$6&gt;=EOMONTH($H$67,0),AS$6&lt;=EOMONTH(EDATE($H$67,$E$67-1),0)),$G$67/MAX($E$67,1),0)</f>
        <v>0</v>
      </c>
      <c r="AT73" s="159" t="n">
        <f aca="false">IF(AND(AT$6&gt;=EOMONTH($H$67,0),AT$6&lt;=EOMONTH(EDATE($H$67,$E$67-1),0)),$G$67/MAX($E$67,1),0)</f>
        <v>0</v>
      </c>
      <c r="AU73" s="159" t="n">
        <f aca="false">IF(AND(AU$6&gt;=EOMONTH($H$67,0),AU$6&lt;=EOMONTH(EDATE($H$67,$E$67-1),0)),$G$67/MAX($E$67,1),0)</f>
        <v>0</v>
      </c>
      <c r="AV73" s="159" t="n">
        <f aca="false">IF(AND(AV$6&gt;=EOMONTH($H$67,0),AV$6&lt;=EOMONTH(EDATE($H$67,$E$67-1),0)),$G$67/MAX($E$67,1),0)</f>
        <v>0</v>
      </c>
      <c r="AW73" s="159" t="n">
        <f aca="false">IF(AND(AW$6&gt;=EOMONTH($H$67,0),AW$6&lt;=EOMONTH(EDATE($H$67,$E$67-1),0)),$G$67/MAX($E$67,1),0)</f>
        <v>0</v>
      </c>
      <c r="AX73" s="159" t="n">
        <f aca="false">IF(AND(AX$6&gt;=EOMONTH($H$67,0),AX$6&lt;=EOMONTH(EDATE($H$67,$E$67-1),0)),$G$67/MAX($E$67,1),0)</f>
        <v>0</v>
      </c>
      <c r="AY73" s="159" t="n">
        <f aca="false">IF(AND(AY$6&gt;=EOMONTH($H$67,0),AY$6&lt;=EOMONTH(EDATE($H$67,$E$67-1),0)),$G$67/MAX($E$67,1),0)</f>
        <v>0</v>
      </c>
      <c r="AZ73" s="159" t="n">
        <f aca="false">IF(AND(AZ$6&gt;=EOMONTH($H$67,0),AZ$6&lt;=EOMONTH(EDATE($H$67,$E$67-1),0)),$G$67/MAX($E$67,1),0)</f>
        <v>0</v>
      </c>
      <c r="BA73" s="159" t="n">
        <f aca="false">IF(AND(BA$6&gt;=EOMONTH($H$67,0),BA$6&lt;=EOMONTH(EDATE($H$67,$E$67-1),0)),$G$67/MAX($E$67,1),0)</f>
        <v>0</v>
      </c>
      <c r="BB73" s="159" t="n">
        <f aca="false">IF(AND(BB$6&gt;=EOMONTH($H$67,0),BB$6&lt;=EOMONTH(EDATE($H$67,$E$67-1),0)),$G$67/MAX($E$67,1),0)</f>
        <v>0</v>
      </c>
      <c r="BC73" s="159" t="n">
        <f aca="false">IF(AND(BC$6&gt;=EOMONTH($H$67,0),BC$6&lt;=EOMONTH(EDATE($H$67,$E$67-1),0)),$G$67/MAX($E$67,1),0)</f>
        <v>0</v>
      </c>
      <c r="BD73" s="159" t="n">
        <f aca="false">IF(AND(BD$6&gt;=EOMONTH($H$67,0),BD$6&lt;=EOMONTH(EDATE($H$67,$E$67-1),0)),$G$67/MAX($E$67,1),0)</f>
        <v>0</v>
      </c>
      <c r="BE73" s="159" t="n">
        <f aca="false">IF(AND(BE$6&gt;=EOMONTH($H$67,0),BE$6&lt;=EOMONTH(EDATE($H$67,$E$67-1),0)),$G$67/MAX($E$67,1),0)</f>
        <v>0</v>
      </c>
      <c r="BF73" s="159" t="n">
        <f aca="false">IF(AND(BF$6&gt;=EOMONTH($H$67,0),BF$6&lt;=EOMONTH(EDATE($H$67,$E$67-1),0)),$G$67/MAX($E$67,1),0)</f>
        <v>0</v>
      </c>
      <c r="BG73" s="159" t="n">
        <f aca="false">IF(AND(BG$6&gt;=EOMONTH($H$67,0),BG$6&lt;=EOMONTH(EDATE($H$67,$E$67-1),0)),$G$67/MAX($E$67,1),0)</f>
        <v>0</v>
      </c>
      <c r="BH73" s="159" t="n">
        <f aca="false">IF(AND(BH$6&gt;=EOMONTH($H$67,0),BH$6&lt;=EOMONTH(EDATE($H$67,$E$67-1),0)),$G$67/MAX($E$67,1),0)</f>
        <v>0</v>
      </c>
      <c r="BI73" s="159" t="n">
        <f aca="false">IF(AND(BI$6&gt;=EOMONTH($H$67,0),BI$6&lt;=EOMONTH(EDATE($H$67,$E$67-1),0)),$G$67/MAX($E$67,1),0)</f>
        <v>0</v>
      </c>
      <c r="BJ73" s="159" t="n">
        <f aca="false">IF(AND(BJ$6&gt;=EOMONTH($H$67,0),BJ$6&lt;=EOMONTH(EDATE($H$67,$E$67-1),0)),$G$67/MAX($E$67,1),0)</f>
        <v>0</v>
      </c>
      <c r="BK73" s="159" t="n">
        <f aca="false">IF(AND(BK$6&gt;=EOMONTH($H$67,0),BK$6&lt;=EOMONTH(EDATE($H$67,$E$67-1),0)),$G$67/MAX($E$67,1),0)</f>
        <v>0</v>
      </c>
      <c r="BL73" s="159" t="n">
        <f aca="false">IF(AND(BL$6&gt;=EOMONTH($H$67,0),BL$6&lt;=EOMONTH(EDATE($H$67,$E$67-1),0)),$G$67/MAX($E$67,1),0)</f>
        <v>0</v>
      </c>
      <c r="BM73" s="159" t="n">
        <f aca="false">IF(AND(BM$6&gt;=EOMONTH($H$67,0),BM$6&lt;=EOMONTH(EDATE($H$67,$E$67-1),0)),$G$67/MAX($E$67,1),0)</f>
        <v>0</v>
      </c>
      <c r="BN73" s="159" t="n">
        <f aca="false">IF(AND(BN$6&gt;=EOMONTH($H$67,0),BN$6&lt;=EOMONTH(EDATE($H$67,$E$67-1),0)),$G$67/MAX($E$67,1),0)</f>
        <v>0</v>
      </c>
      <c r="BO73" s="159" t="n">
        <f aca="false">IF(AND(BO$6&gt;=EOMONTH($H$67,0),BO$6&lt;=EOMONTH(EDATE($H$67,$E$67-1),0)),$G$67/MAX($E$67,1),0)</f>
        <v>0</v>
      </c>
      <c r="BP73" s="159" t="n">
        <f aca="false">IF(AND(BP$6&gt;=EOMONTH($H$67,0),BP$6&lt;=EOMONTH(EDATE($H$67,$E$67-1),0)),$G$67/MAX($E$67,1),0)</f>
        <v>0</v>
      </c>
      <c r="BQ73" s="159" t="n">
        <f aca="false">IF(AND(BQ$6&gt;=EOMONTH($H$67,0),BQ$6&lt;=EOMONTH(EDATE($H$67,$E$67-1),0)),$G$67/MAX($E$67,1),0)</f>
        <v>0</v>
      </c>
      <c r="BR73" s="159" t="n">
        <f aca="false">IF(AND(BR$6&gt;=EOMONTH($H$67,0),BR$6&lt;=EOMONTH(EDATE($H$67,$E$67-1),0)),$G$67/MAX($E$67,1),0)</f>
        <v>0</v>
      </c>
      <c r="BS73" s="159" t="n">
        <f aca="false">IF(AND(BS$6&gt;=EOMONTH($H$67,0),BS$6&lt;=EOMONTH(EDATE($H$67,$E$67-1),0)),$G$67/MAX($E$67,1),0)</f>
        <v>0</v>
      </c>
      <c r="BT73" s="159" t="n">
        <f aca="false">IF(AND(BT$6&gt;=EOMONTH($H$67,0),BT$6&lt;=EOMONTH(EDATE($H$67,$E$67-1),0)),$G$67/MAX($E$67,1),0)</f>
        <v>0</v>
      </c>
      <c r="BU73" s="159" t="n">
        <f aca="false">IF(AND(BU$6&gt;=EOMONTH($H$67,0),BU$6&lt;=EOMONTH(EDATE($H$67,$E$67-1),0)),$G$67/MAX($E$67,1),0)</f>
        <v>0</v>
      </c>
      <c r="BV73" s="159" t="n">
        <f aca="false">IF(AND(BV$6&gt;=EOMONTH($H$67,0),BV$6&lt;=EOMONTH(EDATE($H$67,$E$67-1),0)),$G$67/MAX($E$67,1),0)</f>
        <v>0</v>
      </c>
      <c r="BW73" s="159" t="n">
        <f aca="false">IF(AND(BW$6&gt;=EOMONTH($H$67,0),BW$6&lt;=EOMONTH(EDATE($H$67,$E$67-1),0)),$G$67/MAX($E$67,1),0)</f>
        <v>0</v>
      </c>
      <c r="BX73" s="159" t="n">
        <f aca="false">IF(AND(BX$6&gt;=EOMONTH($H$67,0),BX$6&lt;=EOMONTH(EDATE($H$67,$E$67-1),0)),$G$67/MAX($E$67,1),0)</f>
        <v>0</v>
      </c>
      <c r="BY73" s="159" t="n">
        <f aca="false">IF(AND(BY$6&gt;=EOMONTH($H$67,0),BY$6&lt;=EOMONTH(EDATE($H$67,$E$67-1),0)),$G$67/MAX($E$67,1),0)</f>
        <v>0</v>
      </c>
      <c r="BZ73" s="159" t="n">
        <f aca="false">IF(AND(BZ$6&gt;=EOMONTH($H$67,0),BZ$6&lt;=EOMONTH(EDATE($H$67,$E$67-1),0)),$G$67/MAX($E$67,1),0)</f>
        <v>0</v>
      </c>
      <c r="CA73" s="159" t="n">
        <f aca="false">IF(AND(CA$6&gt;=EOMONTH($H$67,0),CA$6&lt;=EOMONTH(EDATE($H$67,$E$67-1),0)),$G$67/MAX($E$67,1),0)</f>
        <v>0</v>
      </c>
    </row>
    <row r="74" customFormat="false" ht="15" hidden="false" customHeight="false" outlineLevel="0" collapsed="false">
      <c r="B74" s="3" t="s">
        <v>350</v>
      </c>
      <c r="G74" s="159" t="n">
        <f aca="false">SUM(G64:G67)</f>
        <v>1430000</v>
      </c>
    </row>
    <row r="76" customFormat="false" ht="15" hidden="false" customHeight="false" outlineLevel="0" collapsed="false">
      <c r="B76" s="197" t="s">
        <v>351</v>
      </c>
    </row>
    <row r="77" customFormat="false" ht="15" hidden="false" customHeight="false" outlineLevel="0" collapsed="false">
      <c r="B77" s="169" t="s">
        <v>352</v>
      </c>
      <c r="C77" s="169" t="s">
        <v>353</v>
      </c>
      <c r="D77" s="169" t="s">
        <v>354</v>
      </c>
      <c r="E77" s="169" t="s">
        <v>355</v>
      </c>
      <c r="H77" s="169" t="s">
        <v>333</v>
      </c>
      <c r="I77" s="169" t="s">
        <v>222</v>
      </c>
    </row>
    <row r="78" customFormat="false" ht="28.35" hidden="false" customHeight="false" outlineLevel="0" collapsed="false">
      <c r="B78" s="9" t="s">
        <v>356</v>
      </c>
      <c r="C78" s="194" t="s">
        <v>357</v>
      </c>
      <c r="D78" s="158" t="n">
        <v>0</v>
      </c>
      <c r="E78" s="156" t="n">
        <v>2</v>
      </c>
      <c r="H78" s="178" t="n">
        <f aca="false">DATE(2027,3,1)</f>
        <v>46447</v>
      </c>
      <c r="I78" s="168" t="n">
        <v>0</v>
      </c>
    </row>
    <row r="79" customFormat="false" ht="28.35" hidden="false" customHeight="false" outlineLevel="0" collapsed="false">
      <c r="B79" s="9" t="s">
        <v>358</v>
      </c>
      <c r="C79" s="194" t="s">
        <v>359</v>
      </c>
      <c r="D79" s="158" t="n">
        <v>120000</v>
      </c>
      <c r="E79" s="156" t="n">
        <v>5</v>
      </c>
      <c r="H79" s="178" t="n">
        <f aca="false">DATE(2027,3,1)</f>
        <v>46447</v>
      </c>
      <c r="I79" s="168" t="n">
        <v>0</v>
      </c>
    </row>
    <row r="80" customFormat="false" ht="15" hidden="false" customHeight="false" outlineLevel="0" collapsed="false">
      <c r="B80" s="9" t="s">
        <v>360</v>
      </c>
      <c r="C80" s="194" t="s">
        <v>361</v>
      </c>
      <c r="D80" s="158" t="n">
        <v>60000</v>
      </c>
      <c r="E80" s="156" t="n">
        <v>5</v>
      </c>
      <c r="H80" s="178" t="n">
        <f aca="false">DATE(2027,3,1)</f>
        <v>46447</v>
      </c>
      <c r="I80" s="168" t="n">
        <v>0</v>
      </c>
    </row>
    <row r="81" customFormat="false" ht="15" hidden="false" customHeight="false" outlineLevel="0" collapsed="false">
      <c r="B81" s="9" t="s">
        <v>362</v>
      </c>
      <c r="C81" s="194" t="s">
        <v>361</v>
      </c>
      <c r="D81" s="158" t="n">
        <v>40000</v>
      </c>
      <c r="E81" s="156" t="n">
        <v>5</v>
      </c>
      <c r="H81" s="178" t="n">
        <f aca="false">DATE(2027,3,1)</f>
        <v>46447</v>
      </c>
      <c r="I81" s="168" t="n">
        <v>0</v>
      </c>
    </row>
    <row r="82" customFormat="false" ht="28.35" hidden="false" customHeight="false" outlineLevel="0" collapsed="false">
      <c r="B82" s="9" t="s">
        <v>363</v>
      </c>
      <c r="C82" s="194" t="s">
        <v>364</v>
      </c>
      <c r="D82" s="159" t="n">
        <f aca="false">$D$27*($G$74+$D$78+$D$79+$D$80+$D$81)</f>
        <v>132000</v>
      </c>
      <c r="E82" s="156" t="n">
        <v>13</v>
      </c>
      <c r="H82" s="178" t="n">
        <f aca="false">DATE(2027,1,1)</f>
        <v>46388</v>
      </c>
      <c r="I82" s="168" t="n">
        <v>0</v>
      </c>
    </row>
    <row r="83" customFormat="false" ht="28.35" hidden="false" customHeight="false" outlineLevel="0" collapsed="false">
      <c r="B83" s="9" t="s">
        <v>365</v>
      </c>
      <c r="C83" s="194" t="s">
        <v>366</v>
      </c>
      <c r="D83" s="159" t="n">
        <f aca="false">$D$28*($G$74+$D$78+$D$79+$D$80+$D$81+$D$82)</f>
        <v>178200</v>
      </c>
      <c r="E83" s="156" t="n">
        <v>13</v>
      </c>
      <c r="H83" s="178" t="n">
        <f aca="false">DATE(2027,1,1)</f>
        <v>46388</v>
      </c>
      <c r="I83" s="168" t="n">
        <v>0</v>
      </c>
    </row>
    <row r="84" customFormat="false" ht="15" hidden="false" customHeight="false" outlineLevel="0" collapsed="false">
      <c r="B84" s="9" t="s">
        <v>367</v>
      </c>
      <c r="C84" s="194"/>
      <c r="D84" s="158" t="n">
        <v>0</v>
      </c>
      <c r="E84" s="156" t="n">
        <v>1</v>
      </c>
      <c r="H84" s="178" t="n">
        <f aca="false">DATE(2027,8,1)</f>
        <v>46600</v>
      </c>
      <c r="I84" s="168" t="n">
        <v>0</v>
      </c>
    </row>
    <row r="86" customFormat="false" ht="15" hidden="false" customHeight="false" outlineLevel="0" collapsed="false">
      <c r="B86" s="167" t="s">
        <v>368</v>
      </c>
    </row>
    <row r="87" customFormat="false" ht="15" hidden="false" customHeight="false" outlineLevel="0" collapsed="false">
      <c r="B87" s="196" t="s">
        <v>369</v>
      </c>
      <c r="T87" s="159" t="n">
        <f aca="false">IF(AND(T$6&gt;=EOMONTH($H$78,0),T$6&lt;=EOMONTH(EDATE($H$78,$E$78-1),0)),$D$78/MAX($E$78,1),0)</f>
        <v>0</v>
      </c>
      <c r="U87" s="159" t="n">
        <f aca="false">IF(AND(U$6&gt;=EOMONTH($H$78,0),U$6&lt;=EOMONTH(EDATE($H$78,$E$78-1),0)),$D$78/MAX($E$78,1),0)</f>
        <v>0</v>
      </c>
      <c r="V87" s="159" t="n">
        <f aca="false">IF(AND(V$6&gt;=EOMONTH($H$78,0),V$6&lt;=EOMONTH(EDATE($H$78,$E$78-1),0)),$D$78/MAX($E$78,1),0)</f>
        <v>0</v>
      </c>
      <c r="W87" s="159" t="n">
        <f aca="false">IF(AND(W$6&gt;=EOMONTH($H$78,0),W$6&lt;=EOMONTH(EDATE($H$78,$E$78-1),0)),$D$78/MAX($E$78,1),0)</f>
        <v>0</v>
      </c>
      <c r="X87" s="159" t="n">
        <f aca="false">IF(AND(X$6&gt;=EOMONTH($H$78,0),X$6&lt;=EOMONTH(EDATE($H$78,$E$78-1),0)),$D$78/MAX($E$78,1),0)</f>
        <v>0</v>
      </c>
      <c r="Y87" s="159" t="n">
        <f aca="false">IF(AND(Y$6&gt;=EOMONTH($H$78,0),Y$6&lt;=EOMONTH(EDATE($H$78,$E$78-1),0)),$D$78/MAX($E$78,1),0)</f>
        <v>0</v>
      </c>
      <c r="Z87" s="159" t="n">
        <f aca="false">IF(AND(Z$6&gt;=EOMONTH($H$78,0),Z$6&lt;=EOMONTH(EDATE($H$78,$E$78-1),0)),$D$78/MAX($E$78,1),0)</f>
        <v>0</v>
      </c>
      <c r="AA87" s="159" t="n">
        <f aca="false">IF(AND(AA$6&gt;=EOMONTH($H$78,0),AA$6&lt;=EOMONTH(EDATE($H$78,$E$78-1),0)),$D$78/MAX($E$78,1),0)</f>
        <v>0</v>
      </c>
      <c r="AB87" s="159" t="n">
        <f aca="false">IF(AND(AB$6&gt;=EOMONTH($H$78,0),AB$6&lt;=EOMONTH(EDATE($H$78,$E$78-1),0)),$D$78/MAX($E$78,1),0)</f>
        <v>0</v>
      </c>
      <c r="AC87" s="159" t="n">
        <f aca="false">IF(AND(AC$6&gt;=EOMONTH($H$78,0),AC$6&lt;=EOMONTH(EDATE($H$78,$E$78-1),0)),$D$78/MAX($E$78,1),0)</f>
        <v>0</v>
      </c>
      <c r="AD87" s="159" t="n">
        <f aca="false">IF(AND(AD$6&gt;=EOMONTH($H$78,0),AD$6&lt;=EOMONTH(EDATE($H$78,$E$78-1),0)),$D$78/MAX($E$78,1),0)</f>
        <v>0</v>
      </c>
      <c r="AE87" s="159" t="n">
        <f aca="false">IF(AND(AE$6&gt;=EOMONTH($H$78,0),AE$6&lt;=EOMONTH(EDATE($H$78,$E$78-1),0)),$D$78/MAX($E$78,1),0)</f>
        <v>0</v>
      </c>
      <c r="AF87" s="159" t="n">
        <f aca="false">IF(AND(AF$6&gt;=EOMONTH($H$78,0),AF$6&lt;=EOMONTH(EDATE($H$78,$E$78-1),0)),$D$78/MAX($E$78,1),0)</f>
        <v>0</v>
      </c>
      <c r="AG87" s="159" t="n">
        <f aca="false">IF(AND(AG$6&gt;=EOMONTH($H$78,0),AG$6&lt;=EOMONTH(EDATE($H$78,$E$78-1),0)),$D$78/MAX($E$78,1),0)</f>
        <v>0</v>
      </c>
      <c r="AH87" s="159" t="n">
        <f aca="false">IF(AND(AH$6&gt;=EOMONTH($H$78,0),AH$6&lt;=EOMONTH(EDATE($H$78,$E$78-1),0)),$D$78/MAX($E$78,1),0)</f>
        <v>0</v>
      </c>
      <c r="AI87" s="159" t="n">
        <f aca="false">IF(AND(AI$6&gt;=EOMONTH($H$78,0),AI$6&lt;=EOMONTH(EDATE($H$78,$E$78-1),0)),$D$78/MAX($E$78,1),0)</f>
        <v>0</v>
      </c>
      <c r="AJ87" s="159" t="n">
        <f aca="false">IF(AND(AJ$6&gt;=EOMONTH($H$78,0),AJ$6&lt;=EOMONTH(EDATE($H$78,$E$78-1),0)),$D$78/MAX($E$78,1),0)</f>
        <v>0</v>
      </c>
      <c r="AK87" s="159" t="n">
        <f aca="false">IF(AND(AK$6&gt;=EOMONTH($H$78,0),AK$6&lt;=EOMONTH(EDATE($H$78,$E$78-1),0)),$D$78/MAX($E$78,1),0)</f>
        <v>0</v>
      </c>
      <c r="AL87" s="159" t="n">
        <f aca="false">IF(AND(AL$6&gt;=EOMONTH($H$78,0),AL$6&lt;=EOMONTH(EDATE($H$78,$E$78-1),0)),$D$78/MAX($E$78,1),0)</f>
        <v>0</v>
      </c>
      <c r="AM87" s="159" t="n">
        <f aca="false">IF(AND(AM$6&gt;=EOMONTH($H$78,0),AM$6&lt;=EOMONTH(EDATE($H$78,$E$78-1),0)),$D$78/MAX($E$78,1),0)</f>
        <v>0</v>
      </c>
      <c r="AN87" s="159" t="n">
        <f aca="false">IF(AND(AN$6&gt;=EOMONTH($H$78,0),AN$6&lt;=EOMONTH(EDATE($H$78,$E$78-1),0)),$D$78/MAX($E$78,1),0)</f>
        <v>0</v>
      </c>
      <c r="AO87" s="159" t="n">
        <f aca="false">IF(AND(AO$6&gt;=EOMONTH($H$78,0),AO$6&lt;=EOMONTH(EDATE($H$78,$E$78-1),0)),$D$78/MAX($E$78,1),0)</f>
        <v>0</v>
      </c>
      <c r="AP87" s="159" t="n">
        <f aca="false">IF(AND(AP$6&gt;=EOMONTH($H$78,0),AP$6&lt;=EOMONTH(EDATE($H$78,$E$78-1),0)),$D$78/MAX($E$78,1),0)</f>
        <v>0</v>
      </c>
      <c r="AQ87" s="159" t="n">
        <f aca="false">IF(AND(AQ$6&gt;=EOMONTH($H$78,0),AQ$6&lt;=EOMONTH(EDATE($H$78,$E$78-1),0)),$D$78/MAX($E$78,1),0)</f>
        <v>0</v>
      </c>
      <c r="AR87" s="159" t="n">
        <f aca="false">IF(AND(AR$6&gt;=EOMONTH($H$78,0),AR$6&lt;=EOMONTH(EDATE($H$78,$E$78-1),0)),$D$78/MAX($E$78,1),0)</f>
        <v>0</v>
      </c>
      <c r="AS87" s="159" t="n">
        <f aca="false">IF(AND(AS$6&gt;=EOMONTH($H$78,0),AS$6&lt;=EOMONTH(EDATE($H$78,$E$78-1),0)),$D$78/MAX($E$78,1),0)</f>
        <v>0</v>
      </c>
      <c r="AT87" s="159" t="n">
        <f aca="false">IF(AND(AT$6&gt;=EOMONTH($H$78,0),AT$6&lt;=EOMONTH(EDATE($H$78,$E$78-1),0)),$D$78/MAX($E$78,1),0)</f>
        <v>0</v>
      </c>
      <c r="AU87" s="159" t="n">
        <f aca="false">IF(AND(AU$6&gt;=EOMONTH($H$78,0),AU$6&lt;=EOMONTH(EDATE($H$78,$E$78-1),0)),$D$78/MAX($E$78,1),0)</f>
        <v>0</v>
      </c>
      <c r="AV87" s="159" t="n">
        <f aca="false">IF(AND(AV$6&gt;=EOMONTH($H$78,0),AV$6&lt;=EOMONTH(EDATE($H$78,$E$78-1),0)),$D$78/MAX($E$78,1),0)</f>
        <v>0</v>
      </c>
      <c r="AW87" s="159" t="n">
        <f aca="false">IF(AND(AW$6&gt;=EOMONTH($H$78,0),AW$6&lt;=EOMONTH(EDATE($H$78,$E$78-1),0)),$D$78/MAX($E$78,1),0)</f>
        <v>0</v>
      </c>
      <c r="AX87" s="159" t="n">
        <f aca="false">IF(AND(AX$6&gt;=EOMONTH($H$78,0),AX$6&lt;=EOMONTH(EDATE($H$78,$E$78-1),0)),$D$78/MAX($E$78,1),0)</f>
        <v>0</v>
      </c>
      <c r="AY87" s="159" t="n">
        <f aca="false">IF(AND(AY$6&gt;=EOMONTH($H$78,0),AY$6&lt;=EOMONTH(EDATE($H$78,$E$78-1),0)),$D$78/MAX($E$78,1),0)</f>
        <v>0</v>
      </c>
      <c r="AZ87" s="159" t="n">
        <f aca="false">IF(AND(AZ$6&gt;=EOMONTH($H$78,0),AZ$6&lt;=EOMONTH(EDATE($H$78,$E$78-1),0)),$D$78/MAX($E$78,1),0)</f>
        <v>0</v>
      </c>
      <c r="BA87" s="159" t="n">
        <f aca="false">IF(AND(BA$6&gt;=EOMONTH($H$78,0),BA$6&lt;=EOMONTH(EDATE($H$78,$E$78-1),0)),$D$78/MAX($E$78,1),0)</f>
        <v>0</v>
      </c>
      <c r="BB87" s="159" t="n">
        <f aca="false">IF(AND(BB$6&gt;=EOMONTH($H$78,0),BB$6&lt;=EOMONTH(EDATE($H$78,$E$78-1),0)),$D$78/MAX($E$78,1),0)</f>
        <v>0</v>
      </c>
      <c r="BC87" s="159" t="n">
        <f aca="false">IF(AND(BC$6&gt;=EOMONTH($H$78,0),BC$6&lt;=EOMONTH(EDATE($H$78,$E$78-1),0)),$D$78/MAX($E$78,1),0)</f>
        <v>0</v>
      </c>
      <c r="BD87" s="159" t="n">
        <f aca="false">IF(AND(BD$6&gt;=EOMONTH($H$78,0),BD$6&lt;=EOMONTH(EDATE($H$78,$E$78-1),0)),$D$78/MAX($E$78,1),0)</f>
        <v>0</v>
      </c>
      <c r="BE87" s="159" t="n">
        <f aca="false">IF(AND(BE$6&gt;=EOMONTH($H$78,0),BE$6&lt;=EOMONTH(EDATE($H$78,$E$78-1),0)),$D$78/MAX($E$78,1),0)</f>
        <v>0</v>
      </c>
      <c r="BF87" s="159" t="n">
        <f aca="false">IF(AND(BF$6&gt;=EOMONTH($H$78,0),BF$6&lt;=EOMONTH(EDATE($H$78,$E$78-1),0)),$D$78/MAX($E$78,1),0)</f>
        <v>0</v>
      </c>
      <c r="BG87" s="159" t="n">
        <f aca="false">IF(AND(BG$6&gt;=EOMONTH($H$78,0),BG$6&lt;=EOMONTH(EDATE($H$78,$E$78-1),0)),$D$78/MAX($E$78,1),0)</f>
        <v>0</v>
      </c>
      <c r="BH87" s="159" t="n">
        <f aca="false">IF(AND(BH$6&gt;=EOMONTH($H$78,0),BH$6&lt;=EOMONTH(EDATE($H$78,$E$78-1),0)),$D$78/MAX($E$78,1),0)</f>
        <v>0</v>
      </c>
      <c r="BI87" s="159" t="n">
        <f aca="false">IF(AND(BI$6&gt;=EOMONTH($H$78,0),BI$6&lt;=EOMONTH(EDATE($H$78,$E$78-1),0)),$D$78/MAX($E$78,1),0)</f>
        <v>0</v>
      </c>
      <c r="BJ87" s="159" t="n">
        <f aca="false">IF(AND(BJ$6&gt;=EOMONTH($H$78,0),BJ$6&lt;=EOMONTH(EDATE($H$78,$E$78-1),0)),$D$78/MAX($E$78,1),0)</f>
        <v>0</v>
      </c>
      <c r="BK87" s="159" t="n">
        <f aca="false">IF(AND(BK$6&gt;=EOMONTH($H$78,0),BK$6&lt;=EOMONTH(EDATE($H$78,$E$78-1),0)),$D$78/MAX($E$78,1),0)</f>
        <v>0</v>
      </c>
      <c r="BL87" s="159" t="n">
        <f aca="false">IF(AND(BL$6&gt;=EOMONTH($H$78,0),BL$6&lt;=EOMONTH(EDATE($H$78,$E$78-1),0)),$D$78/MAX($E$78,1),0)</f>
        <v>0</v>
      </c>
      <c r="BM87" s="159" t="n">
        <f aca="false">IF(AND(BM$6&gt;=EOMONTH($H$78,0),BM$6&lt;=EOMONTH(EDATE($H$78,$E$78-1),0)),$D$78/MAX($E$78,1),0)</f>
        <v>0</v>
      </c>
      <c r="BN87" s="159" t="n">
        <f aca="false">IF(AND(BN$6&gt;=EOMONTH($H$78,0),BN$6&lt;=EOMONTH(EDATE($H$78,$E$78-1),0)),$D$78/MAX($E$78,1),0)</f>
        <v>0</v>
      </c>
      <c r="BO87" s="159" t="n">
        <f aca="false">IF(AND(BO$6&gt;=EOMONTH($H$78,0),BO$6&lt;=EOMONTH(EDATE($H$78,$E$78-1),0)),$D$78/MAX($E$78,1),0)</f>
        <v>0</v>
      </c>
      <c r="BP87" s="159" t="n">
        <f aca="false">IF(AND(BP$6&gt;=EOMONTH($H$78,0),BP$6&lt;=EOMONTH(EDATE($H$78,$E$78-1),0)),$D$78/MAX($E$78,1),0)</f>
        <v>0</v>
      </c>
      <c r="BQ87" s="159" t="n">
        <f aca="false">IF(AND(BQ$6&gt;=EOMONTH($H$78,0),BQ$6&lt;=EOMONTH(EDATE($H$78,$E$78-1),0)),$D$78/MAX($E$78,1),0)</f>
        <v>0</v>
      </c>
      <c r="BR87" s="159" t="n">
        <f aca="false">IF(AND(BR$6&gt;=EOMONTH($H$78,0),BR$6&lt;=EOMONTH(EDATE($H$78,$E$78-1),0)),$D$78/MAX($E$78,1),0)</f>
        <v>0</v>
      </c>
      <c r="BS87" s="159" t="n">
        <f aca="false">IF(AND(BS$6&gt;=EOMONTH($H$78,0),BS$6&lt;=EOMONTH(EDATE($H$78,$E$78-1),0)),$D$78/MAX($E$78,1),0)</f>
        <v>0</v>
      </c>
      <c r="BT87" s="159" t="n">
        <f aca="false">IF(AND(BT$6&gt;=EOMONTH($H$78,0),BT$6&lt;=EOMONTH(EDATE($H$78,$E$78-1),0)),$D$78/MAX($E$78,1),0)</f>
        <v>0</v>
      </c>
      <c r="BU87" s="159" t="n">
        <f aca="false">IF(AND(BU$6&gt;=EOMONTH($H$78,0),BU$6&lt;=EOMONTH(EDATE($H$78,$E$78-1),0)),$D$78/MAX($E$78,1),0)</f>
        <v>0</v>
      </c>
      <c r="BV87" s="159" t="n">
        <f aca="false">IF(AND(BV$6&gt;=EOMONTH($H$78,0),BV$6&lt;=EOMONTH(EDATE($H$78,$E$78-1),0)),$D$78/MAX($E$78,1),0)</f>
        <v>0</v>
      </c>
      <c r="BW87" s="159" t="n">
        <f aca="false">IF(AND(BW$6&gt;=EOMONTH($H$78,0),BW$6&lt;=EOMONTH(EDATE($H$78,$E$78-1),0)),$D$78/MAX($E$78,1),0)</f>
        <v>0</v>
      </c>
      <c r="BX87" s="159" t="n">
        <f aca="false">IF(AND(BX$6&gt;=EOMONTH($H$78,0),BX$6&lt;=EOMONTH(EDATE($H$78,$E$78-1),0)),$D$78/MAX($E$78,1),0)</f>
        <v>0</v>
      </c>
      <c r="BY87" s="159" t="n">
        <f aca="false">IF(AND(BY$6&gt;=EOMONTH($H$78,0),BY$6&lt;=EOMONTH(EDATE($H$78,$E$78-1),0)),$D$78/MAX($E$78,1),0)</f>
        <v>0</v>
      </c>
      <c r="BZ87" s="159" t="n">
        <f aca="false">IF(AND(BZ$6&gt;=EOMONTH($H$78,0),BZ$6&lt;=EOMONTH(EDATE($H$78,$E$78-1),0)),$D$78/MAX($E$78,1),0)</f>
        <v>0</v>
      </c>
      <c r="CA87" s="159" t="n">
        <f aca="false">IF(AND(CA$6&gt;=EOMONTH($H$78,0),CA$6&lt;=EOMONTH(EDATE($H$78,$E$78-1),0)),$D$78/MAX($E$78,1),0)</f>
        <v>0</v>
      </c>
    </row>
    <row r="88" customFormat="false" ht="15" hidden="false" customHeight="false" outlineLevel="0" collapsed="false">
      <c r="B88" s="196" t="s">
        <v>370</v>
      </c>
      <c r="T88" s="159" t="n">
        <f aca="false">IF(AND(T$6&gt;=EOMONTH($H$79,0),T$6&lt;=EOMONTH(EDATE($H$79,$E$79-1),0)),$D$79/MAX($E$79,1),0)</f>
        <v>0</v>
      </c>
      <c r="U88" s="159" t="n">
        <f aca="false">IF(AND(U$6&gt;=EOMONTH($H$79,0),U$6&lt;=EOMONTH(EDATE($H$79,$E$79-1),0)),$D$79/MAX($E$79,1),0)</f>
        <v>0</v>
      </c>
      <c r="V88" s="159" t="n">
        <f aca="false">IF(AND(V$6&gt;=EOMONTH($H$79,0),V$6&lt;=EOMONTH(EDATE($H$79,$E$79-1),0)),$D$79/MAX($E$79,1),0)</f>
        <v>0</v>
      </c>
      <c r="W88" s="159" t="n">
        <f aca="false">IF(AND(W$6&gt;=EOMONTH($H$79,0),W$6&lt;=EOMONTH(EDATE($H$79,$E$79-1),0)),$D$79/MAX($E$79,1),0)</f>
        <v>0</v>
      </c>
      <c r="X88" s="159" t="n">
        <f aca="false">IF(AND(X$6&gt;=EOMONTH($H$79,0),X$6&lt;=EOMONTH(EDATE($H$79,$E$79-1),0)),$D$79/MAX($E$79,1),0)</f>
        <v>0</v>
      </c>
      <c r="Y88" s="159" t="n">
        <f aca="false">IF(AND(Y$6&gt;=EOMONTH($H$79,0),Y$6&lt;=EOMONTH(EDATE($H$79,$E$79-1),0)),$D$79/MAX($E$79,1),0)</f>
        <v>0</v>
      </c>
      <c r="Z88" s="159" t="n">
        <f aca="false">IF(AND(Z$6&gt;=EOMONTH($H$79,0),Z$6&lt;=EOMONTH(EDATE($H$79,$E$79-1),0)),$D$79/MAX($E$79,1),0)</f>
        <v>0</v>
      </c>
      <c r="AA88" s="159" t="n">
        <f aca="false">IF(AND(AA$6&gt;=EOMONTH($H$79,0),AA$6&lt;=EOMONTH(EDATE($H$79,$E$79-1),0)),$D$79/MAX($E$79,1),0)</f>
        <v>0</v>
      </c>
      <c r="AB88" s="159" t="n">
        <f aca="false">IF(AND(AB$6&gt;=EOMONTH($H$79,0),AB$6&lt;=EOMONTH(EDATE($H$79,$E$79-1),0)),$D$79/MAX($E$79,1),0)</f>
        <v>0</v>
      </c>
      <c r="AC88" s="159" t="n">
        <f aca="false">IF(AND(AC$6&gt;=EOMONTH($H$79,0),AC$6&lt;=EOMONTH(EDATE($H$79,$E$79-1),0)),$D$79/MAX($E$79,1),0)</f>
        <v>0</v>
      </c>
      <c r="AD88" s="159" t="n">
        <f aca="false">IF(AND(AD$6&gt;=EOMONTH($H$79,0),AD$6&lt;=EOMONTH(EDATE($H$79,$E$79-1),0)),$D$79/MAX($E$79,1),0)</f>
        <v>0</v>
      </c>
      <c r="AE88" s="159" t="n">
        <f aca="false">IF(AND(AE$6&gt;=EOMONTH($H$79,0),AE$6&lt;=EOMONTH(EDATE($H$79,$E$79-1),0)),$D$79/MAX($E$79,1),0)</f>
        <v>0</v>
      </c>
      <c r="AF88" s="159" t="n">
        <f aca="false">IF(AND(AF$6&gt;=EOMONTH($H$79,0),AF$6&lt;=EOMONTH(EDATE($H$79,$E$79-1),0)),$D$79/MAX($E$79,1),0)</f>
        <v>0</v>
      </c>
      <c r="AG88" s="159" t="n">
        <f aca="false">IF(AND(AG$6&gt;=EOMONTH($H$79,0),AG$6&lt;=EOMONTH(EDATE($H$79,$E$79-1),0)),$D$79/MAX($E$79,1),0)</f>
        <v>0</v>
      </c>
      <c r="AH88" s="159" t="n">
        <f aca="false">IF(AND(AH$6&gt;=EOMONTH($H$79,0),AH$6&lt;=EOMONTH(EDATE($H$79,$E$79-1),0)),$D$79/MAX($E$79,1),0)</f>
        <v>24000</v>
      </c>
      <c r="AI88" s="159" t="n">
        <f aca="false">IF(AND(AI$6&gt;=EOMONTH($H$79,0),AI$6&lt;=EOMONTH(EDATE($H$79,$E$79-1),0)),$D$79/MAX($E$79,1),0)</f>
        <v>24000</v>
      </c>
      <c r="AJ88" s="159" t="n">
        <f aca="false">IF(AND(AJ$6&gt;=EOMONTH($H$79,0),AJ$6&lt;=EOMONTH(EDATE($H$79,$E$79-1),0)),$D$79/MAX($E$79,1),0)</f>
        <v>24000</v>
      </c>
      <c r="AK88" s="159" t="n">
        <f aca="false">IF(AND(AK$6&gt;=EOMONTH($H$79,0),AK$6&lt;=EOMONTH(EDATE($H$79,$E$79-1),0)),$D$79/MAX($E$79,1),0)</f>
        <v>24000</v>
      </c>
      <c r="AL88" s="159" t="n">
        <f aca="false">IF(AND(AL$6&gt;=EOMONTH($H$79,0),AL$6&lt;=EOMONTH(EDATE($H$79,$E$79-1),0)),$D$79/MAX($E$79,1),0)</f>
        <v>24000</v>
      </c>
      <c r="AM88" s="159" t="n">
        <f aca="false">IF(AND(AM$6&gt;=EOMONTH($H$79,0),AM$6&lt;=EOMONTH(EDATE($H$79,$E$79-1),0)),$D$79/MAX($E$79,1),0)</f>
        <v>0</v>
      </c>
      <c r="AN88" s="159" t="n">
        <f aca="false">IF(AND(AN$6&gt;=EOMONTH($H$79,0),AN$6&lt;=EOMONTH(EDATE($H$79,$E$79-1),0)),$D$79/MAX($E$79,1),0)</f>
        <v>0</v>
      </c>
      <c r="AO88" s="159" t="n">
        <f aca="false">IF(AND(AO$6&gt;=EOMONTH($H$79,0),AO$6&lt;=EOMONTH(EDATE($H$79,$E$79-1),0)),$D$79/MAX($E$79,1),0)</f>
        <v>0</v>
      </c>
      <c r="AP88" s="159" t="n">
        <f aca="false">IF(AND(AP$6&gt;=EOMONTH($H$79,0),AP$6&lt;=EOMONTH(EDATE($H$79,$E$79-1),0)),$D$79/MAX($E$79,1),0)</f>
        <v>0</v>
      </c>
      <c r="AQ88" s="159" t="n">
        <f aca="false">IF(AND(AQ$6&gt;=EOMONTH($H$79,0),AQ$6&lt;=EOMONTH(EDATE($H$79,$E$79-1),0)),$D$79/MAX($E$79,1),0)</f>
        <v>0</v>
      </c>
      <c r="AR88" s="159" t="n">
        <f aca="false">IF(AND(AR$6&gt;=EOMONTH($H$79,0),AR$6&lt;=EOMONTH(EDATE($H$79,$E$79-1),0)),$D$79/MAX($E$79,1),0)</f>
        <v>0</v>
      </c>
      <c r="AS88" s="159" t="n">
        <f aca="false">IF(AND(AS$6&gt;=EOMONTH($H$79,0),AS$6&lt;=EOMONTH(EDATE($H$79,$E$79-1),0)),$D$79/MAX($E$79,1),0)</f>
        <v>0</v>
      </c>
      <c r="AT88" s="159" t="n">
        <f aca="false">IF(AND(AT$6&gt;=EOMONTH($H$79,0),AT$6&lt;=EOMONTH(EDATE($H$79,$E$79-1),0)),$D$79/MAX($E$79,1),0)</f>
        <v>0</v>
      </c>
      <c r="AU88" s="159" t="n">
        <f aca="false">IF(AND(AU$6&gt;=EOMONTH($H$79,0),AU$6&lt;=EOMONTH(EDATE($H$79,$E$79-1),0)),$D$79/MAX($E$79,1),0)</f>
        <v>0</v>
      </c>
      <c r="AV88" s="159" t="n">
        <f aca="false">IF(AND(AV$6&gt;=EOMONTH($H$79,0),AV$6&lt;=EOMONTH(EDATE($H$79,$E$79-1),0)),$D$79/MAX($E$79,1),0)</f>
        <v>0</v>
      </c>
      <c r="AW88" s="159" t="n">
        <f aca="false">IF(AND(AW$6&gt;=EOMONTH($H$79,0),AW$6&lt;=EOMONTH(EDATE($H$79,$E$79-1),0)),$D$79/MAX($E$79,1),0)</f>
        <v>0</v>
      </c>
      <c r="AX88" s="159" t="n">
        <f aca="false">IF(AND(AX$6&gt;=EOMONTH($H$79,0),AX$6&lt;=EOMONTH(EDATE($H$79,$E$79-1),0)),$D$79/MAX($E$79,1),0)</f>
        <v>0</v>
      </c>
      <c r="AY88" s="159" t="n">
        <f aca="false">IF(AND(AY$6&gt;=EOMONTH($H$79,0),AY$6&lt;=EOMONTH(EDATE($H$79,$E$79-1),0)),$D$79/MAX($E$79,1),0)</f>
        <v>0</v>
      </c>
      <c r="AZ88" s="159" t="n">
        <f aca="false">IF(AND(AZ$6&gt;=EOMONTH($H$79,0),AZ$6&lt;=EOMONTH(EDATE($H$79,$E$79-1),0)),$D$79/MAX($E$79,1),0)</f>
        <v>0</v>
      </c>
      <c r="BA88" s="159" t="n">
        <f aca="false">IF(AND(BA$6&gt;=EOMONTH($H$79,0),BA$6&lt;=EOMONTH(EDATE($H$79,$E$79-1),0)),$D$79/MAX($E$79,1),0)</f>
        <v>0</v>
      </c>
      <c r="BB88" s="159" t="n">
        <f aca="false">IF(AND(BB$6&gt;=EOMONTH($H$79,0),BB$6&lt;=EOMONTH(EDATE($H$79,$E$79-1),0)),$D$79/MAX($E$79,1),0)</f>
        <v>0</v>
      </c>
      <c r="BC88" s="159" t="n">
        <f aca="false">IF(AND(BC$6&gt;=EOMONTH($H$79,0),BC$6&lt;=EOMONTH(EDATE($H$79,$E$79-1),0)),$D$79/MAX($E$79,1),0)</f>
        <v>0</v>
      </c>
      <c r="BD88" s="159" t="n">
        <f aca="false">IF(AND(BD$6&gt;=EOMONTH($H$79,0),BD$6&lt;=EOMONTH(EDATE($H$79,$E$79-1),0)),$D$79/MAX($E$79,1),0)</f>
        <v>0</v>
      </c>
      <c r="BE88" s="159" t="n">
        <f aca="false">IF(AND(BE$6&gt;=EOMONTH($H$79,0),BE$6&lt;=EOMONTH(EDATE($H$79,$E$79-1),0)),$D$79/MAX($E$79,1),0)</f>
        <v>0</v>
      </c>
      <c r="BF88" s="159" t="n">
        <f aca="false">IF(AND(BF$6&gt;=EOMONTH($H$79,0),BF$6&lt;=EOMONTH(EDATE($H$79,$E$79-1),0)),$D$79/MAX($E$79,1),0)</f>
        <v>0</v>
      </c>
      <c r="BG88" s="159" t="n">
        <f aca="false">IF(AND(BG$6&gt;=EOMONTH($H$79,0),BG$6&lt;=EOMONTH(EDATE($H$79,$E$79-1),0)),$D$79/MAX($E$79,1),0)</f>
        <v>0</v>
      </c>
      <c r="BH88" s="159" t="n">
        <f aca="false">IF(AND(BH$6&gt;=EOMONTH($H$79,0),BH$6&lt;=EOMONTH(EDATE($H$79,$E$79-1),0)),$D$79/MAX($E$79,1),0)</f>
        <v>0</v>
      </c>
      <c r="BI88" s="159" t="n">
        <f aca="false">IF(AND(BI$6&gt;=EOMONTH($H$79,0),BI$6&lt;=EOMONTH(EDATE($H$79,$E$79-1),0)),$D$79/MAX($E$79,1),0)</f>
        <v>0</v>
      </c>
      <c r="BJ88" s="159" t="n">
        <f aca="false">IF(AND(BJ$6&gt;=EOMONTH($H$79,0),BJ$6&lt;=EOMONTH(EDATE($H$79,$E$79-1),0)),$D$79/MAX($E$79,1),0)</f>
        <v>0</v>
      </c>
      <c r="BK88" s="159" t="n">
        <f aca="false">IF(AND(BK$6&gt;=EOMONTH($H$79,0),BK$6&lt;=EOMONTH(EDATE($H$79,$E$79-1),0)),$D$79/MAX($E$79,1),0)</f>
        <v>0</v>
      </c>
      <c r="BL88" s="159" t="n">
        <f aca="false">IF(AND(BL$6&gt;=EOMONTH($H$79,0),BL$6&lt;=EOMONTH(EDATE($H$79,$E$79-1),0)),$D$79/MAX($E$79,1),0)</f>
        <v>0</v>
      </c>
      <c r="BM88" s="159" t="n">
        <f aca="false">IF(AND(BM$6&gt;=EOMONTH($H$79,0),BM$6&lt;=EOMONTH(EDATE($H$79,$E$79-1),0)),$D$79/MAX($E$79,1),0)</f>
        <v>0</v>
      </c>
      <c r="BN88" s="159" t="n">
        <f aca="false">IF(AND(BN$6&gt;=EOMONTH($H$79,0),BN$6&lt;=EOMONTH(EDATE($H$79,$E$79-1),0)),$D$79/MAX($E$79,1),0)</f>
        <v>0</v>
      </c>
      <c r="BO88" s="159" t="n">
        <f aca="false">IF(AND(BO$6&gt;=EOMONTH($H$79,0),BO$6&lt;=EOMONTH(EDATE($H$79,$E$79-1),0)),$D$79/MAX($E$79,1),0)</f>
        <v>0</v>
      </c>
      <c r="BP88" s="159" t="n">
        <f aca="false">IF(AND(BP$6&gt;=EOMONTH($H$79,0),BP$6&lt;=EOMONTH(EDATE($H$79,$E$79-1),0)),$D$79/MAX($E$79,1),0)</f>
        <v>0</v>
      </c>
      <c r="BQ88" s="159" t="n">
        <f aca="false">IF(AND(BQ$6&gt;=EOMONTH($H$79,0),BQ$6&lt;=EOMONTH(EDATE($H$79,$E$79-1),0)),$D$79/MAX($E$79,1),0)</f>
        <v>0</v>
      </c>
      <c r="BR88" s="159" t="n">
        <f aca="false">IF(AND(BR$6&gt;=EOMONTH($H$79,0),BR$6&lt;=EOMONTH(EDATE($H$79,$E$79-1),0)),$D$79/MAX($E$79,1),0)</f>
        <v>0</v>
      </c>
      <c r="BS88" s="159" t="n">
        <f aca="false">IF(AND(BS$6&gt;=EOMONTH($H$79,0),BS$6&lt;=EOMONTH(EDATE($H$79,$E$79-1),0)),$D$79/MAX($E$79,1),0)</f>
        <v>0</v>
      </c>
      <c r="BT88" s="159" t="n">
        <f aca="false">IF(AND(BT$6&gt;=EOMONTH($H$79,0),BT$6&lt;=EOMONTH(EDATE($H$79,$E$79-1),0)),$D$79/MAX($E$79,1),0)</f>
        <v>0</v>
      </c>
      <c r="BU88" s="159" t="n">
        <f aca="false">IF(AND(BU$6&gt;=EOMONTH($H$79,0),BU$6&lt;=EOMONTH(EDATE($H$79,$E$79-1),0)),$D$79/MAX($E$79,1),0)</f>
        <v>0</v>
      </c>
      <c r="BV88" s="159" t="n">
        <f aca="false">IF(AND(BV$6&gt;=EOMONTH($H$79,0),BV$6&lt;=EOMONTH(EDATE($H$79,$E$79-1),0)),$D$79/MAX($E$79,1),0)</f>
        <v>0</v>
      </c>
      <c r="BW88" s="159" t="n">
        <f aca="false">IF(AND(BW$6&gt;=EOMONTH($H$79,0),BW$6&lt;=EOMONTH(EDATE($H$79,$E$79-1),0)),$D$79/MAX($E$79,1),0)</f>
        <v>0</v>
      </c>
      <c r="BX88" s="159" t="n">
        <f aca="false">IF(AND(BX$6&gt;=EOMONTH($H$79,0),BX$6&lt;=EOMONTH(EDATE($H$79,$E$79-1),0)),$D$79/MAX($E$79,1),0)</f>
        <v>0</v>
      </c>
      <c r="BY88" s="159" t="n">
        <f aca="false">IF(AND(BY$6&gt;=EOMONTH($H$79,0),BY$6&lt;=EOMONTH(EDATE($H$79,$E$79-1),0)),$D$79/MAX($E$79,1),0)</f>
        <v>0</v>
      </c>
      <c r="BZ88" s="159" t="n">
        <f aca="false">IF(AND(BZ$6&gt;=EOMONTH($H$79,0),BZ$6&lt;=EOMONTH(EDATE($H$79,$E$79-1),0)),$D$79/MAX($E$79,1),0)</f>
        <v>0</v>
      </c>
      <c r="CA88" s="159" t="n">
        <f aca="false">IF(AND(CA$6&gt;=EOMONTH($H$79,0),CA$6&lt;=EOMONTH(EDATE($H$79,$E$79-1),0)),$D$79/MAX($E$79,1),0)</f>
        <v>0</v>
      </c>
    </row>
    <row r="89" customFormat="false" ht="15" hidden="false" customHeight="false" outlineLevel="0" collapsed="false">
      <c r="B89" s="196" t="s">
        <v>371</v>
      </c>
      <c r="T89" s="159" t="n">
        <f aca="false">IF(AND(T$6&gt;=EOMONTH($H$80,0),T$6&lt;=EOMONTH(EDATE($H$80,$E$80-1),0)),$D$80/MAX($E$80,1),0)</f>
        <v>0</v>
      </c>
      <c r="U89" s="159" t="n">
        <f aca="false">IF(AND(U$6&gt;=EOMONTH($H$80,0),U$6&lt;=EOMONTH(EDATE($H$80,$E$80-1),0)),$D$80/MAX($E$80,1),0)</f>
        <v>0</v>
      </c>
      <c r="V89" s="159" t="n">
        <f aca="false">IF(AND(V$6&gt;=EOMONTH($H$80,0),V$6&lt;=EOMONTH(EDATE($H$80,$E$80-1),0)),$D$80/MAX($E$80,1),0)</f>
        <v>0</v>
      </c>
      <c r="W89" s="159" t="n">
        <f aca="false">IF(AND(W$6&gt;=EOMONTH($H$80,0),W$6&lt;=EOMONTH(EDATE($H$80,$E$80-1),0)),$D$80/MAX($E$80,1),0)</f>
        <v>0</v>
      </c>
      <c r="X89" s="159" t="n">
        <f aca="false">IF(AND(X$6&gt;=EOMONTH($H$80,0),X$6&lt;=EOMONTH(EDATE($H$80,$E$80-1),0)),$D$80/MAX($E$80,1),0)</f>
        <v>0</v>
      </c>
      <c r="Y89" s="159" t="n">
        <f aca="false">IF(AND(Y$6&gt;=EOMONTH($H$80,0),Y$6&lt;=EOMONTH(EDATE($H$80,$E$80-1),0)),$D$80/MAX($E$80,1),0)</f>
        <v>0</v>
      </c>
      <c r="Z89" s="159" t="n">
        <f aca="false">IF(AND(Z$6&gt;=EOMONTH($H$80,0),Z$6&lt;=EOMONTH(EDATE($H$80,$E$80-1),0)),$D$80/MAX($E$80,1),0)</f>
        <v>0</v>
      </c>
      <c r="AA89" s="159" t="n">
        <f aca="false">IF(AND(AA$6&gt;=EOMONTH($H$80,0),AA$6&lt;=EOMONTH(EDATE($H$80,$E$80-1),0)),$D$80/MAX($E$80,1),0)</f>
        <v>0</v>
      </c>
      <c r="AB89" s="159" t="n">
        <f aca="false">IF(AND(AB$6&gt;=EOMONTH($H$80,0),AB$6&lt;=EOMONTH(EDATE($H$80,$E$80-1),0)),$D$80/MAX($E$80,1),0)</f>
        <v>0</v>
      </c>
      <c r="AC89" s="159" t="n">
        <f aca="false">IF(AND(AC$6&gt;=EOMONTH($H$80,0),AC$6&lt;=EOMONTH(EDATE($H$80,$E$80-1),0)),$D$80/MAX($E$80,1),0)</f>
        <v>0</v>
      </c>
      <c r="AD89" s="159" t="n">
        <f aca="false">IF(AND(AD$6&gt;=EOMONTH($H$80,0),AD$6&lt;=EOMONTH(EDATE($H$80,$E$80-1),0)),$D$80/MAX($E$80,1),0)</f>
        <v>0</v>
      </c>
      <c r="AE89" s="159" t="n">
        <f aca="false">IF(AND(AE$6&gt;=EOMONTH($H$80,0),AE$6&lt;=EOMONTH(EDATE($H$80,$E$80-1),0)),$D$80/MAX($E$80,1),0)</f>
        <v>0</v>
      </c>
      <c r="AF89" s="159" t="n">
        <f aca="false">IF(AND(AF$6&gt;=EOMONTH($H$80,0),AF$6&lt;=EOMONTH(EDATE($H$80,$E$80-1),0)),$D$80/MAX($E$80,1),0)</f>
        <v>0</v>
      </c>
      <c r="AG89" s="159" t="n">
        <f aca="false">IF(AND(AG$6&gt;=EOMONTH($H$80,0),AG$6&lt;=EOMONTH(EDATE($H$80,$E$80-1),0)),$D$80/MAX($E$80,1),0)</f>
        <v>0</v>
      </c>
      <c r="AH89" s="159" t="n">
        <f aca="false">IF(AND(AH$6&gt;=EOMONTH($H$80,0),AH$6&lt;=EOMONTH(EDATE($H$80,$E$80-1),0)),$D$80/MAX($E$80,1),0)</f>
        <v>12000</v>
      </c>
      <c r="AI89" s="159" t="n">
        <f aca="false">IF(AND(AI$6&gt;=EOMONTH($H$80,0),AI$6&lt;=EOMONTH(EDATE($H$80,$E$80-1),0)),$D$80/MAX($E$80,1),0)</f>
        <v>12000</v>
      </c>
      <c r="AJ89" s="159" t="n">
        <f aca="false">IF(AND(AJ$6&gt;=EOMONTH($H$80,0),AJ$6&lt;=EOMONTH(EDATE($H$80,$E$80-1),0)),$D$80/MAX($E$80,1),0)</f>
        <v>12000</v>
      </c>
      <c r="AK89" s="159" t="n">
        <f aca="false">IF(AND(AK$6&gt;=EOMONTH($H$80,0),AK$6&lt;=EOMONTH(EDATE($H$80,$E$80-1),0)),$D$80/MAX($E$80,1),0)</f>
        <v>12000</v>
      </c>
      <c r="AL89" s="159" t="n">
        <f aca="false">IF(AND(AL$6&gt;=EOMONTH($H$80,0),AL$6&lt;=EOMONTH(EDATE($H$80,$E$80-1),0)),$D$80/MAX($E$80,1),0)</f>
        <v>12000</v>
      </c>
      <c r="AM89" s="159" t="n">
        <f aca="false">IF(AND(AM$6&gt;=EOMONTH($H$80,0),AM$6&lt;=EOMONTH(EDATE($H$80,$E$80-1),0)),$D$80/MAX($E$80,1),0)</f>
        <v>0</v>
      </c>
      <c r="AN89" s="159" t="n">
        <f aca="false">IF(AND(AN$6&gt;=EOMONTH($H$80,0),AN$6&lt;=EOMONTH(EDATE($H$80,$E$80-1),0)),$D$80/MAX($E$80,1),0)</f>
        <v>0</v>
      </c>
      <c r="AO89" s="159" t="n">
        <f aca="false">IF(AND(AO$6&gt;=EOMONTH($H$80,0),AO$6&lt;=EOMONTH(EDATE($H$80,$E$80-1),0)),$D$80/MAX($E$80,1),0)</f>
        <v>0</v>
      </c>
      <c r="AP89" s="159" t="n">
        <f aca="false">IF(AND(AP$6&gt;=EOMONTH($H$80,0),AP$6&lt;=EOMONTH(EDATE($H$80,$E$80-1),0)),$D$80/MAX($E$80,1),0)</f>
        <v>0</v>
      </c>
      <c r="AQ89" s="159" t="n">
        <f aca="false">IF(AND(AQ$6&gt;=EOMONTH($H$80,0),AQ$6&lt;=EOMONTH(EDATE($H$80,$E$80-1),0)),$D$80/MAX($E$80,1),0)</f>
        <v>0</v>
      </c>
      <c r="AR89" s="159" t="n">
        <f aca="false">IF(AND(AR$6&gt;=EOMONTH($H$80,0),AR$6&lt;=EOMONTH(EDATE($H$80,$E$80-1),0)),$D$80/MAX($E$80,1),0)</f>
        <v>0</v>
      </c>
      <c r="AS89" s="159" t="n">
        <f aca="false">IF(AND(AS$6&gt;=EOMONTH($H$80,0),AS$6&lt;=EOMONTH(EDATE($H$80,$E$80-1),0)),$D$80/MAX($E$80,1),0)</f>
        <v>0</v>
      </c>
      <c r="AT89" s="159" t="n">
        <f aca="false">IF(AND(AT$6&gt;=EOMONTH($H$80,0),AT$6&lt;=EOMONTH(EDATE($H$80,$E$80-1),0)),$D$80/MAX($E$80,1),0)</f>
        <v>0</v>
      </c>
      <c r="AU89" s="159" t="n">
        <f aca="false">IF(AND(AU$6&gt;=EOMONTH($H$80,0),AU$6&lt;=EOMONTH(EDATE($H$80,$E$80-1),0)),$D$80/MAX($E$80,1),0)</f>
        <v>0</v>
      </c>
      <c r="AV89" s="159" t="n">
        <f aca="false">IF(AND(AV$6&gt;=EOMONTH($H$80,0),AV$6&lt;=EOMONTH(EDATE($H$80,$E$80-1),0)),$D$80/MAX($E$80,1),0)</f>
        <v>0</v>
      </c>
      <c r="AW89" s="159" t="n">
        <f aca="false">IF(AND(AW$6&gt;=EOMONTH($H$80,0),AW$6&lt;=EOMONTH(EDATE($H$80,$E$80-1),0)),$D$80/MAX($E$80,1),0)</f>
        <v>0</v>
      </c>
      <c r="AX89" s="159" t="n">
        <f aca="false">IF(AND(AX$6&gt;=EOMONTH($H$80,0),AX$6&lt;=EOMONTH(EDATE($H$80,$E$80-1),0)),$D$80/MAX($E$80,1),0)</f>
        <v>0</v>
      </c>
      <c r="AY89" s="159" t="n">
        <f aca="false">IF(AND(AY$6&gt;=EOMONTH($H$80,0),AY$6&lt;=EOMONTH(EDATE($H$80,$E$80-1),0)),$D$80/MAX($E$80,1),0)</f>
        <v>0</v>
      </c>
      <c r="AZ89" s="159" t="n">
        <f aca="false">IF(AND(AZ$6&gt;=EOMONTH($H$80,0),AZ$6&lt;=EOMONTH(EDATE($H$80,$E$80-1),0)),$D$80/MAX($E$80,1),0)</f>
        <v>0</v>
      </c>
      <c r="BA89" s="159" t="n">
        <f aca="false">IF(AND(BA$6&gt;=EOMONTH($H$80,0),BA$6&lt;=EOMONTH(EDATE($H$80,$E$80-1),0)),$D$80/MAX($E$80,1),0)</f>
        <v>0</v>
      </c>
      <c r="BB89" s="159" t="n">
        <f aca="false">IF(AND(BB$6&gt;=EOMONTH($H$80,0),BB$6&lt;=EOMONTH(EDATE($H$80,$E$80-1),0)),$D$80/MAX($E$80,1),0)</f>
        <v>0</v>
      </c>
      <c r="BC89" s="159" t="n">
        <f aca="false">IF(AND(BC$6&gt;=EOMONTH($H$80,0),BC$6&lt;=EOMONTH(EDATE($H$80,$E$80-1),0)),$D$80/MAX($E$80,1),0)</f>
        <v>0</v>
      </c>
      <c r="BD89" s="159" t="n">
        <f aca="false">IF(AND(BD$6&gt;=EOMONTH($H$80,0),BD$6&lt;=EOMONTH(EDATE($H$80,$E$80-1),0)),$D$80/MAX($E$80,1),0)</f>
        <v>0</v>
      </c>
      <c r="BE89" s="159" t="n">
        <f aca="false">IF(AND(BE$6&gt;=EOMONTH($H$80,0),BE$6&lt;=EOMONTH(EDATE($H$80,$E$80-1),0)),$D$80/MAX($E$80,1),0)</f>
        <v>0</v>
      </c>
      <c r="BF89" s="159" t="n">
        <f aca="false">IF(AND(BF$6&gt;=EOMONTH($H$80,0),BF$6&lt;=EOMONTH(EDATE($H$80,$E$80-1),0)),$D$80/MAX($E$80,1),0)</f>
        <v>0</v>
      </c>
      <c r="BG89" s="159" t="n">
        <f aca="false">IF(AND(BG$6&gt;=EOMONTH($H$80,0),BG$6&lt;=EOMONTH(EDATE($H$80,$E$80-1),0)),$D$80/MAX($E$80,1),0)</f>
        <v>0</v>
      </c>
      <c r="BH89" s="159" t="n">
        <f aca="false">IF(AND(BH$6&gt;=EOMONTH($H$80,0),BH$6&lt;=EOMONTH(EDATE($H$80,$E$80-1),0)),$D$80/MAX($E$80,1),0)</f>
        <v>0</v>
      </c>
      <c r="BI89" s="159" t="n">
        <f aca="false">IF(AND(BI$6&gt;=EOMONTH($H$80,0),BI$6&lt;=EOMONTH(EDATE($H$80,$E$80-1),0)),$D$80/MAX($E$80,1),0)</f>
        <v>0</v>
      </c>
      <c r="BJ89" s="159" t="n">
        <f aca="false">IF(AND(BJ$6&gt;=EOMONTH($H$80,0),BJ$6&lt;=EOMONTH(EDATE($H$80,$E$80-1),0)),$D$80/MAX($E$80,1),0)</f>
        <v>0</v>
      </c>
      <c r="BK89" s="159" t="n">
        <f aca="false">IF(AND(BK$6&gt;=EOMONTH($H$80,0),BK$6&lt;=EOMONTH(EDATE($H$80,$E$80-1),0)),$D$80/MAX($E$80,1),0)</f>
        <v>0</v>
      </c>
      <c r="BL89" s="159" t="n">
        <f aca="false">IF(AND(BL$6&gt;=EOMONTH($H$80,0),BL$6&lt;=EOMONTH(EDATE($H$80,$E$80-1),0)),$D$80/MAX($E$80,1),0)</f>
        <v>0</v>
      </c>
      <c r="BM89" s="159" t="n">
        <f aca="false">IF(AND(BM$6&gt;=EOMONTH($H$80,0),BM$6&lt;=EOMONTH(EDATE($H$80,$E$80-1),0)),$D$80/MAX($E$80,1),0)</f>
        <v>0</v>
      </c>
      <c r="BN89" s="159" t="n">
        <f aca="false">IF(AND(BN$6&gt;=EOMONTH($H$80,0),BN$6&lt;=EOMONTH(EDATE($H$80,$E$80-1),0)),$D$80/MAX($E$80,1),0)</f>
        <v>0</v>
      </c>
      <c r="BO89" s="159" t="n">
        <f aca="false">IF(AND(BO$6&gt;=EOMONTH($H$80,0),BO$6&lt;=EOMONTH(EDATE($H$80,$E$80-1),0)),$D$80/MAX($E$80,1),0)</f>
        <v>0</v>
      </c>
      <c r="BP89" s="159" t="n">
        <f aca="false">IF(AND(BP$6&gt;=EOMONTH($H$80,0),BP$6&lt;=EOMONTH(EDATE($H$80,$E$80-1),0)),$D$80/MAX($E$80,1),0)</f>
        <v>0</v>
      </c>
      <c r="BQ89" s="159" t="n">
        <f aca="false">IF(AND(BQ$6&gt;=EOMONTH($H$80,0),BQ$6&lt;=EOMONTH(EDATE($H$80,$E$80-1),0)),$D$80/MAX($E$80,1),0)</f>
        <v>0</v>
      </c>
      <c r="BR89" s="159" t="n">
        <f aca="false">IF(AND(BR$6&gt;=EOMONTH($H$80,0),BR$6&lt;=EOMONTH(EDATE($H$80,$E$80-1),0)),$D$80/MAX($E$80,1),0)</f>
        <v>0</v>
      </c>
      <c r="BS89" s="159" t="n">
        <f aca="false">IF(AND(BS$6&gt;=EOMONTH($H$80,0),BS$6&lt;=EOMONTH(EDATE($H$80,$E$80-1),0)),$D$80/MAX($E$80,1),0)</f>
        <v>0</v>
      </c>
      <c r="BT89" s="159" t="n">
        <f aca="false">IF(AND(BT$6&gt;=EOMONTH($H$80,0),BT$6&lt;=EOMONTH(EDATE($H$80,$E$80-1),0)),$D$80/MAX($E$80,1),0)</f>
        <v>0</v>
      </c>
      <c r="BU89" s="159" t="n">
        <f aca="false">IF(AND(BU$6&gt;=EOMONTH($H$80,0),BU$6&lt;=EOMONTH(EDATE($H$80,$E$80-1),0)),$D$80/MAX($E$80,1),0)</f>
        <v>0</v>
      </c>
      <c r="BV89" s="159" t="n">
        <f aca="false">IF(AND(BV$6&gt;=EOMONTH($H$80,0),BV$6&lt;=EOMONTH(EDATE($H$80,$E$80-1),0)),$D$80/MAX($E$80,1),0)</f>
        <v>0</v>
      </c>
      <c r="BW89" s="159" t="n">
        <f aca="false">IF(AND(BW$6&gt;=EOMONTH($H$80,0),BW$6&lt;=EOMONTH(EDATE($H$80,$E$80-1),0)),$D$80/MAX($E$80,1),0)</f>
        <v>0</v>
      </c>
      <c r="BX89" s="159" t="n">
        <f aca="false">IF(AND(BX$6&gt;=EOMONTH($H$80,0),BX$6&lt;=EOMONTH(EDATE($H$80,$E$80-1),0)),$D$80/MAX($E$80,1),0)</f>
        <v>0</v>
      </c>
      <c r="BY89" s="159" t="n">
        <f aca="false">IF(AND(BY$6&gt;=EOMONTH($H$80,0),BY$6&lt;=EOMONTH(EDATE($H$80,$E$80-1),0)),$D$80/MAX($E$80,1),0)</f>
        <v>0</v>
      </c>
      <c r="BZ89" s="159" t="n">
        <f aca="false">IF(AND(BZ$6&gt;=EOMONTH($H$80,0),BZ$6&lt;=EOMONTH(EDATE($H$80,$E$80-1),0)),$D$80/MAX($E$80,1),0)</f>
        <v>0</v>
      </c>
      <c r="CA89" s="159" t="n">
        <f aca="false">IF(AND(CA$6&gt;=EOMONTH($H$80,0),CA$6&lt;=EOMONTH(EDATE($H$80,$E$80-1),0)),$D$80/MAX($E$80,1),0)</f>
        <v>0</v>
      </c>
    </row>
    <row r="90" customFormat="false" ht="15" hidden="false" customHeight="false" outlineLevel="0" collapsed="false">
      <c r="B90" s="196" t="s">
        <v>372</v>
      </c>
      <c r="T90" s="159" t="n">
        <f aca="false">IF(AND(T$6&gt;=EOMONTH($H$81,0),T$6&lt;=EOMONTH(EDATE($H$81,$E$81-1),0)),$D$81/MAX($E$81,1),0)</f>
        <v>0</v>
      </c>
      <c r="U90" s="159" t="n">
        <f aca="false">IF(AND(U$6&gt;=EOMONTH($H$81,0),U$6&lt;=EOMONTH(EDATE($H$81,$E$81-1),0)),$D$81/MAX($E$81,1),0)</f>
        <v>0</v>
      </c>
      <c r="V90" s="159" t="n">
        <f aca="false">IF(AND(V$6&gt;=EOMONTH($H$81,0),V$6&lt;=EOMONTH(EDATE($H$81,$E$81-1),0)),$D$81/MAX($E$81,1),0)</f>
        <v>0</v>
      </c>
      <c r="W90" s="159" t="n">
        <f aca="false">IF(AND(W$6&gt;=EOMONTH($H$81,0),W$6&lt;=EOMONTH(EDATE($H$81,$E$81-1),0)),$D$81/MAX($E$81,1),0)</f>
        <v>0</v>
      </c>
      <c r="X90" s="159" t="n">
        <f aca="false">IF(AND(X$6&gt;=EOMONTH($H$81,0),X$6&lt;=EOMONTH(EDATE($H$81,$E$81-1),0)),$D$81/MAX($E$81,1),0)</f>
        <v>0</v>
      </c>
      <c r="Y90" s="159" t="n">
        <f aca="false">IF(AND(Y$6&gt;=EOMONTH($H$81,0),Y$6&lt;=EOMONTH(EDATE($H$81,$E$81-1),0)),$D$81/MAX($E$81,1),0)</f>
        <v>0</v>
      </c>
      <c r="Z90" s="159" t="n">
        <f aca="false">IF(AND(Z$6&gt;=EOMONTH($H$81,0),Z$6&lt;=EOMONTH(EDATE($H$81,$E$81-1),0)),$D$81/MAX($E$81,1),0)</f>
        <v>0</v>
      </c>
      <c r="AA90" s="159" t="n">
        <f aca="false">IF(AND(AA$6&gt;=EOMONTH($H$81,0),AA$6&lt;=EOMONTH(EDATE($H$81,$E$81-1),0)),$D$81/MAX($E$81,1),0)</f>
        <v>0</v>
      </c>
      <c r="AB90" s="159" t="n">
        <f aca="false">IF(AND(AB$6&gt;=EOMONTH($H$81,0),AB$6&lt;=EOMONTH(EDATE($H$81,$E$81-1),0)),$D$81/MAX($E$81,1),0)</f>
        <v>0</v>
      </c>
      <c r="AC90" s="159" t="n">
        <f aca="false">IF(AND(AC$6&gt;=EOMONTH($H$81,0),AC$6&lt;=EOMONTH(EDATE($H$81,$E$81-1),0)),$D$81/MAX($E$81,1),0)</f>
        <v>0</v>
      </c>
      <c r="AD90" s="159" t="n">
        <f aca="false">IF(AND(AD$6&gt;=EOMONTH($H$81,0),AD$6&lt;=EOMONTH(EDATE($H$81,$E$81-1),0)),$D$81/MAX($E$81,1),0)</f>
        <v>0</v>
      </c>
      <c r="AE90" s="159" t="n">
        <f aca="false">IF(AND(AE$6&gt;=EOMONTH($H$81,0),AE$6&lt;=EOMONTH(EDATE($H$81,$E$81-1),0)),$D$81/MAX($E$81,1),0)</f>
        <v>0</v>
      </c>
      <c r="AF90" s="159" t="n">
        <f aca="false">IF(AND(AF$6&gt;=EOMONTH($H$81,0),AF$6&lt;=EOMONTH(EDATE($H$81,$E$81-1),0)),$D$81/MAX($E$81,1),0)</f>
        <v>0</v>
      </c>
      <c r="AG90" s="159" t="n">
        <f aca="false">IF(AND(AG$6&gt;=EOMONTH($H$81,0),AG$6&lt;=EOMONTH(EDATE($H$81,$E$81-1),0)),$D$81/MAX($E$81,1),0)</f>
        <v>0</v>
      </c>
      <c r="AH90" s="159" t="n">
        <f aca="false">IF(AND(AH$6&gt;=EOMONTH($H$81,0),AH$6&lt;=EOMONTH(EDATE($H$81,$E$81-1),0)),$D$81/MAX($E$81,1),0)</f>
        <v>8000</v>
      </c>
      <c r="AI90" s="159" t="n">
        <f aca="false">IF(AND(AI$6&gt;=EOMONTH($H$81,0),AI$6&lt;=EOMONTH(EDATE($H$81,$E$81-1),0)),$D$81/MAX($E$81,1),0)</f>
        <v>8000</v>
      </c>
      <c r="AJ90" s="159" t="n">
        <f aca="false">IF(AND(AJ$6&gt;=EOMONTH($H$81,0),AJ$6&lt;=EOMONTH(EDATE($H$81,$E$81-1),0)),$D$81/MAX($E$81,1),0)</f>
        <v>8000</v>
      </c>
      <c r="AK90" s="159" t="n">
        <f aca="false">IF(AND(AK$6&gt;=EOMONTH($H$81,0),AK$6&lt;=EOMONTH(EDATE($H$81,$E$81-1),0)),$D$81/MAX($E$81,1),0)</f>
        <v>8000</v>
      </c>
      <c r="AL90" s="159" t="n">
        <f aca="false">IF(AND(AL$6&gt;=EOMONTH($H$81,0),AL$6&lt;=EOMONTH(EDATE($H$81,$E$81-1),0)),$D$81/MAX($E$81,1),0)</f>
        <v>8000</v>
      </c>
      <c r="AM90" s="159" t="n">
        <f aca="false">IF(AND(AM$6&gt;=EOMONTH($H$81,0),AM$6&lt;=EOMONTH(EDATE($H$81,$E$81-1),0)),$D$81/MAX($E$81,1),0)</f>
        <v>0</v>
      </c>
      <c r="AN90" s="159" t="n">
        <f aca="false">IF(AND(AN$6&gt;=EOMONTH($H$81,0),AN$6&lt;=EOMONTH(EDATE($H$81,$E$81-1),0)),$D$81/MAX($E$81,1),0)</f>
        <v>0</v>
      </c>
      <c r="AO90" s="159" t="n">
        <f aca="false">IF(AND(AO$6&gt;=EOMONTH($H$81,0),AO$6&lt;=EOMONTH(EDATE($H$81,$E$81-1),0)),$D$81/MAX($E$81,1),0)</f>
        <v>0</v>
      </c>
      <c r="AP90" s="159" t="n">
        <f aca="false">IF(AND(AP$6&gt;=EOMONTH($H$81,0),AP$6&lt;=EOMONTH(EDATE($H$81,$E$81-1),0)),$D$81/MAX($E$81,1),0)</f>
        <v>0</v>
      </c>
      <c r="AQ90" s="159" t="n">
        <f aca="false">IF(AND(AQ$6&gt;=EOMONTH($H$81,0),AQ$6&lt;=EOMONTH(EDATE($H$81,$E$81-1),0)),$D$81/MAX($E$81,1),0)</f>
        <v>0</v>
      </c>
      <c r="AR90" s="159" t="n">
        <f aca="false">IF(AND(AR$6&gt;=EOMONTH($H$81,0),AR$6&lt;=EOMONTH(EDATE($H$81,$E$81-1),0)),$D$81/MAX($E$81,1),0)</f>
        <v>0</v>
      </c>
      <c r="AS90" s="159" t="n">
        <f aca="false">IF(AND(AS$6&gt;=EOMONTH($H$81,0),AS$6&lt;=EOMONTH(EDATE($H$81,$E$81-1),0)),$D$81/MAX($E$81,1),0)</f>
        <v>0</v>
      </c>
      <c r="AT90" s="159" t="n">
        <f aca="false">IF(AND(AT$6&gt;=EOMONTH($H$81,0),AT$6&lt;=EOMONTH(EDATE($H$81,$E$81-1),0)),$D$81/MAX($E$81,1),0)</f>
        <v>0</v>
      </c>
      <c r="AU90" s="159" t="n">
        <f aca="false">IF(AND(AU$6&gt;=EOMONTH($H$81,0),AU$6&lt;=EOMONTH(EDATE($H$81,$E$81-1),0)),$D$81/MAX($E$81,1),0)</f>
        <v>0</v>
      </c>
      <c r="AV90" s="159" t="n">
        <f aca="false">IF(AND(AV$6&gt;=EOMONTH($H$81,0),AV$6&lt;=EOMONTH(EDATE($H$81,$E$81-1),0)),$D$81/MAX($E$81,1),0)</f>
        <v>0</v>
      </c>
      <c r="AW90" s="159" t="n">
        <f aca="false">IF(AND(AW$6&gt;=EOMONTH($H$81,0),AW$6&lt;=EOMONTH(EDATE($H$81,$E$81-1),0)),$D$81/MAX($E$81,1),0)</f>
        <v>0</v>
      </c>
      <c r="AX90" s="159" t="n">
        <f aca="false">IF(AND(AX$6&gt;=EOMONTH($H$81,0),AX$6&lt;=EOMONTH(EDATE($H$81,$E$81-1),0)),$D$81/MAX($E$81,1),0)</f>
        <v>0</v>
      </c>
      <c r="AY90" s="159" t="n">
        <f aca="false">IF(AND(AY$6&gt;=EOMONTH($H$81,0),AY$6&lt;=EOMONTH(EDATE($H$81,$E$81-1),0)),$D$81/MAX($E$81,1),0)</f>
        <v>0</v>
      </c>
      <c r="AZ90" s="159" t="n">
        <f aca="false">IF(AND(AZ$6&gt;=EOMONTH($H$81,0),AZ$6&lt;=EOMONTH(EDATE($H$81,$E$81-1),0)),$D$81/MAX($E$81,1),0)</f>
        <v>0</v>
      </c>
      <c r="BA90" s="159" t="n">
        <f aca="false">IF(AND(BA$6&gt;=EOMONTH($H$81,0),BA$6&lt;=EOMONTH(EDATE($H$81,$E$81-1),0)),$D$81/MAX($E$81,1),0)</f>
        <v>0</v>
      </c>
      <c r="BB90" s="159" t="n">
        <f aca="false">IF(AND(BB$6&gt;=EOMONTH($H$81,0),BB$6&lt;=EOMONTH(EDATE($H$81,$E$81-1),0)),$D$81/MAX($E$81,1),0)</f>
        <v>0</v>
      </c>
      <c r="BC90" s="159" t="n">
        <f aca="false">IF(AND(BC$6&gt;=EOMONTH($H$81,0),BC$6&lt;=EOMONTH(EDATE($H$81,$E$81-1),0)),$D$81/MAX($E$81,1),0)</f>
        <v>0</v>
      </c>
      <c r="BD90" s="159" t="n">
        <f aca="false">IF(AND(BD$6&gt;=EOMONTH($H$81,0),BD$6&lt;=EOMONTH(EDATE($H$81,$E$81-1),0)),$D$81/MAX($E$81,1),0)</f>
        <v>0</v>
      </c>
      <c r="BE90" s="159" t="n">
        <f aca="false">IF(AND(BE$6&gt;=EOMONTH($H$81,0),BE$6&lt;=EOMONTH(EDATE($H$81,$E$81-1),0)),$D$81/MAX($E$81,1),0)</f>
        <v>0</v>
      </c>
      <c r="BF90" s="159" t="n">
        <f aca="false">IF(AND(BF$6&gt;=EOMONTH($H$81,0),BF$6&lt;=EOMONTH(EDATE($H$81,$E$81-1),0)),$D$81/MAX($E$81,1),0)</f>
        <v>0</v>
      </c>
      <c r="BG90" s="159" t="n">
        <f aca="false">IF(AND(BG$6&gt;=EOMONTH($H$81,0),BG$6&lt;=EOMONTH(EDATE($H$81,$E$81-1),0)),$D$81/MAX($E$81,1),0)</f>
        <v>0</v>
      </c>
      <c r="BH90" s="159" t="n">
        <f aca="false">IF(AND(BH$6&gt;=EOMONTH($H$81,0),BH$6&lt;=EOMONTH(EDATE($H$81,$E$81-1),0)),$D$81/MAX($E$81,1),0)</f>
        <v>0</v>
      </c>
      <c r="BI90" s="159" t="n">
        <f aca="false">IF(AND(BI$6&gt;=EOMONTH($H$81,0),BI$6&lt;=EOMONTH(EDATE($H$81,$E$81-1),0)),$D$81/MAX($E$81,1),0)</f>
        <v>0</v>
      </c>
      <c r="BJ90" s="159" t="n">
        <f aca="false">IF(AND(BJ$6&gt;=EOMONTH($H$81,0),BJ$6&lt;=EOMONTH(EDATE($H$81,$E$81-1),0)),$D$81/MAX($E$81,1),0)</f>
        <v>0</v>
      </c>
      <c r="BK90" s="159" t="n">
        <f aca="false">IF(AND(BK$6&gt;=EOMONTH($H$81,0),BK$6&lt;=EOMONTH(EDATE($H$81,$E$81-1),0)),$D$81/MAX($E$81,1),0)</f>
        <v>0</v>
      </c>
      <c r="BL90" s="159" t="n">
        <f aca="false">IF(AND(BL$6&gt;=EOMONTH($H$81,0),BL$6&lt;=EOMONTH(EDATE($H$81,$E$81-1),0)),$D$81/MAX($E$81,1),0)</f>
        <v>0</v>
      </c>
      <c r="BM90" s="159" t="n">
        <f aca="false">IF(AND(BM$6&gt;=EOMONTH($H$81,0),BM$6&lt;=EOMONTH(EDATE($H$81,$E$81-1),0)),$D$81/MAX($E$81,1),0)</f>
        <v>0</v>
      </c>
      <c r="BN90" s="159" t="n">
        <f aca="false">IF(AND(BN$6&gt;=EOMONTH($H$81,0),BN$6&lt;=EOMONTH(EDATE($H$81,$E$81-1),0)),$D$81/MAX($E$81,1),0)</f>
        <v>0</v>
      </c>
      <c r="BO90" s="159" t="n">
        <f aca="false">IF(AND(BO$6&gt;=EOMONTH($H$81,0),BO$6&lt;=EOMONTH(EDATE($H$81,$E$81-1),0)),$D$81/MAX($E$81,1),0)</f>
        <v>0</v>
      </c>
      <c r="BP90" s="159" t="n">
        <f aca="false">IF(AND(BP$6&gt;=EOMONTH($H$81,0),BP$6&lt;=EOMONTH(EDATE($H$81,$E$81-1),0)),$D$81/MAX($E$81,1),0)</f>
        <v>0</v>
      </c>
      <c r="BQ90" s="159" t="n">
        <f aca="false">IF(AND(BQ$6&gt;=EOMONTH($H$81,0),BQ$6&lt;=EOMONTH(EDATE($H$81,$E$81-1),0)),$D$81/MAX($E$81,1),0)</f>
        <v>0</v>
      </c>
      <c r="BR90" s="159" t="n">
        <f aca="false">IF(AND(BR$6&gt;=EOMONTH($H$81,0),BR$6&lt;=EOMONTH(EDATE($H$81,$E$81-1),0)),$D$81/MAX($E$81,1),0)</f>
        <v>0</v>
      </c>
      <c r="BS90" s="159" t="n">
        <f aca="false">IF(AND(BS$6&gt;=EOMONTH($H$81,0),BS$6&lt;=EOMONTH(EDATE($H$81,$E$81-1),0)),$D$81/MAX($E$81,1),0)</f>
        <v>0</v>
      </c>
      <c r="BT90" s="159" t="n">
        <f aca="false">IF(AND(BT$6&gt;=EOMONTH($H$81,0),BT$6&lt;=EOMONTH(EDATE($H$81,$E$81-1),0)),$D$81/MAX($E$81,1),0)</f>
        <v>0</v>
      </c>
      <c r="BU90" s="159" t="n">
        <f aca="false">IF(AND(BU$6&gt;=EOMONTH($H$81,0),BU$6&lt;=EOMONTH(EDATE($H$81,$E$81-1),0)),$D$81/MAX($E$81,1),0)</f>
        <v>0</v>
      </c>
      <c r="BV90" s="159" t="n">
        <f aca="false">IF(AND(BV$6&gt;=EOMONTH($H$81,0),BV$6&lt;=EOMONTH(EDATE($H$81,$E$81-1),0)),$D$81/MAX($E$81,1),0)</f>
        <v>0</v>
      </c>
      <c r="BW90" s="159" t="n">
        <f aca="false">IF(AND(BW$6&gt;=EOMONTH($H$81,0),BW$6&lt;=EOMONTH(EDATE($H$81,$E$81-1),0)),$D$81/MAX($E$81,1),0)</f>
        <v>0</v>
      </c>
      <c r="BX90" s="159" t="n">
        <f aca="false">IF(AND(BX$6&gt;=EOMONTH($H$81,0),BX$6&lt;=EOMONTH(EDATE($H$81,$E$81-1),0)),$D$81/MAX($E$81,1),0)</f>
        <v>0</v>
      </c>
      <c r="BY90" s="159" t="n">
        <f aca="false">IF(AND(BY$6&gt;=EOMONTH($H$81,0),BY$6&lt;=EOMONTH(EDATE($H$81,$E$81-1),0)),$D$81/MAX($E$81,1),0)</f>
        <v>0</v>
      </c>
      <c r="BZ90" s="159" t="n">
        <f aca="false">IF(AND(BZ$6&gt;=EOMONTH($H$81,0),BZ$6&lt;=EOMONTH(EDATE($H$81,$E$81-1),0)),$D$81/MAX($E$81,1),0)</f>
        <v>0</v>
      </c>
      <c r="CA90" s="159" t="n">
        <f aca="false">IF(AND(CA$6&gt;=EOMONTH($H$81,0),CA$6&lt;=EOMONTH(EDATE($H$81,$E$81-1),0)),$D$81/MAX($E$81,1),0)</f>
        <v>0</v>
      </c>
    </row>
    <row r="91" customFormat="false" ht="15" hidden="false" customHeight="false" outlineLevel="0" collapsed="false">
      <c r="B91" s="196" t="s">
        <v>373</v>
      </c>
      <c r="T91" s="159" t="n">
        <f aca="false">IF(AND(T$6&gt;=EOMONTH($H$82,0),T$6&lt;=EOMONTH(EDATE($H$82,$E$82-1),0)),$D$82/MAX($E$82,1),0)</f>
        <v>0</v>
      </c>
      <c r="U91" s="159" t="n">
        <f aca="false">IF(AND(U$6&gt;=EOMONTH($H$82,0),U$6&lt;=EOMONTH(EDATE($H$82,$E$82-1),0)),$D$82/MAX($E$82,1),0)</f>
        <v>0</v>
      </c>
      <c r="V91" s="159" t="n">
        <f aca="false">IF(AND(V$6&gt;=EOMONTH($H$82,0),V$6&lt;=EOMONTH(EDATE($H$82,$E$82-1),0)),$D$82/MAX($E$82,1),0)</f>
        <v>0</v>
      </c>
      <c r="W91" s="159" t="n">
        <f aca="false">IF(AND(W$6&gt;=EOMONTH($H$82,0),W$6&lt;=EOMONTH(EDATE($H$82,$E$82-1),0)),$D$82/MAX($E$82,1),0)</f>
        <v>0</v>
      </c>
      <c r="X91" s="159" t="n">
        <f aca="false">IF(AND(X$6&gt;=EOMONTH($H$82,0),X$6&lt;=EOMONTH(EDATE($H$82,$E$82-1),0)),$D$82/MAX($E$82,1),0)</f>
        <v>0</v>
      </c>
      <c r="Y91" s="159" t="n">
        <f aca="false">IF(AND(Y$6&gt;=EOMONTH($H$82,0),Y$6&lt;=EOMONTH(EDATE($H$82,$E$82-1),0)),$D$82/MAX($E$82,1),0)</f>
        <v>0</v>
      </c>
      <c r="Z91" s="159" t="n">
        <f aca="false">IF(AND(Z$6&gt;=EOMONTH($H$82,0),Z$6&lt;=EOMONTH(EDATE($H$82,$E$82-1),0)),$D$82/MAX($E$82,1),0)</f>
        <v>0</v>
      </c>
      <c r="AA91" s="159" t="n">
        <f aca="false">IF(AND(AA$6&gt;=EOMONTH($H$82,0),AA$6&lt;=EOMONTH(EDATE($H$82,$E$82-1),0)),$D$82/MAX($E$82,1),0)</f>
        <v>0</v>
      </c>
      <c r="AB91" s="159" t="n">
        <f aca="false">IF(AND(AB$6&gt;=EOMONTH($H$82,0),AB$6&lt;=EOMONTH(EDATE($H$82,$E$82-1),0)),$D$82/MAX($E$82,1),0)</f>
        <v>0</v>
      </c>
      <c r="AC91" s="159" t="n">
        <f aca="false">IF(AND(AC$6&gt;=EOMONTH($H$82,0),AC$6&lt;=EOMONTH(EDATE($H$82,$E$82-1),0)),$D$82/MAX($E$82,1),0)</f>
        <v>0</v>
      </c>
      <c r="AD91" s="159" t="n">
        <f aca="false">IF(AND(AD$6&gt;=EOMONTH($H$82,0),AD$6&lt;=EOMONTH(EDATE($H$82,$E$82-1),0)),$D$82/MAX($E$82,1),0)</f>
        <v>0</v>
      </c>
      <c r="AE91" s="159" t="n">
        <f aca="false">IF(AND(AE$6&gt;=EOMONTH($H$82,0),AE$6&lt;=EOMONTH(EDATE($H$82,$E$82-1),0)),$D$82/MAX($E$82,1),0)</f>
        <v>0</v>
      </c>
      <c r="AF91" s="159" t="n">
        <f aca="false">IF(AND(AF$6&gt;=EOMONTH($H$82,0),AF$6&lt;=EOMONTH(EDATE($H$82,$E$82-1),0)),$D$82/MAX($E$82,1),0)</f>
        <v>10153.8461538462</v>
      </c>
      <c r="AG91" s="159" t="n">
        <f aca="false">IF(AND(AG$6&gt;=EOMONTH($H$82,0),AG$6&lt;=EOMONTH(EDATE($H$82,$E$82-1),0)),$D$82/MAX($E$82,1),0)</f>
        <v>10153.8461538462</v>
      </c>
      <c r="AH91" s="159" t="n">
        <f aca="false">IF(AND(AH$6&gt;=EOMONTH($H$82,0),AH$6&lt;=EOMONTH(EDATE($H$82,$E$82-1),0)),$D$82/MAX($E$82,1),0)</f>
        <v>10153.8461538462</v>
      </c>
      <c r="AI91" s="159" t="n">
        <f aca="false">IF(AND(AI$6&gt;=EOMONTH($H$82,0),AI$6&lt;=EOMONTH(EDATE($H$82,$E$82-1),0)),$D$82/MAX($E$82,1),0)</f>
        <v>10153.8461538462</v>
      </c>
      <c r="AJ91" s="159" t="n">
        <f aca="false">IF(AND(AJ$6&gt;=EOMONTH($H$82,0),AJ$6&lt;=EOMONTH(EDATE($H$82,$E$82-1),0)),$D$82/MAX($E$82,1),0)</f>
        <v>10153.8461538462</v>
      </c>
      <c r="AK91" s="159" t="n">
        <f aca="false">IF(AND(AK$6&gt;=EOMONTH($H$82,0),AK$6&lt;=EOMONTH(EDATE($H$82,$E$82-1),0)),$D$82/MAX($E$82,1),0)</f>
        <v>10153.8461538462</v>
      </c>
      <c r="AL91" s="159" t="n">
        <f aca="false">IF(AND(AL$6&gt;=EOMONTH($H$82,0),AL$6&lt;=EOMONTH(EDATE($H$82,$E$82-1),0)),$D$82/MAX($E$82,1),0)</f>
        <v>10153.8461538462</v>
      </c>
      <c r="AM91" s="159" t="n">
        <f aca="false">IF(AND(AM$6&gt;=EOMONTH($H$82,0),AM$6&lt;=EOMONTH(EDATE($H$82,$E$82-1),0)),$D$82/MAX($E$82,1),0)</f>
        <v>10153.8461538462</v>
      </c>
      <c r="AN91" s="159" t="n">
        <f aca="false">IF(AND(AN$6&gt;=EOMONTH($H$82,0),AN$6&lt;=EOMONTH(EDATE($H$82,$E$82-1),0)),$D$82/MAX($E$82,1),0)</f>
        <v>10153.8461538462</v>
      </c>
      <c r="AO91" s="159" t="n">
        <f aca="false">IF(AND(AO$6&gt;=EOMONTH($H$82,0),AO$6&lt;=EOMONTH(EDATE($H$82,$E$82-1),0)),$D$82/MAX($E$82,1),0)</f>
        <v>10153.8461538462</v>
      </c>
      <c r="AP91" s="159" t="n">
        <f aca="false">IF(AND(AP$6&gt;=EOMONTH($H$82,0),AP$6&lt;=EOMONTH(EDATE($H$82,$E$82-1),0)),$D$82/MAX($E$82,1),0)</f>
        <v>10153.8461538462</v>
      </c>
      <c r="AQ91" s="159" t="n">
        <f aca="false">IF(AND(AQ$6&gt;=EOMONTH($H$82,0),AQ$6&lt;=EOMONTH(EDATE($H$82,$E$82-1),0)),$D$82/MAX($E$82,1),0)</f>
        <v>10153.8461538462</v>
      </c>
      <c r="AR91" s="159" t="n">
        <f aca="false">IF(AND(AR$6&gt;=EOMONTH($H$82,0),AR$6&lt;=EOMONTH(EDATE($H$82,$E$82-1),0)),$D$82/MAX($E$82,1),0)</f>
        <v>10153.8461538462</v>
      </c>
      <c r="AS91" s="159" t="n">
        <f aca="false">IF(AND(AS$6&gt;=EOMONTH($H$82,0),AS$6&lt;=EOMONTH(EDATE($H$82,$E$82-1),0)),$D$82/MAX($E$82,1),0)</f>
        <v>0</v>
      </c>
      <c r="AT91" s="159" t="n">
        <f aca="false">IF(AND(AT$6&gt;=EOMONTH($H$82,0),AT$6&lt;=EOMONTH(EDATE($H$82,$E$82-1),0)),$D$82/MAX($E$82,1),0)</f>
        <v>0</v>
      </c>
      <c r="AU91" s="159" t="n">
        <f aca="false">IF(AND(AU$6&gt;=EOMONTH($H$82,0),AU$6&lt;=EOMONTH(EDATE($H$82,$E$82-1),0)),$D$82/MAX($E$82,1),0)</f>
        <v>0</v>
      </c>
      <c r="AV91" s="159" t="n">
        <f aca="false">IF(AND(AV$6&gt;=EOMONTH($H$82,0),AV$6&lt;=EOMONTH(EDATE($H$82,$E$82-1),0)),$D$82/MAX($E$82,1),0)</f>
        <v>0</v>
      </c>
      <c r="AW91" s="159" t="n">
        <f aca="false">IF(AND(AW$6&gt;=EOMONTH($H$82,0),AW$6&lt;=EOMONTH(EDATE($H$82,$E$82-1),0)),$D$82/MAX($E$82,1),0)</f>
        <v>0</v>
      </c>
      <c r="AX91" s="159" t="n">
        <f aca="false">IF(AND(AX$6&gt;=EOMONTH($H$82,0),AX$6&lt;=EOMONTH(EDATE($H$82,$E$82-1),0)),$D$82/MAX($E$82,1),0)</f>
        <v>0</v>
      </c>
      <c r="AY91" s="159" t="n">
        <f aca="false">IF(AND(AY$6&gt;=EOMONTH($H$82,0),AY$6&lt;=EOMONTH(EDATE($H$82,$E$82-1),0)),$D$82/MAX($E$82,1),0)</f>
        <v>0</v>
      </c>
      <c r="AZ91" s="159" t="n">
        <f aca="false">IF(AND(AZ$6&gt;=EOMONTH($H$82,0),AZ$6&lt;=EOMONTH(EDATE($H$82,$E$82-1),0)),$D$82/MAX($E$82,1),0)</f>
        <v>0</v>
      </c>
      <c r="BA91" s="159" t="n">
        <f aca="false">IF(AND(BA$6&gt;=EOMONTH($H$82,0),BA$6&lt;=EOMONTH(EDATE($H$82,$E$82-1),0)),$D$82/MAX($E$82,1),0)</f>
        <v>0</v>
      </c>
      <c r="BB91" s="159" t="n">
        <f aca="false">IF(AND(BB$6&gt;=EOMONTH($H$82,0),BB$6&lt;=EOMONTH(EDATE($H$82,$E$82-1),0)),$D$82/MAX($E$82,1),0)</f>
        <v>0</v>
      </c>
      <c r="BC91" s="159" t="n">
        <f aca="false">IF(AND(BC$6&gt;=EOMONTH($H$82,0),BC$6&lt;=EOMONTH(EDATE($H$82,$E$82-1),0)),$D$82/MAX($E$82,1),0)</f>
        <v>0</v>
      </c>
      <c r="BD91" s="159" t="n">
        <f aca="false">IF(AND(BD$6&gt;=EOMONTH($H$82,0),BD$6&lt;=EOMONTH(EDATE($H$82,$E$82-1),0)),$D$82/MAX($E$82,1),0)</f>
        <v>0</v>
      </c>
      <c r="BE91" s="159" t="n">
        <f aca="false">IF(AND(BE$6&gt;=EOMONTH($H$82,0),BE$6&lt;=EOMONTH(EDATE($H$82,$E$82-1),0)),$D$82/MAX($E$82,1),0)</f>
        <v>0</v>
      </c>
      <c r="BF91" s="159" t="n">
        <f aca="false">IF(AND(BF$6&gt;=EOMONTH($H$82,0),BF$6&lt;=EOMONTH(EDATE($H$82,$E$82-1),0)),$D$82/MAX($E$82,1),0)</f>
        <v>0</v>
      </c>
      <c r="BG91" s="159" t="n">
        <f aca="false">IF(AND(BG$6&gt;=EOMONTH($H$82,0),BG$6&lt;=EOMONTH(EDATE($H$82,$E$82-1),0)),$D$82/MAX($E$82,1),0)</f>
        <v>0</v>
      </c>
      <c r="BH91" s="159" t="n">
        <f aca="false">IF(AND(BH$6&gt;=EOMONTH($H$82,0),BH$6&lt;=EOMONTH(EDATE($H$82,$E$82-1),0)),$D$82/MAX($E$82,1),0)</f>
        <v>0</v>
      </c>
      <c r="BI91" s="159" t="n">
        <f aca="false">IF(AND(BI$6&gt;=EOMONTH($H$82,0),BI$6&lt;=EOMONTH(EDATE($H$82,$E$82-1),0)),$D$82/MAX($E$82,1),0)</f>
        <v>0</v>
      </c>
      <c r="BJ91" s="159" t="n">
        <f aca="false">IF(AND(BJ$6&gt;=EOMONTH($H$82,0),BJ$6&lt;=EOMONTH(EDATE($H$82,$E$82-1),0)),$D$82/MAX($E$82,1),0)</f>
        <v>0</v>
      </c>
      <c r="BK91" s="159" t="n">
        <f aca="false">IF(AND(BK$6&gt;=EOMONTH($H$82,0),BK$6&lt;=EOMONTH(EDATE($H$82,$E$82-1),0)),$D$82/MAX($E$82,1),0)</f>
        <v>0</v>
      </c>
      <c r="BL91" s="159" t="n">
        <f aca="false">IF(AND(BL$6&gt;=EOMONTH($H$82,0),BL$6&lt;=EOMONTH(EDATE($H$82,$E$82-1),0)),$D$82/MAX($E$82,1),0)</f>
        <v>0</v>
      </c>
      <c r="BM91" s="159" t="n">
        <f aca="false">IF(AND(BM$6&gt;=EOMONTH($H$82,0),BM$6&lt;=EOMONTH(EDATE($H$82,$E$82-1),0)),$D$82/MAX($E$82,1),0)</f>
        <v>0</v>
      </c>
      <c r="BN91" s="159" t="n">
        <f aca="false">IF(AND(BN$6&gt;=EOMONTH($H$82,0),BN$6&lt;=EOMONTH(EDATE($H$82,$E$82-1),0)),$D$82/MAX($E$82,1),0)</f>
        <v>0</v>
      </c>
      <c r="BO91" s="159" t="n">
        <f aca="false">IF(AND(BO$6&gt;=EOMONTH($H$82,0),BO$6&lt;=EOMONTH(EDATE($H$82,$E$82-1),0)),$D$82/MAX($E$82,1),0)</f>
        <v>0</v>
      </c>
      <c r="BP91" s="159" t="n">
        <f aca="false">IF(AND(BP$6&gt;=EOMONTH($H$82,0),BP$6&lt;=EOMONTH(EDATE($H$82,$E$82-1),0)),$D$82/MAX($E$82,1),0)</f>
        <v>0</v>
      </c>
      <c r="BQ91" s="159" t="n">
        <f aca="false">IF(AND(BQ$6&gt;=EOMONTH($H$82,0),BQ$6&lt;=EOMONTH(EDATE($H$82,$E$82-1),0)),$D$82/MAX($E$82,1),0)</f>
        <v>0</v>
      </c>
      <c r="BR91" s="159" t="n">
        <f aca="false">IF(AND(BR$6&gt;=EOMONTH($H$82,0),BR$6&lt;=EOMONTH(EDATE($H$82,$E$82-1),0)),$D$82/MAX($E$82,1),0)</f>
        <v>0</v>
      </c>
      <c r="BS91" s="159" t="n">
        <f aca="false">IF(AND(BS$6&gt;=EOMONTH($H$82,0),BS$6&lt;=EOMONTH(EDATE($H$82,$E$82-1),0)),$D$82/MAX($E$82,1),0)</f>
        <v>0</v>
      </c>
      <c r="BT91" s="159" t="n">
        <f aca="false">IF(AND(BT$6&gt;=EOMONTH($H$82,0),BT$6&lt;=EOMONTH(EDATE($H$82,$E$82-1),0)),$D$82/MAX($E$82,1),0)</f>
        <v>0</v>
      </c>
      <c r="BU91" s="159" t="n">
        <f aca="false">IF(AND(BU$6&gt;=EOMONTH($H$82,0),BU$6&lt;=EOMONTH(EDATE($H$82,$E$82-1),0)),$D$82/MAX($E$82,1),0)</f>
        <v>0</v>
      </c>
      <c r="BV91" s="159" t="n">
        <f aca="false">IF(AND(BV$6&gt;=EOMONTH($H$82,0),BV$6&lt;=EOMONTH(EDATE($H$82,$E$82-1),0)),$D$82/MAX($E$82,1),0)</f>
        <v>0</v>
      </c>
      <c r="BW91" s="159" t="n">
        <f aca="false">IF(AND(BW$6&gt;=EOMONTH($H$82,0),BW$6&lt;=EOMONTH(EDATE($H$82,$E$82-1),0)),$D$82/MAX($E$82,1),0)</f>
        <v>0</v>
      </c>
      <c r="BX91" s="159" t="n">
        <f aca="false">IF(AND(BX$6&gt;=EOMONTH($H$82,0),BX$6&lt;=EOMONTH(EDATE($H$82,$E$82-1),0)),$D$82/MAX($E$82,1),0)</f>
        <v>0</v>
      </c>
      <c r="BY91" s="159" t="n">
        <f aca="false">IF(AND(BY$6&gt;=EOMONTH($H$82,0),BY$6&lt;=EOMONTH(EDATE($H$82,$E$82-1),0)),$D$82/MAX($E$82,1),0)</f>
        <v>0</v>
      </c>
      <c r="BZ91" s="159" t="n">
        <f aca="false">IF(AND(BZ$6&gt;=EOMONTH($H$82,0),BZ$6&lt;=EOMONTH(EDATE($H$82,$E$82-1),0)),$D$82/MAX($E$82,1),0)</f>
        <v>0</v>
      </c>
      <c r="CA91" s="159" t="n">
        <f aca="false">IF(AND(CA$6&gt;=EOMONTH($H$82,0),CA$6&lt;=EOMONTH(EDATE($H$82,$E$82-1),0)),$D$82/MAX($E$82,1),0)</f>
        <v>0</v>
      </c>
    </row>
    <row r="92" customFormat="false" ht="15" hidden="false" customHeight="false" outlineLevel="0" collapsed="false">
      <c r="B92" s="196" t="s">
        <v>374</v>
      </c>
      <c r="T92" s="159" t="n">
        <f aca="false">IF(AND(T$6&gt;=EOMONTH($H$83,0),T$6&lt;=EOMONTH(EDATE($H$83,$E$83-1),0)),$D$83/MAX($E$83,1),0)</f>
        <v>0</v>
      </c>
      <c r="U92" s="159" t="n">
        <f aca="false">IF(AND(U$6&gt;=EOMONTH($H$83,0),U$6&lt;=EOMONTH(EDATE($H$83,$E$83-1),0)),$D$83/MAX($E$83,1),0)</f>
        <v>0</v>
      </c>
      <c r="V92" s="159" t="n">
        <f aca="false">IF(AND(V$6&gt;=EOMONTH($H$83,0),V$6&lt;=EOMONTH(EDATE($H$83,$E$83-1),0)),$D$83/MAX($E$83,1),0)</f>
        <v>0</v>
      </c>
      <c r="W92" s="159" t="n">
        <f aca="false">IF(AND(W$6&gt;=EOMONTH($H$83,0),W$6&lt;=EOMONTH(EDATE($H$83,$E$83-1),0)),$D$83/MAX($E$83,1),0)</f>
        <v>0</v>
      </c>
      <c r="X92" s="159" t="n">
        <f aca="false">IF(AND(X$6&gt;=EOMONTH($H$83,0),X$6&lt;=EOMONTH(EDATE($H$83,$E$83-1),0)),$D$83/MAX($E$83,1),0)</f>
        <v>0</v>
      </c>
      <c r="Y92" s="159" t="n">
        <f aca="false">IF(AND(Y$6&gt;=EOMONTH($H$83,0),Y$6&lt;=EOMONTH(EDATE($H$83,$E$83-1),0)),$D$83/MAX($E$83,1),0)</f>
        <v>0</v>
      </c>
      <c r="Z92" s="159" t="n">
        <f aca="false">IF(AND(Z$6&gt;=EOMONTH($H$83,0),Z$6&lt;=EOMONTH(EDATE($H$83,$E$83-1),0)),$D$83/MAX($E$83,1),0)</f>
        <v>0</v>
      </c>
      <c r="AA92" s="159" t="n">
        <f aca="false">IF(AND(AA$6&gt;=EOMONTH($H$83,0),AA$6&lt;=EOMONTH(EDATE($H$83,$E$83-1),0)),$D$83/MAX($E$83,1),0)</f>
        <v>0</v>
      </c>
      <c r="AB92" s="159" t="n">
        <f aca="false">IF(AND(AB$6&gt;=EOMONTH($H$83,0),AB$6&lt;=EOMONTH(EDATE($H$83,$E$83-1),0)),$D$83/MAX($E$83,1),0)</f>
        <v>0</v>
      </c>
      <c r="AC92" s="159" t="n">
        <f aca="false">IF(AND(AC$6&gt;=EOMONTH($H$83,0),AC$6&lt;=EOMONTH(EDATE($H$83,$E$83-1),0)),$D$83/MAX($E$83,1),0)</f>
        <v>0</v>
      </c>
      <c r="AD92" s="159" t="n">
        <f aca="false">IF(AND(AD$6&gt;=EOMONTH($H$83,0),AD$6&lt;=EOMONTH(EDATE($H$83,$E$83-1),0)),$D$83/MAX($E$83,1),0)</f>
        <v>0</v>
      </c>
      <c r="AE92" s="159" t="n">
        <f aca="false">IF(AND(AE$6&gt;=EOMONTH($H$83,0),AE$6&lt;=EOMONTH(EDATE($H$83,$E$83-1),0)),$D$83/MAX($E$83,1),0)</f>
        <v>0</v>
      </c>
      <c r="AF92" s="159" t="n">
        <f aca="false">IF(AND(AF$6&gt;=EOMONTH($H$83,0),AF$6&lt;=EOMONTH(EDATE($H$83,$E$83-1),0)),$D$83/MAX($E$83,1),0)</f>
        <v>13707.6923076923</v>
      </c>
      <c r="AG92" s="159" t="n">
        <f aca="false">IF(AND(AG$6&gt;=EOMONTH($H$83,0),AG$6&lt;=EOMONTH(EDATE($H$83,$E$83-1),0)),$D$83/MAX($E$83,1),0)</f>
        <v>13707.6923076923</v>
      </c>
      <c r="AH92" s="159" t="n">
        <f aca="false">IF(AND(AH$6&gt;=EOMONTH($H$83,0),AH$6&lt;=EOMONTH(EDATE($H$83,$E$83-1),0)),$D$83/MAX($E$83,1),0)</f>
        <v>13707.6923076923</v>
      </c>
      <c r="AI92" s="159" t="n">
        <f aca="false">IF(AND(AI$6&gt;=EOMONTH($H$83,0),AI$6&lt;=EOMONTH(EDATE($H$83,$E$83-1),0)),$D$83/MAX($E$83,1),0)</f>
        <v>13707.6923076923</v>
      </c>
      <c r="AJ92" s="159" t="n">
        <f aca="false">IF(AND(AJ$6&gt;=EOMONTH($H$83,0),AJ$6&lt;=EOMONTH(EDATE($H$83,$E$83-1),0)),$D$83/MAX($E$83,1),0)</f>
        <v>13707.6923076923</v>
      </c>
      <c r="AK92" s="159" t="n">
        <f aca="false">IF(AND(AK$6&gt;=EOMONTH($H$83,0),AK$6&lt;=EOMONTH(EDATE($H$83,$E$83-1),0)),$D$83/MAX($E$83,1),0)</f>
        <v>13707.6923076923</v>
      </c>
      <c r="AL92" s="159" t="n">
        <f aca="false">IF(AND(AL$6&gt;=EOMONTH($H$83,0),AL$6&lt;=EOMONTH(EDATE($H$83,$E$83-1),0)),$D$83/MAX($E$83,1),0)</f>
        <v>13707.6923076923</v>
      </c>
      <c r="AM92" s="159" t="n">
        <f aca="false">IF(AND(AM$6&gt;=EOMONTH($H$83,0),AM$6&lt;=EOMONTH(EDATE($H$83,$E$83-1),0)),$D$83/MAX($E$83,1),0)</f>
        <v>13707.6923076923</v>
      </c>
      <c r="AN92" s="159" t="n">
        <f aca="false">IF(AND(AN$6&gt;=EOMONTH($H$83,0),AN$6&lt;=EOMONTH(EDATE($H$83,$E$83-1),0)),$D$83/MAX($E$83,1),0)</f>
        <v>13707.6923076923</v>
      </c>
      <c r="AO92" s="159" t="n">
        <f aca="false">IF(AND(AO$6&gt;=EOMONTH($H$83,0),AO$6&lt;=EOMONTH(EDATE($H$83,$E$83-1),0)),$D$83/MAX($E$83,1),0)</f>
        <v>13707.6923076923</v>
      </c>
      <c r="AP92" s="159" t="n">
        <f aca="false">IF(AND(AP$6&gt;=EOMONTH($H$83,0),AP$6&lt;=EOMONTH(EDATE($H$83,$E$83-1),0)),$D$83/MAX($E$83,1),0)</f>
        <v>13707.6923076923</v>
      </c>
      <c r="AQ92" s="159" t="n">
        <f aca="false">IF(AND(AQ$6&gt;=EOMONTH($H$83,0),AQ$6&lt;=EOMONTH(EDATE($H$83,$E$83-1),0)),$D$83/MAX($E$83,1),0)</f>
        <v>13707.6923076923</v>
      </c>
      <c r="AR92" s="159" t="n">
        <f aca="false">IF(AND(AR$6&gt;=EOMONTH($H$83,0),AR$6&lt;=EOMONTH(EDATE($H$83,$E$83-1),0)),$D$83/MAX($E$83,1),0)</f>
        <v>13707.6923076923</v>
      </c>
      <c r="AS92" s="159" t="n">
        <f aca="false">IF(AND(AS$6&gt;=EOMONTH($H$83,0),AS$6&lt;=EOMONTH(EDATE($H$83,$E$83-1),0)),$D$83/MAX($E$83,1),0)</f>
        <v>0</v>
      </c>
      <c r="AT92" s="159" t="n">
        <f aca="false">IF(AND(AT$6&gt;=EOMONTH($H$83,0),AT$6&lt;=EOMONTH(EDATE($H$83,$E$83-1),0)),$D$83/MAX($E$83,1),0)</f>
        <v>0</v>
      </c>
      <c r="AU92" s="159" t="n">
        <f aca="false">IF(AND(AU$6&gt;=EOMONTH($H$83,0),AU$6&lt;=EOMONTH(EDATE($H$83,$E$83-1),0)),$D$83/MAX($E$83,1),0)</f>
        <v>0</v>
      </c>
      <c r="AV92" s="159" t="n">
        <f aca="false">IF(AND(AV$6&gt;=EOMONTH($H$83,0),AV$6&lt;=EOMONTH(EDATE($H$83,$E$83-1),0)),$D$83/MAX($E$83,1),0)</f>
        <v>0</v>
      </c>
      <c r="AW92" s="159" t="n">
        <f aca="false">IF(AND(AW$6&gt;=EOMONTH($H$83,0),AW$6&lt;=EOMONTH(EDATE($H$83,$E$83-1),0)),$D$83/MAX($E$83,1),0)</f>
        <v>0</v>
      </c>
      <c r="AX92" s="159" t="n">
        <f aca="false">IF(AND(AX$6&gt;=EOMONTH($H$83,0),AX$6&lt;=EOMONTH(EDATE($H$83,$E$83-1),0)),$D$83/MAX($E$83,1),0)</f>
        <v>0</v>
      </c>
      <c r="AY92" s="159" t="n">
        <f aca="false">IF(AND(AY$6&gt;=EOMONTH($H$83,0),AY$6&lt;=EOMONTH(EDATE($H$83,$E$83-1),0)),$D$83/MAX($E$83,1),0)</f>
        <v>0</v>
      </c>
      <c r="AZ92" s="159" t="n">
        <f aca="false">IF(AND(AZ$6&gt;=EOMONTH($H$83,0),AZ$6&lt;=EOMONTH(EDATE($H$83,$E$83-1),0)),$D$83/MAX($E$83,1),0)</f>
        <v>0</v>
      </c>
      <c r="BA92" s="159" t="n">
        <f aca="false">IF(AND(BA$6&gt;=EOMONTH($H$83,0),BA$6&lt;=EOMONTH(EDATE($H$83,$E$83-1),0)),$D$83/MAX($E$83,1),0)</f>
        <v>0</v>
      </c>
      <c r="BB92" s="159" t="n">
        <f aca="false">IF(AND(BB$6&gt;=EOMONTH($H$83,0),BB$6&lt;=EOMONTH(EDATE($H$83,$E$83-1),0)),$D$83/MAX($E$83,1),0)</f>
        <v>0</v>
      </c>
      <c r="BC92" s="159" t="n">
        <f aca="false">IF(AND(BC$6&gt;=EOMONTH($H$83,0),BC$6&lt;=EOMONTH(EDATE($H$83,$E$83-1),0)),$D$83/MAX($E$83,1),0)</f>
        <v>0</v>
      </c>
      <c r="BD92" s="159" t="n">
        <f aca="false">IF(AND(BD$6&gt;=EOMONTH($H$83,0),BD$6&lt;=EOMONTH(EDATE($H$83,$E$83-1),0)),$D$83/MAX($E$83,1),0)</f>
        <v>0</v>
      </c>
      <c r="BE92" s="159" t="n">
        <f aca="false">IF(AND(BE$6&gt;=EOMONTH($H$83,0),BE$6&lt;=EOMONTH(EDATE($H$83,$E$83-1),0)),$D$83/MAX($E$83,1),0)</f>
        <v>0</v>
      </c>
      <c r="BF92" s="159" t="n">
        <f aca="false">IF(AND(BF$6&gt;=EOMONTH($H$83,0),BF$6&lt;=EOMONTH(EDATE($H$83,$E$83-1),0)),$D$83/MAX($E$83,1),0)</f>
        <v>0</v>
      </c>
      <c r="BG92" s="159" t="n">
        <f aca="false">IF(AND(BG$6&gt;=EOMONTH($H$83,0),BG$6&lt;=EOMONTH(EDATE($H$83,$E$83-1),0)),$D$83/MAX($E$83,1),0)</f>
        <v>0</v>
      </c>
      <c r="BH92" s="159" t="n">
        <f aca="false">IF(AND(BH$6&gt;=EOMONTH($H$83,0),BH$6&lt;=EOMONTH(EDATE($H$83,$E$83-1),0)),$D$83/MAX($E$83,1),0)</f>
        <v>0</v>
      </c>
      <c r="BI92" s="159" t="n">
        <f aca="false">IF(AND(BI$6&gt;=EOMONTH($H$83,0),BI$6&lt;=EOMONTH(EDATE($H$83,$E$83-1),0)),$D$83/MAX($E$83,1),0)</f>
        <v>0</v>
      </c>
      <c r="BJ92" s="159" t="n">
        <f aca="false">IF(AND(BJ$6&gt;=EOMONTH($H$83,0),BJ$6&lt;=EOMONTH(EDATE($H$83,$E$83-1),0)),$D$83/MAX($E$83,1),0)</f>
        <v>0</v>
      </c>
      <c r="BK92" s="159" t="n">
        <f aca="false">IF(AND(BK$6&gt;=EOMONTH($H$83,0),BK$6&lt;=EOMONTH(EDATE($H$83,$E$83-1),0)),$D$83/MAX($E$83,1),0)</f>
        <v>0</v>
      </c>
      <c r="BL92" s="159" t="n">
        <f aca="false">IF(AND(BL$6&gt;=EOMONTH($H$83,0),BL$6&lt;=EOMONTH(EDATE($H$83,$E$83-1),0)),$D$83/MAX($E$83,1),0)</f>
        <v>0</v>
      </c>
      <c r="BM92" s="159" t="n">
        <f aca="false">IF(AND(BM$6&gt;=EOMONTH($H$83,0),BM$6&lt;=EOMONTH(EDATE($H$83,$E$83-1),0)),$D$83/MAX($E$83,1),0)</f>
        <v>0</v>
      </c>
      <c r="BN92" s="159" t="n">
        <f aca="false">IF(AND(BN$6&gt;=EOMONTH($H$83,0),BN$6&lt;=EOMONTH(EDATE($H$83,$E$83-1),0)),$D$83/MAX($E$83,1),0)</f>
        <v>0</v>
      </c>
      <c r="BO92" s="159" t="n">
        <f aca="false">IF(AND(BO$6&gt;=EOMONTH($H$83,0),BO$6&lt;=EOMONTH(EDATE($H$83,$E$83-1),0)),$D$83/MAX($E$83,1),0)</f>
        <v>0</v>
      </c>
      <c r="BP92" s="159" t="n">
        <f aca="false">IF(AND(BP$6&gt;=EOMONTH($H$83,0),BP$6&lt;=EOMONTH(EDATE($H$83,$E$83-1),0)),$D$83/MAX($E$83,1),0)</f>
        <v>0</v>
      </c>
      <c r="BQ92" s="159" t="n">
        <f aca="false">IF(AND(BQ$6&gt;=EOMONTH($H$83,0),BQ$6&lt;=EOMONTH(EDATE($H$83,$E$83-1),0)),$D$83/MAX($E$83,1),0)</f>
        <v>0</v>
      </c>
      <c r="BR92" s="159" t="n">
        <f aca="false">IF(AND(BR$6&gt;=EOMONTH($H$83,0),BR$6&lt;=EOMONTH(EDATE($H$83,$E$83-1),0)),$D$83/MAX($E$83,1),0)</f>
        <v>0</v>
      </c>
      <c r="BS92" s="159" t="n">
        <f aca="false">IF(AND(BS$6&gt;=EOMONTH($H$83,0),BS$6&lt;=EOMONTH(EDATE($H$83,$E$83-1),0)),$D$83/MAX($E$83,1),0)</f>
        <v>0</v>
      </c>
      <c r="BT92" s="159" t="n">
        <f aca="false">IF(AND(BT$6&gt;=EOMONTH($H$83,0),BT$6&lt;=EOMONTH(EDATE($H$83,$E$83-1),0)),$D$83/MAX($E$83,1),0)</f>
        <v>0</v>
      </c>
      <c r="BU92" s="159" t="n">
        <f aca="false">IF(AND(BU$6&gt;=EOMONTH($H$83,0),BU$6&lt;=EOMONTH(EDATE($H$83,$E$83-1),0)),$D$83/MAX($E$83,1),0)</f>
        <v>0</v>
      </c>
      <c r="BV92" s="159" t="n">
        <f aca="false">IF(AND(BV$6&gt;=EOMONTH($H$83,0),BV$6&lt;=EOMONTH(EDATE($H$83,$E$83-1),0)),$D$83/MAX($E$83,1),0)</f>
        <v>0</v>
      </c>
      <c r="BW92" s="159" t="n">
        <f aca="false">IF(AND(BW$6&gt;=EOMONTH($H$83,0),BW$6&lt;=EOMONTH(EDATE($H$83,$E$83-1),0)),$D$83/MAX($E$83,1),0)</f>
        <v>0</v>
      </c>
      <c r="BX92" s="159" t="n">
        <f aca="false">IF(AND(BX$6&gt;=EOMONTH($H$83,0),BX$6&lt;=EOMONTH(EDATE($H$83,$E$83-1),0)),$D$83/MAX($E$83,1),0)</f>
        <v>0</v>
      </c>
      <c r="BY92" s="159" t="n">
        <f aca="false">IF(AND(BY$6&gt;=EOMONTH($H$83,0),BY$6&lt;=EOMONTH(EDATE($H$83,$E$83-1),0)),$D$83/MAX($E$83,1),0)</f>
        <v>0</v>
      </c>
      <c r="BZ92" s="159" t="n">
        <f aca="false">IF(AND(BZ$6&gt;=EOMONTH($H$83,0),BZ$6&lt;=EOMONTH(EDATE($H$83,$E$83-1),0)),$D$83/MAX($E$83,1),0)</f>
        <v>0</v>
      </c>
      <c r="CA92" s="159" t="n">
        <f aca="false">IF(AND(CA$6&gt;=EOMONTH($H$83,0),CA$6&lt;=EOMONTH(EDATE($H$83,$E$83-1),0)),$D$83/MAX($E$83,1),0)</f>
        <v>0</v>
      </c>
    </row>
    <row r="93" customFormat="false" ht="15" hidden="false" customHeight="false" outlineLevel="0" collapsed="false">
      <c r="B93" s="196" t="s">
        <v>375</v>
      </c>
      <c r="T93" s="159" t="n">
        <f aca="false">IF(AND(T$6&gt;=EOMONTH($H$84,0),T$6&lt;=EOMONTH(EDATE($H$84,$E$84-1),0)),$D$84/MAX($E$84,1),0)</f>
        <v>0</v>
      </c>
      <c r="U93" s="159" t="n">
        <f aca="false">IF(AND(U$6&gt;=EOMONTH($H$84,0),U$6&lt;=EOMONTH(EDATE($H$84,$E$84-1),0)),$D$84/MAX($E$84,1),0)</f>
        <v>0</v>
      </c>
      <c r="V93" s="159" t="n">
        <f aca="false">IF(AND(V$6&gt;=EOMONTH($H$84,0),V$6&lt;=EOMONTH(EDATE($H$84,$E$84-1),0)),$D$84/MAX($E$84,1),0)</f>
        <v>0</v>
      </c>
      <c r="W93" s="159" t="n">
        <f aca="false">IF(AND(W$6&gt;=EOMONTH($H$84,0),W$6&lt;=EOMONTH(EDATE($H$84,$E$84-1),0)),$D$84/MAX($E$84,1),0)</f>
        <v>0</v>
      </c>
      <c r="X93" s="159" t="n">
        <f aca="false">IF(AND(X$6&gt;=EOMONTH($H$84,0),X$6&lt;=EOMONTH(EDATE($H$84,$E$84-1),0)),$D$84/MAX($E$84,1),0)</f>
        <v>0</v>
      </c>
      <c r="Y93" s="159" t="n">
        <f aca="false">IF(AND(Y$6&gt;=EOMONTH($H$84,0),Y$6&lt;=EOMONTH(EDATE($H$84,$E$84-1),0)),$D$84/MAX($E$84,1),0)</f>
        <v>0</v>
      </c>
      <c r="Z93" s="159" t="n">
        <f aca="false">IF(AND(Z$6&gt;=EOMONTH($H$84,0),Z$6&lt;=EOMONTH(EDATE($H$84,$E$84-1),0)),$D$84/MAX($E$84,1),0)</f>
        <v>0</v>
      </c>
      <c r="AA93" s="159" t="n">
        <f aca="false">IF(AND(AA$6&gt;=EOMONTH($H$84,0),AA$6&lt;=EOMONTH(EDATE($H$84,$E$84-1),0)),$D$84/MAX($E$84,1),0)</f>
        <v>0</v>
      </c>
      <c r="AB93" s="159" t="n">
        <f aca="false">IF(AND(AB$6&gt;=EOMONTH($H$84,0),AB$6&lt;=EOMONTH(EDATE($H$84,$E$84-1),0)),$D$84/MAX($E$84,1),0)</f>
        <v>0</v>
      </c>
      <c r="AC93" s="159" t="n">
        <f aca="false">IF(AND(AC$6&gt;=EOMONTH($H$84,0),AC$6&lt;=EOMONTH(EDATE($H$84,$E$84-1),0)),$D$84/MAX($E$84,1),0)</f>
        <v>0</v>
      </c>
      <c r="AD93" s="159" t="n">
        <f aca="false">IF(AND(AD$6&gt;=EOMONTH($H$84,0),AD$6&lt;=EOMONTH(EDATE($H$84,$E$84-1),0)),$D$84/MAX($E$84,1),0)</f>
        <v>0</v>
      </c>
      <c r="AE93" s="159" t="n">
        <f aca="false">IF(AND(AE$6&gt;=EOMONTH($H$84,0),AE$6&lt;=EOMONTH(EDATE($H$84,$E$84-1),0)),$D$84/MAX($E$84,1),0)</f>
        <v>0</v>
      </c>
      <c r="AF93" s="159" t="n">
        <f aca="false">IF(AND(AF$6&gt;=EOMONTH($H$84,0),AF$6&lt;=EOMONTH(EDATE($H$84,$E$84-1),0)),$D$84/MAX($E$84,1),0)</f>
        <v>0</v>
      </c>
      <c r="AG93" s="159" t="n">
        <f aca="false">IF(AND(AG$6&gt;=EOMONTH($H$84,0),AG$6&lt;=EOMONTH(EDATE($H$84,$E$84-1),0)),$D$84/MAX($E$84,1),0)</f>
        <v>0</v>
      </c>
      <c r="AH93" s="159" t="n">
        <f aca="false">IF(AND(AH$6&gt;=EOMONTH($H$84,0),AH$6&lt;=EOMONTH(EDATE($H$84,$E$84-1),0)),$D$84/MAX($E$84,1),0)</f>
        <v>0</v>
      </c>
      <c r="AI93" s="159" t="n">
        <f aca="false">IF(AND(AI$6&gt;=EOMONTH($H$84,0),AI$6&lt;=EOMONTH(EDATE($H$84,$E$84-1),0)),$D$84/MAX($E$84,1),0)</f>
        <v>0</v>
      </c>
      <c r="AJ93" s="159" t="n">
        <f aca="false">IF(AND(AJ$6&gt;=EOMONTH($H$84,0),AJ$6&lt;=EOMONTH(EDATE($H$84,$E$84-1),0)),$D$84/MAX($E$84,1),0)</f>
        <v>0</v>
      </c>
      <c r="AK93" s="159" t="n">
        <f aca="false">IF(AND(AK$6&gt;=EOMONTH($H$84,0),AK$6&lt;=EOMONTH(EDATE($H$84,$E$84-1),0)),$D$84/MAX($E$84,1),0)</f>
        <v>0</v>
      </c>
      <c r="AL93" s="159" t="n">
        <f aca="false">IF(AND(AL$6&gt;=EOMONTH($H$84,0),AL$6&lt;=EOMONTH(EDATE($H$84,$E$84-1),0)),$D$84/MAX($E$84,1),0)</f>
        <v>0</v>
      </c>
      <c r="AM93" s="159" t="n">
        <f aca="false">IF(AND(AM$6&gt;=EOMONTH($H$84,0),AM$6&lt;=EOMONTH(EDATE($H$84,$E$84-1),0)),$D$84/MAX($E$84,1),0)</f>
        <v>0</v>
      </c>
      <c r="AN93" s="159" t="n">
        <f aca="false">IF(AND(AN$6&gt;=EOMONTH($H$84,0),AN$6&lt;=EOMONTH(EDATE($H$84,$E$84-1),0)),$D$84/MAX($E$84,1),0)</f>
        <v>0</v>
      </c>
      <c r="AO93" s="159" t="n">
        <f aca="false">IF(AND(AO$6&gt;=EOMONTH($H$84,0),AO$6&lt;=EOMONTH(EDATE($H$84,$E$84-1),0)),$D$84/MAX($E$84,1),0)</f>
        <v>0</v>
      </c>
      <c r="AP93" s="159" t="n">
        <f aca="false">IF(AND(AP$6&gt;=EOMONTH($H$84,0),AP$6&lt;=EOMONTH(EDATE($H$84,$E$84-1),0)),$D$84/MAX($E$84,1),0)</f>
        <v>0</v>
      </c>
      <c r="AQ93" s="159" t="n">
        <f aca="false">IF(AND(AQ$6&gt;=EOMONTH($H$84,0),AQ$6&lt;=EOMONTH(EDATE($H$84,$E$84-1),0)),$D$84/MAX($E$84,1),0)</f>
        <v>0</v>
      </c>
      <c r="AR93" s="159" t="n">
        <f aca="false">IF(AND(AR$6&gt;=EOMONTH($H$84,0),AR$6&lt;=EOMONTH(EDATE($H$84,$E$84-1),0)),$D$84/MAX($E$84,1),0)</f>
        <v>0</v>
      </c>
      <c r="AS93" s="159" t="n">
        <f aca="false">IF(AND(AS$6&gt;=EOMONTH($H$84,0),AS$6&lt;=EOMONTH(EDATE($H$84,$E$84-1),0)),$D$84/MAX($E$84,1),0)</f>
        <v>0</v>
      </c>
      <c r="AT93" s="159" t="n">
        <f aca="false">IF(AND(AT$6&gt;=EOMONTH($H$84,0),AT$6&lt;=EOMONTH(EDATE($H$84,$E$84-1),0)),$D$84/MAX($E$84,1),0)</f>
        <v>0</v>
      </c>
      <c r="AU93" s="159" t="n">
        <f aca="false">IF(AND(AU$6&gt;=EOMONTH($H$84,0),AU$6&lt;=EOMONTH(EDATE($H$84,$E$84-1),0)),$D$84/MAX($E$84,1),0)</f>
        <v>0</v>
      </c>
      <c r="AV93" s="159" t="n">
        <f aca="false">IF(AND(AV$6&gt;=EOMONTH($H$84,0),AV$6&lt;=EOMONTH(EDATE($H$84,$E$84-1),0)),$D$84/MAX($E$84,1),0)</f>
        <v>0</v>
      </c>
      <c r="AW93" s="159" t="n">
        <f aca="false">IF(AND(AW$6&gt;=EOMONTH($H$84,0),AW$6&lt;=EOMONTH(EDATE($H$84,$E$84-1),0)),$D$84/MAX($E$84,1),0)</f>
        <v>0</v>
      </c>
      <c r="AX93" s="159" t="n">
        <f aca="false">IF(AND(AX$6&gt;=EOMONTH($H$84,0),AX$6&lt;=EOMONTH(EDATE($H$84,$E$84-1),0)),$D$84/MAX($E$84,1),0)</f>
        <v>0</v>
      </c>
      <c r="AY93" s="159" t="n">
        <f aca="false">IF(AND(AY$6&gt;=EOMONTH($H$84,0),AY$6&lt;=EOMONTH(EDATE($H$84,$E$84-1),0)),$D$84/MAX($E$84,1),0)</f>
        <v>0</v>
      </c>
      <c r="AZ93" s="159" t="n">
        <f aca="false">IF(AND(AZ$6&gt;=EOMONTH($H$84,0),AZ$6&lt;=EOMONTH(EDATE($H$84,$E$84-1),0)),$D$84/MAX($E$84,1),0)</f>
        <v>0</v>
      </c>
      <c r="BA93" s="159" t="n">
        <f aca="false">IF(AND(BA$6&gt;=EOMONTH($H$84,0),BA$6&lt;=EOMONTH(EDATE($H$84,$E$84-1),0)),$D$84/MAX($E$84,1),0)</f>
        <v>0</v>
      </c>
      <c r="BB93" s="159" t="n">
        <f aca="false">IF(AND(BB$6&gt;=EOMONTH($H$84,0),BB$6&lt;=EOMONTH(EDATE($H$84,$E$84-1),0)),$D$84/MAX($E$84,1),0)</f>
        <v>0</v>
      </c>
      <c r="BC93" s="159" t="n">
        <f aca="false">IF(AND(BC$6&gt;=EOMONTH($H$84,0),BC$6&lt;=EOMONTH(EDATE($H$84,$E$84-1),0)),$D$84/MAX($E$84,1),0)</f>
        <v>0</v>
      </c>
      <c r="BD93" s="159" t="n">
        <f aca="false">IF(AND(BD$6&gt;=EOMONTH($H$84,0),BD$6&lt;=EOMONTH(EDATE($H$84,$E$84-1),0)),$D$84/MAX($E$84,1),0)</f>
        <v>0</v>
      </c>
      <c r="BE93" s="159" t="n">
        <f aca="false">IF(AND(BE$6&gt;=EOMONTH($H$84,0),BE$6&lt;=EOMONTH(EDATE($H$84,$E$84-1),0)),$D$84/MAX($E$84,1),0)</f>
        <v>0</v>
      </c>
      <c r="BF93" s="159" t="n">
        <f aca="false">IF(AND(BF$6&gt;=EOMONTH($H$84,0),BF$6&lt;=EOMONTH(EDATE($H$84,$E$84-1),0)),$D$84/MAX($E$84,1),0)</f>
        <v>0</v>
      </c>
      <c r="BG93" s="159" t="n">
        <f aca="false">IF(AND(BG$6&gt;=EOMONTH($H$84,0),BG$6&lt;=EOMONTH(EDATE($H$84,$E$84-1),0)),$D$84/MAX($E$84,1),0)</f>
        <v>0</v>
      </c>
      <c r="BH93" s="159" t="n">
        <f aca="false">IF(AND(BH$6&gt;=EOMONTH($H$84,0),BH$6&lt;=EOMONTH(EDATE($H$84,$E$84-1),0)),$D$84/MAX($E$84,1),0)</f>
        <v>0</v>
      </c>
      <c r="BI93" s="159" t="n">
        <f aca="false">IF(AND(BI$6&gt;=EOMONTH($H$84,0),BI$6&lt;=EOMONTH(EDATE($H$84,$E$84-1),0)),$D$84/MAX($E$84,1),0)</f>
        <v>0</v>
      </c>
      <c r="BJ93" s="159" t="n">
        <f aca="false">IF(AND(BJ$6&gt;=EOMONTH($H$84,0),BJ$6&lt;=EOMONTH(EDATE($H$84,$E$84-1),0)),$D$84/MAX($E$84,1),0)</f>
        <v>0</v>
      </c>
      <c r="BK93" s="159" t="n">
        <f aca="false">IF(AND(BK$6&gt;=EOMONTH($H$84,0),BK$6&lt;=EOMONTH(EDATE($H$84,$E$84-1),0)),$D$84/MAX($E$84,1),0)</f>
        <v>0</v>
      </c>
      <c r="BL93" s="159" t="n">
        <f aca="false">IF(AND(BL$6&gt;=EOMONTH($H$84,0),BL$6&lt;=EOMONTH(EDATE($H$84,$E$84-1),0)),$D$84/MAX($E$84,1),0)</f>
        <v>0</v>
      </c>
      <c r="BM93" s="159" t="n">
        <f aca="false">IF(AND(BM$6&gt;=EOMONTH($H$84,0),BM$6&lt;=EOMONTH(EDATE($H$84,$E$84-1),0)),$D$84/MAX($E$84,1),0)</f>
        <v>0</v>
      </c>
      <c r="BN93" s="159" t="n">
        <f aca="false">IF(AND(BN$6&gt;=EOMONTH($H$84,0),BN$6&lt;=EOMONTH(EDATE($H$84,$E$84-1),0)),$D$84/MAX($E$84,1),0)</f>
        <v>0</v>
      </c>
      <c r="BO93" s="159" t="n">
        <f aca="false">IF(AND(BO$6&gt;=EOMONTH($H$84,0),BO$6&lt;=EOMONTH(EDATE($H$84,$E$84-1),0)),$D$84/MAX($E$84,1),0)</f>
        <v>0</v>
      </c>
      <c r="BP93" s="159" t="n">
        <f aca="false">IF(AND(BP$6&gt;=EOMONTH($H$84,0),BP$6&lt;=EOMONTH(EDATE($H$84,$E$84-1),0)),$D$84/MAX($E$84,1),0)</f>
        <v>0</v>
      </c>
      <c r="BQ93" s="159" t="n">
        <f aca="false">IF(AND(BQ$6&gt;=EOMONTH($H$84,0),BQ$6&lt;=EOMONTH(EDATE($H$84,$E$84-1),0)),$D$84/MAX($E$84,1),0)</f>
        <v>0</v>
      </c>
      <c r="BR93" s="159" t="n">
        <f aca="false">IF(AND(BR$6&gt;=EOMONTH($H$84,0),BR$6&lt;=EOMONTH(EDATE($H$84,$E$84-1),0)),$D$84/MAX($E$84,1),0)</f>
        <v>0</v>
      </c>
      <c r="BS93" s="159" t="n">
        <f aca="false">IF(AND(BS$6&gt;=EOMONTH($H$84,0),BS$6&lt;=EOMONTH(EDATE($H$84,$E$84-1),0)),$D$84/MAX($E$84,1),0)</f>
        <v>0</v>
      </c>
      <c r="BT93" s="159" t="n">
        <f aca="false">IF(AND(BT$6&gt;=EOMONTH($H$84,0),BT$6&lt;=EOMONTH(EDATE($H$84,$E$84-1),0)),$D$84/MAX($E$84,1),0)</f>
        <v>0</v>
      </c>
      <c r="BU93" s="159" t="n">
        <f aca="false">IF(AND(BU$6&gt;=EOMONTH($H$84,0),BU$6&lt;=EOMONTH(EDATE($H$84,$E$84-1),0)),$D$84/MAX($E$84,1),0)</f>
        <v>0</v>
      </c>
      <c r="BV93" s="159" t="n">
        <f aca="false">IF(AND(BV$6&gt;=EOMONTH($H$84,0),BV$6&lt;=EOMONTH(EDATE($H$84,$E$84-1),0)),$D$84/MAX($E$84,1),0)</f>
        <v>0</v>
      </c>
      <c r="BW93" s="159" t="n">
        <f aca="false">IF(AND(BW$6&gt;=EOMONTH($H$84,0),BW$6&lt;=EOMONTH(EDATE($H$84,$E$84-1),0)),$D$84/MAX($E$84,1),0)</f>
        <v>0</v>
      </c>
      <c r="BX93" s="159" t="n">
        <f aca="false">IF(AND(BX$6&gt;=EOMONTH($H$84,0),BX$6&lt;=EOMONTH(EDATE($H$84,$E$84-1),0)),$D$84/MAX($E$84,1),0)</f>
        <v>0</v>
      </c>
      <c r="BY93" s="159" t="n">
        <f aca="false">IF(AND(BY$6&gt;=EOMONTH($H$84,0),BY$6&lt;=EOMONTH(EDATE($H$84,$E$84-1),0)),$D$84/MAX($E$84,1),0)</f>
        <v>0</v>
      </c>
      <c r="BZ93" s="159" t="n">
        <f aca="false">IF(AND(BZ$6&gt;=EOMONTH($H$84,0),BZ$6&lt;=EOMONTH(EDATE($H$84,$E$84-1),0)),$D$84/MAX($E$84,1),0)</f>
        <v>0</v>
      </c>
      <c r="CA93" s="159" t="n">
        <f aca="false">IF(AND(CA$6&gt;=EOMONTH($H$84,0),CA$6&lt;=EOMONTH(EDATE($H$84,$E$84-1),0)),$D$84/MAX($E$84,1),0)</f>
        <v>0</v>
      </c>
    </row>
    <row r="95" customFormat="false" ht="15" hidden="false" customHeight="false" outlineLevel="0" collapsed="false">
      <c r="B95" s="197" t="s">
        <v>376</v>
      </c>
    </row>
    <row r="96" customFormat="false" ht="15" hidden="false" customHeight="false" outlineLevel="0" collapsed="false">
      <c r="B96" s="10" t="s">
        <v>377</v>
      </c>
      <c r="L96" s="193" t="n">
        <f aca="false">SUMIFS($T96:$CA96,$T$5:$CA$5,2026)</f>
        <v>0</v>
      </c>
      <c r="M96" s="193" t="n">
        <f aca="false">SUMIFS($T96:$CA96,$T$5:$CA$5,2027)</f>
        <v>0</v>
      </c>
      <c r="N96" s="193" t="n">
        <f aca="false">SUMIFS($T96:$CA96,$T$5:$CA$5,2028)</f>
        <v>0</v>
      </c>
      <c r="O96" s="193" t="n">
        <f aca="false">SUMIFS($T96:$CA96,$T$5:$CA$5,2029)</f>
        <v>0</v>
      </c>
      <c r="P96" s="193" t="n">
        <f aca="false">SUMIFS($T96:$CA96,$T$5:$CA$5,2030)</f>
        <v>0</v>
      </c>
      <c r="T96" s="193" t="n">
        <f aca="false">(SUMPRODUCT(T70:T73,$I$64:$I$67))/1000000</f>
        <v>0</v>
      </c>
      <c r="U96" s="193" t="n">
        <f aca="false">(SUMPRODUCT(U70:U73,$I$64:$I$67))/1000000</f>
        <v>0</v>
      </c>
      <c r="V96" s="193" t="n">
        <f aca="false">(SUMPRODUCT(V70:V73,$I$64:$I$67))/1000000</f>
        <v>0</v>
      </c>
      <c r="W96" s="193" t="n">
        <f aca="false">(SUMPRODUCT(W70:W73,$I$64:$I$67))/1000000</f>
        <v>0</v>
      </c>
      <c r="X96" s="193" t="n">
        <f aca="false">(SUMPRODUCT(X70:X73,$I$64:$I$67))/1000000</f>
        <v>0</v>
      </c>
      <c r="Y96" s="193" t="n">
        <f aca="false">(SUMPRODUCT(Y70:Y73,$I$64:$I$67))/1000000</f>
        <v>0</v>
      </c>
      <c r="Z96" s="193" t="n">
        <f aca="false">(SUMPRODUCT(Z70:Z73,$I$64:$I$67))/1000000</f>
        <v>0</v>
      </c>
      <c r="AA96" s="193" t="n">
        <f aca="false">(SUMPRODUCT(AA70:AA73,$I$64:$I$67))/1000000</f>
        <v>0</v>
      </c>
      <c r="AB96" s="193" t="n">
        <f aca="false">(SUMPRODUCT(AB70:AB73,$I$64:$I$67))/1000000</f>
        <v>0</v>
      </c>
      <c r="AC96" s="193" t="n">
        <f aca="false">(SUMPRODUCT(AC70:AC73,$I$64:$I$67))/1000000</f>
        <v>0</v>
      </c>
      <c r="AD96" s="193" t="n">
        <f aca="false">(SUMPRODUCT(AD70:AD73,$I$64:$I$67))/1000000</f>
        <v>0</v>
      </c>
      <c r="AE96" s="193" t="n">
        <f aca="false">(SUMPRODUCT(AE70:AE73,$I$64:$I$67))/1000000</f>
        <v>0</v>
      </c>
      <c r="AF96" s="193" t="n">
        <f aca="false">(SUMPRODUCT(AF70:AF73,$I$64:$I$67))/1000000</f>
        <v>0</v>
      </c>
      <c r="AG96" s="193" t="n">
        <f aca="false">(SUMPRODUCT(AG70:AG73,$I$64:$I$67))/1000000</f>
        <v>0</v>
      </c>
      <c r="AH96" s="193" t="n">
        <f aca="false">(SUMPRODUCT(AH70:AH73,$I$64:$I$67))/1000000</f>
        <v>0</v>
      </c>
      <c r="AI96" s="193" t="n">
        <f aca="false">(SUMPRODUCT(AI70:AI73,$I$64:$I$67))/1000000</f>
        <v>0</v>
      </c>
      <c r="AJ96" s="193" t="n">
        <f aca="false">(SUMPRODUCT(AJ70:AJ73,$I$64:$I$67))/1000000</f>
        <v>0</v>
      </c>
      <c r="AK96" s="193" t="n">
        <f aca="false">(SUMPRODUCT(AK70:AK73,$I$64:$I$67))/1000000</f>
        <v>0</v>
      </c>
      <c r="AL96" s="193" t="n">
        <f aca="false">(SUMPRODUCT(AL70:AL73,$I$64:$I$67))/1000000</f>
        <v>0</v>
      </c>
      <c r="AM96" s="193" t="n">
        <f aca="false">(SUMPRODUCT(AM70:AM73,$I$64:$I$67))/1000000</f>
        <v>0</v>
      </c>
      <c r="AN96" s="193" t="n">
        <f aca="false">(SUMPRODUCT(AN70:AN73,$I$64:$I$67))/1000000</f>
        <v>0</v>
      </c>
      <c r="AO96" s="193" t="n">
        <f aca="false">(SUMPRODUCT(AO70:AO73,$I$64:$I$67))/1000000</f>
        <v>0</v>
      </c>
      <c r="AP96" s="193" t="n">
        <f aca="false">(SUMPRODUCT(AP70:AP73,$I$64:$I$67))/1000000</f>
        <v>0</v>
      </c>
      <c r="AQ96" s="193" t="n">
        <f aca="false">(SUMPRODUCT(AQ70:AQ73,$I$64:$I$67))/1000000</f>
        <v>0</v>
      </c>
      <c r="AR96" s="193" t="n">
        <f aca="false">(SUMPRODUCT(AR70:AR73,$I$64:$I$67))/1000000</f>
        <v>0</v>
      </c>
      <c r="AS96" s="193" t="n">
        <f aca="false">(SUMPRODUCT(AS70:AS73,$I$64:$I$67))/1000000</f>
        <v>0</v>
      </c>
      <c r="AT96" s="193" t="n">
        <f aca="false">(SUMPRODUCT(AT70:AT73,$I$64:$I$67))/1000000</f>
        <v>0</v>
      </c>
      <c r="AU96" s="193" t="n">
        <f aca="false">(SUMPRODUCT(AU70:AU73,$I$64:$I$67))/1000000</f>
        <v>0</v>
      </c>
      <c r="AV96" s="193" t="n">
        <f aca="false">(SUMPRODUCT(AV70:AV73,$I$64:$I$67))/1000000</f>
        <v>0</v>
      </c>
      <c r="AW96" s="193" t="n">
        <f aca="false">(SUMPRODUCT(AW70:AW73,$I$64:$I$67))/1000000</f>
        <v>0</v>
      </c>
      <c r="AX96" s="193" t="n">
        <f aca="false">(SUMPRODUCT(AX70:AX73,$I$64:$I$67))/1000000</f>
        <v>0</v>
      </c>
      <c r="AY96" s="193" t="n">
        <f aca="false">(SUMPRODUCT(AY70:AY73,$I$64:$I$67))/1000000</f>
        <v>0</v>
      </c>
      <c r="AZ96" s="193" t="n">
        <f aca="false">(SUMPRODUCT(AZ70:AZ73,$I$64:$I$67))/1000000</f>
        <v>0</v>
      </c>
      <c r="BA96" s="193" t="n">
        <f aca="false">(SUMPRODUCT(BA70:BA73,$I$64:$I$67))/1000000</f>
        <v>0</v>
      </c>
      <c r="BB96" s="193" t="n">
        <f aca="false">(SUMPRODUCT(BB70:BB73,$I$64:$I$67))/1000000</f>
        <v>0</v>
      </c>
      <c r="BC96" s="193" t="n">
        <f aca="false">(SUMPRODUCT(BC70:BC73,$I$64:$I$67))/1000000</f>
        <v>0</v>
      </c>
      <c r="BD96" s="193" t="n">
        <f aca="false">(SUMPRODUCT(BD70:BD73,$I$64:$I$67))/1000000</f>
        <v>0</v>
      </c>
      <c r="BE96" s="193" t="n">
        <f aca="false">(SUMPRODUCT(BE70:BE73,$I$64:$I$67))/1000000</f>
        <v>0</v>
      </c>
      <c r="BF96" s="193" t="n">
        <f aca="false">(SUMPRODUCT(BF70:BF73,$I$64:$I$67))/1000000</f>
        <v>0</v>
      </c>
      <c r="BG96" s="193" t="n">
        <f aca="false">(SUMPRODUCT(BG70:BG73,$I$64:$I$67))/1000000</f>
        <v>0</v>
      </c>
      <c r="BH96" s="193" t="n">
        <f aca="false">(SUMPRODUCT(BH70:BH73,$I$64:$I$67))/1000000</f>
        <v>0</v>
      </c>
      <c r="BI96" s="193" t="n">
        <f aca="false">(SUMPRODUCT(BI70:BI73,$I$64:$I$67))/1000000</f>
        <v>0</v>
      </c>
      <c r="BJ96" s="193" t="n">
        <f aca="false">(SUMPRODUCT(BJ70:BJ73,$I$64:$I$67))/1000000</f>
        <v>0</v>
      </c>
      <c r="BK96" s="193" t="n">
        <f aca="false">(SUMPRODUCT(BK70:BK73,$I$64:$I$67))/1000000</f>
        <v>0</v>
      </c>
      <c r="BL96" s="193" t="n">
        <f aca="false">(SUMPRODUCT(BL70:BL73,$I$64:$I$67))/1000000</f>
        <v>0</v>
      </c>
      <c r="BM96" s="193" t="n">
        <f aca="false">(SUMPRODUCT(BM70:BM73,$I$64:$I$67))/1000000</f>
        <v>0</v>
      </c>
      <c r="BN96" s="193" t="n">
        <f aca="false">(SUMPRODUCT(BN70:BN73,$I$64:$I$67))/1000000</f>
        <v>0</v>
      </c>
      <c r="BO96" s="193" t="n">
        <f aca="false">(SUMPRODUCT(BO70:BO73,$I$64:$I$67))/1000000</f>
        <v>0</v>
      </c>
      <c r="BP96" s="193" t="n">
        <f aca="false">(SUMPRODUCT(BP70:BP73,$I$64:$I$67))/1000000</f>
        <v>0</v>
      </c>
      <c r="BQ96" s="193" t="n">
        <f aca="false">(SUMPRODUCT(BQ70:BQ73,$I$64:$I$67))/1000000</f>
        <v>0</v>
      </c>
      <c r="BR96" s="193" t="n">
        <f aca="false">(SUMPRODUCT(BR70:BR73,$I$64:$I$67))/1000000</f>
        <v>0</v>
      </c>
      <c r="BS96" s="193" t="n">
        <f aca="false">(SUMPRODUCT(BS70:BS73,$I$64:$I$67))/1000000</f>
        <v>0</v>
      </c>
      <c r="BT96" s="193" t="n">
        <f aca="false">(SUMPRODUCT(BT70:BT73,$I$64:$I$67))/1000000</f>
        <v>0</v>
      </c>
      <c r="BU96" s="193" t="n">
        <f aca="false">(SUMPRODUCT(BU70:BU73,$I$64:$I$67))/1000000</f>
        <v>0</v>
      </c>
      <c r="BV96" s="193" t="n">
        <f aca="false">(SUMPRODUCT(BV70:BV73,$I$64:$I$67))/1000000</f>
        <v>0</v>
      </c>
      <c r="BW96" s="193" t="n">
        <f aca="false">(SUMPRODUCT(BW70:BW73,$I$64:$I$67))/1000000</f>
        <v>0</v>
      </c>
      <c r="BX96" s="193" t="n">
        <f aca="false">(SUMPRODUCT(BX70:BX73,$I$64:$I$67))/1000000</f>
        <v>0</v>
      </c>
      <c r="BY96" s="193" t="n">
        <f aca="false">(SUMPRODUCT(BY70:BY73,$I$64:$I$67))/1000000</f>
        <v>0</v>
      </c>
      <c r="BZ96" s="193" t="n">
        <f aca="false">(SUMPRODUCT(BZ70:BZ73,$I$64:$I$67))/1000000</f>
        <v>0</v>
      </c>
      <c r="CA96" s="193" t="n">
        <f aca="false">(SUMPRODUCT(CA70:CA73,$I$64:$I$67))/1000000</f>
        <v>0</v>
      </c>
    </row>
    <row r="97" customFormat="false" ht="15" hidden="false" customHeight="false" outlineLevel="0" collapsed="false">
      <c r="B97" s="10" t="s">
        <v>378</v>
      </c>
      <c r="L97" s="193" t="n">
        <f aca="false">SUMIFS($T97:$CA97,$T$5:$CA$5,2026)</f>
        <v>0</v>
      </c>
      <c r="M97" s="193" t="n">
        <f aca="false">SUMIFS($T97:$CA97,$T$5:$CA$5,2027)</f>
        <v>0</v>
      </c>
      <c r="N97" s="193" t="n">
        <f aca="false">SUMIFS($T97:$CA97,$T$5:$CA$5,2028)</f>
        <v>0</v>
      </c>
      <c r="O97" s="193" t="n">
        <f aca="false">SUMIFS($T97:$CA97,$T$5:$CA$5,2029)</f>
        <v>0</v>
      </c>
      <c r="P97" s="193" t="n">
        <f aca="false">SUMIFS($T97:$CA97,$T$5:$CA$5,2030)</f>
        <v>0</v>
      </c>
      <c r="T97" s="193" t="n">
        <f aca="false">SUMPRODUCT(T87:T93,$I$78:$I$84)/1000000</f>
        <v>0</v>
      </c>
      <c r="U97" s="193" t="n">
        <f aca="false">SUMPRODUCT(U87:U93,$I$78:$I$84)/1000000</f>
        <v>0</v>
      </c>
      <c r="V97" s="193" t="n">
        <f aca="false">SUMPRODUCT(V87:V93,$I$78:$I$84)/1000000</f>
        <v>0</v>
      </c>
      <c r="W97" s="193" t="n">
        <f aca="false">SUMPRODUCT(W87:W93,$I$78:$I$84)/1000000</f>
        <v>0</v>
      </c>
      <c r="X97" s="193" t="n">
        <f aca="false">SUMPRODUCT(X87:X93,$I$78:$I$84)/1000000</f>
        <v>0</v>
      </c>
      <c r="Y97" s="193" t="n">
        <f aca="false">SUMPRODUCT(Y87:Y93,$I$78:$I$84)/1000000</f>
        <v>0</v>
      </c>
      <c r="Z97" s="193" t="n">
        <f aca="false">SUMPRODUCT(Z87:Z93,$I$78:$I$84)/1000000</f>
        <v>0</v>
      </c>
      <c r="AA97" s="193" t="n">
        <f aca="false">SUMPRODUCT(AA87:AA93,$I$78:$I$84)/1000000</f>
        <v>0</v>
      </c>
      <c r="AB97" s="193" t="n">
        <f aca="false">SUMPRODUCT(AB87:AB93,$I$78:$I$84)/1000000</f>
        <v>0</v>
      </c>
      <c r="AC97" s="193" t="n">
        <f aca="false">SUMPRODUCT(AC87:AC93,$I$78:$I$84)/1000000</f>
        <v>0</v>
      </c>
      <c r="AD97" s="193" t="n">
        <f aca="false">SUMPRODUCT(AD87:AD93,$I$78:$I$84)/1000000</f>
        <v>0</v>
      </c>
      <c r="AE97" s="193" t="n">
        <f aca="false">SUMPRODUCT(AE87:AE93,$I$78:$I$84)/1000000</f>
        <v>0</v>
      </c>
      <c r="AF97" s="193" t="n">
        <f aca="false">SUMPRODUCT(AF87:AF93,$I$78:$I$84)/1000000</f>
        <v>0</v>
      </c>
      <c r="AG97" s="193" t="n">
        <f aca="false">SUMPRODUCT(AG87:AG93,$I$78:$I$84)/1000000</f>
        <v>0</v>
      </c>
      <c r="AH97" s="193" t="n">
        <f aca="false">SUMPRODUCT(AH87:AH93,$I$78:$I$84)/1000000</f>
        <v>0</v>
      </c>
      <c r="AI97" s="193" t="n">
        <f aca="false">SUMPRODUCT(AI87:AI93,$I$78:$I$84)/1000000</f>
        <v>0</v>
      </c>
      <c r="AJ97" s="193" t="n">
        <f aca="false">SUMPRODUCT(AJ87:AJ93,$I$78:$I$84)/1000000</f>
        <v>0</v>
      </c>
      <c r="AK97" s="193" t="n">
        <f aca="false">SUMPRODUCT(AK87:AK93,$I$78:$I$84)/1000000</f>
        <v>0</v>
      </c>
      <c r="AL97" s="193" t="n">
        <f aca="false">SUMPRODUCT(AL87:AL93,$I$78:$I$84)/1000000</f>
        <v>0</v>
      </c>
      <c r="AM97" s="193" t="n">
        <f aca="false">SUMPRODUCT(AM87:AM93,$I$78:$I$84)/1000000</f>
        <v>0</v>
      </c>
      <c r="AN97" s="193" t="n">
        <f aca="false">SUMPRODUCT(AN87:AN93,$I$78:$I$84)/1000000</f>
        <v>0</v>
      </c>
      <c r="AO97" s="193" t="n">
        <f aca="false">SUMPRODUCT(AO87:AO93,$I$78:$I$84)/1000000</f>
        <v>0</v>
      </c>
      <c r="AP97" s="193" t="n">
        <f aca="false">SUMPRODUCT(AP87:AP93,$I$78:$I$84)/1000000</f>
        <v>0</v>
      </c>
      <c r="AQ97" s="193" t="n">
        <f aca="false">SUMPRODUCT(AQ87:AQ93,$I$78:$I$84)/1000000</f>
        <v>0</v>
      </c>
      <c r="AR97" s="193" t="n">
        <f aca="false">SUMPRODUCT(AR87:AR93,$I$78:$I$84)/1000000</f>
        <v>0</v>
      </c>
      <c r="AS97" s="193" t="n">
        <f aca="false">SUMPRODUCT(AS87:AS93,$I$78:$I$84)/1000000</f>
        <v>0</v>
      </c>
      <c r="AT97" s="193" t="n">
        <f aca="false">SUMPRODUCT(AT87:AT93,$I$78:$I$84)/1000000</f>
        <v>0</v>
      </c>
      <c r="AU97" s="193" t="n">
        <f aca="false">SUMPRODUCT(AU87:AU93,$I$78:$I$84)/1000000</f>
        <v>0</v>
      </c>
      <c r="AV97" s="193" t="n">
        <f aca="false">SUMPRODUCT(AV87:AV93,$I$78:$I$84)/1000000</f>
        <v>0</v>
      </c>
      <c r="AW97" s="193" t="n">
        <f aca="false">SUMPRODUCT(AW87:AW93,$I$78:$I$84)/1000000</f>
        <v>0</v>
      </c>
      <c r="AX97" s="193" t="n">
        <f aca="false">SUMPRODUCT(AX87:AX93,$I$78:$I$84)/1000000</f>
        <v>0</v>
      </c>
      <c r="AY97" s="193" t="n">
        <f aca="false">SUMPRODUCT(AY87:AY93,$I$78:$I$84)/1000000</f>
        <v>0</v>
      </c>
      <c r="AZ97" s="193" t="n">
        <f aca="false">SUMPRODUCT(AZ87:AZ93,$I$78:$I$84)/1000000</f>
        <v>0</v>
      </c>
      <c r="BA97" s="193" t="n">
        <f aca="false">SUMPRODUCT(BA87:BA93,$I$78:$I$84)/1000000</f>
        <v>0</v>
      </c>
      <c r="BB97" s="193" t="n">
        <f aca="false">SUMPRODUCT(BB87:BB93,$I$78:$I$84)/1000000</f>
        <v>0</v>
      </c>
      <c r="BC97" s="193" t="n">
        <f aca="false">SUMPRODUCT(BC87:BC93,$I$78:$I$84)/1000000</f>
        <v>0</v>
      </c>
      <c r="BD97" s="193" t="n">
        <f aca="false">SUMPRODUCT(BD87:BD93,$I$78:$I$84)/1000000</f>
        <v>0</v>
      </c>
      <c r="BE97" s="193" t="n">
        <f aca="false">SUMPRODUCT(BE87:BE93,$I$78:$I$84)/1000000</f>
        <v>0</v>
      </c>
      <c r="BF97" s="193" t="n">
        <f aca="false">SUMPRODUCT(BF87:BF93,$I$78:$I$84)/1000000</f>
        <v>0</v>
      </c>
      <c r="BG97" s="193" t="n">
        <f aca="false">SUMPRODUCT(BG87:BG93,$I$78:$I$84)/1000000</f>
        <v>0</v>
      </c>
      <c r="BH97" s="193" t="n">
        <f aca="false">SUMPRODUCT(BH87:BH93,$I$78:$I$84)/1000000</f>
        <v>0</v>
      </c>
      <c r="BI97" s="193" t="n">
        <f aca="false">SUMPRODUCT(BI87:BI93,$I$78:$I$84)/1000000</f>
        <v>0</v>
      </c>
      <c r="BJ97" s="193" t="n">
        <f aca="false">SUMPRODUCT(BJ87:BJ93,$I$78:$I$84)/1000000</f>
        <v>0</v>
      </c>
      <c r="BK97" s="193" t="n">
        <f aca="false">SUMPRODUCT(BK87:BK93,$I$78:$I$84)/1000000</f>
        <v>0</v>
      </c>
      <c r="BL97" s="193" t="n">
        <f aca="false">SUMPRODUCT(BL87:BL93,$I$78:$I$84)/1000000</f>
        <v>0</v>
      </c>
      <c r="BM97" s="193" t="n">
        <f aca="false">SUMPRODUCT(BM87:BM93,$I$78:$I$84)/1000000</f>
        <v>0</v>
      </c>
      <c r="BN97" s="193" t="n">
        <f aca="false">SUMPRODUCT(BN87:BN93,$I$78:$I$84)/1000000</f>
        <v>0</v>
      </c>
      <c r="BO97" s="193" t="n">
        <f aca="false">SUMPRODUCT(BO87:BO93,$I$78:$I$84)/1000000</f>
        <v>0</v>
      </c>
      <c r="BP97" s="193" t="n">
        <f aca="false">SUMPRODUCT(BP87:BP93,$I$78:$I$84)/1000000</f>
        <v>0</v>
      </c>
      <c r="BQ97" s="193" t="n">
        <f aca="false">SUMPRODUCT(BQ87:BQ93,$I$78:$I$84)/1000000</f>
        <v>0</v>
      </c>
      <c r="BR97" s="193" t="n">
        <f aca="false">SUMPRODUCT(BR87:BR93,$I$78:$I$84)/1000000</f>
        <v>0</v>
      </c>
      <c r="BS97" s="193" t="n">
        <f aca="false">SUMPRODUCT(BS87:BS93,$I$78:$I$84)/1000000</f>
        <v>0</v>
      </c>
      <c r="BT97" s="193" t="n">
        <f aca="false">SUMPRODUCT(BT87:BT93,$I$78:$I$84)/1000000</f>
        <v>0</v>
      </c>
      <c r="BU97" s="193" t="n">
        <f aca="false">SUMPRODUCT(BU87:BU93,$I$78:$I$84)/1000000</f>
        <v>0</v>
      </c>
      <c r="BV97" s="193" t="n">
        <f aca="false">SUMPRODUCT(BV87:BV93,$I$78:$I$84)/1000000</f>
        <v>0</v>
      </c>
      <c r="BW97" s="193" t="n">
        <f aca="false">SUMPRODUCT(BW87:BW93,$I$78:$I$84)/1000000</f>
        <v>0</v>
      </c>
      <c r="BX97" s="193" t="n">
        <f aca="false">SUMPRODUCT(BX87:BX93,$I$78:$I$84)/1000000</f>
        <v>0</v>
      </c>
      <c r="BY97" s="193" t="n">
        <f aca="false">SUMPRODUCT(BY87:BY93,$I$78:$I$84)/1000000</f>
        <v>0</v>
      </c>
      <c r="BZ97" s="193" t="n">
        <f aca="false">SUMPRODUCT(BZ87:BZ93,$I$78:$I$84)/1000000</f>
        <v>0</v>
      </c>
      <c r="CA97" s="193" t="n">
        <f aca="false">SUMPRODUCT(CA87:CA93,$I$78:$I$84)/1000000</f>
        <v>0</v>
      </c>
    </row>
    <row r="98" customFormat="false" ht="15" hidden="false" customHeight="false" outlineLevel="0" collapsed="false">
      <c r="B98" s="10" t="s">
        <v>379</v>
      </c>
      <c r="L98" s="193" t="n">
        <f aca="false">SUMIFS($T98:$CA98,$T$5:$CA$5,2026)</f>
        <v>0</v>
      </c>
      <c r="M98" s="193" t="n">
        <f aca="false">SUMIFS($T98:$CA98,$T$5:$CA$5,2027)</f>
        <v>1.33833333333333</v>
      </c>
      <c r="N98" s="193" t="n">
        <f aca="false">SUMIFS($T98:$CA98,$T$5:$CA$5,2028)</f>
        <v>0.0916666666666667</v>
      </c>
      <c r="O98" s="193" t="n">
        <f aca="false">SUMIFS($T98:$CA98,$T$5:$CA$5,2029)</f>
        <v>0</v>
      </c>
      <c r="P98" s="193" t="n">
        <f aca="false">SUMIFS($T98:$CA98,$T$5:$CA$5,2030)</f>
        <v>0</v>
      </c>
      <c r="T98" s="193" t="n">
        <f aca="false">(SUMPRODUCT(T70:T73,1-$I$64:$I$67))/1000000</f>
        <v>0</v>
      </c>
      <c r="U98" s="193" t="n">
        <f aca="false">(SUMPRODUCT(U70:U73,1-$I$64:$I$67))/1000000</f>
        <v>0</v>
      </c>
      <c r="V98" s="193" t="n">
        <f aca="false">(SUMPRODUCT(V70:V73,1-$I$64:$I$67))/1000000</f>
        <v>0</v>
      </c>
      <c r="W98" s="193" t="n">
        <f aca="false">(SUMPRODUCT(W70:W73,1-$I$64:$I$67))/1000000</f>
        <v>0</v>
      </c>
      <c r="X98" s="193" t="n">
        <f aca="false">(SUMPRODUCT(X70:X73,1-$I$64:$I$67))/1000000</f>
        <v>0</v>
      </c>
      <c r="Y98" s="193" t="n">
        <f aca="false">(SUMPRODUCT(Y70:Y73,1-$I$64:$I$67))/1000000</f>
        <v>0</v>
      </c>
      <c r="Z98" s="193" t="n">
        <f aca="false">(SUMPRODUCT(Z70:Z73,1-$I$64:$I$67))/1000000</f>
        <v>0</v>
      </c>
      <c r="AA98" s="193" t="n">
        <f aca="false">(SUMPRODUCT(AA70:AA73,1-$I$64:$I$67))/1000000</f>
        <v>0</v>
      </c>
      <c r="AB98" s="193" t="n">
        <f aca="false">(SUMPRODUCT(AB70:AB73,1-$I$64:$I$67))/1000000</f>
        <v>0</v>
      </c>
      <c r="AC98" s="193" t="n">
        <f aca="false">(SUMPRODUCT(AC70:AC73,1-$I$64:$I$67))/1000000</f>
        <v>0</v>
      </c>
      <c r="AD98" s="193" t="n">
        <f aca="false">(SUMPRODUCT(AD70:AD73,1-$I$64:$I$67))/1000000</f>
        <v>0</v>
      </c>
      <c r="AE98" s="193" t="n">
        <f aca="false">(SUMPRODUCT(AE70:AE73,1-$I$64:$I$67))/1000000</f>
        <v>0</v>
      </c>
      <c r="AF98" s="193" t="n">
        <f aca="false">(SUMPRODUCT(AF70:AF73,1-$I$64:$I$67))/1000000</f>
        <v>0.0733333333333334</v>
      </c>
      <c r="AG98" s="193" t="n">
        <f aca="false">(SUMPRODUCT(AG70:AG73,1-$I$64:$I$67))/1000000</f>
        <v>0.0733333333333334</v>
      </c>
      <c r="AH98" s="193" t="n">
        <f aca="false">(SUMPRODUCT(AH70:AH73,1-$I$64:$I$67))/1000000</f>
        <v>0.146666666666667</v>
      </c>
      <c r="AI98" s="193" t="n">
        <f aca="false">(SUMPRODUCT(AI70:AI73,1-$I$64:$I$67))/1000000</f>
        <v>0.146666666666667</v>
      </c>
      <c r="AJ98" s="193" t="n">
        <f aca="false">(SUMPRODUCT(AJ70:AJ73,1-$I$64:$I$67))/1000000</f>
        <v>0.146666666666667</v>
      </c>
      <c r="AK98" s="193" t="n">
        <f aca="false">(SUMPRODUCT(AK70:AK73,1-$I$64:$I$67))/1000000</f>
        <v>0.146666666666667</v>
      </c>
      <c r="AL98" s="193" t="n">
        <f aca="false">(SUMPRODUCT(AL70:AL73,1-$I$64:$I$67))/1000000</f>
        <v>0.146666666666667</v>
      </c>
      <c r="AM98" s="193" t="n">
        <f aca="false">(SUMPRODUCT(AM70:AM73,1-$I$64:$I$67))/1000000</f>
        <v>0.0916666666666667</v>
      </c>
      <c r="AN98" s="193" t="n">
        <f aca="false">(SUMPRODUCT(AN70:AN73,1-$I$64:$I$67))/1000000</f>
        <v>0.0916666666666667</v>
      </c>
      <c r="AO98" s="193" t="n">
        <f aca="false">(SUMPRODUCT(AO70:AO73,1-$I$64:$I$67))/1000000</f>
        <v>0.0916666666666667</v>
      </c>
      <c r="AP98" s="193" t="n">
        <f aca="false">(SUMPRODUCT(AP70:AP73,1-$I$64:$I$67))/1000000</f>
        <v>0.0916666666666667</v>
      </c>
      <c r="AQ98" s="193" t="n">
        <f aca="false">(SUMPRODUCT(AQ70:AQ73,1-$I$64:$I$67))/1000000</f>
        <v>0.0916666666666667</v>
      </c>
      <c r="AR98" s="193" t="n">
        <f aca="false">(SUMPRODUCT(AR70:AR73,1-$I$64:$I$67))/1000000</f>
        <v>0.0916666666666667</v>
      </c>
      <c r="AS98" s="193" t="n">
        <f aca="false">(SUMPRODUCT(AS70:AS73,1-$I$64:$I$67))/1000000</f>
        <v>0</v>
      </c>
      <c r="AT98" s="193" t="n">
        <f aca="false">(SUMPRODUCT(AT70:AT73,1-$I$64:$I$67))/1000000</f>
        <v>0</v>
      </c>
      <c r="AU98" s="193" t="n">
        <f aca="false">(SUMPRODUCT(AU70:AU73,1-$I$64:$I$67))/1000000</f>
        <v>0</v>
      </c>
      <c r="AV98" s="193" t="n">
        <f aca="false">(SUMPRODUCT(AV70:AV73,1-$I$64:$I$67))/1000000</f>
        <v>0</v>
      </c>
      <c r="AW98" s="193" t="n">
        <f aca="false">(SUMPRODUCT(AW70:AW73,1-$I$64:$I$67))/1000000</f>
        <v>0</v>
      </c>
      <c r="AX98" s="193" t="n">
        <f aca="false">(SUMPRODUCT(AX70:AX73,1-$I$64:$I$67))/1000000</f>
        <v>0</v>
      </c>
      <c r="AY98" s="193" t="n">
        <f aca="false">(SUMPRODUCT(AY70:AY73,1-$I$64:$I$67))/1000000</f>
        <v>0</v>
      </c>
      <c r="AZ98" s="193" t="n">
        <f aca="false">(SUMPRODUCT(AZ70:AZ73,1-$I$64:$I$67))/1000000</f>
        <v>0</v>
      </c>
      <c r="BA98" s="193" t="n">
        <f aca="false">(SUMPRODUCT(BA70:BA73,1-$I$64:$I$67))/1000000</f>
        <v>0</v>
      </c>
      <c r="BB98" s="193" t="n">
        <f aca="false">(SUMPRODUCT(BB70:BB73,1-$I$64:$I$67))/1000000</f>
        <v>0</v>
      </c>
      <c r="BC98" s="193" t="n">
        <f aca="false">(SUMPRODUCT(BC70:BC73,1-$I$64:$I$67))/1000000</f>
        <v>0</v>
      </c>
      <c r="BD98" s="193" t="n">
        <f aca="false">(SUMPRODUCT(BD70:BD73,1-$I$64:$I$67))/1000000</f>
        <v>0</v>
      </c>
      <c r="BE98" s="193" t="n">
        <f aca="false">(SUMPRODUCT(BE70:BE73,1-$I$64:$I$67))/1000000</f>
        <v>0</v>
      </c>
      <c r="BF98" s="193" t="n">
        <f aca="false">(SUMPRODUCT(BF70:BF73,1-$I$64:$I$67))/1000000</f>
        <v>0</v>
      </c>
      <c r="BG98" s="193" t="n">
        <f aca="false">(SUMPRODUCT(BG70:BG73,1-$I$64:$I$67))/1000000</f>
        <v>0</v>
      </c>
      <c r="BH98" s="193" t="n">
        <f aca="false">(SUMPRODUCT(BH70:BH73,1-$I$64:$I$67))/1000000</f>
        <v>0</v>
      </c>
      <c r="BI98" s="193" t="n">
        <f aca="false">(SUMPRODUCT(BI70:BI73,1-$I$64:$I$67))/1000000</f>
        <v>0</v>
      </c>
      <c r="BJ98" s="193" t="n">
        <f aca="false">(SUMPRODUCT(BJ70:BJ73,1-$I$64:$I$67))/1000000</f>
        <v>0</v>
      </c>
      <c r="BK98" s="193" t="n">
        <f aca="false">(SUMPRODUCT(BK70:BK73,1-$I$64:$I$67))/1000000</f>
        <v>0</v>
      </c>
      <c r="BL98" s="193" t="n">
        <f aca="false">(SUMPRODUCT(BL70:BL73,1-$I$64:$I$67))/1000000</f>
        <v>0</v>
      </c>
      <c r="BM98" s="193" t="n">
        <f aca="false">(SUMPRODUCT(BM70:BM73,1-$I$64:$I$67))/1000000</f>
        <v>0</v>
      </c>
      <c r="BN98" s="193" t="n">
        <f aca="false">(SUMPRODUCT(BN70:BN73,1-$I$64:$I$67))/1000000</f>
        <v>0</v>
      </c>
      <c r="BO98" s="193" t="n">
        <f aca="false">(SUMPRODUCT(BO70:BO73,1-$I$64:$I$67))/1000000</f>
        <v>0</v>
      </c>
      <c r="BP98" s="193" t="n">
        <f aca="false">(SUMPRODUCT(BP70:BP73,1-$I$64:$I$67))/1000000</f>
        <v>0</v>
      </c>
      <c r="BQ98" s="193" t="n">
        <f aca="false">(SUMPRODUCT(BQ70:BQ73,1-$I$64:$I$67))/1000000</f>
        <v>0</v>
      </c>
      <c r="BR98" s="193" t="n">
        <f aca="false">(SUMPRODUCT(BR70:BR73,1-$I$64:$I$67))/1000000</f>
        <v>0</v>
      </c>
      <c r="BS98" s="193" t="n">
        <f aca="false">(SUMPRODUCT(BS70:BS73,1-$I$64:$I$67))/1000000</f>
        <v>0</v>
      </c>
      <c r="BT98" s="193" t="n">
        <f aca="false">(SUMPRODUCT(BT70:BT73,1-$I$64:$I$67))/1000000</f>
        <v>0</v>
      </c>
      <c r="BU98" s="193" t="n">
        <f aca="false">(SUMPRODUCT(BU70:BU73,1-$I$64:$I$67))/1000000</f>
        <v>0</v>
      </c>
      <c r="BV98" s="193" t="n">
        <f aca="false">(SUMPRODUCT(BV70:BV73,1-$I$64:$I$67))/1000000</f>
        <v>0</v>
      </c>
      <c r="BW98" s="193" t="n">
        <f aca="false">(SUMPRODUCT(BW70:BW73,1-$I$64:$I$67))/1000000</f>
        <v>0</v>
      </c>
      <c r="BX98" s="193" t="n">
        <f aca="false">(SUMPRODUCT(BX70:BX73,1-$I$64:$I$67))/1000000</f>
        <v>0</v>
      </c>
      <c r="BY98" s="193" t="n">
        <f aca="false">(SUMPRODUCT(BY70:BY73,1-$I$64:$I$67))/1000000</f>
        <v>0</v>
      </c>
      <c r="BZ98" s="193" t="n">
        <f aca="false">(SUMPRODUCT(BZ70:BZ73,1-$I$64:$I$67))/1000000</f>
        <v>0</v>
      </c>
      <c r="CA98" s="193" t="n">
        <f aca="false">(SUMPRODUCT(CA70:CA73,1-$I$64:$I$67))/1000000</f>
        <v>0</v>
      </c>
    </row>
    <row r="99" customFormat="false" ht="15" hidden="false" customHeight="false" outlineLevel="0" collapsed="false">
      <c r="B99" s="10" t="s">
        <v>380</v>
      </c>
      <c r="L99" s="193" t="n">
        <f aca="false">SUMIFS($T99:$CA99,$T$5:$CA$5,2026)</f>
        <v>0</v>
      </c>
      <c r="M99" s="193" t="n">
        <f aca="false">SUMIFS($T99:$CA99,$T$5:$CA$5,2027)</f>
        <v>0.506338461538462</v>
      </c>
      <c r="N99" s="193" t="n">
        <f aca="false">SUMIFS($T99:$CA99,$T$5:$CA$5,2028)</f>
        <v>0.0238615384615385</v>
      </c>
      <c r="O99" s="193" t="n">
        <f aca="false">SUMIFS($T99:$CA99,$T$5:$CA$5,2029)</f>
        <v>0</v>
      </c>
      <c r="P99" s="193" t="n">
        <f aca="false">SUMIFS($T99:$CA99,$T$5:$CA$5,2030)</f>
        <v>0</v>
      </c>
      <c r="T99" s="193" t="n">
        <f aca="false">SUMPRODUCT(T87:T93,1-$I$78:$I$84)/1000000</f>
        <v>0</v>
      </c>
      <c r="U99" s="193" t="n">
        <f aca="false">SUMPRODUCT(U87:U93,1-$I$78:$I$84)/1000000</f>
        <v>0</v>
      </c>
      <c r="V99" s="193" t="n">
        <f aca="false">SUMPRODUCT(V87:V93,1-$I$78:$I$84)/1000000</f>
        <v>0</v>
      </c>
      <c r="W99" s="193" t="n">
        <f aca="false">SUMPRODUCT(W87:W93,1-$I$78:$I$84)/1000000</f>
        <v>0</v>
      </c>
      <c r="X99" s="193" t="n">
        <f aca="false">SUMPRODUCT(X87:X93,1-$I$78:$I$84)/1000000</f>
        <v>0</v>
      </c>
      <c r="Y99" s="193" t="n">
        <f aca="false">SUMPRODUCT(Y87:Y93,1-$I$78:$I$84)/1000000</f>
        <v>0</v>
      </c>
      <c r="Z99" s="193" t="n">
        <f aca="false">SUMPRODUCT(Z87:Z93,1-$I$78:$I$84)/1000000</f>
        <v>0</v>
      </c>
      <c r="AA99" s="193" t="n">
        <f aca="false">SUMPRODUCT(AA87:AA93,1-$I$78:$I$84)/1000000</f>
        <v>0</v>
      </c>
      <c r="AB99" s="193" t="n">
        <f aca="false">SUMPRODUCT(AB87:AB93,1-$I$78:$I$84)/1000000</f>
        <v>0</v>
      </c>
      <c r="AC99" s="193" t="n">
        <f aca="false">SUMPRODUCT(AC87:AC93,1-$I$78:$I$84)/1000000</f>
        <v>0</v>
      </c>
      <c r="AD99" s="193" t="n">
        <f aca="false">SUMPRODUCT(AD87:AD93,1-$I$78:$I$84)/1000000</f>
        <v>0</v>
      </c>
      <c r="AE99" s="193" t="n">
        <f aca="false">SUMPRODUCT(AE87:AE93,1-$I$78:$I$84)/1000000</f>
        <v>0</v>
      </c>
      <c r="AF99" s="193" t="n">
        <f aca="false">SUMPRODUCT(AF87:AF93,1-$I$78:$I$84)/1000000</f>
        <v>0.0238615384615385</v>
      </c>
      <c r="AG99" s="193" t="n">
        <f aca="false">SUMPRODUCT(AG87:AG93,1-$I$78:$I$84)/1000000</f>
        <v>0.0238615384615385</v>
      </c>
      <c r="AH99" s="193" t="n">
        <f aca="false">SUMPRODUCT(AH87:AH93,1-$I$78:$I$84)/1000000</f>
        <v>0.0678615384615385</v>
      </c>
      <c r="AI99" s="193" t="n">
        <f aca="false">SUMPRODUCT(AI87:AI93,1-$I$78:$I$84)/1000000</f>
        <v>0.0678615384615385</v>
      </c>
      <c r="AJ99" s="193" t="n">
        <f aca="false">SUMPRODUCT(AJ87:AJ93,1-$I$78:$I$84)/1000000</f>
        <v>0.0678615384615385</v>
      </c>
      <c r="AK99" s="193" t="n">
        <f aca="false">SUMPRODUCT(AK87:AK93,1-$I$78:$I$84)/1000000</f>
        <v>0.0678615384615385</v>
      </c>
      <c r="AL99" s="193" t="n">
        <f aca="false">SUMPRODUCT(AL87:AL93,1-$I$78:$I$84)/1000000</f>
        <v>0.0678615384615385</v>
      </c>
      <c r="AM99" s="193" t="n">
        <f aca="false">SUMPRODUCT(AM87:AM93,1-$I$78:$I$84)/1000000</f>
        <v>0.0238615384615385</v>
      </c>
      <c r="AN99" s="193" t="n">
        <f aca="false">SUMPRODUCT(AN87:AN93,1-$I$78:$I$84)/1000000</f>
        <v>0.0238615384615385</v>
      </c>
      <c r="AO99" s="193" t="n">
        <f aca="false">SUMPRODUCT(AO87:AO93,1-$I$78:$I$84)/1000000</f>
        <v>0.0238615384615385</v>
      </c>
      <c r="AP99" s="193" t="n">
        <f aca="false">SUMPRODUCT(AP87:AP93,1-$I$78:$I$84)/1000000</f>
        <v>0.0238615384615385</v>
      </c>
      <c r="AQ99" s="193" t="n">
        <f aca="false">SUMPRODUCT(AQ87:AQ93,1-$I$78:$I$84)/1000000</f>
        <v>0.0238615384615385</v>
      </c>
      <c r="AR99" s="193" t="n">
        <f aca="false">SUMPRODUCT(AR87:AR93,1-$I$78:$I$84)/1000000</f>
        <v>0.0238615384615385</v>
      </c>
      <c r="AS99" s="193" t="n">
        <f aca="false">SUMPRODUCT(AS87:AS93,1-$I$78:$I$84)/1000000</f>
        <v>0</v>
      </c>
      <c r="AT99" s="193" t="n">
        <f aca="false">SUMPRODUCT(AT87:AT93,1-$I$78:$I$84)/1000000</f>
        <v>0</v>
      </c>
      <c r="AU99" s="193" t="n">
        <f aca="false">SUMPRODUCT(AU87:AU93,1-$I$78:$I$84)/1000000</f>
        <v>0</v>
      </c>
      <c r="AV99" s="193" t="n">
        <f aca="false">SUMPRODUCT(AV87:AV93,1-$I$78:$I$84)/1000000</f>
        <v>0</v>
      </c>
      <c r="AW99" s="193" t="n">
        <f aca="false">SUMPRODUCT(AW87:AW93,1-$I$78:$I$84)/1000000</f>
        <v>0</v>
      </c>
      <c r="AX99" s="193" t="n">
        <f aca="false">SUMPRODUCT(AX87:AX93,1-$I$78:$I$84)/1000000</f>
        <v>0</v>
      </c>
      <c r="AY99" s="193" t="n">
        <f aca="false">SUMPRODUCT(AY87:AY93,1-$I$78:$I$84)/1000000</f>
        <v>0</v>
      </c>
      <c r="AZ99" s="193" t="n">
        <f aca="false">SUMPRODUCT(AZ87:AZ93,1-$I$78:$I$84)/1000000</f>
        <v>0</v>
      </c>
      <c r="BA99" s="193" t="n">
        <f aca="false">SUMPRODUCT(BA87:BA93,1-$I$78:$I$84)/1000000</f>
        <v>0</v>
      </c>
      <c r="BB99" s="193" t="n">
        <f aca="false">SUMPRODUCT(BB87:BB93,1-$I$78:$I$84)/1000000</f>
        <v>0</v>
      </c>
      <c r="BC99" s="193" t="n">
        <f aca="false">SUMPRODUCT(BC87:BC93,1-$I$78:$I$84)/1000000</f>
        <v>0</v>
      </c>
      <c r="BD99" s="193" t="n">
        <f aca="false">SUMPRODUCT(BD87:BD93,1-$I$78:$I$84)/1000000</f>
        <v>0</v>
      </c>
      <c r="BE99" s="193" t="n">
        <f aca="false">SUMPRODUCT(BE87:BE93,1-$I$78:$I$84)/1000000</f>
        <v>0</v>
      </c>
      <c r="BF99" s="193" t="n">
        <f aca="false">SUMPRODUCT(BF87:BF93,1-$I$78:$I$84)/1000000</f>
        <v>0</v>
      </c>
      <c r="BG99" s="193" t="n">
        <f aca="false">SUMPRODUCT(BG87:BG93,1-$I$78:$I$84)/1000000</f>
        <v>0</v>
      </c>
      <c r="BH99" s="193" t="n">
        <f aca="false">SUMPRODUCT(BH87:BH93,1-$I$78:$I$84)/1000000</f>
        <v>0</v>
      </c>
      <c r="BI99" s="193" t="n">
        <f aca="false">SUMPRODUCT(BI87:BI93,1-$I$78:$I$84)/1000000</f>
        <v>0</v>
      </c>
      <c r="BJ99" s="193" t="n">
        <f aca="false">SUMPRODUCT(BJ87:BJ93,1-$I$78:$I$84)/1000000</f>
        <v>0</v>
      </c>
      <c r="BK99" s="193" t="n">
        <f aca="false">SUMPRODUCT(BK87:BK93,1-$I$78:$I$84)/1000000</f>
        <v>0</v>
      </c>
      <c r="BL99" s="193" t="n">
        <f aca="false">SUMPRODUCT(BL87:BL93,1-$I$78:$I$84)/1000000</f>
        <v>0</v>
      </c>
      <c r="BM99" s="193" t="n">
        <f aca="false">SUMPRODUCT(BM87:BM93,1-$I$78:$I$84)/1000000</f>
        <v>0</v>
      </c>
      <c r="BN99" s="193" t="n">
        <f aca="false">SUMPRODUCT(BN87:BN93,1-$I$78:$I$84)/1000000</f>
        <v>0</v>
      </c>
      <c r="BO99" s="193" t="n">
        <f aca="false">SUMPRODUCT(BO87:BO93,1-$I$78:$I$84)/1000000</f>
        <v>0</v>
      </c>
      <c r="BP99" s="193" t="n">
        <f aca="false">SUMPRODUCT(BP87:BP93,1-$I$78:$I$84)/1000000</f>
        <v>0</v>
      </c>
      <c r="BQ99" s="193" t="n">
        <f aca="false">SUMPRODUCT(BQ87:BQ93,1-$I$78:$I$84)/1000000</f>
        <v>0</v>
      </c>
      <c r="BR99" s="193" t="n">
        <f aca="false">SUMPRODUCT(BR87:BR93,1-$I$78:$I$84)/1000000</f>
        <v>0</v>
      </c>
      <c r="BS99" s="193" t="n">
        <f aca="false">SUMPRODUCT(BS87:BS93,1-$I$78:$I$84)/1000000</f>
        <v>0</v>
      </c>
      <c r="BT99" s="193" t="n">
        <f aca="false">SUMPRODUCT(BT87:BT93,1-$I$78:$I$84)/1000000</f>
        <v>0</v>
      </c>
      <c r="BU99" s="193" t="n">
        <f aca="false">SUMPRODUCT(BU87:BU93,1-$I$78:$I$84)/1000000</f>
        <v>0</v>
      </c>
      <c r="BV99" s="193" t="n">
        <f aca="false">SUMPRODUCT(BV87:BV93,1-$I$78:$I$84)/1000000</f>
        <v>0</v>
      </c>
      <c r="BW99" s="193" t="n">
        <f aca="false">SUMPRODUCT(BW87:BW93,1-$I$78:$I$84)/1000000</f>
        <v>0</v>
      </c>
      <c r="BX99" s="193" t="n">
        <f aca="false">SUMPRODUCT(BX87:BX93,1-$I$78:$I$84)/1000000</f>
        <v>0</v>
      </c>
      <c r="BY99" s="193" t="n">
        <f aca="false">SUMPRODUCT(BY87:BY93,1-$I$78:$I$84)/1000000</f>
        <v>0</v>
      </c>
      <c r="BZ99" s="193" t="n">
        <f aca="false">SUMPRODUCT(BZ87:BZ93,1-$I$78:$I$84)/1000000</f>
        <v>0</v>
      </c>
      <c r="CA99" s="193" t="n">
        <f aca="false">SUMPRODUCT(CA87:CA93,1-$I$78:$I$84)/1000000</f>
        <v>0</v>
      </c>
    </row>
    <row r="100" customFormat="false" ht="15" hidden="false" customHeight="false" outlineLevel="0" collapsed="false">
      <c r="B100" s="3" t="s">
        <v>381</v>
      </c>
      <c r="L100" s="193" t="n">
        <f aca="false">SUM(L96:L99)</f>
        <v>0</v>
      </c>
      <c r="M100" s="193" t="n">
        <f aca="false">SUM(M96:M99)</f>
        <v>1.8446717948718</v>
      </c>
      <c r="N100" s="193" t="n">
        <f aca="false">SUM(N96:N99)</f>
        <v>0.115528205128205</v>
      </c>
      <c r="O100" s="193" t="n">
        <f aca="false">SUM(O96:O99)</f>
        <v>0</v>
      </c>
      <c r="P100" s="193" t="n">
        <f aca="false">SUM(P96:P99)</f>
        <v>0</v>
      </c>
    </row>
    <row r="102" customFormat="false" ht="18" hidden="false" customHeight="true" outlineLevel="0" collapsed="false">
      <c r="B102" s="5" t="s">
        <v>382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4" customFormat="false" ht="22.35" hidden="false" customHeight="false" outlineLevel="0" collapsed="false">
      <c r="B104" s="169" t="s">
        <v>383</v>
      </c>
      <c r="C104" s="169" t="s">
        <v>353</v>
      </c>
      <c r="D104" s="169" t="s">
        <v>384</v>
      </c>
      <c r="H104" s="169" t="s">
        <v>333</v>
      </c>
      <c r="I104" s="169" t="s">
        <v>385</v>
      </c>
    </row>
    <row r="105" customFormat="false" ht="15" hidden="false" customHeight="false" outlineLevel="0" collapsed="false">
      <c r="B105" s="10" t="s">
        <v>386</v>
      </c>
      <c r="C105" s="194" t="s">
        <v>387</v>
      </c>
      <c r="D105" s="159" t="n">
        <f aca="false">$D$29*$D$30</f>
        <v>360000</v>
      </c>
      <c r="H105" s="178" t="n">
        <f aca="false">DATE(2027,8,1)</f>
        <v>46600</v>
      </c>
      <c r="I105" s="9" t="s">
        <v>388</v>
      </c>
    </row>
    <row r="106" customFormat="false" ht="15" hidden="false" customHeight="false" outlineLevel="0" collapsed="false">
      <c r="B106" s="10" t="s">
        <v>389</v>
      </c>
      <c r="C106" s="194" t="s">
        <v>390</v>
      </c>
      <c r="D106" s="158" t="n">
        <v>100000</v>
      </c>
      <c r="H106" s="178" t="n">
        <f aca="false">DATE(2027,8,1)</f>
        <v>46600</v>
      </c>
      <c r="I106" s="9" t="s">
        <v>388</v>
      </c>
    </row>
    <row r="107" customFormat="false" ht="15" hidden="false" customHeight="false" outlineLevel="0" collapsed="false">
      <c r="B107" s="10" t="s">
        <v>391</v>
      </c>
      <c r="C107" s="194" t="s">
        <v>390</v>
      </c>
      <c r="D107" s="158" t="n">
        <v>40000</v>
      </c>
      <c r="H107" s="178" t="n">
        <f aca="false">DATE(2027,8,1)</f>
        <v>46600</v>
      </c>
      <c r="I107" s="9" t="s">
        <v>388</v>
      </c>
    </row>
    <row r="109" customFormat="false" ht="15" hidden="false" customHeight="false" outlineLevel="0" collapsed="false">
      <c r="B109" s="197" t="s">
        <v>392</v>
      </c>
    </row>
    <row r="110" customFormat="false" ht="15" hidden="false" customHeight="false" outlineLevel="0" collapsed="false">
      <c r="B110" s="10" t="s">
        <v>393</v>
      </c>
      <c r="K110" s="193" t="n">
        <f aca="false">SUMIFS($T110:$CA110,$T$5:$CA$5,2030)</f>
        <v>0.36</v>
      </c>
      <c r="L110" s="193" t="n">
        <f aca="false">SUMIFS($T110:$CA110,$T$5:$CA$5,2026)</f>
        <v>0</v>
      </c>
      <c r="M110" s="193" t="n">
        <f aca="false">SUMIFS($T110:$CA110,$T$5:$CA$5,2027)</f>
        <v>0.15</v>
      </c>
      <c r="N110" s="193" t="n">
        <f aca="false">SUMIFS($T110:$CA110,$T$5:$CA$5,2028)</f>
        <v>0.36</v>
      </c>
      <c r="O110" s="193" t="n">
        <f aca="false">SUMIFS($T110:$CA110,$T$5:$CA$5,2029)</f>
        <v>0.36</v>
      </c>
      <c r="P110" s="193" t="n">
        <f aca="false">SUMIFS($T110:$CA110,$T$5:$CA$5,2030)</f>
        <v>0.36</v>
      </c>
      <c r="T110" s="193" t="n">
        <f aca="false">$D$105/1000000/12*IF($I$105="Y",T$51,IF(T$6&gt;=EOMONTH($H$105,0),1,0))</f>
        <v>0</v>
      </c>
      <c r="U110" s="193" t="n">
        <f aca="false">$D$105/1000000/12*IF($I$105="Y",U$51,IF(U$6&gt;=EOMONTH($H$105,0),1,0))</f>
        <v>0</v>
      </c>
      <c r="V110" s="193" t="n">
        <f aca="false">$D$105/1000000/12*IF($I$105="Y",V$51,IF(V$6&gt;=EOMONTH($H$105,0),1,0))</f>
        <v>0</v>
      </c>
      <c r="W110" s="193" t="n">
        <f aca="false">$D$105/1000000/12*IF($I$105="Y",W$51,IF(W$6&gt;=EOMONTH($H$105,0),1,0))</f>
        <v>0</v>
      </c>
      <c r="X110" s="193" t="n">
        <f aca="false">$D$105/1000000/12*IF($I$105="Y",X$51,IF(X$6&gt;=EOMONTH($H$105,0),1,0))</f>
        <v>0</v>
      </c>
      <c r="Y110" s="193" t="n">
        <f aca="false">$D$105/1000000/12*IF($I$105="Y",Y$51,IF(Y$6&gt;=EOMONTH($H$105,0),1,0))</f>
        <v>0</v>
      </c>
      <c r="Z110" s="193" t="n">
        <f aca="false">$D$105/1000000/12*IF($I$105="Y",Z$51,IF(Z$6&gt;=EOMONTH($H$105,0),1,0))</f>
        <v>0</v>
      </c>
      <c r="AA110" s="193" t="n">
        <f aca="false">$D$105/1000000/12*IF($I$105="Y",AA$51,IF(AA$6&gt;=EOMONTH($H$105,0),1,0))</f>
        <v>0</v>
      </c>
      <c r="AB110" s="193" t="n">
        <f aca="false">$D$105/1000000/12*IF($I$105="Y",AB$51,IF(AB$6&gt;=EOMONTH($H$105,0),1,0))</f>
        <v>0</v>
      </c>
      <c r="AC110" s="193" t="n">
        <f aca="false">$D$105/1000000/12*IF($I$105="Y",AC$51,IF(AC$6&gt;=EOMONTH($H$105,0),1,0))</f>
        <v>0</v>
      </c>
      <c r="AD110" s="193" t="n">
        <f aca="false">$D$105/1000000/12*IF($I$105="Y",AD$51,IF(AD$6&gt;=EOMONTH($H$105,0),1,0))</f>
        <v>0</v>
      </c>
      <c r="AE110" s="193" t="n">
        <f aca="false">$D$105/1000000/12*IF($I$105="Y",AE$51,IF(AE$6&gt;=EOMONTH($H$105,0),1,0))</f>
        <v>0</v>
      </c>
      <c r="AF110" s="193" t="n">
        <f aca="false">$D$105/1000000/12*IF($I$105="Y",AF$51,IF(AF$6&gt;=EOMONTH($H$105,0),1,0))</f>
        <v>0</v>
      </c>
      <c r="AG110" s="193" t="n">
        <f aca="false">$D$105/1000000/12*IF($I$105="Y",AG$51,IF(AG$6&gt;=EOMONTH($H$105,0),1,0))</f>
        <v>0</v>
      </c>
      <c r="AH110" s="193" t="n">
        <f aca="false">$D$105/1000000/12*IF($I$105="Y",AH$51,IF(AH$6&gt;=EOMONTH($H$105,0),1,0))</f>
        <v>0</v>
      </c>
      <c r="AI110" s="193" t="n">
        <f aca="false">$D$105/1000000/12*IF($I$105="Y",AI$51,IF(AI$6&gt;=EOMONTH($H$105,0),1,0))</f>
        <v>0</v>
      </c>
      <c r="AJ110" s="193" t="n">
        <f aca="false">$D$105/1000000/12*IF($I$105="Y",AJ$51,IF(AJ$6&gt;=EOMONTH($H$105,0),1,0))</f>
        <v>0</v>
      </c>
      <c r="AK110" s="193" t="n">
        <f aca="false">$D$105/1000000/12*IF($I$105="Y",AK$51,IF(AK$6&gt;=EOMONTH($H$105,0),1,0))</f>
        <v>0</v>
      </c>
      <c r="AL110" s="193" t="n">
        <f aca="false">$D$105/1000000/12*IF($I$105="Y",AL$51,IF(AL$6&gt;=EOMONTH($H$105,0),1,0))</f>
        <v>0</v>
      </c>
      <c r="AM110" s="193" t="n">
        <f aca="false">$D$105/1000000/12*IF($I$105="Y",AM$51,IF(AM$6&gt;=EOMONTH($H$105,0),1,0))</f>
        <v>0.03</v>
      </c>
      <c r="AN110" s="193" t="n">
        <f aca="false">$D$105/1000000/12*IF($I$105="Y",AN$51,IF(AN$6&gt;=EOMONTH($H$105,0),1,0))</f>
        <v>0.03</v>
      </c>
      <c r="AO110" s="193" t="n">
        <f aca="false">$D$105/1000000/12*IF($I$105="Y",AO$51,IF(AO$6&gt;=EOMONTH($H$105,0),1,0))</f>
        <v>0.03</v>
      </c>
      <c r="AP110" s="193" t="n">
        <f aca="false">$D$105/1000000/12*IF($I$105="Y",AP$51,IF(AP$6&gt;=EOMONTH($H$105,0),1,0))</f>
        <v>0.03</v>
      </c>
      <c r="AQ110" s="193" t="n">
        <f aca="false">$D$105/1000000/12*IF($I$105="Y",AQ$51,IF(AQ$6&gt;=EOMONTH($H$105,0),1,0))</f>
        <v>0.03</v>
      </c>
      <c r="AR110" s="193" t="n">
        <f aca="false">$D$105/1000000/12*IF($I$105="Y",AR$51,IF(AR$6&gt;=EOMONTH($H$105,0),1,0))</f>
        <v>0.03</v>
      </c>
      <c r="AS110" s="193" t="n">
        <f aca="false">$D$105/1000000/12*IF($I$105="Y",AS$51,IF(AS$6&gt;=EOMONTH($H$105,0),1,0))</f>
        <v>0.03</v>
      </c>
      <c r="AT110" s="193" t="n">
        <f aca="false">$D$105/1000000/12*IF($I$105="Y",AT$51,IF(AT$6&gt;=EOMONTH($H$105,0),1,0))</f>
        <v>0.03</v>
      </c>
      <c r="AU110" s="193" t="n">
        <f aca="false">$D$105/1000000/12*IF($I$105="Y",AU$51,IF(AU$6&gt;=EOMONTH($H$105,0),1,0))</f>
        <v>0.03</v>
      </c>
      <c r="AV110" s="193" t="n">
        <f aca="false">$D$105/1000000/12*IF($I$105="Y",AV$51,IF(AV$6&gt;=EOMONTH($H$105,0),1,0))</f>
        <v>0.03</v>
      </c>
      <c r="AW110" s="193" t="n">
        <f aca="false">$D$105/1000000/12*IF($I$105="Y",AW$51,IF(AW$6&gt;=EOMONTH($H$105,0),1,0))</f>
        <v>0.03</v>
      </c>
      <c r="AX110" s="193" t="n">
        <f aca="false">$D$105/1000000/12*IF($I$105="Y",AX$51,IF(AX$6&gt;=EOMONTH($H$105,0),1,0))</f>
        <v>0.03</v>
      </c>
      <c r="AY110" s="193" t="n">
        <f aca="false">$D$105/1000000/12*IF($I$105="Y",AY$51,IF(AY$6&gt;=EOMONTH($H$105,0),1,0))</f>
        <v>0.03</v>
      </c>
      <c r="AZ110" s="193" t="n">
        <f aca="false">$D$105/1000000/12*IF($I$105="Y",AZ$51,IF(AZ$6&gt;=EOMONTH($H$105,0),1,0))</f>
        <v>0.03</v>
      </c>
      <c r="BA110" s="193" t="n">
        <f aca="false">$D$105/1000000/12*IF($I$105="Y",BA$51,IF(BA$6&gt;=EOMONTH($H$105,0),1,0))</f>
        <v>0.03</v>
      </c>
      <c r="BB110" s="193" t="n">
        <f aca="false">$D$105/1000000/12*IF($I$105="Y",BB$51,IF(BB$6&gt;=EOMONTH($H$105,0),1,0))</f>
        <v>0.03</v>
      </c>
      <c r="BC110" s="193" t="n">
        <f aca="false">$D$105/1000000/12*IF($I$105="Y",BC$51,IF(BC$6&gt;=EOMONTH($H$105,0),1,0))</f>
        <v>0.03</v>
      </c>
      <c r="BD110" s="193" t="n">
        <f aca="false">$D$105/1000000/12*IF($I$105="Y",BD$51,IF(BD$6&gt;=EOMONTH($H$105,0),1,0))</f>
        <v>0.03</v>
      </c>
      <c r="BE110" s="193" t="n">
        <f aca="false">$D$105/1000000/12*IF($I$105="Y",BE$51,IF(BE$6&gt;=EOMONTH($H$105,0),1,0))</f>
        <v>0.03</v>
      </c>
      <c r="BF110" s="193" t="n">
        <f aca="false">$D$105/1000000/12*IF($I$105="Y",BF$51,IF(BF$6&gt;=EOMONTH($H$105,0),1,0))</f>
        <v>0.03</v>
      </c>
      <c r="BG110" s="193" t="n">
        <f aca="false">$D$105/1000000/12*IF($I$105="Y",BG$51,IF(BG$6&gt;=EOMONTH($H$105,0),1,0))</f>
        <v>0.03</v>
      </c>
      <c r="BH110" s="193" t="n">
        <f aca="false">$D$105/1000000/12*IF($I$105="Y",BH$51,IF(BH$6&gt;=EOMONTH($H$105,0),1,0))</f>
        <v>0.03</v>
      </c>
      <c r="BI110" s="193" t="n">
        <f aca="false">$D$105/1000000/12*IF($I$105="Y",BI$51,IF(BI$6&gt;=EOMONTH($H$105,0),1,0))</f>
        <v>0.03</v>
      </c>
      <c r="BJ110" s="193" t="n">
        <f aca="false">$D$105/1000000/12*IF($I$105="Y",BJ$51,IF(BJ$6&gt;=EOMONTH($H$105,0),1,0))</f>
        <v>0.03</v>
      </c>
      <c r="BK110" s="193" t="n">
        <f aca="false">$D$105/1000000/12*IF($I$105="Y",BK$51,IF(BK$6&gt;=EOMONTH($H$105,0),1,0))</f>
        <v>0.03</v>
      </c>
      <c r="BL110" s="193" t="n">
        <f aca="false">$D$105/1000000/12*IF($I$105="Y",BL$51,IF(BL$6&gt;=EOMONTH($H$105,0),1,0))</f>
        <v>0.03</v>
      </c>
      <c r="BM110" s="193" t="n">
        <f aca="false">$D$105/1000000/12*IF($I$105="Y",BM$51,IF(BM$6&gt;=EOMONTH($H$105,0),1,0))</f>
        <v>0.03</v>
      </c>
      <c r="BN110" s="193" t="n">
        <f aca="false">$D$105/1000000/12*IF($I$105="Y",BN$51,IF(BN$6&gt;=EOMONTH($H$105,0),1,0))</f>
        <v>0.03</v>
      </c>
      <c r="BO110" s="193" t="n">
        <f aca="false">$D$105/1000000/12*IF($I$105="Y",BO$51,IF(BO$6&gt;=EOMONTH($H$105,0),1,0))</f>
        <v>0.03</v>
      </c>
      <c r="BP110" s="193" t="n">
        <f aca="false">$D$105/1000000/12*IF($I$105="Y",BP$51,IF(BP$6&gt;=EOMONTH($H$105,0),1,0))</f>
        <v>0.03</v>
      </c>
      <c r="BQ110" s="193" t="n">
        <f aca="false">$D$105/1000000/12*IF($I$105="Y",BQ$51,IF(BQ$6&gt;=EOMONTH($H$105,0),1,0))</f>
        <v>0.03</v>
      </c>
      <c r="BR110" s="193" t="n">
        <f aca="false">$D$105/1000000/12*IF($I$105="Y",BR$51,IF(BR$6&gt;=EOMONTH($H$105,0),1,0))</f>
        <v>0.03</v>
      </c>
      <c r="BS110" s="193" t="n">
        <f aca="false">$D$105/1000000/12*IF($I$105="Y",BS$51,IF(BS$6&gt;=EOMONTH($H$105,0),1,0))</f>
        <v>0.03</v>
      </c>
      <c r="BT110" s="193" t="n">
        <f aca="false">$D$105/1000000/12*IF($I$105="Y",BT$51,IF(BT$6&gt;=EOMONTH($H$105,0),1,0))</f>
        <v>0.03</v>
      </c>
      <c r="BU110" s="193" t="n">
        <f aca="false">$D$105/1000000/12*IF($I$105="Y",BU$51,IF(BU$6&gt;=EOMONTH($H$105,0),1,0))</f>
        <v>0.03</v>
      </c>
      <c r="BV110" s="193" t="n">
        <f aca="false">$D$105/1000000/12*IF($I$105="Y",BV$51,IF(BV$6&gt;=EOMONTH($H$105,0),1,0))</f>
        <v>0.03</v>
      </c>
      <c r="BW110" s="193" t="n">
        <f aca="false">$D$105/1000000/12*IF($I$105="Y",BW$51,IF(BW$6&gt;=EOMONTH($H$105,0),1,0))</f>
        <v>0.03</v>
      </c>
      <c r="BX110" s="193" t="n">
        <f aca="false">$D$105/1000000/12*IF($I$105="Y",BX$51,IF(BX$6&gt;=EOMONTH($H$105,0),1,0))</f>
        <v>0.03</v>
      </c>
      <c r="BY110" s="193" t="n">
        <f aca="false">$D$105/1000000/12*IF($I$105="Y",BY$51,IF(BY$6&gt;=EOMONTH($H$105,0),1,0))</f>
        <v>0.03</v>
      </c>
      <c r="BZ110" s="193" t="n">
        <f aca="false">$D$105/1000000/12*IF($I$105="Y",BZ$51,IF(BZ$6&gt;=EOMONTH($H$105,0),1,0))</f>
        <v>0.03</v>
      </c>
      <c r="CA110" s="193" t="n">
        <f aca="false">$D$105/1000000/12*IF($I$105="Y",CA$51,IF(CA$6&gt;=EOMONTH($H$105,0),1,0))</f>
        <v>0.03</v>
      </c>
    </row>
    <row r="111" customFormat="false" ht="15" hidden="false" customHeight="false" outlineLevel="0" collapsed="false">
      <c r="B111" s="10" t="s">
        <v>394</v>
      </c>
      <c r="K111" s="193" t="n">
        <f aca="false">SUMIFS($T111:$CA111,$T$5:$CA$5,2030)</f>
        <v>0.1</v>
      </c>
      <c r="L111" s="193" t="n">
        <f aca="false">SUMIFS($T111:$CA111,$T$5:$CA$5,2026)</f>
        <v>0</v>
      </c>
      <c r="M111" s="193" t="n">
        <f aca="false">SUMIFS($T111:$CA111,$T$5:$CA$5,2027)</f>
        <v>0.0416666666666667</v>
      </c>
      <c r="N111" s="193" t="n">
        <f aca="false">SUMIFS($T111:$CA111,$T$5:$CA$5,2028)</f>
        <v>0.1</v>
      </c>
      <c r="O111" s="193" t="n">
        <f aca="false">SUMIFS($T111:$CA111,$T$5:$CA$5,2029)</f>
        <v>0.1</v>
      </c>
      <c r="P111" s="193" t="n">
        <f aca="false">SUMIFS($T111:$CA111,$T$5:$CA$5,2030)</f>
        <v>0.1</v>
      </c>
      <c r="T111" s="193" t="n">
        <f aca="false">$D$106/1000000/12*IF($I$106="Y",T$51,IF(T$6&gt;=EOMONTH($H$106,0),1,0))</f>
        <v>0</v>
      </c>
      <c r="U111" s="193" t="n">
        <f aca="false">$D$106/1000000/12*IF($I$106="Y",U$51,IF(U$6&gt;=EOMONTH($H$106,0),1,0))</f>
        <v>0</v>
      </c>
      <c r="V111" s="193" t="n">
        <f aca="false">$D$106/1000000/12*IF($I$106="Y",V$51,IF(V$6&gt;=EOMONTH($H$106,0),1,0))</f>
        <v>0</v>
      </c>
      <c r="W111" s="193" t="n">
        <f aca="false">$D$106/1000000/12*IF($I$106="Y",W$51,IF(W$6&gt;=EOMONTH($H$106,0),1,0))</f>
        <v>0</v>
      </c>
      <c r="X111" s="193" t="n">
        <f aca="false">$D$106/1000000/12*IF($I$106="Y",X$51,IF(X$6&gt;=EOMONTH($H$106,0),1,0))</f>
        <v>0</v>
      </c>
      <c r="Y111" s="193" t="n">
        <f aca="false">$D$106/1000000/12*IF($I$106="Y",Y$51,IF(Y$6&gt;=EOMONTH($H$106,0),1,0))</f>
        <v>0</v>
      </c>
      <c r="Z111" s="193" t="n">
        <f aca="false">$D$106/1000000/12*IF($I$106="Y",Z$51,IF(Z$6&gt;=EOMONTH($H$106,0),1,0))</f>
        <v>0</v>
      </c>
      <c r="AA111" s="193" t="n">
        <f aca="false">$D$106/1000000/12*IF($I$106="Y",AA$51,IF(AA$6&gt;=EOMONTH($H$106,0),1,0))</f>
        <v>0</v>
      </c>
      <c r="AB111" s="193" t="n">
        <f aca="false">$D$106/1000000/12*IF($I$106="Y",AB$51,IF(AB$6&gt;=EOMONTH($H$106,0),1,0))</f>
        <v>0</v>
      </c>
      <c r="AC111" s="193" t="n">
        <f aca="false">$D$106/1000000/12*IF($I$106="Y",AC$51,IF(AC$6&gt;=EOMONTH($H$106,0),1,0))</f>
        <v>0</v>
      </c>
      <c r="AD111" s="193" t="n">
        <f aca="false">$D$106/1000000/12*IF($I$106="Y",AD$51,IF(AD$6&gt;=EOMONTH($H$106,0),1,0))</f>
        <v>0</v>
      </c>
      <c r="AE111" s="193" t="n">
        <f aca="false">$D$106/1000000/12*IF($I$106="Y",AE$51,IF(AE$6&gt;=EOMONTH($H$106,0),1,0))</f>
        <v>0</v>
      </c>
      <c r="AF111" s="193" t="n">
        <f aca="false">$D$106/1000000/12*IF($I$106="Y",AF$51,IF(AF$6&gt;=EOMONTH($H$106,0),1,0))</f>
        <v>0</v>
      </c>
      <c r="AG111" s="193" t="n">
        <f aca="false">$D$106/1000000/12*IF($I$106="Y",AG$51,IF(AG$6&gt;=EOMONTH($H$106,0),1,0))</f>
        <v>0</v>
      </c>
      <c r="AH111" s="193" t="n">
        <f aca="false">$D$106/1000000/12*IF($I$106="Y",AH$51,IF(AH$6&gt;=EOMONTH($H$106,0),1,0))</f>
        <v>0</v>
      </c>
      <c r="AI111" s="193" t="n">
        <f aca="false">$D$106/1000000/12*IF($I$106="Y",AI$51,IF(AI$6&gt;=EOMONTH($H$106,0),1,0))</f>
        <v>0</v>
      </c>
      <c r="AJ111" s="193" t="n">
        <f aca="false">$D$106/1000000/12*IF($I$106="Y",AJ$51,IF(AJ$6&gt;=EOMONTH($H$106,0),1,0))</f>
        <v>0</v>
      </c>
      <c r="AK111" s="193" t="n">
        <f aca="false">$D$106/1000000/12*IF($I$106="Y",AK$51,IF(AK$6&gt;=EOMONTH($H$106,0),1,0))</f>
        <v>0</v>
      </c>
      <c r="AL111" s="193" t="n">
        <f aca="false">$D$106/1000000/12*IF($I$106="Y",AL$51,IF(AL$6&gt;=EOMONTH($H$106,0),1,0))</f>
        <v>0</v>
      </c>
      <c r="AM111" s="193" t="n">
        <f aca="false">$D$106/1000000/12*IF($I$106="Y",AM$51,IF(AM$6&gt;=EOMONTH($H$106,0),1,0))</f>
        <v>0.00833333333333333</v>
      </c>
      <c r="AN111" s="193" t="n">
        <f aca="false">$D$106/1000000/12*IF($I$106="Y",AN$51,IF(AN$6&gt;=EOMONTH($H$106,0),1,0))</f>
        <v>0.00833333333333333</v>
      </c>
      <c r="AO111" s="193" t="n">
        <f aca="false">$D$106/1000000/12*IF($I$106="Y",AO$51,IF(AO$6&gt;=EOMONTH($H$106,0),1,0))</f>
        <v>0.00833333333333333</v>
      </c>
      <c r="AP111" s="193" t="n">
        <f aca="false">$D$106/1000000/12*IF($I$106="Y",AP$51,IF(AP$6&gt;=EOMONTH($H$106,0),1,0))</f>
        <v>0.00833333333333333</v>
      </c>
      <c r="AQ111" s="193" t="n">
        <f aca="false">$D$106/1000000/12*IF($I$106="Y",AQ$51,IF(AQ$6&gt;=EOMONTH($H$106,0),1,0))</f>
        <v>0.00833333333333333</v>
      </c>
      <c r="AR111" s="193" t="n">
        <f aca="false">$D$106/1000000/12*IF($I$106="Y",AR$51,IF(AR$6&gt;=EOMONTH($H$106,0),1,0))</f>
        <v>0.00833333333333333</v>
      </c>
      <c r="AS111" s="193" t="n">
        <f aca="false">$D$106/1000000/12*IF($I$106="Y",AS$51,IF(AS$6&gt;=EOMONTH($H$106,0),1,0))</f>
        <v>0.00833333333333333</v>
      </c>
      <c r="AT111" s="193" t="n">
        <f aca="false">$D$106/1000000/12*IF($I$106="Y",AT$51,IF(AT$6&gt;=EOMONTH($H$106,0),1,0))</f>
        <v>0.00833333333333333</v>
      </c>
      <c r="AU111" s="193" t="n">
        <f aca="false">$D$106/1000000/12*IF($I$106="Y",AU$51,IF(AU$6&gt;=EOMONTH($H$106,0),1,0))</f>
        <v>0.00833333333333333</v>
      </c>
      <c r="AV111" s="193" t="n">
        <f aca="false">$D$106/1000000/12*IF($I$106="Y",AV$51,IF(AV$6&gt;=EOMONTH($H$106,0),1,0))</f>
        <v>0.00833333333333333</v>
      </c>
      <c r="AW111" s="193" t="n">
        <f aca="false">$D$106/1000000/12*IF($I$106="Y",AW$51,IF(AW$6&gt;=EOMONTH($H$106,0),1,0))</f>
        <v>0.00833333333333333</v>
      </c>
      <c r="AX111" s="193" t="n">
        <f aca="false">$D$106/1000000/12*IF($I$106="Y",AX$51,IF(AX$6&gt;=EOMONTH($H$106,0),1,0))</f>
        <v>0.00833333333333333</v>
      </c>
      <c r="AY111" s="193" t="n">
        <f aca="false">$D$106/1000000/12*IF($I$106="Y",AY$51,IF(AY$6&gt;=EOMONTH($H$106,0),1,0))</f>
        <v>0.00833333333333333</v>
      </c>
      <c r="AZ111" s="193" t="n">
        <f aca="false">$D$106/1000000/12*IF($I$106="Y",AZ$51,IF(AZ$6&gt;=EOMONTH($H$106,0),1,0))</f>
        <v>0.00833333333333333</v>
      </c>
      <c r="BA111" s="193" t="n">
        <f aca="false">$D$106/1000000/12*IF($I$106="Y",BA$51,IF(BA$6&gt;=EOMONTH($H$106,0),1,0))</f>
        <v>0.00833333333333333</v>
      </c>
      <c r="BB111" s="193" t="n">
        <f aca="false">$D$106/1000000/12*IF($I$106="Y",BB$51,IF(BB$6&gt;=EOMONTH($H$106,0),1,0))</f>
        <v>0.00833333333333333</v>
      </c>
      <c r="BC111" s="193" t="n">
        <f aca="false">$D$106/1000000/12*IF($I$106="Y",BC$51,IF(BC$6&gt;=EOMONTH($H$106,0),1,0))</f>
        <v>0.00833333333333333</v>
      </c>
      <c r="BD111" s="193" t="n">
        <f aca="false">$D$106/1000000/12*IF($I$106="Y",BD$51,IF(BD$6&gt;=EOMONTH($H$106,0),1,0))</f>
        <v>0.00833333333333333</v>
      </c>
      <c r="BE111" s="193" t="n">
        <f aca="false">$D$106/1000000/12*IF($I$106="Y",BE$51,IF(BE$6&gt;=EOMONTH($H$106,0),1,0))</f>
        <v>0.00833333333333333</v>
      </c>
      <c r="BF111" s="193" t="n">
        <f aca="false">$D$106/1000000/12*IF($I$106="Y",BF$51,IF(BF$6&gt;=EOMONTH($H$106,0),1,0))</f>
        <v>0.00833333333333333</v>
      </c>
      <c r="BG111" s="193" t="n">
        <f aca="false">$D$106/1000000/12*IF($I$106="Y",BG$51,IF(BG$6&gt;=EOMONTH($H$106,0),1,0))</f>
        <v>0.00833333333333333</v>
      </c>
      <c r="BH111" s="193" t="n">
        <f aca="false">$D$106/1000000/12*IF($I$106="Y",BH$51,IF(BH$6&gt;=EOMONTH($H$106,0),1,0))</f>
        <v>0.00833333333333333</v>
      </c>
      <c r="BI111" s="193" t="n">
        <f aca="false">$D$106/1000000/12*IF($I$106="Y",BI$51,IF(BI$6&gt;=EOMONTH($H$106,0),1,0))</f>
        <v>0.00833333333333333</v>
      </c>
      <c r="BJ111" s="193" t="n">
        <f aca="false">$D$106/1000000/12*IF($I$106="Y",BJ$51,IF(BJ$6&gt;=EOMONTH($H$106,0),1,0))</f>
        <v>0.00833333333333333</v>
      </c>
      <c r="BK111" s="193" t="n">
        <f aca="false">$D$106/1000000/12*IF($I$106="Y",BK$51,IF(BK$6&gt;=EOMONTH($H$106,0),1,0))</f>
        <v>0.00833333333333333</v>
      </c>
      <c r="BL111" s="193" t="n">
        <f aca="false">$D$106/1000000/12*IF($I$106="Y",BL$51,IF(BL$6&gt;=EOMONTH($H$106,0),1,0))</f>
        <v>0.00833333333333333</v>
      </c>
      <c r="BM111" s="193" t="n">
        <f aca="false">$D$106/1000000/12*IF($I$106="Y",BM$51,IF(BM$6&gt;=EOMONTH($H$106,0),1,0))</f>
        <v>0.00833333333333333</v>
      </c>
      <c r="BN111" s="193" t="n">
        <f aca="false">$D$106/1000000/12*IF($I$106="Y",BN$51,IF(BN$6&gt;=EOMONTH($H$106,0),1,0))</f>
        <v>0.00833333333333333</v>
      </c>
      <c r="BO111" s="193" t="n">
        <f aca="false">$D$106/1000000/12*IF($I$106="Y",BO$51,IF(BO$6&gt;=EOMONTH($H$106,0),1,0))</f>
        <v>0.00833333333333333</v>
      </c>
      <c r="BP111" s="193" t="n">
        <f aca="false">$D$106/1000000/12*IF($I$106="Y",BP$51,IF(BP$6&gt;=EOMONTH($H$106,0),1,0))</f>
        <v>0.00833333333333333</v>
      </c>
      <c r="BQ111" s="193" t="n">
        <f aca="false">$D$106/1000000/12*IF($I$106="Y",BQ$51,IF(BQ$6&gt;=EOMONTH($H$106,0),1,0))</f>
        <v>0.00833333333333333</v>
      </c>
      <c r="BR111" s="193" t="n">
        <f aca="false">$D$106/1000000/12*IF($I$106="Y",BR$51,IF(BR$6&gt;=EOMONTH($H$106,0),1,0))</f>
        <v>0.00833333333333333</v>
      </c>
      <c r="BS111" s="193" t="n">
        <f aca="false">$D$106/1000000/12*IF($I$106="Y",BS$51,IF(BS$6&gt;=EOMONTH($H$106,0),1,0))</f>
        <v>0.00833333333333333</v>
      </c>
      <c r="BT111" s="193" t="n">
        <f aca="false">$D$106/1000000/12*IF($I$106="Y",BT$51,IF(BT$6&gt;=EOMONTH($H$106,0),1,0))</f>
        <v>0.00833333333333333</v>
      </c>
      <c r="BU111" s="193" t="n">
        <f aca="false">$D$106/1000000/12*IF($I$106="Y",BU$51,IF(BU$6&gt;=EOMONTH($H$106,0),1,0))</f>
        <v>0.00833333333333333</v>
      </c>
      <c r="BV111" s="193" t="n">
        <f aca="false">$D$106/1000000/12*IF($I$106="Y",BV$51,IF(BV$6&gt;=EOMONTH($H$106,0),1,0))</f>
        <v>0.00833333333333333</v>
      </c>
      <c r="BW111" s="193" t="n">
        <f aca="false">$D$106/1000000/12*IF($I$106="Y",BW$51,IF(BW$6&gt;=EOMONTH($H$106,0),1,0))</f>
        <v>0.00833333333333333</v>
      </c>
      <c r="BX111" s="193" t="n">
        <f aca="false">$D$106/1000000/12*IF($I$106="Y",BX$51,IF(BX$6&gt;=EOMONTH($H$106,0),1,0))</f>
        <v>0.00833333333333333</v>
      </c>
      <c r="BY111" s="193" t="n">
        <f aca="false">$D$106/1000000/12*IF($I$106="Y",BY$51,IF(BY$6&gt;=EOMONTH($H$106,0),1,0))</f>
        <v>0.00833333333333333</v>
      </c>
      <c r="BZ111" s="193" t="n">
        <f aca="false">$D$106/1000000/12*IF($I$106="Y",BZ$51,IF(BZ$6&gt;=EOMONTH($H$106,0),1,0))</f>
        <v>0.00833333333333333</v>
      </c>
      <c r="CA111" s="193" t="n">
        <f aca="false">$D$106/1000000/12*IF($I$106="Y",CA$51,IF(CA$6&gt;=EOMONTH($H$106,0),1,0))</f>
        <v>0.00833333333333333</v>
      </c>
    </row>
    <row r="112" customFormat="false" ht="15" hidden="false" customHeight="false" outlineLevel="0" collapsed="false">
      <c r="B112" s="10" t="s">
        <v>395</v>
      </c>
      <c r="K112" s="193" t="n">
        <f aca="false">SUMIFS($T112:$CA112,$T$5:$CA$5,2030)</f>
        <v>0.04</v>
      </c>
      <c r="L112" s="193" t="n">
        <f aca="false">SUMIFS($T112:$CA112,$T$5:$CA$5,2026)</f>
        <v>0</v>
      </c>
      <c r="M112" s="193" t="n">
        <f aca="false">SUMIFS($T112:$CA112,$T$5:$CA$5,2027)</f>
        <v>0.0166666666666667</v>
      </c>
      <c r="N112" s="193" t="n">
        <f aca="false">SUMIFS($T112:$CA112,$T$5:$CA$5,2028)</f>
        <v>0.04</v>
      </c>
      <c r="O112" s="193" t="n">
        <f aca="false">SUMIFS($T112:$CA112,$T$5:$CA$5,2029)</f>
        <v>0.04</v>
      </c>
      <c r="P112" s="193" t="n">
        <f aca="false">SUMIFS($T112:$CA112,$T$5:$CA$5,2030)</f>
        <v>0.04</v>
      </c>
      <c r="T112" s="193" t="n">
        <f aca="false">$D$107/1000000/12*IF($I$107="Y",T$51,IF(T$6&gt;=EOMONTH($H$107,0),1,0))</f>
        <v>0</v>
      </c>
      <c r="U112" s="193" t="n">
        <f aca="false">$D$107/1000000/12*IF($I$107="Y",U$51,IF(U$6&gt;=EOMONTH($H$107,0),1,0))</f>
        <v>0</v>
      </c>
      <c r="V112" s="193" t="n">
        <f aca="false">$D$107/1000000/12*IF($I$107="Y",V$51,IF(V$6&gt;=EOMONTH($H$107,0),1,0))</f>
        <v>0</v>
      </c>
      <c r="W112" s="193" t="n">
        <f aca="false">$D$107/1000000/12*IF($I$107="Y",W$51,IF(W$6&gt;=EOMONTH($H$107,0),1,0))</f>
        <v>0</v>
      </c>
      <c r="X112" s="193" t="n">
        <f aca="false">$D$107/1000000/12*IF($I$107="Y",X$51,IF(X$6&gt;=EOMONTH($H$107,0),1,0))</f>
        <v>0</v>
      </c>
      <c r="Y112" s="193" t="n">
        <f aca="false">$D$107/1000000/12*IF($I$107="Y",Y$51,IF(Y$6&gt;=EOMONTH($H$107,0),1,0))</f>
        <v>0</v>
      </c>
      <c r="Z112" s="193" t="n">
        <f aca="false">$D$107/1000000/12*IF($I$107="Y",Z$51,IF(Z$6&gt;=EOMONTH($H$107,0),1,0))</f>
        <v>0</v>
      </c>
      <c r="AA112" s="193" t="n">
        <f aca="false">$D$107/1000000/12*IF($I$107="Y",AA$51,IF(AA$6&gt;=EOMONTH($H$107,0),1,0))</f>
        <v>0</v>
      </c>
      <c r="AB112" s="193" t="n">
        <f aca="false">$D$107/1000000/12*IF($I$107="Y",AB$51,IF(AB$6&gt;=EOMONTH($H$107,0),1,0))</f>
        <v>0</v>
      </c>
      <c r="AC112" s="193" t="n">
        <f aca="false">$D$107/1000000/12*IF($I$107="Y",AC$51,IF(AC$6&gt;=EOMONTH($H$107,0),1,0))</f>
        <v>0</v>
      </c>
      <c r="AD112" s="193" t="n">
        <f aca="false">$D$107/1000000/12*IF($I$107="Y",AD$51,IF(AD$6&gt;=EOMONTH($H$107,0),1,0))</f>
        <v>0</v>
      </c>
      <c r="AE112" s="193" t="n">
        <f aca="false">$D$107/1000000/12*IF($I$107="Y",AE$51,IF(AE$6&gt;=EOMONTH($H$107,0),1,0))</f>
        <v>0</v>
      </c>
      <c r="AF112" s="193" t="n">
        <f aca="false">$D$107/1000000/12*IF($I$107="Y",AF$51,IF(AF$6&gt;=EOMONTH($H$107,0),1,0))</f>
        <v>0</v>
      </c>
      <c r="AG112" s="193" t="n">
        <f aca="false">$D$107/1000000/12*IF($I$107="Y",AG$51,IF(AG$6&gt;=EOMONTH($H$107,0),1,0))</f>
        <v>0</v>
      </c>
      <c r="AH112" s="193" t="n">
        <f aca="false">$D$107/1000000/12*IF($I$107="Y",AH$51,IF(AH$6&gt;=EOMONTH($H$107,0),1,0))</f>
        <v>0</v>
      </c>
      <c r="AI112" s="193" t="n">
        <f aca="false">$D$107/1000000/12*IF($I$107="Y",AI$51,IF(AI$6&gt;=EOMONTH($H$107,0),1,0))</f>
        <v>0</v>
      </c>
      <c r="AJ112" s="193" t="n">
        <f aca="false">$D$107/1000000/12*IF($I$107="Y",AJ$51,IF(AJ$6&gt;=EOMONTH($H$107,0),1,0))</f>
        <v>0</v>
      </c>
      <c r="AK112" s="193" t="n">
        <f aca="false">$D$107/1000000/12*IF($I$107="Y",AK$51,IF(AK$6&gt;=EOMONTH($H$107,0),1,0))</f>
        <v>0</v>
      </c>
      <c r="AL112" s="193" t="n">
        <f aca="false">$D$107/1000000/12*IF($I$107="Y",AL$51,IF(AL$6&gt;=EOMONTH($H$107,0),1,0))</f>
        <v>0</v>
      </c>
      <c r="AM112" s="193" t="n">
        <f aca="false">$D$107/1000000/12*IF($I$107="Y",AM$51,IF(AM$6&gt;=EOMONTH($H$107,0),1,0))</f>
        <v>0.00333333333333333</v>
      </c>
      <c r="AN112" s="193" t="n">
        <f aca="false">$D$107/1000000/12*IF($I$107="Y",AN$51,IF(AN$6&gt;=EOMONTH($H$107,0),1,0))</f>
        <v>0.00333333333333333</v>
      </c>
      <c r="AO112" s="193" t="n">
        <f aca="false">$D$107/1000000/12*IF($I$107="Y",AO$51,IF(AO$6&gt;=EOMONTH($H$107,0),1,0))</f>
        <v>0.00333333333333333</v>
      </c>
      <c r="AP112" s="193" t="n">
        <f aca="false">$D$107/1000000/12*IF($I$107="Y",AP$51,IF(AP$6&gt;=EOMONTH($H$107,0),1,0))</f>
        <v>0.00333333333333333</v>
      </c>
      <c r="AQ112" s="193" t="n">
        <f aca="false">$D$107/1000000/12*IF($I$107="Y",AQ$51,IF(AQ$6&gt;=EOMONTH($H$107,0),1,0))</f>
        <v>0.00333333333333333</v>
      </c>
      <c r="AR112" s="193" t="n">
        <f aca="false">$D$107/1000000/12*IF($I$107="Y",AR$51,IF(AR$6&gt;=EOMONTH($H$107,0),1,0))</f>
        <v>0.00333333333333333</v>
      </c>
      <c r="AS112" s="193" t="n">
        <f aca="false">$D$107/1000000/12*IF($I$107="Y",AS$51,IF(AS$6&gt;=EOMONTH($H$107,0),1,0))</f>
        <v>0.00333333333333333</v>
      </c>
      <c r="AT112" s="193" t="n">
        <f aca="false">$D$107/1000000/12*IF($I$107="Y",AT$51,IF(AT$6&gt;=EOMONTH($H$107,0),1,0))</f>
        <v>0.00333333333333333</v>
      </c>
      <c r="AU112" s="193" t="n">
        <f aca="false">$D$107/1000000/12*IF($I$107="Y",AU$51,IF(AU$6&gt;=EOMONTH($H$107,0),1,0))</f>
        <v>0.00333333333333333</v>
      </c>
      <c r="AV112" s="193" t="n">
        <f aca="false">$D$107/1000000/12*IF($I$107="Y",AV$51,IF(AV$6&gt;=EOMONTH($H$107,0),1,0))</f>
        <v>0.00333333333333333</v>
      </c>
      <c r="AW112" s="193" t="n">
        <f aca="false">$D$107/1000000/12*IF($I$107="Y",AW$51,IF(AW$6&gt;=EOMONTH($H$107,0),1,0))</f>
        <v>0.00333333333333333</v>
      </c>
      <c r="AX112" s="193" t="n">
        <f aca="false">$D$107/1000000/12*IF($I$107="Y",AX$51,IF(AX$6&gt;=EOMONTH($H$107,0),1,0))</f>
        <v>0.00333333333333333</v>
      </c>
      <c r="AY112" s="193" t="n">
        <f aca="false">$D$107/1000000/12*IF($I$107="Y",AY$51,IF(AY$6&gt;=EOMONTH($H$107,0),1,0))</f>
        <v>0.00333333333333333</v>
      </c>
      <c r="AZ112" s="193" t="n">
        <f aca="false">$D$107/1000000/12*IF($I$107="Y",AZ$51,IF(AZ$6&gt;=EOMONTH($H$107,0),1,0))</f>
        <v>0.00333333333333333</v>
      </c>
      <c r="BA112" s="193" t="n">
        <f aca="false">$D$107/1000000/12*IF($I$107="Y",BA$51,IF(BA$6&gt;=EOMONTH($H$107,0),1,0))</f>
        <v>0.00333333333333333</v>
      </c>
      <c r="BB112" s="193" t="n">
        <f aca="false">$D$107/1000000/12*IF($I$107="Y",BB$51,IF(BB$6&gt;=EOMONTH($H$107,0),1,0))</f>
        <v>0.00333333333333333</v>
      </c>
      <c r="BC112" s="193" t="n">
        <f aca="false">$D$107/1000000/12*IF($I$107="Y",BC$51,IF(BC$6&gt;=EOMONTH($H$107,0),1,0))</f>
        <v>0.00333333333333333</v>
      </c>
      <c r="BD112" s="193" t="n">
        <f aca="false">$D$107/1000000/12*IF($I$107="Y",BD$51,IF(BD$6&gt;=EOMONTH($H$107,0),1,0))</f>
        <v>0.00333333333333333</v>
      </c>
      <c r="BE112" s="193" t="n">
        <f aca="false">$D$107/1000000/12*IF($I$107="Y",BE$51,IF(BE$6&gt;=EOMONTH($H$107,0),1,0))</f>
        <v>0.00333333333333333</v>
      </c>
      <c r="BF112" s="193" t="n">
        <f aca="false">$D$107/1000000/12*IF($I$107="Y",BF$51,IF(BF$6&gt;=EOMONTH($H$107,0),1,0))</f>
        <v>0.00333333333333333</v>
      </c>
      <c r="BG112" s="193" t="n">
        <f aca="false">$D$107/1000000/12*IF($I$107="Y",BG$51,IF(BG$6&gt;=EOMONTH($H$107,0),1,0))</f>
        <v>0.00333333333333333</v>
      </c>
      <c r="BH112" s="193" t="n">
        <f aca="false">$D$107/1000000/12*IF($I$107="Y",BH$51,IF(BH$6&gt;=EOMONTH($H$107,0),1,0))</f>
        <v>0.00333333333333333</v>
      </c>
      <c r="BI112" s="193" t="n">
        <f aca="false">$D$107/1000000/12*IF($I$107="Y",BI$51,IF(BI$6&gt;=EOMONTH($H$107,0),1,0))</f>
        <v>0.00333333333333333</v>
      </c>
      <c r="BJ112" s="193" t="n">
        <f aca="false">$D$107/1000000/12*IF($I$107="Y",BJ$51,IF(BJ$6&gt;=EOMONTH($H$107,0),1,0))</f>
        <v>0.00333333333333333</v>
      </c>
      <c r="BK112" s="193" t="n">
        <f aca="false">$D$107/1000000/12*IF($I$107="Y",BK$51,IF(BK$6&gt;=EOMONTH($H$107,0),1,0))</f>
        <v>0.00333333333333333</v>
      </c>
      <c r="BL112" s="193" t="n">
        <f aca="false">$D$107/1000000/12*IF($I$107="Y",BL$51,IF(BL$6&gt;=EOMONTH($H$107,0),1,0))</f>
        <v>0.00333333333333333</v>
      </c>
      <c r="BM112" s="193" t="n">
        <f aca="false">$D$107/1000000/12*IF($I$107="Y",BM$51,IF(BM$6&gt;=EOMONTH($H$107,0),1,0))</f>
        <v>0.00333333333333333</v>
      </c>
      <c r="BN112" s="193" t="n">
        <f aca="false">$D$107/1000000/12*IF($I$107="Y",BN$51,IF(BN$6&gt;=EOMONTH($H$107,0),1,0))</f>
        <v>0.00333333333333333</v>
      </c>
      <c r="BO112" s="193" t="n">
        <f aca="false">$D$107/1000000/12*IF($I$107="Y",BO$51,IF(BO$6&gt;=EOMONTH($H$107,0),1,0))</f>
        <v>0.00333333333333333</v>
      </c>
      <c r="BP112" s="193" t="n">
        <f aca="false">$D$107/1000000/12*IF($I$107="Y",BP$51,IF(BP$6&gt;=EOMONTH($H$107,0),1,0))</f>
        <v>0.00333333333333333</v>
      </c>
      <c r="BQ112" s="193" t="n">
        <f aca="false">$D$107/1000000/12*IF($I$107="Y",BQ$51,IF(BQ$6&gt;=EOMONTH($H$107,0),1,0))</f>
        <v>0.00333333333333333</v>
      </c>
      <c r="BR112" s="193" t="n">
        <f aca="false">$D$107/1000000/12*IF($I$107="Y",BR$51,IF(BR$6&gt;=EOMONTH($H$107,0),1,0))</f>
        <v>0.00333333333333333</v>
      </c>
      <c r="BS112" s="193" t="n">
        <f aca="false">$D$107/1000000/12*IF($I$107="Y",BS$51,IF(BS$6&gt;=EOMONTH($H$107,0),1,0))</f>
        <v>0.00333333333333333</v>
      </c>
      <c r="BT112" s="193" t="n">
        <f aca="false">$D$107/1000000/12*IF($I$107="Y",BT$51,IF(BT$6&gt;=EOMONTH($H$107,0),1,0))</f>
        <v>0.00333333333333333</v>
      </c>
      <c r="BU112" s="193" t="n">
        <f aca="false">$D$107/1000000/12*IF($I$107="Y",BU$51,IF(BU$6&gt;=EOMONTH($H$107,0),1,0))</f>
        <v>0.00333333333333333</v>
      </c>
      <c r="BV112" s="193" t="n">
        <f aca="false">$D$107/1000000/12*IF($I$107="Y",BV$51,IF(BV$6&gt;=EOMONTH($H$107,0),1,0))</f>
        <v>0.00333333333333333</v>
      </c>
      <c r="BW112" s="193" t="n">
        <f aca="false">$D$107/1000000/12*IF($I$107="Y",BW$51,IF(BW$6&gt;=EOMONTH($H$107,0),1,0))</f>
        <v>0.00333333333333333</v>
      </c>
      <c r="BX112" s="193" t="n">
        <f aca="false">$D$107/1000000/12*IF($I$107="Y",BX$51,IF(BX$6&gt;=EOMONTH($H$107,0),1,0))</f>
        <v>0.00333333333333333</v>
      </c>
      <c r="BY112" s="193" t="n">
        <f aca="false">$D$107/1000000/12*IF($I$107="Y",BY$51,IF(BY$6&gt;=EOMONTH($H$107,0),1,0))</f>
        <v>0.00333333333333333</v>
      </c>
      <c r="BZ112" s="193" t="n">
        <f aca="false">$D$107/1000000/12*IF($I$107="Y",BZ$51,IF(BZ$6&gt;=EOMONTH($H$107,0),1,0))</f>
        <v>0.00333333333333333</v>
      </c>
      <c r="CA112" s="193" t="n">
        <f aca="false">$D$107/1000000/12*IF($I$107="Y",CA$51,IF(CA$6&gt;=EOMONTH($H$107,0),1,0))</f>
        <v>0.00333333333333333</v>
      </c>
    </row>
    <row r="113" customFormat="false" ht="15" hidden="false" customHeight="false" outlineLevel="0" collapsed="false">
      <c r="B113" s="3" t="s">
        <v>396</v>
      </c>
      <c r="K113" s="193" t="n">
        <f aca="false">SUM(K110:K112)</f>
        <v>0.5</v>
      </c>
      <c r="L113" s="193" t="n">
        <f aca="false">SUM(L110:L112)</f>
        <v>0</v>
      </c>
      <c r="M113" s="193" t="n">
        <f aca="false">SUM(M110:M112)</f>
        <v>0.208333333333333</v>
      </c>
      <c r="N113" s="193" t="n">
        <f aca="false">SUM(N110:N112)</f>
        <v>0.5</v>
      </c>
      <c r="O113" s="193" t="n">
        <f aca="false">SUM(O110:O112)</f>
        <v>0.5</v>
      </c>
      <c r="P113" s="193" t="n">
        <f aca="false">SUM(P110:P112)</f>
        <v>0.5</v>
      </c>
    </row>
    <row r="115" customFormat="false" ht="18" hidden="false" customHeight="true" outlineLevel="0" collapsed="false">
      <c r="B115" s="5" t="s">
        <v>397</v>
      </c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</row>
    <row r="117" customFormat="false" ht="15" hidden="false" customHeight="false" outlineLevel="0" collapsed="false">
      <c r="B117" s="196" t="s">
        <v>398</v>
      </c>
      <c r="F117" s="198" t="s">
        <v>399</v>
      </c>
    </row>
    <row r="118" customFormat="false" ht="15" hidden="false" customHeight="false" outlineLevel="0" collapsed="false">
      <c r="B118" s="196" t="s">
        <v>400</v>
      </c>
      <c r="F118" s="198" t="s">
        <v>401</v>
      </c>
    </row>
    <row r="119" customFormat="false" ht="15" hidden="false" customHeight="false" outlineLevel="0" collapsed="false">
      <c r="B119" s="196" t="s">
        <v>402</v>
      </c>
      <c r="F119" s="198" t="s">
        <v>403</v>
      </c>
    </row>
    <row r="120" customFormat="false" ht="15" hidden="false" customHeight="false" outlineLevel="0" collapsed="false">
      <c r="B120" s="196" t="s">
        <v>404</v>
      </c>
      <c r="F120" s="198" t="s">
        <v>405</v>
      </c>
    </row>
    <row r="121" customFormat="false" ht="15" hidden="false" customHeight="false" outlineLevel="0" collapsed="false">
      <c r="B121" s="196" t="s">
        <v>406</v>
      </c>
      <c r="F121" s="198" t="s">
        <v>407</v>
      </c>
    </row>
    <row r="122" customFormat="false" ht="15" hidden="false" customHeight="false" outlineLevel="0" collapsed="false">
      <c r="B122" s="196" t="s">
        <v>408</v>
      </c>
      <c r="F122" s="198" t="s">
        <v>409</v>
      </c>
    </row>
    <row r="123" customFormat="false" ht="15" hidden="false" customHeight="false" outlineLevel="0" collapsed="false">
      <c r="B123" s="196" t="s">
        <v>410</v>
      </c>
      <c r="F123" s="198" t="s">
        <v>411</v>
      </c>
    </row>
    <row r="124" customFormat="false" ht="15" hidden="false" customHeight="false" outlineLevel="0" collapsed="false">
      <c r="B124" s="196" t="s">
        <v>412</v>
      </c>
      <c r="F124" s="198" t="s">
        <v>413</v>
      </c>
    </row>
    <row r="126" customFormat="false" ht="18" hidden="false" customHeight="true" outlineLevel="0" collapsed="false">
      <c r="B126" s="5" t="s">
        <v>414</v>
      </c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</sheetData>
  <mergeCells count="3">
    <mergeCell ref="D10:H10"/>
    <mergeCell ref="D11:H11"/>
    <mergeCell ref="D12:H12"/>
  </mergeCells>
  <dataValidations count="1">
    <dataValidation allowBlank="true" errorStyle="stop" operator="between" showDropDown="false" showErrorMessage="false" showInputMessage="false" sqref="I105:I107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C1:CM171"/>
  <sheetViews>
    <sheetView showFormulas="false" showGridLines="false" showRowColHeaders="true" showZeros="true" rightToLeft="false" tabSelected="false" showOutlineSymbols="true" defaultGridColor="true" view="normal" topLeftCell="A1" colorId="64" zoomScale="50" zoomScaleNormal="5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5390625" defaultRowHeight="14.25" zeroHeight="false" outlineLevelRow="1" outlineLevelCol="1"/>
  <cols>
    <col collapsed="false" customWidth="true" hidden="false" outlineLevel="0" max="4" min="1" style="0" width="2.81"/>
    <col collapsed="false" customWidth="true" hidden="false" outlineLevel="0" max="5" min="5" style="0" width="65.81"/>
    <col collapsed="false" customWidth="true" hidden="false" outlineLevel="0" max="6" min="6" style="0" width="16.54"/>
    <col collapsed="false" customWidth="true" hidden="false" outlineLevel="0" max="7" min="7" style="0" width="16.18"/>
    <col collapsed="false" customWidth="true" hidden="false" outlineLevel="0" max="8" min="8" style="0" width="22.45"/>
    <col collapsed="false" customWidth="true" hidden="false" outlineLevel="0" max="16" min="9" style="0" width="13.54"/>
    <col collapsed="false" customWidth="true" hidden="false" outlineLevel="0" max="17" min="17" style="13" width="13.54"/>
    <col collapsed="false" customWidth="true" hidden="false" outlineLevel="0" max="18" min="18" style="13" width="16.45"/>
    <col collapsed="false" customWidth="true" hidden="false" outlineLevel="0" max="19" min="19" style="0" width="2.81"/>
    <col collapsed="false" customWidth="true" hidden="false" outlineLevel="0" max="67" min="20" style="0" width="16.54"/>
    <col collapsed="false" customWidth="true" hidden="true" outlineLevel="1" max="79" min="68" style="0" width="16.54"/>
    <col collapsed="false" customWidth="true" hidden="false" outlineLevel="0" max="80" min="80" style="0" width="2.81"/>
    <col collapsed="false" customWidth="true" hidden="false" outlineLevel="0" max="85" min="81" style="0" width="16.54"/>
    <col collapsed="false" customWidth="true" hidden="false" outlineLevel="0" max="86" min="86" style="0" width="2.81"/>
    <col collapsed="false" customWidth="true" hidden="false" outlineLevel="0" max="91" min="87" style="0" width="16.54"/>
  </cols>
  <sheetData>
    <row r="1" s="14" customFormat="true" ht="16.5" hidden="true" customHeight="true" outlineLevel="1" collapsed="false">
      <c r="L1" s="15" t="n">
        <v>1</v>
      </c>
      <c r="M1" s="15" t="n">
        <v>2</v>
      </c>
      <c r="N1" s="15" t="n">
        <v>3</v>
      </c>
      <c r="O1" s="15" t="n">
        <v>4</v>
      </c>
      <c r="P1" s="15" t="n">
        <v>5</v>
      </c>
      <c r="Q1" s="16"/>
      <c r="R1" s="17" t="n">
        <f aca="false">COUNTIFS($R$66:$R$117, "Error")</f>
        <v>0</v>
      </c>
      <c r="T1" s="17" t="n">
        <v>2026</v>
      </c>
      <c r="U1" s="17" t="n">
        <v>2026</v>
      </c>
      <c r="V1" s="17" t="n">
        <v>2026</v>
      </c>
      <c r="W1" s="17" t="n">
        <v>2026</v>
      </c>
      <c r="X1" s="17" t="n">
        <v>2026</v>
      </c>
      <c r="Y1" s="17" t="n">
        <v>2026</v>
      </c>
      <c r="Z1" s="17" t="n">
        <v>2026</v>
      </c>
      <c r="AA1" s="17" t="n">
        <v>2026</v>
      </c>
      <c r="AB1" s="17" t="n">
        <v>2026</v>
      </c>
      <c r="AC1" s="17" t="n">
        <v>2026</v>
      </c>
      <c r="AD1" s="17" t="n">
        <v>2026</v>
      </c>
      <c r="AE1" s="17" t="n">
        <v>2026</v>
      </c>
      <c r="AF1" s="17" t="n">
        <v>2027</v>
      </c>
      <c r="AG1" s="17" t="n">
        <v>2027</v>
      </c>
      <c r="AH1" s="17" t="n">
        <v>2027</v>
      </c>
      <c r="AI1" s="17" t="n">
        <v>2027</v>
      </c>
      <c r="AJ1" s="17" t="n">
        <v>2027</v>
      </c>
      <c r="AK1" s="17" t="n">
        <v>2027</v>
      </c>
      <c r="AL1" s="17" t="n">
        <v>2027</v>
      </c>
      <c r="AM1" s="17" t="n">
        <v>2027</v>
      </c>
      <c r="AN1" s="17" t="n">
        <v>2027</v>
      </c>
      <c r="AO1" s="17" t="n">
        <v>2027</v>
      </c>
      <c r="AP1" s="17" t="n">
        <v>2027</v>
      </c>
      <c r="AQ1" s="17" t="n">
        <v>2027</v>
      </c>
      <c r="AR1" s="17" t="n">
        <v>2028</v>
      </c>
      <c r="AS1" s="17" t="n">
        <v>2028</v>
      </c>
      <c r="AT1" s="17" t="n">
        <v>2028</v>
      </c>
      <c r="AU1" s="17" t="n">
        <v>2028</v>
      </c>
      <c r="AV1" s="17" t="n">
        <v>2028</v>
      </c>
      <c r="AW1" s="17" t="n">
        <v>2028</v>
      </c>
      <c r="AX1" s="17" t="n">
        <v>2028</v>
      </c>
      <c r="AY1" s="17" t="n">
        <v>2028</v>
      </c>
      <c r="AZ1" s="17" t="n">
        <v>2028</v>
      </c>
      <c r="BA1" s="17" t="n">
        <v>2028</v>
      </c>
      <c r="BB1" s="17" t="n">
        <v>2028</v>
      </c>
      <c r="BC1" s="17" t="n">
        <v>2028</v>
      </c>
      <c r="BD1" s="17" t="n">
        <v>2029</v>
      </c>
      <c r="BE1" s="17" t="n">
        <v>2029</v>
      </c>
      <c r="BF1" s="17" t="n">
        <v>2029</v>
      </c>
      <c r="BG1" s="17" t="n">
        <v>2029</v>
      </c>
      <c r="BH1" s="17" t="n">
        <v>2029</v>
      </c>
      <c r="BI1" s="17" t="n">
        <v>2029</v>
      </c>
      <c r="BJ1" s="17" t="n">
        <v>2029</v>
      </c>
      <c r="BK1" s="17" t="n">
        <v>2029</v>
      </c>
      <c r="BL1" s="17" t="n">
        <v>2029</v>
      </c>
      <c r="BM1" s="17" t="n">
        <v>2029</v>
      </c>
      <c r="BN1" s="17" t="n">
        <v>2029</v>
      </c>
      <c r="BO1" s="17" t="n">
        <v>2029</v>
      </c>
      <c r="BP1" s="17" t="n">
        <v>2030</v>
      </c>
      <c r="BQ1" s="17" t="n">
        <v>2030</v>
      </c>
      <c r="BR1" s="17" t="n">
        <v>2030</v>
      </c>
      <c r="BS1" s="17" t="n">
        <v>2030</v>
      </c>
      <c r="BT1" s="17" t="n">
        <v>2030</v>
      </c>
      <c r="BU1" s="17" t="n">
        <v>2030</v>
      </c>
      <c r="BV1" s="17" t="n">
        <v>2030</v>
      </c>
      <c r="BW1" s="17" t="n">
        <v>2030</v>
      </c>
      <c r="BX1" s="17" t="n">
        <v>2030</v>
      </c>
      <c r="BY1" s="17" t="n">
        <v>2030</v>
      </c>
      <c r="BZ1" s="17" t="n">
        <v>2030</v>
      </c>
      <c r="CA1" s="17" t="n">
        <v>2030</v>
      </c>
      <c r="CI1" s="17" t="n">
        <f aca="false">COUNTIFS(CI$66:CI$149, "FALSE")</f>
        <v>0</v>
      </c>
      <c r="CJ1" s="17" t="n">
        <f aca="false">COUNTIFS(CJ$66:CJ$149, "FALSE")</f>
        <v>0</v>
      </c>
      <c r="CK1" s="17" t="n">
        <f aca="false">COUNTIFS(CK$66:CK$149, "FALSE")</f>
        <v>0</v>
      </c>
      <c r="CL1" s="17" t="n">
        <f aca="false">COUNTIFS(CL$66:CL$149, "FALSE")</f>
        <v>0</v>
      </c>
      <c r="CM1" s="17" t="n">
        <f aca="false">COUNTIFS(CM$66:CM$149, "FALSE")</f>
        <v>0</v>
      </c>
    </row>
    <row r="2" s="14" customFormat="true" ht="30.75" hidden="false" customHeight="true" outlineLevel="0" collapsed="false">
      <c r="C2" s="18" t="str">
        <f aca="false">"#"&amp;$F$6&amp;" Initiative Business Case"</f>
        <v>#TBD Initiative Business Case</v>
      </c>
      <c r="Q2" s="16"/>
      <c r="R2" s="16"/>
    </row>
    <row r="3" s="14" customFormat="true" ht="16.5" hidden="false" customHeight="true" outlineLevel="0" collapsed="false">
      <c r="Q3" s="16"/>
      <c r="R3" s="16"/>
    </row>
    <row r="4" s="14" customFormat="true" ht="16.5" hidden="false" customHeight="true" outlineLevel="0" collapsed="false">
      <c r="C4" s="19" t="s">
        <v>61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</row>
    <row r="5" s="14" customFormat="true" ht="16.5" hidden="false" customHeight="true" outlineLevel="0" collapsed="false">
      <c r="Q5" s="16"/>
      <c r="R5" s="16"/>
    </row>
    <row r="6" s="14" customFormat="true" ht="16.5" hidden="false" customHeight="true" outlineLevel="0" collapsed="false">
      <c r="D6" s="21" t="s">
        <v>62</v>
      </c>
      <c r="F6" s="22" t="s">
        <v>415</v>
      </c>
      <c r="G6" s="23"/>
      <c r="Q6" s="16"/>
      <c r="R6" s="16"/>
    </row>
    <row r="7" customFormat="false" ht="16.5" hidden="false" customHeight="true" outlineLevel="0" collapsed="false">
      <c r="D7" s="21" t="s">
        <v>63</v>
      </c>
      <c r="F7" s="199" t="s">
        <v>264</v>
      </c>
      <c r="G7" s="200"/>
      <c r="I7" s="14"/>
      <c r="J7" s="14"/>
      <c r="K7" s="14"/>
    </row>
    <row r="8" s="14" customFormat="true" ht="16.5" hidden="false" customHeight="true" outlineLevel="0" collapsed="false">
      <c r="D8" s="21" t="s">
        <v>65</v>
      </c>
      <c r="F8" s="26" t="s">
        <v>262</v>
      </c>
      <c r="G8" s="26"/>
      <c r="H8" s="26"/>
      <c r="I8" s="26"/>
      <c r="J8" s="26"/>
      <c r="Q8" s="16"/>
      <c r="R8" s="16"/>
    </row>
    <row r="9" s="14" customFormat="true" ht="16.5" hidden="false" customHeight="true" outlineLevel="0" collapsed="false">
      <c r="D9" s="21"/>
      <c r="F9" s="26"/>
      <c r="G9" s="26"/>
      <c r="H9" s="26"/>
      <c r="I9" s="26"/>
      <c r="J9" s="26"/>
      <c r="N9" s="21"/>
      <c r="Q9" s="16"/>
      <c r="R9" s="16"/>
    </row>
    <row r="10" s="14" customFormat="true" ht="16.5" hidden="false" customHeight="true" outlineLevel="0" collapsed="false">
      <c r="F10" s="26"/>
      <c r="G10" s="26"/>
      <c r="H10" s="26"/>
      <c r="I10" s="26"/>
      <c r="J10" s="26"/>
      <c r="Q10" s="16"/>
      <c r="R10" s="16"/>
    </row>
    <row r="11" s="14" customFormat="true" ht="16.5" hidden="false" customHeight="true" outlineLevel="0" collapsed="false">
      <c r="D11" s="21" t="s">
        <v>69</v>
      </c>
      <c r="F11" s="201" t="n">
        <f aca="false">'SVC-1 Model'!$D$13</f>
        <v>46600</v>
      </c>
      <c r="M11" s="21"/>
      <c r="Q11" s="16"/>
      <c r="R11" s="16"/>
    </row>
    <row r="12" s="14" customFormat="true" ht="16.5" hidden="false" customHeight="true" outlineLevel="0" collapsed="false">
      <c r="D12" s="21" t="s">
        <v>70</v>
      </c>
      <c r="F12" s="28" t="n">
        <f aca="false">$K$117</f>
        <v>12.338616184</v>
      </c>
      <c r="M12" s="21"/>
      <c r="Q12" s="16"/>
      <c r="R12" s="16"/>
    </row>
    <row r="13" s="14" customFormat="true" ht="17.25" hidden="false" customHeight="true" outlineLevel="0" collapsed="false">
      <c r="Q13" s="16"/>
      <c r="R13" s="16"/>
    </row>
    <row r="14" s="14" customFormat="true" ht="16.5" hidden="false" customHeight="true" outlineLevel="0" collapsed="false">
      <c r="C14" s="19" t="s">
        <v>71</v>
      </c>
      <c r="D14" s="19"/>
      <c r="E14" s="19"/>
      <c r="F14" s="19"/>
      <c r="G14" s="19"/>
      <c r="H14" s="19"/>
      <c r="I14" s="19"/>
      <c r="J14" s="19"/>
      <c r="L14" s="19"/>
      <c r="M14" s="19"/>
      <c r="N14" s="19"/>
      <c r="O14" s="19"/>
      <c r="P14" s="19"/>
      <c r="Q14" s="20"/>
      <c r="R14" s="20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</row>
    <row r="15" s="14" customFormat="true" ht="17.25" hidden="false" customHeight="true" outlineLevel="0" collapsed="false">
      <c r="Q15" s="16"/>
      <c r="R15" s="16"/>
    </row>
    <row r="16" s="14" customFormat="true" ht="17.25" hidden="false" customHeight="true" outlineLevel="0" collapsed="false">
      <c r="D16" s="29" t="s">
        <v>416</v>
      </c>
    </row>
    <row r="17" s="14" customFormat="true" ht="17.25" hidden="false" customHeight="true" outlineLevel="0" collapsed="false">
      <c r="D17" s="32" t="s">
        <v>77</v>
      </c>
      <c r="E17" s="33"/>
      <c r="F17" s="33"/>
      <c r="G17" s="33"/>
      <c r="H17" s="32" t="s">
        <v>78</v>
      </c>
      <c r="I17" s="32" t="s">
        <v>79</v>
      </c>
      <c r="J17" s="34" t="s">
        <v>80</v>
      </c>
    </row>
    <row r="18" s="14" customFormat="true" ht="17.25" hidden="false" customHeight="true" outlineLevel="0" collapsed="false">
      <c r="D18" s="33"/>
      <c r="E18" s="33" t="s">
        <v>417</v>
      </c>
      <c r="F18" s="33"/>
      <c r="G18" s="36"/>
      <c r="H18" s="202" t="s">
        <v>418</v>
      </c>
      <c r="I18" s="37" t="s">
        <v>102</v>
      </c>
      <c r="J18" s="203" t="n">
        <f aca="false">'SVC-1 Model'!$D$25/1000000</f>
        <v>156.0245364</v>
      </c>
      <c r="P18" s="16"/>
      <c r="Q18" s="35"/>
      <c r="R18" s="16"/>
    </row>
    <row r="19" s="14" customFormat="true" ht="17.25" hidden="false" customHeight="true" outlineLevel="0" collapsed="false">
      <c r="D19" s="33"/>
      <c r="E19" s="33" t="s">
        <v>419</v>
      </c>
      <c r="F19" s="33"/>
      <c r="G19" s="36"/>
      <c r="H19" s="202" t="s">
        <v>420</v>
      </c>
      <c r="I19" s="37" t="s">
        <v>102</v>
      </c>
      <c r="J19" s="203" t="n">
        <f aca="false">('SVC-1 Model'!$D$25-'SVC-1 Model'!$D$39)/1000000</f>
        <v>124.62876502</v>
      </c>
      <c r="P19" s="16"/>
      <c r="Q19" s="35"/>
      <c r="R19" s="16"/>
    </row>
    <row r="20" s="14" customFormat="true" ht="17.25" hidden="false" customHeight="true" outlineLevel="0" collapsed="false">
      <c r="D20" s="33"/>
      <c r="E20" s="33" t="s">
        <v>421</v>
      </c>
      <c r="F20" s="33"/>
      <c r="G20" s="36"/>
      <c r="H20" s="202" t="s">
        <v>420</v>
      </c>
      <c r="I20" s="37" t="s">
        <v>287</v>
      </c>
      <c r="J20" s="204" t="n">
        <f aca="false">'SVC-1 Model'!$J$40</f>
        <v>5921.309</v>
      </c>
      <c r="L20" s="205"/>
      <c r="P20" s="16"/>
      <c r="Q20" s="35"/>
      <c r="R20" s="16"/>
    </row>
    <row r="21" s="14" customFormat="true" ht="17.25" hidden="false" customHeight="true" outlineLevel="0" collapsed="false">
      <c r="D21" s="33"/>
      <c r="E21" s="40"/>
      <c r="F21" s="40"/>
      <c r="G21" s="41"/>
      <c r="H21" s="206"/>
      <c r="I21" s="42"/>
      <c r="J21" s="55"/>
      <c r="P21" s="16"/>
      <c r="Q21" s="35"/>
      <c r="R21" s="16"/>
    </row>
    <row r="22" s="14" customFormat="true" ht="17.25" hidden="false" customHeight="true" outlineLevel="0" collapsed="false">
      <c r="D22" s="33"/>
      <c r="E22" s="33"/>
      <c r="F22" s="33"/>
      <c r="G22" s="36"/>
      <c r="H22" s="33"/>
      <c r="I22" s="37"/>
      <c r="J22" s="33"/>
      <c r="Q22" s="16"/>
      <c r="R22" s="16"/>
    </row>
    <row r="23" s="14" customFormat="true" ht="17.25" hidden="false" customHeight="true" outlineLevel="0" collapsed="false">
      <c r="D23" s="32" t="s">
        <v>104</v>
      </c>
      <c r="E23" s="33"/>
      <c r="F23" s="33"/>
      <c r="G23" s="36"/>
      <c r="H23" s="32"/>
      <c r="I23" s="32"/>
      <c r="J23" s="34"/>
      <c r="Q23" s="16"/>
      <c r="R23" s="16"/>
    </row>
    <row r="24" s="14" customFormat="true" ht="17.25" hidden="false" customHeight="true" outlineLevel="0" collapsed="false">
      <c r="D24" s="33"/>
      <c r="E24" s="33" t="s">
        <v>422</v>
      </c>
      <c r="F24" s="33"/>
      <c r="G24" s="36"/>
      <c r="H24" s="33" t="s">
        <v>423</v>
      </c>
      <c r="I24" s="37" t="s">
        <v>282</v>
      </c>
      <c r="J24" s="207" t="n">
        <f aca="false">'SVC-1 Model'!$D$44/'SVC-1 Model'!$D$25</f>
        <v>0.0822858793894163</v>
      </c>
      <c r="Q24" s="16"/>
      <c r="R24" s="16"/>
    </row>
    <row r="25" s="14" customFormat="true" ht="17.25" hidden="false" customHeight="true" outlineLevel="0" collapsed="false">
      <c r="D25" s="33"/>
      <c r="E25" s="33" t="s">
        <v>424</v>
      </c>
      <c r="F25" s="33"/>
      <c r="G25" s="36"/>
      <c r="H25" s="33" t="s">
        <v>423</v>
      </c>
      <c r="I25" s="37" t="s">
        <v>287</v>
      </c>
      <c r="J25" s="208" t="n">
        <f aca="false">'SVC-1 Model'!$D$45</f>
        <v>540.89235</v>
      </c>
      <c r="Q25" s="16"/>
      <c r="R25" s="16"/>
    </row>
    <row r="26" s="14" customFormat="true" ht="17.25" hidden="false" customHeight="true" outlineLevel="0" collapsed="false">
      <c r="D26" s="33"/>
      <c r="E26" s="40"/>
      <c r="F26" s="40"/>
      <c r="G26" s="41"/>
      <c r="H26" s="40"/>
      <c r="I26" s="42"/>
      <c r="J26" s="55"/>
      <c r="K26" s="45"/>
      <c r="Q26" s="16"/>
      <c r="R26" s="16"/>
    </row>
    <row r="27" s="14" customFormat="true" ht="17.25" hidden="false" customHeight="true" outlineLevel="0" collapsed="false">
      <c r="D27" s="33"/>
      <c r="E27" s="46"/>
      <c r="F27" s="46"/>
      <c r="G27" s="47"/>
      <c r="H27" s="46"/>
      <c r="I27" s="48"/>
      <c r="J27" s="49"/>
      <c r="K27" s="50"/>
      <c r="Q27" s="16"/>
      <c r="R27" s="16"/>
    </row>
    <row r="28" s="14" customFormat="true" ht="17.25" hidden="false" customHeight="true" outlineLevel="0" collapsed="false">
      <c r="D28" s="32" t="s">
        <v>111</v>
      </c>
      <c r="E28" s="46"/>
      <c r="F28" s="46"/>
      <c r="G28" s="47"/>
      <c r="H28" s="46"/>
      <c r="I28" s="48"/>
      <c r="J28" s="49"/>
      <c r="K28" s="50"/>
      <c r="L28" s="51"/>
      <c r="Q28" s="16"/>
      <c r="R28" s="16"/>
    </row>
    <row r="29" s="14" customFormat="true" ht="17.25" hidden="false" customHeight="true" outlineLevel="0" collapsed="false">
      <c r="D29" s="32"/>
      <c r="E29" s="209" t="s">
        <v>425</v>
      </c>
      <c r="F29" s="40"/>
      <c r="G29" s="41"/>
      <c r="H29" s="40"/>
      <c r="I29" s="42" t="s">
        <v>102</v>
      </c>
      <c r="J29" s="210" t="n">
        <f aca="false">'SVC-1 Model'!$D$44/1000000</f>
        <v>12.838616184</v>
      </c>
      <c r="Q29" s="16"/>
      <c r="R29" s="16"/>
    </row>
    <row r="30" s="14" customFormat="true" ht="17.25" hidden="false" customHeight="true" outlineLevel="0" collapsed="false">
      <c r="D30" s="16"/>
      <c r="E30" s="16"/>
      <c r="F30" s="16"/>
      <c r="G30" s="16"/>
      <c r="H30" s="16"/>
      <c r="I30" s="16"/>
      <c r="J30" s="16"/>
      <c r="Q30" s="16"/>
      <c r="R30" s="16"/>
    </row>
    <row r="31" s="14" customFormat="true" ht="17.25" hidden="true" customHeight="true" outlineLevel="1" collapsed="false">
      <c r="D31" s="32"/>
      <c r="E31" s="33"/>
      <c r="F31" s="33"/>
      <c r="G31" s="33"/>
      <c r="H31" s="32"/>
      <c r="I31" s="42"/>
      <c r="J31" s="34"/>
      <c r="Q31" s="16"/>
      <c r="R31" s="16"/>
    </row>
    <row r="32" s="14" customFormat="true" ht="17.25" hidden="true" customHeight="true" outlineLevel="1" collapsed="false">
      <c r="D32" s="33"/>
      <c r="E32" s="33"/>
      <c r="F32" s="33"/>
      <c r="G32" s="36"/>
      <c r="H32" s="202"/>
      <c r="I32" s="37"/>
      <c r="J32" s="38"/>
      <c r="Q32" s="16"/>
      <c r="R32" s="16"/>
    </row>
    <row r="33" s="14" customFormat="true" ht="17.25" hidden="true" customHeight="true" outlineLevel="1" collapsed="false">
      <c r="D33" s="33"/>
      <c r="E33" s="33"/>
      <c r="F33" s="33"/>
      <c r="G33" s="36"/>
      <c r="H33" s="33"/>
      <c r="I33" s="37"/>
      <c r="J33" s="39"/>
      <c r="Q33" s="16"/>
      <c r="R33" s="16"/>
    </row>
    <row r="34" s="14" customFormat="true" ht="17.25" hidden="true" customHeight="true" outlineLevel="1" collapsed="false">
      <c r="D34" s="33"/>
      <c r="E34" s="40"/>
      <c r="F34" s="40"/>
      <c r="G34" s="41"/>
      <c r="H34" s="40"/>
      <c r="I34" s="42"/>
      <c r="J34" s="53"/>
      <c r="Q34" s="16"/>
      <c r="R34" s="16"/>
    </row>
    <row r="35" s="14" customFormat="true" ht="17.25" hidden="true" customHeight="true" outlineLevel="1" collapsed="false">
      <c r="D35" s="33"/>
      <c r="E35" s="33"/>
      <c r="F35" s="33"/>
      <c r="G35" s="36"/>
      <c r="H35" s="33"/>
      <c r="I35" s="37"/>
      <c r="J35" s="33"/>
      <c r="Q35" s="16"/>
      <c r="R35" s="16"/>
    </row>
    <row r="36" s="14" customFormat="true" ht="17.25" hidden="true" customHeight="true" outlineLevel="1" collapsed="false">
      <c r="D36" s="32"/>
      <c r="E36" s="33"/>
      <c r="F36" s="33"/>
      <c r="G36" s="36"/>
      <c r="H36" s="32"/>
      <c r="I36" s="32"/>
      <c r="J36" s="34"/>
      <c r="Q36" s="16"/>
      <c r="R36" s="16"/>
    </row>
    <row r="37" s="14" customFormat="true" ht="17.25" hidden="true" customHeight="true" outlineLevel="1" collapsed="false">
      <c r="D37" s="33"/>
      <c r="E37" s="33"/>
      <c r="F37" s="33"/>
      <c r="G37" s="36"/>
      <c r="H37" s="33"/>
      <c r="I37" s="37"/>
      <c r="J37" s="54"/>
      <c r="Q37" s="16"/>
      <c r="R37" s="16"/>
    </row>
    <row r="38" s="14" customFormat="true" ht="17.25" hidden="true" customHeight="true" outlineLevel="1" collapsed="false">
      <c r="D38" s="33"/>
      <c r="E38" s="33"/>
      <c r="F38" s="33"/>
      <c r="G38" s="36"/>
      <c r="H38" s="33"/>
      <c r="I38" s="37"/>
      <c r="J38" s="44"/>
      <c r="Q38" s="16"/>
      <c r="R38" s="16"/>
    </row>
    <row r="39" s="14" customFormat="true" ht="17.25" hidden="true" customHeight="true" outlineLevel="1" collapsed="false">
      <c r="D39" s="33"/>
      <c r="E39" s="40"/>
      <c r="F39" s="40"/>
      <c r="G39" s="41"/>
      <c r="H39" s="40"/>
      <c r="I39" s="42"/>
      <c r="J39" s="53"/>
      <c r="Q39" s="16"/>
      <c r="R39" s="16"/>
    </row>
    <row r="40" s="14" customFormat="true" ht="17.25" hidden="true" customHeight="true" outlineLevel="1" collapsed="false">
      <c r="D40" s="33"/>
      <c r="E40" s="46"/>
      <c r="F40" s="46"/>
      <c r="G40" s="47"/>
      <c r="H40" s="46"/>
      <c r="I40" s="48"/>
      <c r="J40" s="49"/>
      <c r="Q40" s="16"/>
      <c r="R40" s="16"/>
    </row>
    <row r="41" s="14" customFormat="true" ht="17.25" hidden="true" customHeight="true" outlineLevel="1" collapsed="false">
      <c r="D41" s="32"/>
      <c r="E41" s="46"/>
      <c r="F41" s="46"/>
      <c r="G41" s="47"/>
      <c r="H41" s="46"/>
      <c r="I41" s="48"/>
      <c r="J41" s="49"/>
      <c r="Q41" s="16"/>
      <c r="R41" s="16"/>
    </row>
    <row r="42" s="14" customFormat="true" ht="17.25" hidden="true" customHeight="true" outlineLevel="1" collapsed="false">
      <c r="D42" s="32"/>
      <c r="E42" s="33"/>
      <c r="F42" s="46"/>
      <c r="G42" s="36"/>
      <c r="H42" s="46"/>
      <c r="I42" s="37"/>
      <c r="J42" s="52"/>
      <c r="Q42" s="16"/>
      <c r="R42" s="16"/>
    </row>
    <row r="43" s="14" customFormat="true" ht="17.25" hidden="true" customHeight="true" outlineLevel="1" collapsed="false">
      <c r="D43" s="32"/>
      <c r="E43" s="33"/>
      <c r="F43" s="46"/>
      <c r="G43" s="36"/>
      <c r="H43" s="46"/>
      <c r="I43" s="37"/>
      <c r="J43" s="55"/>
      <c r="Q43" s="16"/>
      <c r="R43" s="16"/>
    </row>
    <row r="44" s="14" customFormat="true" ht="17.25" hidden="false" customHeight="true" outlineLevel="0" collapsed="false">
      <c r="E44" s="21"/>
      <c r="F44" s="21"/>
      <c r="G44" s="21"/>
      <c r="H44" s="21"/>
      <c r="I44" s="56"/>
      <c r="J44" s="57"/>
      <c r="Q44" s="16"/>
      <c r="R44" s="16"/>
    </row>
    <row r="45" s="14" customFormat="true" ht="17.25" hidden="true" customHeight="true" outlineLevel="1" collapsed="false">
      <c r="D45" s="32"/>
      <c r="E45" s="33"/>
      <c r="F45" s="33"/>
      <c r="G45" s="33"/>
      <c r="H45" s="32"/>
      <c r="I45" s="32"/>
      <c r="J45" s="34"/>
      <c r="Q45" s="16"/>
      <c r="R45" s="16"/>
    </row>
    <row r="46" s="14" customFormat="true" ht="17.25" hidden="true" customHeight="true" outlineLevel="1" collapsed="false">
      <c r="D46" s="33"/>
      <c r="E46" s="33"/>
      <c r="F46" s="33"/>
      <c r="G46" s="36"/>
      <c r="H46" s="33"/>
      <c r="I46" s="37"/>
      <c r="J46" s="38"/>
      <c r="Q46" s="16"/>
      <c r="R46" s="16"/>
    </row>
    <row r="47" s="14" customFormat="true" ht="17.25" hidden="true" customHeight="true" outlineLevel="1" collapsed="false">
      <c r="D47" s="33"/>
      <c r="E47" s="33"/>
      <c r="F47" s="33"/>
      <c r="G47" s="36"/>
      <c r="H47" s="33"/>
      <c r="I47" s="37"/>
      <c r="J47" s="39"/>
      <c r="Q47" s="16"/>
      <c r="R47" s="16"/>
    </row>
    <row r="48" s="14" customFormat="true" ht="17.25" hidden="true" customHeight="true" outlineLevel="1" collapsed="false">
      <c r="D48" s="33"/>
      <c r="E48" s="40"/>
      <c r="F48" s="40"/>
      <c r="G48" s="41"/>
      <c r="H48" s="40"/>
      <c r="I48" s="42"/>
      <c r="J48" s="53"/>
      <c r="Q48" s="16"/>
      <c r="R48" s="16"/>
    </row>
    <row r="49" s="14" customFormat="true" ht="17.25" hidden="true" customHeight="true" outlineLevel="1" collapsed="false">
      <c r="D49" s="33"/>
      <c r="E49" s="33"/>
      <c r="F49" s="33"/>
      <c r="G49" s="36"/>
      <c r="H49" s="33"/>
      <c r="I49" s="37"/>
      <c r="J49" s="33"/>
      <c r="Q49" s="16"/>
      <c r="R49" s="16"/>
    </row>
    <row r="50" s="14" customFormat="true" ht="17.25" hidden="true" customHeight="true" outlineLevel="1" collapsed="false">
      <c r="D50" s="32"/>
      <c r="E50" s="33"/>
      <c r="F50" s="33"/>
      <c r="G50" s="36"/>
      <c r="H50" s="32"/>
      <c r="I50" s="32"/>
      <c r="J50" s="34"/>
      <c r="Q50" s="16"/>
      <c r="R50" s="16"/>
    </row>
    <row r="51" s="14" customFormat="true" ht="17.25" hidden="true" customHeight="true" outlineLevel="1" collapsed="false">
      <c r="D51" s="33"/>
      <c r="E51" s="33"/>
      <c r="F51" s="33"/>
      <c r="G51" s="36"/>
      <c r="H51" s="33"/>
      <c r="I51" s="37"/>
      <c r="J51" s="54"/>
      <c r="Q51" s="16"/>
      <c r="R51" s="16"/>
    </row>
    <row r="52" s="14" customFormat="true" ht="17.25" hidden="true" customHeight="true" outlineLevel="1" collapsed="false">
      <c r="D52" s="33"/>
      <c r="E52" s="33"/>
      <c r="F52" s="33"/>
      <c r="G52" s="36"/>
      <c r="H52" s="33"/>
      <c r="I52" s="37"/>
      <c r="J52" s="44"/>
      <c r="Q52" s="16"/>
      <c r="R52" s="16"/>
    </row>
    <row r="53" s="14" customFormat="true" ht="17.25" hidden="true" customHeight="true" outlineLevel="1" collapsed="false">
      <c r="D53" s="33"/>
      <c r="E53" s="40"/>
      <c r="F53" s="40"/>
      <c r="G53" s="41"/>
      <c r="H53" s="40"/>
      <c r="I53" s="42"/>
      <c r="J53" s="53"/>
      <c r="Q53" s="16"/>
      <c r="R53" s="16"/>
    </row>
    <row r="54" s="14" customFormat="true" ht="17.25" hidden="true" customHeight="true" outlineLevel="1" collapsed="false">
      <c r="D54" s="33"/>
      <c r="E54" s="46"/>
      <c r="F54" s="46"/>
      <c r="G54" s="47"/>
      <c r="H54" s="46"/>
      <c r="I54" s="48"/>
      <c r="J54" s="49"/>
      <c r="Q54" s="16"/>
      <c r="R54" s="16"/>
    </row>
    <row r="55" s="14" customFormat="true" ht="17.25" hidden="true" customHeight="true" outlineLevel="1" collapsed="false">
      <c r="D55" s="32"/>
      <c r="E55" s="46"/>
      <c r="F55" s="46"/>
      <c r="G55" s="47"/>
      <c r="H55" s="46"/>
      <c r="I55" s="48"/>
      <c r="J55" s="49"/>
      <c r="Q55" s="16"/>
      <c r="R55" s="16"/>
    </row>
    <row r="56" s="14" customFormat="true" ht="17.25" hidden="true" customHeight="true" outlineLevel="1" collapsed="false">
      <c r="D56" s="32"/>
      <c r="E56" s="33"/>
      <c r="F56" s="46"/>
      <c r="G56" s="36"/>
      <c r="H56" s="46"/>
      <c r="I56" s="37"/>
      <c r="J56" s="52"/>
      <c r="Q56" s="16"/>
      <c r="R56" s="16"/>
    </row>
    <row r="57" s="14" customFormat="true" ht="17.25" hidden="true" customHeight="true" outlineLevel="1" collapsed="false">
      <c r="D57" s="32"/>
      <c r="E57" s="33"/>
      <c r="F57" s="46"/>
      <c r="G57" s="36"/>
      <c r="H57" s="46"/>
      <c r="I57" s="37"/>
      <c r="J57" s="55"/>
      <c r="Q57" s="16"/>
      <c r="R57" s="16"/>
    </row>
    <row r="58" s="14" customFormat="true" ht="17.25" hidden="true" customHeight="true" outlineLevel="1" collapsed="false">
      <c r="E58" s="21"/>
      <c r="F58" s="21"/>
      <c r="G58" s="21"/>
      <c r="H58" s="21"/>
      <c r="I58" s="56"/>
      <c r="J58" s="57"/>
      <c r="Q58" s="16"/>
      <c r="R58" s="16"/>
    </row>
    <row r="59" s="14" customFormat="true" ht="16.5" hidden="true" customHeight="true" outlineLevel="1" collapsed="false">
      <c r="H59" s="58"/>
      <c r="Q59" s="16"/>
      <c r="R59" s="16"/>
    </row>
    <row r="60" s="14" customFormat="true" ht="16.5" hidden="false" customHeight="true" outlineLevel="0" collapsed="false">
      <c r="C60" s="19" t="s">
        <v>126</v>
      </c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20"/>
      <c r="R60" s="20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C60" s="19" t="s">
        <v>127</v>
      </c>
      <c r="CD60" s="19"/>
      <c r="CE60" s="19"/>
      <c r="CF60" s="19"/>
      <c r="CG60" s="19"/>
      <c r="CI60" s="19" t="s">
        <v>128</v>
      </c>
      <c r="CJ60" s="19"/>
      <c r="CK60" s="19"/>
      <c r="CL60" s="19"/>
      <c r="CM60" s="19"/>
    </row>
    <row r="61" s="14" customFormat="true" ht="16.5" hidden="false" customHeight="true" outlineLevel="0" collapsed="false">
      <c r="Q61" s="16"/>
    </row>
    <row r="62" s="14" customFormat="true" ht="16.5" hidden="false" customHeight="true" outlineLevel="0" collapsed="false">
      <c r="Q62" s="16"/>
      <c r="R62" s="16"/>
      <c r="T62" s="62" t="n">
        <v>2026</v>
      </c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62" t="n">
        <v>2027</v>
      </c>
      <c r="AG62" s="129"/>
      <c r="AH62" s="129"/>
      <c r="AI62" s="129"/>
      <c r="AJ62" s="129"/>
      <c r="AK62" s="129"/>
      <c r="AL62" s="129"/>
      <c r="AM62" s="129"/>
      <c r="AN62" s="129"/>
      <c r="AO62" s="129"/>
      <c r="AP62" s="129"/>
      <c r="AQ62" s="129"/>
      <c r="AR62" s="62" t="n">
        <v>2028</v>
      </c>
      <c r="AS62" s="129"/>
      <c r="AT62" s="129"/>
      <c r="AU62" s="129"/>
      <c r="AV62" s="129"/>
      <c r="AW62" s="129"/>
      <c r="AX62" s="129"/>
      <c r="AY62" s="129"/>
      <c r="AZ62" s="129"/>
      <c r="BA62" s="129"/>
      <c r="BB62" s="129"/>
      <c r="BC62" s="129"/>
      <c r="BD62" s="62" t="n">
        <v>2029</v>
      </c>
      <c r="BE62" s="129"/>
      <c r="BF62" s="129"/>
      <c r="BG62" s="129"/>
      <c r="BH62" s="129"/>
      <c r="BI62" s="129"/>
      <c r="BJ62" s="129"/>
      <c r="BK62" s="129"/>
      <c r="BL62" s="129"/>
      <c r="BM62" s="129"/>
      <c r="BN62" s="129"/>
      <c r="BO62" s="129"/>
      <c r="BP62" s="62" t="n">
        <v>2030</v>
      </c>
      <c r="BQ62" s="130"/>
      <c r="BR62" s="130"/>
      <c r="BS62" s="130"/>
      <c r="BT62" s="130"/>
      <c r="BU62" s="130"/>
      <c r="BV62" s="130"/>
      <c r="BW62" s="130"/>
      <c r="BX62" s="130"/>
      <c r="BY62" s="130"/>
      <c r="BZ62" s="130"/>
      <c r="CA62" s="130"/>
      <c r="CC62" s="211"/>
      <c r="CD62" s="130"/>
      <c r="CE62" s="130"/>
      <c r="CF62" s="130"/>
      <c r="CG62" s="130"/>
      <c r="CI62" s="211" t="s">
        <v>426</v>
      </c>
      <c r="CJ62" s="211"/>
      <c r="CK62" s="211"/>
      <c r="CL62" s="211"/>
      <c r="CM62" s="211"/>
    </row>
    <row r="63" s="14" customFormat="true" ht="16.5" hidden="false" customHeight="true" outlineLevel="0" collapsed="false">
      <c r="D63" s="30" t="s">
        <v>129</v>
      </c>
      <c r="E63" s="31"/>
      <c r="F63" s="31"/>
      <c r="G63" s="31"/>
      <c r="H63" s="30" t="s">
        <v>130</v>
      </c>
      <c r="I63" s="31" t="s">
        <v>77</v>
      </c>
      <c r="J63" s="31" t="s">
        <v>104</v>
      </c>
      <c r="K63" s="31" t="s">
        <v>131</v>
      </c>
      <c r="L63" s="31" t="n">
        <v>2026</v>
      </c>
      <c r="M63" s="31" t="n">
        <f aca="false">L63+1</f>
        <v>2027</v>
      </c>
      <c r="N63" s="31" t="n">
        <f aca="false">M63+1</f>
        <v>2028</v>
      </c>
      <c r="O63" s="31" t="n">
        <f aca="false">N63+1</f>
        <v>2029</v>
      </c>
      <c r="P63" s="31" t="n">
        <f aca="false">O63+1</f>
        <v>2030</v>
      </c>
      <c r="Q63" s="31" t="s">
        <v>132</v>
      </c>
      <c r="R63" s="31" t="s">
        <v>75</v>
      </c>
      <c r="T63" s="59" t="n">
        <v>46023</v>
      </c>
      <c r="U63" s="60" t="n">
        <f aca="false">EOMONTH(T63, 1)</f>
        <v>46081</v>
      </c>
      <c r="V63" s="60" t="n">
        <f aca="false">EOMONTH(U63, 1)</f>
        <v>46112</v>
      </c>
      <c r="W63" s="60" t="n">
        <f aca="false">EOMONTH(V63, 1)</f>
        <v>46142</v>
      </c>
      <c r="X63" s="60" t="n">
        <f aca="false">EOMONTH(W63, 1)</f>
        <v>46173</v>
      </c>
      <c r="Y63" s="60" t="n">
        <f aca="false">EOMONTH(X63, 1)</f>
        <v>46203</v>
      </c>
      <c r="Z63" s="60" t="n">
        <f aca="false">EOMONTH(Y63, 1)</f>
        <v>46234</v>
      </c>
      <c r="AA63" s="60" t="n">
        <f aca="false">EOMONTH(Z63, 1)</f>
        <v>46265</v>
      </c>
      <c r="AB63" s="60" t="n">
        <f aca="false">EOMONTH(AA63, 1)</f>
        <v>46295</v>
      </c>
      <c r="AC63" s="60" t="n">
        <f aca="false">EOMONTH(AB63, 1)</f>
        <v>46326</v>
      </c>
      <c r="AD63" s="60" t="n">
        <f aca="false">EOMONTH(AC63, 1)</f>
        <v>46356</v>
      </c>
      <c r="AE63" s="61" t="n">
        <f aca="false">EOMONTH(AD63, 1)</f>
        <v>46387</v>
      </c>
      <c r="AF63" s="59" t="n">
        <f aca="false">EOMONTH(AE63, 1)</f>
        <v>46418</v>
      </c>
      <c r="AG63" s="60" t="n">
        <f aca="false">EOMONTH(AF63, 1)</f>
        <v>46446</v>
      </c>
      <c r="AH63" s="60" t="n">
        <f aca="false">EOMONTH(AG63, 1)</f>
        <v>46477</v>
      </c>
      <c r="AI63" s="60" t="n">
        <f aca="false">EOMONTH(AH63, 1)</f>
        <v>46507</v>
      </c>
      <c r="AJ63" s="60" t="n">
        <f aca="false">EOMONTH(AI63, 1)</f>
        <v>46538</v>
      </c>
      <c r="AK63" s="60" t="n">
        <f aca="false">EOMONTH(AJ63, 1)</f>
        <v>46568</v>
      </c>
      <c r="AL63" s="60" t="n">
        <f aca="false">EOMONTH(AK63, 1)</f>
        <v>46599</v>
      </c>
      <c r="AM63" s="60" t="n">
        <f aca="false">EOMONTH(AL63, 1)</f>
        <v>46630</v>
      </c>
      <c r="AN63" s="60" t="n">
        <f aca="false">EOMONTH(AM63, 1)</f>
        <v>46660</v>
      </c>
      <c r="AO63" s="60" t="n">
        <f aca="false">EOMONTH(AN63, 1)</f>
        <v>46691</v>
      </c>
      <c r="AP63" s="60" t="n">
        <f aca="false">EOMONTH(AO63, 1)</f>
        <v>46721</v>
      </c>
      <c r="AQ63" s="61" t="n">
        <f aca="false">EOMONTH(AP63, 1)</f>
        <v>46752</v>
      </c>
      <c r="AR63" s="59" t="n">
        <f aca="false">EOMONTH(AQ63, 1)</f>
        <v>46783</v>
      </c>
      <c r="AS63" s="60" t="n">
        <f aca="false">EOMONTH(AR63, 1)</f>
        <v>46812</v>
      </c>
      <c r="AT63" s="60" t="n">
        <f aca="false">EOMONTH(AS63, 1)</f>
        <v>46843</v>
      </c>
      <c r="AU63" s="60" t="n">
        <f aca="false">EOMONTH(AT63, 1)</f>
        <v>46873</v>
      </c>
      <c r="AV63" s="60" t="n">
        <f aca="false">EOMONTH(AU63, 1)</f>
        <v>46904</v>
      </c>
      <c r="AW63" s="60" t="n">
        <f aca="false">EOMONTH(AV63, 1)</f>
        <v>46934</v>
      </c>
      <c r="AX63" s="60" t="n">
        <f aca="false">EOMONTH(AW63, 1)</f>
        <v>46965</v>
      </c>
      <c r="AY63" s="60" t="n">
        <f aca="false">EOMONTH(AX63, 1)</f>
        <v>46996</v>
      </c>
      <c r="AZ63" s="60" t="n">
        <f aca="false">EOMONTH(AY63, 1)</f>
        <v>47026</v>
      </c>
      <c r="BA63" s="60" t="n">
        <f aca="false">EOMONTH(AZ63, 1)</f>
        <v>47057</v>
      </c>
      <c r="BB63" s="60" t="n">
        <f aca="false">EOMONTH(BA63, 1)</f>
        <v>47087</v>
      </c>
      <c r="BC63" s="61" t="n">
        <f aca="false">EOMONTH(BB63, 1)</f>
        <v>47118</v>
      </c>
      <c r="BD63" s="59" t="n">
        <f aca="false">EOMONTH(BC63, 1)</f>
        <v>47149</v>
      </c>
      <c r="BE63" s="60" t="n">
        <f aca="false">EOMONTH(BD63, 1)</f>
        <v>47177</v>
      </c>
      <c r="BF63" s="60" t="n">
        <f aca="false">EOMONTH(BE63, 1)</f>
        <v>47208</v>
      </c>
      <c r="BG63" s="60" t="n">
        <f aca="false">EOMONTH(BF63, 1)</f>
        <v>47238</v>
      </c>
      <c r="BH63" s="60" t="n">
        <f aca="false">EOMONTH(BG63, 1)</f>
        <v>47269</v>
      </c>
      <c r="BI63" s="60" t="n">
        <f aca="false">EOMONTH(BH63, 1)</f>
        <v>47299</v>
      </c>
      <c r="BJ63" s="60" t="n">
        <f aca="false">EOMONTH(BI63, 1)</f>
        <v>47330</v>
      </c>
      <c r="BK63" s="60" t="n">
        <f aca="false">EOMONTH(BJ63, 1)</f>
        <v>47361</v>
      </c>
      <c r="BL63" s="60" t="n">
        <f aca="false">EOMONTH(BK63, 1)</f>
        <v>47391</v>
      </c>
      <c r="BM63" s="60" t="n">
        <f aca="false">EOMONTH(BL63, 1)</f>
        <v>47422</v>
      </c>
      <c r="BN63" s="60" t="n">
        <f aca="false">EOMONTH(BM63, 1)</f>
        <v>47452</v>
      </c>
      <c r="BO63" s="61" t="n">
        <f aca="false">EOMONTH(BN63, 1)</f>
        <v>47483</v>
      </c>
      <c r="BP63" s="59" t="n">
        <f aca="false">EOMONTH(BO63, 1)</f>
        <v>47514</v>
      </c>
      <c r="BQ63" s="60" t="n">
        <f aca="false">EOMONTH(BP63, 1)</f>
        <v>47542</v>
      </c>
      <c r="BR63" s="60" t="n">
        <f aca="false">EOMONTH(BQ63, 1)</f>
        <v>47573</v>
      </c>
      <c r="BS63" s="60" t="n">
        <f aca="false">EOMONTH(BR63, 1)</f>
        <v>47603</v>
      </c>
      <c r="BT63" s="60" t="n">
        <f aca="false">EOMONTH(BS63, 1)</f>
        <v>47634</v>
      </c>
      <c r="BU63" s="60" t="n">
        <f aca="false">EOMONTH(BT63, 1)</f>
        <v>47664</v>
      </c>
      <c r="BV63" s="60" t="n">
        <f aca="false">EOMONTH(BU63, 1)</f>
        <v>47695</v>
      </c>
      <c r="BW63" s="60" t="n">
        <f aca="false">EOMONTH(BV63, 1)</f>
        <v>47726</v>
      </c>
      <c r="BX63" s="60" t="n">
        <f aca="false">EOMONTH(BW63, 1)</f>
        <v>47756</v>
      </c>
      <c r="BY63" s="60" t="n">
        <f aca="false">EOMONTH(BX63, 1)</f>
        <v>47787</v>
      </c>
      <c r="BZ63" s="60" t="n">
        <f aca="false">EOMONTH(BY63, 1)</f>
        <v>47817</v>
      </c>
      <c r="CA63" s="60" t="n">
        <f aca="false">EOMONTH(BZ63, 1)</f>
        <v>47848</v>
      </c>
      <c r="CC63" s="62" t="n">
        <v>2026</v>
      </c>
      <c r="CD63" s="62" t="n">
        <f aca="false">CC63+1</f>
        <v>2027</v>
      </c>
      <c r="CE63" s="62" t="n">
        <f aca="false">CD63+1</f>
        <v>2028</v>
      </c>
      <c r="CF63" s="62" t="n">
        <f aca="false">CE63+1</f>
        <v>2029</v>
      </c>
      <c r="CG63" s="62" t="n">
        <f aca="false">CF63+1</f>
        <v>2030</v>
      </c>
      <c r="CI63" s="62" t="n">
        <v>2026</v>
      </c>
      <c r="CJ63" s="62" t="n">
        <f aca="false">CI63+1</f>
        <v>2027</v>
      </c>
      <c r="CK63" s="62" t="n">
        <f aca="false">CJ63+1</f>
        <v>2028</v>
      </c>
      <c r="CL63" s="62" t="n">
        <f aca="false">CK63+1</f>
        <v>2029</v>
      </c>
      <c r="CM63" s="62" t="n">
        <f aca="false">CL63+1</f>
        <v>2030</v>
      </c>
    </row>
    <row r="64" s="14" customFormat="true" ht="16.5" hidden="false" customHeight="true" outlineLevel="0" collapsed="false">
      <c r="D64" s="63"/>
      <c r="E64" s="64" t="s">
        <v>102</v>
      </c>
      <c r="H64" s="16"/>
      <c r="I64" s="65" t="str">
        <f aca="false">$H$18</f>
        <v>Jan–Jul 2026 x 12/7</v>
      </c>
      <c r="J64" s="65" t="s">
        <v>134</v>
      </c>
      <c r="K64" s="65" t="s">
        <v>135</v>
      </c>
      <c r="L64" s="66"/>
      <c r="M64" s="66"/>
      <c r="N64" s="66"/>
      <c r="O64" s="66"/>
      <c r="P64" s="66"/>
      <c r="Q64" s="16"/>
      <c r="R64" s="1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7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7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7"/>
      <c r="BE64" s="66"/>
      <c r="BF64" s="66"/>
      <c r="BG64" s="66"/>
      <c r="BH64" s="66"/>
      <c r="BI64" s="66"/>
      <c r="BJ64" s="66"/>
      <c r="BK64" s="66"/>
      <c r="BL64" s="66"/>
      <c r="BM64" s="66"/>
      <c r="BN64" s="66"/>
      <c r="BO64" s="66"/>
      <c r="BP64" s="67"/>
      <c r="BQ64" s="66"/>
      <c r="BR64" s="66"/>
      <c r="BS64" s="66"/>
      <c r="BT64" s="66"/>
      <c r="BU64" s="66"/>
      <c r="BV64" s="66"/>
      <c r="BW64" s="66"/>
      <c r="BX64" s="66"/>
      <c r="BY64" s="66"/>
      <c r="BZ64" s="66"/>
      <c r="CA64" s="66"/>
    </row>
    <row r="65" s="14" customFormat="true" ht="16.5" hidden="false" customHeight="true" outlineLevel="0" collapsed="false">
      <c r="E65" s="68" t="s">
        <v>136</v>
      </c>
      <c r="F65" s="21"/>
      <c r="G65" s="21"/>
      <c r="H65" s="16"/>
      <c r="I65" s="65"/>
      <c r="J65" s="65"/>
      <c r="K65" s="65"/>
      <c r="Q65" s="16"/>
      <c r="R65" s="16"/>
      <c r="AF65" s="69"/>
      <c r="AR65" s="69"/>
      <c r="BD65" s="69"/>
      <c r="BP65" s="69"/>
    </row>
    <row r="66" s="14" customFormat="true" ht="16.5" hidden="false" customHeight="true" outlineLevel="0" collapsed="false">
      <c r="E66" s="70"/>
      <c r="H66" s="71"/>
      <c r="I66" s="76" t="n">
        <v>0</v>
      </c>
      <c r="J66" s="76" t="n">
        <v>0</v>
      </c>
      <c r="K66" s="212" t="n">
        <f aca="false">J66-I66</f>
        <v>0</v>
      </c>
      <c r="L66" s="76"/>
      <c r="M66" s="76"/>
      <c r="N66" s="76"/>
      <c r="O66" s="76"/>
      <c r="P66" s="77"/>
      <c r="Q66" s="75"/>
      <c r="R66" s="16" t="str">
        <f aca="false">IF(K66=P66, "", "Error")</f>
        <v/>
      </c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7"/>
      <c r="AF66" s="78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7"/>
      <c r="AR66" s="78"/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7"/>
      <c r="BD66" s="78"/>
      <c r="BE66" s="76"/>
      <c r="BF66" s="76"/>
      <c r="BG66" s="76"/>
      <c r="BH66" s="76"/>
      <c r="BI66" s="76"/>
      <c r="BJ66" s="76"/>
      <c r="BK66" s="76"/>
      <c r="BL66" s="76"/>
      <c r="BM66" s="76"/>
      <c r="BN66" s="76"/>
      <c r="BO66" s="77"/>
      <c r="BP66" s="78"/>
      <c r="BQ66" s="76"/>
      <c r="BR66" s="76"/>
      <c r="BS66" s="76"/>
      <c r="BT66" s="76"/>
      <c r="BU66" s="76"/>
      <c r="BV66" s="76"/>
      <c r="BW66" s="76"/>
      <c r="BX66" s="76"/>
      <c r="BY66" s="76"/>
      <c r="BZ66" s="76"/>
      <c r="CA66" s="76"/>
      <c r="CC66" s="79" t="n">
        <f aca="false">SUMIFS($T66:$CA66, $T$1:$CA$1, CC$63)</f>
        <v>0</v>
      </c>
      <c r="CD66" s="79" t="n">
        <f aca="false">SUMIFS($T66:$CA66, $T$1:$CA$1, CD$63)</f>
        <v>0</v>
      </c>
      <c r="CE66" s="79" t="n">
        <f aca="false">SUMIFS($T66:$CA66, $T$1:$CA$1, CE$63)</f>
        <v>0</v>
      </c>
      <c r="CF66" s="79" t="n">
        <f aca="false">SUMIFS($T66:$CA66, $T$1:$CA$1, CF$63)</f>
        <v>0</v>
      </c>
      <c r="CG66" s="79" t="n">
        <f aca="false">SUMIFS($T66:$CA66, $T$1:$CA$1, CG$63)</f>
        <v>0</v>
      </c>
      <c r="CI66" s="79" t="n">
        <f aca="false">CC66=L66</f>
        <v>1</v>
      </c>
      <c r="CJ66" s="79" t="n">
        <f aca="false">CD66=M66</f>
        <v>1</v>
      </c>
      <c r="CK66" s="79" t="n">
        <f aca="false">CE66=N66</f>
        <v>1</v>
      </c>
      <c r="CL66" s="79" t="n">
        <f aca="false">CF66=O66</f>
        <v>1</v>
      </c>
      <c r="CM66" s="79" t="n">
        <f aca="false">CG66=P66</f>
        <v>1</v>
      </c>
    </row>
    <row r="67" s="14" customFormat="true" ht="16.5" hidden="false" customHeight="true" outlineLevel="0" collapsed="false">
      <c r="E67" s="70"/>
      <c r="H67" s="71"/>
      <c r="I67" s="76" t="n">
        <v>0</v>
      </c>
      <c r="J67" s="76" t="n">
        <v>0</v>
      </c>
      <c r="K67" s="212" t="n">
        <f aca="false">J67-I67</f>
        <v>0</v>
      </c>
      <c r="L67" s="76"/>
      <c r="M67" s="76"/>
      <c r="N67" s="76"/>
      <c r="O67" s="76"/>
      <c r="P67" s="77"/>
      <c r="Q67" s="75"/>
      <c r="R67" s="16" t="str">
        <f aca="false">IF(K67=P67, "", "Error")</f>
        <v/>
      </c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7"/>
      <c r="AF67" s="78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7"/>
      <c r="AR67" s="78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7"/>
      <c r="BD67" s="78"/>
      <c r="BE67" s="76"/>
      <c r="BF67" s="76"/>
      <c r="BG67" s="76"/>
      <c r="BH67" s="76"/>
      <c r="BI67" s="76"/>
      <c r="BJ67" s="76"/>
      <c r="BK67" s="76"/>
      <c r="BL67" s="76"/>
      <c r="BM67" s="76"/>
      <c r="BN67" s="76"/>
      <c r="BO67" s="77"/>
      <c r="BP67" s="78"/>
      <c r="BQ67" s="76"/>
      <c r="BR67" s="76"/>
      <c r="BS67" s="76"/>
      <c r="BT67" s="76"/>
      <c r="BU67" s="76"/>
      <c r="BV67" s="76"/>
      <c r="BW67" s="76"/>
      <c r="BX67" s="76"/>
      <c r="BY67" s="76"/>
      <c r="BZ67" s="76"/>
      <c r="CA67" s="76"/>
      <c r="CC67" s="79" t="n">
        <f aca="false">SUMIFS($T67:$CA67, $T$1:$CA$1, CC$63)</f>
        <v>0</v>
      </c>
      <c r="CD67" s="79" t="n">
        <f aca="false">SUMIFS($T67:$CA67, $T$1:$CA$1, CD$63)</f>
        <v>0</v>
      </c>
      <c r="CE67" s="79" t="n">
        <f aca="false">SUMIFS($T67:$CA67, $T$1:$CA$1, CE$63)</f>
        <v>0</v>
      </c>
      <c r="CF67" s="79" t="n">
        <f aca="false">SUMIFS($T67:$CA67, $T$1:$CA$1, CF$63)</f>
        <v>0</v>
      </c>
      <c r="CG67" s="79" t="n">
        <f aca="false">SUMIFS($T67:$CA67, $T$1:$CA$1, CG$63)</f>
        <v>0</v>
      </c>
      <c r="CI67" s="79" t="n">
        <f aca="false">CC67=L67</f>
        <v>1</v>
      </c>
      <c r="CJ67" s="79" t="n">
        <f aca="false">CD67=M67</f>
        <v>1</v>
      </c>
      <c r="CK67" s="79" t="n">
        <f aca="false">CE67=N67</f>
        <v>1</v>
      </c>
      <c r="CL67" s="79" t="n">
        <f aca="false">CF67=O67</f>
        <v>1</v>
      </c>
      <c r="CM67" s="79" t="n">
        <f aca="false">CG67=P67</f>
        <v>1</v>
      </c>
    </row>
    <row r="68" s="14" customFormat="true" ht="16.5" hidden="false" customHeight="true" outlineLevel="0" collapsed="false">
      <c r="E68" s="80" t="s">
        <v>137</v>
      </c>
      <c r="H68" s="71"/>
      <c r="I68" s="82" t="n">
        <f aca="false">SUM(I66:I67)</f>
        <v>0</v>
      </c>
      <c r="J68" s="82" t="n">
        <f aca="false">SUM(J66:J67)</f>
        <v>0</v>
      </c>
      <c r="K68" s="82" t="n">
        <f aca="false">SUM(K66:K67)</f>
        <v>0</v>
      </c>
      <c r="L68" s="82" t="n">
        <f aca="false">SUM(L66:L67)</f>
        <v>0</v>
      </c>
      <c r="M68" s="82" t="n">
        <f aca="false">SUM(M66:M67)</f>
        <v>0</v>
      </c>
      <c r="N68" s="82" t="n">
        <f aca="false">SUM(N66:N67)</f>
        <v>0</v>
      </c>
      <c r="O68" s="82" t="n">
        <f aca="false">SUM(O66:O67)</f>
        <v>0</v>
      </c>
      <c r="P68" s="82" t="n">
        <f aca="false">SUM(P66:P67)</f>
        <v>0</v>
      </c>
      <c r="Q68" s="16"/>
      <c r="R68" s="16"/>
      <c r="T68" s="82" t="n">
        <f aca="false">SUM(T66:T67)</f>
        <v>0</v>
      </c>
      <c r="U68" s="82" t="n">
        <f aca="false">SUM(U66:U67)</f>
        <v>0</v>
      </c>
      <c r="V68" s="82" t="n">
        <f aca="false">SUM(V66:V67)</f>
        <v>0</v>
      </c>
      <c r="W68" s="82" t="n">
        <f aca="false">SUM(W66:W67)</f>
        <v>0</v>
      </c>
      <c r="X68" s="82" t="n">
        <f aca="false">SUM(X66:X67)</f>
        <v>0</v>
      </c>
      <c r="Y68" s="82" t="n">
        <f aca="false">SUM(Y66:Y67)</f>
        <v>0</v>
      </c>
      <c r="Z68" s="82" t="n">
        <f aca="false">SUM(Z66:Z67)</f>
        <v>0</v>
      </c>
      <c r="AA68" s="82" t="n">
        <f aca="false">SUM(AA66:AA67)</f>
        <v>0</v>
      </c>
      <c r="AB68" s="82" t="n">
        <f aca="false">SUM(AB66:AB67)</f>
        <v>0</v>
      </c>
      <c r="AC68" s="82" t="n">
        <f aca="false">SUM(AC66:AC67)</f>
        <v>0</v>
      </c>
      <c r="AD68" s="82" t="n">
        <f aca="false">SUM(AD66:AD67)</f>
        <v>0</v>
      </c>
      <c r="AE68" s="82" t="n">
        <f aca="false">SUM(AE66:AE67)</f>
        <v>0</v>
      </c>
      <c r="AF68" s="83" t="n">
        <f aca="false">SUM(AF66:AF67)</f>
        <v>0</v>
      </c>
      <c r="AG68" s="82" t="n">
        <f aca="false">SUM(AG66:AG67)</f>
        <v>0</v>
      </c>
      <c r="AH68" s="82" t="n">
        <f aca="false">SUM(AH66:AH67)</f>
        <v>0</v>
      </c>
      <c r="AI68" s="82" t="n">
        <f aca="false">SUM(AI66:AI67)</f>
        <v>0</v>
      </c>
      <c r="AJ68" s="82" t="n">
        <f aca="false">SUM(AJ66:AJ67)</f>
        <v>0</v>
      </c>
      <c r="AK68" s="82" t="n">
        <f aca="false">SUM(AK66:AK67)</f>
        <v>0</v>
      </c>
      <c r="AL68" s="82" t="n">
        <f aca="false">SUM(AL66:AL67)</f>
        <v>0</v>
      </c>
      <c r="AM68" s="82" t="n">
        <f aca="false">SUM(AM66:AM67)</f>
        <v>0</v>
      </c>
      <c r="AN68" s="82" t="n">
        <f aca="false">SUM(AN66:AN67)</f>
        <v>0</v>
      </c>
      <c r="AO68" s="82" t="n">
        <f aca="false">SUM(AO66:AO67)</f>
        <v>0</v>
      </c>
      <c r="AP68" s="82" t="n">
        <f aca="false">SUM(AP66:AP67)</f>
        <v>0</v>
      </c>
      <c r="AQ68" s="82" t="n">
        <f aca="false">SUM(AQ66:AQ67)</f>
        <v>0</v>
      </c>
      <c r="AR68" s="83" t="n">
        <f aca="false">SUM(AR66:AR67)</f>
        <v>0</v>
      </c>
      <c r="AS68" s="82" t="n">
        <f aca="false">SUM(AS66:AS67)</f>
        <v>0</v>
      </c>
      <c r="AT68" s="82" t="n">
        <f aca="false">SUM(AT66:AT67)</f>
        <v>0</v>
      </c>
      <c r="AU68" s="82" t="n">
        <f aca="false">SUM(AU66:AU67)</f>
        <v>0</v>
      </c>
      <c r="AV68" s="82" t="n">
        <f aca="false">SUM(AV66:AV67)</f>
        <v>0</v>
      </c>
      <c r="AW68" s="82" t="n">
        <f aca="false">SUM(AW66:AW67)</f>
        <v>0</v>
      </c>
      <c r="AX68" s="82" t="n">
        <f aca="false">SUM(AX66:AX67)</f>
        <v>0</v>
      </c>
      <c r="AY68" s="82" t="n">
        <f aca="false">SUM(AY66:AY67)</f>
        <v>0</v>
      </c>
      <c r="AZ68" s="82" t="n">
        <f aca="false">SUM(AZ66:AZ67)</f>
        <v>0</v>
      </c>
      <c r="BA68" s="82" t="n">
        <f aca="false">SUM(BA66:BA67)</f>
        <v>0</v>
      </c>
      <c r="BB68" s="82" t="n">
        <f aca="false">SUM(BB66:BB67)</f>
        <v>0</v>
      </c>
      <c r="BC68" s="82" t="n">
        <f aca="false">SUM(BC66:BC67)</f>
        <v>0</v>
      </c>
      <c r="BD68" s="83" t="n">
        <f aca="false">SUM(BD66:BD67)</f>
        <v>0</v>
      </c>
      <c r="BE68" s="82" t="n">
        <f aca="false">SUM(BE66:BE67)</f>
        <v>0</v>
      </c>
      <c r="BF68" s="82" t="n">
        <f aca="false">SUM(BF66:BF67)</f>
        <v>0</v>
      </c>
      <c r="BG68" s="82" t="n">
        <f aca="false">SUM(BG66:BG67)</f>
        <v>0</v>
      </c>
      <c r="BH68" s="82" t="n">
        <f aca="false">SUM(BH66:BH67)</f>
        <v>0</v>
      </c>
      <c r="BI68" s="82" t="n">
        <f aca="false">SUM(BI66:BI67)</f>
        <v>0</v>
      </c>
      <c r="BJ68" s="82" t="n">
        <f aca="false">SUM(BJ66:BJ67)</f>
        <v>0</v>
      </c>
      <c r="BK68" s="82" t="n">
        <f aca="false">SUM(BK66:BK67)</f>
        <v>0</v>
      </c>
      <c r="BL68" s="82" t="n">
        <f aca="false">SUM(BL66:BL67)</f>
        <v>0</v>
      </c>
      <c r="BM68" s="82" t="n">
        <f aca="false">SUM(BM66:BM67)</f>
        <v>0</v>
      </c>
      <c r="BN68" s="82" t="n">
        <f aca="false">SUM(BN66:BN67)</f>
        <v>0</v>
      </c>
      <c r="BO68" s="82" t="n">
        <f aca="false">SUM(BO66:BO67)</f>
        <v>0</v>
      </c>
      <c r="BP68" s="83" t="n">
        <f aca="false">SUM(BP66:BP67)</f>
        <v>0</v>
      </c>
      <c r="BQ68" s="82" t="n">
        <f aca="false">SUM(BQ66:BQ67)</f>
        <v>0</v>
      </c>
      <c r="BR68" s="82" t="n">
        <f aca="false">SUM(BR66:BR67)</f>
        <v>0</v>
      </c>
      <c r="BS68" s="82" t="n">
        <f aca="false">SUM(BS66:BS67)</f>
        <v>0</v>
      </c>
      <c r="BT68" s="82" t="n">
        <f aca="false">SUM(BT66:BT67)</f>
        <v>0</v>
      </c>
      <c r="BU68" s="82" t="n">
        <f aca="false">SUM(BU66:BU67)</f>
        <v>0</v>
      </c>
      <c r="BV68" s="82" t="n">
        <f aca="false">SUM(BV66:BV67)</f>
        <v>0</v>
      </c>
      <c r="BW68" s="82" t="n">
        <f aca="false">SUM(BW66:BW67)</f>
        <v>0</v>
      </c>
      <c r="BX68" s="82" t="n">
        <f aca="false">SUM(BX66:BX67)</f>
        <v>0</v>
      </c>
      <c r="BY68" s="82" t="n">
        <f aca="false">SUM(BY66:BY67)</f>
        <v>0</v>
      </c>
      <c r="BZ68" s="82" t="n">
        <f aca="false">SUM(BZ66:BZ67)</f>
        <v>0</v>
      </c>
      <c r="CA68" s="82" t="n">
        <f aca="false">SUM(CA66:CA67)</f>
        <v>0</v>
      </c>
      <c r="CC68" s="84" t="n">
        <f aca="false">SUM(CC66:CC67)</f>
        <v>0</v>
      </c>
      <c r="CD68" s="84" t="n">
        <f aca="false">SUM(CD66:CD67)</f>
        <v>0</v>
      </c>
      <c r="CE68" s="84" t="n">
        <f aca="false">SUM(CE66:CE67)</f>
        <v>0</v>
      </c>
      <c r="CF68" s="84" t="n">
        <f aca="false">SUM(CF66:CF67)</f>
        <v>0</v>
      </c>
      <c r="CG68" s="84" t="n">
        <f aca="false">SUM(CG66:CG67)</f>
        <v>0</v>
      </c>
      <c r="CI68" s="84" t="n">
        <f aca="false">CC68=L68</f>
        <v>1</v>
      </c>
      <c r="CJ68" s="84" t="n">
        <f aca="false">CD68=M68</f>
        <v>1</v>
      </c>
      <c r="CK68" s="84" t="n">
        <f aca="false">CE68=N68</f>
        <v>1</v>
      </c>
      <c r="CL68" s="84" t="n">
        <f aca="false">CF68=O68</f>
        <v>1</v>
      </c>
      <c r="CM68" s="84" t="n">
        <f aca="false">CG68=P68</f>
        <v>1</v>
      </c>
    </row>
    <row r="69" s="14" customFormat="true" ht="16.5" hidden="false" customHeight="true" outlineLevel="0" collapsed="false">
      <c r="E69" s="85"/>
      <c r="H69" s="86"/>
      <c r="I69" s="88"/>
      <c r="J69" s="88"/>
      <c r="K69" s="88"/>
      <c r="L69" s="88"/>
      <c r="M69" s="88"/>
      <c r="N69" s="88"/>
      <c r="O69" s="88"/>
      <c r="P69" s="88"/>
      <c r="Q69" s="16"/>
      <c r="R69" s="16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9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9"/>
      <c r="AS69" s="88"/>
      <c r="AT69" s="88"/>
      <c r="AU69" s="88"/>
      <c r="AV69" s="88"/>
      <c r="AW69" s="88"/>
      <c r="AX69" s="88"/>
      <c r="AY69" s="88"/>
      <c r="AZ69" s="88"/>
      <c r="BA69" s="88"/>
      <c r="BB69" s="88"/>
      <c r="BC69" s="88"/>
      <c r="BD69" s="89"/>
      <c r="BE69" s="88"/>
      <c r="BF69" s="88"/>
      <c r="BG69" s="88"/>
      <c r="BH69" s="88"/>
      <c r="BI69" s="88"/>
      <c r="BJ69" s="88"/>
      <c r="BK69" s="88"/>
      <c r="BL69" s="88"/>
      <c r="BM69" s="88"/>
      <c r="BN69" s="88"/>
      <c r="BO69" s="88"/>
      <c r="BP69" s="89"/>
      <c r="BQ69" s="88"/>
      <c r="BR69" s="88"/>
      <c r="BS69" s="88"/>
      <c r="BT69" s="88"/>
      <c r="BU69" s="88"/>
      <c r="BV69" s="88"/>
      <c r="BW69" s="88"/>
      <c r="BX69" s="88"/>
      <c r="BY69" s="88"/>
      <c r="BZ69" s="88"/>
      <c r="CA69" s="88"/>
      <c r="CC69" s="90"/>
      <c r="CD69" s="90"/>
      <c r="CE69" s="90"/>
      <c r="CF69" s="90"/>
      <c r="CG69" s="90"/>
      <c r="CI69" s="90"/>
      <c r="CJ69" s="90"/>
      <c r="CK69" s="90"/>
      <c r="CL69" s="90"/>
      <c r="CM69" s="90"/>
    </row>
    <row r="70" s="14" customFormat="true" ht="16.5" hidden="false" customHeight="true" outlineLevel="0" collapsed="false">
      <c r="E70" s="21" t="s">
        <v>138</v>
      </c>
      <c r="H70" s="71"/>
      <c r="I70" s="88"/>
      <c r="J70" s="88"/>
      <c r="K70" s="88"/>
      <c r="L70" s="88"/>
      <c r="M70" s="88"/>
      <c r="N70" s="88"/>
      <c r="O70" s="88"/>
      <c r="P70" s="88"/>
      <c r="Q70" s="16"/>
      <c r="R70" s="16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9"/>
      <c r="AG70" s="88"/>
      <c r="AH70" s="88"/>
      <c r="AI70" s="88"/>
      <c r="AJ70" s="88"/>
      <c r="AK70" s="88"/>
      <c r="AL70" s="88"/>
      <c r="AM70" s="88"/>
      <c r="AN70" s="88"/>
      <c r="AO70" s="88"/>
      <c r="AP70" s="88"/>
      <c r="AQ70" s="88"/>
      <c r="AR70" s="89"/>
      <c r="AS70" s="88"/>
      <c r="AT70" s="88"/>
      <c r="AU70" s="88"/>
      <c r="AV70" s="88"/>
      <c r="AW70" s="88"/>
      <c r="AX70" s="88"/>
      <c r="AY70" s="88"/>
      <c r="AZ70" s="88"/>
      <c r="BA70" s="88"/>
      <c r="BB70" s="88"/>
      <c r="BC70" s="88"/>
      <c r="BD70" s="89"/>
      <c r="BE70" s="88"/>
      <c r="BF70" s="88"/>
      <c r="BG70" s="88"/>
      <c r="BH70" s="88"/>
      <c r="BI70" s="88"/>
      <c r="BJ70" s="88"/>
      <c r="BK70" s="88"/>
      <c r="BL70" s="88"/>
      <c r="BM70" s="88"/>
      <c r="BN70" s="88"/>
      <c r="BO70" s="88"/>
      <c r="BP70" s="89"/>
      <c r="BQ70" s="88"/>
      <c r="BR70" s="88"/>
      <c r="BS70" s="88"/>
      <c r="BT70" s="88"/>
      <c r="BU70" s="88"/>
      <c r="BV70" s="88"/>
      <c r="BW70" s="88"/>
      <c r="BX70" s="88"/>
      <c r="BY70" s="88"/>
      <c r="BZ70" s="88"/>
      <c r="CA70" s="88"/>
      <c r="CC70" s="90"/>
      <c r="CD70" s="90"/>
      <c r="CE70" s="90"/>
      <c r="CF70" s="90"/>
      <c r="CG70" s="90"/>
      <c r="CI70" s="90"/>
      <c r="CJ70" s="90"/>
      <c r="CK70" s="90"/>
      <c r="CL70" s="90"/>
      <c r="CM70" s="90"/>
    </row>
    <row r="71" s="14" customFormat="true" ht="16.5" hidden="false" customHeight="true" outlineLevel="0" collapsed="false">
      <c r="E71" s="91"/>
      <c r="H71" s="71"/>
      <c r="I71" s="91"/>
      <c r="J71" s="91"/>
      <c r="K71" s="212" t="n">
        <f aca="false">I71-J71</f>
        <v>0</v>
      </c>
      <c r="L71" s="91"/>
      <c r="M71" s="91"/>
      <c r="N71" s="91"/>
      <c r="O71" s="91"/>
      <c r="P71" s="91"/>
      <c r="Q71" s="93"/>
      <c r="R71" s="16" t="str">
        <f aca="false">IF(K71=P71, "", "Error")</f>
        <v/>
      </c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4"/>
      <c r="AF71" s="95"/>
      <c r="AG71" s="91"/>
      <c r="AH71" s="91"/>
      <c r="AI71" s="91"/>
      <c r="AJ71" s="91"/>
      <c r="AK71" s="91"/>
      <c r="AL71" s="91"/>
      <c r="AM71" s="91"/>
      <c r="AN71" s="91"/>
      <c r="AO71" s="91"/>
      <c r="AP71" s="91"/>
      <c r="AQ71" s="94"/>
      <c r="AR71" s="95"/>
      <c r="AS71" s="91"/>
      <c r="AT71" s="91"/>
      <c r="AU71" s="91"/>
      <c r="AV71" s="91"/>
      <c r="AW71" s="91"/>
      <c r="AX71" s="91"/>
      <c r="AY71" s="91"/>
      <c r="AZ71" s="91"/>
      <c r="BA71" s="91"/>
      <c r="BB71" s="91"/>
      <c r="BC71" s="94"/>
      <c r="BD71" s="95"/>
      <c r="BE71" s="91"/>
      <c r="BF71" s="91"/>
      <c r="BG71" s="91"/>
      <c r="BH71" s="91"/>
      <c r="BI71" s="91"/>
      <c r="BJ71" s="91"/>
      <c r="BK71" s="91"/>
      <c r="BL71" s="91"/>
      <c r="BM71" s="91"/>
      <c r="BN71" s="91"/>
      <c r="BO71" s="94"/>
      <c r="BP71" s="95"/>
      <c r="BQ71" s="91"/>
      <c r="BR71" s="91"/>
      <c r="BS71" s="91"/>
      <c r="BT71" s="91"/>
      <c r="BU71" s="91"/>
      <c r="BV71" s="91"/>
      <c r="BW71" s="91"/>
      <c r="BX71" s="91"/>
      <c r="BY71" s="91"/>
      <c r="BZ71" s="91"/>
      <c r="CA71" s="91"/>
      <c r="CC71" s="79" t="n">
        <f aca="false">SUMIFS($T71:$CA71, $T$1:$CA$1, CC$63)</f>
        <v>0</v>
      </c>
      <c r="CD71" s="79" t="n">
        <f aca="false">SUMIFS($T71:$CA71, $T$1:$CA$1, CD$63)</f>
        <v>0</v>
      </c>
      <c r="CE71" s="79" t="n">
        <f aca="false">SUMIFS($T71:$CA71, $T$1:$CA$1, CE$63)</f>
        <v>0</v>
      </c>
      <c r="CF71" s="79" t="n">
        <f aca="false">SUMIFS($T71:$CA71, $T$1:$CA$1, CF$63)</f>
        <v>0</v>
      </c>
      <c r="CG71" s="79" t="n">
        <f aca="false">SUMIFS($T71:$CA71, $T$1:$CA$1, CG$63)</f>
        <v>0</v>
      </c>
      <c r="CI71" s="79" t="n">
        <f aca="false">CC71=L71</f>
        <v>1</v>
      </c>
      <c r="CJ71" s="79" t="n">
        <f aca="false">CD71=M71</f>
        <v>1</v>
      </c>
      <c r="CK71" s="79" t="n">
        <f aca="false">CE71=N71</f>
        <v>1</v>
      </c>
      <c r="CL71" s="79" t="n">
        <f aca="false">CF71=O71</f>
        <v>1</v>
      </c>
      <c r="CM71" s="79" t="n">
        <f aca="false">CG71=P71</f>
        <v>1</v>
      </c>
    </row>
    <row r="72" s="14" customFormat="true" ht="16.5" hidden="false" customHeight="true" outlineLevel="0" collapsed="false">
      <c r="E72" s="91"/>
      <c r="H72" s="71"/>
      <c r="I72" s="91" t="n">
        <v>0</v>
      </c>
      <c r="J72" s="91" t="n">
        <v>0</v>
      </c>
      <c r="K72" s="212" t="n">
        <f aca="false">I72-J72</f>
        <v>0</v>
      </c>
      <c r="L72" s="91"/>
      <c r="M72" s="91"/>
      <c r="N72" s="91"/>
      <c r="O72" s="91"/>
      <c r="P72" s="91"/>
      <c r="Q72" s="93"/>
      <c r="R72" s="16" t="str">
        <f aca="false">IF(K72=P72, "", "Error")</f>
        <v/>
      </c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4"/>
      <c r="AF72" s="95"/>
      <c r="AG72" s="91"/>
      <c r="AH72" s="91"/>
      <c r="AI72" s="91"/>
      <c r="AJ72" s="91"/>
      <c r="AK72" s="91"/>
      <c r="AL72" s="91"/>
      <c r="AM72" s="91"/>
      <c r="AN72" s="91"/>
      <c r="AO72" s="91"/>
      <c r="AP72" s="91"/>
      <c r="AQ72" s="94"/>
      <c r="AR72" s="95"/>
      <c r="AS72" s="91"/>
      <c r="AT72" s="91"/>
      <c r="AU72" s="91"/>
      <c r="AV72" s="91"/>
      <c r="AW72" s="91"/>
      <c r="AX72" s="91"/>
      <c r="AY72" s="91"/>
      <c r="AZ72" s="91"/>
      <c r="BA72" s="91"/>
      <c r="BB72" s="91"/>
      <c r="BC72" s="94"/>
      <c r="BD72" s="95"/>
      <c r="BE72" s="91"/>
      <c r="BF72" s="91"/>
      <c r="BG72" s="91"/>
      <c r="BH72" s="91"/>
      <c r="BI72" s="91"/>
      <c r="BJ72" s="91"/>
      <c r="BK72" s="91"/>
      <c r="BL72" s="91"/>
      <c r="BM72" s="91"/>
      <c r="BN72" s="91"/>
      <c r="BO72" s="94"/>
      <c r="BP72" s="95"/>
      <c r="BQ72" s="91"/>
      <c r="BR72" s="91"/>
      <c r="BS72" s="91"/>
      <c r="BT72" s="91"/>
      <c r="BU72" s="91"/>
      <c r="BV72" s="91"/>
      <c r="BW72" s="91"/>
      <c r="BX72" s="91"/>
      <c r="BY72" s="91"/>
      <c r="BZ72" s="91"/>
      <c r="CA72" s="91"/>
      <c r="CC72" s="79" t="n">
        <f aca="false">SUMIFS($T72:$CA72, $T$1:$CA$1, CC$63)</f>
        <v>0</v>
      </c>
      <c r="CD72" s="79" t="n">
        <f aca="false">SUMIFS($T72:$CA72, $T$1:$CA$1, CD$63)</f>
        <v>0</v>
      </c>
      <c r="CE72" s="79" t="n">
        <f aca="false">SUMIFS($T72:$CA72, $T$1:$CA$1, CE$63)</f>
        <v>0</v>
      </c>
      <c r="CF72" s="79" t="n">
        <f aca="false">SUMIFS($T72:$CA72, $T$1:$CA$1, CF$63)</f>
        <v>0</v>
      </c>
      <c r="CG72" s="79" t="n">
        <f aca="false">SUMIFS($T72:$CA72, $T$1:$CA$1, CG$63)</f>
        <v>0</v>
      </c>
      <c r="CI72" s="79" t="n">
        <f aca="false">CC72=L72</f>
        <v>1</v>
      </c>
      <c r="CJ72" s="79" t="n">
        <f aca="false">CD72=M72</f>
        <v>1</v>
      </c>
      <c r="CK72" s="79" t="n">
        <f aca="false">CE72=N72</f>
        <v>1</v>
      </c>
      <c r="CL72" s="79" t="n">
        <f aca="false">CF72=O72</f>
        <v>1</v>
      </c>
      <c r="CM72" s="79" t="n">
        <f aca="false">CG72=P72</f>
        <v>1</v>
      </c>
    </row>
    <row r="73" s="14" customFormat="true" ht="16.5" hidden="false" customHeight="true" outlineLevel="0" collapsed="false">
      <c r="E73" s="91"/>
      <c r="H73" s="71"/>
      <c r="I73" s="91" t="n">
        <v>0</v>
      </c>
      <c r="J73" s="91" t="n">
        <v>0</v>
      </c>
      <c r="K73" s="212" t="n">
        <f aca="false">I73-J73</f>
        <v>0</v>
      </c>
      <c r="L73" s="91"/>
      <c r="M73" s="91"/>
      <c r="N73" s="91"/>
      <c r="O73" s="91"/>
      <c r="P73" s="91"/>
      <c r="Q73" s="93"/>
      <c r="R73" s="16" t="str">
        <f aca="false">IF(K73=P73, "", "Error")</f>
        <v/>
      </c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4"/>
      <c r="AF73" s="95"/>
      <c r="AG73" s="91"/>
      <c r="AH73" s="91"/>
      <c r="AI73" s="91"/>
      <c r="AJ73" s="91"/>
      <c r="AK73" s="91"/>
      <c r="AL73" s="91"/>
      <c r="AM73" s="91"/>
      <c r="AN73" s="91"/>
      <c r="AO73" s="91"/>
      <c r="AP73" s="91"/>
      <c r="AQ73" s="94"/>
      <c r="AR73" s="95"/>
      <c r="AS73" s="91"/>
      <c r="AT73" s="91"/>
      <c r="AU73" s="91"/>
      <c r="AV73" s="91"/>
      <c r="AW73" s="91"/>
      <c r="AX73" s="91"/>
      <c r="AY73" s="91"/>
      <c r="AZ73" s="91"/>
      <c r="BA73" s="91"/>
      <c r="BB73" s="91"/>
      <c r="BC73" s="94"/>
      <c r="BD73" s="95"/>
      <c r="BE73" s="91"/>
      <c r="BF73" s="91"/>
      <c r="BG73" s="91"/>
      <c r="BH73" s="91"/>
      <c r="BI73" s="91"/>
      <c r="BJ73" s="91"/>
      <c r="BK73" s="91"/>
      <c r="BL73" s="91"/>
      <c r="BM73" s="91"/>
      <c r="BN73" s="91"/>
      <c r="BO73" s="94"/>
      <c r="BP73" s="95"/>
      <c r="BQ73" s="91"/>
      <c r="BR73" s="91"/>
      <c r="BS73" s="91"/>
      <c r="BT73" s="91"/>
      <c r="BU73" s="91"/>
      <c r="BV73" s="91"/>
      <c r="BW73" s="91"/>
      <c r="BX73" s="91"/>
      <c r="BY73" s="91"/>
      <c r="BZ73" s="91"/>
      <c r="CA73" s="91"/>
      <c r="CC73" s="79" t="n">
        <f aca="false">SUMIFS($T73:$CA73, $T$1:$CA$1, CC$63)</f>
        <v>0</v>
      </c>
      <c r="CD73" s="79" t="n">
        <f aca="false">SUMIFS($T73:$CA73, $T$1:$CA$1, CD$63)</f>
        <v>0</v>
      </c>
      <c r="CE73" s="79" t="n">
        <f aca="false">SUMIFS($T73:$CA73, $T$1:$CA$1, CE$63)</f>
        <v>0</v>
      </c>
      <c r="CF73" s="79" t="n">
        <f aca="false">SUMIFS($T73:$CA73, $T$1:$CA$1, CF$63)</f>
        <v>0</v>
      </c>
      <c r="CG73" s="79" t="n">
        <f aca="false">SUMIFS($T73:$CA73, $T$1:$CA$1, CG$63)</f>
        <v>0</v>
      </c>
      <c r="CI73" s="79" t="n">
        <f aca="false">CC73=L73</f>
        <v>1</v>
      </c>
      <c r="CJ73" s="79" t="n">
        <f aca="false">CD73=M73</f>
        <v>1</v>
      </c>
      <c r="CK73" s="79" t="n">
        <f aca="false">CE73=N73</f>
        <v>1</v>
      </c>
      <c r="CL73" s="79" t="n">
        <f aca="false">CF73=O73</f>
        <v>1</v>
      </c>
      <c r="CM73" s="79" t="n">
        <f aca="false">CG73=P73</f>
        <v>1</v>
      </c>
    </row>
    <row r="74" s="14" customFormat="true" ht="16.5" hidden="false" customHeight="true" outlineLevel="0" collapsed="false">
      <c r="E74" s="91"/>
      <c r="H74" s="71"/>
      <c r="I74" s="91" t="n">
        <v>0</v>
      </c>
      <c r="J74" s="91" t="n">
        <v>0</v>
      </c>
      <c r="K74" s="212" t="n">
        <f aca="false">I74-J74</f>
        <v>0</v>
      </c>
      <c r="L74" s="91"/>
      <c r="M74" s="91"/>
      <c r="N74" s="91"/>
      <c r="O74" s="91"/>
      <c r="P74" s="91"/>
      <c r="Q74" s="93"/>
      <c r="R74" s="16" t="str">
        <f aca="false">IF(K74=P74, "", "Error")</f>
        <v/>
      </c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4"/>
      <c r="AF74" s="95"/>
      <c r="AG74" s="91"/>
      <c r="AH74" s="91"/>
      <c r="AI74" s="91"/>
      <c r="AJ74" s="91"/>
      <c r="AK74" s="91"/>
      <c r="AL74" s="91"/>
      <c r="AM74" s="91"/>
      <c r="AN74" s="91"/>
      <c r="AO74" s="91"/>
      <c r="AP74" s="91"/>
      <c r="AQ74" s="94"/>
      <c r="AR74" s="95"/>
      <c r="AS74" s="91"/>
      <c r="AT74" s="91"/>
      <c r="AU74" s="91"/>
      <c r="AV74" s="91"/>
      <c r="AW74" s="91"/>
      <c r="AX74" s="91"/>
      <c r="AY74" s="91"/>
      <c r="AZ74" s="91"/>
      <c r="BA74" s="91"/>
      <c r="BB74" s="91"/>
      <c r="BC74" s="94"/>
      <c r="BD74" s="95"/>
      <c r="BE74" s="91"/>
      <c r="BF74" s="91"/>
      <c r="BG74" s="91"/>
      <c r="BH74" s="91"/>
      <c r="BI74" s="91"/>
      <c r="BJ74" s="91"/>
      <c r="BK74" s="91"/>
      <c r="BL74" s="91"/>
      <c r="BM74" s="91"/>
      <c r="BN74" s="91"/>
      <c r="BO74" s="94"/>
      <c r="BP74" s="95"/>
      <c r="BQ74" s="91"/>
      <c r="BR74" s="91"/>
      <c r="BS74" s="91"/>
      <c r="BT74" s="91"/>
      <c r="BU74" s="91"/>
      <c r="BV74" s="91"/>
      <c r="BW74" s="91"/>
      <c r="BX74" s="91"/>
      <c r="BY74" s="91"/>
      <c r="BZ74" s="91"/>
      <c r="CA74" s="91"/>
      <c r="CC74" s="79" t="n">
        <f aca="false">SUMIFS($T74:$CA74, $T$1:$CA$1, CC$63)</f>
        <v>0</v>
      </c>
      <c r="CD74" s="79" t="n">
        <f aca="false">SUMIFS($T74:$CA74, $T$1:$CA$1, CD$63)</f>
        <v>0</v>
      </c>
      <c r="CE74" s="79" t="n">
        <f aca="false">SUMIFS($T74:$CA74, $T$1:$CA$1, CE$63)</f>
        <v>0</v>
      </c>
      <c r="CF74" s="79" t="n">
        <f aca="false">SUMIFS($T74:$CA74, $T$1:$CA$1, CF$63)</f>
        <v>0</v>
      </c>
      <c r="CG74" s="79" t="n">
        <f aca="false">SUMIFS($T74:$CA74, $T$1:$CA$1, CG$63)</f>
        <v>0</v>
      </c>
      <c r="CI74" s="79" t="n">
        <f aca="false">CC74=L74</f>
        <v>1</v>
      </c>
      <c r="CJ74" s="79" t="n">
        <f aca="false">CD74=M74</f>
        <v>1</v>
      </c>
      <c r="CK74" s="79" t="n">
        <f aca="false">CE74=N74</f>
        <v>1</v>
      </c>
      <c r="CL74" s="79" t="n">
        <f aca="false">CF74=O74</f>
        <v>1</v>
      </c>
      <c r="CM74" s="79" t="n">
        <f aca="false">CG74=P74</f>
        <v>1</v>
      </c>
    </row>
    <row r="75" s="14" customFormat="true" ht="16.5" hidden="false" customHeight="true" outlineLevel="0" collapsed="false">
      <c r="E75" s="91"/>
      <c r="H75" s="71"/>
      <c r="I75" s="91"/>
      <c r="J75" s="91"/>
      <c r="K75" s="212" t="n">
        <f aca="false">I75-J75</f>
        <v>0</v>
      </c>
      <c r="L75" s="91"/>
      <c r="M75" s="91"/>
      <c r="N75" s="91"/>
      <c r="O75" s="91"/>
      <c r="P75" s="91"/>
      <c r="Q75" s="93"/>
      <c r="R75" s="16" t="str">
        <f aca="false">IF(K75=P75, "", "Error")</f>
        <v/>
      </c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4"/>
      <c r="AF75" s="95"/>
      <c r="AG75" s="91"/>
      <c r="AH75" s="91"/>
      <c r="AI75" s="91"/>
      <c r="AJ75" s="91"/>
      <c r="AK75" s="91"/>
      <c r="AL75" s="91"/>
      <c r="AM75" s="91"/>
      <c r="AN75" s="91"/>
      <c r="AO75" s="91"/>
      <c r="AP75" s="91"/>
      <c r="AQ75" s="94"/>
      <c r="AR75" s="95"/>
      <c r="AS75" s="91"/>
      <c r="AT75" s="91"/>
      <c r="AU75" s="91"/>
      <c r="AV75" s="91"/>
      <c r="AW75" s="91"/>
      <c r="AX75" s="91"/>
      <c r="AY75" s="91"/>
      <c r="AZ75" s="91"/>
      <c r="BA75" s="91"/>
      <c r="BB75" s="91"/>
      <c r="BC75" s="94"/>
      <c r="BD75" s="95"/>
      <c r="BE75" s="91"/>
      <c r="BF75" s="91"/>
      <c r="BG75" s="91"/>
      <c r="BH75" s="91"/>
      <c r="BI75" s="91"/>
      <c r="BJ75" s="91"/>
      <c r="BK75" s="91"/>
      <c r="BL75" s="91"/>
      <c r="BM75" s="91"/>
      <c r="BN75" s="91"/>
      <c r="BO75" s="94"/>
      <c r="BP75" s="95"/>
      <c r="BQ75" s="91"/>
      <c r="BR75" s="91"/>
      <c r="BS75" s="91"/>
      <c r="BT75" s="91"/>
      <c r="BU75" s="91"/>
      <c r="BV75" s="91"/>
      <c r="BW75" s="91"/>
      <c r="BX75" s="91"/>
      <c r="BY75" s="91"/>
      <c r="BZ75" s="91"/>
      <c r="CA75" s="91"/>
      <c r="CC75" s="79" t="n">
        <f aca="false">SUMIFS($T75:$CA75, $T$1:$CA$1, CC$63)</f>
        <v>0</v>
      </c>
      <c r="CD75" s="79" t="n">
        <f aca="false">SUMIFS($T75:$CA75, $T$1:$CA$1, CD$63)</f>
        <v>0</v>
      </c>
      <c r="CE75" s="79" t="n">
        <f aca="false">SUMIFS($T75:$CA75, $T$1:$CA$1, CE$63)</f>
        <v>0</v>
      </c>
      <c r="CF75" s="79" t="n">
        <f aca="false">SUMIFS($T75:$CA75, $T$1:$CA$1, CF$63)</f>
        <v>0</v>
      </c>
      <c r="CG75" s="79" t="n">
        <f aca="false">SUMIFS($T75:$CA75, $T$1:$CA$1, CG$63)</f>
        <v>0</v>
      </c>
      <c r="CI75" s="79" t="n">
        <f aca="false">CC75=L75</f>
        <v>1</v>
      </c>
      <c r="CJ75" s="79" t="n">
        <f aca="false">CD75=M75</f>
        <v>1</v>
      </c>
      <c r="CK75" s="79" t="n">
        <f aca="false">CE75=N75</f>
        <v>1</v>
      </c>
      <c r="CL75" s="79" t="n">
        <f aca="false">CF75=O75</f>
        <v>1</v>
      </c>
      <c r="CM75" s="79" t="n">
        <f aca="false">CG75=P75</f>
        <v>1</v>
      </c>
    </row>
    <row r="76" s="14" customFormat="true" ht="16.5" hidden="false" customHeight="true" outlineLevel="0" collapsed="false">
      <c r="E76" s="96" t="s">
        <v>139</v>
      </c>
      <c r="H76" s="71"/>
      <c r="I76" s="82" t="n">
        <f aca="false">SUM(I71:I75)</f>
        <v>0</v>
      </c>
      <c r="J76" s="82" t="n">
        <f aca="false">SUM(J71:J75)</f>
        <v>0</v>
      </c>
      <c r="K76" s="82" t="n">
        <f aca="false">SUM(K71:K75)</f>
        <v>0</v>
      </c>
      <c r="L76" s="82" t="n">
        <f aca="false">SUM(L71:L75)</f>
        <v>0</v>
      </c>
      <c r="M76" s="82" t="n">
        <f aca="false">SUM(M71:M75)</f>
        <v>0</v>
      </c>
      <c r="N76" s="82" t="n">
        <f aca="false">SUM(N71:N75)</f>
        <v>0</v>
      </c>
      <c r="O76" s="82" t="n">
        <f aca="false">SUM(O71:O75)</f>
        <v>0</v>
      </c>
      <c r="P76" s="82" t="n">
        <f aca="false">SUM(P71:P75)</f>
        <v>0</v>
      </c>
      <c r="Q76" s="16"/>
      <c r="R76" s="16"/>
      <c r="T76" s="82" t="n">
        <f aca="false">SUM(T71:T75)</f>
        <v>0</v>
      </c>
      <c r="U76" s="82" t="n">
        <f aca="false">SUM(U71:U75)</f>
        <v>0</v>
      </c>
      <c r="V76" s="82" t="n">
        <f aca="false">SUM(V71:V75)</f>
        <v>0</v>
      </c>
      <c r="W76" s="82" t="n">
        <f aca="false">SUM(W71:W75)</f>
        <v>0</v>
      </c>
      <c r="X76" s="82" t="n">
        <f aca="false">SUM(X71:X75)</f>
        <v>0</v>
      </c>
      <c r="Y76" s="82" t="n">
        <f aca="false">SUM(Y71:Y75)</f>
        <v>0</v>
      </c>
      <c r="Z76" s="82" t="n">
        <f aca="false">SUM(Z71:Z75)</f>
        <v>0</v>
      </c>
      <c r="AA76" s="82" t="n">
        <f aca="false">SUM(AA71:AA75)</f>
        <v>0</v>
      </c>
      <c r="AB76" s="82" t="n">
        <f aca="false">SUM(AB71:AB75)</f>
        <v>0</v>
      </c>
      <c r="AC76" s="82" t="n">
        <f aca="false">SUM(AC71:AC75)</f>
        <v>0</v>
      </c>
      <c r="AD76" s="82" t="n">
        <f aca="false">SUM(AD71:AD75)</f>
        <v>0</v>
      </c>
      <c r="AE76" s="82" t="n">
        <f aca="false">SUM(AE71:AE75)</f>
        <v>0</v>
      </c>
      <c r="AF76" s="83" t="n">
        <f aca="false">SUM(AF71:AF75)</f>
        <v>0</v>
      </c>
      <c r="AG76" s="82" t="n">
        <f aca="false">SUM(AG71:AG75)</f>
        <v>0</v>
      </c>
      <c r="AH76" s="82" t="n">
        <f aca="false">SUM(AH71:AH75)</f>
        <v>0</v>
      </c>
      <c r="AI76" s="82" t="n">
        <f aca="false">SUM(AI71:AI75)</f>
        <v>0</v>
      </c>
      <c r="AJ76" s="82" t="n">
        <f aca="false">SUM(AJ71:AJ75)</f>
        <v>0</v>
      </c>
      <c r="AK76" s="82" t="n">
        <f aca="false">SUM(AK71:AK75)</f>
        <v>0</v>
      </c>
      <c r="AL76" s="82" t="n">
        <f aca="false">SUM(AL71:AL75)</f>
        <v>0</v>
      </c>
      <c r="AM76" s="82" t="n">
        <f aca="false">SUM(AM71:AM75)</f>
        <v>0</v>
      </c>
      <c r="AN76" s="82" t="n">
        <f aca="false">SUM(AN71:AN75)</f>
        <v>0</v>
      </c>
      <c r="AO76" s="82" t="n">
        <f aca="false">SUM(AO71:AO75)</f>
        <v>0</v>
      </c>
      <c r="AP76" s="82" t="n">
        <f aca="false">SUM(AP71:AP75)</f>
        <v>0</v>
      </c>
      <c r="AQ76" s="82" t="n">
        <f aca="false">SUM(AQ71:AQ75)</f>
        <v>0</v>
      </c>
      <c r="AR76" s="83" t="n">
        <f aca="false">SUM(AR71:AR75)</f>
        <v>0</v>
      </c>
      <c r="AS76" s="82" t="n">
        <f aca="false">SUM(AS71:AS75)</f>
        <v>0</v>
      </c>
      <c r="AT76" s="82" t="n">
        <f aca="false">SUM(AT71:AT75)</f>
        <v>0</v>
      </c>
      <c r="AU76" s="82" t="n">
        <f aca="false">SUM(AU71:AU75)</f>
        <v>0</v>
      </c>
      <c r="AV76" s="82" t="n">
        <f aca="false">SUM(AV71:AV75)</f>
        <v>0</v>
      </c>
      <c r="AW76" s="82" t="n">
        <f aca="false">SUM(AW71:AW75)</f>
        <v>0</v>
      </c>
      <c r="AX76" s="82" t="n">
        <f aca="false">SUM(AX71:AX75)</f>
        <v>0</v>
      </c>
      <c r="AY76" s="82" t="n">
        <f aca="false">SUM(AY71:AY75)</f>
        <v>0</v>
      </c>
      <c r="AZ76" s="82" t="n">
        <f aca="false">SUM(AZ71:AZ75)</f>
        <v>0</v>
      </c>
      <c r="BA76" s="82" t="n">
        <f aca="false">SUM(BA71:BA75)</f>
        <v>0</v>
      </c>
      <c r="BB76" s="82" t="n">
        <f aca="false">SUM(BB71:BB75)</f>
        <v>0</v>
      </c>
      <c r="BC76" s="82" t="n">
        <f aca="false">SUM(BC71:BC75)</f>
        <v>0</v>
      </c>
      <c r="BD76" s="83" t="n">
        <f aca="false">SUM(BD71:BD75)</f>
        <v>0</v>
      </c>
      <c r="BE76" s="82" t="n">
        <f aca="false">SUM(BE71:BE75)</f>
        <v>0</v>
      </c>
      <c r="BF76" s="82" t="n">
        <f aca="false">SUM(BF71:BF75)</f>
        <v>0</v>
      </c>
      <c r="BG76" s="82" t="n">
        <f aca="false">SUM(BG71:BG75)</f>
        <v>0</v>
      </c>
      <c r="BH76" s="82" t="n">
        <f aca="false">SUM(BH71:BH75)</f>
        <v>0</v>
      </c>
      <c r="BI76" s="82" t="n">
        <f aca="false">SUM(BI71:BI75)</f>
        <v>0</v>
      </c>
      <c r="BJ76" s="82" t="n">
        <f aca="false">SUM(BJ71:BJ75)</f>
        <v>0</v>
      </c>
      <c r="BK76" s="82" t="n">
        <f aca="false">SUM(BK71:BK75)</f>
        <v>0</v>
      </c>
      <c r="BL76" s="82" t="n">
        <f aca="false">SUM(BL71:BL75)</f>
        <v>0</v>
      </c>
      <c r="BM76" s="82" t="n">
        <f aca="false">SUM(BM71:BM75)</f>
        <v>0</v>
      </c>
      <c r="BN76" s="82" t="n">
        <f aca="false">SUM(BN71:BN75)</f>
        <v>0</v>
      </c>
      <c r="BO76" s="82" t="n">
        <f aca="false">SUM(BO71:BO75)</f>
        <v>0</v>
      </c>
      <c r="BP76" s="83" t="n">
        <f aca="false">SUM(BP71:BP75)</f>
        <v>0</v>
      </c>
      <c r="BQ76" s="82" t="n">
        <f aca="false">SUM(BQ71:BQ75)</f>
        <v>0</v>
      </c>
      <c r="BR76" s="82" t="n">
        <f aca="false">SUM(BR71:BR75)</f>
        <v>0</v>
      </c>
      <c r="BS76" s="82" t="n">
        <f aca="false">SUM(BS71:BS75)</f>
        <v>0</v>
      </c>
      <c r="BT76" s="82" t="n">
        <f aca="false">SUM(BT71:BT75)</f>
        <v>0</v>
      </c>
      <c r="BU76" s="82" t="n">
        <f aca="false">SUM(BU71:BU75)</f>
        <v>0</v>
      </c>
      <c r="BV76" s="82" t="n">
        <f aca="false">SUM(BV71:BV75)</f>
        <v>0</v>
      </c>
      <c r="BW76" s="82" t="n">
        <f aca="false">SUM(BW71:BW75)</f>
        <v>0</v>
      </c>
      <c r="BX76" s="82" t="n">
        <f aca="false">SUM(BX71:BX75)</f>
        <v>0</v>
      </c>
      <c r="BY76" s="82" t="n">
        <f aca="false">SUM(BY71:BY75)</f>
        <v>0</v>
      </c>
      <c r="BZ76" s="82" t="n">
        <f aca="false">SUM(BZ71:BZ75)</f>
        <v>0</v>
      </c>
      <c r="CA76" s="82" t="n">
        <f aca="false">SUM(CA71:CA75)</f>
        <v>0</v>
      </c>
      <c r="CC76" s="84" t="n">
        <f aca="false">SUM(CC71:CC75)</f>
        <v>0</v>
      </c>
      <c r="CD76" s="84" t="n">
        <f aca="false">SUM(CD71:CD75)</f>
        <v>0</v>
      </c>
      <c r="CE76" s="84" t="n">
        <f aca="false">SUM(CE71:CE75)</f>
        <v>0</v>
      </c>
      <c r="CF76" s="84" t="n">
        <f aca="false">SUM(CF71:CF75)</f>
        <v>0</v>
      </c>
      <c r="CG76" s="84" t="n">
        <f aca="false">SUM(CG71:CG75)</f>
        <v>0</v>
      </c>
      <c r="CI76" s="84" t="n">
        <f aca="false">CC76=L76</f>
        <v>1</v>
      </c>
      <c r="CJ76" s="84" t="n">
        <f aca="false">CD76=M76</f>
        <v>1</v>
      </c>
      <c r="CK76" s="84" t="n">
        <f aca="false">CE76=N76</f>
        <v>1</v>
      </c>
      <c r="CL76" s="84" t="n">
        <f aca="false">CF76=O76</f>
        <v>1</v>
      </c>
      <c r="CM76" s="84" t="n">
        <f aca="false">CG76=P76</f>
        <v>1</v>
      </c>
    </row>
    <row r="77" s="14" customFormat="true" ht="16.5" hidden="false" customHeight="true" outlineLevel="0" collapsed="false">
      <c r="H77" s="71"/>
      <c r="I77" s="88"/>
      <c r="J77" s="88"/>
      <c r="K77" s="88"/>
      <c r="L77" s="88"/>
      <c r="M77" s="88"/>
      <c r="N77" s="88"/>
      <c r="O77" s="88"/>
      <c r="P77" s="88"/>
      <c r="Q77" s="16"/>
      <c r="R77" s="16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9"/>
      <c r="AG77" s="88"/>
      <c r="AH77" s="88"/>
      <c r="AI77" s="88"/>
      <c r="AJ77" s="88"/>
      <c r="AK77" s="88"/>
      <c r="AL77" s="88"/>
      <c r="AM77" s="88"/>
      <c r="AN77" s="88"/>
      <c r="AO77" s="88"/>
      <c r="AP77" s="88"/>
      <c r="AQ77" s="88"/>
      <c r="AR77" s="89"/>
      <c r="AS77" s="88"/>
      <c r="AT77" s="88"/>
      <c r="AU77" s="88"/>
      <c r="AV77" s="88"/>
      <c r="AW77" s="88"/>
      <c r="AX77" s="88"/>
      <c r="AY77" s="88"/>
      <c r="AZ77" s="88"/>
      <c r="BA77" s="88"/>
      <c r="BB77" s="88"/>
      <c r="BC77" s="88"/>
      <c r="BD77" s="89"/>
      <c r="BE77" s="88"/>
      <c r="BF77" s="88"/>
      <c r="BG77" s="88"/>
      <c r="BH77" s="88"/>
      <c r="BI77" s="88"/>
      <c r="BJ77" s="88"/>
      <c r="BK77" s="88"/>
      <c r="BL77" s="88"/>
      <c r="BM77" s="88"/>
      <c r="BN77" s="88"/>
      <c r="BO77" s="88"/>
      <c r="BP77" s="89"/>
      <c r="BQ77" s="88"/>
      <c r="BR77" s="88"/>
      <c r="BS77" s="88"/>
      <c r="BT77" s="88"/>
      <c r="BU77" s="88"/>
      <c r="BV77" s="88"/>
      <c r="BW77" s="88"/>
      <c r="BX77" s="88"/>
      <c r="BY77" s="88"/>
      <c r="BZ77" s="88"/>
      <c r="CA77" s="88"/>
      <c r="CC77" s="90"/>
      <c r="CD77" s="90"/>
      <c r="CE77" s="90"/>
      <c r="CF77" s="90"/>
      <c r="CG77" s="90"/>
      <c r="CI77" s="90"/>
      <c r="CJ77" s="90"/>
      <c r="CK77" s="90"/>
      <c r="CL77" s="90"/>
      <c r="CM77" s="90"/>
    </row>
    <row r="78" s="14" customFormat="true" ht="16.5" hidden="false" customHeight="true" outlineLevel="0" collapsed="false">
      <c r="E78" s="21" t="s">
        <v>140</v>
      </c>
      <c r="H78" s="71"/>
      <c r="I78" s="88"/>
      <c r="J78" s="88"/>
      <c r="K78" s="88"/>
      <c r="L78" s="88"/>
      <c r="M78" s="88"/>
      <c r="N78" s="88"/>
      <c r="O78" s="88"/>
      <c r="P78" s="88"/>
      <c r="Q78" s="16"/>
      <c r="R78" s="16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9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9"/>
      <c r="AS78" s="88"/>
      <c r="AT78" s="88"/>
      <c r="AU78" s="88"/>
      <c r="AV78" s="88"/>
      <c r="AW78" s="88"/>
      <c r="AX78" s="88"/>
      <c r="AY78" s="88"/>
      <c r="AZ78" s="88"/>
      <c r="BA78" s="88"/>
      <c r="BB78" s="88"/>
      <c r="BC78" s="88"/>
      <c r="BD78" s="89"/>
      <c r="BE78" s="88"/>
      <c r="BF78" s="88"/>
      <c r="BG78" s="88"/>
      <c r="BH78" s="88"/>
      <c r="BI78" s="88"/>
      <c r="BJ78" s="88"/>
      <c r="BK78" s="88"/>
      <c r="BL78" s="88"/>
      <c r="BM78" s="88"/>
      <c r="BN78" s="88"/>
      <c r="BO78" s="88"/>
      <c r="BP78" s="89"/>
      <c r="BQ78" s="88"/>
      <c r="BR78" s="88"/>
      <c r="BS78" s="88"/>
      <c r="BT78" s="88"/>
      <c r="BU78" s="88"/>
      <c r="BV78" s="88"/>
      <c r="BW78" s="88"/>
      <c r="BX78" s="88"/>
      <c r="BY78" s="88"/>
      <c r="BZ78" s="88"/>
      <c r="CA78" s="88"/>
      <c r="CC78" s="90"/>
      <c r="CD78" s="90"/>
      <c r="CE78" s="90"/>
      <c r="CF78" s="90"/>
      <c r="CG78" s="90"/>
      <c r="CI78" s="90"/>
      <c r="CJ78" s="90"/>
      <c r="CK78" s="90"/>
      <c r="CL78" s="90"/>
      <c r="CM78" s="90"/>
    </row>
    <row r="79" s="14" customFormat="true" ht="16.5" hidden="false" customHeight="true" outlineLevel="0" collapsed="false">
      <c r="E79" s="91" t="s">
        <v>427</v>
      </c>
      <c r="H79" s="71" t="s">
        <v>428</v>
      </c>
      <c r="I79" s="213" t="n">
        <f aca="false">'SVC-1 Model'!$D$57</f>
        <v>156.0245364</v>
      </c>
      <c r="J79" s="213" t="n">
        <f aca="false">I79-'SVC-1 Model'!$K$57</f>
        <v>143.185920216</v>
      </c>
      <c r="K79" s="214" t="n">
        <f aca="false">'SVC-1 Model'!$K$57</f>
        <v>12.838616184</v>
      </c>
      <c r="L79" s="213" t="n">
        <f aca="false">'SVC-1 Model'!L57</f>
        <v>0</v>
      </c>
      <c r="M79" s="213" t="n">
        <f aca="false">'SVC-1 Model'!M57</f>
        <v>2.22892642083333</v>
      </c>
      <c r="N79" s="213" t="n">
        <f aca="false">'SVC-1 Model'!N57</f>
        <v>12.7494591271667</v>
      </c>
      <c r="O79" s="213" t="n">
        <f aca="false">'SVC-1 Model'!O57</f>
        <v>12.838616184</v>
      </c>
      <c r="P79" s="213" t="n">
        <f aca="false">'SVC-1 Model'!P57</f>
        <v>12.838616184</v>
      </c>
      <c r="Q79" s="93" t="s">
        <v>266</v>
      </c>
      <c r="R79" s="16" t="str">
        <f aca="false">IF(K79=P79, "", "Error")</f>
        <v/>
      </c>
      <c r="T79" s="213" t="n">
        <f aca="false">'SVC-1 Model'!T57</f>
        <v>0</v>
      </c>
      <c r="U79" s="213" t="n">
        <f aca="false">'SVC-1 Model'!U57</f>
        <v>0</v>
      </c>
      <c r="V79" s="213" t="n">
        <f aca="false">'SVC-1 Model'!V57</f>
        <v>0</v>
      </c>
      <c r="W79" s="213" t="n">
        <f aca="false">'SVC-1 Model'!W57</f>
        <v>0</v>
      </c>
      <c r="X79" s="213" t="n">
        <f aca="false">'SVC-1 Model'!X57</f>
        <v>0</v>
      </c>
      <c r="Y79" s="213" t="n">
        <f aca="false">'SVC-1 Model'!Y57</f>
        <v>0</v>
      </c>
      <c r="Z79" s="213" t="n">
        <f aca="false">'SVC-1 Model'!Z57</f>
        <v>0</v>
      </c>
      <c r="AA79" s="213" t="n">
        <f aca="false">'SVC-1 Model'!AA57</f>
        <v>0</v>
      </c>
      <c r="AB79" s="213" t="n">
        <f aca="false">'SVC-1 Model'!AB57</f>
        <v>0</v>
      </c>
      <c r="AC79" s="213" t="n">
        <f aca="false">'SVC-1 Model'!AC57</f>
        <v>0</v>
      </c>
      <c r="AD79" s="213" t="n">
        <f aca="false">'SVC-1 Model'!AD57</f>
        <v>0</v>
      </c>
      <c r="AE79" s="215" t="n">
        <f aca="false">'SVC-1 Model'!AE57</f>
        <v>0</v>
      </c>
      <c r="AF79" s="216" t="n">
        <f aca="false">'SVC-1 Model'!AF57</f>
        <v>0</v>
      </c>
      <c r="AG79" s="216" t="n">
        <f aca="false">'SVC-1 Model'!AG57</f>
        <v>0</v>
      </c>
      <c r="AH79" s="216" t="n">
        <f aca="false">'SVC-1 Model'!AH57</f>
        <v>0</v>
      </c>
      <c r="AI79" s="216" t="n">
        <f aca="false">'SVC-1 Model'!AI57</f>
        <v>0</v>
      </c>
      <c r="AJ79" s="216" t="n">
        <f aca="false">'SVC-1 Model'!AJ57</f>
        <v>0</v>
      </c>
      <c r="AK79" s="216" t="n">
        <f aca="false">'SVC-1 Model'!AK57</f>
        <v>0</v>
      </c>
      <c r="AL79" s="216" t="n">
        <f aca="false">'SVC-1 Model'!AL57</f>
        <v>0</v>
      </c>
      <c r="AM79" s="216" t="n">
        <f aca="false">'SVC-1 Model'!AM57</f>
        <v>0.0891570568333333</v>
      </c>
      <c r="AN79" s="216" t="n">
        <f aca="false">'SVC-1 Model'!AN57</f>
        <v>0.2674711705</v>
      </c>
      <c r="AO79" s="216" t="n">
        <f aca="false">'SVC-1 Model'!AO57</f>
        <v>0.445785284166667</v>
      </c>
      <c r="AP79" s="216" t="n">
        <f aca="false">'SVC-1 Model'!AP57</f>
        <v>0.624099397833334</v>
      </c>
      <c r="AQ79" s="216" t="n">
        <f aca="false">'SVC-1 Model'!AQ57</f>
        <v>0.8024135115</v>
      </c>
      <c r="AR79" s="216" t="n">
        <f aca="false">'SVC-1 Model'!AR57</f>
        <v>0.980727625166667</v>
      </c>
      <c r="AS79" s="216" t="n">
        <f aca="false">'SVC-1 Model'!AS57</f>
        <v>1.069884682</v>
      </c>
      <c r="AT79" s="216" t="n">
        <f aca="false">'SVC-1 Model'!AT57</f>
        <v>1.069884682</v>
      </c>
      <c r="AU79" s="216" t="n">
        <f aca="false">'SVC-1 Model'!AU57</f>
        <v>1.069884682</v>
      </c>
      <c r="AV79" s="216" t="n">
        <f aca="false">'SVC-1 Model'!AV57</f>
        <v>1.069884682</v>
      </c>
      <c r="AW79" s="216" t="n">
        <f aca="false">'SVC-1 Model'!AW57</f>
        <v>1.069884682</v>
      </c>
      <c r="AX79" s="216" t="n">
        <f aca="false">'SVC-1 Model'!AX57</f>
        <v>1.069884682</v>
      </c>
      <c r="AY79" s="216" t="n">
        <f aca="false">'SVC-1 Model'!AY57</f>
        <v>1.069884682</v>
      </c>
      <c r="AZ79" s="216" t="n">
        <f aca="false">'SVC-1 Model'!AZ57</f>
        <v>1.069884682</v>
      </c>
      <c r="BA79" s="216" t="n">
        <f aca="false">'SVC-1 Model'!BA57</f>
        <v>1.069884682</v>
      </c>
      <c r="BB79" s="216" t="n">
        <f aca="false">'SVC-1 Model'!BB57</f>
        <v>1.069884682</v>
      </c>
      <c r="BC79" s="216" t="n">
        <f aca="false">'SVC-1 Model'!BC57</f>
        <v>1.069884682</v>
      </c>
      <c r="BD79" s="216" t="n">
        <f aca="false">'SVC-1 Model'!BD57</f>
        <v>1.069884682</v>
      </c>
      <c r="BE79" s="216" t="n">
        <f aca="false">'SVC-1 Model'!BE57</f>
        <v>1.069884682</v>
      </c>
      <c r="BF79" s="216" t="n">
        <f aca="false">'SVC-1 Model'!BF57</f>
        <v>1.069884682</v>
      </c>
      <c r="BG79" s="216" t="n">
        <f aca="false">'SVC-1 Model'!BG57</f>
        <v>1.069884682</v>
      </c>
      <c r="BH79" s="216" t="n">
        <f aca="false">'SVC-1 Model'!BH57</f>
        <v>1.069884682</v>
      </c>
      <c r="BI79" s="216" t="n">
        <f aca="false">'SVC-1 Model'!BI57</f>
        <v>1.069884682</v>
      </c>
      <c r="BJ79" s="216" t="n">
        <f aca="false">'SVC-1 Model'!BJ57</f>
        <v>1.069884682</v>
      </c>
      <c r="BK79" s="216" t="n">
        <f aca="false">'SVC-1 Model'!BK57</f>
        <v>1.069884682</v>
      </c>
      <c r="BL79" s="216" t="n">
        <f aca="false">'SVC-1 Model'!BL57</f>
        <v>1.069884682</v>
      </c>
      <c r="BM79" s="216" t="n">
        <f aca="false">'SVC-1 Model'!BM57</f>
        <v>1.069884682</v>
      </c>
      <c r="BN79" s="216" t="n">
        <f aca="false">'SVC-1 Model'!BN57</f>
        <v>1.069884682</v>
      </c>
      <c r="BO79" s="216" t="n">
        <f aca="false">'SVC-1 Model'!BO57</f>
        <v>1.069884682</v>
      </c>
      <c r="BP79" s="216" t="n">
        <f aca="false">'SVC-1 Model'!BP57</f>
        <v>1.069884682</v>
      </c>
      <c r="BQ79" s="216" t="n">
        <f aca="false">'SVC-1 Model'!BQ57</f>
        <v>1.069884682</v>
      </c>
      <c r="BR79" s="216" t="n">
        <f aca="false">'SVC-1 Model'!BR57</f>
        <v>1.069884682</v>
      </c>
      <c r="BS79" s="216" t="n">
        <f aca="false">'SVC-1 Model'!BS57</f>
        <v>1.069884682</v>
      </c>
      <c r="BT79" s="216" t="n">
        <f aca="false">'SVC-1 Model'!BT57</f>
        <v>1.069884682</v>
      </c>
      <c r="BU79" s="216" t="n">
        <f aca="false">'SVC-1 Model'!BU57</f>
        <v>1.069884682</v>
      </c>
      <c r="BV79" s="216" t="n">
        <f aca="false">'SVC-1 Model'!BV57</f>
        <v>1.069884682</v>
      </c>
      <c r="BW79" s="216" t="n">
        <f aca="false">'SVC-1 Model'!BW57</f>
        <v>1.069884682</v>
      </c>
      <c r="BX79" s="216" t="n">
        <f aca="false">'SVC-1 Model'!BX57</f>
        <v>1.069884682</v>
      </c>
      <c r="BY79" s="216" t="n">
        <f aca="false">'SVC-1 Model'!BY57</f>
        <v>1.069884682</v>
      </c>
      <c r="BZ79" s="216" t="n">
        <f aca="false">'SVC-1 Model'!BZ57</f>
        <v>1.069884682</v>
      </c>
      <c r="CA79" s="216" t="n">
        <f aca="false">'SVC-1 Model'!CA57</f>
        <v>1.069884682</v>
      </c>
      <c r="CC79" s="79" t="n">
        <f aca="false">SUMIFS($T79:$CA79, $T$1:$CA$1, CC$63)</f>
        <v>0</v>
      </c>
      <c r="CD79" s="79" t="n">
        <f aca="false">SUMIFS($T79:$CA79, $T$1:$CA$1, CD$63)</f>
        <v>2.22892642083333</v>
      </c>
      <c r="CE79" s="79" t="n">
        <f aca="false">SUMIFS($T79:$CA79, $T$1:$CA$1, CE$63)</f>
        <v>12.7494591271667</v>
      </c>
      <c r="CF79" s="79" t="n">
        <f aca="false">SUMIFS($T79:$CA79, $T$1:$CA$1, CF$63)</f>
        <v>12.838616184</v>
      </c>
      <c r="CG79" s="79" t="n">
        <f aca="false">SUMIFS($T79:$CA79, $T$1:$CA$1, CG$63)</f>
        <v>12.838616184</v>
      </c>
      <c r="CI79" s="79" t="n">
        <f aca="false">CC79=L79</f>
        <v>1</v>
      </c>
      <c r="CJ79" s="79" t="n">
        <f aca="false">CD79=M79</f>
        <v>1</v>
      </c>
      <c r="CK79" s="79" t="n">
        <f aca="false">CE79=N79</f>
        <v>1</v>
      </c>
      <c r="CL79" s="79" t="n">
        <f aca="false">CF79=O79</f>
        <v>1</v>
      </c>
      <c r="CM79" s="79" t="n">
        <f aca="false">CG79=P79</f>
        <v>1</v>
      </c>
    </row>
    <row r="80" s="14" customFormat="true" ht="16.5" hidden="false" customHeight="true" outlineLevel="0" collapsed="false">
      <c r="E80" s="91"/>
      <c r="H80" s="71"/>
      <c r="I80" s="91" t="n">
        <v>0</v>
      </c>
      <c r="J80" s="91" t="n">
        <v>0</v>
      </c>
      <c r="K80" s="212" t="n">
        <f aca="false">I80-J80</f>
        <v>0</v>
      </c>
      <c r="L80" s="91"/>
      <c r="M80" s="91"/>
      <c r="N80" s="91"/>
      <c r="O80" s="91"/>
      <c r="P80" s="91"/>
      <c r="Q80" s="93"/>
      <c r="R80" s="16" t="str">
        <f aca="false">IF(K80=P80, "", "Error")</f>
        <v/>
      </c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4"/>
      <c r="AF80" s="95"/>
      <c r="AG80" s="91"/>
      <c r="AH80" s="91"/>
      <c r="AI80" s="91"/>
      <c r="AJ80" s="91"/>
      <c r="AK80" s="91"/>
      <c r="AL80" s="91"/>
      <c r="AM80" s="91"/>
      <c r="AN80" s="91"/>
      <c r="AO80" s="91"/>
      <c r="AP80" s="91"/>
      <c r="AQ80" s="94"/>
      <c r="AR80" s="95"/>
      <c r="AS80" s="91"/>
      <c r="AT80" s="91"/>
      <c r="AU80" s="91"/>
      <c r="AV80" s="91"/>
      <c r="AW80" s="91"/>
      <c r="AX80" s="91"/>
      <c r="AY80" s="91"/>
      <c r="AZ80" s="91"/>
      <c r="BA80" s="91"/>
      <c r="BB80" s="91"/>
      <c r="BC80" s="94"/>
      <c r="BD80" s="95"/>
      <c r="BE80" s="91"/>
      <c r="BF80" s="91"/>
      <c r="BG80" s="91"/>
      <c r="BH80" s="91"/>
      <c r="BI80" s="91"/>
      <c r="BJ80" s="91"/>
      <c r="BK80" s="91"/>
      <c r="BL80" s="91"/>
      <c r="BM80" s="91"/>
      <c r="BN80" s="91"/>
      <c r="BO80" s="94"/>
      <c r="BP80" s="95"/>
      <c r="BQ80" s="91"/>
      <c r="BR80" s="91"/>
      <c r="BS80" s="91"/>
      <c r="BT80" s="91"/>
      <c r="BU80" s="91"/>
      <c r="BV80" s="91"/>
      <c r="BW80" s="91"/>
      <c r="BX80" s="91"/>
      <c r="BY80" s="91"/>
      <c r="BZ80" s="91"/>
      <c r="CA80" s="91"/>
      <c r="CC80" s="79" t="n">
        <f aca="false">SUMIFS($T80:$CA80, $T$1:$CA$1, CC$63)</f>
        <v>0</v>
      </c>
      <c r="CD80" s="79" t="n">
        <f aca="false">SUMIFS($T80:$CA80, $T$1:$CA$1, CD$63)</f>
        <v>0</v>
      </c>
      <c r="CE80" s="79" t="n">
        <f aca="false">SUMIFS($T80:$CA80, $T$1:$CA$1, CE$63)</f>
        <v>0</v>
      </c>
      <c r="CF80" s="79" t="n">
        <f aca="false">SUMIFS($T80:$CA80, $T$1:$CA$1, CF$63)</f>
        <v>0</v>
      </c>
      <c r="CG80" s="79" t="n">
        <f aca="false">SUMIFS($T80:$CA80, $T$1:$CA$1, CG$63)</f>
        <v>0</v>
      </c>
      <c r="CI80" s="79" t="n">
        <f aca="false">CC80=L80</f>
        <v>1</v>
      </c>
      <c r="CJ80" s="79" t="n">
        <f aca="false">CD80=M80</f>
        <v>1</v>
      </c>
      <c r="CK80" s="79" t="n">
        <f aca="false">CE80=N80</f>
        <v>1</v>
      </c>
      <c r="CL80" s="79" t="n">
        <f aca="false">CF80=O80</f>
        <v>1</v>
      </c>
      <c r="CM80" s="79" t="n">
        <f aca="false">CG80=P80</f>
        <v>1</v>
      </c>
    </row>
    <row r="81" s="14" customFormat="true" ht="16.5" hidden="false" customHeight="true" outlineLevel="0" collapsed="false">
      <c r="E81" s="91"/>
      <c r="H81" s="71"/>
      <c r="I81" s="91" t="n">
        <v>0</v>
      </c>
      <c r="J81" s="91" t="n">
        <v>0</v>
      </c>
      <c r="K81" s="212" t="n">
        <f aca="false">I81-J81</f>
        <v>0</v>
      </c>
      <c r="L81" s="91"/>
      <c r="M81" s="91"/>
      <c r="N81" s="91"/>
      <c r="O81" s="91"/>
      <c r="P81" s="91"/>
      <c r="Q81" s="93"/>
      <c r="R81" s="16" t="str">
        <f aca="false">IF(K81=P81, "", "Error")</f>
        <v/>
      </c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4"/>
      <c r="AF81" s="95"/>
      <c r="AG81" s="91"/>
      <c r="AH81" s="91"/>
      <c r="AI81" s="91"/>
      <c r="AJ81" s="91"/>
      <c r="AK81" s="91"/>
      <c r="AL81" s="91"/>
      <c r="AM81" s="91"/>
      <c r="AN81" s="91"/>
      <c r="AO81" s="91"/>
      <c r="AP81" s="91"/>
      <c r="AQ81" s="94"/>
      <c r="AR81" s="95"/>
      <c r="AS81" s="91"/>
      <c r="AT81" s="91"/>
      <c r="AU81" s="91"/>
      <c r="AV81" s="91"/>
      <c r="AW81" s="91"/>
      <c r="AX81" s="91"/>
      <c r="AY81" s="91"/>
      <c r="AZ81" s="91"/>
      <c r="BA81" s="91"/>
      <c r="BB81" s="91"/>
      <c r="BC81" s="94"/>
      <c r="BD81" s="95"/>
      <c r="BE81" s="91"/>
      <c r="BF81" s="91"/>
      <c r="BG81" s="91"/>
      <c r="BH81" s="91"/>
      <c r="BI81" s="91"/>
      <c r="BJ81" s="91"/>
      <c r="BK81" s="91"/>
      <c r="BL81" s="91"/>
      <c r="BM81" s="91"/>
      <c r="BN81" s="91"/>
      <c r="BO81" s="94"/>
      <c r="BP81" s="95"/>
      <c r="BQ81" s="91"/>
      <c r="BR81" s="91"/>
      <c r="BS81" s="91"/>
      <c r="BT81" s="91"/>
      <c r="BU81" s="91"/>
      <c r="BV81" s="91"/>
      <c r="BW81" s="91"/>
      <c r="BX81" s="91"/>
      <c r="BY81" s="91"/>
      <c r="BZ81" s="91"/>
      <c r="CA81" s="91"/>
      <c r="CC81" s="79" t="n">
        <f aca="false">SUMIFS($T81:$CA81, $T$1:$CA$1, CC$63)</f>
        <v>0</v>
      </c>
      <c r="CD81" s="79" t="n">
        <f aca="false">SUMIFS($T81:$CA81, $T$1:$CA$1, CD$63)</f>
        <v>0</v>
      </c>
      <c r="CE81" s="79" t="n">
        <f aca="false">SUMIFS($T81:$CA81, $T$1:$CA$1, CE$63)</f>
        <v>0</v>
      </c>
      <c r="CF81" s="79" t="n">
        <f aca="false">SUMIFS($T81:$CA81, $T$1:$CA$1, CF$63)</f>
        <v>0</v>
      </c>
      <c r="CG81" s="79" t="n">
        <f aca="false">SUMIFS($T81:$CA81, $T$1:$CA$1, CG$63)</f>
        <v>0</v>
      </c>
      <c r="CI81" s="79" t="n">
        <f aca="false">CC81=L81</f>
        <v>1</v>
      </c>
      <c r="CJ81" s="79" t="n">
        <f aca="false">CD81=M81</f>
        <v>1</v>
      </c>
      <c r="CK81" s="79" t="n">
        <f aca="false">CE81=N81</f>
        <v>1</v>
      </c>
      <c r="CL81" s="79" t="n">
        <f aca="false">CF81=O81</f>
        <v>1</v>
      </c>
      <c r="CM81" s="79" t="n">
        <f aca="false">CG81=P81</f>
        <v>1</v>
      </c>
    </row>
    <row r="82" s="14" customFormat="true" ht="16.5" hidden="false" customHeight="true" outlineLevel="0" collapsed="false">
      <c r="E82" s="91"/>
      <c r="H82" s="71"/>
      <c r="I82" s="91" t="n">
        <v>0</v>
      </c>
      <c r="J82" s="91" t="n">
        <v>0</v>
      </c>
      <c r="K82" s="212" t="n">
        <f aca="false">I82-J82</f>
        <v>0</v>
      </c>
      <c r="L82" s="91"/>
      <c r="M82" s="91"/>
      <c r="N82" s="91"/>
      <c r="O82" s="91"/>
      <c r="P82" s="91"/>
      <c r="Q82" s="93"/>
      <c r="R82" s="16" t="str">
        <f aca="false">IF(K82=P82, "", "Error")</f>
        <v/>
      </c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4"/>
      <c r="AF82" s="95"/>
      <c r="AG82" s="91"/>
      <c r="AH82" s="91"/>
      <c r="AI82" s="91"/>
      <c r="AJ82" s="91"/>
      <c r="AK82" s="91"/>
      <c r="AL82" s="91"/>
      <c r="AM82" s="91"/>
      <c r="AN82" s="91"/>
      <c r="AO82" s="91"/>
      <c r="AP82" s="91"/>
      <c r="AQ82" s="94"/>
      <c r="AR82" s="95"/>
      <c r="AS82" s="91"/>
      <c r="AT82" s="91"/>
      <c r="AU82" s="91"/>
      <c r="AV82" s="91"/>
      <c r="AW82" s="91"/>
      <c r="AX82" s="91"/>
      <c r="AY82" s="91"/>
      <c r="AZ82" s="91"/>
      <c r="BA82" s="91"/>
      <c r="BB82" s="91"/>
      <c r="BC82" s="94"/>
      <c r="BD82" s="95"/>
      <c r="BE82" s="91"/>
      <c r="BF82" s="91"/>
      <c r="BG82" s="91"/>
      <c r="BH82" s="91"/>
      <c r="BI82" s="91"/>
      <c r="BJ82" s="91"/>
      <c r="BK82" s="91"/>
      <c r="BL82" s="91"/>
      <c r="BM82" s="91"/>
      <c r="BN82" s="91"/>
      <c r="BO82" s="94"/>
      <c r="BP82" s="95"/>
      <c r="BQ82" s="91"/>
      <c r="BR82" s="91"/>
      <c r="BS82" s="91"/>
      <c r="BT82" s="91"/>
      <c r="BU82" s="91"/>
      <c r="BV82" s="91"/>
      <c r="BW82" s="91"/>
      <c r="BX82" s="91"/>
      <c r="BY82" s="91"/>
      <c r="BZ82" s="91"/>
      <c r="CA82" s="91"/>
      <c r="CC82" s="79" t="n">
        <f aca="false">SUMIFS($T82:$CA82, $T$1:$CA$1, CC$63)</f>
        <v>0</v>
      </c>
      <c r="CD82" s="79" t="n">
        <f aca="false">SUMIFS($T82:$CA82, $T$1:$CA$1, CD$63)</f>
        <v>0</v>
      </c>
      <c r="CE82" s="79" t="n">
        <f aca="false">SUMIFS($T82:$CA82, $T$1:$CA$1, CE$63)</f>
        <v>0</v>
      </c>
      <c r="CF82" s="79" t="n">
        <f aca="false">SUMIFS($T82:$CA82, $T$1:$CA$1, CF$63)</f>
        <v>0</v>
      </c>
      <c r="CG82" s="79" t="n">
        <f aca="false">SUMIFS($T82:$CA82, $T$1:$CA$1, CG$63)</f>
        <v>0</v>
      </c>
      <c r="CI82" s="79" t="n">
        <f aca="false">CC82=L82</f>
        <v>1</v>
      </c>
      <c r="CJ82" s="79" t="n">
        <f aca="false">CD82=M82</f>
        <v>1</v>
      </c>
      <c r="CK82" s="79" t="n">
        <f aca="false">CE82=N82</f>
        <v>1</v>
      </c>
      <c r="CL82" s="79" t="n">
        <f aca="false">CF82=O82</f>
        <v>1</v>
      </c>
      <c r="CM82" s="79" t="n">
        <f aca="false">CG82=P82</f>
        <v>1</v>
      </c>
    </row>
    <row r="83" s="14" customFormat="true" ht="16.5" hidden="false" customHeight="true" outlineLevel="0" collapsed="false">
      <c r="E83" s="91"/>
      <c r="H83" s="71"/>
      <c r="I83" s="91" t="n">
        <v>0</v>
      </c>
      <c r="J83" s="91" t="n">
        <v>0</v>
      </c>
      <c r="K83" s="212" t="n">
        <f aca="false">I83-J83</f>
        <v>0</v>
      </c>
      <c r="L83" s="91"/>
      <c r="M83" s="91"/>
      <c r="N83" s="91"/>
      <c r="O83" s="91"/>
      <c r="P83" s="91"/>
      <c r="Q83" s="93"/>
      <c r="R83" s="16" t="str">
        <f aca="false">IF(K83=P83, "", "Error")</f>
        <v/>
      </c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4"/>
      <c r="AF83" s="95"/>
      <c r="AG83" s="91"/>
      <c r="AH83" s="91"/>
      <c r="AI83" s="91"/>
      <c r="AJ83" s="91"/>
      <c r="AK83" s="91"/>
      <c r="AL83" s="91"/>
      <c r="AM83" s="91"/>
      <c r="AN83" s="91"/>
      <c r="AO83" s="91"/>
      <c r="AP83" s="91"/>
      <c r="AQ83" s="94"/>
      <c r="AR83" s="95"/>
      <c r="AS83" s="91"/>
      <c r="AT83" s="91"/>
      <c r="AU83" s="91"/>
      <c r="AV83" s="91"/>
      <c r="AW83" s="91"/>
      <c r="AX83" s="91"/>
      <c r="AY83" s="91"/>
      <c r="AZ83" s="91"/>
      <c r="BA83" s="91"/>
      <c r="BB83" s="91"/>
      <c r="BC83" s="94"/>
      <c r="BD83" s="95"/>
      <c r="BE83" s="91"/>
      <c r="BF83" s="91"/>
      <c r="BG83" s="91"/>
      <c r="BH83" s="91"/>
      <c r="BI83" s="91"/>
      <c r="BJ83" s="91"/>
      <c r="BK83" s="91"/>
      <c r="BL83" s="91"/>
      <c r="BM83" s="91"/>
      <c r="BN83" s="91"/>
      <c r="BO83" s="94"/>
      <c r="BP83" s="95"/>
      <c r="BQ83" s="91"/>
      <c r="BR83" s="91"/>
      <c r="BS83" s="91"/>
      <c r="BT83" s="91"/>
      <c r="BU83" s="91"/>
      <c r="BV83" s="91"/>
      <c r="BW83" s="91"/>
      <c r="BX83" s="91"/>
      <c r="BY83" s="91"/>
      <c r="BZ83" s="91"/>
      <c r="CA83" s="91"/>
      <c r="CC83" s="79" t="n">
        <f aca="false">SUMIFS($T83:$CA83, $T$1:$CA$1, CC$63)</f>
        <v>0</v>
      </c>
      <c r="CD83" s="79" t="n">
        <f aca="false">SUMIFS($T83:$CA83, $T$1:$CA$1, CD$63)</f>
        <v>0</v>
      </c>
      <c r="CE83" s="79" t="n">
        <f aca="false">SUMIFS($T83:$CA83, $T$1:$CA$1, CE$63)</f>
        <v>0</v>
      </c>
      <c r="CF83" s="79" t="n">
        <f aca="false">SUMIFS($T83:$CA83, $T$1:$CA$1, CF$63)</f>
        <v>0</v>
      </c>
      <c r="CG83" s="79" t="n">
        <f aca="false">SUMIFS($T83:$CA83, $T$1:$CA$1, CG$63)</f>
        <v>0</v>
      </c>
      <c r="CI83" s="79" t="n">
        <f aca="false">CC83=L83</f>
        <v>1</v>
      </c>
      <c r="CJ83" s="79" t="n">
        <f aca="false">CD83=M83</f>
        <v>1</v>
      </c>
      <c r="CK83" s="79" t="n">
        <f aca="false">CE83=N83</f>
        <v>1</v>
      </c>
      <c r="CL83" s="79" t="n">
        <f aca="false">CF83=O83</f>
        <v>1</v>
      </c>
      <c r="CM83" s="79" t="n">
        <f aca="false">CG83=P83</f>
        <v>1</v>
      </c>
    </row>
    <row r="84" s="14" customFormat="true" ht="16.5" hidden="false" customHeight="true" outlineLevel="0" collapsed="false">
      <c r="E84" s="96" t="s">
        <v>143</v>
      </c>
      <c r="H84" s="71"/>
      <c r="I84" s="82" t="n">
        <f aca="false">SUM(I79:I83)</f>
        <v>156.0245364</v>
      </c>
      <c r="J84" s="82" t="n">
        <f aca="false">SUM(J79:J83)</f>
        <v>143.185920216</v>
      </c>
      <c r="K84" s="82" t="n">
        <f aca="false">SUM(K79:K83)</f>
        <v>12.838616184</v>
      </c>
      <c r="L84" s="82" t="n">
        <f aca="false">SUM(L79:L83)</f>
        <v>0</v>
      </c>
      <c r="M84" s="82" t="n">
        <f aca="false">SUM(M79:M83)</f>
        <v>2.22892642083333</v>
      </c>
      <c r="N84" s="82" t="n">
        <f aca="false">SUM(N79:N83)</f>
        <v>12.7494591271667</v>
      </c>
      <c r="O84" s="82" t="n">
        <f aca="false">SUM(O79:O83)</f>
        <v>12.838616184</v>
      </c>
      <c r="P84" s="82" t="n">
        <f aca="false">SUM(P79:P83)</f>
        <v>12.838616184</v>
      </c>
      <c r="Q84" s="103"/>
      <c r="R84" s="103"/>
      <c r="S84" s="104"/>
      <c r="T84" s="82" t="n">
        <f aca="false">SUM(T79:T83)</f>
        <v>0</v>
      </c>
      <c r="U84" s="82" t="n">
        <f aca="false">SUM(U79:U83)</f>
        <v>0</v>
      </c>
      <c r="V84" s="82" t="n">
        <f aca="false">SUM(V79:V83)</f>
        <v>0</v>
      </c>
      <c r="W84" s="82" t="n">
        <f aca="false">SUM(W79:W83)</f>
        <v>0</v>
      </c>
      <c r="X84" s="82" t="n">
        <f aca="false">SUM(X79:X83)</f>
        <v>0</v>
      </c>
      <c r="Y84" s="82" t="n">
        <f aca="false">SUM(Y79:Y83)</f>
        <v>0</v>
      </c>
      <c r="Z84" s="82" t="n">
        <f aca="false">SUM(Z79:Z83)</f>
        <v>0</v>
      </c>
      <c r="AA84" s="82" t="n">
        <f aca="false">SUM(AA79:AA83)</f>
        <v>0</v>
      </c>
      <c r="AB84" s="82" t="n">
        <f aca="false">SUM(AB79:AB83)</f>
        <v>0</v>
      </c>
      <c r="AC84" s="82" t="n">
        <f aca="false">SUM(AC79:AC83)</f>
        <v>0</v>
      </c>
      <c r="AD84" s="82" t="n">
        <f aca="false">SUM(AD79:AD83)</f>
        <v>0</v>
      </c>
      <c r="AE84" s="82" t="n">
        <f aca="false">SUM(AE79:AE83)</f>
        <v>0</v>
      </c>
      <c r="AF84" s="82" t="n">
        <f aca="false">SUM(AF79:AF83)</f>
        <v>0</v>
      </c>
      <c r="AG84" s="82" t="n">
        <f aca="false">SUM(AG79:AG83)</f>
        <v>0</v>
      </c>
      <c r="AH84" s="82" t="n">
        <f aca="false">SUM(AH79:AH83)</f>
        <v>0</v>
      </c>
      <c r="AI84" s="82" t="n">
        <f aca="false">SUM(AI79:AI83)</f>
        <v>0</v>
      </c>
      <c r="AJ84" s="82" t="n">
        <f aca="false">SUM(AJ79:AJ83)</f>
        <v>0</v>
      </c>
      <c r="AK84" s="82" t="n">
        <f aca="false">SUM(AK79:AK83)</f>
        <v>0</v>
      </c>
      <c r="AL84" s="82" t="n">
        <f aca="false">SUM(AL79:AL83)</f>
        <v>0</v>
      </c>
      <c r="AM84" s="82" t="n">
        <f aca="false">SUM(AM79:AM83)</f>
        <v>0.0891570568333333</v>
      </c>
      <c r="AN84" s="82" t="n">
        <f aca="false">SUM(AN79:AN83)</f>
        <v>0.2674711705</v>
      </c>
      <c r="AO84" s="82" t="n">
        <f aca="false">SUM(AO79:AO83)</f>
        <v>0.445785284166667</v>
      </c>
      <c r="AP84" s="82" t="n">
        <f aca="false">SUM(AP79:AP83)</f>
        <v>0.624099397833334</v>
      </c>
      <c r="AQ84" s="82" t="n">
        <f aca="false">SUM(AQ79:AQ83)</f>
        <v>0.8024135115</v>
      </c>
      <c r="AR84" s="82" t="n">
        <f aca="false">SUM(AR79:AR83)</f>
        <v>0.980727625166667</v>
      </c>
      <c r="AS84" s="82" t="n">
        <f aca="false">SUM(AS79:AS83)</f>
        <v>1.069884682</v>
      </c>
      <c r="AT84" s="82" t="n">
        <f aca="false">SUM(AT79:AT83)</f>
        <v>1.069884682</v>
      </c>
      <c r="AU84" s="82" t="n">
        <f aca="false">SUM(AU79:AU83)</f>
        <v>1.069884682</v>
      </c>
      <c r="AV84" s="82" t="n">
        <f aca="false">SUM(AV79:AV83)</f>
        <v>1.069884682</v>
      </c>
      <c r="AW84" s="82" t="n">
        <f aca="false">SUM(AW79:AW83)</f>
        <v>1.069884682</v>
      </c>
      <c r="AX84" s="82" t="n">
        <f aca="false">SUM(AX79:AX83)</f>
        <v>1.069884682</v>
      </c>
      <c r="AY84" s="82" t="n">
        <f aca="false">SUM(AY79:AY83)</f>
        <v>1.069884682</v>
      </c>
      <c r="AZ84" s="82" t="n">
        <f aca="false">SUM(AZ79:AZ83)</f>
        <v>1.069884682</v>
      </c>
      <c r="BA84" s="82" t="n">
        <f aca="false">SUM(BA79:BA83)</f>
        <v>1.069884682</v>
      </c>
      <c r="BB84" s="82" t="n">
        <f aca="false">SUM(BB79:BB83)</f>
        <v>1.069884682</v>
      </c>
      <c r="BC84" s="82" t="n">
        <f aca="false">SUM(BC79:BC83)</f>
        <v>1.069884682</v>
      </c>
      <c r="BD84" s="82" t="n">
        <f aca="false">SUM(BD79:BD83)</f>
        <v>1.069884682</v>
      </c>
      <c r="BE84" s="82" t="n">
        <f aca="false">SUM(BE79:BE83)</f>
        <v>1.069884682</v>
      </c>
      <c r="BF84" s="82" t="n">
        <f aca="false">SUM(BF79:BF83)</f>
        <v>1.069884682</v>
      </c>
      <c r="BG84" s="82" t="n">
        <f aca="false">SUM(BG79:BG83)</f>
        <v>1.069884682</v>
      </c>
      <c r="BH84" s="82" t="n">
        <f aca="false">SUM(BH79:BH83)</f>
        <v>1.069884682</v>
      </c>
      <c r="BI84" s="82" t="n">
        <f aca="false">SUM(BI79:BI83)</f>
        <v>1.069884682</v>
      </c>
      <c r="BJ84" s="82" t="n">
        <f aca="false">SUM(BJ79:BJ83)</f>
        <v>1.069884682</v>
      </c>
      <c r="BK84" s="82" t="n">
        <f aca="false">SUM(BK79:BK83)</f>
        <v>1.069884682</v>
      </c>
      <c r="BL84" s="82" t="n">
        <f aca="false">SUM(BL79:BL83)</f>
        <v>1.069884682</v>
      </c>
      <c r="BM84" s="82" t="n">
        <f aca="false">SUM(BM79:BM83)</f>
        <v>1.069884682</v>
      </c>
      <c r="BN84" s="82" t="n">
        <f aca="false">SUM(BN79:BN83)</f>
        <v>1.069884682</v>
      </c>
      <c r="BO84" s="82" t="n">
        <f aca="false">SUM(BO79:BO83)</f>
        <v>1.069884682</v>
      </c>
      <c r="BP84" s="82" t="n">
        <f aca="false">SUM(BP79:BP83)</f>
        <v>1.069884682</v>
      </c>
      <c r="BQ84" s="82" t="n">
        <f aca="false">SUM(BQ79:BQ83)</f>
        <v>1.069884682</v>
      </c>
      <c r="BR84" s="82" t="n">
        <f aca="false">SUM(BR79:BR83)</f>
        <v>1.069884682</v>
      </c>
      <c r="BS84" s="82" t="n">
        <f aca="false">SUM(BS79:BS83)</f>
        <v>1.069884682</v>
      </c>
      <c r="BT84" s="82" t="n">
        <f aca="false">SUM(BT79:BT83)</f>
        <v>1.069884682</v>
      </c>
      <c r="BU84" s="82" t="n">
        <f aca="false">SUM(BU79:BU83)</f>
        <v>1.069884682</v>
      </c>
      <c r="BV84" s="82" t="n">
        <f aca="false">SUM(BV79:BV83)</f>
        <v>1.069884682</v>
      </c>
      <c r="BW84" s="82" t="n">
        <f aca="false">SUM(BW79:BW83)</f>
        <v>1.069884682</v>
      </c>
      <c r="BX84" s="82" t="n">
        <f aca="false">SUM(BX79:BX83)</f>
        <v>1.069884682</v>
      </c>
      <c r="BY84" s="82" t="n">
        <f aca="false">SUM(BY79:BY83)</f>
        <v>1.069884682</v>
      </c>
      <c r="BZ84" s="82" t="n">
        <f aca="false">SUM(BZ79:BZ83)</f>
        <v>1.069884682</v>
      </c>
      <c r="CA84" s="82" t="n">
        <f aca="false">SUM(CA79:CA83)</f>
        <v>1.069884682</v>
      </c>
      <c r="CB84" s="104"/>
      <c r="CC84" s="105" t="n">
        <f aca="false">SUM(CC79:CC83)</f>
        <v>0</v>
      </c>
      <c r="CD84" s="105" t="n">
        <f aca="false">SUM(CD79:CD83)</f>
        <v>2.22892642083333</v>
      </c>
      <c r="CE84" s="105" t="n">
        <f aca="false">SUM(CE79:CE83)</f>
        <v>12.7494591271667</v>
      </c>
      <c r="CF84" s="105" t="n">
        <f aca="false">SUM(CF79:CF83)</f>
        <v>12.838616184</v>
      </c>
      <c r="CG84" s="105" t="n">
        <f aca="false">SUM(CG79:CG83)</f>
        <v>12.838616184</v>
      </c>
      <c r="CI84" s="84" t="n">
        <f aca="false">CC84=L84</f>
        <v>1</v>
      </c>
      <c r="CJ84" s="84" t="n">
        <f aca="false">CD84=M84</f>
        <v>1</v>
      </c>
      <c r="CK84" s="84" t="n">
        <f aca="false">CE84=N84</f>
        <v>1</v>
      </c>
      <c r="CL84" s="84" t="n">
        <f aca="false">CF84=O84</f>
        <v>1</v>
      </c>
      <c r="CM84" s="84" t="n">
        <f aca="false">CG84=P84</f>
        <v>1</v>
      </c>
    </row>
    <row r="85" s="14" customFormat="true" ht="16.5" hidden="false" customHeight="true" outlineLevel="0" collapsed="false">
      <c r="E85" s="96"/>
      <c r="H85" s="71"/>
      <c r="I85" s="82"/>
      <c r="J85" s="82"/>
      <c r="K85" s="82"/>
      <c r="L85" s="82"/>
      <c r="M85" s="82"/>
      <c r="N85" s="82"/>
      <c r="O85" s="82"/>
      <c r="P85" s="82"/>
      <c r="Q85" s="16"/>
      <c r="R85" s="16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3"/>
      <c r="AG85" s="82"/>
      <c r="AH85" s="82"/>
      <c r="AI85" s="82"/>
      <c r="AJ85" s="82"/>
      <c r="AK85" s="82"/>
      <c r="AL85" s="82"/>
      <c r="AM85" s="82"/>
      <c r="AN85" s="82"/>
      <c r="AO85" s="82"/>
      <c r="AP85" s="82"/>
      <c r="AQ85" s="82"/>
      <c r="AR85" s="83"/>
      <c r="AS85" s="82"/>
      <c r="AT85" s="82"/>
      <c r="AU85" s="82"/>
      <c r="AV85" s="82"/>
      <c r="AW85" s="82"/>
      <c r="AX85" s="82"/>
      <c r="AY85" s="82"/>
      <c r="AZ85" s="82"/>
      <c r="BA85" s="82"/>
      <c r="BB85" s="82"/>
      <c r="BC85" s="82"/>
      <c r="BD85" s="83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3"/>
      <c r="BQ85" s="82"/>
      <c r="BR85" s="82"/>
      <c r="BS85" s="82"/>
      <c r="BT85" s="82"/>
      <c r="BU85" s="82"/>
      <c r="BV85" s="82"/>
      <c r="BW85" s="82"/>
      <c r="BX85" s="82"/>
      <c r="BY85" s="82"/>
      <c r="BZ85" s="82"/>
      <c r="CA85" s="82"/>
      <c r="CC85" s="84"/>
      <c r="CD85" s="84"/>
      <c r="CE85" s="84"/>
      <c r="CF85" s="84"/>
      <c r="CG85" s="84"/>
      <c r="CI85" s="84"/>
      <c r="CJ85" s="84"/>
      <c r="CK85" s="84"/>
      <c r="CL85" s="84"/>
      <c r="CM85" s="84"/>
    </row>
    <row r="86" s="14" customFormat="true" ht="16.5" hidden="false" customHeight="true" outlineLevel="0" collapsed="false">
      <c r="E86" s="96"/>
      <c r="H86" s="71"/>
      <c r="I86" s="82"/>
      <c r="J86" s="82"/>
      <c r="K86" s="82"/>
      <c r="L86" s="82"/>
      <c r="M86" s="82"/>
      <c r="N86" s="82"/>
      <c r="O86" s="82"/>
      <c r="P86" s="82"/>
      <c r="Q86" s="16"/>
      <c r="R86" s="16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3"/>
      <c r="AG86" s="82"/>
      <c r="AH86" s="82"/>
      <c r="AI86" s="82"/>
      <c r="AJ86" s="82"/>
      <c r="AK86" s="82"/>
      <c r="AL86" s="82"/>
      <c r="AM86" s="82"/>
      <c r="AN86" s="82"/>
      <c r="AO86" s="82"/>
      <c r="AP86" s="82"/>
      <c r="AQ86" s="82"/>
      <c r="AR86" s="83"/>
      <c r="AS86" s="82"/>
      <c r="AT86" s="82"/>
      <c r="AU86" s="82"/>
      <c r="AV86" s="82"/>
      <c r="AW86" s="82"/>
      <c r="AX86" s="82"/>
      <c r="AY86" s="82"/>
      <c r="AZ86" s="82"/>
      <c r="BA86" s="82"/>
      <c r="BB86" s="82"/>
      <c r="BC86" s="82"/>
      <c r="BD86" s="83"/>
      <c r="BE86" s="82"/>
      <c r="BF86" s="82"/>
      <c r="BG86" s="82"/>
      <c r="BH86" s="82"/>
      <c r="BI86" s="82"/>
      <c r="BJ86" s="82"/>
      <c r="BK86" s="82"/>
      <c r="BL86" s="82"/>
      <c r="BM86" s="82"/>
      <c r="BN86" s="82"/>
      <c r="BO86" s="82"/>
      <c r="BP86" s="83"/>
      <c r="BQ86" s="82"/>
      <c r="BR86" s="82"/>
      <c r="BS86" s="82"/>
      <c r="BT86" s="82"/>
      <c r="BU86" s="82"/>
      <c r="BV86" s="82"/>
      <c r="BW86" s="82"/>
      <c r="BX86" s="82"/>
      <c r="BY86" s="82"/>
      <c r="BZ86" s="82"/>
      <c r="CA86" s="82"/>
      <c r="CC86" s="84"/>
      <c r="CD86" s="84"/>
      <c r="CE86" s="84"/>
      <c r="CF86" s="84"/>
      <c r="CG86" s="84"/>
      <c r="CI86" s="84"/>
      <c r="CJ86" s="84"/>
      <c r="CK86" s="84"/>
      <c r="CL86" s="84"/>
      <c r="CM86" s="84"/>
    </row>
    <row r="87" s="14" customFormat="true" ht="16.5" hidden="false" customHeight="true" outlineLevel="0" collapsed="false">
      <c r="E87" s="85"/>
      <c r="H87" s="71"/>
      <c r="I87" s="88"/>
      <c r="J87" s="88"/>
      <c r="K87" s="88"/>
      <c r="L87" s="88"/>
      <c r="M87" s="88"/>
      <c r="N87" s="88"/>
      <c r="O87" s="88"/>
      <c r="P87" s="88"/>
      <c r="Q87" s="16"/>
      <c r="R87" s="16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9"/>
      <c r="AG87" s="88"/>
      <c r="AH87" s="88"/>
      <c r="AI87" s="88"/>
      <c r="AJ87" s="88"/>
      <c r="AK87" s="88"/>
      <c r="AL87" s="88"/>
      <c r="AM87" s="88"/>
      <c r="AN87" s="88"/>
      <c r="AO87" s="88"/>
      <c r="AP87" s="88"/>
      <c r="AQ87" s="88"/>
      <c r="AR87" s="89"/>
      <c r="AS87" s="88"/>
      <c r="AT87" s="88"/>
      <c r="AU87" s="88"/>
      <c r="AV87" s="88"/>
      <c r="AW87" s="88"/>
      <c r="AX87" s="88"/>
      <c r="AY87" s="88"/>
      <c r="AZ87" s="88"/>
      <c r="BA87" s="88"/>
      <c r="BB87" s="88"/>
      <c r="BC87" s="88"/>
      <c r="BD87" s="89"/>
      <c r="BE87" s="88"/>
      <c r="BF87" s="88"/>
      <c r="BG87" s="88"/>
      <c r="BH87" s="88"/>
      <c r="BI87" s="88"/>
      <c r="BJ87" s="88"/>
      <c r="BK87" s="88"/>
      <c r="BL87" s="88"/>
      <c r="BM87" s="88"/>
      <c r="BN87" s="88"/>
      <c r="BO87" s="88"/>
      <c r="BP87" s="89"/>
      <c r="BQ87" s="88"/>
      <c r="BR87" s="88"/>
      <c r="BS87" s="88"/>
      <c r="BT87" s="88"/>
      <c r="BU87" s="88"/>
      <c r="BV87" s="88"/>
      <c r="BW87" s="88"/>
      <c r="BX87" s="88"/>
      <c r="BY87" s="88"/>
      <c r="BZ87" s="88"/>
      <c r="CA87" s="88"/>
      <c r="CC87" s="90"/>
      <c r="CD87" s="90"/>
      <c r="CE87" s="90"/>
      <c r="CF87" s="90"/>
      <c r="CG87" s="90"/>
      <c r="CI87" s="90"/>
      <c r="CJ87" s="90"/>
      <c r="CK87" s="90"/>
      <c r="CL87" s="90"/>
      <c r="CM87" s="90"/>
    </row>
    <row r="88" s="14" customFormat="true" ht="16.5" hidden="false" customHeight="true" outlineLevel="0" collapsed="false">
      <c r="E88" s="109" t="s">
        <v>144</v>
      </c>
      <c r="F88" s="109"/>
      <c r="G88" s="109"/>
      <c r="H88" s="110"/>
      <c r="I88" s="217" t="n">
        <f aca="false">SUM(I68, I76, I84)</f>
        <v>156.0245364</v>
      </c>
      <c r="J88" s="217" t="n">
        <f aca="false">SUM(J68, J76, J84)</f>
        <v>143.185920216</v>
      </c>
      <c r="K88" s="217" t="n">
        <f aca="false">SUM(K68, K76, K84)</f>
        <v>12.838616184</v>
      </c>
      <c r="L88" s="217" t="n">
        <f aca="false">SUM(L68, L76, L84)</f>
        <v>0</v>
      </c>
      <c r="M88" s="217" t="n">
        <f aca="false">SUM(M68, M76, M84)</f>
        <v>2.22892642083333</v>
      </c>
      <c r="N88" s="217" t="n">
        <f aca="false">SUM(N68, N76, N84)</f>
        <v>12.7494591271667</v>
      </c>
      <c r="O88" s="217" t="n">
        <f aca="false">SUM(O68, O76, O84)</f>
        <v>12.838616184</v>
      </c>
      <c r="P88" s="217" t="n">
        <f aca="false">SUM(P68, P76, P84)</f>
        <v>12.838616184</v>
      </c>
      <c r="Q88" s="16"/>
      <c r="R88" s="16"/>
      <c r="T88" s="218" t="n">
        <f aca="false">SUM(T68, T76, T84)</f>
        <v>0</v>
      </c>
      <c r="U88" s="218" t="n">
        <f aca="false">SUM(U68, U76, U84)</f>
        <v>0</v>
      </c>
      <c r="V88" s="218" t="n">
        <f aca="false">SUM(V68, V76, V84)</f>
        <v>0</v>
      </c>
      <c r="W88" s="218" t="n">
        <f aca="false">SUM(W68, W76, W84)</f>
        <v>0</v>
      </c>
      <c r="X88" s="218" t="n">
        <f aca="false">SUM(X68, X76, X84)</f>
        <v>0</v>
      </c>
      <c r="Y88" s="218" t="n">
        <f aca="false">SUM(Y68, Y76, Y84)</f>
        <v>0</v>
      </c>
      <c r="Z88" s="218" t="n">
        <f aca="false">SUM(Z68, Z76, Z84)</f>
        <v>0</v>
      </c>
      <c r="AA88" s="218" t="n">
        <f aca="false">SUM(AA68, AA76, AA84)</f>
        <v>0</v>
      </c>
      <c r="AB88" s="218" t="n">
        <f aca="false">SUM(AB68, AB76, AB84)</f>
        <v>0</v>
      </c>
      <c r="AC88" s="218" t="n">
        <f aca="false">SUM(AC68, AC76, AC84)</f>
        <v>0</v>
      </c>
      <c r="AD88" s="218" t="n">
        <f aca="false">SUM(AD68, AD76, AD84)</f>
        <v>0</v>
      </c>
      <c r="AE88" s="218" t="n">
        <f aca="false">SUM(AE68, AE76, AE84)</f>
        <v>0</v>
      </c>
      <c r="AF88" s="218" t="n">
        <f aca="false">SUM(AF68, AF76, AF84)</f>
        <v>0</v>
      </c>
      <c r="AG88" s="218" t="n">
        <f aca="false">SUM(AG68, AG76, AG84)</f>
        <v>0</v>
      </c>
      <c r="AH88" s="218" t="n">
        <f aca="false">SUM(AH68, AH76, AH84)</f>
        <v>0</v>
      </c>
      <c r="AI88" s="218" t="n">
        <f aca="false">SUM(AI68, AI76, AI84)</f>
        <v>0</v>
      </c>
      <c r="AJ88" s="218" t="n">
        <f aca="false">SUM(AJ68, AJ76, AJ84)</f>
        <v>0</v>
      </c>
      <c r="AK88" s="218" t="n">
        <f aca="false">SUM(AK68, AK76, AK84)</f>
        <v>0</v>
      </c>
      <c r="AL88" s="218" t="n">
        <f aca="false">SUM(AL68, AL76, AL84)</f>
        <v>0</v>
      </c>
      <c r="AM88" s="218" t="n">
        <f aca="false">SUM(AM68, AM76, AM84)</f>
        <v>0.0891570568333333</v>
      </c>
      <c r="AN88" s="218" t="n">
        <f aca="false">SUM(AN68, AN76, AN84)</f>
        <v>0.2674711705</v>
      </c>
      <c r="AO88" s="218" t="n">
        <f aca="false">SUM(AO68, AO76, AO84)</f>
        <v>0.445785284166667</v>
      </c>
      <c r="AP88" s="218" t="n">
        <f aca="false">SUM(AP68, AP76, AP84)</f>
        <v>0.624099397833334</v>
      </c>
      <c r="AQ88" s="218" t="n">
        <f aca="false">SUM(AQ68, AQ76, AQ84)</f>
        <v>0.8024135115</v>
      </c>
      <c r="AR88" s="218" t="n">
        <f aca="false">SUM(AR68, AR76, AR84)</f>
        <v>0.980727625166667</v>
      </c>
      <c r="AS88" s="218" t="n">
        <f aca="false">SUM(AS68, AS76, AS84)</f>
        <v>1.069884682</v>
      </c>
      <c r="AT88" s="218" t="n">
        <f aca="false">SUM(AT68, AT76, AT84)</f>
        <v>1.069884682</v>
      </c>
      <c r="AU88" s="218" t="n">
        <f aca="false">SUM(AU68, AU76, AU84)</f>
        <v>1.069884682</v>
      </c>
      <c r="AV88" s="218" t="n">
        <f aca="false">SUM(AV68, AV76, AV84)</f>
        <v>1.069884682</v>
      </c>
      <c r="AW88" s="218" t="n">
        <f aca="false">SUM(AW68, AW76, AW84)</f>
        <v>1.069884682</v>
      </c>
      <c r="AX88" s="218" t="n">
        <f aca="false">SUM(AX68, AX76, AX84)</f>
        <v>1.069884682</v>
      </c>
      <c r="AY88" s="218" t="n">
        <f aca="false">SUM(AY68, AY76, AY84)</f>
        <v>1.069884682</v>
      </c>
      <c r="AZ88" s="218" t="n">
        <f aca="false">SUM(AZ68, AZ76, AZ84)</f>
        <v>1.069884682</v>
      </c>
      <c r="BA88" s="218" t="n">
        <f aca="false">SUM(BA68, BA76, BA84)</f>
        <v>1.069884682</v>
      </c>
      <c r="BB88" s="218" t="n">
        <f aca="false">SUM(BB68, BB76, BB84)</f>
        <v>1.069884682</v>
      </c>
      <c r="BC88" s="218" t="n">
        <f aca="false">SUM(BC68, BC76, BC84)</f>
        <v>1.069884682</v>
      </c>
      <c r="BD88" s="218" t="n">
        <f aca="false">SUM(BD68, BD76, BD84)</f>
        <v>1.069884682</v>
      </c>
      <c r="BE88" s="218" t="n">
        <f aca="false">SUM(BE68, BE76, BE84)</f>
        <v>1.069884682</v>
      </c>
      <c r="BF88" s="218" t="n">
        <f aca="false">SUM(BF68, BF76, BF84)</f>
        <v>1.069884682</v>
      </c>
      <c r="BG88" s="218" t="n">
        <f aca="false">SUM(BG68, BG76, BG84)</f>
        <v>1.069884682</v>
      </c>
      <c r="BH88" s="218" t="n">
        <f aca="false">SUM(BH68, BH76, BH84)</f>
        <v>1.069884682</v>
      </c>
      <c r="BI88" s="218" t="n">
        <f aca="false">SUM(BI68, BI76, BI84)</f>
        <v>1.069884682</v>
      </c>
      <c r="BJ88" s="218" t="n">
        <f aca="false">SUM(BJ68, BJ76, BJ84)</f>
        <v>1.069884682</v>
      </c>
      <c r="BK88" s="218" t="n">
        <f aca="false">SUM(BK68, BK76, BK84)</f>
        <v>1.069884682</v>
      </c>
      <c r="BL88" s="218" t="n">
        <f aca="false">SUM(BL68, BL76, BL84)</f>
        <v>1.069884682</v>
      </c>
      <c r="BM88" s="218" t="n">
        <f aca="false">SUM(BM68, BM76, BM84)</f>
        <v>1.069884682</v>
      </c>
      <c r="BN88" s="218" t="n">
        <f aca="false">SUM(BN68, BN76, BN84)</f>
        <v>1.069884682</v>
      </c>
      <c r="BO88" s="218" t="n">
        <f aca="false">SUM(BO68, BO76, BO84)</f>
        <v>1.069884682</v>
      </c>
      <c r="BP88" s="218" t="n">
        <f aca="false">SUM(BP68, BP76, BP84)</f>
        <v>1.069884682</v>
      </c>
      <c r="BQ88" s="218" t="n">
        <f aca="false">SUM(BQ68, BQ76, BQ84)</f>
        <v>1.069884682</v>
      </c>
      <c r="BR88" s="218" t="n">
        <f aca="false">SUM(BR68, BR76, BR84)</f>
        <v>1.069884682</v>
      </c>
      <c r="BS88" s="218" t="n">
        <f aca="false">SUM(BS68, BS76, BS84)</f>
        <v>1.069884682</v>
      </c>
      <c r="BT88" s="218" t="n">
        <f aca="false">SUM(BT68, BT76, BT84)</f>
        <v>1.069884682</v>
      </c>
      <c r="BU88" s="218" t="n">
        <f aca="false">SUM(BU68, BU76, BU84)</f>
        <v>1.069884682</v>
      </c>
      <c r="BV88" s="218" t="n">
        <f aca="false">SUM(BV68, BV76, BV84)</f>
        <v>1.069884682</v>
      </c>
      <c r="BW88" s="218" t="n">
        <f aca="false">SUM(BW68, BW76, BW84)</f>
        <v>1.069884682</v>
      </c>
      <c r="BX88" s="218" t="n">
        <f aca="false">SUM(BX68, BX76, BX84)</f>
        <v>1.069884682</v>
      </c>
      <c r="BY88" s="218" t="n">
        <f aca="false">SUM(BY68, BY76, BY84)</f>
        <v>1.069884682</v>
      </c>
      <c r="BZ88" s="218" t="n">
        <f aca="false">SUM(BZ68, BZ76, BZ84)</f>
        <v>1.069884682</v>
      </c>
      <c r="CA88" s="218" t="n">
        <f aca="false">SUM(CA68, CA76, CA84)</f>
        <v>1.069884682</v>
      </c>
      <c r="CC88" s="112" t="n">
        <f aca="false">SUM(CC68, CC76, CC84)</f>
        <v>0</v>
      </c>
      <c r="CD88" s="112" t="n">
        <f aca="false">SUM(CD68, CD76, CD84)</f>
        <v>2.22892642083333</v>
      </c>
      <c r="CE88" s="112" t="n">
        <f aca="false">SUM(CE68, CE76, CE84)</f>
        <v>12.7494591271667</v>
      </c>
      <c r="CF88" s="112" t="n">
        <f aca="false">SUM(CF68, CF76, CF84)</f>
        <v>12.838616184</v>
      </c>
      <c r="CG88" s="112" t="n">
        <f aca="false">SUM(CG68, CG76, CG84)</f>
        <v>12.838616184</v>
      </c>
      <c r="CH88" s="112" t="n">
        <f aca="false">SUM(CH68, CH76, CH84)</f>
        <v>0</v>
      </c>
      <c r="CI88" s="113" t="n">
        <f aca="false">CC88=L88</f>
        <v>1</v>
      </c>
      <c r="CJ88" s="113" t="n">
        <f aca="false">CD88=M88</f>
        <v>1</v>
      </c>
      <c r="CK88" s="113" t="n">
        <f aca="false">CE88=N88</f>
        <v>1</v>
      </c>
      <c r="CL88" s="113" t="n">
        <f aca="false">CF88=O88</f>
        <v>1</v>
      </c>
      <c r="CM88" s="113" t="n">
        <f aca="false">CG88=P88</f>
        <v>1</v>
      </c>
    </row>
    <row r="89" s="14" customFormat="true" ht="16.5" hidden="false" customHeight="true" outlineLevel="0" collapsed="false">
      <c r="H89" s="29"/>
      <c r="Q89" s="16"/>
      <c r="R89" s="16"/>
    </row>
    <row r="90" s="14" customFormat="true" ht="16.5" hidden="false" customHeight="true" outlineLevel="0" collapsed="false">
      <c r="H90" s="29"/>
      <c r="Q90" s="16"/>
      <c r="R90" s="16"/>
      <c r="T90" s="62" t="n">
        <v>2026</v>
      </c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62" t="n">
        <v>2027</v>
      </c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62" t="n">
        <v>2028</v>
      </c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62" t="n">
        <v>2029</v>
      </c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62" t="n">
        <v>2030</v>
      </c>
      <c r="BQ90" s="130"/>
      <c r="BR90" s="130"/>
      <c r="BS90" s="130"/>
      <c r="BT90" s="130"/>
      <c r="BU90" s="130"/>
      <c r="BV90" s="130"/>
      <c r="BW90" s="130"/>
      <c r="BX90" s="130"/>
      <c r="BY90" s="130"/>
      <c r="BZ90" s="130"/>
      <c r="CA90" s="130"/>
      <c r="CI90" s="211" t="s">
        <v>426</v>
      </c>
      <c r="CJ90" s="211"/>
      <c r="CK90" s="211"/>
      <c r="CL90" s="211"/>
      <c r="CM90" s="211"/>
    </row>
    <row r="91" s="14" customFormat="true" ht="16.5" hidden="false" customHeight="true" outlineLevel="0" collapsed="false">
      <c r="D91" s="30" t="s">
        <v>145</v>
      </c>
      <c r="E91" s="31"/>
      <c r="F91" s="31"/>
      <c r="G91" s="31"/>
      <c r="H91" s="219" t="s">
        <v>130</v>
      </c>
      <c r="I91" s="31" t="s">
        <v>77</v>
      </c>
      <c r="J91" s="31" t="s">
        <v>104</v>
      </c>
      <c r="K91" s="31" t="s">
        <v>131</v>
      </c>
      <c r="L91" s="31" t="n">
        <v>2026</v>
      </c>
      <c r="M91" s="31" t="n">
        <f aca="false">L91+1</f>
        <v>2027</v>
      </c>
      <c r="N91" s="31" t="n">
        <f aca="false">M91+1</f>
        <v>2028</v>
      </c>
      <c r="O91" s="31" t="n">
        <f aca="false">N91+1</f>
        <v>2029</v>
      </c>
      <c r="P91" s="31" t="n">
        <f aca="false">O91+1</f>
        <v>2030</v>
      </c>
      <c r="Q91" s="31" t="s">
        <v>132</v>
      </c>
      <c r="R91" s="31" t="s">
        <v>75</v>
      </c>
      <c r="T91" s="59" t="n">
        <v>46023</v>
      </c>
      <c r="U91" s="60" t="n">
        <f aca="false">EOMONTH(T91, 1)</f>
        <v>46081</v>
      </c>
      <c r="V91" s="60" t="n">
        <f aca="false">EOMONTH(U91, 1)</f>
        <v>46112</v>
      </c>
      <c r="W91" s="60" t="n">
        <f aca="false">EOMONTH(V91, 1)</f>
        <v>46142</v>
      </c>
      <c r="X91" s="60" t="n">
        <f aca="false">EOMONTH(W91, 1)</f>
        <v>46173</v>
      </c>
      <c r="Y91" s="60" t="n">
        <f aca="false">EOMONTH(X91, 1)</f>
        <v>46203</v>
      </c>
      <c r="Z91" s="60" t="n">
        <f aca="false">EOMONTH(Y91, 1)</f>
        <v>46234</v>
      </c>
      <c r="AA91" s="60" t="n">
        <f aca="false">EOMONTH(Z91, 1)</f>
        <v>46265</v>
      </c>
      <c r="AB91" s="60" t="n">
        <f aca="false">EOMONTH(AA91, 1)</f>
        <v>46295</v>
      </c>
      <c r="AC91" s="60" t="n">
        <f aca="false">EOMONTH(AB91, 1)</f>
        <v>46326</v>
      </c>
      <c r="AD91" s="60" t="n">
        <f aca="false">EOMONTH(AC91, 1)</f>
        <v>46356</v>
      </c>
      <c r="AE91" s="61" t="n">
        <f aca="false">EOMONTH(AD91, 1)</f>
        <v>46387</v>
      </c>
      <c r="AF91" s="59" t="n">
        <f aca="false">EOMONTH(AE91, 1)</f>
        <v>46418</v>
      </c>
      <c r="AG91" s="60" t="n">
        <f aca="false">EOMONTH(AF91, 1)</f>
        <v>46446</v>
      </c>
      <c r="AH91" s="60" t="n">
        <f aca="false">EOMONTH(AG91, 1)</f>
        <v>46477</v>
      </c>
      <c r="AI91" s="60" t="n">
        <f aca="false">EOMONTH(AH91, 1)</f>
        <v>46507</v>
      </c>
      <c r="AJ91" s="60" t="n">
        <f aca="false">EOMONTH(AI91, 1)</f>
        <v>46538</v>
      </c>
      <c r="AK91" s="60" t="n">
        <f aca="false">EOMONTH(AJ91, 1)</f>
        <v>46568</v>
      </c>
      <c r="AL91" s="60" t="n">
        <f aca="false">EOMONTH(AK91, 1)</f>
        <v>46599</v>
      </c>
      <c r="AM91" s="60" t="n">
        <f aca="false">EOMONTH(AL91, 1)</f>
        <v>46630</v>
      </c>
      <c r="AN91" s="60" t="n">
        <f aca="false">EOMONTH(AM91, 1)</f>
        <v>46660</v>
      </c>
      <c r="AO91" s="60" t="n">
        <f aca="false">EOMONTH(AN91, 1)</f>
        <v>46691</v>
      </c>
      <c r="AP91" s="60" t="n">
        <f aca="false">EOMONTH(AO91, 1)</f>
        <v>46721</v>
      </c>
      <c r="AQ91" s="61" t="n">
        <f aca="false">EOMONTH(AP91, 1)</f>
        <v>46752</v>
      </c>
      <c r="AR91" s="59" t="n">
        <f aca="false">EOMONTH(AQ91, 1)</f>
        <v>46783</v>
      </c>
      <c r="AS91" s="60" t="n">
        <f aca="false">EOMONTH(AR91, 1)</f>
        <v>46812</v>
      </c>
      <c r="AT91" s="60" t="n">
        <f aca="false">EOMONTH(AS91, 1)</f>
        <v>46843</v>
      </c>
      <c r="AU91" s="60" t="n">
        <f aca="false">EOMONTH(AT91, 1)</f>
        <v>46873</v>
      </c>
      <c r="AV91" s="60" t="n">
        <f aca="false">EOMONTH(AU91, 1)</f>
        <v>46904</v>
      </c>
      <c r="AW91" s="60" t="n">
        <f aca="false">EOMONTH(AV91, 1)</f>
        <v>46934</v>
      </c>
      <c r="AX91" s="60" t="n">
        <f aca="false">EOMONTH(AW91, 1)</f>
        <v>46965</v>
      </c>
      <c r="AY91" s="60" t="n">
        <f aca="false">EOMONTH(AX91, 1)</f>
        <v>46996</v>
      </c>
      <c r="AZ91" s="60" t="n">
        <f aca="false">EOMONTH(AY91, 1)</f>
        <v>47026</v>
      </c>
      <c r="BA91" s="60" t="n">
        <f aca="false">EOMONTH(AZ91, 1)</f>
        <v>47057</v>
      </c>
      <c r="BB91" s="60" t="n">
        <f aca="false">EOMONTH(BA91, 1)</f>
        <v>47087</v>
      </c>
      <c r="BC91" s="61" t="n">
        <f aca="false">EOMONTH(BB91, 1)</f>
        <v>47118</v>
      </c>
      <c r="BD91" s="59" t="n">
        <f aca="false">EOMONTH(BC91, 1)</f>
        <v>47149</v>
      </c>
      <c r="BE91" s="60" t="n">
        <f aca="false">EOMONTH(BD91, 1)</f>
        <v>47177</v>
      </c>
      <c r="BF91" s="60" t="n">
        <f aca="false">EOMONTH(BE91, 1)</f>
        <v>47208</v>
      </c>
      <c r="BG91" s="60" t="n">
        <f aca="false">EOMONTH(BF91, 1)</f>
        <v>47238</v>
      </c>
      <c r="BH91" s="60" t="n">
        <f aca="false">EOMONTH(BG91, 1)</f>
        <v>47269</v>
      </c>
      <c r="BI91" s="60" t="n">
        <f aca="false">EOMONTH(BH91, 1)</f>
        <v>47299</v>
      </c>
      <c r="BJ91" s="60" t="n">
        <f aca="false">EOMONTH(BI91, 1)</f>
        <v>47330</v>
      </c>
      <c r="BK91" s="60" t="n">
        <f aca="false">EOMONTH(BJ91, 1)</f>
        <v>47361</v>
      </c>
      <c r="BL91" s="60" t="n">
        <f aca="false">EOMONTH(BK91, 1)</f>
        <v>47391</v>
      </c>
      <c r="BM91" s="60" t="n">
        <f aca="false">EOMONTH(BL91, 1)</f>
        <v>47422</v>
      </c>
      <c r="BN91" s="60" t="n">
        <f aca="false">EOMONTH(BM91, 1)</f>
        <v>47452</v>
      </c>
      <c r="BO91" s="61" t="n">
        <f aca="false">EOMONTH(BN91, 1)</f>
        <v>47483</v>
      </c>
      <c r="BP91" s="59" t="n">
        <f aca="false">EOMONTH(BO91, 1)</f>
        <v>47514</v>
      </c>
      <c r="BQ91" s="60" t="n">
        <f aca="false">EOMONTH(BP91, 1)</f>
        <v>47542</v>
      </c>
      <c r="BR91" s="60" t="n">
        <f aca="false">EOMONTH(BQ91, 1)</f>
        <v>47573</v>
      </c>
      <c r="BS91" s="60" t="n">
        <f aca="false">EOMONTH(BR91, 1)</f>
        <v>47603</v>
      </c>
      <c r="BT91" s="60" t="n">
        <f aca="false">EOMONTH(BS91, 1)</f>
        <v>47634</v>
      </c>
      <c r="BU91" s="60" t="n">
        <f aca="false">EOMONTH(BT91, 1)</f>
        <v>47664</v>
      </c>
      <c r="BV91" s="60" t="n">
        <f aca="false">EOMONTH(BU91, 1)</f>
        <v>47695</v>
      </c>
      <c r="BW91" s="60" t="n">
        <f aca="false">EOMONTH(BV91, 1)</f>
        <v>47726</v>
      </c>
      <c r="BX91" s="60" t="n">
        <f aca="false">EOMONTH(BW91, 1)</f>
        <v>47756</v>
      </c>
      <c r="BY91" s="60" t="n">
        <f aca="false">EOMONTH(BX91, 1)</f>
        <v>47787</v>
      </c>
      <c r="BZ91" s="60" t="n">
        <f aca="false">EOMONTH(BY91, 1)</f>
        <v>47817</v>
      </c>
      <c r="CA91" s="60" t="n">
        <f aca="false">EOMONTH(BZ91, 1)</f>
        <v>47848</v>
      </c>
      <c r="CC91" s="62" t="n">
        <v>2026</v>
      </c>
      <c r="CD91" s="62" t="n">
        <f aca="false">CC91+1</f>
        <v>2027</v>
      </c>
      <c r="CE91" s="62" t="n">
        <f aca="false">CD91+1</f>
        <v>2028</v>
      </c>
      <c r="CF91" s="62" t="n">
        <f aca="false">CE91+1</f>
        <v>2029</v>
      </c>
      <c r="CG91" s="62" t="n">
        <f aca="false">CF91+1</f>
        <v>2030</v>
      </c>
      <c r="CI91" s="62" t="n">
        <v>2026</v>
      </c>
      <c r="CJ91" s="62" t="n">
        <f aca="false">CI91+1</f>
        <v>2027</v>
      </c>
      <c r="CK91" s="62" t="n">
        <f aca="false">CJ91+1</f>
        <v>2028</v>
      </c>
      <c r="CL91" s="62" t="n">
        <f aca="false">CK91+1</f>
        <v>2029</v>
      </c>
      <c r="CM91" s="62" t="n">
        <f aca="false">CL91+1</f>
        <v>2030</v>
      </c>
    </row>
    <row r="92" s="14" customFormat="true" ht="16.5" hidden="false" customHeight="true" outlineLevel="0" collapsed="false">
      <c r="D92" s="63"/>
      <c r="E92" s="64" t="s">
        <v>102</v>
      </c>
      <c r="H92" s="29"/>
      <c r="I92" s="65" t="str">
        <f aca="false">$H$18</f>
        <v>Jan–Jul 2026 x 12/7</v>
      </c>
      <c r="J92" s="65" t="s">
        <v>134</v>
      </c>
      <c r="K92" s="65" t="s">
        <v>135</v>
      </c>
      <c r="L92" s="66"/>
      <c r="M92" s="66"/>
      <c r="N92" s="66"/>
      <c r="O92" s="66"/>
      <c r="P92" s="66"/>
      <c r="Q92" s="16"/>
      <c r="R92" s="1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7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7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6"/>
      <c r="BD92" s="67"/>
      <c r="BE92" s="66"/>
      <c r="BF92" s="66"/>
      <c r="BG92" s="66"/>
      <c r="BH92" s="66"/>
      <c r="BI92" s="66"/>
      <c r="BJ92" s="66"/>
      <c r="BK92" s="66"/>
      <c r="BL92" s="66"/>
      <c r="BM92" s="66"/>
      <c r="BN92" s="66"/>
      <c r="BO92" s="66"/>
      <c r="BP92" s="67"/>
      <c r="BQ92" s="66"/>
      <c r="BR92" s="66"/>
      <c r="BS92" s="66"/>
      <c r="BT92" s="66"/>
      <c r="BU92" s="66"/>
      <c r="BV92" s="66"/>
      <c r="BW92" s="66"/>
      <c r="BX92" s="66"/>
      <c r="BY92" s="66"/>
      <c r="BZ92" s="66"/>
      <c r="CA92" s="66"/>
    </row>
    <row r="93" s="14" customFormat="true" ht="16.5" hidden="false" customHeight="true" outlineLevel="0" collapsed="false">
      <c r="E93" s="68" t="s">
        <v>136</v>
      </c>
      <c r="F93" s="21"/>
      <c r="G93" s="21"/>
      <c r="H93" s="29"/>
      <c r="I93" s="65"/>
      <c r="J93" s="65"/>
      <c r="K93" s="65"/>
      <c r="Q93" s="16"/>
      <c r="R93" s="16"/>
      <c r="AF93" s="69"/>
      <c r="AR93" s="69"/>
      <c r="BD93" s="69"/>
      <c r="BP93" s="69"/>
    </row>
    <row r="94" s="14" customFormat="true" ht="16.5" hidden="false" customHeight="true" outlineLevel="0" collapsed="false">
      <c r="E94" s="70"/>
      <c r="H94" s="71"/>
      <c r="I94" s="76" t="n">
        <v>0</v>
      </c>
      <c r="J94" s="76" t="n">
        <v>0</v>
      </c>
      <c r="K94" s="212" t="n">
        <f aca="false">J94-I94</f>
        <v>0</v>
      </c>
      <c r="L94" s="76"/>
      <c r="M94" s="76"/>
      <c r="N94" s="76"/>
      <c r="O94" s="76"/>
      <c r="P94" s="77"/>
      <c r="Q94" s="75"/>
      <c r="R94" s="16" t="str">
        <f aca="false">IF(K94=P94, "", "Error")</f>
        <v/>
      </c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7"/>
      <c r="AF94" s="78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7"/>
      <c r="AR94" s="78"/>
      <c r="AS94" s="76"/>
      <c r="AT94" s="76"/>
      <c r="AU94" s="76"/>
      <c r="AV94" s="76"/>
      <c r="AW94" s="76"/>
      <c r="AX94" s="76"/>
      <c r="AY94" s="76"/>
      <c r="AZ94" s="76"/>
      <c r="BA94" s="76"/>
      <c r="BB94" s="76"/>
      <c r="BC94" s="77"/>
      <c r="BD94" s="78"/>
      <c r="BE94" s="76"/>
      <c r="BF94" s="76"/>
      <c r="BG94" s="76"/>
      <c r="BH94" s="76"/>
      <c r="BI94" s="76"/>
      <c r="BJ94" s="76"/>
      <c r="BK94" s="76"/>
      <c r="BL94" s="76"/>
      <c r="BM94" s="76"/>
      <c r="BN94" s="76"/>
      <c r="BO94" s="77"/>
      <c r="BP94" s="78"/>
      <c r="BQ94" s="76"/>
      <c r="BR94" s="76"/>
      <c r="BS94" s="76"/>
      <c r="BT94" s="76"/>
      <c r="BU94" s="76"/>
      <c r="BV94" s="76"/>
      <c r="BW94" s="76"/>
      <c r="BX94" s="76"/>
      <c r="BY94" s="76"/>
      <c r="BZ94" s="76"/>
      <c r="CA94" s="76"/>
      <c r="CC94" s="79" t="n">
        <f aca="false">SUMIFS($T94:$CA94, $T$1:$CA$1, CC$63)</f>
        <v>0</v>
      </c>
      <c r="CD94" s="79" t="n">
        <f aca="false">SUMIFS($T94:$CA94, $T$1:$CA$1, CD$63)</f>
        <v>0</v>
      </c>
      <c r="CE94" s="79" t="n">
        <f aca="false">SUMIFS($T94:$CA94, $T$1:$CA$1, CE$63)</f>
        <v>0</v>
      </c>
      <c r="CF94" s="79" t="n">
        <f aca="false">SUMIFS($T94:$CA94, $T$1:$CA$1, CF$63)</f>
        <v>0</v>
      </c>
      <c r="CG94" s="79" t="n">
        <f aca="false">SUMIFS($T94:$CA94, $T$1:$CA$1, CG$63)</f>
        <v>0</v>
      </c>
      <c r="CI94" s="79" t="n">
        <f aca="false">CC94=L94</f>
        <v>1</v>
      </c>
      <c r="CJ94" s="79" t="n">
        <f aca="false">CD94=M94</f>
        <v>1</v>
      </c>
      <c r="CK94" s="79" t="n">
        <f aca="false">CE94=N94</f>
        <v>1</v>
      </c>
      <c r="CL94" s="79" t="n">
        <f aca="false">CF94=O94</f>
        <v>1</v>
      </c>
      <c r="CM94" s="79" t="n">
        <f aca="false">CG94=P94</f>
        <v>1</v>
      </c>
    </row>
    <row r="95" s="14" customFormat="true" ht="16.5" hidden="false" customHeight="true" outlineLevel="0" collapsed="false">
      <c r="E95" s="70"/>
      <c r="H95" s="71"/>
      <c r="I95" s="76" t="n">
        <v>0</v>
      </c>
      <c r="J95" s="76" t="n">
        <v>0</v>
      </c>
      <c r="K95" s="212" t="n">
        <f aca="false">J95-I95</f>
        <v>0</v>
      </c>
      <c r="L95" s="76"/>
      <c r="M95" s="76"/>
      <c r="N95" s="76"/>
      <c r="O95" s="76"/>
      <c r="P95" s="77"/>
      <c r="Q95" s="75"/>
      <c r="R95" s="16" t="str">
        <f aca="false">IF(K95=P95, "", "Error")</f>
        <v/>
      </c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7"/>
      <c r="AF95" s="78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7"/>
      <c r="AR95" s="78"/>
      <c r="AS95" s="76"/>
      <c r="AT95" s="76"/>
      <c r="AU95" s="76"/>
      <c r="AV95" s="76"/>
      <c r="AW95" s="76"/>
      <c r="AX95" s="76"/>
      <c r="AY95" s="76"/>
      <c r="AZ95" s="76"/>
      <c r="BA95" s="76"/>
      <c r="BB95" s="76"/>
      <c r="BC95" s="77"/>
      <c r="BD95" s="78"/>
      <c r="BE95" s="76"/>
      <c r="BF95" s="76"/>
      <c r="BG95" s="76"/>
      <c r="BH95" s="76"/>
      <c r="BI95" s="76"/>
      <c r="BJ95" s="76"/>
      <c r="BK95" s="76"/>
      <c r="BL95" s="76"/>
      <c r="BM95" s="76"/>
      <c r="BN95" s="76"/>
      <c r="BO95" s="77"/>
      <c r="BP95" s="78"/>
      <c r="BQ95" s="76"/>
      <c r="BR95" s="76"/>
      <c r="BS95" s="76"/>
      <c r="BT95" s="76"/>
      <c r="BU95" s="76"/>
      <c r="BV95" s="76"/>
      <c r="BW95" s="76"/>
      <c r="BX95" s="76"/>
      <c r="BY95" s="76"/>
      <c r="BZ95" s="76"/>
      <c r="CA95" s="76"/>
      <c r="CC95" s="79" t="n">
        <f aca="false">SUMIFS($T95:$CA95, $T$1:$CA$1, CC$63)</f>
        <v>0</v>
      </c>
      <c r="CD95" s="79" t="n">
        <f aca="false">SUMIFS($T95:$CA95, $T$1:$CA$1, CD$63)</f>
        <v>0</v>
      </c>
      <c r="CE95" s="79" t="n">
        <f aca="false">SUMIFS($T95:$CA95, $T$1:$CA$1, CE$63)</f>
        <v>0</v>
      </c>
      <c r="CF95" s="79" t="n">
        <f aca="false">SUMIFS($T95:$CA95, $T$1:$CA$1, CF$63)</f>
        <v>0</v>
      </c>
      <c r="CG95" s="79" t="n">
        <f aca="false">SUMIFS($T95:$CA95, $T$1:$CA$1, CG$63)</f>
        <v>0</v>
      </c>
      <c r="CI95" s="79" t="n">
        <f aca="false">CC95=L95</f>
        <v>1</v>
      </c>
      <c r="CJ95" s="79" t="n">
        <f aca="false">CD95=M95</f>
        <v>1</v>
      </c>
      <c r="CK95" s="79" t="n">
        <f aca="false">CE95=N95</f>
        <v>1</v>
      </c>
      <c r="CL95" s="79" t="n">
        <f aca="false">CF95=O95</f>
        <v>1</v>
      </c>
      <c r="CM95" s="79" t="n">
        <f aca="false">CG95=P95</f>
        <v>1</v>
      </c>
    </row>
    <row r="96" s="14" customFormat="true" ht="16.5" hidden="false" customHeight="true" outlineLevel="0" collapsed="false">
      <c r="E96" s="80" t="s">
        <v>137</v>
      </c>
      <c r="H96" s="29"/>
      <c r="I96" s="82" t="n">
        <f aca="false">SUM(I94:I95)</f>
        <v>0</v>
      </c>
      <c r="J96" s="82" t="n">
        <f aca="false">SUM(J94:J95)</f>
        <v>0</v>
      </c>
      <c r="K96" s="82" t="n">
        <f aca="false">SUM(K94:K95)</f>
        <v>0</v>
      </c>
      <c r="L96" s="82" t="n">
        <f aca="false">SUM(L94:L95)</f>
        <v>0</v>
      </c>
      <c r="M96" s="82" t="n">
        <f aca="false">SUM(M94:M95)</f>
        <v>0</v>
      </c>
      <c r="N96" s="82" t="n">
        <f aca="false">SUM(N94:N95)</f>
        <v>0</v>
      </c>
      <c r="O96" s="82" t="n">
        <f aca="false">SUM(O94:O95)</f>
        <v>0</v>
      </c>
      <c r="P96" s="82" t="n">
        <f aca="false">SUM(P94:P95)</f>
        <v>0</v>
      </c>
      <c r="Q96" s="16"/>
      <c r="R96" s="16"/>
      <c r="T96" s="82" t="n">
        <f aca="false">SUM(T94:T95)</f>
        <v>0</v>
      </c>
      <c r="U96" s="82" t="n">
        <f aca="false">SUM(U94:U95)</f>
        <v>0</v>
      </c>
      <c r="V96" s="82" t="n">
        <f aca="false">SUM(V94:V95)</f>
        <v>0</v>
      </c>
      <c r="W96" s="82" t="n">
        <f aca="false">SUM(W94:W95)</f>
        <v>0</v>
      </c>
      <c r="X96" s="82" t="n">
        <f aca="false">SUM(X94:X95)</f>
        <v>0</v>
      </c>
      <c r="Y96" s="82" t="n">
        <f aca="false">SUM(Y94:Y95)</f>
        <v>0</v>
      </c>
      <c r="Z96" s="82" t="n">
        <f aca="false">SUM(Z94:Z95)</f>
        <v>0</v>
      </c>
      <c r="AA96" s="82" t="n">
        <f aca="false">SUM(AA94:AA95)</f>
        <v>0</v>
      </c>
      <c r="AB96" s="82" t="n">
        <f aca="false">SUM(AB94:AB95)</f>
        <v>0</v>
      </c>
      <c r="AC96" s="82" t="n">
        <f aca="false">SUM(AC94:AC95)</f>
        <v>0</v>
      </c>
      <c r="AD96" s="82" t="n">
        <f aca="false">SUM(AD94:AD95)</f>
        <v>0</v>
      </c>
      <c r="AE96" s="82" t="n">
        <f aca="false">SUM(AE94:AE95)</f>
        <v>0</v>
      </c>
      <c r="AF96" s="83" t="n">
        <f aca="false">SUM(AF94:AF95)</f>
        <v>0</v>
      </c>
      <c r="AG96" s="82" t="n">
        <f aca="false">SUM(AG94:AG95)</f>
        <v>0</v>
      </c>
      <c r="AH96" s="82" t="n">
        <f aca="false">SUM(AH94:AH95)</f>
        <v>0</v>
      </c>
      <c r="AI96" s="82" t="n">
        <f aca="false">SUM(AI94:AI95)</f>
        <v>0</v>
      </c>
      <c r="AJ96" s="82" t="n">
        <f aca="false">SUM(AJ94:AJ95)</f>
        <v>0</v>
      </c>
      <c r="AK96" s="82" t="n">
        <f aca="false">SUM(AK94:AK95)</f>
        <v>0</v>
      </c>
      <c r="AL96" s="82" t="n">
        <f aca="false">SUM(AL94:AL95)</f>
        <v>0</v>
      </c>
      <c r="AM96" s="82" t="n">
        <f aca="false">SUM(AM94:AM95)</f>
        <v>0</v>
      </c>
      <c r="AN96" s="82" t="n">
        <f aca="false">SUM(AN94:AN95)</f>
        <v>0</v>
      </c>
      <c r="AO96" s="82" t="n">
        <f aca="false">SUM(AO94:AO95)</f>
        <v>0</v>
      </c>
      <c r="AP96" s="82" t="n">
        <f aca="false">SUM(AP94:AP95)</f>
        <v>0</v>
      </c>
      <c r="AQ96" s="82" t="n">
        <f aca="false">SUM(AQ94:AQ95)</f>
        <v>0</v>
      </c>
      <c r="AR96" s="83" t="n">
        <f aca="false">SUM(AR94:AR95)</f>
        <v>0</v>
      </c>
      <c r="AS96" s="82" t="n">
        <f aca="false">SUM(AS94:AS95)</f>
        <v>0</v>
      </c>
      <c r="AT96" s="82" t="n">
        <f aca="false">SUM(AT94:AT95)</f>
        <v>0</v>
      </c>
      <c r="AU96" s="82" t="n">
        <f aca="false">SUM(AU94:AU95)</f>
        <v>0</v>
      </c>
      <c r="AV96" s="82" t="n">
        <f aca="false">SUM(AV94:AV95)</f>
        <v>0</v>
      </c>
      <c r="AW96" s="82" t="n">
        <f aca="false">SUM(AW94:AW95)</f>
        <v>0</v>
      </c>
      <c r="AX96" s="82" t="n">
        <f aca="false">SUM(AX94:AX95)</f>
        <v>0</v>
      </c>
      <c r="AY96" s="82" t="n">
        <f aca="false">SUM(AY94:AY95)</f>
        <v>0</v>
      </c>
      <c r="AZ96" s="82" t="n">
        <f aca="false">SUM(AZ94:AZ95)</f>
        <v>0</v>
      </c>
      <c r="BA96" s="82" t="n">
        <f aca="false">SUM(BA94:BA95)</f>
        <v>0</v>
      </c>
      <c r="BB96" s="82" t="n">
        <f aca="false">SUM(BB94:BB95)</f>
        <v>0</v>
      </c>
      <c r="BC96" s="82" t="n">
        <f aca="false">SUM(BC94:BC95)</f>
        <v>0</v>
      </c>
      <c r="BD96" s="83" t="n">
        <f aca="false">SUM(BD94:BD95)</f>
        <v>0</v>
      </c>
      <c r="BE96" s="82" t="n">
        <f aca="false">SUM(BE94:BE95)</f>
        <v>0</v>
      </c>
      <c r="BF96" s="82" t="n">
        <f aca="false">SUM(BF94:BF95)</f>
        <v>0</v>
      </c>
      <c r="BG96" s="82" t="n">
        <f aca="false">SUM(BG94:BG95)</f>
        <v>0</v>
      </c>
      <c r="BH96" s="82" t="n">
        <f aca="false">SUM(BH94:BH95)</f>
        <v>0</v>
      </c>
      <c r="BI96" s="82" t="n">
        <f aca="false">SUM(BI94:BI95)</f>
        <v>0</v>
      </c>
      <c r="BJ96" s="82" t="n">
        <f aca="false">SUM(BJ94:BJ95)</f>
        <v>0</v>
      </c>
      <c r="BK96" s="82" t="n">
        <f aca="false">SUM(BK94:BK95)</f>
        <v>0</v>
      </c>
      <c r="BL96" s="82" t="n">
        <f aca="false">SUM(BL94:BL95)</f>
        <v>0</v>
      </c>
      <c r="BM96" s="82" t="n">
        <f aca="false">SUM(BM94:BM95)</f>
        <v>0</v>
      </c>
      <c r="BN96" s="82" t="n">
        <f aca="false">SUM(BN94:BN95)</f>
        <v>0</v>
      </c>
      <c r="BO96" s="82" t="n">
        <f aca="false">SUM(BO94:BO95)</f>
        <v>0</v>
      </c>
      <c r="BP96" s="83" t="n">
        <f aca="false">SUM(BP94:BP95)</f>
        <v>0</v>
      </c>
      <c r="BQ96" s="82" t="n">
        <f aca="false">SUM(BQ94:BQ95)</f>
        <v>0</v>
      </c>
      <c r="BR96" s="82" t="n">
        <f aca="false">SUM(BR94:BR95)</f>
        <v>0</v>
      </c>
      <c r="BS96" s="82" t="n">
        <f aca="false">SUM(BS94:BS95)</f>
        <v>0</v>
      </c>
      <c r="BT96" s="82" t="n">
        <f aca="false">SUM(BT94:BT95)</f>
        <v>0</v>
      </c>
      <c r="BU96" s="82" t="n">
        <f aca="false">SUM(BU94:BU95)</f>
        <v>0</v>
      </c>
      <c r="BV96" s="82" t="n">
        <f aca="false">SUM(BV94:BV95)</f>
        <v>0</v>
      </c>
      <c r="BW96" s="82" t="n">
        <f aca="false">SUM(BW94:BW95)</f>
        <v>0</v>
      </c>
      <c r="BX96" s="82" t="n">
        <f aca="false">SUM(BX94:BX95)</f>
        <v>0</v>
      </c>
      <c r="BY96" s="82" t="n">
        <f aca="false">SUM(BY94:BY95)</f>
        <v>0</v>
      </c>
      <c r="BZ96" s="82" t="n">
        <f aca="false">SUM(BZ94:BZ95)</f>
        <v>0</v>
      </c>
      <c r="CA96" s="84" t="n">
        <f aca="false">SUM(CA94:CA95)</f>
        <v>0</v>
      </c>
      <c r="CC96" s="84" t="n">
        <f aca="false">SUM(CC94:CC95)</f>
        <v>0</v>
      </c>
      <c r="CD96" s="84" t="n">
        <f aca="false">SUM(CD94:CD95)</f>
        <v>0</v>
      </c>
      <c r="CE96" s="84" t="n">
        <f aca="false">SUM(CE94:CE95)</f>
        <v>0</v>
      </c>
      <c r="CF96" s="84" t="n">
        <f aca="false">SUM(CF94:CF95)</f>
        <v>0</v>
      </c>
      <c r="CG96" s="84" t="n">
        <f aca="false">SUM(CG94:CG95)</f>
        <v>0</v>
      </c>
      <c r="CI96" s="84" t="n">
        <f aca="false">CC96=L96</f>
        <v>1</v>
      </c>
      <c r="CJ96" s="84" t="n">
        <f aca="false">CD96=M96</f>
        <v>1</v>
      </c>
      <c r="CK96" s="84" t="n">
        <f aca="false">CE96=N96</f>
        <v>1</v>
      </c>
      <c r="CL96" s="84" t="n">
        <f aca="false">CF96=O96</f>
        <v>1</v>
      </c>
      <c r="CM96" s="84" t="n">
        <f aca="false">CG96=P96</f>
        <v>1</v>
      </c>
    </row>
    <row r="97" s="14" customFormat="true" ht="16.5" hidden="false" customHeight="true" outlineLevel="0" collapsed="false">
      <c r="E97" s="85"/>
      <c r="H97" s="29"/>
      <c r="I97" s="88"/>
      <c r="J97" s="88"/>
      <c r="K97" s="88"/>
      <c r="L97" s="88"/>
      <c r="M97" s="88"/>
      <c r="N97" s="88"/>
      <c r="O97" s="88"/>
      <c r="P97" s="88"/>
      <c r="Q97" s="16"/>
      <c r="R97" s="16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9"/>
      <c r="AG97" s="88"/>
      <c r="AH97" s="88"/>
      <c r="AI97" s="88"/>
      <c r="AJ97" s="88"/>
      <c r="AK97" s="88"/>
      <c r="AL97" s="88"/>
      <c r="AM97" s="88"/>
      <c r="AN97" s="88"/>
      <c r="AO97" s="88"/>
      <c r="AP97" s="88"/>
      <c r="AQ97" s="88"/>
      <c r="AR97" s="89"/>
      <c r="AS97" s="88"/>
      <c r="AT97" s="88"/>
      <c r="AU97" s="88"/>
      <c r="AV97" s="88"/>
      <c r="AW97" s="88"/>
      <c r="AX97" s="88"/>
      <c r="AY97" s="88"/>
      <c r="AZ97" s="88"/>
      <c r="BA97" s="88"/>
      <c r="BB97" s="88"/>
      <c r="BC97" s="88"/>
      <c r="BD97" s="89"/>
      <c r="BE97" s="88"/>
      <c r="BF97" s="88"/>
      <c r="BG97" s="88"/>
      <c r="BH97" s="88"/>
      <c r="BI97" s="88"/>
      <c r="BJ97" s="88"/>
      <c r="BK97" s="88"/>
      <c r="BL97" s="88"/>
      <c r="BM97" s="88"/>
      <c r="BN97" s="88"/>
      <c r="BO97" s="88"/>
      <c r="BP97" s="89"/>
      <c r="BQ97" s="88"/>
      <c r="BR97" s="88"/>
      <c r="BS97" s="88"/>
      <c r="BT97" s="88"/>
      <c r="BU97" s="88"/>
      <c r="BV97" s="88"/>
      <c r="BW97" s="88"/>
      <c r="BX97" s="88"/>
      <c r="BY97" s="88"/>
      <c r="BZ97" s="88"/>
      <c r="CA97" s="90"/>
      <c r="CC97" s="90"/>
      <c r="CD97" s="90"/>
      <c r="CE97" s="90"/>
      <c r="CF97" s="90"/>
      <c r="CG97" s="90"/>
      <c r="CI97" s="90"/>
      <c r="CJ97" s="90"/>
      <c r="CK97" s="90"/>
      <c r="CL97" s="90"/>
      <c r="CM97" s="90"/>
    </row>
    <row r="98" s="14" customFormat="true" ht="16.5" hidden="false" customHeight="true" outlineLevel="0" collapsed="false">
      <c r="E98" s="21" t="s">
        <v>138</v>
      </c>
      <c r="H98" s="29"/>
      <c r="I98" s="88"/>
      <c r="K98" s="88"/>
      <c r="L98" s="88"/>
      <c r="M98" s="88"/>
      <c r="N98" s="88"/>
      <c r="O98" s="88"/>
      <c r="P98" s="88"/>
      <c r="Q98" s="16"/>
      <c r="R98" s="16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9"/>
      <c r="AG98" s="88"/>
      <c r="AH98" s="88"/>
      <c r="AI98" s="88"/>
      <c r="AJ98" s="88"/>
      <c r="AK98" s="88"/>
      <c r="AL98" s="88"/>
      <c r="AM98" s="88"/>
      <c r="AN98" s="88"/>
      <c r="AO98" s="88"/>
      <c r="AP98" s="88"/>
      <c r="AQ98" s="88"/>
      <c r="AR98" s="89"/>
      <c r="AS98" s="88"/>
      <c r="AT98" s="88"/>
      <c r="AU98" s="88"/>
      <c r="AV98" s="88"/>
      <c r="AW98" s="88"/>
      <c r="AX98" s="88"/>
      <c r="AY98" s="88"/>
      <c r="AZ98" s="88"/>
      <c r="BA98" s="88"/>
      <c r="BB98" s="88"/>
      <c r="BC98" s="88"/>
      <c r="BD98" s="89"/>
      <c r="BE98" s="88"/>
      <c r="BF98" s="88"/>
      <c r="BG98" s="88"/>
      <c r="BH98" s="88"/>
      <c r="BI98" s="88"/>
      <c r="BJ98" s="88"/>
      <c r="BK98" s="88"/>
      <c r="BL98" s="88"/>
      <c r="BM98" s="88"/>
      <c r="BN98" s="88"/>
      <c r="BO98" s="88"/>
      <c r="BP98" s="89"/>
      <c r="BQ98" s="88"/>
      <c r="BR98" s="88"/>
      <c r="BS98" s="88"/>
      <c r="BT98" s="88"/>
      <c r="BU98" s="88"/>
      <c r="BV98" s="88"/>
      <c r="BW98" s="88"/>
      <c r="BX98" s="88"/>
      <c r="BY98" s="88"/>
      <c r="BZ98" s="88"/>
      <c r="CA98" s="90"/>
      <c r="CC98" s="90"/>
      <c r="CD98" s="90"/>
      <c r="CE98" s="90"/>
      <c r="CF98" s="90"/>
      <c r="CG98" s="90"/>
      <c r="CI98" s="90"/>
      <c r="CJ98" s="90"/>
      <c r="CK98" s="90"/>
      <c r="CL98" s="90"/>
      <c r="CM98" s="90"/>
    </row>
    <row r="99" s="14" customFormat="true" ht="16.5" hidden="false" customHeight="true" outlineLevel="0" collapsed="false">
      <c r="E99" s="91"/>
      <c r="H99" s="29"/>
      <c r="I99" s="91" t="n">
        <v>0</v>
      </c>
      <c r="J99" s="91" t="n">
        <v>0</v>
      </c>
      <c r="K99" s="212" t="n">
        <f aca="false">J99-I99</f>
        <v>0</v>
      </c>
      <c r="L99" s="91" t="n">
        <v>0</v>
      </c>
      <c r="M99" s="91" t="n">
        <v>0</v>
      </c>
      <c r="N99" s="91" t="n">
        <v>0</v>
      </c>
      <c r="O99" s="91" t="n">
        <v>0</v>
      </c>
      <c r="P99" s="91" t="n">
        <v>0</v>
      </c>
      <c r="Q99" s="93"/>
      <c r="R99" s="16" t="str">
        <f aca="false">IF(K99=P99, "", "Error")</f>
        <v/>
      </c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4"/>
      <c r="AF99" s="95"/>
      <c r="AG99" s="91"/>
      <c r="AH99" s="91"/>
      <c r="AI99" s="91"/>
      <c r="AJ99" s="91"/>
      <c r="AK99" s="91"/>
      <c r="AL99" s="91"/>
      <c r="AM99" s="91"/>
      <c r="AN99" s="91"/>
      <c r="AO99" s="91"/>
      <c r="AP99" s="91"/>
      <c r="AQ99" s="94"/>
      <c r="AR99" s="95"/>
      <c r="AS99" s="91"/>
      <c r="AT99" s="91"/>
      <c r="AU99" s="91"/>
      <c r="AV99" s="91"/>
      <c r="AW99" s="91"/>
      <c r="AX99" s="91"/>
      <c r="AY99" s="91"/>
      <c r="AZ99" s="91"/>
      <c r="BA99" s="91"/>
      <c r="BB99" s="91"/>
      <c r="BC99" s="94"/>
      <c r="BD99" s="95"/>
      <c r="BE99" s="91"/>
      <c r="BF99" s="91"/>
      <c r="BG99" s="91"/>
      <c r="BH99" s="91"/>
      <c r="BI99" s="91"/>
      <c r="BJ99" s="91"/>
      <c r="BK99" s="91"/>
      <c r="BL99" s="91"/>
      <c r="BM99" s="91"/>
      <c r="BN99" s="91"/>
      <c r="BO99" s="94"/>
      <c r="BP99" s="95"/>
      <c r="BQ99" s="91"/>
      <c r="BR99" s="91"/>
      <c r="BS99" s="91"/>
      <c r="BT99" s="91"/>
      <c r="BU99" s="91"/>
      <c r="BV99" s="91"/>
      <c r="BW99" s="91"/>
      <c r="BX99" s="91"/>
      <c r="BY99" s="91"/>
      <c r="BZ99" s="91"/>
      <c r="CA99" s="119"/>
      <c r="CC99" s="79" t="n">
        <f aca="false">SUMIFS($T99:$CA99, $T$1:$CA$1, CC$63)</f>
        <v>0</v>
      </c>
      <c r="CD99" s="79" t="n">
        <f aca="false">SUMIFS($T99:$CA99, $T$1:$CA$1, CD$63)</f>
        <v>0</v>
      </c>
      <c r="CE99" s="79" t="n">
        <f aca="false">SUMIFS($T99:$CA99, $T$1:$CA$1, CE$63)</f>
        <v>0</v>
      </c>
      <c r="CF99" s="79" t="n">
        <f aca="false">SUMIFS($T99:$CA99, $T$1:$CA$1, CF$63)</f>
        <v>0</v>
      </c>
      <c r="CG99" s="79" t="n">
        <f aca="false">SUMIFS($T99:$CA99, $T$1:$CA$1, CG$63)</f>
        <v>0</v>
      </c>
      <c r="CI99" s="79" t="n">
        <f aca="false">CC99=L99</f>
        <v>1</v>
      </c>
      <c r="CJ99" s="79" t="n">
        <f aca="false">CD99=M99</f>
        <v>1</v>
      </c>
      <c r="CK99" s="79" t="n">
        <f aca="false">CE99=N99</f>
        <v>1</v>
      </c>
      <c r="CL99" s="79" t="n">
        <f aca="false">CF99=O99</f>
        <v>1</v>
      </c>
      <c r="CM99" s="79" t="n">
        <f aca="false">CG99=P99</f>
        <v>1</v>
      </c>
    </row>
    <row r="100" s="14" customFormat="true" ht="16.5" hidden="false" customHeight="true" outlineLevel="0" collapsed="false">
      <c r="E100" s="91"/>
      <c r="H100" s="29"/>
      <c r="I100" s="91" t="n">
        <v>0</v>
      </c>
      <c r="J100" s="91" t="n">
        <v>0</v>
      </c>
      <c r="K100" s="212" t="n">
        <f aca="false">J100-I100</f>
        <v>0</v>
      </c>
      <c r="L100" s="91" t="n">
        <v>0</v>
      </c>
      <c r="M100" s="91" t="n">
        <v>0</v>
      </c>
      <c r="N100" s="91" t="n">
        <v>0</v>
      </c>
      <c r="O100" s="91" t="n">
        <v>0</v>
      </c>
      <c r="P100" s="91" t="n">
        <v>0</v>
      </c>
      <c r="Q100" s="93"/>
      <c r="R100" s="16" t="str">
        <f aca="false">IF(K100=P100, "", "Error")</f>
        <v/>
      </c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4"/>
      <c r="AF100" s="95"/>
      <c r="AG100" s="91"/>
      <c r="AH100" s="91"/>
      <c r="AI100" s="91"/>
      <c r="AJ100" s="91"/>
      <c r="AK100" s="91"/>
      <c r="AL100" s="91"/>
      <c r="AM100" s="91"/>
      <c r="AN100" s="91"/>
      <c r="AO100" s="91"/>
      <c r="AP100" s="91"/>
      <c r="AQ100" s="94"/>
      <c r="AR100" s="95"/>
      <c r="AS100" s="91"/>
      <c r="AT100" s="91"/>
      <c r="AU100" s="91"/>
      <c r="AV100" s="91"/>
      <c r="AW100" s="91"/>
      <c r="AX100" s="91"/>
      <c r="AY100" s="91"/>
      <c r="AZ100" s="91"/>
      <c r="BA100" s="91"/>
      <c r="BB100" s="91"/>
      <c r="BC100" s="94"/>
      <c r="BD100" s="95"/>
      <c r="BE100" s="91"/>
      <c r="BF100" s="91"/>
      <c r="BG100" s="91"/>
      <c r="BH100" s="91"/>
      <c r="BI100" s="91"/>
      <c r="BJ100" s="91"/>
      <c r="BK100" s="91"/>
      <c r="BL100" s="91"/>
      <c r="BM100" s="91"/>
      <c r="BN100" s="91"/>
      <c r="BO100" s="94"/>
      <c r="BP100" s="95"/>
      <c r="BQ100" s="91"/>
      <c r="BR100" s="91"/>
      <c r="BS100" s="91"/>
      <c r="BT100" s="91"/>
      <c r="BU100" s="91"/>
      <c r="BV100" s="91"/>
      <c r="BW100" s="91"/>
      <c r="BX100" s="91"/>
      <c r="BY100" s="91"/>
      <c r="BZ100" s="91"/>
      <c r="CA100" s="119"/>
      <c r="CC100" s="79" t="n">
        <f aca="false">SUMIFS($T100:$CA100, $T$1:$CA$1, CC$63)</f>
        <v>0</v>
      </c>
      <c r="CD100" s="79" t="n">
        <f aca="false">SUMIFS($T100:$CA100, $T$1:$CA$1, CD$63)</f>
        <v>0</v>
      </c>
      <c r="CE100" s="79" t="n">
        <f aca="false">SUMIFS($T100:$CA100, $T$1:$CA$1, CE$63)</f>
        <v>0</v>
      </c>
      <c r="CF100" s="79" t="n">
        <f aca="false">SUMIFS($T100:$CA100, $T$1:$CA$1, CF$63)</f>
        <v>0</v>
      </c>
      <c r="CG100" s="79" t="n">
        <f aca="false">SUMIFS($T100:$CA100, $T$1:$CA$1, CG$63)</f>
        <v>0</v>
      </c>
      <c r="CI100" s="79" t="n">
        <f aca="false">CC100=L100</f>
        <v>1</v>
      </c>
      <c r="CJ100" s="79" t="n">
        <f aca="false">CD100=M100</f>
        <v>1</v>
      </c>
      <c r="CK100" s="79" t="n">
        <f aca="false">CE100=N100</f>
        <v>1</v>
      </c>
      <c r="CL100" s="79" t="n">
        <f aca="false">CF100=O100</f>
        <v>1</v>
      </c>
      <c r="CM100" s="79" t="n">
        <f aca="false">CG100=P100</f>
        <v>1</v>
      </c>
    </row>
    <row r="101" s="14" customFormat="true" ht="16.5" hidden="false" customHeight="true" outlineLevel="0" collapsed="false">
      <c r="E101" s="91"/>
      <c r="H101" s="29"/>
      <c r="I101" s="91" t="n">
        <v>0</v>
      </c>
      <c r="J101" s="91" t="n">
        <v>0</v>
      </c>
      <c r="K101" s="212" t="n">
        <f aca="false">J101-I101</f>
        <v>0</v>
      </c>
      <c r="L101" s="91" t="n">
        <v>0</v>
      </c>
      <c r="M101" s="91" t="n">
        <v>0</v>
      </c>
      <c r="N101" s="91" t="n">
        <v>0</v>
      </c>
      <c r="O101" s="91" t="n">
        <v>0</v>
      </c>
      <c r="P101" s="91" t="n">
        <v>0</v>
      </c>
      <c r="Q101" s="93"/>
      <c r="R101" s="16" t="str">
        <f aca="false">IF(K101=P101, "", "Error")</f>
        <v/>
      </c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4"/>
      <c r="AF101" s="95"/>
      <c r="AG101" s="91"/>
      <c r="AH101" s="91"/>
      <c r="AI101" s="91"/>
      <c r="AJ101" s="91"/>
      <c r="AK101" s="91"/>
      <c r="AL101" s="91"/>
      <c r="AM101" s="91"/>
      <c r="AN101" s="91"/>
      <c r="AO101" s="91"/>
      <c r="AP101" s="91"/>
      <c r="AQ101" s="94"/>
      <c r="AR101" s="95"/>
      <c r="AS101" s="91"/>
      <c r="AT101" s="91"/>
      <c r="AU101" s="91"/>
      <c r="AV101" s="91"/>
      <c r="AW101" s="91"/>
      <c r="AX101" s="91"/>
      <c r="AY101" s="91"/>
      <c r="AZ101" s="91"/>
      <c r="BA101" s="91"/>
      <c r="BB101" s="91"/>
      <c r="BC101" s="94"/>
      <c r="BD101" s="95"/>
      <c r="BE101" s="91"/>
      <c r="BF101" s="91"/>
      <c r="BG101" s="91"/>
      <c r="BH101" s="91"/>
      <c r="BI101" s="91"/>
      <c r="BJ101" s="91"/>
      <c r="BK101" s="91"/>
      <c r="BL101" s="91"/>
      <c r="BM101" s="91"/>
      <c r="BN101" s="91"/>
      <c r="BO101" s="94"/>
      <c r="BP101" s="95"/>
      <c r="BQ101" s="91"/>
      <c r="BR101" s="91"/>
      <c r="BS101" s="91"/>
      <c r="BT101" s="91"/>
      <c r="BU101" s="91"/>
      <c r="BV101" s="91"/>
      <c r="BW101" s="91"/>
      <c r="BX101" s="91"/>
      <c r="BY101" s="91"/>
      <c r="BZ101" s="91"/>
      <c r="CA101" s="119"/>
      <c r="CC101" s="79" t="n">
        <f aca="false">SUMIFS($T101:$CA101, $T$1:$CA$1, CC$63)</f>
        <v>0</v>
      </c>
      <c r="CD101" s="79" t="n">
        <f aca="false">SUMIFS($T101:$CA101, $T$1:$CA$1, CD$63)</f>
        <v>0</v>
      </c>
      <c r="CE101" s="79" t="n">
        <f aca="false">SUMIFS($T101:$CA101, $T$1:$CA$1, CE$63)</f>
        <v>0</v>
      </c>
      <c r="CF101" s="79" t="n">
        <f aca="false">SUMIFS($T101:$CA101, $T$1:$CA$1, CF$63)</f>
        <v>0</v>
      </c>
      <c r="CG101" s="79" t="n">
        <f aca="false">SUMIFS($T101:$CA101, $T$1:$CA$1, CG$63)</f>
        <v>0</v>
      </c>
      <c r="CI101" s="79" t="n">
        <f aca="false">CC101=L101</f>
        <v>1</v>
      </c>
      <c r="CJ101" s="79" t="n">
        <f aca="false">CD101=M101</f>
        <v>1</v>
      </c>
      <c r="CK101" s="79" t="n">
        <f aca="false">CE101=N101</f>
        <v>1</v>
      </c>
      <c r="CL101" s="79" t="n">
        <f aca="false">CF101=O101</f>
        <v>1</v>
      </c>
      <c r="CM101" s="79" t="n">
        <f aca="false">CG101=P101</f>
        <v>1</v>
      </c>
    </row>
    <row r="102" s="14" customFormat="true" ht="16.5" hidden="false" customHeight="true" outlineLevel="0" collapsed="false">
      <c r="E102" s="91"/>
      <c r="H102" s="29"/>
      <c r="I102" s="91" t="n">
        <v>0</v>
      </c>
      <c r="J102" s="91" t="n">
        <v>0</v>
      </c>
      <c r="K102" s="212" t="n">
        <f aca="false">J102-I102</f>
        <v>0</v>
      </c>
      <c r="L102" s="91" t="n">
        <v>0</v>
      </c>
      <c r="M102" s="91" t="n">
        <v>0</v>
      </c>
      <c r="N102" s="91" t="n">
        <v>0</v>
      </c>
      <c r="O102" s="91" t="n">
        <v>0</v>
      </c>
      <c r="P102" s="91" t="n">
        <v>0</v>
      </c>
      <c r="Q102" s="93"/>
      <c r="R102" s="16" t="str">
        <f aca="false">IF(K102=P102, "", "Error")</f>
        <v/>
      </c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4"/>
      <c r="AF102" s="95"/>
      <c r="AG102" s="91"/>
      <c r="AH102" s="91"/>
      <c r="AI102" s="91"/>
      <c r="AJ102" s="91"/>
      <c r="AK102" s="91"/>
      <c r="AL102" s="91"/>
      <c r="AM102" s="91"/>
      <c r="AN102" s="91"/>
      <c r="AO102" s="91"/>
      <c r="AP102" s="91"/>
      <c r="AQ102" s="94"/>
      <c r="AR102" s="95"/>
      <c r="AS102" s="91"/>
      <c r="AT102" s="91"/>
      <c r="AU102" s="91"/>
      <c r="AV102" s="91"/>
      <c r="AW102" s="91"/>
      <c r="AX102" s="91"/>
      <c r="AY102" s="91"/>
      <c r="AZ102" s="91"/>
      <c r="BA102" s="91"/>
      <c r="BB102" s="91"/>
      <c r="BC102" s="94"/>
      <c r="BD102" s="95"/>
      <c r="BE102" s="91"/>
      <c r="BF102" s="91"/>
      <c r="BG102" s="91"/>
      <c r="BH102" s="91"/>
      <c r="BI102" s="91"/>
      <c r="BJ102" s="91"/>
      <c r="BK102" s="91"/>
      <c r="BL102" s="91"/>
      <c r="BM102" s="91"/>
      <c r="BN102" s="91"/>
      <c r="BO102" s="94"/>
      <c r="BP102" s="95"/>
      <c r="BQ102" s="91"/>
      <c r="BR102" s="91"/>
      <c r="BS102" s="91"/>
      <c r="BT102" s="91"/>
      <c r="BU102" s="91"/>
      <c r="BV102" s="91"/>
      <c r="BW102" s="91"/>
      <c r="BX102" s="91"/>
      <c r="BY102" s="91"/>
      <c r="BZ102" s="91"/>
      <c r="CA102" s="119"/>
      <c r="CC102" s="79" t="n">
        <f aca="false">SUMIFS($T102:$CA102, $T$1:$CA$1, CC$63)</f>
        <v>0</v>
      </c>
      <c r="CD102" s="79" t="n">
        <f aca="false">SUMIFS($T102:$CA102, $T$1:$CA$1, CD$63)</f>
        <v>0</v>
      </c>
      <c r="CE102" s="79" t="n">
        <f aca="false">SUMIFS($T102:$CA102, $T$1:$CA$1, CE$63)</f>
        <v>0</v>
      </c>
      <c r="CF102" s="79" t="n">
        <f aca="false">SUMIFS($T102:$CA102, $T$1:$CA$1, CF$63)</f>
        <v>0</v>
      </c>
      <c r="CG102" s="79" t="n">
        <f aca="false">SUMIFS($T102:$CA102, $T$1:$CA$1, CG$63)</f>
        <v>0</v>
      </c>
      <c r="CI102" s="79" t="n">
        <f aca="false">CC102=L102</f>
        <v>1</v>
      </c>
      <c r="CJ102" s="79" t="n">
        <f aca="false">CD102=M102</f>
        <v>1</v>
      </c>
      <c r="CK102" s="79" t="n">
        <f aca="false">CE102=N102</f>
        <v>1</v>
      </c>
      <c r="CL102" s="79" t="n">
        <f aca="false">CF102=O102</f>
        <v>1</v>
      </c>
      <c r="CM102" s="79" t="n">
        <f aca="false">CG102=P102</f>
        <v>1</v>
      </c>
    </row>
    <row r="103" s="14" customFormat="true" ht="16.5" hidden="false" customHeight="true" outlineLevel="0" collapsed="false">
      <c r="E103" s="91"/>
      <c r="H103" s="29"/>
      <c r="I103" s="91"/>
      <c r="J103" s="91"/>
      <c r="K103" s="212" t="n">
        <f aca="false">J103-I103</f>
        <v>0</v>
      </c>
      <c r="L103" s="91" t="n">
        <v>0</v>
      </c>
      <c r="M103" s="91" t="n">
        <v>0</v>
      </c>
      <c r="N103" s="91" t="n">
        <v>0</v>
      </c>
      <c r="O103" s="91" t="n">
        <v>0</v>
      </c>
      <c r="P103" s="91" t="n">
        <v>0</v>
      </c>
      <c r="Q103" s="93"/>
      <c r="R103" s="16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4"/>
      <c r="AF103" s="95"/>
      <c r="AG103" s="91"/>
      <c r="AH103" s="91"/>
      <c r="AI103" s="91"/>
      <c r="AJ103" s="91"/>
      <c r="AK103" s="91"/>
      <c r="AL103" s="91"/>
      <c r="AM103" s="91"/>
      <c r="AN103" s="91"/>
      <c r="AO103" s="91"/>
      <c r="AP103" s="91"/>
      <c r="AQ103" s="94"/>
      <c r="AR103" s="95"/>
      <c r="AS103" s="91"/>
      <c r="AT103" s="91"/>
      <c r="AU103" s="91"/>
      <c r="AV103" s="91"/>
      <c r="AW103" s="91"/>
      <c r="AX103" s="91"/>
      <c r="AY103" s="91"/>
      <c r="AZ103" s="91"/>
      <c r="BA103" s="91"/>
      <c r="BB103" s="91"/>
      <c r="BC103" s="94"/>
      <c r="BD103" s="95"/>
      <c r="BE103" s="91"/>
      <c r="BF103" s="91"/>
      <c r="BG103" s="91"/>
      <c r="BH103" s="91"/>
      <c r="BI103" s="91"/>
      <c r="BJ103" s="91"/>
      <c r="BK103" s="91"/>
      <c r="BL103" s="91"/>
      <c r="BM103" s="91"/>
      <c r="BN103" s="91"/>
      <c r="BO103" s="94"/>
      <c r="BP103" s="95"/>
      <c r="BQ103" s="91"/>
      <c r="BR103" s="91"/>
      <c r="BS103" s="91"/>
      <c r="BT103" s="91"/>
      <c r="BU103" s="91"/>
      <c r="BV103" s="91"/>
      <c r="BW103" s="91"/>
      <c r="BX103" s="91"/>
      <c r="BY103" s="91"/>
      <c r="BZ103" s="91"/>
      <c r="CA103" s="119"/>
      <c r="CC103" s="79"/>
      <c r="CD103" s="79"/>
      <c r="CE103" s="79"/>
      <c r="CF103" s="79"/>
      <c r="CG103" s="79"/>
      <c r="CI103" s="79"/>
      <c r="CJ103" s="79"/>
      <c r="CK103" s="79"/>
      <c r="CL103" s="79"/>
      <c r="CM103" s="79"/>
    </row>
    <row r="104" s="14" customFormat="true" ht="16.5" hidden="false" customHeight="true" outlineLevel="0" collapsed="false">
      <c r="E104" s="96" t="s">
        <v>139</v>
      </c>
      <c r="H104" s="29"/>
      <c r="I104" s="82" t="n">
        <f aca="false">SUM(I99:I103)</f>
        <v>0</v>
      </c>
      <c r="J104" s="82" t="n">
        <f aca="false">SUM(J99:J103)</f>
        <v>0</v>
      </c>
      <c r="K104" s="82" t="n">
        <f aca="false">SUM(K99:K103)</f>
        <v>0</v>
      </c>
      <c r="L104" s="82" t="n">
        <f aca="false">SUM(L99:L103)</f>
        <v>0</v>
      </c>
      <c r="M104" s="82" t="n">
        <f aca="false">SUM(M99:M103)</f>
        <v>0</v>
      </c>
      <c r="N104" s="82" t="n">
        <f aca="false">SUM(N99:N103)</f>
        <v>0</v>
      </c>
      <c r="O104" s="82" t="n">
        <f aca="false">SUM(O99:O103)</f>
        <v>0</v>
      </c>
      <c r="P104" s="82" t="n">
        <f aca="false">SUM(P99:P103)</f>
        <v>0</v>
      </c>
      <c r="Q104" s="16"/>
      <c r="R104" s="16"/>
      <c r="T104" s="82" t="n">
        <f aca="false">SUM(T99:T103)</f>
        <v>0</v>
      </c>
      <c r="U104" s="82" t="n">
        <f aca="false">SUM(U99:U103)</f>
        <v>0</v>
      </c>
      <c r="V104" s="82" t="n">
        <f aca="false">SUM(V99:V103)</f>
        <v>0</v>
      </c>
      <c r="W104" s="82" t="n">
        <f aca="false">SUM(W99:W103)</f>
        <v>0</v>
      </c>
      <c r="X104" s="82" t="n">
        <f aca="false">SUM(X99:X103)</f>
        <v>0</v>
      </c>
      <c r="Y104" s="82" t="n">
        <f aca="false">SUM(Y99:Y103)</f>
        <v>0</v>
      </c>
      <c r="Z104" s="82" t="n">
        <f aca="false">SUM(Z99:Z103)</f>
        <v>0</v>
      </c>
      <c r="AA104" s="82" t="n">
        <f aca="false">SUM(AA99:AA103)</f>
        <v>0</v>
      </c>
      <c r="AB104" s="82" t="n">
        <f aca="false">SUM(AB99:AB103)</f>
        <v>0</v>
      </c>
      <c r="AC104" s="82" t="n">
        <f aca="false">SUM(AC99:AC103)</f>
        <v>0</v>
      </c>
      <c r="AD104" s="82" t="n">
        <f aca="false">SUM(AD99:AD103)</f>
        <v>0</v>
      </c>
      <c r="AE104" s="82" t="n">
        <f aca="false">SUM(AE99:AE103)</f>
        <v>0</v>
      </c>
      <c r="AF104" s="83" t="n">
        <f aca="false">SUM(AF99:AF103)</f>
        <v>0</v>
      </c>
      <c r="AG104" s="82" t="n">
        <f aca="false">SUM(AG99:AG103)</f>
        <v>0</v>
      </c>
      <c r="AH104" s="82" t="n">
        <f aca="false">SUM(AH99:AH103)</f>
        <v>0</v>
      </c>
      <c r="AI104" s="82" t="n">
        <f aca="false">SUM(AI99:AI103)</f>
        <v>0</v>
      </c>
      <c r="AJ104" s="82" t="n">
        <f aca="false">SUM(AJ99:AJ103)</f>
        <v>0</v>
      </c>
      <c r="AK104" s="82" t="n">
        <f aca="false">SUM(AK99:AK103)</f>
        <v>0</v>
      </c>
      <c r="AL104" s="82" t="n">
        <f aca="false">SUM(AL99:AL103)</f>
        <v>0</v>
      </c>
      <c r="AM104" s="82" t="n">
        <f aca="false">SUM(AM99:AM103)</f>
        <v>0</v>
      </c>
      <c r="AN104" s="82" t="n">
        <f aca="false">SUM(AN99:AN103)</f>
        <v>0</v>
      </c>
      <c r="AO104" s="82" t="n">
        <f aca="false">SUM(AO99:AO103)</f>
        <v>0</v>
      </c>
      <c r="AP104" s="82" t="n">
        <f aca="false">SUM(AP99:AP103)</f>
        <v>0</v>
      </c>
      <c r="AQ104" s="82" t="n">
        <f aca="false">SUM(AQ99:AQ103)</f>
        <v>0</v>
      </c>
      <c r="AR104" s="83" t="n">
        <f aca="false">SUM(AR99:AR103)</f>
        <v>0</v>
      </c>
      <c r="AS104" s="82" t="n">
        <f aca="false">SUM(AS99:AS103)</f>
        <v>0</v>
      </c>
      <c r="AT104" s="82" t="n">
        <f aca="false">SUM(AT99:AT103)</f>
        <v>0</v>
      </c>
      <c r="AU104" s="82" t="n">
        <f aca="false">SUM(AU99:AU103)</f>
        <v>0</v>
      </c>
      <c r="AV104" s="82" t="n">
        <f aca="false">SUM(AV99:AV103)</f>
        <v>0</v>
      </c>
      <c r="AW104" s="82" t="n">
        <f aca="false">SUM(AW99:AW103)</f>
        <v>0</v>
      </c>
      <c r="AX104" s="82" t="n">
        <f aca="false">SUM(AX99:AX103)</f>
        <v>0</v>
      </c>
      <c r="AY104" s="82" t="n">
        <f aca="false">SUM(AY99:AY103)</f>
        <v>0</v>
      </c>
      <c r="AZ104" s="82" t="n">
        <f aca="false">SUM(AZ99:AZ103)</f>
        <v>0</v>
      </c>
      <c r="BA104" s="82" t="n">
        <f aca="false">SUM(BA99:BA103)</f>
        <v>0</v>
      </c>
      <c r="BB104" s="82" t="n">
        <f aca="false">SUM(BB99:BB103)</f>
        <v>0</v>
      </c>
      <c r="BC104" s="82" t="n">
        <f aca="false">SUM(BC99:BC103)</f>
        <v>0</v>
      </c>
      <c r="BD104" s="83" t="n">
        <f aca="false">SUM(BD99:BD103)</f>
        <v>0</v>
      </c>
      <c r="BE104" s="82" t="n">
        <f aca="false">SUM(BE99:BE103)</f>
        <v>0</v>
      </c>
      <c r="BF104" s="82" t="n">
        <f aca="false">SUM(BF99:BF103)</f>
        <v>0</v>
      </c>
      <c r="BG104" s="82" t="n">
        <f aca="false">SUM(BG99:BG103)</f>
        <v>0</v>
      </c>
      <c r="BH104" s="82" t="n">
        <f aca="false">SUM(BH99:BH103)</f>
        <v>0</v>
      </c>
      <c r="BI104" s="82" t="n">
        <f aca="false">SUM(BI99:BI103)</f>
        <v>0</v>
      </c>
      <c r="BJ104" s="82" t="n">
        <f aca="false">SUM(BJ99:BJ103)</f>
        <v>0</v>
      </c>
      <c r="BK104" s="82" t="n">
        <f aca="false">SUM(BK99:BK103)</f>
        <v>0</v>
      </c>
      <c r="BL104" s="82" t="n">
        <f aca="false">SUM(BL99:BL103)</f>
        <v>0</v>
      </c>
      <c r="BM104" s="82" t="n">
        <f aca="false">SUM(BM99:BM103)</f>
        <v>0</v>
      </c>
      <c r="BN104" s="82" t="n">
        <f aca="false">SUM(BN99:BN103)</f>
        <v>0</v>
      </c>
      <c r="BO104" s="82" t="n">
        <f aca="false">SUM(BO99:BO103)</f>
        <v>0</v>
      </c>
      <c r="BP104" s="83" t="n">
        <f aca="false">SUM(BP99:BP103)</f>
        <v>0</v>
      </c>
      <c r="BQ104" s="82" t="n">
        <f aca="false">SUM(BQ99:BQ103)</f>
        <v>0</v>
      </c>
      <c r="BR104" s="82" t="n">
        <f aca="false">SUM(BR99:BR103)</f>
        <v>0</v>
      </c>
      <c r="BS104" s="82" t="n">
        <f aca="false">SUM(BS99:BS103)</f>
        <v>0</v>
      </c>
      <c r="BT104" s="82" t="n">
        <f aca="false">SUM(BT99:BT103)</f>
        <v>0</v>
      </c>
      <c r="BU104" s="82" t="n">
        <f aca="false">SUM(BU99:BU103)</f>
        <v>0</v>
      </c>
      <c r="BV104" s="82" t="n">
        <f aca="false">SUM(BV99:BV103)</f>
        <v>0</v>
      </c>
      <c r="BW104" s="82" t="n">
        <f aca="false">SUM(BW99:BW103)</f>
        <v>0</v>
      </c>
      <c r="BX104" s="82" t="n">
        <f aca="false">SUM(BX99:BX103)</f>
        <v>0</v>
      </c>
      <c r="BY104" s="82" t="n">
        <f aca="false">SUM(BY99:BY103)</f>
        <v>0</v>
      </c>
      <c r="BZ104" s="82" t="n">
        <f aca="false">SUM(BZ99:BZ103)</f>
        <v>0</v>
      </c>
      <c r="CA104" s="84" t="n">
        <f aca="false">SUM(CA99:CA103)</f>
        <v>0</v>
      </c>
      <c r="CC104" s="84" t="n">
        <f aca="false">SUM(CC99:CC103)</f>
        <v>0</v>
      </c>
      <c r="CD104" s="84" t="n">
        <f aca="false">SUM(CD99:CD103)</f>
        <v>0</v>
      </c>
      <c r="CE104" s="84" t="n">
        <f aca="false">SUM(CE99:CE103)</f>
        <v>0</v>
      </c>
      <c r="CF104" s="84" t="n">
        <f aca="false">SUM(CF99:CF103)</f>
        <v>0</v>
      </c>
      <c r="CG104" s="84" t="n">
        <f aca="false">SUM(CG99:CG103)</f>
        <v>0</v>
      </c>
      <c r="CI104" s="84" t="n">
        <f aca="false">CC104=L104</f>
        <v>1</v>
      </c>
      <c r="CJ104" s="84" t="n">
        <f aca="false">CD104=M104</f>
        <v>1</v>
      </c>
      <c r="CK104" s="84" t="n">
        <f aca="false">CE104=N104</f>
        <v>1</v>
      </c>
      <c r="CL104" s="84" t="n">
        <f aca="false">CF104=O104</f>
        <v>1</v>
      </c>
      <c r="CM104" s="84" t="n">
        <f aca="false">CG104=P104</f>
        <v>1</v>
      </c>
    </row>
    <row r="105" s="14" customFormat="true" ht="16.5" hidden="false" customHeight="true" outlineLevel="0" collapsed="false">
      <c r="H105" s="29"/>
      <c r="I105" s="88"/>
      <c r="J105" s="88"/>
      <c r="K105" s="88"/>
      <c r="L105" s="88"/>
      <c r="M105" s="88"/>
      <c r="N105" s="88"/>
      <c r="O105" s="88"/>
      <c r="P105" s="88"/>
      <c r="Q105" s="16"/>
      <c r="R105" s="16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9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  <c r="AQ105" s="88"/>
      <c r="AR105" s="89"/>
      <c r="AS105" s="88"/>
      <c r="AT105" s="88"/>
      <c r="AU105" s="88"/>
      <c r="AV105" s="88"/>
      <c r="AW105" s="88"/>
      <c r="AX105" s="88"/>
      <c r="AY105" s="88"/>
      <c r="AZ105" s="88"/>
      <c r="BA105" s="88"/>
      <c r="BB105" s="88"/>
      <c r="BC105" s="88"/>
      <c r="BD105" s="89"/>
      <c r="BE105" s="88"/>
      <c r="BF105" s="88"/>
      <c r="BG105" s="88"/>
      <c r="BH105" s="88"/>
      <c r="BI105" s="88"/>
      <c r="BJ105" s="88"/>
      <c r="BK105" s="88"/>
      <c r="BL105" s="88"/>
      <c r="BM105" s="88"/>
      <c r="BN105" s="88"/>
      <c r="BO105" s="88"/>
      <c r="BP105" s="89"/>
      <c r="BQ105" s="88"/>
      <c r="BR105" s="88"/>
      <c r="BS105" s="88"/>
      <c r="BT105" s="88"/>
      <c r="BU105" s="88"/>
      <c r="BV105" s="88"/>
      <c r="BW105" s="88"/>
      <c r="BX105" s="88"/>
      <c r="BY105" s="88"/>
      <c r="BZ105" s="88"/>
      <c r="CA105" s="90"/>
      <c r="CC105" s="90"/>
      <c r="CD105" s="90"/>
      <c r="CE105" s="90"/>
      <c r="CF105" s="90"/>
      <c r="CG105" s="90"/>
      <c r="CI105" s="90"/>
      <c r="CJ105" s="90"/>
      <c r="CK105" s="90"/>
      <c r="CL105" s="90"/>
      <c r="CM105" s="90"/>
    </row>
    <row r="106" s="14" customFormat="true" ht="16.5" hidden="false" customHeight="true" outlineLevel="0" collapsed="false">
      <c r="E106" s="21" t="s">
        <v>140</v>
      </c>
      <c r="H106" s="29"/>
      <c r="I106" s="88"/>
      <c r="J106" s="88"/>
      <c r="K106" s="88"/>
      <c r="L106" s="88"/>
      <c r="M106" s="88"/>
      <c r="N106" s="88"/>
      <c r="O106" s="88"/>
      <c r="P106" s="88"/>
      <c r="Q106" s="16"/>
      <c r="R106" s="16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9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  <c r="AQ106" s="88"/>
      <c r="AR106" s="89"/>
      <c r="AS106" s="88"/>
      <c r="AT106" s="88"/>
      <c r="AU106" s="88"/>
      <c r="AV106" s="88"/>
      <c r="AW106" s="88"/>
      <c r="AX106" s="88"/>
      <c r="AY106" s="88"/>
      <c r="AZ106" s="88"/>
      <c r="BA106" s="88"/>
      <c r="BB106" s="88"/>
      <c r="BC106" s="88"/>
      <c r="BD106" s="89"/>
      <c r="BE106" s="88"/>
      <c r="BF106" s="88"/>
      <c r="BG106" s="88"/>
      <c r="BH106" s="88"/>
      <c r="BI106" s="88"/>
      <c r="BJ106" s="88"/>
      <c r="BK106" s="88"/>
      <c r="BL106" s="88"/>
      <c r="BM106" s="88"/>
      <c r="BN106" s="88"/>
      <c r="BO106" s="88"/>
      <c r="BP106" s="89"/>
      <c r="BQ106" s="88"/>
      <c r="BR106" s="88"/>
      <c r="BS106" s="88"/>
      <c r="BT106" s="88"/>
      <c r="BU106" s="88"/>
      <c r="BV106" s="88"/>
      <c r="BW106" s="88"/>
      <c r="BX106" s="88"/>
      <c r="BY106" s="88"/>
      <c r="BZ106" s="88"/>
      <c r="CA106" s="90"/>
      <c r="CC106" s="90"/>
      <c r="CD106" s="90"/>
      <c r="CE106" s="90"/>
      <c r="CF106" s="90"/>
      <c r="CG106" s="90"/>
      <c r="CI106" s="90"/>
      <c r="CJ106" s="90"/>
      <c r="CK106" s="90"/>
      <c r="CL106" s="90"/>
      <c r="CM106" s="90"/>
    </row>
    <row r="107" s="14" customFormat="true" ht="16.5" hidden="false" customHeight="true" outlineLevel="0" collapsed="false">
      <c r="E107" s="91" t="s">
        <v>386</v>
      </c>
      <c r="H107" s="29" t="s">
        <v>387</v>
      </c>
      <c r="I107" s="91" t="n">
        <v>0</v>
      </c>
      <c r="J107" s="213" t="n">
        <f aca="false">I107+'SVC-1 Model'!$K$110</f>
        <v>0.36</v>
      </c>
      <c r="K107" s="214" t="n">
        <f aca="false">'SVC-1 Model'!$K$110</f>
        <v>0.36</v>
      </c>
      <c r="L107" s="213" t="n">
        <f aca="false">'SVC-1 Model'!L110</f>
        <v>0</v>
      </c>
      <c r="M107" s="213" t="n">
        <f aca="false">'SVC-1 Model'!M110</f>
        <v>0.15</v>
      </c>
      <c r="N107" s="213" t="n">
        <f aca="false">'SVC-1 Model'!N110</f>
        <v>0.36</v>
      </c>
      <c r="O107" s="213" t="n">
        <f aca="false">'SVC-1 Model'!O110</f>
        <v>0.36</v>
      </c>
      <c r="P107" s="213" t="n">
        <f aca="false">'SVC-1 Model'!P110</f>
        <v>0.36</v>
      </c>
      <c r="Q107" s="93" t="s">
        <v>266</v>
      </c>
      <c r="R107" s="16" t="str">
        <f aca="false">IF(K107=P107, "", "Error")</f>
        <v/>
      </c>
      <c r="T107" s="213" t="n">
        <f aca="false">'SVC-1 Model'!T110</f>
        <v>0</v>
      </c>
      <c r="U107" s="213" t="n">
        <f aca="false">'SVC-1 Model'!U110</f>
        <v>0</v>
      </c>
      <c r="V107" s="213" t="n">
        <f aca="false">'SVC-1 Model'!V110</f>
        <v>0</v>
      </c>
      <c r="W107" s="213" t="n">
        <f aca="false">'SVC-1 Model'!W110</f>
        <v>0</v>
      </c>
      <c r="X107" s="213" t="n">
        <f aca="false">'SVC-1 Model'!X110</f>
        <v>0</v>
      </c>
      <c r="Y107" s="213" t="n">
        <f aca="false">'SVC-1 Model'!Y110</f>
        <v>0</v>
      </c>
      <c r="Z107" s="213" t="n">
        <f aca="false">'SVC-1 Model'!Z110</f>
        <v>0</v>
      </c>
      <c r="AA107" s="213" t="n">
        <f aca="false">'SVC-1 Model'!AA110</f>
        <v>0</v>
      </c>
      <c r="AB107" s="213" t="n">
        <f aca="false">'SVC-1 Model'!AB110</f>
        <v>0</v>
      </c>
      <c r="AC107" s="213" t="n">
        <f aca="false">'SVC-1 Model'!AC110</f>
        <v>0</v>
      </c>
      <c r="AD107" s="213" t="n">
        <f aca="false">'SVC-1 Model'!AD110</f>
        <v>0</v>
      </c>
      <c r="AE107" s="215" t="n">
        <f aca="false">'SVC-1 Model'!AE110</f>
        <v>0</v>
      </c>
      <c r="AF107" s="216" t="n">
        <f aca="false">'SVC-1 Model'!AF110</f>
        <v>0</v>
      </c>
      <c r="AG107" s="216" t="n">
        <f aca="false">'SVC-1 Model'!AG110</f>
        <v>0</v>
      </c>
      <c r="AH107" s="216" t="n">
        <f aca="false">'SVC-1 Model'!AH110</f>
        <v>0</v>
      </c>
      <c r="AI107" s="216" t="n">
        <f aca="false">'SVC-1 Model'!AI110</f>
        <v>0</v>
      </c>
      <c r="AJ107" s="216" t="n">
        <f aca="false">'SVC-1 Model'!AJ110</f>
        <v>0</v>
      </c>
      <c r="AK107" s="216" t="n">
        <f aca="false">'SVC-1 Model'!AK110</f>
        <v>0</v>
      </c>
      <c r="AL107" s="216" t="n">
        <f aca="false">'SVC-1 Model'!AL110</f>
        <v>0</v>
      </c>
      <c r="AM107" s="216" t="n">
        <f aca="false">'SVC-1 Model'!AM110</f>
        <v>0.03</v>
      </c>
      <c r="AN107" s="216" t="n">
        <f aca="false">'SVC-1 Model'!AN110</f>
        <v>0.03</v>
      </c>
      <c r="AO107" s="216" t="n">
        <f aca="false">'SVC-1 Model'!AO110</f>
        <v>0.03</v>
      </c>
      <c r="AP107" s="216" t="n">
        <f aca="false">'SVC-1 Model'!AP110</f>
        <v>0.03</v>
      </c>
      <c r="AQ107" s="216" t="n">
        <f aca="false">'SVC-1 Model'!AQ110</f>
        <v>0.03</v>
      </c>
      <c r="AR107" s="216" t="n">
        <f aca="false">'SVC-1 Model'!AR110</f>
        <v>0.03</v>
      </c>
      <c r="AS107" s="216" t="n">
        <f aca="false">'SVC-1 Model'!AS110</f>
        <v>0.03</v>
      </c>
      <c r="AT107" s="216" t="n">
        <f aca="false">'SVC-1 Model'!AT110</f>
        <v>0.03</v>
      </c>
      <c r="AU107" s="216" t="n">
        <f aca="false">'SVC-1 Model'!AU110</f>
        <v>0.03</v>
      </c>
      <c r="AV107" s="216" t="n">
        <f aca="false">'SVC-1 Model'!AV110</f>
        <v>0.03</v>
      </c>
      <c r="AW107" s="216" t="n">
        <f aca="false">'SVC-1 Model'!AW110</f>
        <v>0.03</v>
      </c>
      <c r="AX107" s="216" t="n">
        <f aca="false">'SVC-1 Model'!AX110</f>
        <v>0.03</v>
      </c>
      <c r="AY107" s="216" t="n">
        <f aca="false">'SVC-1 Model'!AY110</f>
        <v>0.03</v>
      </c>
      <c r="AZ107" s="216" t="n">
        <f aca="false">'SVC-1 Model'!AZ110</f>
        <v>0.03</v>
      </c>
      <c r="BA107" s="216" t="n">
        <f aca="false">'SVC-1 Model'!BA110</f>
        <v>0.03</v>
      </c>
      <c r="BB107" s="216" t="n">
        <f aca="false">'SVC-1 Model'!BB110</f>
        <v>0.03</v>
      </c>
      <c r="BC107" s="216" t="n">
        <f aca="false">'SVC-1 Model'!BC110</f>
        <v>0.03</v>
      </c>
      <c r="BD107" s="216" t="n">
        <f aca="false">'SVC-1 Model'!BD110</f>
        <v>0.03</v>
      </c>
      <c r="BE107" s="216" t="n">
        <f aca="false">'SVC-1 Model'!BE110</f>
        <v>0.03</v>
      </c>
      <c r="BF107" s="216" t="n">
        <f aca="false">'SVC-1 Model'!BF110</f>
        <v>0.03</v>
      </c>
      <c r="BG107" s="216" t="n">
        <f aca="false">'SVC-1 Model'!BG110</f>
        <v>0.03</v>
      </c>
      <c r="BH107" s="216" t="n">
        <f aca="false">'SVC-1 Model'!BH110</f>
        <v>0.03</v>
      </c>
      <c r="BI107" s="216" t="n">
        <f aca="false">'SVC-1 Model'!BI110</f>
        <v>0.03</v>
      </c>
      <c r="BJ107" s="216" t="n">
        <f aca="false">'SVC-1 Model'!BJ110</f>
        <v>0.03</v>
      </c>
      <c r="BK107" s="216" t="n">
        <f aca="false">'SVC-1 Model'!BK110</f>
        <v>0.03</v>
      </c>
      <c r="BL107" s="216" t="n">
        <f aca="false">'SVC-1 Model'!BL110</f>
        <v>0.03</v>
      </c>
      <c r="BM107" s="216" t="n">
        <f aca="false">'SVC-1 Model'!BM110</f>
        <v>0.03</v>
      </c>
      <c r="BN107" s="216" t="n">
        <f aca="false">'SVC-1 Model'!BN110</f>
        <v>0.03</v>
      </c>
      <c r="BO107" s="216" t="n">
        <f aca="false">'SVC-1 Model'!BO110</f>
        <v>0.03</v>
      </c>
      <c r="BP107" s="216" t="n">
        <f aca="false">'SVC-1 Model'!BP110</f>
        <v>0.03</v>
      </c>
      <c r="BQ107" s="216" t="n">
        <f aca="false">'SVC-1 Model'!BQ110</f>
        <v>0.03</v>
      </c>
      <c r="BR107" s="216" t="n">
        <f aca="false">'SVC-1 Model'!BR110</f>
        <v>0.03</v>
      </c>
      <c r="BS107" s="216" t="n">
        <f aca="false">'SVC-1 Model'!BS110</f>
        <v>0.03</v>
      </c>
      <c r="BT107" s="216" t="n">
        <f aca="false">'SVC-1 Model'!BT110</f>
        <v>0.03</v>
      </c>
      <c r="BU107" s="216" t="n">
        <f aca="false">'SVC-1 Model'!BU110</f>
        <v>0.03</v>
      </c>
      <c r="BV107" s="216" t="n">
        <f aca="false">'SVC-1 Model'!BV110</f>
        <v>0.03</v>
      </c>
      <c r="BW107" s="216" t="n">
        <f aca="false">'SVC-1 Model'!BW110</f>
        <v>0.03</v>
      </c>
      <c r="BX107" s="216" t="n">
        <f aca="false">'SVC-1 Model'!BX110</f>
        <v>0.03</v>
      </c>
      <c r="BY107" s="216" t="n">
        <f aca="false">'SVC-1 Model'!BY110</f>
        <v>0.03</v>
      </c>
      <c r="BZ107" s="216" t="n">
        <f aca="false">'SVC-1 Model'!BZ110</f>
        <v>0.03</v>
      </c>
      <c r="CA107" s="216" t="n">
        <f aca="false">'SVC-1 Model'!CA110</f>
        <v>0.03</v>
      </c>
      <c r="CC107" s="79" t="n">
        <f aca="false">SUMIFS($T107:$CA107, $T$1:$CA$1, CC$63)</f>
        <v>0</v>
      </c>
      <c r="CD107" s="79" t="n">
        <f aca="false">SUMIFS($T107:$CA107, $T$1:$CA$1, CD$63)</f>
        <v>0.15</v>
      </c>
      <c r="CE107" s="79" t="n">
        <f aca="false">SUMIFS($T107:$CA107, $T$1:$CA$1, CE$63)</f>
        <v>0.36</v>
      </c>
      <c r="CF107" s="79" t="n">
        <f aca="false">SUMIFS($T107:$CA107, $T$1:$CA$1, CF$63)</f>
        <v>0.36</v>
      </c>
      <c r="CG107" s="79" t="n">
        <f aca="false">SUMIFS($T107:$CA107, $T$1:$CA$1, CG$63)</f>
        <v>0.36</v>
      </c>
      <c r="CI107" s="79" t="n">
        <f aca="false">CC107=L107</f>
        <v>1</v>
      </c>
      <c r="CJ107" s="79" t="n">
        <f aca="false">CD107=M107</f>
        <v>1</v>
      </c>
      <c r="CK107" s="79" t="n">
        <f aca="false">CE107=N107</f>
        <v>1</v>
      </c>
      <c r="CL107" s="79" t="n">
        <f aca="false">CF107=O107</f>
        <v>1</v>
      </c>
      <c r="CM107" s="79" t="n">
        <f aca="false">CG107=P107</f>
        <v>1</v>
      </c>
    </row>
    <row r="108" s="14" customFormat="true" ht="16.5" hidden="false" customHeight="true" outlineLevel="0" collapsed="false">
      <c r="E108" s="91" t="s">
        <v>389</v>
      </c>
      <c r="H108" s="29" t="s">
        <v>390</v>
      </c>
      <c r="I108" s="91" t="n">
        <v>0</v>
      </c>
      <c r="J108" s="213" t="n">
        <f aca="false">I108+'SVC-1 Model'!$K$111</f>
        <v>0.1</v>
      </c>
      <c r="K108" s="214" t="n">
        <f aca="false">'SVC-1 Model'!$K$111</f>
        <v>0.1</v>
      </c>
      <c r="L108" s="213" t="n">
        <f aca="false">'SVC-1 Model'!L111</f>
        <v>0</v>
      </c>
      <c r="M108" s="213" t="n">
        <f aca="false">'SVC-1 Model'!M111</f>
        <v>0.0416666666666667</v>
      </c>
      <c r="N108" s="213" t="n">
        <f aca="false">'SVC-1 Model'!N111</f>
        <v>0.1</v>
      </c>
      <c r="O108" s="213" t="n">
        <f aca="false">'SVC-1 Model'!O111</f>
        <v>0.1</v>
      </c>
      <c r="P108" s="213" t="n">
        <f aca="false">'SVC-1 Model'!P111</f>
        <v>0.1</v>
      </c>
      <c r="Q108" s="93" t="s">
        <v>266</v>
      </c>
      <c r="R108" s="16" t="str">
        <f aca="false">IF(K108=P108, "", "Error")</f>
        <v/>
      </c>
      <c r="T108" s="213" t="n">
        <f aca="false">'SVC-1 Model'!T111</f>
        <v>0</v>
      </c>
      <c r="U108" s="213" t="n">
        <f aca="false">'SVC-1 Model'!U111</f>
        <v>0</v>
      </c>
      <c r="V108" s="213" t="n">
        <f aca="false">'SVC-1 Model'!V111</f>
        <v>0</v>
      </c>
      <c r="W108" s="213" t="n">
        <f aca="false">'SVC-1 Model'!W111</f>
        <v>0</v>
      </c>
      <c r="X108" s="213" t="n">
        <f aca="false">'SVC-1 Model'!X111</f>
        <v>0</v>
      </c>
      <c r="Y108" s="213" t="n">
        <f aca="false">'SVC-1 Model'!Y111</f>
        <v>0</v>
      </c>
      <c r="Z108" s="213" t="n">
        <f aca="false">'SVC-1 Model'!Z111</f>
        <v>0</v>
      </c>
      <c r="AA108" s="213" t="n">
        <f aca="false">'SVC-1 Model'!AA111</f>
        <v>0</v>
      </c>
      <c r="AB108" s="213" t="n">
        <f aca="false">'SVC-1 Model'!AB111</f>
        <v>0</v>
      </c>
      <c r="AC108" s="213" t="n">
        <f aca="false">'SVC-1 Model'!AC111</f>
        <v>0</v>
      </c>
      <c r="AD108" s="213" t="n">
        <f aca="false">'SVC-1 Model'!AD111</f>
        <v>0</v>
      </c>
      <c r="AE108" s="215" t="n">
        <f aca="false">'SVC-1 Model'!AE111</f>
        <v>0</v>
      </c>
      <c r="AF108" s="215" t="n">
        <f aca="false">'SVC-1 Model'!AF111</f>
        <v>0</v>
      </c>
      <c r="AG108" s="215" t="n">
        <f aca="false">'SVC-1 Model'!AG111</f>
        <v>0</v>
      </c>
      <c r="AH108" s="215" t="n">
        <f aca="false">'SVC-1 Model'!AH111</f>
        <v>0</v>
      </c>
      <c r="AI108" s="215" t="n">
        <f aca="false">'SVC-1 Model'!AI111</f>
        <v>0</v>
      </c>
      <c r="AJ108" s="215" t="n">
        <f aca="false">'SVC-1 Model'!AJ111</f>
        <v>0</v>
      </c>
      <c r="AK108" s="215" t="n">
        <f aca="false">'SVC-1 Model'!AK111</f>
        <v>0</v>
      </c>
      <c r="AL108" s="215" t="n">
        <f aca="false">'SVC-1 Model'!AL111</f>
        <v>0</v>
      </c>
      <c r="AM108" s="215" t="n">
        <f aca="false">'SVC-1 Model'!AM111</f>
        <v>0.00833333333333333</v>
      </c>
      <c r="AN108" s="215" t="n">
        <f aca="false">'SVC-1 Model'!AN111</f>
        <v>0.00833333333333333</v>
      </c>
      <c r="AO108" s="215" t="n">
        <f aca="false">'SVC-1 Model'!AO111</f>
        <v>0.00833333333333333</v>
      </c>
      <c r="AP108" s="215" t="n">
        <f aca="false">'SVC-1 Model'!AP111</f>
        <v>0.00833333333333333</v>
      </c>
      <c r="AQ108" s="215" t="n">
        <f aca="false">'SVC-1 Model'!AQ111</f>
        <v>0.00833333333333333</v>
      </c>
      <c r="AR108" s="215" t="n">
        <f aca="false">'SVC-1 Model'!AR111</f>
        <v>0.00833333333333333</v>
      </c>
      <c r="AS108" s="215" t="n">
        <f aca="false">'SVC-1 Model'!AS111</f>
        <v>0.00833333333333333</v>
      </c>
      <c r="AT108" s="215" t="n">
        <f aca="false">'SVC-1 Model'!AT111</f>
        <v>0.00833333333333333</v>
      </c>
      <c r="AU108" s="215" t="n">
        <f aca="false">'SVC-1 Model'!AU111</f>
        <v>0.00833333333333333</v>
      </c>
      <c r="AV108" s="215" t="n">
        <f aca="false">'SVC-1 Model'!AV111</f>
        <v>0.00833333333333333</v>
      </c>
      <c r="AW108" s="215" t="n">
        <f aca="false">'SVC-1 Model'!AW111</f>
        <v>0.00833333333333333</v>
      </c>
      <c r="AX108" s="215" t="n">
        <f aca="false">'SVC-1 Model'!AX111</f>
        <v>0.00833333333333333</v>
      </c>
      <c r="AY108" s="215" t="n">
        <f aca="false">'SVC-1 Model'!AY111</f>
        <v>0.00833333333333333</v>
      </c>
      <c r="AZ108" s="215" t="n">
        <f aca="false">'SVC-1 Model'!AZ111</f>
        <v>0.00833333333333333</v>
      </c>
      <c r="BA108" s="215" t="n">
        <f aca="false">'SVC-1 Model'!BA111</f>
        <v>0.00833333333333333</v>
      </c>
      <c r="BB108" s="215" t="n">
        <f aca="false">'SVC-1 Model'!BB111</f>
        <v>0.00833333333333333</v>
      </c>
      <c r="BC108" s="215" t="n">
        <f aca="false">'SVC-1 Model'!BC111</f>
        <v>0.00833333333333333</v>
      </c>
      <c r="BD108" s="215" t="n">
        <f aca="false">'SVC-1 Model'!BD111</f>
        <v>0.00833333333333333</v>
      </c>
      <c r="BE108" s="215" t="n">
        <f aca="false">'SVC-1 Model'!BE111</f>
        <v>0.00833333333333333</v>
      </c>
      <c r="BF108" s="215" t="n">
        <f aca="false">'SVC-1 Model'!BF111</f>
        <v>0.00833333333333333</v>
      </c>
      <c r="BG108" s="215" t="n">
        <f aca="false">'SVC-1 Model'!BG111</f>
        <v>0.00833333333333333</v>
      </c>
      <c r="BH108" s="215" t="n">
        <f aca="false">'SVC-1 Model'!BH111</f>
        <v>0.00833333333333333</v>
      </c>
      <c r="BI108" s="215" t="n">
        <f aca="false">'SVC-1 Model'!BI111</f>
        <v>0.00833333333333333</v>
      </c>
      <c r="BJ108" s="215" t="n">
        <f aca="false">'SVC-1 Model'!BJ111</f>
        <v>0.00833333333333333</v>
      </c>
      <c r="BK108" s="215" t="n">
        <f aca="false">'SVC-1 Model'!BK111</f>
        <v>0.00833333333333333</v>
      </c>
      <c r="BL108" s="215" t="n">
        <f aca="false">'SVC-1 Model'!BL111</f>
        <v>0.00833333333333333</v>
      </c>
      <c r="BM108" s="215" t="n">
        <f aca="false">'SVC-1 Model'!BM111</f>
        <v>0.00833333333333333</v>
      </c>
      <c r="BN108" s="215" t="n">
        <f aca="false">'SVC-1 Model'!BN111</f>
        <v>0.00833333333333333</v>
      </c>
      <c r="BO108" s="215" t="n">
        <f aca="false">'SVC-1 Model'!BO111</f>
        <v>0.00833333333333333</v>
      </c>
      <c r="BP108" s="215" t="n">
        <f aca="false">'SVC-1 Model'!BP111</f>
        <v>0.00833333333333333</v>
      </c>
      <c r="BQ108" s="215" t="n">
        <f aca="false">'SVC-1 Model'!BQ111</f>
        <v>0.00833333333333333</v>
      </c>
      <c r="BR108" s="215" t="n">
        <f aca="false">'SVC-1 Model'!BR111</f>
        <v>0.00833333333333333</v>
      </c>
      <c r="BS108" s="215" t="n">
        <f aca="false">'SVC-1 Model'!BS111</f>
        <v>0.00833333333333333</v>
      </c>
      <c r="BT108" s="215" t="n">
        <f aca="false">'SVC-1 Model'!BT111</f>
        <v>0.00833333333333333</v>
      </c>
      <c r="BU108" s="215" t="n">
        <f aca="false">'SVC-1 Model'!BU111</f>
        <v>0.00833333333333333</v>
      </c>
      <c r="BV108" s="215" t="n">
        <f aca="false">'SVC-1 Model'!BV111</f>
        <v>0.00833333333333333</v>
      </c>
      <c r="BW108" s="215" t="n">
        <f aca="false">'SVC-1 Model'!BW111</f>
        <v>0.00833333333333333</v>
      </c>
      <c r="BX108" s="215" t="n">
        <f aca="false">'SVC-1 Model'!BX111</f>
        <v>0.00833333333333333</v>
      </c>
      <c r="BY108" s="215" t="n">
        <f aca="false">'SVC-1 Model'!BY111</f>
        <v>0.00833333333333333</v>
      </c>
      <c r="BZ108" s="215" t="n">
        <f aca="false">'SVC-1 Model'!BZ111</f>
        <v>0.00833333333333333</v>
      </c>
      <c r="CA108" s="215" t="n">
        <f aca="false">'SVC-1 Model'!CA111</f>
        <v>0.00833333333333333</v>
      </c>
      <c r="CC108" s="79" t="n">
        <f aca="false">SUMIFS($T108:$CA108, $T$1:$CA$1, CC$63)</f>
        <v>0</v>
      </c>
      <c r="CD108" s="79" t="n">
        <f aca="false">SUMIFS($T108:$CA108, $T$1:$CA$1, CD$63)</f>
        <v>0.0416666666666667</v>
      </c>
      <c r="CE108" s="79" t="n">
        <f aca="false">SUMIFS($T108:$CA108, $T$1:$CA$1, CE$63)</f>
        <v>0.1</v>
      </c>
      <c r="CF108" s="79" t="n">
        <f aca="false">SUMIFS($T108:$CA108, $T$1:$CA$1, CF$63)</f>
        <v>0.1</v>
      </c>
      <c r="CG108" s="79" t="n">
        <f aca="false">SUMIFS($T108:$CA108, $T$1:$CA$1, CG$63)</f>
        <v>0.1</v>
      </c>
      <c r="CI108" s="79" t="n">
        <f aca="false">CC108=L108</f>
        <v>1</v>
      </c>
      <c r="CJ108" s="79" t="n">
        <f aca="false">CD108=M108</f>
        <v>1</v>
      </c>
      <c r="CK108" s="79" t="n">
        <f aca="false">CE108=N108</f>
        <v>1</v>
      </c>
      <c r="CL108" s="79" t="n">
        <f aca="false">CF108=O108</f>
        <v>1</v>
      </c>
      <c r="CM108" s="79" t="n">
        <f aca="false">CG108=P108</f>
        <v>1</v>
      </c>
    </row>
    <row r="109" s="14" customFormat="true" ht="16.5" hidden="false" customHeight="true" outlineLevel="0" collapsed="false">
      <c r="E109" s="91" t="s">
        <v>391</v>
      </c>
      <c r="H109" s="29" t="s">
        <v>390</v>
      </c>
      <c r="I109" s="91" t="n">
        <v>0</v>
      </c>
      <c r="J109" s="213" t="n">
        <f aca="false">I109+'SVC-1 Model'!$K$112</f>
        <v>0.04</v>
      </c>
      <c r="K109" s="214" t="n">
        <f aca="false">'SVC-1 Model'!$K$112</f>
        <v>0.04</v>
      </c>
      <c r="L109" s="213" t="n">
        <f aca="false">'SVC-1 Model'!L112</f>
        <v>0</v>
      </c>
      <c r="M109" s="213" t="n">
        <f aca="false">'SVC-1 Model'!M112</f>
        <v>0.0166666666666667</v>
      </c>
      <c r="N109" s="213" t="n">
        <f aca="false">'SVC-1 Model'!N112</f>
        <v>0.04</v>
      </c>
      <c r="O109" s="213" t="n">
        <f aca="false">'SVC-1 Model'!O112</f>
        <v>0.04</v>
      </c>
      <c r="P109" s="213" t="n">
        <f aca="false">'SVC-1 Model'!P112</f>
        <v>0.04</v>
      </c>
      <c r="Q109" s="93" t="s">
        <v>266</v>
      </c>
      <c r="R109" s="16" t="str">
        <f aca="false">IF(K109=P109, "", "Error")</f>
        <v/>
      </c>
      <c r="T109" s="213" t="n">
        <f aca="false">'SVC-1 Model'!T112</f>
        <v>0</v>
      </c>
      <c r="U109" s="213" t="n">
        <f aca="false">'SVC-1 Model'!U112</f>
        <v>0</v>
      </c>
      <c r="V109" s="213" t="n">
        <f aca="false">'SVC-1 Model'!V112</f>
        <v>0</v>
      </c>
      <c r="W109" s="213" t="n">
        <f aca="false">'SVC-1 Model'!W112</f>
        <v>0</v>
      </c>
      <c r="X109" s="213" t="n">
        <f aca="false">'SVC-1 Model'!X112</f>
        <v>0</v>
      </c>
      <c r="Y109" s="213" t="n">
        <f aca="false">'SVC-1 Model'!Y112</f>
        <v>0</v>
      </c>
      <c r="Z109" s="213" t="n">
        <f aca="false">'SVC-1 Model'!Z112</f>
        <v>0</v>
      </c>
      <c r="AA109" s="213" t="n">
        <f aca="false">'SVC-1 Model'!AA112</f>
        <v>0</v>
      </c>
      <c r="AB109" s="213" t="n">
        <f aca="false">'SVC-1 Model'!AB112</f>
        <v>0</v>
      </c>
      <c r="AC109" s="213" t="n">
        <f aca="false">'SVC-1 Model'!AC112</f>
        <v>0</v>
      </c>
      <c r="AD109" s="213" t="n">
        <f aca="false">'SVC-1 Model'!AD112</f>
        <v>0</v>
      </c>
      <c r="AE109" s="215" t="n">
        <f aca="false">'SVC-1 Model'!AE112</f>
        <v>0</v>
      </c>
      <c r="AF109" s="215" t="n">
        <f aca="false">'SVC-1 Model'!AF112</f>
        <v>0</v>
      </c>
      <c r="AG109" s="215" t="n">
        <f aca="false">'SVC-1 Model'!AG112</f>
        <v>0</v>
      </c>
      <c r="AH109" s="215" t="n">
        <f aca="false">'SVC-1 Model'!AH112</f>
        <v>0</v>
      </c>
      <c r="AI109" s="215" t="n">
        <f aca="false">'SVC-1 Model'!AI112</f>
        <v>0</v>
      </c>
      <c r="AJ109" s="215" t="n">
        <f aca="false">'SVC-1 Model'!AJ112</f>
        <v>0</v>
      </c>
      <c r="AK109" s="215" t="n">
        <f aca="false">'SVC-1 Model'!AK112</f>
        <v>0</v>
      </c>
      <c r="AL109" s="215" t="n">
        <f aca="false">'SVC-1 Model'!AL112</f>
        <v>0</v>
      </c>
      <c r="AM109" s="215" t="n">
        <f aca="false">'SVC-1 Model'!AM112</f>
        <v>0.00333333333333333</v>
      </c>
      <c r="AN109" s="215" t="n">
        <f aca="false">'SVC-1 Model'!AN112</f>
        <v>0.00333333333333333</v>
      </c>
      <c r="AO109" s="215" t="n">
        <f aca="false">'SVC-1 Model'!AO112</f>
        <v>0.00333333333333333</v>
      </c>
      <c r="AP109" s="215" t="n">
        <f aca="false">'SVC-1 Model'!AP112</f>
        <v>0.00333333333333333</v>
      </c>
      <c r="AQ109" s="215" t="n">
        <f aca="false">'SVC-1 Model'!AQ112</f>
        <v>0.00333333333333333</v>
      </c>
      <c r="AR109" s="215" t="n">
        <f aca="false">'SVC-1 Model'!AR112</f>
        <v>0.00333333333333333</v>
      </c>
      <c r="AS109" s="215" t="n">
        <f aca="false">'SVC-1 Model'!AS112</f>
        <v>0.00333333333333333</v>
      </c>
      <c r="AT109" s="215" t="n">
        <f aca="false">'SVC-1 Model'!AT112</f>
        <v>0.00333333333333333</v>
      </c>
      <c r="AU109" s="215" t="n">
        <f aca="false">'SVC-1 Model'!AU112</f>
        <v>0.00333333333333333</v>
      </c>
      <c r="AV109" s="215" t="n">
        <f aca="false">'SVC-1 Model'!AV112</f>
        <v>0.00333333333333333</v>
      </c>
      <c r="AW109" s="215" t="n">
        <f aca="false">'SVC-1 Model'!AW112</f>
        <v>0.00333333333333333</v>
      </c>
      <c r="AX109" s="215" t="n">
        <f aca="false">'SVC-1 Model'!AX112</f>
        <v>0.00333333333333333</v>
      </c>
      <c r="AY109" s="215" t="n">
        <f aca="false">'SVC-1 Model'!AY112</f>
        <v>0.00333333333333333</v>
      </c>
      <c r="AZ109" s="215" t="n">
        <f aca="false">'SVC-1 Model'!AZ112</f>
        <v>0.00333333333333333</v>
      </c>
      <c r="BA109" s="215" t="n">
        <f aca="false">'SVC-1 Model'!BA112</f>
        <v>0.00333333333333333</v>
      </c>
      <c r="BB109" s="215" t="n">
        <f aca="false">'SVC-1 Model'!BB112</f>
        <v>0.00333333333333333</v>
      </c>
      <c r="BC109" s="215" t="n">
        <f aca="false">'SVC-1 Model'!BC112</f>
        <v>0.00333333333333333</v>
      </c>
      <c r="BD109" s="215" t="n">
        <f aca="false">'SVC-1 Model'!BD112</f>
        <v>0.00333333333333333</v>
      </c>
      <c r="BE109" s="215" t="n">
        <f aca="false">'SVC-1 Model'!BE112</f>
        <v>0.00333333333333333</v>
      </c>
      <c r="BF109" s="215" t="n">
        <f aca="false">'SVC-1 Model'!BF112</f>
        <v>0.00333333333333333</v>
      </c>
      <c r="BG109" s="215" t="n">
        <f aca="false">'SVC-1 Model'!BG112</f>
        <v>0.00333333333333333</v>
      </c>
      <c r="BH109" s="215" t="n">
        <f aca="false">'SVC-1 Model'!BH112</f>
        <v>0.00333333333333333</v>
      </c>
      <c r="BI109" s="215" t="n">
        <f aca="false">'SVC-1 Model'!BI112</f>
        <v>0.00333333333333333</v>
      </c>
      <c r="BJ109" s="215" t="n">
        <f aca="false">'SVC-1 Model'!BJ112</f>
        <v>0.00333333333333333</v>
      </c>
      <c r="BK109" s="215" t="n">
        <f aca="false">'SVC-1 Model'!BK112</f>
        <v>0.00333333333333333</v>
      </c>
      <c r="BL109" s="215" t="n">
        <f aca="false">'SVC-1 Model'!BL112</f>
        <v>0.00333333333333333</v>
      </c>
      <c r="BM109" s="215" t="n">
        <f aca="false">'SVC-1 Model'!BM112</f>
        <v>0.00333333333333333</v>
      </c>
      <c r="BN109" s="215" t="n">
        <f aca="false">'SVC-1 Model'!BN112</f>
        <v>0.00333333333333333</v>
      </c>
      <c r="BO109" s="215" t="n">
        <f aca="false">'SVC-1 Model'!BO112</f>
        <v>0.00333333333333333</v>
      </c>
      <c r="BP109" s="215" t="n">
        <f aca="false">'SVC-1 Model'!BP112</f>
        <v>0.00333333333333333</v>
      </c>
      <c r="BQ109" s="215" t="n">
        <f aca="false">'SVC-1 Model'!BQ112</f>
        <v>0.00333333333333333</v>
      </c>
      <c r="BR109" s="215" t="n">
        <f aca="false">'SVC-1 Model'!BR112</f>
        <v>0.00333333333333333</v>
      </c>
      <c r="BS109" s="215" t="n">
        <f aca="false">'SVC-1 Model'!BS112</f>
        <v>0.00333333333333333</v>
      </c>
      <c r="BT109" s="215" t="n">
        <f aca="false">'SVC-1 Model'!BT112</f>
        <v>0.00333333333333333</v>
      </c>
      <c r="BU109" s="215" t="n">
        <f aca="false">'SVC-1 Model'!BU112</f>
        <v>0.00333333333333333</v>
      </c>
      <c r="BV109" s="215" t="n">
        <f aca="false">'SVC-1 Model'!BV112</f>
        <v>0.00333333333333333</v>
      </c>
      <c r="BW109" s="215" t="n">
        <f aca="false">'SVC-1 Model'!BW112</f>
        <v>0.00333333333333333</v>
      </c>
      <c r="BX109" s="215" t="n">
        <f aca="false">'SVC-1 Model'!BX112</f>
        <v>0.00333333333333333</v>
      </c>
      <c r="BY109" s="215" t="n">
        <f aca="false">'SVC-1 Model'!BY112</f>
        <v>0.00333333333333333</v>
      </c>
      <c r="BZ109" s="215" t="n">
        <f aca="false">'SVC-1 Model'!BZ112</f>
        <v>0.00333333333333333</v>
      </c>
      <c r="CA109" s="215" t="n">
        <f aca="false">'SVC-1 Model'!CA112</f>
        <v>0.00333333333333333</v>
      </c>
      <c r="CC109" s="79" t="n">
        <f aca="false">SUMIFS($T109:$CA109, $T$1:$CA$1, CC$63)</f>
        <v>0</v>
      </c>
      <c r="CD109" s="79" t="n">
        <f aca="false">SUMIFS($T109:$CA109, $T$1:$CA$1, CD$63)</f>
        <v>0.0166666666666667</v>
      </c>
      <c r="CE109" s="79" t="n">
        <f aca="false">SUMIFS($T109:$CA109, $T$1:$CA$1, CE$63)</f>
        <v>0.04</v>
      </c>
      <c r="CF109" s="79" t="n">
        <f aca="false">SUMIFS($T109:$CA109, $T$1:$CA$1, CF$63)</f>
        <v>0.04</v>
      </c>
      <c r="CG109" s="79" t="n">
        <f aca="false">SUMIFS($T109:$CA109, $T$1:$CA$1, CG$63)</f>
        <v>0.04</v>
      </c>
      <c r="CI109" s="79" t="n">
        <f aca="false">CC109=L109</f>
        <v>1</v>
      </c>
      <c r="CJ109" s="79" t="n">
        <f aca="false">CD109=M109</f>
        <v>1</v>
      </c>
      <c r="CK109" s="79" t="n">
        <f aca="false">CE109=N109</f>
        <v>1</v>
      </c>
      <c r="CL109" s="79" t="n">
        <f aca="false">CF109=O109</f>
        <v>1</v>
      </c>
      <c r="CM109" s="79" t="n">
        <f aca="false">CG109=P109</f>
        <v>1</v>
      </c>
    </row>
    <row r="110" s="14" customFormat="true" ht="16.5" hidden="false" customHeight="true" outlineLevel="0" collapsed="false">
      <c r="E110" s="91"/>
      <c r="H110" s="29"/>
      <c r="I110" s="91" t="n">
        <v>0</v>
      </c>
      <c r="J110" s="91" t="n">
        <v>0</v>
      </c>
      <c r="K110" s="212" t="n">
        <f aca="false">J110-I110</f>
        <v>0</v>
      </c>
      <c r="L110" s="91" t="n">
        <v>0</v>
      </c>
      <c r="M110" s="91" t="n">
        <v>0</v>
      </c>
      <c r="N110" s="91" t="n">
        <v>0</v>
      </c>
      <c r="O110" s="91" t="n">
        <v>0</v>
      </c>
      <c r="P110" s="91" t="n">
        <v>0</v>
      </c>
      <c r="Q110" s="93"/>
      <c r="R110" s="16" t="str">
        <f aca="false">IF(K110=P110, "", "Error")</f>
        <v/>
      </c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4"/>
      <c r="AF110" s="95"/>
      <c r="AG110" s="91"/>
      <c r="AH110" s="91"/>
      <c r="AI110" s="91"/>
      <c r="AJ110" s="91"/>
      <c r="AK110" s="91"/>
      <c r="AL110" s="91"/>
      <c r="AM110" s="91"/>
      <c r="AN110" s="91"/>
      <c r="AO110" s="91"/>
      <c r="AP110" s="91"/>
      <c r="AQ110" s="94"/>
      <c r="AR110" s="95"/>
      <c r="AS110" s="91"/>
      <c r="AT110" s="91"/>
      <c r="AU110" s="91"/>
      <c r="AV110" s="91"/>
      <c r="AW110" s="91"/>
      <c r="AX110" s="91"/>
      <c r="AY110" s="91"/>
      <c r="AZ110" s="91"/>
      <c r="BA110" s="91"/>
      <c r="BB110" s="91"/>
      <c r="BC110" s="94"/>
      <c r="BD110" s="95"/>
      <c r="BE110" s="91"/>
      <c r="BF110" s="91"/>
      <c r="BG110" s="91"/>
      <c r="BH110" s="91"/>
      <c r="BI110" s="91"/>
      <c r="BJ110" s="91"/>
      <c r="BK110" s="91"/>
      <c r="BL110" s="91"/>
      <c r="BM110" s="91"/>
      <c r="BN110" s="91"/>
      <c r="BO110" s="94"/>
      <c r="BP110" s="95"/>
      <c r="BQ110" s="91"/>
      <c r="BR110" s="91"/>
      <c r="BS110" s="91"/>
      <c r="BT110" s="91"/>
      <c r="BU110" s="91"/>
      <c r="BV110" s="91"/>
      <c r="BW110" s="91"/>
      <c r="BX110" s="91"/>
      <c r="BY110" s="91"/>
      <c r="BZ110" s="91"/>
      <c r="CA110" s="119"/>
      <c r="CC110" s="79" t="n">
        <f aca="false">SUMIFS($T110:$CA110, $T$1:$CA$1, CC$63)</f>
        <v>0</v>
      </c>
      <c r="CD110" s="79" t="n">
        <f aca="false">SUMIFS($T110:$CA110, $T$1:$CA$1, CD$63)</f>
        <v>0</v>
      </c>
      <c r="CE110" s="79" t="n">
        <f aca="false">SUMIFS($T110:$CA110, $T$1:$CA$1, CE$63)</f>
        <v>0</v>
      </c>
      <c r="CF110" s="79" t="n">
        <f aca="false">SUMIFS($T110:$CA110, $T$1:$CA$1, CF$63)</f>
        <v>0</v>
      </c>
      <c r="CG110" s="79" t="n">
        <f aca="false">SUMIFS($T110:$CA110, $T$1:$CA$1, CG$63)</f>
        <v>0</v>
      </c>
      <c r="CI110" s="79" t="n">
        <f aca="false">CC110=L110</f>
        <v>1</v>
      </c>
      <c r="CJ110" s="79" t="n">
        <f aca="false">CD110=M110</f>
        <v>1</v>
      </c>
      <c r="CK110" s="79" t="n">
        <f aca="false">CE110=N110</f>
        <v>1</v>
      </c>
      <c r="CL110" s="79" t="n">
        <f aca="false">CF110=O110</f>
        <v>1</v>
      </c>
      <c r="CM110" s="79" t="n">
        <f aca="false">CG110=P110</f>
        <v>1</v>
      </c>
    </row>
    <row r="111" s="14" customFormat="true" ht="16.5" hidden="false" customHeight="true" outlineLevel="0" collapsed="false">
      <c r="E111" s="91"/>
      <c r="H111" s="29"/>
      <c r="I111" s="91" t="n">
        <v>0</v>
      </c>
      <c r="J111" s="91" t="n">
        <v>0</v>
      </c>
      <c r="K111" s="212" t="n">
        <f aca="false">J111-I111</f>
        <v>0</v>
      </c>
      <c r="L111" s="91" t="n">
        <v>0</v>
      </c>
      <c r="M111" s="91" t="n">
        <v>0</v>
      </c>
      <c r="N111" s="91" t="n">
        <v>0</v>
      </c>
      <c r="O111" s="91" t="n">
        <v>0</v>
      </c>
      <c r="P111" s="91" t="n">
        <v>0</v>
      </c>
      <c r="Q111" s="93"/>
      <c r="R111" s="16" t="str">
        <f aca="false">IF(K111=P111, "", "Error")</f>
        <v/>
      </c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4"/>
      <c r="AF111" s="95"/>
      <c r="AG111" s="91"/>
      <c r="AH111" s="91"/>
      <c r="AI111" s="91"/>
      <c r="AJ111" s="91"/>
      <c r="AK111" s="91"/>
      <c r="AL111" s="91"/>
      <c r="AM111" s="91"/>
      <c r="AN111" s="91"/>
      <c r="AO111" s="91"/>
      <c r="AP111" s="91"/>
      <c r="AQ111" s="94"/>
      <c r="AR111" s="95"/>
      <c r="AS111" s="91"/>
      <c r="AT111" s="91"/>
      <c r="AU111" s="91"/>
      <c r="AV111" s="91"/>
      <c r="AW111" s="91"/>
      <c r="AX111" s="91"/>
      <c r="AY111" s="91"/>
      <c r="AZ111" s="91"/>
      <c r="BA111" s="91"/>
      <c r="BB111" s="91"/>
      <c r="BC111" s="94"/>
      <c r="BD111" s="95"/>
      <c r="BE111" s="91"/>
      <c r="BF111" s="91"/>
      <c r="BG111" s="91"/>
      <c r="BH111" s="91"/>
      <c r="BI111" s="91"/>
      <c r="BJ111" s="91"/>
      <c r="BK111" s="91"/>
      <c r="BL111" s="91"/>
      <c r="BM111" s="91"/>
      <c r="BN111" s="91"/>
      <c r="BO111" s="94"/>
      <c r="BP111" s="95"/>
      <c r="BQ111" s="91"/>
      <c r="BR111" s="91"/>
      <c r="BS111" s="91"/>
      <c r="BT111" s="91"/>
      <c r="BU111" s="91"/>
      <c r="BV111" s="91"/>
      <c r="BW111" s="91"/>
      <c r="BX111" s="91"/>
      <c r="BY111" s="91"/>
      <c r="BZ111" s="91"/>
      <c r="CA111" s="119"/>
      <c r="CC111" s="79" t="n">
        <f aca="false">SUMIFS($T111:$CA111, $T$1:$CA$1, CC$63)</f>
        <v>0</v>
      </c>
      <c r="CD111" s="79" t="n">
        <f aca="false">SUMIFS($T111:$CA111, $T$1:$CA$1, CD$63)</f>
        <v>0</v>
      </c>
      <c r="CE111" s="79" t="n">
        <f aca="false">SUMIFS($T111:$CA111, $T$1:$CA$1, CE$63)</f>
        <v>0</v>
      </c>
      <c r="CF111" s="79" t="n">
        <f aca="false">SUMIFS($T111:$CA111, $T$1:$CA$1, CF$63)</f>
        <v>0</v>
      </c>
      <c r="CG111" s="79" t="n">
        <f aca="false">SUMIFS($T111:$CA111, $T$1:$CA$1, CG$63)</f>
        <v>0</v>
      </c>
      <c r="CI111" s="79" t="n">
        <f aca="false">CC111=L111</f>
        <v>1</v>
      </c>
      <c r="CJ111" s="79" t="n">
        <f aca="false">CD111=M111</f>
        <v>1</v>
      </c>
      <c r="CK111" s="79" t="n">
        <f aca="false">CE111=N111</f>
        <v>1</v>
      </c>
      <c r="CL111" s="79" t="n">
        <f aca="false">CF111=O111</f>
        <v>1</v>
      </c>
      <c r="CM111" s="79" t="n">
        <f aca="false">CG111=P111</f>
        <v>1</v>
      </c>
    </row>
    <row r="112" s="14" customFormat="true" ht="16.5" hidden="false" customHeight="true" outlineLevel="0" collapsed="false">
      <c r="E112" s="96" t="s">
        <v>143</v>
      </c>
      <c r="H112" s="29"/>
      <c r="I112" s="82" t="n">
        <f aca="false">SUM(I107:I111)</f>
        <v>0</v>
      </c>
      <c r="J112" s="82" t="n">
        <f aca="false">SUM(J107:J111)</f>
        <v>0.5</v>
      </c>
      <c r="K112" s="82" t="n">
        <f aca="false">SUM(K107:K111)</f>
        <v>0.5</v>
      </c>
      <c r="L112" s="82" t="n">
        <f aca="false">SUM(L107:L111)</f>
        <v>0</v>
      </c>
      <c r="M112" s="82" t="n">
        <f aca="false">SUM(M107:M111)</f>
        <v>0.208333333333333</v>
      </c>
      <c r="N112" s="82" t="n">
        <f aca="false">SUM(N107:N111)</f>
        <v>0.5</v>
      </c>
      <c r="O112" s="82" t="n">
        <f aca="false">SUM(O107:O111)</f>
        <v>0.5</v>
      </c>
      <c r="P112" s="82" t="n">
        <f aca="false">SUM(P107:P111)</f>
        <v>0.5</v>
      </c>
      <c r="Q112" s="16"/>
      <c r="R112" s="16"/>
      <c r="T112" s="82" t="n">
        <f aca="false">SUM(T107:T111)</f>
        <v>0</v>
      </c>
      <c r="U112" s="82" t="n">
        <f aca="false">SUM(U107:U111)</f>
        <v>0</v>
      </c>
      <c r="V112" s="82" t="n">
        <f aca="false">SUM(V107:V111)</f>
        <v>0</v>
      </c>
      <c r="W112" s="82" t="n">
        <f aca="false">SUM(W107:W111)</f>
        <v>0</v>
      </c>
      <c r="X112" s="82" t="n">
        <f aca="false">SUM(X107:X111)</f>
        <v>0</v>
      </c>
      <c r="Y112" s="82" t="n">
        <f aca="false">SUM(Y107:Y111)</f>
        <v>0</v>
      </c>
      <c r="Z112" s="82" t="n">
        <f aca="false">SUM(Z107:Z111)</f>
        <v>0</v>
      </c>
      <c r="AA112" s="82" t="n">
        <f aca="false">SUM(AA107:AA111)</f>
        <v>0</v>
      </c>
      <c r="AB112" s="82" t="n">
        <f aca="false">SUM(AB107:AB111)</f>
        <v>0</v>
      </c>
      <c r="AC112" s="82" t="n">
        <f aca="false">SUM(AC107:AC111)</f>
        <v>0</v>
      </c>
      <c r="AD112" s="82" t="n">
        <f aca="false">SUM(AD107:AD111)</f>
        <v>0</v>
      </c>
      <c r="AE112" s="82" t="n">
        <f aca="false">SUM(AE107:AE111)</f>
        <v>0</v>
      </c>
      <c r="AF112" s="83" t="n">
        <f aca="false">SUM(AF107:AF111)</f>
        <v>0</v>
      </c>
      <c r="AG112" s="82" t="n">
        <f aca="false">SUM(AG107:AG111)</f>
        <v>0</v>
      </c>
      <c r="AH112" s="82" t="n">
        <f aca="false">SUM(AH107:AH111)</f>
        <v>0</v>
      </c>
      <c r="AI112" s="82" t="n">
        <f aca="false">SUM(AI107:AI111)</f>
        <v>0</v>
      </c>
      <c r="AJ112" s="82" t="n">
        <f aca="false">SUM(AJ107:AJ111)</f>
        <v>0</v>
      </c>
      <c r="AK112" s="82" t="n">
        <f aca="false">SUM(AK107:AK111)</f>
        <v>0</v>
      </c>
      <c r="AL112" s="82" t="n">
        <f aca="false">SUM(AL107:AL111)</f>
        <v>0</v>
      </c>
      <c r="AM112" s="82" t="n">
        <f aca="false">SUM(AM107:AM111)</f>
        <v>0.0416666666666667</v>
      </c>
      <c r="AN112" s="82" t="n">
        <f aca="false">SUM(AN107:AN111)</f>
        <v>0.0416666666666667</v>
      </c>
      <c r="AO112" s="82" t="n">
        <f aca="false">SUM(AO107:AO111)</f>
        <v>0.0416666666666667</v>
      </c>
      <c r="AP112" s="82" t="n">
        <f aca="false">SUM(AP107:AP111)</f>
        <v>0.0416666666666667</v>
      </c>
      <c r="AQ112" s="82" t="n">
        <f aca="false">SUM(AQ107:AQ111)</f>
        <v>0.0416666666666667</v>
      </c>
      <c r="AR112" s="83" t="n">
        <f aca="false">SUM(AR107:AR111)</f>
        <v>0.0416666666666667</v>
      </c>
      <c r="AS112" s="82" t="n">
        <f aca="false">SUM(AS107:AS111)</f>
        <v>0.0416666666666667</v>
      </c>
      <c r="AT112" s="82" t="n">
        <f aca="false">SUM(AT107:AT111)</f>
        <v>0.0416666666666667</v>
      </c>
      <c r="AU112" s="82" t="n">
        <f aca="false">SUM(AU107:AU111)</f>
        <v>0.0416666666666667</v>
      </c>
      <c r="AV112" s="82" t="n">
        <f aca="false">SUM(AV107:AV111)</f>
        <v>0.0416666666666667</v>
      </c>
      <c r="AW112" s="82" t="n">
        <f aca="false">SUM(AW107:AW111)</f>
        <v>0.0416666666666667</v>
      </c>
      <c r="AX112" s="82" t="n">
        <f aca="false">SUM(AX107:AX111)</f>
        <v>0.0416666666666667</v>
      </c>
      <c r="AY112" s="82" t="n">
        <f aca="false">SUM(AY107:AY111)</f>
        <v>0.0416666666666667</v>
      </c>
      <c r="AZ112" s="82" t="n">
        <f aca="false">SUM(AZ107:AZ111)</f>
        <v>0.0416666666666667</v>
      </c>
      <c r="BA112" s="82" t="n">
        <f aca="false">SUM(BA107:BA111)</f>
        <v>0.0416666666666667</v>
      </c>
      <c r="BB112" s="82" t="n">
        <f aca="false">SUM(BB107:BB111)</f>
        <v>0.0416666666666667</v>
      </c>
      <c r="BC112" s="82" t="n">
        <f aca="false">SUM(BC107:BC111)</f>
        <v>0.0416666666666667</v>
      </c>
      <c r="BD112" s="83" t="n">
        <f aca="false">SUM(BD107:BD111)</f>
        <v>0.0416666666666667</v>
      </c>
      <c r="BE112" s="82" t="n">
        <f aca="false">SUM(BE107:BE111)</f>
        <v>0.0416666666666667</v>
      </c>
      <c r="BF112" s="82" t="n">
        <f aca="false">SUM(BF107:BF111)</f>
        <v>0.0416666666666667</v>
      </c>
      <c r="BG112" s="82" t="n">
        <f aca="false">SUM(BG107:BG111)</f>
        <v>0.0416666666666667</v>
      </c>
      <c r="BH112" s="82" t="n">
        <f aca="false">SUM(BH107:BH111)</f>
        <v>0.0416666666666667</v>
      </c>
      <c r="BI112" s="82" t="n">
        <f aca="false">SUM(BI107:BI111)</f>
        <v>0.0416666666666667</v>
      </c>
      <c r="BJ112" s="82" t="n">
        <f aca="false">SUM(BJ107:BJ111)</f>
        <v>0.0416666666666667</v>
      </c>
      <c r="BK112" s="82" t="n">
        <f aca="false">SUM(BK107:BK111)</f>
        <v>0.0416666666666667</v>
      </c>
      <c r="BL112" s="82" t="n">
        <f aca="false">SUM(BL107:BL111)</f>
        <v>0.0416666666666667</v>
      </c>
      <c r="BM112" s="82" t="n">
        <f aca="false">SUM(BM107:BM111)</f>
        <v>0.0416666666666667</v>
      </c>
      <c r="BN112" s="82" t="n">
        <f aca="false">SUM(BN107:BN111)</f>
        <v>0.0416666666666667</v>
      </c>
      <c r="BO112" s="82" t="n">
        <f aca="false">SUM(BO107:BO111)</f>
        <v>0.0416666666666667</v>
      </c>
      <c r="BP112" s="83" t="n">
        <f aca="false">SUM(BP107:BP111)</f>
        <v>0.0416666666666667</v>
      </c>
      <c r="BQ112" s="82" t="n">
        <f aca="false">SUM(BQ107:BQ111)</f>
        <v>0.0416666666666667</v>
      </c>
      <c r="BR112" s="82" t="n">
        <f aca="false">SUM(BR107:BR111)</f>
        <v>0.0416666666666667</v>
      </c>
      <c r="BS112" s="82" t="n">
        <f aca="false">SUM(BS107:BS111)</f>
        <v>0.0416666666666667</v>
      </c>
      <c r="BT112" s="82" t="n">
        <f aca="false">SUM(BT107:BT111)</f>
        <v>0.0416666666666667</v>
      </c>
      <c r="BU112" s="82" t="n">
        <f aca="false">SUM(BU107:BU111)</f>
        <v>0.0416666666666667</v>
      </c>
      <c r="BV112" s="82" t="n">
        <f aca="false">SUM(BV107:BV111)</f>
        <v>0.0416666666666667</v>
      </c>
      <c r="BW112" s="82" t="n">
        <f aca="false">SUM(BW107:BW111)</f>
        <v>0.0416666666666667</v>
      </c>
      <c r="BX112" s="82" t="n">
        <f aca="false">SUM(BX107:BX111)</f>
        <v>0.0416666666666667</v>
      </c>
      <c r="BY112" s="82" t="n">
        <f aca="false">SUM(BY107:BY111)</f>
        <v>0.0416666666666667</v>
      </c>
      <c r="BZ112" s="82" t="n">
        <f aca="false">SUM(BZ107:BZ111)</f>
        <v>0.0416666666666667</v>
      </c>
      <c r="CA112" s="84" t="n">
        <f aca="false">SUM(CA107:CA111)</f>
        <v>0.0416666666666667</v>
      </c>
      <c r="CC112" s="84" t="n">
        <f aca="false">SUM(CC107:CC111)</f>
        <v>0</v>
      </c>
      <c r="CD112" s="84" t="n">
        <f aca="false">SUM(CD107:CD111)</f>
        <v>0.208333333333333</v>
      </c>
      <c r="CE112" s="84" t="n">
        <f aca="false">SUM(CE107:CE111)</f>
        <v>0.5</v>
      </c>
      <c r="CF112" s="84" t="n">
        <f aca="false">SUM(CF107:CF111)</f>
        <v>0.5</v>
      </c>
      <c r="CG112" s="84" t="n">
        <f aca="false">SUM(CG107:CG111)</f>
        <v>0.5</v>
      </c>
      <c r="CI112" s="84" t="n">
        <f aca="false">CC112=L112</f>
        <v>1</v>
      </c>
      <c r="CJ112" s="84" t="n">
        <f aca="false">CD112=M112</f>
        <v>1</v>
      </c>
      <c r="CK112" s="84" t="n">
        <f aca="false">CE112=N112</f>
        <v>1</v>
      </c>
      <c r="CL112" s="84" t="n">
        <f aca="false">CF112=O112</f>
        <v>1</v>
      </c>
      <c r="CM112" s="84" t="n">
        <f aca="false">CG112=P112</f>
        <v>1</v>
      </c>
    </row>
    <row r="113" s="14" customFormat="true" ht="16.5" hidden="false" customHeight="true" outlineLevel="0" collapsed="false">
      <c r="E113" s="96"/>
      <c r="H113" s="29"/>
      <c r="I113" s="105"/>
      <c r="J113" s="105"/>
      <c r="K113" s="105"/>
      <c r="L113" s="105"/>
      <c r="M113" s="105"/>
      <c r="N113" s="105"/>
      <c r="O113" s="105"/>
      <c r="P113" s="105"/>
      <c r="Q113" s="16"/>
      <c r="R113" s="16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3"/>
      <c r="AG113" s="82"/>
      <c r="AH113" s="82"/>
      <c r="AI113" s="82"/>
      <c r="AJ113" s="82"/>
      <c r="AK113" s="82"/>
      <c r="AL113" s="82"/>
      <c r="AM113" s="82"/>
      <c r="AN113" s="82"/>
      <c r="AO113" s="82"/>
      <c r="AP113" s="82"/>
      <c r="AQ113" s="82"/>
      <c r="AR113" s="83"/>
      <c r="AS113" s="82"/>
      <c r="AT113" s="82"/>
      <c r="AU113" s="82"/>
      <c r="AV113" s="82"/>
      <c r="AW113" s="82"/>
      <c r="AX113" s="82"/>
      <c r="AY113" s="82"/>
      <c r="AZ113" s="82"/>
      <c r="BA113" s="82"/>
      <c r="BB113" s="82"/>
      <c r="BC113" s="82"/>
      <c r="BD113" s="83"/>
      <c r="BE113" s="82"/>
      <c r="BF113" s="82"/>
      <c r="BG113" s="82"/>
      <c r="BH113" s="82"/>
      <c r="BI113" s="82"/>
      <c r="BJ113" s="82"/>
      <c r="BK113" s="82"/>
      <c r="BL113" s="82"/>
      <c r="BM113" s="82"/>
      <c r="BN113" s="82"/>
      <c r="BO113" s="82"/>
      <c r="BP113" s="83"/>
      <c r="BQ113" s="82"/>
      <c r="BR113" s="82"/>
      <c r="BS113" s="82"/>
      <c r="BT113" s="82"/>
      <c r="BU113" s="82"/>
      <c r="BV113" s="82"/>
      <c r="BW113" s="82"/>
      <c r="BX113" s="82"/>
      <c r="BY113" s="82"/>
      <c r="BZ113" s="82"/>
      <c r="CA113" s="84"/>
      <c r="CC113" s="84"/>
      <c r="CD113" s="84"/>
      <c r="CE113" s="84"/>
      <c r="CF113" s="84"/>
      <c r="CG113" s="84"/>
      <c r="CI113" s="84"/>
      <c r="CJ113" s="84"/>
      <c r="CK113" s="84"/>
      <c r="CL113" s="84"/>
      <c r="CM113" s="84"/>
    </row>
    <row r="114" s="14" customFormat="true" ht="16.5" hidden="false" customHeight="true" outlineLevel="0" collapsed="false">
      <c r="E114" s="85"/>
      <c r="I114" s="104"/>
      <c r="J114" s="104"/>
      <c r="K114" s="104"/>
      <c r="L114" s="104"/>
      <c r="M114" s="104"/>
      <c r="N114" s="104"/>
      <c r="O114" s="104"/>
      <c r="P114" s="104"/>
      <c r="Q114" s="16"/>
      <c r="R114" s="16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9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  <c r="AQ114" s="88"/>
      <c r="AR114" s="89"/>
      <c r="AS114" s="88"/>
      <c r="AT114" s="88"/>
      <c r="AU114" s="88"/>
      <c r="AV114" s="88"/>
      <c r="AW114" s="88"/>
      <c r="AX114" s="88"/>
      <c r="AY114" s="88"/>
      <c r="AZ114" s="88"/>
      <c r="BA114" s="88"/>
      <c r="BB114" s="88"/>
      <c r="BC114" s="88"/>
      <c r="BD114" s="89"/>
      <c r="BE114" s="88"/>
      <c r="BF114" s="88"/>
      <c r="BG114" s="88"/>
      <c r="BH114" s="88"/>
      <c r="BI114" s="88"/>
      <c r="BJ114" s="88"/>
      <c r="BK114" s="88"/>
      <c r="BL114" s="88"/>
      <c r="BM114" s="88"/>
      <c r="BN114" s="88"/>
      <c r="BO114" s="88"/>
      <c r="BP114" s="89"/>
      <c r="BQ114" s="88"/>
      <c r="BR114" s="88"/>
      <c r="BS114" s="88"/>
      <c r="BT114" s="88"/>
      <c r="BU114" s="88"/>
      <c r="BV114" s="88"/>
      <c r="BW114" s="88"/>
      <c r="BX114" s="88"/>
      <c r="BY114" s="88"/>
      <c r="BZ114" s="88"/>
      <c r="CA114" s="90"/>
      <c r="CC114" s="90"/>
      <c r="CD114" s="90"/>
      <c r="CE114" s="90"/>
      <c r="CF114" s="90"/>
      <c r="CG114" s="90"/>
      <c r="CI114" s="90"/>
      <c r="CJ114" s="90"/>
      <c r="CK114" s="90"/>
      <c r="CL114" s="90"/>
      <c r="CM114" s="90"/>
    </row>
    <row r="115" s="14" customFormat="true" ht="16.5" hidden="false" customHeight="true" outlineLevel="0" collapsed="false">
      <c r="E115" s="109" t="s">
        <v>150</v>
      </c>
      <c r="F115" s="109"/>
      <c r="G115" s="109"/>
      <c r="H115" s="109"/>
      <c r="I115" s="220" t="n">
        <f aca="false">SUM(-I96, I104, I112)</f>
        <v>0</v>
      </c>
      <c r="J115" s="220" t="n">
        <f aca="false">SUM(-J96, J104, J112)</f>
        <v>0.5</v>
      </c>
      <c r="K115" s="220" t="n">
        <f aca="false">SUM(-K96, K104, K112)</f>
        <v>0.5</v>
      </c>
      <c r="L115" s="220" t="n">
        <f aca="false">SUM(-L96, L104, L112)</f>
        <v>0</v>
      </c>
      <c r="M115" s="220" t="n">
        <f aca="false">SUM(-M96, M104, M112)</f>
        <v>0.208333333333333</v>
      </c>
      <c r="N115" s="220" t="n">
        <f aca="false">SUM(-N96, N104, N112)</f>
        <v>0.5</v>
      </c>
      <c r="O115" s="220" t="n">
        <f aca="false">SUM(-O96, O104, O112)</f>
        <v>0.5</v>
      </c>
      <c r="P115" s="220" t="n">
        <f aca="false">SUM(-P96, P104, P112)</f>
        <v>0.5</v>
      </c>
      <c r="Q115" s="16"/>
      <c r="R115" s="16"/>
      <c r="T115" s="120" t="n">
        <f aca="false">SUM(-T96, T104, T112)</f>
        <v>0</v>
      </c>
      <c r="U115" s="120" t="n">
        <f aca="false">SUM(-U96, U104, U112)</f>
        <v>0</v>
      </c>
      <c r="V115" s="120" t="n">
        <f aca="false">SUM(-V96, V104, V112)</f>
        <v>0</v>
      </c>
      <c r="W115" s="120" t="n">
        <f aca="false">SUM(-W96, W104, W112)</f>
        <v>0</v>
      </c>
      <c r="X115" s="120" t="n">
        <f aca="false">SUM(-X96, X104, X112)</f>
        <v>0</v>
      </c>
      <c r="Y115" s="120" t="n">
        <f aca="false">SUM(-Y96, Y104, Y112)</f>
        <v>0</v>
      </c>
      <c r="Z115" s="120" t="n">
        <f aca="false">SUM(-Z96, Z104, Z112)</f>
        <v>0</v>
      </c>
      <c r="AA115" s="120" t="n">
        <f aca="false">SUM(-AA96, AA104, AA112)</f>
        <v>0</v>
      </c>
      <c r="AB115" s="120" t="n">
        <f aca="false">SUM(-AB96, AB104, AB112)</f>
        <v>0</v>
      </c>
      <c r="AC115" s="120" t="n">
        <f aca="false">SUM(-AC96, AC104, AC112)</f>
        <v>0</v>
      </c>
      <c r="AD115" s="120" t="n">
        <f aca="false">SUM(-AD96, AD104, AD112)</f>
        <v>0</v>
      </c>
      <c r="AE115" s="120" t="n">
        <f aca="false">SUM(-AE96, AE104, AE112)</f>
        <v>0</v>
      </c>
      <c r="AF115" s="120" t="n">
        <f aca="false">SUM(-AF96, AF104, AF112)</f>
        <v>0</v>
      </c>
      <c r="AG115" s="120" t="n">
        <f aca="false">SUM(-AG96, AG104, AG112)</f>
        <v>0</v>
      </c>
      <c r="AH115" s="120" t="n">
        <f aca="false">SUM(-AH96, AH104, AH112)</f>
        <v>0</v>
      </c>
      <c r="AI115" s="120" t="n">
        <f aca="false">SUM(-AI96, AI104, AI112)</f>
        <v>0</v>
      </c>
      <c r="AJ115" s="120" t="n">
        <f aca="false">SUM(-AJ96, AJ104, AJ112)</f>
        <v>0</v>
      </c>
      <c r="AK115" s="120" t="n">
        <f aca="false">SUM(-AK96, AK104, AK112)</f>
        <v>0</v>
      </c>
      <c r="AL115" s="120" t="n">
        <f aca="false">SUM(-AL96, AL104, AL112)</f>
        <v>0</v>
      </c>
      <c r="AM115" s="120" t="n">
        <f aca="false">SUM(-AM96, AM104, AM112)</f>
        <v>0.0416666666666667</v>
      </c>
      <c r="AN115" s="120" t="n">
        <f aca="false">SUM(-AN96, AN104, AN112)</f>
        <v>0.0416666666666667</v>
      </c>
      <c r="AO115" s="120" t="n">
        <f aca="false">SUM(-AO96, AO104, AO112)</f>
        <v>0.0416666666666667</v>
      </c>
      <c r="AP115" s="120" t="n">
        <f aca="false">SUM(-AP96, AP104, AP112)</f>
        <v>0.0416666666666667</v>
      </c>
      <c r="AQ115" s="120" t="n">
        <f aca="false">SUM(-AQ96, AQ104, AQ112)</f>
        <v>0.0416666666666667</v>
      </c>
      <c r="AR115" s="120" t="n">
        <f aca="false">SUM(-AR96, AR104, AR112)</f>
        <v>0.0416666666666667</v>
      </c>
      <c r="AS115" s="120" t="n">
        <f aca="false">SUM(-AS96, AS104, AS112)</f>
        <v>0.0416666666666667</v>
      </c>
      <c r="AT115" s="120" t="n">
        <f aca="false">SUM(-AT96, AT104, AT112)</f>
        <v>0.0416666666666667</v>
      </c>
      <c r="AU115" s="120" t="n">
        <f aca="false">SUM(-AU96, AU104, AU112)</f>
        <v>0.0416666666666667</v>
      </c>
      <c r="AV115" s="120" t="n">
        <f aca="false">SUM(-AV96, AV104, AV112)</f>
        <v>0.0416666666666667</v>
      </c>
      <c r="AW115" s="120" t="n">
        <f aca="false">SUM(-AW96, AW104, AW112)</f>
        <v>0.0416666666666667</v>
      </c>
      <c r="AX115" s="120" t="n">
        <f aca="false">SUM(-AX96, AX104, AX112)</f>
        <v>0.0416666666666667</v>
      </c>
      <c r="AY115" s="120" t="n">
        <f aca="false">SUM(-AY96, AY104, AY112)</f>
        <v>0.0416666666666667</v>
      </c>
      <c r="AZ115" s="120" t="n">
        <f aca="false">SUM(-AZ96, AZ104, AZ112)</f>
        <v>0.0416666666666667</v>
      </c>
      <c r="BA115" s="120" t="n">
        <f aca="false">SUM(-BA96, BA104, BA112)</f>
        <v>0.0416666666666667</v>
      </c>
      <c r="BB115" s="120" t="n">
        <f aca="false">SUM(-BB96, BB104, BB112)</f>
        <v>0.0416666666666667</v>
      </c>
      <c r="BC115" s="120" t="n">
        <f aca="false">SUM(-BC96, BC104, BC112)</f>
        <v>0.0416666666666667</v>
      </c>
      <c r="BD115" s="120" t="n">
        <f aca="false">SUM(-BD96, BD104, BD112)</f>
        <v>0.0416666666666667</v>
      </c>
      <c r="BE115" s="120" t="n">
        <f aca="false">SUM(-BE96, BE104, BE112)</f>
        <v>0.0416666666666667</v>
      </c>
      <c r="BF115" s="120" t="n">
        <f aca="false">SUM(-BF96, BF104, BF112)</f>
        <v>0.0416666666666667</v>
      </c>
      <c r="BG115" s="120" t="n">
        <f aca="false">SUM(-BG96, BG104, BG112)</f>
        <v>0.0416666666666667</v>
      </c>
      <c r="BH115" s="120" t="n">
        <f aca="false">SUM(-BH96, BH104, BH112)</f>
        <v>0.0416666666666667</v>
      </c>
      <c r="BI115" s="120" t="n">
        <f aca="false">SUM(-BI96, BI104, BI112)</f>
        <v>0.0416666666666667</v>
      </c>
      <c r="BJ115" s="120" t="n">
        <f aca="false">SUM(-BJ96, BJ104, BJ112)</f>
        <v>0.0416666666666667</v>
      </c>
      <c r="BK115" s="120" t="n">
        <f aca="false">SUM(-BK96, BK104, BK112)</f>
        <v>0.0416666666666667</v>
      </c>
      <c r="BL115" s="120" t="n">
        <f aca="false">SUM(-BL96, BL104, BL112)</f>
        <v>0.0416666666666667</v>
      </c>
      <c r="BM115" s="120" t="n">
        <f aca="false">SUM(-BM96, BM104, BM112)</f>
        <v>0.0416666666666667</v>
      </c>
      <c r="BN115" s="120" t="n">
        <f aca="false">SUM(-BN96, BN104, BN112)</f>
        <v>0.0416666666666667</v>
      </c>
      <c r="BO115" s="120" t="n">
        <f aca="false">SUM(-BO96, BO104, BO112)</f>
        <v>0.0416666666666667</v>
      </c>
      <c r="BP115" s="120" t="n">
        <f aca="false">SUM(-BP96, BP104, BP112)</f>
        <v>0.0416666666666667</v>
      </c>
      <c r="BQ115" s="120" t="n">
        <f aca="false">SUM(-BQ96, BQ104, BQ112)</f>
        <v>0.0416666666666667</v>
      </c>
      <c r="BR115" s="120" t="n">
        <f aca="false">SUM(-BR96, BR104, BR112)</f>
        <v>0.0416666666666667</v>
      </c>
      <c r="BS115" s="120" t="n">
        <f aca="false">SUM(-BS96, BS104, BS112)</f>
        <v>0.0416666666666667</v>
      </c>
      <c r="BT115" s="120" t="n">
        <f aca="false">SUM(-BT96, BT104, BT112)</f>
        <v>0.0416666666666667</v>
      </c>
      <c r="BU115" s="120" t="n">
        <f aca="false">SUM(-BU96, BU104, BU112)</f>
        <v>0.0416666666666667</v>
      </c>
      <c r="BV115" s="120" t="n">
        <f aca="false">SUM(-BV96, BV104, BV112)</f>
        <v>0.0416666666666667</v>
      </c>
      <c r="BW115" s="120" t="n">
        <f aca="false">SUM(-BW96, BW104, BW112)</f>
        <v>0.0416666666666667</v>
      </c>
      <c r="BX115" s="120" t="n">
        <f aca="false">SUM(-BX96, BX104, BX112)</f>
        <v>0.0416666666666667</v>
      </c>
      <c r="BY115" s="120" t="n">
        <f aca="false">SUM(-BY96, BY104, BY112)</f>
        <v>0.0416666666666667</v>
      </c>
      <c r="BZ115" s="120" t="n">
        <f aca="false">SUM(-BZ96, BZ104, BZ112)</f>
        <v>0.0416666666666667</v>
      </c>
      <c r="CA115" s="120" t="n">
        <f aca="false">SUM(-CA96, CA104, CA112)</f>
        <v>0.0416666666666667</v>
      </c>
      <c r="CC115" s="120" t="n">
        <f aca="false">SUM(-CC96, CC104, CC112)</f>
        <v>0</v>
      </c>
      <c r="CD115" s="120" t="n">
        <f aca="false">SUM(-CD96, CD104, CD112)</f>
        <v>0.208333333333333</v>
      </c>
      <c r="CE115" s="120" t="n">
        <f aca="false">SUM(-CE96, CE104, CE112)</f>
        <v>0.5</v>
      </c>
      <c r="CF115" s="120" t="n">
        <f aca="false">SUM(-CF96, CF104, CF112)</f>
        <v>0.5</v>
      </c>
      <c r="CG115" s="120" t="n">
        <f aca="false">SUM(-CG96, CG104, CG112)</f>
        <v>0.5</v>
      </c>
      <c r="CI115" s="113" t="n">
        <f aca="false">CC115=L115</f>
        <v>1</v>
      </c>
      <c r="CJ115" s="113" t="n">
        <f aca="false">CD115=M115</f>
        <v>1</v>
      </c>
      <c r="CK115" s="113" t="n">
        <f aca="false">CE115=N115</f>
        <v>1</v>
      </c>
      <c r="CL115" s="113" t="n">
        <f aca="false">CF115=O115</f>
        <v>1</v>
      </c>
      <c r="CM115" s="113" t="n">
        <f aca="false">CG115=P115</f>
        <v>1</v>
      </c>
    </row>
    <row r="116" s="14" customFormat="true" ht="17.25" hidden="false" customHeight="true" outlineLevel="0" collapsed="false">
      <c r="E116" s="21"/>
      <c r="I116" s="221"/>
      <c r="J116" s="221"/>
      <c r="K116" s="221"/>
      <c r="L116" s="221"/>
      <c r="M116" s="221"/>
      <c r="N116" s="221"/>
      <c r="O116" s="221"/>
      <c r="P116" s="221"/>
      <c r="Q116" s="16"/>
      <c r="R116" s="16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  <c r="AQ116" s="88"/>
      <c r="AR116" s="88"/>
      <c r="AS116" s="88"/>
      <c r="AT116" s="88"/>
      <c r="AU116" s="88"/>
      <c r="AV116" s="88"/>
      <c r="AW116" s="88"/>
      <c r="AX116" s="88"/>
      <c r="AY116" s="88"/>
      <c r="AZ116" s="88"/>
      <c r="BA116" s="88"/>
      <c r="BB116" s="88"/>
      <c r="BC116" s="88"/>
      <c r="BD116" s="88"/>
      <c r="BE116" s="88"/>
      <c r="BF116" s="88"/>
      <c r="BG116" s="88"/>
      <c r="BH116" s="88"/>
      <c r="BI116" s="88"/>
      <c r="BJ116" s="88"/>
      <c r="BK116" s="88"/>
      <c r="BL116" s="88"/>
      <c r="BM116" s="88"/>
      <c r="BN116" s="88"/>
      <c r="BO116" s="88"/>
      <c r="BP116" s="88"/>
      <c r="BQ116" s="88"/>
      <c r="BR116" s="88"/>
      <c r="BS116" s="88"/>
      <c r="BT116" s="88"/>
      <c r="BU116" s="88"/>
      <c r="BV116" s="88"/>
      <c r="BW116" s="88"/>
      <c r="BX116" s="88"/>
      <c r="BY116" s="88"/>
      <c r="BZ116" s="88"/>
      <c r="CA116" s="121"/>
    </row>
    <row r="117" s="14" customFormat="true" ht="17.25" hidden="false" customHeight="true" outlineLevel="0" collapsed="false">
      <c r="E117" s="122" t="s">
        <v>151</v>
      </c>
      <c r="F117" s="123"/>
      <c r="G117" s="123"/>
      <c r="H117" s="123"/>
      <c r="I117" s="222" t="n">
        <f aca="false">SUM(I88, -I115)</f>
        <v>156.0245364</v>
      </c>
      <c r="J117" s="222" t="n">
        <f aca="false">SUM(J88, -J115)</f>
        <v>142.685920216</v>
      </c>
      <c r="K117" s="223" t="n">
        <f aca="false">SUM(K88, -K115)</f>
        <v>12.338616184</v>
      </c>
      <c r="L117" s="222" t="n">
        <f aca="false">SUM(L88, -L115)</f>
        <v>0</v>
      </c>
      <c r="M117" s="222" t="n">
        <f aca="false">SUM(M88, -M115)</f>
        <v>2.0205930875</v>
      </c>
      <c r="N117" s="222" t="n">
        <f aca="false">SUM(N88, -N115)</f>
        <v>12.2494591271667</v>
      </c>
      <c r="O117" s="222" t="n">
        <f aca="false">SUM(O88, -O115)</f>
        <v>12.338616184</v>
      </c>
      <c r="P117" s="222" t="n">
        <f aca="false">SUM(P88, -P115)</f>
        <v>12.338616184</v>
      </c>
      <c r="Q117" s="16"/>
      <c r="R117" s="16" t="str">
        <f aca="false">IF(K117=P117, "", "Error")</f>
        <v/>
      </c>
      <c r="T117" s="125" t="n">
        <f aca="false">SUM(T88, -T115)</f>
        <v>0</v>
      </c>
      <c r="U117" s="125" t="n">
        <f aca="false">SUM(U88, -U115)</f>
        <v>0</v>
      </c>
      <c r="V117" s="125" t="n">
        <f aca="false">SUM(V88, -V115)</f>
        <v>0</v>
      </c>
      <c r="W117" s="125" t="n">
        <f aca="false">SUM(W88, -W115)</f>
        <v>0</v>
      </c>
      <c r="X117" s="125" t="n">
        <f aca="false">SUM(X88, -X115)</f>
        <v>0</v>
      </c>
      <c r="Y117" s="125" t="n">
        <f aca="false">SUM(Y88, -Y115)</f>
        <v>0</v>
      </c>
      <c r="Z117" s="125" t="n">
        <f aca="false">SUM(Z88, -Z115)</f>
        <v>0</v>
      </c>
      <c r="AA117" s="125" t="n">
        <f aca="false">SUM(AA88, -AA115)</f>
        <v>0</v>
      </c>
      <c r="AB117" s="125" t="n">
        <f aca="false">SUM(AB88, -AB115)</f>
        <v>0</v>
      </c>
      <c r="AC117" s="125" t="n">
        <f aca="false">SUM(AC88, -AC115)</f>
        <v>0</v>
      </c>
      <c r="AD117" s="125" t="n">
        <f aca="false">SUM(AD88, -AD115)</f>
        <v>0</v>
      </c>
      <c r="AE117" s="125" t="n">
        <f aca="false">SUM(AE88, -AE115)</f>
        <v>0</v>
      </c>
      <c r="AF117" s="125" t="n">
        <f aca="false">SUM(AF88, -AF115)</f>
        <v>0</v>
      </c>
      <c r="AG117" s="125" t="n">
        <f aca="false">SUM(AG88, -AG115)</f>
        <v>0</v>
      </c>
      <c r="AH117" s="125" t="n">
        <f aca="false">SUM(AH88, -AH115)</f>
        <v>0</v>
      </c>
      <c r="AI117" s="125" t="n">
        <f aca="false">SUM(AI88, -AI115)</f>
        <v>0</v>
      </c>
      <c r="AJ117" s="125" t="n">
        <f aca="false">SUM(AJ88, -AJ115)</f>
        <v>0</v>
      </c>
      <c r="AK117" s="125" t="n">
        <f aca="false">SUM(AK88, -AK115)</f>
        <v>0</v>
      </c>
      <c r="AL117" s="125" t="n">
        <f aca="false">SUM(AL88, -AL115)</f>
        <v>0</v>
      </c>
      <c r="AM117" s="125" t="n">
        <f aca="false">SUM(AM88, -AM115)</f>
        <v>0.0474903901666667</v>
      </c>
      <c r="AN117" s="125" t="n">
        <f aca="false">SUM(AN88, -AN115)</f>
        <v>0.225804503833333</v>
      </c>
      <c r="AO117" s="125" t="n">
        <f aca="false">SUM(AO88, -AO115)</f>
        <v>0.4041186175</v>
      </c>
      <c r="AP117" s="125" t="n">
        <f aca="false">SUM(AP88, -AP115)</f>
        <v>0.582432731166667</v>
      </c>
      <c r="AQ117" s="125" t="n">
        <f aca="false">SUM(AQ88, -AQ115)</f>
        <v>0.760746844833333</v>
      </c>
      <c r="AR117" s="125" t="n">
        <f aca="false">SUM(AR88, -AR115)</f>
        <v>0.9390609585</v>
      </c>
      <c r="AS117" s="125" t="n">
        <f aca="false">SUM(AS88, -AS115)</f>
        <v>1.02821801533333</v>
      </c>
      <c r="AT117" s="125" t="n">
        <f aca="false">SUM(AT88, -AT115)</f>
        <v>1.02821801533333</v>
      </c>
      <c r="AU117" s="125" t="n">
        <f aca="false">SUM(AU88, -AU115)</f>
        <v>1.02821801533333</v>
      </c>
      <c r="AV117" s="125" t="n">
        <f aca="false">SUM(AV88, -AV115)</f>
        <v>1.02821801533333</v>
      </c>
      <c r="AW117" s="125" t="n">
        <f aca="false">SUM(AW88, -AW115)</f>
        <v>1.02821801533333</v>
      </c>
      <c r="AX117" s="125" t="n">
        <f aca="false">SUM(AX88, -AX115)</f>
        <v>1.02821801533333</v>
      </c>
      <c r="AY117" s="125" t="n">
        <f aca="false">SUM(AY88, -AY115)</f>
        <v>1.02821801533333</v>
      </c>
      <c r="AZ117" s="125" t="n">
        <f aca="false">SUM(AZ88, -AZ115)</f>
        <v>1.02821801533333</v>
      </c>
      <c r="BA117" s="125" t="n">
        <f aca="false">SUM(BA88, -BA115)</f>
        <v>1.02821801533333</v>
      </c>
      <c r="BB117" s="125" t="n">
        <f aca="false">SUM(BB88, -BB115)</f>
        <v>1.02821801533333</v>
      </c>
      <c r="BC117" s="125" t="n">
        <f aca="false">SUM(BC88, -BC115)</f>
        <v>1.02821801533333</v>
      </c>
      <c r="BD117" s="125" t="n">
        <f aca="false">SUM(BD88, -BD115)</f>
        <v>1.02821801533333</v>
      </c>
      <c r="BE117" s="125" t="n">
        <f aca="false">SUM(BE88, -BE115)</f>
        <v>1.02821801533333</v>
      </c>
      <c r="BF117" s="125" t="n">
        <f aca="false">SUM(BF88, -BF115)</f>
        <v>1.02821801533333</v>
      </c>
      <c r="BG117" s="125" t="n">
        <f aca="false">SUM(BG88, -BG115)</f>
        <v>1.02821801533333</v>
      </c>
      <c r="BH117" s="125" t="n">
        <f aca="false">SUM(BH88, -BH115)</f>
        <v>1.02821801533333</v>
      </c>
      <c r="BI117" s="125" t="n">
        <f aca="false">SUM(BI88, -BI115)</f>
        <v>1.02821801533333</v>
      </c>
      <c r="BJ117" s="125" t="n">
        <f aca="false">SUM(BJ88, -BJ115)</f>
        <v>1.02821801533333</v>
      </c>
      <c r="BK117" s="125" t="n">
        <f aca="false">SUM(BK88, -BK115)</f>
        <v>1.02821801533333</v>
      </c>
      <c r="BL117" s="125" t="n">
        <f aca="false">SUM(BL88, -BL115)</f>
        <v>1.02821801533333</v>
      </c>
      <c r="BM117" s="125" t="n">
        <f aca="false">SUM(BM88, -BM115)</f>
        <v>1.02821801533333</v>
      </c>
      <c r="BN117" s="125" t="n">
        <f aca="false">SUM(BN88, -BN115)</f>
        <v>1.02821801533333</v>
      </c>
      <c r="BO117" s="125" t="n">
        <f aca="false">SUM(BO88, -BO115)</f>
        <v>1.02821801533333</v>
      </c>
      <c r="BP117" s="125" t="n">
        <f aca="false">SUM(BP88, -BP115)</f>
        <v>1.02821801533333</v>
      </c>
      <c r="BQ117" s="125" t="n">
        <f aca="false">SUM(BQ88, -BQ115)</f>
        <v>1.02821801533333</v>
      </c>
      <c r="BR117" s="125" t="n">
        <f aca="false">SUM(BR88, -BR115)</f>
        <v>1.02821801533333</v>
      </c>
      <c r="BS117" s="125" t="n">
        <f aca="false">SUM(BS88, -BS115)</f>
        <v>1.02821801533333</v>
      </c>
      <c r="BT117" s="125" t="n">
        <f aca="false">SUM(BT88, -BT115)</f>
        <v>1.02821801533333</v>
      </c>
      <c r="BU117" s="125" t="n">
        <f aca="false">SUM(BU88, -BU115)</f>
        <v>1.02821801533333</v>
      </c>
      <c r="BV117" s="125" t="n">
        <f aca="false">SUM(BV88, -BV115)</f>
        <v>1.02821801533333</v>
      </c>
      <c r="BW117" s="125" t="n">
        <f aca="false">SUM(BW88, -BW115)</f>
        <v>1.02821801533333</v>
      </c>
      <c r="BX117" s="125" t="n">
        <f aca="false">SUM(BX88, -BX115)</f>
        <v>1.02821801533333</v>
      </c>
      <c r="BY117" s="125" t="n">
        <f aca="false">SUM(BY88, -BY115)</f>
        <v>1.02821801533333</v>
      </c>
      <c r="BZ117" s="125" t="n">
        <f aca="false">SUM(BZ88, -BZ115)</f>
        <v>1.02821801533333</v>
      </c>
      <c r="CA117" s="126" t="n">
        <f aca="false">SUM(CA88, -CA115)</f>
        <v>1.02821801533333</v>
      </c>
      <c r="CC117" s="126" t="n">
        <f aca="false">SUM(CC88, -CC115)</f>
        <v>0</v>
      </c>
      <c r="CD117" s="126" t="n">
        <f aca="false">SUM(CD88, -CD115)</f>
        <v>2.0205930875</v>
      </c>
      <c r="CE117" s="126" t="n">
        <f aca="false">SUM(CE88, -CE115)</f>
        <v>12.2494591271667</v>
      </c>
      <c r="CF117" s="126" t="n">
        <f aca="false">SUM(CF88, -CF115)</f>
        <v>12.338616184</v>
      </c>
      <c r="CG117" s="126" t="n">
        <f aca="false">SUM(CG88, -CG115)</f>
        <v>12.338616184</v>
      </c>
      <c r="CI117" s="126" t="n">
        <f aca="false">CC117=L117</f>
        <v>1</v>
      </c>
      <c r="CJ117" s="126" t="n">
        <f aca="false">CD117=M117</f>
        <v>1</v>
      </c>
      <c r="CK117" s="126" t="n">
        <f aca="false">CE117=N117</f>
        <v>1</v>
      </c>
      <c r="CL117" s="126" t="n">
        <f aca="false">CF117=O117</f>
        <v>1</v>
      </c>
      <c r="CM117" s="126" t="n">
        <f aca="false">CG117=P117</f>
        <v>1</v>
      </c>
    </row>
    <row r="118" s="14" customFormat="true" ht="17.25" hidden="false" customHeight="true" outlineLevel="0" collapsed="false">
      <c r="K118" s="127"/>
      <c r="Q118" s="16"/>
      <c r="R118" s="16"/>
    </row>
    <row r="119" s="14" customFormat="true" ht="17.25" hidden="false" customHeight="true" outlineLevel="0" collapsed="false">
      <c r="E119" s="128"/>
      <c r="Q119" s="16"/>
      <c r="R119" s="16"/>
    </row>
    <row r="120" s="14" customFormat="true" ht="16.5" hidden="false" customHeight="true" outlineLevel="0" collapsed="false">
      <c r="C120" s="19" t="s">
        <v>152</v>
      </c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20"/>
      <c r="R120" s="20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C120" s="19" t="s">
        <v>127</v>
      </c>
      <c r="CD120" s="19"/>
      <c r="CE120" s="19"/>
      <c r="CF120" s="19"/>
      <c r="CG120" s="19"/>
      <c r="CI120" s="19" t="s">
        <v>128</v>
      </c>
      <c r="CJ120" s="19"/>
      <c r="CK120" s="19"/>
      <c r="CL120" s="19"/>
      <c r="CM120" s="19"/>
    </row>
    <row r="121" s="14" customFormat="true" ht="16.5" hidden="false" customHeight="true" outlineLevel="0" collapsed="false">
      <c r="Q121" s="16"/>
      <c r="R121" s="16"/>
    </row>
    <row r="122" s="14" customFormat="true" ht="16.5" hidden="false" customHeight="true" outlineLevel="0" collapsed="false">
      <c r="Q122" s="16"/>
      <c r="R122" s="16"/>
      <c r="T122" s="62" t="n">
        <v>2026</v>
      </c>
      <c r="U122" s="129"/>
      <c r="V122" s="129"/>
      <c r="W122" s="129"/>
      <c r="X122" s="129"/>
      <c r="Y122" s="129"/>
      <c r="Z122" s="129"/>
      <c r="AA122" s="129"/>
      <c r="AB122" s="129"/>
      <c r="AC122" s="129"/>
      <c r="AD122" s="129"/>
      <c r="AE122" s="129"/>
      <c r="AF122" s="62" t="n">
        <v>2027</v>
      </c>
      <c r="AG122" s="129"/>
      <c r="AH122" s="129"/>
      <c r="AI122" s="129"/>
      <c r="AJ122" s="129"/>
      <c r="AK122" s="129"/>
      <c r="AL122" s="129"/>
      <c r="AM122" s="129"/>
      <c r="AN122" s="129"/>
      <c r="AO122" s="129"/>
      <c r="AP122" s="129"/>
      <c r="AQ122" s="129"/>
      <c r="AR122" s="62" t="n">
        <v>2028</v>
      </c>
      <c r="AS122" s="129"/>
      <c r="AT122" s="129"/>
      <c r="AU122" s="129"/>
      <c r="AV122" s="129"/>
      <c r="AW122" s="129"/>
      <c r="AX122" s="129"/>
      <c r="AY122" s="129"/>
      <c r="AZ122" s="129"/>
      <c r="BA122" s="129"/>
      <c r="BB122" s="129"/>
      <c r="BC122" s="129"/>
      <c r="BD122" s="62" t="n">
        <v>2029</v>
      </c>
      <c r="BE122" s="129"/>
      <c r="BF122" s="129"/>
      <c r="BG122" s="129"/>
      <c r="BH122" s="129"/>
      <c r="BI122" s="129"/>
      <c r="BJ122" s="129"/>
      <c r="BK122" s="129"/>
      <c r="BL122" s="129"/>
      <c r="BM122" s="129"/>
      <c r="BN122" s="129"/>
      <c r="BO122" s="129"/>
      <c r="BP122" s="62" t="n">
        <v>2030</v>
      </c>
      <c r="BQ122" s="130"/>
      <c r="BR122" s="130"/>
      <c r="BS122" s="130"/>
      <c r="BT122" s="130"/>
      <c r="BU122" s="130"/>
      <c r="BV122" s="130"/>
      <c r="BW122" s="130"/>
      <c r="BX122" s="130"/>
      <c r="BY122" s="130"/>
      <c r="BZ122" s="130"/>
      <c r="CA122" s="130"/>
    </row>
    <row r="123" s="14" customFormat="true" ht="16.5" hidden="false" customHeight="true" outlineLevel="0" collapsed="false">
      <c r="D123" s="30" t="s">
        <v>153</v>
      </c>
      <c r="E123" s="31"/>
      <c r="F123" s="31"/>
      <c r="G123" s="31"/>
      <c r="H123" s="31"/>
      <c r="I123" s="31"/>
      <c r="J123" s="31"/>
      <c r="K123" s="30" t="s">
        <v>130</v>
      </c>
      <c r="L123" s="31" t="n">
        <v>2026</v>
      </c>
      <c r="M123" s="31" t="n">
        <f aca="false">L123+1</f>
        <v>2027</v>
      </c>
      <c r="N123" s="31" t="n">
        <f aca="false">M123+1</f>
        <v>2028</v>
      </c>
      <c r="O123" s="31" t="n">
        <f aca="false">N123+1</f>
        <v>2029</v>
      </c>
      <c r="P123" s="31" t="n">
        <f aca="false">O123+1</f>
        <v>2030</v>
      </c>
      <c r="Q123" s="31" t="s">
        <v>132</v>
      </c>
      <c r="R123" s="16"/>
      <c r="T123" s="59" t="n">
        <v>46023</v>
      </c>
      <c r="U123" s="60" t="n">
        <f aca="false">EOMONTH(T123, 1)</f>
        <v>46081</v>
      </c>
      <c r="V123" s="60" t="n">
        <f aca="false">EOMONTH(U123, 1)</f>
        <v>46112</v>
      </c>
      <c r="W123" s="60" t="n">
        <f aca="false">EOMONTH(V123, 1)</f>
        <v>46142</v>
      </c>
      <c r="X123" s="60" t="n">
        <f aca="false">EOMONTH(W123, 1)</f>
        <v>46173</v>
      </c>
      <c r="Y123" s="60" t="n">
        <f aca="false">EOMONTH(X123, 1)</f>
        <v>46203</v>
      </c>
      <c r="Z123" s="60" t="n">
        <f aca="false">EOMONTH(Y123, 1)</f>
        <v>46234</v>
      </c>
      <c r="AA123" s="60" t="n">
        <f aca="false">EOMONTH(Z123, 1)</f>
        <v>46265</v>
      </c>
      <c r="AB123" s="60" t="n">
        <f aca="false">EOMONTH(AA123, 1)</f>
        <v>46295</v>
      </c>
      <c r="AC123" s="60" t="n">
        <f aca="false">EOMONTH(AB123, 1)</f>
        <v>46326</v>
      </c>
      <c r="AD123" s="60" t="n">
        <f aca="false">EOMONTH(AC123, 1)</f>
        <v>46356</v>
      </c>
      <c r="AE123" s="61" t="n">
        <f aca="false">EOMONTH(AD123, 1)</f>
        <v>46387</v>
      </c>
      <c r="AF123" s="59" t="n">
        <f aca="false">EOMONTH(AE123, 1)</f>
        <v>46418</v>
      </c>
      <c r="AG123" s="60" t="n">
        <f aca="false">EOMONTH(AF123, 1)</f>
        <v>46446</v>
      </c>
      <c r="AH123" s="60" t="n">
        <f aca="false">EOMONTH(AG123, 1)</f>
        <v>46477</v>
      </c>
      <c r="AI123" s="60" t="n">
        <f aca="false">EOMONTH(AH123, 1)</f>
        <v>46507</v>
      </c>
      <c r="AJ123" s="60" t="n">
        <f aca="false">EOMONTH(AI123, 1)</f>
        <v>46538</v>
      </c>
      <c r="AK123" s="60" t="n">
        <f aca="false">EOMONTH(AJ123, 1)</f>
        <v>46568</v>
      </c>
      <c r="AL123" s="60" t="n">
        <f aca="false">EOMONTH(AK123, 1)</f>
        <v>46599</v>
      </c>
      <c r="AM123" s="60" t="n">
        <f aca="false">EOMONTH(AL123, 1)</f>
        <v>46630</v>
      </c>
      <c r="AN123" s="60" t="n">
        <f aca="false">EOMONTH(AM123, 1)</f>
        <v>46660</v>
      </c>
      <c r="AO123" s="60" t="n">
        <f aca="false">EOMONTH(AN123, 1)</f>
        <v>46691</v>
      </c>
      <c r="AP123" s="60" t="n">
        <f aca="false">EOMONTH(AO123, 1)</f>
        <v>46721</v>
      </c>
      <c r="AQ123" s="61" t="n">
        <f aca="false">EOMONTH(AP123, 1)</f>
        <v>46752</v>
      </c>
      <c r="AR123" s="59" t="n">
        <f aca="false">EOMONTH(AQ123, 1)</f>
        <v>46783</v>
      </c>
      <c r="AS123" s="60" t="n">
        <f aca="false">EOMONTH(AR123, 1)</f>
        <v>46812</v>
      </c>
      <c r="AT123" s="60" t="n">
        <f aca="false">EOMONTH(AS123, 1)</f>
        <v>46843</v>
      </c>
      <c r="AU123" s="60" t="n">
        <f aca="false">EOMONTH(AT123, 1)</f>
        <v>46873</v>
      </c>
      <c r="AV123" s="60" t="n">
        <f aca="false">EOMONTH(AU123, 1)</f>
        <v>46904</v>
      </c>
      <c r="AW123" s="60" t="n">
        <f aca="false">EOMONTH(AV123, 1)</f>
        <v>46934</v>
      </c>
      <c r="AX123" s="60" t="n">
        <f aca="false">EOMONTH(AW123, 1)</f>
        <v>46965</v>
      </c>
      <c r="AY123" s="60" t="n">
        <f aca="false">EOMONTH(AX123, 1)</f>
        <v>46996</v>
      </c>
      <c r="AZ123" s="60" t="n">
        <f aca="false">EOMONTH(AY123, 1)</f>
        <v>47026</v>
      </c>
      <c r="BA123" s="60" t="n">
        <f aca="false">EOMONTH(AZ123, 1)</f>
        <v>47057</v>
      </c>
      <c r="BB123" s="60" t="n">
        <f aca="false">EOMONTH(BA123, 1)</f>
        <v>47087</v>
      </c>
      <c r="BC123" s="61" t="n">
        <f aca="false">EOMONTH(BB123, 1)</f>
        <v>47118</v>
      </c>
      <c r="BD123" s="59" t="n">
        <f aca="false">EOMONTH(BC123, 1)</f>
        <v>47149</v>
      </c>
      <c r="BE123" s="60" t="n">
        <f aca="false">EOMONTH(BD123, 1)</f>
        <v>47177</v>
      </c>
      <c r="BF123" s="60" t="n">
        <f aca="false">EOMONTH(BE123, 1)</f>
        <v>47208</v>
      </c>
      <c r="BG123" s="60" t="n">
        <f aca="false">EOMONTH(BF123, 1)</f>
        <v>47238</v>
      </c>
      <c r="BH123" s="60" t="n">
        <f aca="false">EOMONTH(BG123, 1)</f>
        <v>47269</v>
      </c>
      <c r="BI123" s="60" t="n">
        <f aca="false">EOMONTH(BH123, 1)</f>
        <v>47299</v>
      </c>
      <c r="BJ123" s="60" t="n">
        <f aca="false">EOMONTH(BI123, 1)</f>
        <v>47330</v>
      </c>
      <c r="BK123" s="60" t="n">
        <f aca="false">EOMONTH(BJ123, 1)</f>
        <v>47361</v>
      </c>
      <c r="BL123" s="60" t="n">
        <f aca="false">EOMONTH(BK123, 1)</f>
        <v>47391</v>
      </c>
      <c r="BM123" s="60" t="n">
        <f aca="false">EOMONTH(BL123, 1)</f>
        <v>47422</v>
      </c>
      <c r="BN123" s="60" t="n">
        <f aca="false">EOMONTH(BM123, 1)</f>
        <v>47452</v>
      </c>
      <c r="BO123" s="61" t="n">
        <f aca="false">EOMONTH(BN123, 1)</f>
        <v>47483</v>
      </c>
      <c r="BP123" s="59" t="n">
        <f aca="false">EOMONTH(BO123, 1)</f>
        <v>47514</v>
      </c>
      <c r="BQ123" s="60" t="n">
        <f aca="false">EOMONTH(BP123, 1)</f>
        <v>47542</v>
      </c>
      <c r="BR123" s="60" t="n">
        <f aca="false">EOMONTH(BQ123, 1)</f>
        <v>47573</v>
      </c>
      <c r="BS123" s="60" t="n">
        <f aca="false">EOMONTH(BR123, 1)</f>
        <v>47603</v>
      </c>
      <c r="BT123" s="60" t="n">
        <f aca="false">EOMONTH(BS123, 1)</f>
        <v>47634</v>
      </c>
      <c r="BU123" s="60" t="n">
        <f aca="false">EOMONTH(BT123, 1)</f>
        <v>47664</v>
      </c>
      <c r="BV123" s="60" t="n">
        <f aca="false">EOMONTH(BU123, 1)</f>
        <v>47695</v>
      </c>
      <c r="BW123" s="60" t="n">
        <f aca="false">EOMONTH(BV123, 1)</f>
        <v>47726</v>
      </c>
      <c r="BX123" s="60" t="n">
        <f aca="false">EOMONTH(BW123, 1)</f>
        <v>47756</v>
      </c>
      <c r="BY123" s="60" t="n">
        <f aca="false">EOMONTH(BX123, 1)</f>
        <v>47787</v>
      </c>
      <c r="BZ123" s="60" t="n">
        <f aca="false">EOMONTH(BY123, 1)</f>
        <v>47817</v>
      </c>
      <c r="CA123" s="60" t="n">
        <f aca="false">EOMONTH(BZ123, 1)</f>
        <v>47848</v>
      </c>
      <c r="CC123" s="62" t="n">
        <v>2026</v>
      </c>
      <c r="CD123" s="62" t="n">
        <f aca="false">CC123+1</f>
        <v>2027</v>
      </c>
      <c r="CE123" s="62" t="n">
        <f aca="false">CD123+1</f>
        <v>2028</v>
      </c>
      <c r="CF123" s="62" t="n">
        <f aca="false">CE123+1</f>
        <v>2029</v>
      </c>
      <c r="CG123" s="62" t="n">
        <f aca="false">CF123+1</f>
        <v>2030</v>
      </c>
      <c r="CI123" s="62" t="n">
        <v>2026</v>
      </c>
      <c r="CJ123" s="62" t="n">
        <f aca="false">CI123+1</f>
        <v>2027</v>
      </c>
      <c r="CK123" s="62" t="n">
        <f aca="false">CJ123+1</f>
        <v>2028</v>
      </c>
      <c r="CL123" s="62" t="n">
        <f aca="false">CK123+1</f>
        <v>2029</v>
      </c>
      <c r="CM123" s="62" t="n">
        <f aca="false">CL123+1</f>
        <v>2030</v>
      </c>
    </row>
    <row r="124" s="14" customFormat="true" ht="16.5" hidden="false" customHeight="true" outlineLevel="0" collapsed="false">
      <c r="E124" s="21"/>
      <c r="F124" s="21"/>
      <c r="G124" s="21"/>
      <c r="K124" s="35"/>
      <c r="Q124" s="16"/>
      <c r="R124" s="16"/>
    </row>
    <row r="125" s="14" customFormat="true" ht="16.5" hidden="false" customHeight="true" outlineLevel="0" collapsed="false">
      <c r="E125" s="21" t="s">
        <v>154</v>
      </c>
      <c r="K125" s="35"/>
      <c r="Q125" s="16"/>
      <c r="R125" s="16"/>
    </row>
    <row r="126" s="14" customFormat="true" ht="16.5" hidden="false" customHeight="true" outlineLevel="0" collapsed="false">
      <c r="E126" s="91"/>
      <c r="K126" s="35"/>
      <c r="L126" s="91"/>
      <c r="M126" s="91"/>
      <c r="N126" s="91"/>
      <c r="O126" s="91"/>
      <c r="P126" s="91"/>
      <c r="Q126" s="93"/>
      <c r="R126" s="16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1"/>
      <c r="AI126" s="91"/>
      <c r="AJ126" s="91"/>
      <c r="AK126" s="91"/>
      <c r="AL126" s="91"/>
      <c r="AM126" s="91"/>
      <c r="AN126" s="91"/>
      <c r="AO126" s="91"/>
      <c r="AP126" s="91"/>
      <c r="AQ126" s="91"/>
      <c r="AR126" s="91"/>
      <c r="AS126" s="91"/>
      <c r="AT126" s="91"/>
      <c r="AU126" s="91"/>
      <c r="AV126" s="91"/>
      <c r="AW126" s="91"/>
      <c r="AX126" s="91"/>
      <c r="AY126" s="91"/>
      <c r="AZ126" s="91"/>
      <c r="BA126" s="91"/>
      <c r="BB126" s="91"/>
      <c r="BC126" s="91"/>
      <c r="BD126" s="91"/>
      <c r="BE126" s="91"/>
      <c r="BF126" s="91"/>
      <c r="BG126" s="91"/>
      <c r="BH126" s="91"/>
      <c r="BI126" s="91"/>
      <c r="BJ126" s="91"/>
      <c r="BK126" s="91"/>
      <c r="BL126" s="91"/>
      <c r="BM126" s="91"/>
      <c r="BN126" s="91"/>
      <c r="BO126" s="91"/>
      <c r="BP126" s="91"/>
      <c r="BQ126" s="91"/>
      <c r="BR126" s="91"/>
      <c r="BS126" s="91"/>
      <c r="BT126" s="91"/>
      <c r="BU126" s="91"/>
      <c r="BV126" s="91"/>
      <c r="BW126" s="91"/>
      <c r="BX126" s="91"/>
      <c r="BY126" s="91"/>
      <c r="BZ126" s="91"/>
      <c r="CA126" s="91"/>
      <c r="CC126" s="79" t="n">
        <f aca="false">SUMIFS($T126:$CA126, $T$1:$CA$1, CC$63)</f>
        <v>0</v>
      </c>
      <c r="CD126" s="79" t="n">
        <f aca="false">SUMIFS($T126:$CA126, $T$1:$CA$1, CD$63)</f>
        <v>0</v>
      </c>
      <c r="CE126" s="79" t="n">
        <f aca="false">SUMIFS($T126:$CA126, $T$1:$CA$1, CE$63)</f>
        <v>0</v>
      </c>
      <c r="CF126" s="79" t="n">
        <f aca="false">SUMIFS($T126:$CA126, $T$1:$CA$1, CF$63)</f>
        <v>0</v>
      </c>
      <c r="CG126" s="79" t="n">
        <f aca="false">SUMIFS($T126:$CA126, $T$1:$CA$1, CG$63)</f>
        <v>0</v>
      </c>
      <c r="CI126" s="79" t="n">
        <f aca="false">CC126=L126</f>
        <v>1</v>
      </c>
      <c r="CJ126" s="79" t="n">
        <f aca="false">CD126=M126</f>
        <v>1</v>
      </c>
      <c r="CK126" s="79" t="n">
        <f aca="false">CE126=N126</f>
        <v>1</v>
      </c>
      <c r="CL126" s="79" t="n">
        <f aca="false">CF126=O126</f>
        <v>1</v>
      </c>
      <c r="CM126" s="79" t="n">
        <f aca="false">CG126=P126</f>
        <v>1</v>
      </c>
    </row>
    <row r="127" s="14" customFormat="true" ht="16.5" hidden="false" customHeight="true" outlineLevel="0" collapsed="false">
      <c r="E127" s="91"/>
      <c r="K127" s="35"/>
      <c r="L127" s="91"/>
      <c r="M127" s="91"/>
      <c r="N127" s="91"/>
      <c r="O127" s="91"/>
      <c r="P127" s="91"/>
      <c r="Q127" s="93"/>
      <c r="R127" s="16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  <c r="AK127" s="91"/>
      <c r="AL127" s="91"/>
      <c r="AM127" s="91"/>
      <c r="AN127" s="91"/>
      <c r="AO127" s="91"/>
      <c r="AP127" s="91"/>
      <c r="AQ127" s="91"/>
      <c r="AR127" s="91"/>
      <c r="AS127" s="91"/>
      <c r="AT127" s="91"/>
      <c r="AU127" s="91"/>
      <c r="AV127" s="91"/>
      <c r="AW127" s="91"/>
      <c r="AX127" s="91"/>
      <c r="AY127" s="91"/>
      <c r="AZ127" s="91"/>
      <c r="BA127" s="91"/>
      <c r="BB127" s="91"/>
      <c r="BC127" s="91"/>
      <c r="BD127" s="91"/>
      <c r="BE127" s="91"/>
      <c r="BF127" s="91"/>
      <c r="BG127" s="91"/>
      <c r="BH127" s="91"/>
      <c r="BI127" s="91"/>
      <c r="BJ127" s="91"/>
      <c r="BK127" s="91"/>
      <c r="BL127" s="91"/>
      <c r="BM127" s="91"/>
      <c r="BN127" s="91"/>
      <c r="BO127" s="91"/>
      <c r="BP127" s="91"/>
      <c r="BQ127" s="91"/>
      <c r="BR127" s="91"/>
      <c r="BS127" s="91"/>
      <c r="BT127" s="91"/>
      <c r="BU127" s="91"/>
      <c r="BV127" s="91"/>
      <c r="BW127" s="91"/>
      <c r="BX127" s="91"/>
      <c r="BY127" s="91"/>
      <c r="BZ127" s="91"/>
      <c r="CA127" s="91"/>
      <c r="CC127" s="79" t="n">
        <f aca="false">SUMIFS($T127:$CA127, $T$1:$CA$1, CC$63)</f>
        <v>0</v>
      </c>
      <c r="CD127" s="79" t="n">
        <f aca="false">SUMIFS($T127:$CA127, $T$1:$CA$1, CD$63)</f>
        <v>0</v>
      </c>
      <c r="CE127" s="79" t="n">
        <f aca="false">SUMIFS($T127:$CA127, $T$1:$CA$1, CE$63)</f>
        <v>0</v>
      </c>
      <c r="CF127" s="79" t="n">
        <f aca="false">SUMIFS($T127:$CA127, $T$1:$CA$1, CF$63)</f>
        <v>0</v>
      </c>
      <c r="CG127" s="79" t="n">
        <f aca="false">SUMIFS($T127:$CA127, $T$1:$CA$1, CG$63)</f>
        <v>0</v>
      </c>
      <c r="CI127" s="79" t="n">
        <f aca="false">CC127=L127</f>
        <v>1</v>
      </c>
      <c r="CJ127" s="79" t="n">
        <f aca="false">CD127=M127</f>
        <v>1</v>
      </c>
      <c r="CK127" s="79" t="n">
        <f aca="false">CE127=N127</f>
        <v>1</v>
      </c>
      <c r="CL127" s="79" t="n">
        <f aca="false">CF127=O127</f>
        <v>1</v>
      </c>
      <c r="CM127" s="79" t="n">
        <f aca="false">CG127=P127</f>
        <v>1</v>
      </c>
    </row>
    <row r="128" s="14" customFormat="true" ht="16.5" hidden="false" customHeight="true" outlineLevel="0" collapsed="false">
      <c r="E128" s="96" t="s">
        <v>155</v>
      </c>
      <c r="K128" s="35"/>
      <c r="L128" s="82" t="n">
        <f aca="false">SUM(L126:L127)</f>
        <v>0</v>
      </c>
      <c r="M128" s="82" t="n">
        <f aca="false">SUM(M126:M127)</f>
        <v>0</v>
      </c>
      <c r="N128" s="82" t="n">
        <f aca="false">SUM(N126:N127)</f>
        <v>0</v>
      </c>
      <c r="O128" s="82" t="n">
        <f aca="false">SUM(O126:O127)</f>
        <v>0</v>
      </c>
      <c r="P128" s="82" t="n">
        <f aca="false">SUM(P126:P127)</f>
        <v>0</v>
      </c>
      <c r="Q128" s="16"/>
      <c r="R128" s="16"/>
      <c r="T128" s="82" t="n">
        <f aca="false">SUM(T126:T127)</f>
        <v>0</v>
      </c>
      <c r="U128" s="82" t="n">
        <f aca="false">SUM(U126:U127)</f>
        <v>0</v>
      </c>
      <c r="V128" s="82" t="n">
        <f aca="false">SUM(V126:V127)</f>
        <v>0</v>
      </c>
      <c r="W128" s="82" t="n">
        <f aca="false">SUM(W126:W127)</f>
        <v>0</v>
      </c>
      <c r="X128" s="82" t="n">
        <f aca="false">SUM(X126:X127)</f>
        <v>0</v>
      </c>
      <c r="Y128" s="82" t="n">
        <f aca="false">SUM(Y126:Y127)</f>
        <v>0</v>
      </c>
      <c r="Z128" s="82" t="n">
        <f aca="false">SUM(Z126:Z127)</f>
        <v>0</v>
      </c>
      <c r="AA128" s="82" t="n">
        <f aca="false">SUM(AA126:AA127)</f>
        <v>0</v>
      </c>
      <c r="AB128" s="82" t="n">
        <f aca="false">SUM(AB126:AB127)</f>
        <v>0</v>
      </c>
      <c r="AC128" s="82" t="n">
        <f aca="false">SUM(AC126:AC127)</f>
        <v>0</v>
      </c>
      <c r="AD128" s="82" t="n">
        <f aca="false">SUM(AD126:AD127)</f>
        <v>0</v>
      </c>
      <c r="AE128" s="82" t="n">
        <f aca="false">SUM(AE126:AE127)</f>
        <v>0</v>
      </c>
      <c r="AF128" s="82" t="n">
        <f aca="false">SUM(AF126:AF127)</f>
        <v>0</v>
      </c>
      <c r="AG128" s="82" t="n">
        <f aca="false">SUM(AG126:AG127)</f>
        <v>0</v>
      </c>
      <c r="AH128" s="82" t="n">
        <f aca="false">SUM(AH126:AH127)</f>
        <v>0</v>
      </c>
      <c r="AI128" s="82" t="n">
        <f aca="false">SUM(AI126:AI127)</f>
        <v>0</v>
      </c>
      <c r="AJ128" s="82" t="n">
        <f aca="false">SUM(AJ126:AJ127)</f>
        <v>0</v>
      </c>
      <c r="AK128" s="82" t="n">
        <f aca="false">SUM(AK126:AK127)</f>
        <v>0</v>
      </c>
      <c r="AL128" s="82" t="n">
        <f aca="false">SUM(AL126:AL127)</f>
        <v>0</v>
      </c>
      <c r="AM128" s="82" t="n">
        <f aca="false">SUM(AM126:AM127)</f>
        <v>0</v>
      </c>
      <c r="AN128" s="82" t="n">
        <f aca="false">SUM(AN126:AN127)</f>
        <v>0</v>
      </c>
      <c r="AO128" s="82" t="n">
        <f aca="false">SUM(AO126:AO127)</f>
        <v>0</v>
      </c>
      <c r="AP128" s="82" t="n">
        <f aca="false">SUM(AP126:AP127)</f>
        <v>0</v>
      </c>
      <c r="AQ128" s="82" t="n">
        <f aca="false">SUM(AQ126:AQ127)</f>
        <v>0</v>
      </c>
      <c r="AR128" s="82" t="n">
        <f aca="false">SUM(AR126:AR127)</f>
        <v>0</v>
      </c>
      <c r="AS128" s="82" t="n">
        <f aca="false">SUM(AS126:AS127)</f>
        <v>0</v>
      </c>
      <c r="AT128" s="82" t="n">
        <f aca="false">SUM(AT126:AT127)</f>
        <v>0</v>
      </c>
      <c r="AU128" s="82" t="n">
        <f aca="false">SUM(AU126:AU127)</f>
        <v>0</v>
      </c>
      <c r="AV128" s="82" t="n">
        <f aca="false">SUM(AV126:AV127)</f>
        <v>0</v>
      </c>
      <c r="AW128" s="82" t="n">
        <f aca="false">SUM(AW126:AW127)</f>
        <v>0</v>
      </c>
      <c r="AX128" s="82" t="n">
        <f aca="false">SUM(AX126:AX127)</f>
        <v>0</v>
      </c>
      <c r="AY128" s="82" t="n">
        <f aca="false">SUM(AY126:AY127)</f>
        <v>0</v>
      </c>
      <c r="AZ128" s="82" t="n">
        <f aca="false">SUM(AZ126:AZ127)</f>
        <v>0</v>
      </c>
      <c r="BA128" s="82" t="n">
        <f aca="false">SUM(BA126:BA127)</f>
        <v>0</v>
      </c>
      <c r="BB128" s="82" t="n">
        <f aca="false">SUM(BB126:BB127)</f>
        <v>0</v>
      </c>
      <c r="BC128" s="82" t="n">
        <f aca="false">SUM(BC126:BC127)</f>
        <v>0</v>
      </c>
      <c r="BD128" s="82" t="n">
        <f aca="false">SUM(BD126:BD127)</f>
        <v>0</v>
      </c>
      <c r="BE128" s="82" t="n">
        <f aca="false">SUM(BE126:BE127)</f>
        <v>0</v>
      </c>
      <c r="BF128" s="82" t="n">
        <f aca="false">SUM(BF126:BF127)</f>
        <v>0</v>
      </c>
      <c r="BG128" s="82" t="n">
        <f aca="false">SUM(BG126:BG127)</f>
        <v>0</v>
      </c>
      <c r="BH128" s="82" t="n">
        <f aca="false">SUM(BH126:BH127)</f>
        <v>0</v>
      </c>
      <c r="BI128" s="82" t="n">
        <f aca="false">SUM(BI126:BI127)</f>
        <v>0</v>
      </c>
      <c r="BJ128" s="82" t="n">
        <f aca="false">SUM(BJ126:BJ127)</f>
        <v>0</v>
      </c>
      <c r="BK128" s="82" t="n">
        <f aca="false">SUM(BK126:BK127)</f>
        <v>0</v>
      </c>
      <c r="BL128" s="82" t="n">
        <f aca="false">SUM(BL126:BL127)</f>
        <v>0</v>
      </c>
      <c r="BM128" s="82" t="n">
        <f aca="false">SUM(BM126:BM127)</f>
        <v>0</v>
      </c>
      <c r="BN128" s="82" t="n">
        <f aca="false">SUM(BN126:BN127)</f>
        <v>0</v>
      </c>
      <c r="BO128" s="82" t="n">
        <f aca="false">SUM(BO126:BO127)</f>
        <v>0</v>
      </c>
      <c r="BP128" s="82" t="n">
        <f aca="false">SUM(BP126:BP127)</f>
        <v>0</v>
      </c>
      <c r="BQ128" s="82" t="n">
        <f aca="false">SUM(BQ126:BQ127)</f>
        <v>0</v>
      </c>
      <c r="BR128" s="82" t="n">
        <f aca="false">SUM(BR126:BR127)</f>
        <v>0</v>
      </c>
      <c r="BS128" s="82" t="n">
        <f aca="false">SUM(BS126:BS127)</f>
        <v>0</v>
      </c>
      <c r="BT128" s="82" t="n">
        <f aca="false">SUM(BT126:BT127)</f>
        <v>0</v>
      </c>
      <c r="BU128" s="82" t="n">
        <f aca="false">SUM(BU126:BU127)</f>
        <v>0</v>
      </c>
      <c r="BV128" s="82" t="n">
        <f aca="false">SUM(BV126:BV127)</f>
        <v>0</v>
      </c>
      <c r="BW128" s="82" t="n">
        <f aca="false">SUM(BW126:BW127)</f>
        <v>0</v>
      </c>
      <c r="BX128" s="82" t="n">
        <f aca="false">SUM(BX126:BX127)</f>
        <v>0</v>
      </c>
      <c r="BY128" s="82" t="n">
        <f aca="false">SUM(BY126:BY127)</f>
        <v>0</v>
      </c>
      <c r="BZ128" s="82" t="n">
        <f aca="false">SUM(BZ126:BZ127)</f>
        <v>0</v>
      </c>
      <c r="CA128" s="82" t="n">
        <f aca="false">SUM(CA126:CA127)</f>
        <v>0</v>
      </c>
      <c r="CC128" s="131" t="n">
        <f aca="false">SUM(CC126:CC127)</f>
        <v>0</v>
      </c>
      <c r="CD128" s="131" t="n">
        <f aca="false">SUM(CD126:CD127)</f>
        <v>0</v>
      </c>
      <c r="CE128" s="131" t="n">
        <f aca="false">SUM(CE126:CE127)</f>
        <v>0</v>
      </c>
      <c r="CF128" s="131" t="n">
        <f aca="false">SUM(CF126:CF127)</f>
        <v>0</v>
      </c>
      <c r="CG128" s="131" t="n">
        <f aca="false">SUM(CG126:CG127)</f>
        <v>0</v>
      </c>
      <c r="CI128" s="131" t="n">
        <f aca="false">CC128=L128</f>
        <v>1</v>
      </c>
      <c r="CJ128" s="131" t="n">
        <f aca="false">CD128=M128</f>
        <v>1</v>
      </c>
      <c r="CK128" s="131" t="n">
        <f aca="false">CE128=N128</f>
        <v>1</v>
      </c>
      <c r="CL128" s="131" t="n">
        <f aca="false">CF128=O128</f>
        <v>1</v>
      </c>
      <c r="CM128" s="131" t="n">
        <f aca="false">CG128=P128</f>
        <v>1</v>
      </c>
    </row>
    <row r="129" s="14" customFormat="true" ht="16.5" hidden="false" customHeight="true" outlineLevel="0" collapsed="false">
      <c r="E129" s="96"/>
      <c r="K129" s="35"/>
      <c r="L129" s="82"/>
      <c r="M129" s="82"/>
      <c r="N129" s="82"/>
      <c r="O129" s="82"/>
      <c r="P129" s="82"/>
      <c r="Q129" s="16"/>
      <c r="R129" s="16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  <c r="AG129" s="82"/>
      <c r="AH129" s="82"/>
      <c r="AI129" s="82"/>
      <c r="AJ129" s="82"/>
      <c r="AK129" s="82"/>
      <c r="AL129" s="82"/>
      <c r="AM129" s="82"/>
      <c r="AN129" s="82"/>
      <c r="AO129" s="82"/>
      <c r="AP129" s="82"/>
      <c r="AQ129" s="82"/>
      <c r="AR129" s="82"/>
      <c r="AS129" s="82"/>
      <c r="AT129" s="82"/>
      <c r="AU129" s="82"/>
      <c r="AV129" s="82"/>
      <c r="AW129" s="82"/>
      <c r="AX129" s="82"/>
      <c r="AY129" s="82"/>
      <c r="AZ129" s="82"/>
      <c r="BA129" s="82"/>
      <c r="BB129" s="82"/>
      <c r="BC129" s="82"/>
      <c r="BD129" s="82"/>
      <c r="BE129" s="82"/>
      <c r="BF129" s="82"/>
      <c r="BG129" s="82"/>
      <c r="BH129" s="82"/>
      <c r="BI129" s="82"/>
      <c r="BJ129" s="82"/>
      <c r="BK129" s="82"/>
      <c r="BL129" s="82"/>
      <c r="BM129" s="82"/>
      <c r="BN129" s="82"/>
      <c r="BO129" s="82"/>
      <c r="BP129" s="82"/>
      <c r="BQ129" s="82"/>
      <c r="BR129" s="82"/>
      <c r="BS129" s="82"/>
      <c r="BT129" s="82"/>
      <c r="BU129" s="82"/>
      <c r="BV129" s="82"/>
      <c r="BW129" s="82"/>
      <c r="BX129" s="82"/>
      <c r="BY129" s="82"/>
      <c r="BZ129" s="82"/>
      <c r="CA129" s="82"/>
    </row>
    <row r="130" s="14" customFormat="true" ht="16.5" hidden="false" customHeight="true" outlineLevel="0" collapsed="false">
      <c r="E130" s="109" t="s">
        <v>156</v>
      </c>
      <c r="F130" s="109"/>
      <c r="G130" s="109"/>
      <c r="H130" s="109"/>
      <c r="I130" s="132"/>
      <c r="J130" s="132"/>
      <c r="K130" s="224"/>
      <c r="L130" s="120" t="n">
        <f aca="false">L128</f>
        <v>0</v>
      </c>
      <c r="M130" s="120" t="n">
        <f aca="false">M128</f>
        <v>0</v>
      </c>
      <c r="N130" s="120" t="n">
        <f aca="false">N128</f>
        <v>0</v>
      </c>
      <c r="O130" s="120" t="n">
        <f aca="false">O128</f>
        <v>0</v>
      </c>
      <c r="P130" s="120" t="n">
        <f aca="false">P128</f>
        <v>0</v>
      </c>
      <c r="Q130" s="16"/>
      <c r="R130" s="16"/>
      <c r="T130" s="120" t="n">
        <f aca="false">T128</f>
        <v>0</v>
      </c>
      <c r="U130" s="120" t="n">
        <f aca="false">U128</f>
        <v>0</v>
      </c>
      <c r="V130" s="120" t="n">
        <f aca="false">V128</f>
        <v>0</v>
      </c>
      <c r="W130" s="120" t="n">
        <f aca="false">W128</f>
        <v>0</v>
      </c>
      <c r="X130" s="120" t="n">
        <f aca="false">X128</f>
        <v>0</v>
      </c>
      <c r="Y130" s="120" t="n">
        <f aca="false">Y128</f>
        <v>0</v>
      </c>
      <c r="Z130" s="120" t="n">
        <f aca="false">Z128</f>
        <v>0</v>
      </c>
      <c r="AA130" s="120" t="n">
        <f aca="false">AA128</f>
        <v>0</v>
      </c>
      <c r="AB130" s="120" t="n">
        <f aca="false">AB128</f>
        <v>0</v>
      </c>
      <c r="AC130" s="120" t="n">
        <f aca="false">AC128</f>
        <v>0</v>
      </c>
      <c r="AD130" s="120" t="n">
        <f aca="false">AD128</f>
        <v>0</v>
      </c>
      <c r="AE130" s="120" t="n">
        <f aca="false">AE128</f>
        <v>0</v>
      </c>
      <c r="AF130" s="120" t="n">
        <f aca="false">AF128</f>
        <v>0</v>
      </c>
      <c r="AG130" s="120" t="n">
        <f aca="false">AG128</f>
        <v>0</v>
      </c>
      <c r="AH130" s="120" t="n">
        <f aca="false">AH128</f>
        <v>0</v>
      </c>
      <c r="AI130" s="120" t="n">
        <f aca="false">AI128</f>
        <v>0</v>
      </c>
      <c r="AJ130" s="120" t="n">
        <f aca="false">AJ128</f>
        <v>0</v>
      </c>
      <c r="AK130" s="120" t="n">
        <f aca="false">AK128</f>
        <v>0</v>
      </c>
      <c r="AL130" s="120" t="n">
        <f aca="false">AL128</f>
        <v>0</v>
      </c>
      <c r="AM130" s="120" t="n">
        <f aca="false">AM128</f>
        <v>0</v>
      </c>
      <c r="AN130" s="120" t="n">
        <f aca="false">AN128</f>
        <v>0</v>
      </c>
      <c r="AO130" s="120" t="n">
        <f aca="false">AO128</f>
        <v>0</v>
      </c>
      <c r="AP130" s="120" t="n">
        <f aca="false">AP128</f>
        <v>0</v>
      </c>
      <c r="AQ130" s="120" t="n">
        <f aca="false">AQ128</f>
        <v>0</v>
      </c>
      <c r="AR130" s="120" t="n">
        <f aca="false">AR128</f>
        <v>0</v>
      </c>
      <c r="AS130" s="120" t="n">
        <f aca="false">AS128</f>
        <v>0</v>
      </c>
      <c r="AT130" s="120" t="n">
        <f aca="false">AT128</f>
        <v>0</v>
      </c>
      <c r="AU130" s="120" t="n">
        <f aca="false">AU128</f>
        <v>0</v>
      </c>
      <c r="AV130" s="120" t="n">
        <f aca="false">AV128</f>
        <v>0</v>
      </c>
      <c r="AW130" s="120" t="n">
        <f aca="false">AW128</f>
        <v>0</v>
      </c>
      <c r="AX130" s="120" t="n">
        <f aca="false">AX128</f>
        <v>0</v>
      </c>
      <c r="AY130" s="120" t="n">
        <f aca="false">AY128</f>
        <v>0</v>
      </c>
      <c r="AZ130" s="120" t="n">
        <f aca="false">AZ128</f>
        <v>0</v>
      </c>
      <c r="BA130" s="120" t="n">
        <f aca="false">BA128</f>
        <v>0</v>
      </c>
      <c r="BB130" s="120" t="n">
        <f aca="false">BB128</f>
        <v>0</v>
      </c>
      <c r="BC130" s="120" t="n">
        <f aca="false">BC128</f>
        <v>0</v>
      </c>
      <c r="BD130" s="120" t="n">
        <f aca="false">BD128</f>
        <v>0</v>
      </c>
      <c r="BE130" s="120" t="n">
        <f aca="false">BE128</f>
        <v>0</v>
      </c>
      <c r="BF130" s="120" t="n">
        <f aca="false">BF128</f>
        <v>0</v>
      </c>
      <c r="BG130" s="120" t="n">
        <f aca="false">BG128</f>
        <v>0</v>
      </c>
      <c r="BH130" s="120" t="n">
        <f aca="false">BH128</f>
        <v>0</v>
      </c>
      <c r="BI130" s="120" t="n">
        <f aca="false">BI128</f>
        <v>0</v>
      </c>
      <c r="BJ130" s="120" t="n">
        <f aca="false">BJ128</f>
        <v>0</v>
      </c>
      <c r="BK130" s="120" t="n">
        <f aca="false">BK128</f>
        <v>0</v>
      </c>
      <c r="BL130" s="120" t="n">
        <f aca="false">BL128</f>
        <v>0</v>
      </c>
      <c r="BM130" s="120" t="n">
        <f aca="false">BM128</f>
        <v>0</v>
      </c>
      <c r="BN130" s="120" t="n">
        <f aca="false">BN128</f>
        <v>0</v>
      </c>
      <c r="BO130" s="120" t="n">
        <f aca="false">BO128</f>
        <v>0</v>
      </c>
      <c r="BP130" s="120" t="n">
        <f aca="false">BP128</f>
        <v>0</v>
      </c>
      <c r="BQ130" s="120" t="n">
        <f aca="false">BQ128</f>
        <v>0</v>
      </c>
      <c r="BR130" s="120" t="n">
        <f aca="false">BR128</f>
        <v>0</v>
      </c>
      <c r="BS130" s="120" t="n">
        <f aca="false">BS128</f>
        <v>0</v>
      </c>
      <c r="BT130" s="120" t="n">
        <f aca="false">BT128</f>
        <v>0</v>
      </c>
      <c r="BU130" s="120" t="n">
        <f aca="false">BU128</f>
        <v>0</v>
      </c>
      <c r="BV130" s="120" t="n">
        <f aca="false">BV128</f>
        <v>0</v>
      </c>
      <c r="BW130" s="120" t="n">
        <f aca="false">BW128</f>
        <v>0</v>
      </c>
      <c r="BX130" s="120" t="n">
        <f aca="false">BX128</f>
        <v>0</v>
      </c>
      <c r="BY130" s="120" t="n">
        <f aca="false">BY128</f>
        <v>0</v>
      </c>
      <c r="BZ130" s="120" t="n">
        <f aca="false">BZ128</f>
        <v>0</v>
      </c>
      <c r="CA130" s="120" t="n">
        <f aca="false">CA128</f>
        <v>0</v>
      </c>
      <c r="CC130" s="132" t="n">
        <f aca="false">CC128</f>
        <v>0</v>
      </c>
      <c r="CD130" s="132" t="n">
        <f aca="false">CD128</f>
        <v>0</v>
      </c>
      <c r="CE130" s="132" t="n">
        <f aca="false">CE128</f>
        <v>0</v>
      </c>
      <c r="CF130" s="132" t="n">
        <f aca="false">CF128</f>
        <v>0</v>
      </c>
      <c r="CG130" s="132" t="n">
        <f aca="false">CG128</f>
        <v>0</v>
      </c>
      <c r="CI130" s="133" t="n">
        <f aca="false">CI128</f>
        <v>1</v>
      </c>
      <c r="CJ130" s="133" t="n">
        <f aca="false">CJ128</f>
        <v>1</v>
      </c>
      <c r="CK130" s="133" t="n">
        <f aca="false">CK128</f>
        <v>1</v>
      </c>
      <c r="CL130" s="133" t="n">
        <f aca="false">CL128</f>
        <v>1</v>
      </c>
      <c r="CM130" s="133" t="n">
        <f aca="false">CM128</f>
        <v>1</v>
      </c>
    </row>
    <row r="131" s="14" customFormat="true" ht="16.5" hidden="false" customHeight="true" outlineLevel="0" collapsed="false">
      <c r="K131" s="35"/>
    </row>
    <row r="132" s="14" customFormat="true" ht="16.5" hidden="false" customHeight="true" outlineLevel="0" collapsed="false">
      <c r="E132" s="85"/>
      <c r="K132" s="35"/>
      <c r="Q132" s="16"/>
      <c r="R132" s="16"/>
      <c r="T132" s="62" t="n">
        <v>2026</v>
      </c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62" t="n">
        <v>2027</v>
      </c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62" t="n">
        <v>2028</v>
      </c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62" t="n">
        <v>2029</v>
      </c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62" t="n">
        <v>2030</v>
      </c>
      <c r="BQ132" s="130"/>
      <c r="BR132" s="130"/>
      <c r="BS132" s="130"/>
      <c r="BT132" s="130"/>
      <c r="BU132" s="130"/>
      <c r="BV132" s="130"/>
      <c r="BW132" s="130"/>
      <c r="BX132" s="130"/>
      <c r="BY132" s="130"/>
      <c r="BZ132" s="130"/>
      <c r="CA132" s="130"/>
    </row>
    <row r="133" s="14" customFormat="true" ht="16.5" hidden="false" customHeight="true" outlineLevel="0" collapsed="false">
      <c r="D133" s="30" t="s">
        <v>157</v>
      </c>
      <c r="E133" s="31"/>
      <c r="F133" s="31"/>
      <c r="G133" s="31"/>
      <c r="H133" s="31"/>
      <c r="I133" s="31"/>
      <c r="J133" s="31"/>
      <c r="K133" s="30" t="s">
        <v>130</v>
      </c>
      <c r="L133" s="31" t="n">
        <v>2026</v>
      </c>
      <c r="M133" s="31" t="n">
        <f aca="false">L133+1</f>
        <v>2027</v>
      </c>
      <c r="N133" s="31" t="n">
        <f aca="false">M133+1</f>
        <v>2028</v>
      </c>
      <c r="O133" s="31" t="n">
        <f aca="false">N133+1</f>
        <v>2029</v>
      </c>
      <c r="P133" s="31" t="n">
        <f aca="false">O133+1</f>
        <v>2030</v>
      </c>
      <c r="Q133" s="16"/>
      <c r="R133" s="16"/>
      <c r="T133" s="59" t="n">
        <v>46023</v>
      </c>
      <c r="U133" s="60" t="n">
        <f aca="false">EOMONTH(T133, 1)</f>
        <v>46081</v>
      </c>
      <c r="V133" s="60" t="n">
        <f aca="false">EOMONTH(U133, 1)</f>
        <v>46112</v>
      </c>
      <c r="W133" s="60" t="n">
        <f aca="false">EOMONTH(V133, 1)</f>
        <v>46142</v>
      </c>
      <c r="X133" s="60" t="n">
        <f aca="false">EOMONTH(W133, 1)</f>
        <v>46173</v>
      </c>
      <c r="Y133" s="60" t="n">
        <f aca="false">EOMONTH(X133, 1)</f>
        <v>46203</v>
      </c>
      <c r="Z133" s="60" t="n">
        <f aca="false">EOMONTH(Y133, 1)</f>
        <v>46234</v>
      </c>
      <c r="AA133" s="60" t="n">
        <f aca="false">EOMONTH(Z133, 1)</f>
        <v>46265</v>
      </c>
      <c r="AB133" s="60" t="n">
        <f aca="false">EOMONTH(AA133, 1)</f>
        <v>46295</v>
      </c>
      <c r="AC133" s="60" t="n">
        <f aca="false">EOMONTH(AB133, 1)</f>
        <v>46326</v>
      </c>
      <c r="AD133" s="60" t="n">
        <f aca="false">EOMONTH(AC133, 1)</f>
        <v>46356</v>
      </c>
      <c r="AE133" s="61" t="n">
        <f aca="false">EOMONTH(AD133, 1)</f>
        <v>46387</v>
      </c>
      <c r="AF133" s="59" t="n">
        <f aca="false">EOMONTH(AE133, 1)</f>
        <v>46418</v>
      </c>
      <c r="AG133" s="60" t="n">
        <f aca="false">EOMONTH(AF133, 1)</f>
        <v>46446</v>
      </c>
      <c r="AH133" s="60" t="n">
        <f aca="false">EOMONTH(AG133, 1)</f>
        <v>46477</v>
      </c>
      <c r="AI133" s="60" t="n">
        <f aca="false">EOMONTH(AH133, 1)</f>
        <v>46507</v>
      </c>
      <c r="AJ133" s="60" t="n">
        <f aca="false">EOMONTH(AI133, 1)</f>
        <v>46538</v>
      </c>
      <c r="AK133" s="60" t="n">
        <f aca="false">EOMONTH(AJ133, 1)</f>
        <v>46568</v>
      </c>
      <c r="AL133" s="60" t="n">
        <f aca="false">EOMONTH(AK133, 1)</f>
        <v>46599</v>
      </c>
      <c r="AM133" s="60" t="n">
        <f aca="false">EOMONTH(AL133, 1)</f>
        <v>46630</v>
      </c>
      <c r="AN133" s="60" t="n">
        <f aca="false">EOMONTH(AM133, 1)</f>
        <v>46660</v>
      </c>
      <c r="AO133" s="60" t="n">
        <f aca="false">EOMONTH(AN133, 1)</f>
        <v>46691</v>
      </c>
      <c r="AP133" s="60" t="n">
        <f aca="false">EOMONTH(AO133, 1)</f>
        <v>46721</v>
      </c>
      <c r="AQ133" s="61" t="n">
        <f aca="false">EOMONTH(AP133, 1)</f>
        <v>46752</v>
      </c>
      <c r="AR133" s="59" t="n">
        <f aca="false">EOMONTH(AQ133, 1)</f>
        <v>46783</v>
      </c>
      <c r="AS133" s="60" t="n">
        <f aca="false">EOMONTH(AR133, 1)</f>
        <v>46812</v>
      </c>
      <c r="AT133" s="60" t="n">
        <f aca="false">EOMONTH(AS133, 1)</f>
        <v>46843</v>
      </c>
      <c r="AU133" s="60" t="n">
        <f aca="false">EOMONTH(AT133, 1)</f>
        <v>46873</v>
      </c>
      <c r="AV133" s="60" t="n">
        <f aca="false">EOMONTH(AU133, 1)</f>
        <v>46904</v>
      </c>
      <c r="AW133" s="60" t="n">
        <f aca="false">EOMONTH(AV133, 1)</f>
        <v>46934</v>
      </c>
      <c r="AX133" s="60" t="n">
        <f aca="false">EOMONTH(AW133, 1)</f>
        <v>46965</v>
      </c>
      <c r="AY133" s="60" t="n">
        <f aca="false">EOMONTH(AX133, 1)</f>
        <v>46996</v>
      </c>
      <c r="AZ133" s="60" t="n">
        <f aca="false">EOMONTH(AY133, 1)</f>
        <v>47026</v>
      </c>
      <c r="BA133" s="60" t="n">
        <f aca="false">EOMONTH(AZ133, 1)</f>
        <v>47057</v>
      </c>
      <c r="BB133" s="60" t="n">
        <f aca="false">EOMONTH(BA133, 1)</f>
        <v>47087</v>
      </c>
      <c r="BC133" s="61" t="n">
        <f aca="false">EOMONTH(BB133, 1)</f>
        <v>47118</v>
      </c>
      <c r="BD133" s="59" t="n">
        <f aca="false">EOMONTH(BC133, 1)</f>
        <v>47149</v>
      </c>
      <c r="BE133" s="60" t="n">
        <f aca="false">EOMONTH(BD133, 1)</f>
        <v>47177</v>
      </c>
      <c r="BF133" s="60" t="n">
        <f aca="false">EOMONTH(BE133, 1)</f>
        <v>47208</v>
      </c>
      <c r="BG133" s="60" t="n">
        <f aca="false">EOMONTH(BF133, 1)</f>
        <v>47238</v>
      </c>
      <c r="BH133" s="60" t="n">
        <f aca="false">EOMONTH(BG133, 1)</f>
        <v>47269</v>
      </c>
      <c r="BI133" s="60" t="n">
        <f aca="false">EOMONTH(BH133, 1)</f>
        <v>47299</v>
      </c>
      <c r="BJ133" s="60" t="n">
        <f aca="false">EOMONTH(BI133, 1)</f>
        <v>47330</v>
      </c>
      <c r="BK133" s="60" t="n">
        <f aca="false">EOMONTH(BJ133, 1)</f>
        <v>47361</v>
      </c>
      <c r="BL133" s="60" t="n">
        <f aca="false">EOMONTH(BK133, 1)</f>
        <v>47391</v>
      </c>
      <c r="BM133" s="60" t="n">
        <f aca="false">EOMONTH(BL133, 1)</f>
        <v>47422</v>
      </c>
      <c r="BN133" s="60" t="n">
        <f aca="false">EOMONTH(BM133, 1)</f>
        <v>47452</v>
      </c>
      <c r="BO133" s="61" t="n">
        <f aca="false">EOMONTH(BN133, 1)</f>
        <v>47483</v>
      </c>
      <c r="BP133" s="59" t="n">
        <f aca="false">EOMONTH(BO133, 1)</f>
        <v>47514</v>
      </c>
      <c r="BQ133" s="60" t="n">
        <f aca="false">EOMONTH(BP133, 1)</f>
        <v>47542</v>
      </c>
      <c r="BR133" s="60" t="n">
        <f aca="false">EOMONTH(BQ133, 1)</f>
        <v>47573</v>
      </c>
      <c r="BS133" s="60" t="n">
        <f aca="false">EOMONTH(BR133, 1)</f>
        <v>47603</v>
      </c>
      <c r="BT133" s="60" t="n">
        <f aca="false">EOMONTH(BS133, 1)</f>
        <v>47634</v>
      </c>
      <c r="BU133" s="60" t="n">
        <f aca="false">EOMONTH(BT133, 1)</f>
        <v>47664</v>
      </c>
      <c r="BV133" s="60" t="n">
        <f aca="false">EOMONTH(BU133, 1)</f>
        <v>47695</v>
      </c>
      <c r="BW133" s="60" t="n">
        <f aca="false">EOMONTH(BV133, 1)</f>
        <v>47726</v>
      </c>
      <c r="BX133" s="60" t="n">
        <f aca="false">EOMONTH(BW133, 1)</f>
        <v>47756</v>
      </c>
      <c r="BY133" s="60" t="n">
        <f aca="false">EOMONTH(BX133, 1)</f>
        <v>47787</v>
      </c>
      <c r="BZ133" s="60" t="n">
        <f aca="false">EOMONTH(BY133, 1)</f>
        <v>47817</v>
      </c>
      <c r="CA133" s="60" t="n">
        <f aca="false">EOMONTH(BZ133, 1)</f>
        <v>47848</v>
      </c>
      <c r="CC133" s="62" t="n">
        <v>2026</v>
      </c>
      <c r="CD133" s="62" t="n">
        <f aca="false">CC133+1</f>
        <v>2027</v>
      </c>
      <c r="CE133" s="62" t="n">
        <f aca="false">CD133+1</f>
        <v>2028</v>
      </c>
      <c r="CF133" s="62" t="n">
        <f aca="false">CE133+1</f>
        <v>2029</v>
      </c>
      <c r="CG133" s="62" t="n">
        <f aca="false">CF133+1</f>
        <v>2030</v>
      </c>
      <c r="CI133" s="62" t="n">
        <v>2026</v>
      </c>
      <c r="CJ133" s="62" t="n">
        <f aca="false">CI133+1</f>
        <v>2027</v>
      </c>
      <c r="CK133" s="62" t="n">
        <f aca="false">CJ133+1</f>
        <v>2028</v>
      </c>
      <c r="CL133" s="62" t="n">
        <f aca="false">CK133+1</f>
        <v>2029</v>
      </c>
      <c r="CM133" s="62" t="n">
        <f aca="false">CL133+1</f>
        <v>2030</v>
      </c>
    </row>
    <row r="134" s="14" customFormat="true" ht="16.5" hidden="false" customHeight="true" outlineLevel="0" collapsed="false">
      <c r="F134" s="21"/>
      <c r="G134" s="21"/>
      <c r="Q134" s="16"/>
      <c r="R134" s="16"/>
    </row>
    <row r="135" s="14" customFormat="true" ht="16.5" hidden="false" customHeight="true" outlineLevel="0" collapsed="false">
      <c r="E135" s="21" t="s">
        <v>158</v>
      </c>
      <c r="Q135" s="16"/>
      <c r="R135" s="16"/>
    </row>
    <row r="136" s="14" customFormat="true" ht="16.5" hidden="false" customHeight="true" outlineLevel="0" collapsed="false">
      <c r="D136" s="134"/>
      <c r="E136" s="91" t="s">
        <v>377</v>
      </c>
      <c r="L136" s="213" t="n">
        <f aca="false">'SVC-1 Model'!L96</f>
        <v>0</v>
      </c>
      <c r="M136" s="213" t="n">
        <f aca="false">'SVC-1 Model'!M96</f>
        <v>0</v>
      </c>
      <c r="N136" s="213" t="n">
        <f aca="false">'SVC-1 Model'!N96</f>
        <v>0</v>
      </c>
      <c r="O136" s="213" t="n">
        <f aca="false">'SVC-1 Model'!O96</f>
        <v>0</v>
      </c>
      <c r="P136" s="213" t="n">
        <f aca="false">'SVC-1 Model'!P96</f>
        <v>0</v>
      </c>
      <c r="Q136" s="93" t="s">
        <v>266</v>
      </c>
      <c r="R136" s="16"/>
      <c r="T136" s="225" t="n">
        <f aca="false">'SVC-1 Model'!T96</f>
        <v>0</v>
      </c>
      <c r="U136" s="225" t="n">
        <f aca="false">'SVC-1 Model'!U96</f>
        <v>0</v>
      </c>
      <c r="V136" s="225" t="n">
        <f aca="false">'SVC-1 Model'!V96</f>
        <v>0</v>
      </c>
      <c r="W136" s="225" t="n">
        <f aca="false">'SVC-1 Model'!W96</f>
        <v>0</v>
      </c>
      <c r="X136" s="225" t="n">
        <f aca="false">'SVC-1 Model'!X96</f>
        <v>0</v>
      </c>
      <c r="Y136" s="225" t="n">
        <f aca="false">'SVC-1 Model'!Y96</f>
        <v>0</v>
      </c>
      <c r="Z136" s="225" t="n">
        <f aca="false">'SVC-1 Model'!Z96</f>
        <v>0</v>
      </c>
      <c r="AA136" s="225" t="n">
        <f aca="false">'SVC-1 Model'!AA96</f>
        <v>0</v>
      </c>
      <c r="AB136" s="225" t="n">
        <f aca="false">'SVC-1 Model'!AB96</f>
        <v>0</v>
      </c>
      <c r="AC136" s="225" t="n">
        <f aca="false">'SVC-1 Model'!AC96</f>
        <v>0</v>
      </c>
      <c r="AD136" s="225" t="n">
        <f aca="false">'SVC-1 Model'!AD96</f>
        <v>0</v>
      </c>
      <c r="AE136" s="225" t="n">
        <f aca="false">'SVC-1 Model'!AE96</f>
        <v>0</v>
      </c>
      <c r="AF136" s="225" t="n">
        <f aca="false">'SVC-1 Model'!AF96</f>
        <v>0</v>
      </c>
      <c r="AG136" s="225" t="n">
        <f aca="false">'SVC-1 Model'!AG96</f>
        <v>0</v>
      </c>
      <c r="AH136" s="225" t="n">
        <f aca="false">'SVC-1 Model'!AH96</f>
        <v>0</v>
      </c>
      <c r="AI136" s="225" t="n">
        <f aca="false">'SVC-1 Model'!AI96</f>
        <v>0</v>
      </c>
      <c r="AJ136" s="225" t="n">
        <f aca="false">'SVC-1 Model'!AJ96</f>
        <v>0</v>
      </c>
      <c r="AK136" s="225" t="n">
        <f aca="false">'SVC-1 Model'!AK96</f>
        <v>0</v>
      </c>
      <c r="AL136" s="225" t="n">
        <f aca="false">'SVC-1 Model'!AL96</f>
        <v>0</v>
      </c>
      <c r="AM136" s="225" t="n">
        <f aca="false">'SVC-1 Model'!AM96</f>
        <v>0</v>
      </c>
      <c r="AN136" s="225" t="n">
        <f aca="false">'SVC-1 Model'!AN96</f>
        <v>0</v>
      </c>
      <c r="AO136" s="225" t="n">
        <f aca="false">'SVC-1 Model'!AO96</f>
        <v>0</v>
      </c>
      <c r="AP136" s="225" t="n">
        <f aca="false">'SVC-1 Model'!AP96</f>
        <v>0</v>
      </c>
      <c r="AQ136" s="225" t="n">
        <f aca="false">'SVC-1 Model'!AQ96</f>
        <v>0</v>
      </c>
      <c r="AR136" s="225" t="n">
        <f aca="false">'SVC-1 Model'!AR96</f>
        <v>0</v>
      </c>
      <c r="AS136" s="225" t="n">
        <f aca="false">'SVC-1 Model'!AS96</f>
        <v>0</v>
      </c>
      <c r="AT136" s="225" t="n">
        <f aca="false">'SVC-1 Model'!AT96</f>
        <v>0</v>
      </c>
      <c r="AU136" s="225" t="n">
        <f aca="false">'SVC-1 Model'!AU96</f>
        <v>0</v>
      </c>
      <c r="AV136" s="225" t="n">
        <f aca="false">'SVC-1 Model'!AV96</f>
        <v>0</v>
      </c>
      <c r="AW136" s="225" t="n">
        <f aca="false">'SVC-1 Model'!AW96</f>
        <v>0</v>
      </c>
      <c r="AX136" s="225" t="n">
        <f aca="false">'SVC-1 Model'!AX96</f>
        <v>0</v>
      </c>
      <c r="AY136" s="225" t="n">
        <f aca="false">'SVC-1 Model'!AY96</f>
        <v>0</v>
      </c>
      <c r="AZ136" s="225" t="n">
        <f aca="false">'SVC-1 Model'!AZ96</f>
        <v>0</v>
      </c>
      <c r="BA136" s="225" t="n">
        <f aca="false">'SVC-1 Model'!BA96</f>
        <v>0</v>
      </c>
      <c r="BB136" s="225" t="n">
        <f aca="false">'SVC-1 Model'!BB96</f>
        <v>0</v>
      </c>
      <c r="BC136" s="225" t="n">
        <f aca="false">'SVC-1 Model'!BC96</f>
        <v>0</v>
      </c>
      <c r="BD136" s="225" t="n">
        <f aca="false">'SVC-1 Model'!BD96</f>
        <v>0</v>
      </c>
      <c r="BE136" s="225" t="n">
        <f aca="false">'SVC-1 Model'!BE96</f>
        <v>0</v>
      </c>
      <c r="BF136" s="225" t="n">
        <f aca="false">'SVC-1 Model'!BF96</f>
        <v>0</v>
      </c>
      <c r="BG136" s="225" t="n">
        <f aca="false">'SVC-1 Model'!BG96</f>
        <v>0</v>
      </c>
      <c r="BH136" s="225" t="n">
        <f aca="false">'SVC-1 Model'!BH96</f>
        <v>0</v>
      </c>
      <c r="BI136" s="225" t="n">
        <f aca="false">'SVC-1 Model'!BI96</f>
        <v>0</v>
      </c>
      <c r="BJ136" s="225" t="n">
        <f aca="false">'SVC-1 Model'!BJ96</f>
        <v>0</v>
      </c>
      <c r="BK136" s="225" t="n">
        <f aca="false">'SVC-1 Model'!BK96</f>
        <v>0</v>
      </c>
      <c r="BL136" s="225" t="n">
        <f aca="false">'SVC-1 Model'!BL96</f>
        <v>0</v>
      </c>
      <c r="BM136" s="225" t="n">
        <f aca="false">'SVC-1 Model'!BM96</f>
        <v>0</v>
      </c>
      <c r="BN136" s="225" t="n">
        <f aca="false">'SVC-1 Model'!BN96</f>
        <v>0</v>
      </c>
      <c r="BO136" s="225" t="n">
        <f aca="false">'SVC-1 Model'!BO96</f>
        <v>0</v>
      </c>
      <c r="BP136" s="225" t="n">
        <f aca="false">'SVC-1 Model'!BP96</f>
        <v>0</v>
      </c>
      <c r="BQ136" s="225" t="n">
        <f aca="false">'SVC-1 Model'!BQ96</f>
        <v>0</v>
      </c>
      <c r="BR136" s="225" t="n">
        <f aca="false">'SVC-1 Model'!BR96</f>
        <v>0</v>
      </c>
      <c r="BS136" s="225" t="n">
        <f aca="false">'SVC-1 Model'!BS96</f>
        <v>0</v>
      </c>
      <c r="BT136" s="225" t="n">
        <f aca="false">'SVC-1 Model'!BT96</f>
        <v>0</v>
      </c>
      <c r="BU136" s="225" t="n">
        <f aca="false">'SVC-1 Model'!BU96</f>
        <v>0</v>
      </c>
      <c r="BV136" s="225" t="n">
        <f aca="false">'SVC-1 Model'!BV96</f>
        <v>0</v>
      </c>
      <c r="BW136" s="225" t="n">
        <f aca="false">'SVC-1 Model'!BW96</f>
        <v>0</v>
      </c>
      <c r="BX136" s="225" t="n">
        <f aca="false">'SVC-1 Model'!BX96</f>
        <v>0</v>
      </c>
      <c r="BY136" s="225" t="n">
        <f aca="false">'SVC-1 Model'!BY96</f>
        <v>0</v>
      </c>
      <c r="BZ136" s="226" t="n">
        <f aca="false">'SVC-1 Model'!BZ96</f>
        <v>0</v>
      </c>
      <c r="CA136" s="226" t="n">
        <f aca="false">'SVC-1 Model'!CA96</f>
        <v>0</v>
      </c>
      <c r="CC136" s="79" t="n">
        <f aca="false">SUMIFS($T136:$CA136, $T$1:$CA$1, CC$63)</f>
        <v>0</v>
      </c>
      <c r="CD136" s="79" t="n">
        <f aca="false">SUMIFS($T136:$CA136, $T$1:$CA$1, CD$63)</f>
        <v>0</v>
      </c>
      <c r="CE136" s="79" t="n">
        <f aca="false">SUMIFS($T136:$CA136, $T$1:$CA$1, CE$63)</f>
        <v>0</v>
      </c>
      <c r="CF136" s="79" t="n">
        <f aca="false">SUMIFS($T136:$CA136, $T$1:$CA$1, CF$63)</f>
        <v>0</v>
      </c>
      <c r="CG136" s="79" t="n">
        <f aca="false">SUMIFS($T136:$CA136, $T$1:$CA$1, CG$63)</f>
        <v>0</v>
      </c>
      <c r="CI136" s="79" t="n">
        <f aca="false">CC136=L136</f>
        <v>1</v>
      </c>
      <c r="CJ136" s="79" t="n">
        <f aca="false">CD136=M136</f>
        <v>1</v>
      </c>
      <c r="CK136" s="79" t="n">
        <f aca="false">CE136=N136</f>
        <v>1</v>
      </c>
      <c r="CL136" s="79" t="n">
        <f aca="false">CF136=O136</f>
        <v>1</v>
      </c>
      <c r="CM136" s="79" t="n">
        <f aca="false">CG136=P136</f>
        <v>1</v>
      </c>
    </row>
    <row r="137" s="14" customFormat="true" ht="16.5" hidden="false" customHeight="true" outlineLevel="0" collapsed="false">
      <c r="D137" s="134"/>
      <c r="E137" s="91" t="s">
        <v>378</v>
      </c>
      <c r="L137" s="213" t="n">
        <f aca="false">'SVC-1 Model'!L97</f>
        <v>0</v>
      </c>
      <c r="M137" s="213" t="n">
        <f aca="false">'SVC-1 Model'!M97</f>
        <v>0</v>
      </c>
      <c r="N137" s="213" t="n">
        <f aca="false">'SVC-1 Model'!N97</f>
        <v>0</v>
      </c>
      <c r="O137" s="213" t="n">
        <f aca="false">'SVC-1 Model'!O97</f>
        <v>0</v>
      </c>
      <c r="P137" s="213" t="n">
        <f aca="false">'SVC-1 Model'!P97</f>
        <v>0</v>
      </c>
      <c r="Q137" s="93" t="s">
        <v>266</v>
      </c>
      <c r="R137" s="16"/>
      <c r="T137" s="225" t="n">
        <f aca="false">'SVC-1 Model'!T97</f>
        <v>0</v>
      </c>
      <c r="U137" s="225" t="n">
        <f aca="false">'SVC-1 Model'!U97</f>
        <v>0</v>
      </c>
      <c r="V137" s="225" t="n">
        <f aca="false">'SVC-1 Model'!V97</f>
        <v>0</v>
      </c>
      <c r="W137" s="225" t="n">
        <f aca="false">'SVC-1 Model'!W97</f>
        <v>0</v>
      </c>
      <c r="X137" s="225" t="n">
        <f aca="false">'SVC-1 Model'!X97</f>
        <v>0</v>
      </c>
      <c r="Y137" s="225" t="n">
        <f aca="false">'SVC-1 Model'!Y97</f>
        <v>0</v>
      </c>
      <c r="Z137" s="225" t="n">
        <f aca="false">'SVC-1 Model'!Z97</f>
        <v>0</v>
      </c>
      <c r="AA137" s="225" t="n">
        <f aca="false">'SVC-1 Model'!AA97</f>
        <v>0</v>
      </c>
      <c r="AB137" s="225" t="n">
        <f aca="false">'SVC-1 Model'!AB97</f>
        <v>0</v>
      </c>
      <c r="AC137" s="225" t="n">
        <f aca="false">'SVC-1 Model'!AC97</f>
        <v>0</v>
      </c>
      <c r="AD137" s="225" t="n">
        <f aca="false">'SVC-1 Model'!AD97</f>
        <v>0</v>
      </c>
      <c r="AE137" s="225" t="n">
        <f aca="false">'SVC-1 Model'!AE97</f>
        <v>0</v>
      </c>
      <c r="AF137" s="225" t="n">
        <f aca="false">'SVC-1 Model'!AF97</f>
        <v>0</v>
      </c>
      <c r="AG137" s="225" t="n">
        <f aca="false">'SVC-1 Model'!AG97</f>
        <v>0</v>
      </c>
      <c r="AH137" s="225" t="n">
        <f aca="false">'SVC-1 Model'!AH97</f>
        <v>0</v>
      </c>
      <c r="AI137" s="225" t="n">
        <f aca="false">'SVC-1 Model'!AI97</f>
        <v>0</v>
      </c>
      <c r="AJ137" s="225" t="n">
        <f aca="false">'SVC-1 Model'!AJ97</f>
        <v>0</v>
      </c>
      <c r="AK137" s="225" t="n">
        <f aca="false">'SVC-1 Model'!AK97</f>
        <v>0</v>
      </c>
      <c r="AL137" s="225" t="n">
        <f aca="false">'SVC-1 Model'!AL97</f>
        <v>0</v>
      </c>
      <c r="AM137" s="225" t="n">
        <f aca="false">'SVC-1 Model'!AM97</f>
        <v>0</v>
      </c>
      <c r="AN137" s="225" t="n">
        <f aca="false">'SVC-1 Model'!AN97</f>
        <v>0</v>
      </c>
      <c r="AO137" s="225" t="n">
        <f aca="false">'SVC-1 Model'!AO97</f>
        <v>0</v>
      </c>
      <c r="AP137" s="225" t="n">
        <f aca="false">'SVC-1 Model'!AP97</f>
        <v>0</v>
      </c>
      <c r="AQ137" s="225" t="n">
        <f aca="false">'SVC-1 Model'!AQ97</f>
        <v>0</v>
      </c>
      <c r="AR137" s="225" t="n">
        <f aca="false">'SVC-1 Model'!AR97</f>
        <v>0</v>
      </c>
      <c r="AS137" s="225" t="n">
        <f aca="false">'SVC-1 Model'!AS97</f>
        <v>0</v>
      </c>
      <c r="AT137" s="225" t="n">
        <f aca="false">'SVC-1 Model'!AT97</f>
        <v>0</v>
      </c>
      <c r="AU137" s="225" t="n">
        <f aca="false">'SVC-1 Model'!AU97</f>
        <v>0</v>
      </c>
      <c r="AV137" s="225" t="n">
        <f aca="false">'SVC-1 Model'!AV97</f>
        <v>0</v>
      </c>
      <c r="AW137" s="225" t="n">
        <f aca="false">'SVC-1 Model'!AW97</f>
        <v>0</v>
      </c>
      <c r="AX137" s="225" t="n">
        <f aca="false">'SVC-1 Model'!AX97</f>
        <v>0</v>
      </c>
      <c r="AY137" s="225" t="n">
        <f aca="false">'SVC-1 Model'!AY97</f>
        <v>0</v>
      </c>
      <c r="AZ137" s="225" t="n">
        <f aca="false">'SVC-1 Model'!AZ97</f>
        <v>0</v>
      </c>
      <c r="BA137" s="225" t="n">
        <f aca="false">'SVC-1 Model'!BA97</f>
        <v>0</v>
      </c>
      <c r="BB137" s="225" t="n">
        <f aca="false">'SVC-1 Model'!BB97</f>
        <v>0</v>
      </c>
      <c r="BC137" s="225" t="n">
        <f aca="false">'SVC-1 Model'!BC97</f>
        <v>0</v>
      </c>
      <c r="BD137" s="225" t="n">
        <f aca="false">'SVC-1 Model'!BD97</f>
        <v>0</v>
      </c>
      <c r="BE137" s="225" t="n">
        <f aca="false">'SVC-1 Model'!BE97</f>
        <v>0</v>
      </c>
      <c r="BF137" s="225" t="n">
        <f aca="false">'SVC-1 Model'!BF97</f>
        <v>0</v>
      </c>
      <c r="BG137" s="225" t="n">
        <f aca="false">'SVC-1 Model'!BG97</f>
        <v>0</v>
      </c>
      <c r="BH137" s="225" t="n">
        <f aca="false">'SVC-1 Model'!BH97</f>
        <v>0</v>
      </c>
      <c r="BI137" s="225" t="n">
        <f aca="false">'SVC-1 Model'!BI97</f>
        <v>0</v>
      </c>
      <c r="BJ137" s="225" t="n">
        <f aca="false">'SVC-1 Model'!BJ97</f>
        <v>0</v>
      </c>
      <c r="BK137" s="225" t="n">
        <f aca="false">'SVC-1 Model'!BK97</f>
        <v>0</v>
      </c>
      <c r="BL137" s="225" t="n">
        <f aca="false">'SVC-1 Model'!BL97</f>
        <v>0</v>
      </c>
      <c r="BM137" s="225" t="n">
        <f aca="false">'SVC-1 Model'!BM97</f>
        <v>0</v>
      </c>
      <c r="BN137" s="225" t="n">
        <f aca="false">'SVC-1 Model'!BN97</f>
        <v>0</v>
      </c>
      <c r="BO137" s="225" t="n">
        <f aca="false">'SVC-1 Model'!BO97</f>
        <v>0</v>
      </c>
      <c r="BP137" s="225" t="n">
        <f aca="false">'SVC-1 Model'!BP97</f>
        <v>0</v>
      </c>
      <c r="BQ137" s="225" t="n">
        <f aca="false">'SVC-1 Model'!BQ97</f>
        <v>0</v>
      </c>
      <c r="BR137" s="225" t="n">
        <f aca="false">'SVC-1 Model'!BR97</f>
        <v>0</v>
      </c>
      <c r="BS137" s="225" t="n">
        <f aca="false">'SVC-1 Model'!BS97</f>
        <v>0</v>
      </c>
      <c r="BT137" s="225" t="n">
        <f aca="false">'SVC-1 Model'!BT97</f>
        <v>0</v>
      </c>
      <c r="BU137" s="225" t="n">
        <f aca="false">'SVC-1 Model'!BU97</f>
        <v>0</v>
      </c>
      <c r="BV137" s="225" t="n">
        <f aca="false">'SVC-1 Model'!BV97</f>
        <v>0</v>
      </c>
      <c r="BW137" s="225" t="n">
        <f aca="false">'SVC-1 Model'!BW97</f>
        <v>0</v>
      </c>
      <c r="BX137" s="225" t="n">
        <f aca="false">'SVC-1 Model'!BX97</f>
        <v>0</v>
      </c>
      <c r="BY137" s="225" t="n">
        <f aca="false">'SVC-1 Model'!BY97</f>
        <v>0</v>
      </c>
      <c r="BZ137" s="226" t="n">
        <f aca="false">'SVC-1 Model'!BZ97</f>
        <v>0</v>
      </c>
      <c r="CA137" s="226" t="n">
        <f aca="false">'SVC-1 Model'!CA97</f>
        <v>0</v>
      </c>
      <c r="CC137" s="79" t="n">
        <f aca="false">SUMIFS($T137:$CA137, $T$1:$CA$1, CC$63)</f>
        <v>0</v>
      </c>
      <c r="CD137" s="79" t="n">
        <f aca="false">SUMIFS($T137:$CA137, $T$1:$CA$1, CD$63)</f>
        <v>0</v>
      </c>
      <c r="CE137" s="79" t="n">
        <f aca="false">SUMIFS($T137:$CA137, $T$1:$CA$1, CE$63)</f>
        <v>0</v>
      </c>
      <c r="CF137" s="79" t="n">
        <f aca="false">SUMIFS($T137:$CA137, $T$1:$CA$1, CF$63)</f>
        <v>0</v>
      </c>
      <c r="CG137" s="79" t="n">
        <f aca="false">SUMIFS($T137:$CA137, $T$1:$CA$1, CG$63)</f>
        <v>0</v>
      </c>
      <c r="CI137" s="79" t="n">
        <f aca="false">CC137=L137</f>
        <v>1</v>
      </c>
      <c r="CJ137" s="79" t="n">
        <f aca="false">CD137=M137</f>
        <v>1</v>
      </c>
      <c r="CK137" s="79" t="n">
        <f aca="false">CE137=N137</f>
        <v>1</v>
      </c>
      <c r="CL137" s="79" t="n">
        <f aca="false">CF137=O137</f>
        <v>1</v>
      </c>
      <c r="CM137" s="79" t="n">
        <f aca="false">CG137=P137</f>
        <v>1</v>
      </c>
    </row>
    <row r="138" s="14" customFormat="true" ht="16.5" hidden="false" customHeight="true" outlineLevel="0" collapsed="false">
      <c r="E138" s="96" t="s">
        <v>160</v>
      </c>
      <c r="L138" s="82" t="n">
        <f aca="false">SUM(L136:L137)</f>
        <v>0</v>
      </c>
      <c r="M138" s="82" t="n">
        <f aca="false">SUM(M136:M137)</f>
        <v>0</v>
      </c>
      <c r="N138" s="82" t="n">
        <f aca="false">SUM(N136:N137)</f>
        <v>0</v>
      </c>
      <c r="O138" s="82" t="n">
        <f aca="false">SUM(O136:O137)</f>
        <v>0</v>
      </c>
      <c r="P138" s="82" t="n">
        <f aca="false">SUM(P136:P137)</f>
        <v>0</v>
      </c>
      <c r="Q138" s="16"/>
      <c r="R138" s="16"/>
      <c r="T138" s="131" t="n">
        <f aca="false">SUM(T136:T137)</f>
        <v>0</v>
      </c>
      <c r="U138" s="131" t="n">
        <f aca="false">SUM(U136:U137)</f>
        <v>0</v>
      </c>
      <c r="V138" s="131" t="n">
        <f aca="false">SUM(V136:V137)</f>
        <v>0</v>
      </c>
      <c r="W138" s="131" t="n">
        <f aca="false">SUM(W136:W137)</f>
        <v>0</v>
      </c>
      <c r="X138" s="131" t="n">
        <f aca="false">SUM(X136:X137)</f>
        <v>0</v>
      </c>
      <c r="Y138" s="131" t="n">
        <f aca="false">SUM(Y136:Y137)</f>
        <v>0</v>
      </c>
      <c r="Z138" s="131" t="n">
        <f aca="false">SUM(Z136:Z137)</f>
        <v>0</v>
      </c>
      <c r="AA138" s="131" t="n">
        <f aca="false">SUM(AA136:AA137)</f>
        <v>0</v>
      </c>
      <c r="AB138" s="131" t="n">
        <f aca="false">SUM(AB136:AB137)</f>
        <v>0</v>
      </c>
      <c r="AC138" s="131" t="n">
        <f aca="false">SUM(AC136:AC137)</f>
        <v>0</v>
      </c>
      <c r="AD138" s="131" t="n">
        <f aca="false">SUM(AD136:AD137)</f>
        <v>0</v>
      </c>
      <c r="AE138" s="131" t="n">
        <f aca="false">SUM(AE136:AE137)</f>
        <v>0</v>
      </c>
      <c r="AF138" s="131" t="n">
        <f aca="false">SUM(AF136:AF137)</f>
        <v>0</v>
      </c>
      <c r="AG138" s="131" t="n">
        <f aca="false">SUM(AG136:AG137)</f>
        <v>0</v>
      </c>
      <c r="AH138" s="131" t="n">
        <f aca="false">SUM(AH136:AH137)</f>
        <v>0</v>
      </c>
      <c r="AI138" s="131" t="n">
        <f aca="false">SUM(AI136:AI137)</f>
        <v>0</v>
      </c>
      <c r="AJ138" s="131" t="n">
        <f aca="false">SUM(AJ136:AJ137)</f>
        <v>0</v>
      </c>
      <c r="AK138" s="131" t="n">
        <f aca="false">SUM(AK136:AK137)</f>
        <v>0</v>
      </c>
      <c r="AL138" s="131" t="n">
        <f aca="false">SUM(AL136:AL137)</f>
        <v>0</v>
      </c>
      <c r="AM138" s="131" t="n">
        <f aca="false">SUM(AM136:AM137)</f>
        <v>0</v>
      </c>
      <c r="AN138" s="131" t="n">
        <f aca="false">SUM(AN136:AN137)</f>
        <v>0</v>
      </c>
      <c r="AO138" s="131" t="n">
        <f aca="false">SUM(AO136:AO137)</f>
        <v>0</v>
      </c>
      <c r="AP138" s="131" t="n">
        <f aca="false">SUM(AP136:AP137)</f>
        <v>0</v>
      </c>
      <c r="AQ138" s="131" t="n">
        <f aca="false">SUM(AQ136:AQ137)</f>
        <v>0</v>
      </c>
      <c r="AR138" s="131" t="n">
        <f aca="false">SUM(AR136:AR137)</f>
        <v>0</v>
      </c>
      <c r="AS138" s="131" t="n">
        <f aca="false">SUM(AS136:AS137)</f>
        <v>0</v>
      </c>
      <c r="AT138" s="131" t="n">
        <f aca="false">SUM(AT136:AT137)</f>
        <v>0</v>
      </c>
      <c r="AU138" s="131" t="n">
        <f aca="false">SUM(AU136:AU137)</f>
        <v>0</v>
      </c>
      <c r="AV138" s="131" t="n">
        <f aca="false">SUM(AV136:AV137)</f>
        <v>0</v>
      </c>
      <c r="AW138" s="131" t="n">
        <f aca="false">SUM(AW136:AW137)</f>
        <v>0</v>
      </c>
      <c r="AX138" s="131" t="n">
        <f aca="false">SUM(AX136:AX137)</f>
        <v>0</v>
      </c>
      <c r="AY138" s="131" t="n">
        <f aca="false">SUM(AY136:AY137)</f>
        <v>0</v>
      </c>
      <c r="AZ138" s="131" t="n">
        <f aca="false">SUM(AZ136:AZ137)</f>
        <v>0</v>
      </c>
      <c r="BA138" s="131" t="n">
        <f aca="false">SUM(BA136:BA137)</f>
        <v>0</v>
      </c>
      <c r="BB138" s="131" t="n">
        <f aca="false">SUM(BB136:BB137)</f>
        <v>0</v>
      </c>
      <c r="BC138" s="131" t="n">
        <f aca="false">SUM(BC136:BC137)</f>
        <v>0</v>
      </c>
      <c r="BD138" s="131" t="n">
        <f aca="false">SUM(BD136:BD137)</f>
        <v>0</v>
      </c>
      <c r="BE138" s="131" t="n">
        <f aca="false">SUM(BE136:BE137)</f>
        <v>0</v>
      </c>
      <c r="BF138" s="131" t="n">
        <f aca="false">SUM(BF136:BF137)</f>
        <v>0</v>
      </c>
      <c r="BG138" s="131" t="n">
        <f aca="false">SUM(BG136:BG137)</f>
        <v>0</v>
      </c>
      <c r="BH138" s="131" t="n">
        <f aca="false">SUM(BH136:BH137)</f>
        <v>0</v>
      </c>
      <c r="BI138" s="131" t="n">
        <f aca="false">SUM(BI136:BI137)</f>
        <v>0</v>
      </c>
      <c r="BJ138" s="131" t="n">
        <f aca="false">SUM(BJ136:BJ137)</f>
        <v>0</v>
      </c>
      <c r="BK138" s="131" t="n">
        <f aca="false">SUM(BK136:BK137)</f>
        <v>0</v>
      </c>
      <c r="BL138" s="131" t="n">
        <f aca="false">SUM(BL136:BL137)</f>
        <v>0</v>
      </c>
      <c r="BM138" s="131" t="n">
        <f aca="false">SUM(BM136:BM137)</f>
        <v>0</v>
      </c>
      <c r="BN138" s="131" t="n">
        <f aca="false">SUM(BN136:BN137)</f>
        <v>0</v>
      </c>
      <c r="BO138" s="131" t="n">
        <f aca="false">SUM(BO136:BO137)</f>
        <v>0</v>
      </c>
      <c r="BP138" s="131" t="n">
        <f aca="false">SUM(BP136:BP137)</f>
        <v>0</v>
      </c>
      <c r="BQ138" s="131" t="n">
        <f aca="false">SUM(BQ136:BQ137)</f>
        <v>0</v>
      </c>
      <c r="BR138" s="131" t="n">
        <f aca="false">SUM(BR136:BR137)</f>
        <v>0</v>
      </c>
      <c r="BS138" s="131" t="n">
        <f aca="false">SUM(BS136:BS137)</f>
        <v>0</v>
      </c>
      <c r="BT138" s="131" t="n">
        <f aca="false">SUM(BT136:BT137)</f>
        <v>0</v>
      </c>
      <c r="BU138" s="131" t="n">
        <f aca="false">SUM(BU136:BU137)</f>
        <v>0</v>
      </c>
      <c r="BV138" s="131" t="n">
        <f aca="false">SUM(BV136:BV137)</f>
        <v>0</v>
      </c>
      <c r="BW138" s="131" t="n">
        <f aca="false">SUM(BW136:BW137)</f>
        <v>0</v>
      </c>
      <c r="BX138" s="131" t="n">
        <f aca="false">SUM(BX136:BX137)</f>
        <v>0</v>
      </c>
      <c r="BY138" s="131" t="n">
        <f aca="false">SUM(BY136:BY137)</f>
        <v>0</v>
      </c>
      <c r="BZ138" s="136" t="n">
        <f aca="false">SUM(BZ136:BZ137)</f>
        <v>0</v>
      </c>
      <c r="CA138" s="136" t="n">
        <f aca="false">SUM(CA136:CA137)</f>
        <v>0</v>
      </c>
      <c r="CC138" s="136" t="n">
        <f aca="false">SUM(CC136:CC137)</f>
        <v>0</v>
      </c>
      <c r="CD138" s="136" t="n">
        <f aca="false">SUM(CD136:CD137)</f>
        <v>0</v>
      </c>
      <c r="CE138" s="136" t="n">
        <f aca="false">SUM(CE136:CE137)</f>
        <v>0</v>
      </c>
      <c r="CF138" s="136" t="n">
        <f aca="false">SUM(CF136:CF137)</f>
        <v>0</v>
      </c>
      <c r="CG138" s="136" t="n">
        <f aca="false">SUM(CG136:CG137)</f>
        <v>0</v>
      </c>
      <c r="CI138" s="136" t="n">
        <f aca="false">CC138=L138</f>
        <v>1</v>
      </c>
      <c r="CJ138" s="136" t="n">
        <f aca="false">CD138=M138</f>
        <v>1</v>
      </c>
      <c r="CK138" s="136" t="n">
        <f aca="false">CE138=N138</f>
        <v>1</v>
      </c>
      <c r="CL138" s="136" t="n">
        <f aca="false">CF138=O138</f>
        <v>1</v>
      </c>
      <c r="CM138" s="136" t="n">
        <f aca="false">CG138=P138</f>
        <v>1</v>
      </c>
    </row>
    <row r="139" s="14" customFormat="true" ht="16.5" hidden="false" customHeight="true" outlineLevel="0" collapsed="false">
      <c r="L139" s="88"/>
      <c r="M139" s="88"/>
      <c r="N139" s="88"/>
      <c r="O139" s="88"/>
      <c r="P139" s="88"/>
      <c r="Q139" s="16"/>
      <c r="R139" s="16"/>
      <c r="T139" s="137"/>
      <c r="U139" s="137"/>
      <c r="V139" s="137"/>
      <c r="W139" s="137"/>
      <c r="X139" s="137"/>
      <c r="Y139" s="137"/>
      <c r="Z139" s="137"/>
      <c r="AA139" s="137"/>
      <c r="AB139" s="137"/>
      <c r="AC139" s="137"/>
      <c r="AD139" s="137"/>
      <c r="AE139" s="137"/>
      <c r="AF139" s="137"/>
      <c r="AG139" s="137"/>
      <c r="AH139" s="137"/>
      <c r="AI139" s="137"/>
      <c r="AJ139" s="137"/>
      <c r="AK139" s="137"/>
      <c r="AL139" s="137"/>
      <c r="AM139" s="137"/>
      <c r="AN139" s="137"/>
      <c r="AO139" s="137"/>
      <c r="AP139" s="137"/>
      <c r="AQ139" s="137"/>
      <c r="AR139" s="137"/>
      <c r="AS139" s="137"/>
      <c r="AT139" s="137"/>
      <c r="AU139" s="137"/>
      <c r="AV139" s="137"/>
      <c r="AW139" s="137"/>
      <c r="AX139" s="137"/>
      <c r="AY139" s="137"/>
      <c r="AZ139" s="137"/>
      <c r="BA139" s="137"/>
      <c r="BB139" s="137"/>
      <c r="BC139" s="137"/>
      <c r="BD139" s="137"/>
      <c r="BE139" s="137"/>
      <c r="BF139" s="137"/>
      <c r="BG139" s="137"/>
      <c r="BH139" s="137"/>
      <c r="BI139" s="137"/>
      <c r="BJ139" s="137"/>
      <c r="BK139" s="137"/>
      <c r="BL139" s="137"/>
      <c r="BM139" s="137"/>
      <c r="BN139" s="137"/>
      <c r="BO139" s="137"/>
      <c r="BP139" s="137"/>
      <c r="BQ139" s="137"/>
      <c r="BR139" s="137"/>
      <c r="BS139" s="137"/>
      <c r="BT139" s="137"/>
      <c r="BU139" s="137"/>
      <c r="BV139" s="137"/>
      <c r="BW139" s="137"/>
      <c r="BX139" s="137"/>
      <c r="BY139" s="137"/>
      <c r="BZ139" s="121"/>
      <c r="CA139" s="121"/>
    </row>
    <row r="140" s="14" customFormat="true" ht="16.5" hidden="false" customHeight="true" outlineLevel="0" collapsed="false">
      <c r="E140" s="21" t="s">
        <v>161</v>
      </c>
      <c r="L140" s="88"/>
      <c r="M140" s="88"/>
      <c r="N140" s="88"/>
      <c r="O140" s="88"/>
      <c r="P140" s="88"/>
      <c r="Q140" s="16"/>
      <c r="R140" s="16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7"/>
      <c r="AH140" s="137"/>
      <c r="AI140" s="137"/>
      <c r="AJ140" s="137"/>
      <c r="AK140" s="137"/>
      <c r="AL140" s="137"/>
      <c r="AM140" s="137"/>
      <c r="AN140" s="137"/>
      <c r="AO140" s="137"/>
      <c r="AP140" s="137"/>
      <c r="AQ140" s="137"/>
      <c r="AR140" s="137"/>
      <c r="AS140" s="137"/>
      <c r="AT140" s="137"/>
      <c r="AU140" s="137"/>
      <c r="AV140" s="137"/>
      <c r="AW140" s="137"/>
      <c r="AX140" s="137"/>
      <c r="AY140" s="137"/>
      <c r="AZ140" s="137"/>
      <c r="BA140" s="137"/>
      <c r="BB140" s="137"/>
      <c r="BC140" s="137"/>
      <c r="BD140" s="137"/>
      <c r="BE140" s="137"/>
      <c r="BF140" s="137"/>
      <c r="BG140" s="137"/>
      <c r="BH140" s="137"/>
      <c r="BI140" s="137"/>
      <c r="BJ140" s="137"/>
      <c r="BK140" s="137"/>
      <c r="BL140" s="137"/>
      <c r="BM140" s="137"/>
      <c r="BN140" s="137"/>
      <c r="BO140" s="137"/>
      <c r="BP140" s="137"/>
      <c r="BQ140" s="137"/>
      <c r="BR140" s="137"/>
      <c r="BS140" s="137"/>
      <c r="BT140" s="137"/>
      <c r="BU140" s="137"/>
      <c r="BV140" s="137"/>
      <c r="BW140" s="137"/>
      <c r="BX140" s="137"/>
      <c r="BY140" s="137"/>
      <c r="BZ140" s="121"/>
      <c r="CA140" s="121"/>
    </row>
    <row r="141" s="14" customFormat="true" ht="16.5" hidden="false" customHeight="true" outlineLevel="0" collapsed="false">
      <c r="E141" s="91" t="s">
        <v>379</v>
      </c>
      <c r="K141" s="29"/>
      <c r="L141" s="213" t="n">
        <f aca="false">'SVC-1 Model'!L98</f>
        <v>0</v>
      </c>
      <c r="M141" s="213" t="n">
        <f aca="false">'SVC-1 Model'!M98</f>
        <v>1.33833333333333</v>
      </c>
      <c r="N141" s="213" t="n">
        <f aca="false">'SVC-1 Model'!N98</f>
        <v>0.0916666666666667</v>
      </c>
      <c r="O141" s="213" t="n">
        <f aca="false">'SVC-1 Model'!O98</f>
        <v>0</v>
      </c>
      <c r="P141" s="213" t="n">
        <f aca="false">'SVC-1 Model'!P98</f>
        <v>0</v>
      </c>
      <c r="Q141" s="93" t="s">
        <v>266</v>
      </c>
      <c r="R141" s="16"/>
      <c r="T141" s="225" t="n">
        <f aca="false">'SVC-1 Model'!T98</f>
        <v>0</v>
      </c>
      <c r="U141" s="225" t="n">
        <f aca="false">'SVC-1 Model'!U98</f>
        <v>0</v>
      </c>
      <c r="V141" s="225" t="n">
        <f aca="false">'SVC-1 Model'!V98</f>
        <v>0</v>
      </c>
      <c r="W141" s="225" t="n">
        <f aca="false">'SVC-1 Model'!W98</f>
        <v>0</v>
      </c>
      <c r="X141" s="225" t="n">
        <f aca="false">'SVC-1 Model'!X98</f>
        <v>0</v>
      </c>
      <c r="Y141" s="225" t="n">
        <f aca="false">'SVC-1 Model'!Y98</f>
        <v>0</v>
      </c>
      <c r="Z141" s="225" t="n">
        <f aca="false">'SVC-1 Model'!Z98</f>
        <v>0</v>
      </c>
      <c r="AA141" s="225" t="n">
        <f aca="false">'SVC-1 Model'!AA98</f>
        <v>0</v>
      </c>
      <c r="AB141" s="225" t="n">
        <f aca="false">'SVC-1 Model'!AB98</f>
        <v>0</v>
      </c>
      <c r="AC141" s="225" t="n">
        <f aca="false">'SVC-1 Model'!AC98</f>
        <v>0</v>
      </c>
      <c r="AD141" s="225" t="n">
        <f aca="false">'SVC-1 Model'!AD98</f>
        <v>0</v>
      </c>
      <c r="AE141" s="225" t="n">
        <f aca="false">'SVC-1 Model'!AE98</f>
        <v>0</v>
      </c>
      <c r="AF141" s="225" t="n">
        <f aca="false">'SVC-1 Model'!AF98</f>
        <v>0.0733333333333334</v>
      </c>
      <c r="AG141" s="225" t="n">
        <f aca="false">'SVC-1 Model'!AG98</f>
        <v>0.0733333333333334</v>
      </c>
      <c r="AH141" s="225" t="n">
        <f aca="false">'SVC-1 Model'!AH98</f>
        <v>0.146666666666667</v>
      </c>
      <c r="AI141" s="225" t="n">
        <f aca="false">'SVC-1 Model'!AI98</f>
        <v>0.146666666666667</v>
      </c>
      <c r="AJ141" s="225" t="n">
        <f aca="false">'SVC-1 Model'!AJ98</f>
        <v>0.146666666666667</v>
      </c>
      <c r="AK141" s="225" t="n">
        <f aca="false">'SVC-1 Model'!AK98</f>
        <v>0.146666666666667</v>
      </c>
      <c r="AL141" s="225" t="n">
        <f aca="false">'SVC-1 Model'!AL98</f>
        <v>0.146666666666667</v>
      </c>
      <c r="AM141" s="225" t="n">
        <f aca="false">'SVC-1 Model'!AM98</f>
        <v>0.0916666666666667</v>
      </c>
      <c r="AN141" s="225" t="n">
        <f aca="false">'SVC-1 Model'!AN98</f>
        <v>0.0916666666666667</v>
      </c>
      <c r="AO141" s="225" t="n">
        <f aca="false">'SVC-1 Model'!AO98</f>
        <v>0.0916666666666667</v>
      </c>
      <c r="AP141" s="225" t="n">
        <f aca="false">'SVC-1 Model'!AP98</f>
        <v>0.0916666666666667</v>
      </c>
      <c r="AQ141" s="225" t="n">
        <f aca="false">'SVC-1 Model'!AQ98</f>
        <v>0.0916666666666667</v>
      </c>
      <c r="AR141" s="225" t="n">
        <f aca="false">'SVC-1 Model'!AR98</f>
        <v>0.0916666666666667</v>
      </c>
      <c r="AS141" s="225" t="n">
        <f aca="false">'SVC-1 Model'!AS98</f>
        <v>0</v>
      </c>
      <c r="AT141" s="225" t="n">
        <f aca="false">'SVC-1 Model'!AT98</f>
        <v>0</v>
      </c>
      <c r="AU141" s="225" t="n">
        <f aca="false">'SVC-1 Model'!AU98</f>
        <v>0</v>
      </c>
      <c r="AV141" s="225" t="n">
        <f aca="false">'SVC-1 Model'!AV98</f>
        <v>0</v>
      </c>
      <c r="AW141" s="225" t="n">
        <f aca="false">'SVC-1 Model'!AW98</f>
        <v>0</v>
      </c>
      <c r="AX141" s="225" t="n">
        <f aca="false">'SVC-1 Model'!AX98</f>
        <v>0</v>
      </c>
      <c r="AY141" s="225" t="n">
        <f aca="false">'SVC-1 Model'!AY98</f>
        <v>0</v>
      </c>
      <c r="AZ141" s="225" t="n">
        <f aca="false">'SVC-1 Model'!AZ98</f>
        <v>0</v>
      </c>
      <c r="BA141" s="225" t="n">
        <f aca="false">'SVC-1 Model'!BA98</f>
        <v>0</v>
      </c>
      <c r="BB141" s="225" t="n">
        <f aca="false">'SVC-1 Model'!BB98</f>
        <v>0</v>
      </c>
      <c r="BC141" s="225" t="n">
        <f aca="false">'SVC-1 Model'!BC98</f>
        <v>0</v>
      </c>
      <c r="BD141" s="225" t="n">
        <f aca="false">'SVC-1 Model'!BD98</f>
        <v>0</v>
      </c>
      <c r="BE141" s="225" t="n">
        <f aca="false">'SVC-1 Model'!BE98</f>
        <v>0</v>
      </c>
      <c r="BF141" s="225" t="n">
        <f aca="false">'SVC-1 Model'!BF98</f>
        <v>0</v>
      </c>
      <c r="BG141" s="225" t="n">
        <f aca="false">'SVC-1 Model'!BG98</f>
        <v>0</v>
      </c>
      <c r="BH141" s="225" t="n">
        <f aca="false">'SVC-1 Model'!BH98</f>
        <v>0</v>
      </c>
      <c r="BI141" s="225" t="n">
        <f aca="false">'SVC-1 Model'!BI98</f>
        <v>0</v>
      </c>
      <c r="BJ141" s="225" t="n">
        <f aca="false">'SVC-1 Model'!BJ98</f>
        <v>0</v>
      </c>
      <c r="BK141" s="225" t="n">
        <f aca="false">'SVC-1 Model'!BK98</f>
        <v>0</v>
      </c>
      <c r="BL141" s="225" t="n">
        <f aca="false">'SVC-1 Model'!BL98</f>
        <v>0</v>
      </c>
      <c r="BM141" s="225" t="n">
        <f aca="false">'SVC-1 Model'!BM98</f>
        <v>0</v>
      </c>
      <c r="BN141" s="225" t="n">
        <f aca="false">'SVC-1 Model'!BN98</f>
        <v>0</v>
      </c>
      <c r="BO141" s="225" t="n">
        <f aca="false">'SVC-1 Model'!BO98</f>
        <v>0</v>
      </c>
      <c r="BP141" s="225" t="n">
        <f aca="false">'SVC-1 Model'!BP98</f>
        <v>0</v>
      </c>
      <c r="BQ141" s="225" t="n">
        <f aca="false">'SVC-1 Model'!BQ98</f>
        <v>0</v>
      </c>
      <c r="BR141" s="225" t="n">
        <f aca="false">'SVC-1 Model'!BR98</f>
        <v>0</v>
      </c>
      <c r="BS141" s="225" t="n">
        <f aca="false">'SVC-1 Model'!BS98</f>
        <v>0</v>
      </c>
      <c r="BT141" s="225" t="n">
        <f aca="false">'SVC-1 Model'!BT98</f>
        <v>0</v>
      </c>
      <c r="BU141" s="225" t="n">
        <f aca="false">'SVC-1 Model'!BU98</f>
        <v>0</v>
      </c>
      <c r="BV141" s="225" t="n">
        <f aca="false">'SVC-1 Model'!BV98</f>
        <v>0</v>
      </c>
      <c r="BW141" s="225" t="n">
        <f aca="false">'SVC-1 Model'!BW98</f>
        <v>0</v>
      </c>
      <c r="BX141" s="225" t="n">
        <f aca="false">'SVC-1 Model'!BX98</f>
        <v>0</v>
      </c>
      <c r="BY141" s="225" t="n">
        <f aca="false">'SVC-1 Model'!BY98</f>
        <v>0</v>
      </c>
      <c r="BZ141" s="227" t="n">
        <f aca="false">'SVC-1 Model'!BZ98</f>
        <v>0</v>
      </c>
      <c r="CA141" s="227" t="n">
        <f aca="false">'SVC-1 Model'!CA98</f>
        <v>0</v>
      </c>
      <c r="CC141" s="79" t="n">
        <f aca="false">SUMIFS($T141:$CA141, $T$1:$CA$1, CC$63)</f>
        <v>0</v>
      </c>
      <c r="CD141" s="79" t="n">
        <f aca="false">SUMIFS($T141:$CA141, $T$1:$CA$1, CD$63)</f>
        <v>1.33833333333333</v>
      </c>
      <c r="CE141" s="79" t="n">
        <f aca="false">SUMIFS($T141:$CA141, $T$1:$CA$1, CE$63)</f>
        <v>0.0916666666666667</v>
      </c>
      <c r="CF141" s="79" t="n">
        <f aca="false">SUMIFS($T141:$CA141, $T$1:$CA$1, CF$63)</f>
        <v>0</v>
      </c>
      <c r="CG141" s="79" t="n">
        <f aca="false">SUMIFS($T141:$CA141, $T$1:$CA$1, CG$63)</f>
        <v>0</v>
      </c>
      <c r="CI141" s="79" t="n">
        <f aca="false">CC141=L141</f>
        <v>1</v>
      </c>
      <c r="CJ141" s="79" t="n">
        <f aca="false">CD141=M141</f>
        <v>1</v>
      </c>
      <c r="CK141" s="79" t="n">
        <f aca="false">CE141=N141</f>
        <v>1</v>
      </c>
      <c r="CL141" s="79" t="n">
        <f aca="false">CF141=O141</f>
        <v>1</v>
      </c>
      <c r="CM141" s="79" t="n">
        <f aca="false">CG141=P141</f>
        <v>1</v>
      </c>
    </row>
    <row r="142" s="14" customFormat="true" ht="16.5" hidden="false" customHeight="true" outlineLevel="0" collapsed="false">
      <c r="E142" s="91" t="s">
        <v>380</v>
      </c>
      <c r="L142" s="213" t="n">
        <f aca="false">'SVC-1 Model'!L99</f>
        <v>0</v>
      </c>
      <c r="M142" s="213" t="n">
        <f aca="false">'SVC-1 Model'!M99</f>
        <v>0.506338461538462</v>
      </c>
      <c r="N142" s="213" t="n">
        <f aca="false">'SVC-1 Model'!N99</f>
        <v>0.0238615384615385</v>
      </c>
      <c r="O142" s="213" t="n">
        <f aca="false">'SVC-1 Model'!O99</f>
        <v>0</v>
      </c>
      <c r="P142" s="213" t="n">
        <f aca="false">'SVC-1 Model'!P99</f>
        <v>0</v>
      </c>
      <c r="Q142" s="93" t="s">
        <v>266</v>
      </c>
      <c r="R142" s="16"/>
      <c r="T142" s="225" t="n">
        <f aca="false">'SVC-1 Model'!T99</f>
        <v>0</v>
      </c>
      <c r="U142" s="225" t="n">
        <f aca="false">'SVC-1 Model'!U99</f>
        <v>0</v>
      </c>
      <c r="V142" s="225" t="n">
        <f aca="false">'SVC-1 Model'!V99</f>
        <v>0</v>
      </c>
      <c r="W142" s="225" t="n">
        <f aca="false">'SVC-1 Model'!W99</f>
        <v>0</v>
      </c>
      <c r="X142" s="225" t="n">
        <f aca="false">'SVC-1 Model'!X99</f>
        <v>0</v>
      </c>
      <c r="Y142" s="225" t="n">
        <f aca="false">'SVC-1 Model'!Y99</f>
        <v>0</v>
      </c>
      <c r="Z142" s="225" t="n">
        <f aca="false">'SVC-1 Model'!Z99</f>
        <v>0</v>
      </c>
      <c r="AA142" s="225" t="n">
        <f aca="false">'SVC-1 Model'!AA99</f>
        <v>0</v>
      </c>
      <c r="AB142" s="225" t="n">
        <f aca="false">'SVC-1 Model'!AB99</f>
        <v>0</v>
      </c>
      <c r="AC142" s="225" t="n">
        <f aca="false">'SVC-1 Model'!AC99</f>
        <v>0</v>
      </c>
      <c r="AD142" s="225" t="n">
        <f aca="false">'SVC-1 Model'!AD99</f>
        <v>0</v>
      </c>
      <c r="AE142" s="225" t="n">
        <f aca="false">'SVC-1 Model'!AE99</f>
        <v>0</v>
      </c>
      <c r="AF142" s="225" t="n">
        <f aca="false">'SVC-1 Model'!AF99</f>
        <v>0.0238615384615385</v>
      </c>
      <c r="AG142" s="225" t="n">
        <f aca="false">'SVC-1 Model'!AG99</f>
        <v>0.0238615384615385</v>
      </c>
      <c r="AH142" s="225" t="n">
        <f aca="false">'SVC-1 Model'!AH99</f>
        <v>0.0678615384615385</v>
      </c>
      <c r="AI142" s="225" t="n">
        <f aca="false">'SVC-1 Model'!AI99</f>
        <v>0.0678615384615385</v>
      </c>
      <c r="AJ142" s="225" t="n">
        <f aca="false">'SVC-1 Model'!AJ99</f>
        <v>0.0678615384615385</v>
      </c>
      <c r="AK142" s="225" t="n">
        <f aca="false">'SVC-1 Model'!AK99</f>
        <v>0.0678615384615385</v>
      </c>
      <c r="AL142" s="225" t="n">
        <f aca="false">'SVC-1 Model'!AL99</f>
        <v>0.0678615384615385</v>
      </c>
      <c r="AM142" s="225" t="n">
        <f aca="false">'SVC-1 Model'!AM99</f>
        <v>0.0238615384615385</v>
      </c>
      <c r="AN142" s="225" t="n">
        <f aca="false">'SVC-1 Model'!AN99</f>
        <v>0.0238615384615385</v>
      </c>
      <c r="AO142" s="225" t="n">
        <f aca="false">'SVC-1 Model'!AO99</f>
        <v>0.0238615384615385</v>
      </c>
      <c r="AP142" s="225" t="n">
        <f aca="false">'SVC-1 Model'!AP99</f>
        <v>0.0238615384615385</v>
      </c>
      <c r="AQ142" s="225" t="n">
        <f aca="false">'SVC-1 Model'!AQ99</f>
        <v>0.0238615384615385</v>
      </c>
      <c r="AR142" s="225" t="n">
        <f aca="false">'SVC-1 Model'!AR99</f>
        <v>0.0238615384615385</v>
      </c>
      <c r="AS142" s="225" t="n">
        <f aca="false">'SVC-1 Model'!AS99</f>
        <v>0</v>
      </c>
      <c r="AT142" s="225" t="n">
        <f aca="false">'SVC-1 Model'!AT99</f>
        <v>0</v>
      </c>
      <c r="AU142" s="225" t="n">
        <f aca="false">'SVC-1 Model'!AU99</f>
        <v>0</v>
      </c>
      <c r="AV142" s="225" t="n">
        <f aca="false">'SVC-1 Model'!AV99</f>
        <v>0</v>
      </c>
      <c r="AW142" s="225" t="n">
        <f aca="false">'SVC-1 Model'!AW99</f>
        <v>0</v>
      </c>
      <c r="AX142" s="225" t="n">
        <f aca="false">'SVC-1 Model'!AX99</f>
        <v>0</v>
      </c>
      <c r="AY142" s="225" t="n">
        <f aca="false">'SVC-1 Model'!AY99</f>
        <v>0</v>
      </c>
      <c r="AZ142" s="225" t="n">
        <f aca="false">'SVC-1 Model'!AZ99</f>
        <v>0</v>
      </c>
      <c r="BA142" s="225" t="n">
        <f aca="false">'SVC-1 Model'!BA99</f>
        <v>0</v>
      </c>
      <c r="BB142" s="225" t="n">
        <f aca="false">'SVC-1 Model'!BB99</f>
        <v>0</v>
      </c>
      <c r="BC142" s="225" t="n">
        <f aca="false">'SVC-1 Model'!BC99</f>
        <v>0</v>
      </c>
      <c r="BD142" s="225" t="n">
        <f aca="false">'SVC-1 Model'!BD99</f>
        <v>0</v>
      </c>
      <c r="BE142" s="225" t="n">
        <f aca="false">'SVC-1 Model'!BE99</f>
        <v>0</v>
      </c>
      <c r="BF142" s="225" t="n">
        <f aca="false">'SVC-1 Model'!BF99</f>
        <v>0</v>
      </c>
      <c r="BG142" s="225" t="n">
        <f aca="false">'SVC-1 Model'!BG99</f>
        <v>0</v>
      </c>
      <c r="BH142" s="225" t="n">
        <f aca="false">'SVC-1 Model'!BH99</f>
        <v>0</v>
      </c>
      <c r="BI142" s="225" t="n">
        <f aca="false">'SVC-1 Model'!BI99</f>
        <v>0</v>
      </c>
      <c r="BJ142" s="225" t="n">
        <f aca="false">'SVC-1 Model'!BJ99</f>
        <v>0</v>
      </c>
      <c r="BK142" s="225" t="n">
        <f aca="false">'SVC-1 Model'!BK99</f>
        <v>0</v>
      </c>
      <c r="BL142" s="225" t="n">
        <f aca="false">'SVC-1 Model'!BL99</f>
        <v>0</v>
      </c>
      <c r="BM142" s="225" t="n">
        <f aca="false">'SVC-1 Model'!BM99</f>
        <v>0</v>
      </c>
      <c r="BN142" s="225" t="n">
        <f aca="false">'SVC-1 Model'!BN99</f>
        <v>0</v>
      </c>
      <c r="BO142" s="225" t="n">
        <f aca="false">'SVC-1 Model'!BO99</f>
        <v>0</v>
      </c>
      <c r="BP142" s="225" t="n">
        <f aca="false">'SVC-1 Model'!BP99</f>
        <v>0</v>
      </c>
      <c r="BQ142" s="225" t="n">
        <f aca="false">'SVC-1 Model'!BQ99</f>
        <v>0</v>
      </c>
      <c r="BR142" s="225" t="n">
        <f aca="false">'SVC-1 Model'!BR99</f>
        <v>0</v>
      </c>
      <c r="BS142" s="225" t="n">
        <f aca="false">'SVC-1 Model'!BS99</f>
        <v>0</v>
      </c>
      <c r="BT142" s="225" t="n">
        <f aca="false">'SVC-1 Model'!BT99</f>
        <v>0</v>
      </c>
      <c r="BU142" s="225" t="n">
        <f aca="false">'SVC-1 Model'!BU99</f>
        <v>0</v>
      </c>
      <c r="BV142" s="225" t="n">
        <f aca="false">'SVC-1 Model'!BV99</f>
        <v>0</v>
      </c>
      <c r="BW142" s="225" t="n">
        <f aca="false">'SVC-1 Model'!BW99</f>
        <v>0</v>
      </c>
      <c r="BX142" s="225" t="n">
        <f aca="false">'SVC-1 Model'!BX99</f>
        <v>0</v>
      </c>
      <c r="BY142" s="225" t="n">
        <f aca="false">'SVC-1 Model'!BY99</f>
        <v>0</v>
      </c>
      <c r="BZ142" s="227" t="n">
        <f aca="false">'SVC-1 Model'!BZ99</f>
        <v>0</v>
      </c>
      <c r="CA142" s="227" t="n">
        <f aca="false">'SVC-1 Model'!CA99</f>
        <v>0</v>
      </c>
      <c r="CC142" s="79" t="n">
        <f aca="false">SUMIFS($T142:$CA142, $T$1:$CA$1, CC$63)</f>
        <v>0</v>
      </c>
      <c r="CD142" s="79" t="n">
        <f aca="false">SUMIFS($T142:$CA142, $T$1:$CA$1, CD$63)</f>
        <v>0.506338461538462</v>
      </c>
      <c r="CE142" s="79" t="n">
        <f aca="false">SUMIFS($T142:$CA142, $T$1:$CA$1, CE$63)</f>
        <v>0.0238615384615385</v>
      </c>
      <c r="CF142" s="79" t="n">
        <f aca="false">SUMIFS($T142:$CA142, $T$1:$CA$1, CF$63)</f>
        <v>0</v>
      </c>
      <c r="CG142" s="79" t="n">
        <f aca="false">SUMIFS($T142:$CA142, $T$1:$CA$1, CG$63)</f>
        <v>0</v>
      </c>
      <c r="CI142" s="79" t="n">
        <f aca="false">CC142=L142</f>
        <v>1</v>
      </c>
      <c r="CJ142" s="79" t="n">
        <f aca="false">CD142=M142</f>
        <v>1</v>
      </c>
      <c r="CK142" s="79" t="n">
        <f aca="false">CE142=N142</f>
        <v>1</v>
      </c>
      <c r="CL142" s="79" t="n">
        <f aca="false">CF142=O142</f>
        <v>1</v>
      </c>
      <c r="CM142" s="79" t="n">
        <f aca="false">CG142=P142</f>
        <v>1</v>
      </c>
    </row>
    <row r="143" s="14" customFormat="true" ht="16.5" hidden="false" customHeight="true" outlineLevel="0" collapsed="false">
      <c r="E143" s="91"/>
      <c r="L143" s="91"/>
      <c r="M143" s="91"/>
      <c r="N143" s="91"/>
      <c r="O143" s="91"/>
      <c r="P143" s="91"/>
      <c r="Q143" s="93"/>
      <c r="R143" s="16"/>
      <c r="T143" s="135"/>
      <c r="U143" s="135"/>
      <c r="V143" s="135"/>
      <c r="W143" s="135"/>
      <c r="X143" s="135"/>
      <c r="Y143" s="135"/>
      <c r="Z143" s="135"/>
      <c r="AA143" s="135"/>
      <c r="AB143" s="135"/>
      <c r="AC143" s="135"/>
      <c r="AD143" s="135"/>
      <c r="AE143" s="135"/>
      <c r="AF143" s="135"/>
      <c r="AG143" s="135"/>
      <c r="AH143" s="135"/>
      <c r="AI143" s="135"/>
      <c r="AJ143" s="135"/>
      <c r="AK143" s="135"/>
      <c r="AL143" s="135"/>
      <c r="AM143" s="135"/>
      <c r="AN143" s="135"/>
      <c r="AO143" s="135"/>
      <c r="AP143" s="135"/>
      <c r="AQ143" s="135"/>
      <c r="AR143" s="135"/>
      <c r="AS143" s="135"/>
      <c r="AT143" s="135"/>
      <c r="AU143" s="135"/>
      <c r="AV143" s="135"/>
      <c r="AW143" s="135"/>
      <c r="AX143" s="135"/>
      <c r="AY143" s="135"/>
      <c r="AZ143" s="135"/>
      <c r="BA143" s="135"/>
      <c r="BB143" s="135"/>
      <c r="BC143" s="135"/>
      <c r="BD143" s="135"/>
      <c r="BE143" s="135"/>
      <c r="BF143" s="135"/>
      <c r="BG143" s="135"/>
      <c r="BH143" s="135"/>
      <c r="BI143" s="135"/>
      <c r="BJ143" s="135"/>
      <c r="BK143" s="135"/>
      <c r="BL143" s="135"/>
      <c r="BM143" s="135"/>
      <c r="BN143" s="135"/>
      <c r="BO143" s="135"/>
      <c r="BP143" s="135"/>
      <c r="BQ143" s="135"/>
      <c r="BR143" s="135"/>
      <c r="BS143" s="135"/>
      <c r="BT143" s="135"/>
      <c r="BU143" s="135"/>
      <c r="BV143" s="135"/>
      <c r="BW143" s="135"/>
      <c r="BX143" s="135"/>
      <c r="BY143" s="135"/>
      <c r="BZ143" s="138"/>
      <c r="CA143" s="138"/>
      <c r="CC143" s="79" t="n">
        <f aca="false">SUMIFS($T143:$CA143, $T$1:$CA$1, CC$63)</f>
        <v>0</v>
      </c>
      <c r="CD143" s="79" t="n">
        <f aca="false">SUMIFS($T143:$CA143, $T$1:$CA$1, CD$63)</f>
        <v>0</v>
      </c>
      <c r="CE143" s="79" t="n">
        <f aca="false">SUMIFS($T143:$CA143, $T$1:$CA$1, CE$63)</f>
        <v>0</v>
      </c>
      <c r="CF143" s="79" t="n">
        <f aca="false">SUMIFS($T143:$CA143, $T$1:$CA$1, CF$63)</f>
        <v>0</v>
      </c>
      <c r="CG143" s="79" t="n">
        <f aca="false">SUMIFS($T143:$CA143, $T$1:$CA$1, CG$63)</f>
        <v>0</v>
      </c>
      <c r="CI143" s="79" t="n">
        <f aca="false">CC143=L143</f>
        <v>1</v>
      </c>
      <c r="CJ143" s="79" t="n">
        <f aca="false">CD143=M143</f>
        <v>1</v>
      </c>
      <c r="CK143" s="79" t="n">
        <f aca="false">CE143=N143</f>
        <v>1</v>
      </c>
      <c r="CL143" s="79" t="n">
        <f aca="false">CF143=O143</f>
        <v>1</v>
      </c>
      <c r="CM143" s="79" t="n">
        <f aca="false">CG143=P143</f>
        <v>1</v>
      </c>
    </row>
    <row r="144" s="14" customFormat="true" ht="16.5" hidden="false" customHeight="true" outlineLevel="0" collapsed="false">
      <c r="E144" s="96" t="s">
        <v>162</v>
      </c>
      <c r="L144" s="82" t="n">
        <f aca="false">SUM(L141:L143)</f>
        <v>0</v>
      </c>
      <c r="M144" s="82" t="n">
        <f aca="false">SUM(M141:M143)</f>
        <v>1.8446717948718</v>
      </c>
      <c r="N144" s="82" t="n">
        <f aca="false">SUM(N141:N143)</f>
        <v>0.115528205128205</v>
      </c>
      <c r="O144" s="82" t="n">
        <f aca="false">SUM(O141:O143)</f>
        <v>0</v>
      </c>
      <c r="P144" s="82" t="n">
        <f aca="false">SUM(P141:P143)</f>
        <v>0</v>
      </c>
      <c r="Q144" s="16"/>
      <c r="R144" s="16"/>
      <c r="T144" s="131" t="n">
        <f aca="false">SUM(T141:T143)</f>
        <v>0</v>
      </c>
      <c r="U144" s="131" t="n">
        <f aca="false">SUM(U141:U143)</f>
        <v>0</v>
      </c>
      <c r="V144" s="131" t="n">
        <f aca="false">SUM(V141:V143)</f>
        <v>0</v>
      </c>
      <c r="W144" s="131" t="n">
        <f aca="false">SUM(W141:W143)</f>
        <v>0</v>
      </c>
      <c r="X144" s="131" t="n">
        <f aca="false">SUM(X141:X143)</f>
        <v>0</v>
      </c>
      <c r="Y144" s="131" t="n">
        <f aca="false">SUM(Y141:Y143)</f>
        <v>0</v>
      </c>
      <c r="Z144" s="131" t="n">
        <f aca="false">SUM(Z141:Z143)</f>
        <v>0</v>
      </c>
      <c r="AA144" s="131" t="n">
        <f aca="false">SUM(AA141:AA143)</f>
        <v>0</v>
      </c>
      <c r="AB144" s="131" t="n">
        <f aca="false">SUM(AB141:AB143)</f>
        <v>0</v>
      </c>
      <c r="AC144" s="131" t="n">
        <f aca="false">SUM(AC141:AC143)</f>
        <v>0</v>
      </c>
      <c r="AD144" s="131" t="n">
        <f aca="false">SUM(AD141:AD143)</f>
        <v>0</v>
      </c>
      <c r="AE144" s="131" t="n">
        <f aca="false">SUM(AE141:AE143)</f>
        <v>0</v>
      </c>
      <c r="AF144" s="131" t="n">
        <f aca="false">SUM(AF141:AF143)</f>
        <v>0.0971948717948718</v>
      </c>
      <c r="AG144" s="131" t="n">
        <f aca="false">SUM(AG141:AG143)</f>
        <v>0.0971948717948718</v>
      </c>
      <c r="AH144" s="131" t="n">
        <f aca="false">SUM(AH141:AH143)</f>
        <v>0.214528205128205</v>
      </c>
      <c r="AI144" s="131" t="n">
        <f aca="false">SUM(AI141:AI143)</f>
        <v>0.214528205128205</v>
      </c>
      <c r="AJ144" s="131" t="n">
        <f aca="false">SUM(AJ141:AJ143)</f>
        <v>0.214528205128205</v>
      </c>
      <c r="AK144" s="131" t="n">
        <f aca="false">SUM(AK141:AK143)</f>
        <v>0.214528205128205</v>
      </c>
      <c r="AL144" s="131" t="n">
        <f aca="false">SUM(AL141:AL143)</f>
        <v>0.214528205128205</v>
      </c>
      <c r="AM144" s="131" t="n">
        <f aca="false">SUM(AM141:AM143)</f>
        <v>0.115528205128205</v>
      </c>
      <c r="AN144" s="131" t="n">
        <f aca="false">SUM(AN141:AN143)</f>
        <v>0.115528205128205</v>
      </c>
      <c r="AO144" s="131" t="n">
        <f aca="false">SUM(AO141:AO143)</f>
        <v>0.115528205128205</v>
      </c>
      <c r="AP144" s="131" t="n">
        <f aca="false">SUM(AP141:AP143)</f>
        <v>0.115528205128205</v>
      </c>
      <c r="AQ144" s="131" t="n">
        <f aca="false">SUM(AQ141:AQ143)</f>
        <v>0.115528205128205</v>
      </c>
      <c r="AR144" s="131" t="n">
        <f aca="false">SUM(AR141:AR143)</f>
        <v>0.115528205128205</v>
      </c>
      <c r="AS144" s="131" t="n">
        <f aca="false">SUM(AS141:AS143)</f>
        <v>0</v>
      </c>
      <c r="AT144" s="131" t="n">
        <f aca="false">SUM(AT141:AT143)</f>
        <v>0</v>
      </c>
      <c r="AU144" s="131" t="n">
        <f aca="false">SUM(AU141:AU143)</f>
        <v>0</v>
      </c>
      <c r="AV144" s="131" t="n">
        <f aca="false">SUM(AV141:AV143)</f>
        <v>0</v>
      </c>
      <c r="AW144" s="131" t="n">
        <f aca="false">SUM(AW141:AW143)</f>
        <v>0</v>
      </c>
      <c r="AX144" s="131" t="n">
        <f aca="false">SUM(AX141:AX143)</f>
        <v>0</v>
      </c>
      <c r="AY144" s="131" t="n">
        <f aca="false">SUM(AY141:AY143)</f>
        <v>0</v>
      </c>
      <c r="AZ144" s="131" t="n">
        <f aca="false">SUM(AZ141:AZ143)</f>
        <v>0</v>
      </c>
      <c r="BA144" s="131" t="n">
        <f aca="false">SUM(BA141:BA143)</f>
        <v>0</v>
      </c>
      <c r="BB144" s="131" t="n">
        <f aca="false">SUM(BB141:BB143)</f>
        <v>0</v>
      </c>
      <c r="BC144" s="131" t="n">
        <f aca="false">SUM(BC141:BC143)</f>
        <v>0</v>
      </c>
      <c r="BD144" s="131" t="n">
        <f aca="false">SUM(BD141:BD143)</f>
        <v>0</v>
      </c>
      <c r="BE144" s="131" t="n">
        <f aca="false">SUM(BE141:BE143)</f>
        <v>0</v>
      </c>
      <c r="BF144" s="131" t="n">
        <f aca="false">SUM(BF141:BF143)</f>
        <v>0</v>
      </c>
      <c r="BG144" s="131" t="n">
        <f aca="false">SUM(BG141:BG143)</f>
        <v>0</v>
      </c>
      <c r="BH144" s="131" t="n">
        <f aca="false">SUM(BH141:BH143)</f>
        <v>0</v>
      </c>
      <c r="BI144" s="131" t="n">
        <f aca="false">SUM(BI141:BI143)</f>
        <v>0</v>
      </c>
      <c r="BJ144" s="131" t="n">
        <f aca="false">SUM(BJ141:BJ143)</f>
        <v>0</v>
      </c>
      <c r="BK144" s="131" t="n">
        <f aca="false">SUM(BK141:BK143)</f>
        <v>0</v>
      </c>
      <c r="BL144" s="131" t="n">
        <f aca="false">SUM(BL141:BL143)</f>
        <v>0</v>
      </c>
      <c r="BM144" s="131" t="n">
        <f aca="false">SUM(BM141:BM143)</f>
        <v>0</v>
      </c>
      <c r="BN144" s="131" t="n">
        <f aca="false">SUM(BN141:BN143)</f>
        <v>0</v>
      </c>
      <c r="BO144" s="131" t="n">
        <f aca="false">SUM(BO141:BO143)</f>
        <v>0</v>
      </c>
      <c r="BP144" s="131" t="n">
        <f aca="false">SUM(BP141:BP143)</f>
        <v>0</v>
      </c>
      <c r="BQ144" s="131" t="n">
        <f aca="false">SUM(BQ141:BQ143)</f>
        <v>0</v>
      </c>
      <c r="BR144" s="131" t="n">
        <f aca="false">SUM(BR141:BR143)</f>
        <v>0</v>
      </c>
      <c r="BS144" s="131" t="n">
        <f aca="false">SUM(BS141:BS143)</f>
        <v>0</v>
      </c>
      <c r="BT144" s="131" t="n">
        <f aca="false">SUM(BT141:BT143)</f>
        <v>0</v>
      </c>
      <c r="BU144" s="131" t="n">
        <f aca="false">SUM(BU141:BU143)</f>
        <v>0</v>
      </c>
      <c r="BV144" s="131" t="n">
        <f aca="false">SUM(BV141:BV143)</f>
        <v>0</v>
      </c>
      <c r="BW144" s="131" t="n">
        <f aca="false">SUM(BW141:BW143)</f>
        <v>0</v>
      </c>
      <c r="BX144" s="131" t="n">
        <f aca="false">SUM(BX141:BX143)</f>
        <v>0</v>
      </c>
      <c r="BY144" s="131" t="n">
        <f aca="false">SUM(BY141:BY143)</f>
        <v>0</v>
      </c>
      <c r="BZ144" s="136" t="n">
        <f aca="false">SUM(BZ141:BZ143)</f>
        <v>0</v>
      </c>
      <c r="CA144" s="136" t="n">
        <f aca="false">SUM(CA141:CA143)</f>
        <v>0</v>
      </c>
      <c r="CC144" s="136" t="n">
        <f aca="false">SUM(CC141:CC143)</f>
        <v>0</v>
      </c>
      <c r="CD144" s="136" t="n">
        <f aca="false">SUM(CD141:CD143)</f>
        <v>1.8446717948718</v>
      </c>
      <c r="CE144" s="136" t="n">
        <f aca="false">SUM(CE141:CE143)</f>
        <v>0.115528205128205</v>
      </c>
      <c r="CF144" s="136" t="n">
        <f aca="false">SUM(CF141:CF143)</f>
        <v>0</v>
      </c>
      <c r="CG144" s="136" t="n">
        <f aca="false">SUM(CG141:CG143)</f>
        <v>0</v>
      </c>
      <c r="CI144" s="136" t="n">
        <f aca="false">CC144=L144</f>
        <v>1</v>
      </c>
      <c r="CJ144" s="136" t="n">
        <f aca="false">CD144=M144</f>
        <v>1</v>
      </c>
      <c r="CK144" s="136" t="n">
        <f aca="false">CE144=N144</f>
        <v>1</v>
      </c>
      <c r="CL144" s="136" t="n">
        <f aca="false">CF144=O144</f>
        <v>1</v>
      </c>
      <c r="CM144" s="136" t="n">
        <f aca="false">CG144=P144</f>
        <v>1</v>
      </c>
    </row>
    <row r="145" s="14" customFormat="true" ht="16.5" hidden="false" customHeight="true" outlineLevel="0" collapsed="false">
      <c r="E145" s="96"/>
      <c r="L145" s="82"/>
      <c r="M145" s="82"/>
      <c r="N145" s="82"/>
      <c r="O145" s="82"/>
      <c r="P145" s="82"/>
      <c r="Q145" s="16"/>
      <c r="R145" s="16"/>
      <c r="T145" s="131"/>
      <c r="U145" s="131"/>
      <c r="V145" s="131"/>
      <c r="W145" s="131"/>
      <c r="X145" s="131"/>
      <c r="Y145" s="131"/>
      <c r="Z145" s="131"/>
      <c r="AA145" s="131"/>
      <c r="AB145" s="131"/>
      <c r="AC145" s="131"/>
      <c r="AD145" s="131"/>
      <c r="AE145" s="131"/>
      <c r="AF145" s="131"/>
      <c r="AG145" s="131"/>
      <c r="AH145" s="131"/>
      <c r="AI145" s="131"/>
      <c r="AJ145" s="131"/>
      <c r="AK145" s="131"/>
      <c r="AL145" s="131"/>
      <c r="AM145" s="131"/>
      <c r="AN145" s="131"/>
      <c r="AO145" s="131"/>
      <c r="AP145" s="131"/>
      <c r="AQ145" s="131"/>
      <c r="AR145" s="131"/>
      <c r="AS145" s="131"/>
      <c r="AT145" s="131"/>
      <c r="AU145" s="131"/>
      <c r="AV145" s="131"/>
      <c r="AW145" s="131"/>
      <c r="AX145" s="131"/>
      <c r="AY145" s="131"/>
      <c r="AZ145" s="131"/>
      <c r="BA145" s="131"/>
      <c r="BB145" s="131"/>
      <c r="BC145" s="131"/>
      <c r="BD145" s="131"/>
      <c r="BE145" s="131"/>
      <c r="BF145" s="131"/>
      <c r="BG145" s="131"/>
      <c r="BH145" s="131"/>
      <c r="BI145" s="131"/>
      <c r="BJ145" s="131"/>
      <c r="BK145" s="131"/>
      <c r="BL145" s="131"/>
      <c r="BM145" s="131"/>
      <c r="BN145" s="131"/>
      <c r="BO145" s="131"/>
      <c r="BP145" s="131"/>
      <c r="BQ145" s="131"/>
      <c r="BR145" s="131"/>
      <c r="BS145" s="131"/>
      <c r="BT145" s="131"/>
      <c r="BU145" s="131"/>
      <c r="BV145" s="131"/>
      <c r="BW145" s="131"/>
      <c r="BX145" s="131"/>
      <c r="BY145" s="131"/>
      <c r="BZ145" s="136"/>
      <c r="CA145" s="136"/>
    </row>
    <row r="146" s="14" customFormat="true" ht="16.5" hidden="false" customHeight="true" outlineLevel="0" collapsed="false">
      <c r="E146" s="96"/>
      <c r="L146" s="82"/>
      <c r="M146" s="82"/>
      <c r="N146" s="82"/>
      <c r="O146" s="82"/>
      <c r="P146" s="82"/>
      <c r="Q146" s="16"/>
      <c r="R146" s="16"/>
      <c r="T146" s="131"/>
      <c r="U146" s="131"/>
      <c r="V146" s="131"/>
      <c r="W146" s="131"/>
      <c r="X146" s="131"/>
      <c r="Y146" s="131"/>
      <c r="Z146" s="131"/>
      <c r="AA146" s="131"/>
      <c r="AB146" s="131"/>
      <c r="AC146" s="131"/>
      <c r="AD146" s="131"/>
      <c r="AE146" s="131"/>
      <c r="AF146" s="131"/>
      <c r="AG146" s="131"/>
      <c r="AH146" s="131"/>
      <c r="AI146" s="131"/>
      <c r="AJ146" s="131"/>
      <c r="AK146" s="131"/>
      <c r="AL146" s="131"/>
      <c r="AM146" s="131"/>
      <c r="AN146" s="131"/>
      <c r="AO146" s="131"/>
      <c r="AP146" s="131"/>
      <c r="AQ146" s="131"/>
      <c r="AR146" s="131"/>
      <c r="AS146" s="131"/>
      <c r="AT146" s="131"/>
      <c r="AU146" s="131"/>
      <c r="AV146" s="131"/>
      <c r="AW146" s="131"/>
      <c r="AX146" s="131"/>
      <c r="AY146" s="131"/>
      <c r="AZ146" s="131"/>
      <c r="BA146" s="131"/>
      <c r="BB146" s="131"/>
      <c r="BC146" s="131"/>
      <c r="BD146" s="131"/>
      <c r="BE146" s="131"/>
      <c r="BF146" s="131"/>
      <c r="BG146" s="131"/>
      <c r="BH146" s="131"/>
      <c r="BI146" s="131"/>
      <c r="BJ146" s="131"/>
      <c r="BK146" s="131"/>
      <c r="BL146" s="131"/>
      <c r="BM146" s="131"/>
      <c r="BN146" s="131"/>
      <c r="BO146" s="131"/>
      <c r="BP146" s="131"/>
      <c r="BQ146" s="131"/>
      <c r="BR146" s="131"/>
      <c r="BS146" s="131"/>
      <c r="BT146" s="131"/>
      <c r="BU146" s="131"/>
      <c r="BV146" s="131"/>
      <c r="BW146" s="131"/>
      <c r="BX146" s="131"/>
      <c r="BY146" s="131"/>
      <c r="BZ146" s="136"/>
      <c r="CA146" s="136"/>
    </row>
    <row r="147" s="14" customFormat="true" ht="16.5" hidden="false" customHeight="true" outlineLevel="0" collapsed="false">
      <c r="E147" s="109" t="s">
        <v>163</v>
      </c>
      <c r="F147" s="109"/>
      <c r="G147" s="109"/>
      <c r="H147" s="109"/>
      <c r="I147" s="132"/>
      <c r="J147" s="132"/>
      <c r="K147" s="132"/>
      <c r="L147" s="120" t="n">
        <f aca="false">SUM(L138, L144)</f>
        <v>0</v>
      </c>
      <c r="M147" s="120" t="n">
        <f aca="false">SUM(M138, M144)</f>
        <v>1.8446717948718</v>
      </c>
      <c r="N147" s="120" t="n">
        <f aca="false">SUM(N138, N144)</f>
        <v>0.115528205128205</v>
      </c>
      <c r="O147" s="120" t="n">
        <f aca="false">SUM(O138, O144)</f>
        <v>0</v>
      </c>
      <c r="P147" s="120" t="n">
        <f aca="false">SUM(P138, P144)</f>
        <v>0</v>
      </c>
      <c r="Q147" s="139"/>
      <c r="R147" s="139"/>
      <c r="T147" s="120" t="n">
        <f aca="false">SUM(T138, T144)</f>
        <v>0</v>
      </c>
      <c r="U147" s="120" t="n">
        <f aca="false">SUM(U138, U144)</f>
        <v>0</v>
      </c>
      <c r="V147" s="120" t="n">
        <f aca="false">SUM(V138, V144)</f>
        <v>0</v>
      </c>
      <c r="W147" s="120" t="n">
        <f aca="false">SUM(W138, W144)</f>
        <v>0</v>
      </c>
      <c r="X147" s="120" t="n">
        <f aca="false">SUM(X138, X144)</f>
        <v>0</v>
      </c>
      <c r="Y147" s="120" t="n">
        <f aca="false">SUM(Y138, Y144)</f>
        <v>0</v>
      </c>
      <c r="Z147" s="120" t="n">
        <f aca="false">SUM(Z138, Z144)</f>
        <v>0</v>
      </c>
      <c r="AA147" s="120" t="n">
        <f aca="false">SUM(AA138, AA144)</f>
        <v>0</v>
      </c>
      <c r="AB147" s="120" t="n">
        <f aca="false">SUM(AB138, AB144)</f>
        <v>0</v>
      </c>
      <c r="AC147" s="120" t="n">
        <f aca="false">SUM(AC138, AC144)</f>
        <v>0</v>
      </c>
      <c r="AD147" s="120" t="n">
        <f aca="false">SUM(AD138, AD144)</f>
        <v>0</v>
      </c>
      <c r="AE147" s="120" t="n">
        <f aca="false">SUM(AE138, AE144)</f>
        <v>0</v>
      </c>
      <c r="AF147" s="120" t="n">
        <f aca="false">SUM(AF138, AF144)</f>
        <v>0.0971948717948718</v>
      </c>
      <c r="AG147" s="120" t="n">
        <f aca="false">SUM(AG138, AG144)</f>
        <v>0.0971948717948718</v>
      </c>
      <c r="AH147" s="120" t="n">
        <f aca="false">SUM(AH138, AH144)</f>
        <v>0.214528205128205</v>
      </c>
      <c r="AI147" s="120" t="n">
        <f aca="false">SUM(AI138, AI144)</f>
        <v>0.214528205128205</v>
      </c>
      <c r="AJ147" s="120" t="n">
        <f aca="false">SUM(AJ138, AJ144)</f>
        <v>0.214528205128205</v>
      </c>
      <c r="AK147" s="120" t="n">
        <f aca="false">SUM(AK138, AK144)</f>
        <v>0.214528205128205</v>
      </c>
      <c r="AL147" s="120" t="n">
        <f aca="false">SUM(AL138, AL144)</f>
        <v>0.214528205128205</v>
      </c>
      <c r="AM147" s="120" t="n">
        <f aca="false">SUM(AM138, AM144)</f>
        <v>0.115528205128205</v>
      </c>
      <c r="AN147" s="120" t="n">
        <f aca="false">SUM(AN138, AN144)</f>
        <v>0.115528205128205</v>
      </c>
      <c r="AO147" s="120" t="n">
        <f aca="false">SUM(AO138, AO144)</f>
        <v>0.115528205128205</v>
      </c>
      <c r="AP147" s="120" t="n">
        <f aca="false">SUM(AP138, AP144)</f>
        <v>0.115528205128205</v>
      </c>
      <c r="AQ147" s="120" t="n">
        <f aca="false">SUM(AQ138, AQ144)</f>
        <v>0.115528205128205</v>
      </c>
      <c r="AR147" s="120" t="n">
        <f aca="false">SUM(AR138, AR144)</f>
        <v>0.115528205128205</v>
      </c>
      <c r="AS147" s="120" t="n">
        <f aca="false">SUM(AS138, AS144)</f>
        <v>0</v>
      </c>
      <c r="AT147" s="120" t="n">
        <f aca="false">SUM(AT138, AT144)</f>
        <v>0</v>
      </c>
      <c r="AU147" s="120" t="n">
        <f aca="false">SUM(AU138, AU144)</f>
        <v>0</v>
      </c>
      <c r="AV147" s="120" t="n">
        <f aca="false">SUM(AV138, AV144)</f>
        <v>0</v>
      </c>
      <c r="AW147" s="120" t="n">
        <f aca="false">SUM(AW138, AW144)</f>
        <v>0</v>
      </c>
      <c r="AX147" s="120" t="n">
        <f aca="false">SUM(AX138, AX144)</f>
        <v>0</v>
      </c>
      <c r="AY147" s="120" t="n">
        <f aca="false">SUM(AY138, AY144)</f>
        <v>0</v>
      </c>
      <c r="AZ147" s="120" t="n">
        <f aca="false">SUM(AZ138, AZ144)</f>
        <v>0</v>
      </c>
      <c r="BA147" s="120" t="n">
        <f aca="false">SUM(BA138, BA144)</f>
        <v>0</v>
      </c>
      <c r="BB147" s="120" t="n">
        <f aca="false">SUM(BB138, BB144)</f>
        <v>0</v>
      </c>
      <c r="BC147" s="120" t="n">
        <f aca="false">SUM(BC138, BC144)</f>
        <v>0</v>
      </c>
      <c r="BD147" s="120" t="n">
        <f aca="false">SUM(BD138, BD144)</f>
        <v>0</v>
      </c>
      <c r="BE147" s="120" t="n">
        <f aca="false">SUM(BE138, BE144)</f>
        <v>0</v>
      </c>
      <c r="BF147" s="120" t="n">
        <f aca="false">SUM(BF138, BF144)</f>
        <v>0</v>
      </c>
      <c r="BG147" s="120" t="n">
        <f aca="false">SUM(BG138, BG144)</f>
        <v>0</v>
      </c>
      <c r="BH147" s="120" t="n">
        <f aca="false">SUM(BH138, BH144)</f>
        <v>0</v>
      </c>
      <c r="BI147" s="120" t="n">
        <f aca="false">SUM(BI138, BI144)</f>
        <v>0</v>
      </c>
      <c r="BJ147" s="120" t="n">
        <f aca="false">SUM(BJ138, BJ144)</f>
        <v>0</v>
      </c>
      <c r="BK147" s="120" t="n">
        <f aca="false">SUM(BK138, BK144)</f>
        <v>0</v>
      </c>
      <c r="BL147" s="120" t="n">
        <f aca="false">SUM(BL138, BL144)</f>
        <v>0</v>
      </c>
      <c r="BM147" s="120" t="n">
        <f aca="false">SUM(BM138, BM144)</f>
        <v>0</v>
      </c>
      <c r="BN147" s="120" t="n">
        <f aca="false">SUM(BN138, BN144)</f>
        <v>0</v>
      </c>
      <c r="BO147" s="120" t="n">
        <f aca="false">SUM(BO138, BO144)</f>
        <v>0</v>
      </c>
      <c r="BP147" s="120" t="n">
        <f aca="false">SUM(BP138, BP144)</f>
        <v>0</v>
      </c>
      <c r="BQ147" s="120" t="n">
        <f aca="false">SUM(BQ138, BQ144)</f>
        <v>0</v>
      </c>
      <c r="BR147" s="120" t="n">
        <f aca="false">SUM(BR138, BR144)</f>
        <v>0</v>
      </c>
      <c r="BS147" s="120" t="n">
        <f aca="false">SUM(BS138, BS144)</f>
        <v>0</v>
      </c>
      <c r="BT147" s="120" t="n">
        <f aca="false">SUM(BT138, BT144)</f>
        <v>0</v>
      </c>
      <c r="BU147" s="120" t="n">
        <f aca="false">SUM(BU138, BU144)</f>
        <v>0</v>
      </c>
      <c r="BV147" s="120" t="n">
        <f aca="false">SUM(BV138, BV144)</f>
        <v>0</v>
      </c>
      <c r="BW147" s="120" t="n">
        <f aca="false">SUM(BW138, BW144)</f>
        <v>0</v>
      </c>
      <c r="BX147" s="120" t="n">
        <f aca="false">SUM(BX138, BX144)</f>
        <v>0</v>
      </c>
      <c r="BY147" s="120" t="n">
        <f aca="false">SUM(BY138, BY144)</f>
        <v>0</v>
      </c>
      <c r="BZ147" s="120" t="n">
        <f aca="false">SUM(BZ138, BZ144)</f>
        <v>0</v>
      </c>
      <c r="CA147" s="120" t="n">
        <f aca="false">SUM(CA138, CA144)</f>
        <v>0</v>
      </c>
      <c r="CC147" s="120" t="n">
        <f aca="false">SUM(CC138, CC144)</f>
        <v>0</v>
      </c>
      <c r="CD147" s="120" t="n">
        <f aca="false">SUM(CD138, CD144)</f>
        <v>1.8446717948718</v>
      </c>
      <c r="CE147" s="120" t="n">
        <f aca="false">SUM(CE138, CE144)</f>
        <v>0.115528205128205</v>
      </c>
      <c r="CF147" s="120" t="n">
        <f aca="false">SUM(CF138, CF144)</f>
        <v>0</v>
      </c>
      <c r="CG147" s="120" t="n">
        <f aca="false">SUM(CG138, CG144)</f>
        <v>0</v>
      </c>
      <c r="CI147" s="140" t="n">
        <f aca="false">CC147=L147</f>
        <v>1</v>
      </c>
      <c r="CJ147" s="140" t="n">
        <f aca="false">CD147=M147</f>
        <v>1</v>
      </c>
      <c r="CK147" s="140" t="n">
        <f aca="false">CE147=N147</f>
        <v>1</v>
      </c>
      <c r="CL147" s="140" t="n">
        <f aca="false">CF147=O147</f>
        <v>1</v>
      </c>
      <c r="CM147" s="140" t="n">
        <f aca="false">CG147=P147</f>
        <v>1</v>
      </c>
    </row>
    <row r="148" s="14" customFormat="true" ht="16.5" hidden="false" customHeight="true" outlineLevel="0" collapsed="false">
      <c r="E148" s="21"/>
      <c r="L148" s="88"/>
      <c r="M148" s="88"/>
      <c r="N148" s="88"/>
      <c r="O148" s="88"/>
      <c r="P148" s="88"/>
      <c r="Q148" s="121"/>
      <c r="R148" s="121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7"/>
      <c r="AH148" s="137"/>
      <c r="AI148" s="137"/>
      <c r="AJ148" s="137"/>
      <c r="AK148" s="137"/>
      <c r="AL148" s="137"/>
      <c r="AM148" s="137"/>
      <c r="AN148" s="137"/>
      <c r="AO148" s="137"/>
      <c r="AP148" s="137"/>
      <c r="AQ148" s="137"/>
      <c r="AR148" s="137"/>
      <c r="AS148" s="137"/>
      <c r="AT148" s="137"/>
      <c r="AU148" s="137"/>
      <c r="AV148" s="137"/>
      <c r="AW148" s="137"/>
      <c r="AX148" s="137"/>
      <c r="AY148" s="137"/>
      <c r="AZ148" s="137"/>
      <c r="BA148" s="137"/>
      <c r="BB148" s="137"/>
      <c r="BC148" s="137"/>
      <c r="BD148" s="137"/>
      <c r="BE148" s="137"/>
      <c r="BF148" s="137"/>
      <c r="BG148" s="137"/>
      <c r="BH148" s="137"/>
      <c r="BI148" s="137"/>
      <c r="BJ148" s="137"/>
      <c r="BK148" s="137"/>
      <c r="BL148" s="137"/>
      <c r="BM148" s="137"/>
      <c r="BN148" s="137"/>
      <c r="BO148" s="137"/>
      <c r="BP148" s="137"/>
      <c r="BQ148" s="137"/>
      <c r="BR148" s="137"/>
      <c r="BS148" s="137"/>
      <c r="BT148" s="137"/>
      <c r="BU148" s="137"/>
      <c r="BV148" s="137"/>
      <c r="BW148" s="137"/>
      <c r="BX148" s="137"/>
      <c r="BY148" s="137"/>
      <c r="BZ148" s="121"/>
      <c r="CA148" s="121"/>
    </row>
    <row r="149" s="14" customFormat="true" ht="16.5" hidden="false" customHeight="true" outlineLevel="0" collapsed="false">
      <c r="E149" s="141" t="s">
        <v>429</v>
      </c>
      <c r="F149" s="123"/>
      <c r="G149" s="123"/>
      <c r="H149" s="123"/>
      <c r="I149" s="126"/>
      <c r="J149" s="126"/>
      <c r="K149" s="142"/>
      <c r="L149" s="125" t="n">
        <f aca="false">SUM(L130, -L147)</f>
        <v>0</v>
      </c>
      <c r="M149" s="125" t="n">
        <f aca="false">SUM(M130, -M147)</f>
        <v>-1.8446717948718</v>
      </c>
      <c r="N149" s="125" t="n">
        <f aca="false">SUM(N130, -N147)</f>
        <v>-0.115528205128205</v>
      </c>
      <c r="O149" s="125" t="n">
        <f aca="false">SUM(O130, -O147)</f>
        <v>0</v>
      </c>
      <c r="P149" s="125" t="n">
        <f aca="false">SUM(P130, -P147)</f>
        <v>0</v>
      </c>
      <c r="Q149" s="143"/>
      <c r="R149" s="143"/>
      <c r="T149" s="144" t="n">
        <f aca="false">SUM(T130, -T147)</f>
        <v>0</v>
      </c>
      <c r="U149" s="144" t="n">
        <f aca="false">SUM(U130, -U147)</f>
        <v>0</v>
      </c>
      <c r="V149" s="144" t="n">
        <f aca="false">SUM(V130, -V147)</f>
        <v>0</v>
      </c>
      <c r="W149" s="144" t="n">
        <f aca="false">SUM(W130, -W147)</f>
        <v>0</v>
      </c>
      <c r="X149" s="144" t="n">
        <f aca="false">SUM(X130, -X147)</f>
        <v>0</v>
      </c>
      <c r="Y149" s="144" t="n">
        <f aca="false">SUM(Y130, -Y147)</f>
        <v>0</v>
      </c>
      <c r="Z149" s="144" t="n">
        <f aca="false">SUM(Z130, -Z147)</f>
        <v>0</v>
      </c>
      <c r="AA149" s="144" t="n">
        <f aca="false">SUM(AA130, -AA147)</f>
        <v>0</v>
      </c>
      <c r="AB149" s="144" t="n">
        <f aca="false">SUM(AB130, -AB147)</f>
        <v>0</v>
      </c>
      <c r="AC149" s="144" t="n">
        <f aca="false">SUM(AC130, -AC147)</f>
        <v>0</v>
      </c>
      <c r="AD149" s="144" t="n">
        <f aca="false">SUM(AD130, -AD147)</f>
        <v>0</v>
      </c>
      <c r="AE149" s="144" t="n">
        <f aca="false">SUM(AE130, -AE147)</f>
        <v>0</v>
      </c>
      <c r="AF149" s="144" t="n">
        <f aca="false">SUM(AF130, -AF147)</f>
        <v>-0.0971948717948718</v>
      </c>
      <c r="AG149" s="144" t="n">
        <f aca="false">SUM(AG130, -AG147)</f>
        <v>-0.0971948717948718</v>
      </c>
      <c r="AH149" s="144" t="n">
        <f aca="false">SUM(AH130, -AH147)</f>
        <v>-0.214528205128205</v>
      </c>
      <c r="AI149" s="144" t="n">
        <f aca="false">SUM(AI130, -AI147)</f>
        <v>-0.214528205128205</v>
      </c>
      <c r="AJ149" s="144" t="n">
        <f aca="false">SUM(AJ130, -AJ147)</f>
        <v>-0.214528205128205</v>
      </c>
      <c r="AK149" s="144" t="n">
        <f aca="false">SUM(AK130, -AK147)</f>
        <v>-0.214528205128205</v>
      </c>
      <c r="AL149" s="144" t="n">
        <f aca="false">SUM(AL130, -AL147)</f>
        <v>-0.214528205128205</v>
      </c>
      <c r="AM149" s="144" t="n">
        <f aca="false">SUM(AM130, -AM147)</f>
        <v>-0.115528205128205</v>
      </c>
      <c r="AN149" s="144" t="n">
        <f aca="false">SUM(AN130, -AN147)</f>
        <v>-0.115528205128205</v>
      </c>
      <c r="AO149" s="144" t="n">
        <f aca="false">SUM(AO130, -AO147)</f>
        <v>-0.115528205128205</v>
      </c>
      <c r="AP149" s="144" t="n">
        <f aca="false">SUM(AP130, -AP147)</f>
        <v>-0.115528205128205</v>
      </c>
      <c r="AQ149" s="144" t="n">
        <f aca="false">SUM(AQ130, -AQ147)</f>
        <v>-0.115528205128205</v>
      </c>
      <c r="AR149" s="144" t="n">
        <f aca="false">SUM(AR130, -AR147)</f>
        <v>-0.115528205128205</v>
      </c>
      <c r="AS149" s="144" t="n">
        <f aca="false">SUM(AS130, -AS147)</f>
        <v>0</v>
      </c>
      <c r="AT149" s="144" t="n">
        <f aca="false">SUM(AT130, -AT147)</f>
        <v>0</v>
      </c>
      <c r="AU149" s="144" t="n">
        <f aca="false">SUM(AU130, -AU147)</f>
        <v>0</v>
      </c>
      <c r="AV149" s="144" t="n">
        <f aca="false">SUM(AV130, -AV147)</f>
        <v>0</v>
      </c>
      <c r="AW149" s="144" t="n">
        <f aca="false">SUM(AW130, -AW147)</f>
        <v>0</v>
      </c>
      <c r="AX149" s="144" t="n">
        <f aca="false">SUM(AX130, -AX147)</f>
        <v>0</v>
      </c>
      <c r="AY149" s="144" t="n">
        <f aca="false">SUM(AY130, -AY147)</f>
        <v>0</v>
      </c>
      <c r="AZ149" s="144" t="n">
        <f aca="false">SUM(AZ130, -AZ147)</f>
        <v>0</v>
      </c>
      <c r="BA149" s="144" t="n">
        <f aca="false">SUM(BA130, -BA147)</f>
        <v>0</v>
      </c>
      <c r="BB149" s="144" t="n">
        <f aca="false">SUM(BB130, -BB147)</f>
        <v>0</v>
      </c>
      <c r="BC149" s="144" t="n">
        <f aca="false">SUM(BC130, -BC147)</f>
        <v>0</v>
      </c>
      <c r="BD149" s="144" t="n">
        <f aca="false">SUM(BD130, -BD147)</f>
        <v>0</v>
      </c>
      <c r="BE149" s="144" t="n">
        <f aca="false">SUM(BE130, -BE147)</f>
        <v>0</v>
      </c>
      <c r="BF149" s="144" t="n">
        <f aca="false">SUM(BF130, -BF147)</f>
        <v>0</v>
      </c>
      <c r="BG149" s="144" t="n">
        <f aca="false">SUM(BG130, -BG147)</f>
        <v>0</v>
      </c>
      <c r="BH149" s="144" t="n">
        <f aca="false">SUM(BH130, -BH147)</f>
        <v>0</v>
      </c>
      <c r="BI149" s="144" t="n">
        <f aca="false">SUM(BI130, -BI147)</f>
        <v>0</v>
      </c>
      <c r="BJ149" s="144" t="n">
        <f aca="false">SUM(BJ130, -BJ147)</f>
        <v>0</v>
      </c>
      <c r="BK149" s="144" t="n">
        <f aca="false">SUM(BK130, -BK147)</f>
        <v>0</v>
      </c>
      <c r="BL149" s="144" t="n">
        <f aca="false">SUM(BL130, -BL147)</f>
        <v>0</v>
      </c>
      <c r="BM149" s="144" t="n">
        <f aca="false">SUM(BM130, -BM147)</f>
        <v>0</v>
      </c>
      <c r="BN149" s="144" t="n">
        <f aca="false">SUM(BN130, -BN147)</f>
        <v>0</v>
      </c>
      <c r="BO149" s="144" t="n">
        <f aca="false">SUM(BO130, -BO147)</f>
        <v>0</v>
      </c>
      <c r="BP149" s="144" t="n">
        <f aca="false">SUM(BP130, -BP147)</f>
        <v>0</v>
      </c>
      <c r="BQ149" s="144" t="n">
        <f aca="false">SUM(BQ130, -BQ147)</f>
        <v>0</v>
      </c>
      <c r="BR149" s="144" t="n">
        <f aca="false">SUM(BR130, -BR147)</f>
        <v>0</v>
      </c>
      <c r="BS149" s="144" t="n">
        <f aca="false">SUM(BS130, -BS147)</f>
        <v>0</v>
      </c>
      <c r="BT149" s="144" t="n">
        <f aca="false">SUM(BT130, -BT147)</f>
        <v>0</v>
      </c>
      <c r="BU149" s="144" t="n">
        <f aca="false">SUM(BU130, -BU147)</f>
        <v>0</v>
      </c>
      <c r="BV149" s="144" t="n">
        <f aca="false">SUM(BV130, -BV147)</f>
        <v>0</v>
      </c>
      <c r="BW149" s="144" t="n">
        <f aca="false">SUM(BW130, -BW147)</f>
        <v>0</v>
      </c>
      <c r="BX149" s="144" t="n">
        <f aca="false">SUM(BX130, -BX147)</f>
        <v>0</v>
      </c>
      <c r="BY149" s="144" t="n">
        <f aca="false">SUM(BY130, -BY147)</f>
        <v>0</v>
      </c>
      <c r="BZ149" s="143" t="n">
        <f aca="false">SUM(BZ130, -BZ147)</f>
        <v>0</v>
      </c>
      <c r="CA149" s="143" t="n">
        <f aca="false">SUM(CA130, -CA147)</f>
        <v>0</v>
      </c>
      <c r="CC149" s="143" t="n">
        <f aca="false">SUM(CC130, -CC147)</f>
        <v>0</v>
      </c>
      <c r="CD149" s="143" t="n">
        <f aca="false">SUM(CD130, -CD147)</f>
        <v>-1.8446717948718</v>
      </c>
      <c r="CE149" s="143" t="n">
        <f aca="false">SUM(CE130, -CE147)</f>
        <v>-0.115528205128205</v>
      </c>
      <c r="CF149" s="143" t="n">
        <f aca="false">SUM(CF130, -CF147)</f>
        <v>0</v>
      </c>
      <c r="CG149" s="143" t="n">
        <f aca="false">SUM(CG130, -CG147)</f>
        <v>0</v>
      </c>
      <c r="CI149" s="143" t="n">
        <f aca="false">CC149=L149</f>
        <v>1</v>
      </c>
      <c r="CJ149" s="143" t="n">
        <f aca="false">CD149=M149</f>
        <v>1</v>
      </c>
      <c r="CK149" s="143" t="n">
        <f aca="false">CE149=N149</f>
        <v>1</v>
      </c>
      <c r="CL149" s="143" t="n">
        <f aca="false">CF149=O149</f>
        <v>1</v>
      </c>
      <c r="CM149" s="143" t="n">
        <f aca="false">CG149=P149</f>
        <v>1</v>
      </c>
    </row>
    <row r="150" s="14" customFormat="true" ht="16.5" hidden="false" customHeight="true" outlineLevel="0" collapsed="false">
      <c r="E150" s="21"/>
      <c r="H150" s="21"/>
      <c r="I150" s="21"/>
      <c r="J150" s="21"/>
      <c r="K150" s="21"/>
      <c r="L150" s="21"/>
      <c r="M150" s="21"/>
      <c r="N150" s="21"/>
      <c r="O150" s="21"/>
      <c r="P150" s="21"/>
      <c r="Q150" s="145"/>
      <c r="R150" s="145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</row>
    <row r="151" s="14" customFormat="true" ht="16.5" hidden="false" customHeight="true" outlineLevel="0" collapsed="false">
      <c r="E151" s="21"/>
      <c r="H151" s="21"/>
      <c r="I151" s="21"/>
      <c r="J151" s="21"/>
      <c r="K151" s="21"/>
      <c r="L151" s="21"/>
      <c r="M151" s="21"/>
      <c r="N151" s="21"/>
      <c r="O151" s="21"/>
      <c r="P151" s="21"/>
      <c r="Q151" s="145"/>
      <c r="R151" s="145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</row>
    <row r="152" s="14" customFormat="true" ht="16.5" hidden="true" customHeight="true" outlineLevel="1" collapsed="false">
      <c r="C152" s="19" t="s">
        <v>165</v>
      </c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20"/>
      <c r="R152" s="20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C152" s="19" t="s">
        <v>127</v>
      </c>
      <c r="CD152" s="19"/>
      <c r="CE152" s="19"/>
      <c r="CF152" s="19"/>
      <c r="CG152" s="19"/>
      <c r="CI152" s="19" t="s">
        <v>128</v>
      </c>
      <c r="CJ152" s="19"/>
      <c r="CK152" s="19"/>
      <c r="CL152" s="19"/>
      <c r="CM152" s="19"/>
    </row>
    <row r="153" s="14" customFormat="true" ht="16.5" hidden="true" customHeight="true" outlineLevel="1" collapsed="false">
      <c r="E153" s="21"/>
      <c r="H153" s="21"/>
      <c r="I153" s="21"/>
      <c r="J153" s="21"/>
      <c r="K153" s="21"/>
      <c r="L153" s="21"/>
      <c r="M153" s="21"/>
      <c r="N153" s="21"/>
      <c r="O153" s="21"/>
      <c r="P153" s="21"/>
      <c r="Q153" s="145"/>
      <c r="R153" s="145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</row>
    <row r="154" s="14" customFormat="true" ht="16.5" hidden="true" customHeight="true" outlineLevel="1" collapsed="false">
      <c r="E154" s="21"/>
      <c r="H154" s="21"/>
      <c r="I154" s="21"/>
      <c r="J154" s="21"/>
      <c r="K154" s="21"/>
      <c r="Q154" s="145"/>
      <c r="R154" s="145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</row>
    <row r="155" s="14" customFormat="true" ht="16.5" hidden="true" customHeight="true" outlineLevel="1" collapsed="false">
      <c r="E155" s="30" t="s">
        <v>166</v>
      </c>
      <c r="F155" s="31"/>
      <c r="G155" s="31"/>
      <c r="H155" s="31"/>
      <c r="I155" s="31"/>
      <c r="J155" s="31"/>
      <c r="K155" s="31"/>
      <c r="L155" s="31" t="n">
        <v>2026</v>
      </c>
      <c r="M155" s="31" t="n">
        <f aca="false">L155+1</f>
        <v>2027</v>
      </c>
      <c r="N155" s="31" t="n">
        <f aca="false">M155+1</f>
        <v>2028</v>
      </c>
      <c r="O155" s="31" t="n">
        <f aca="false">N155+1</f>
        <v>2029</v>
      </c>
      <c r="P155" s="31" t="n">
        <f aca="false">O155+1</f>
        <v>2030</v>
      </c>
      <c r="Q155" s="31" t="s">
        <v>167</v>
      </c>
      <c r="R155" s="145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</row>
    <row r="156" s="14" customFormat="true" ht="16.5" hidden="true" customHeight="true" outlineLevel="1" collapsed="false">
      <c r="E156" s="14" t="s">
        <v>168</v>
      </c>
      <c r="H156" s="21"/>
      <c r="I156" s="21"/>
      <c r="J156" s="21"/>
      <c r="K156" s="21"/>
      <c r="L156" s="90" t="n">
        <f aca="false">L117</f>
        <v>0</v>
      </c>
      <c r="M156" s="90" t="n">
        <f aca="false">M117</f>
        <v>2.0205930875</v>
      </c>
      <c r="N156" s="90" t="n">
        <f aca="false">N117</f>
        <v>12.2494591271667</v>
      </c>
      <c r="O156" s="90" t="n">
        <f aca="false">O117</f>
        <v>12.338616184</v>
      </c>
      <c r="P156" s="90" t="n">
        <f aca="false">P117</f>
        <v>12.338616184</v>
      </c>
      <c r="Q156" s="146" t="n">
        <f aca="false">SUM(L156:P156)</f>
        <v>38.9472845826667</v>
      </c>
      <c r="R156" s="145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</row>
    <row r="157" s="14" customFormat="true" ht="16.5" hidden="true" customHeight="true" outlineLevel="1" collapsed="false">
      <c r="E157" s="14" t="s">
        <v>169</v>
      </c>
      <c r="L157" s="90" t="n">
        <f aca="false">L130</f>
        <v>0</v>
      </c>
      <c r="M157" s="90" t="n">
        <f aca="false">M130</f>
        <v>0</v>
      </c>
      <c r="N157" s="90" t="n">
        <f aca="false">N130</f>
        <v>0</v>
      </c>
      <c r="O157" s="90" t="n">
        <f aca="false">O130</f>
        <v>0</v>
      </c>
      <c r="P157" s="90" t="n">
        <f aca="false">P130</f>
        <v>0</v>
      </c>
      <c r="Q157" s="146" t="n">
        <f aca="false">SUM(L157:P157)</f>
        <v>0</v>
      </c>
      <c r="R157" s="145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</row>
    <row r="158" s="14" customFormat="true" ht="16.5" hidden="true" customHeight="true" outlineLevel="1" collapsed="false">
      <c r="E158" s="14" t="s">
        <v>170</v>
      </c>
      <c r="L158" s="90" t="n">
        <f aca="false">-L147</f>
        <v>-0</v>
      </c>
      <c r="M158" s="90" t="n">
        <f aca="false">-M147</f>
        <v>-1.8446717948718</v>
      </c>
      <c r="N158" s="90" t="n">
        <f aca="false">-N147</f>
        <v>-0.115528205128205</v>
      </c>
      <c r="O158" s="90" t="n">
        <f aca="false">-O147</f>
        <v>-0</v>
      </c>
      <c r="P158" s="90" t="n">
        <f aca="false">-P147</f>
        <v>-0</v>
      </c>
      <c r="Q158" s="146" t="n">
        <f aca="false">SUM(L158:P158)</f>
        <v>-1.9602</v>
      </c>
      <c r="R158" s="145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</row>
    <row r="159" s="14" customFormat="true" ht="16.5" hidden="true" customHeight="true" outlineLevel="1" collapsed="false">
      <c r="E159" s="228" t="s">
        <v>166</v>
      </c>
      <c r="F159" s="228"/>
      <c r="G159" s="228"/>
      <c r="H159" s="228"/>
      <c r="I159" s="228"/>
      <c r="J159" s="228"/>
      <c r="K159" s="228"/>
      <c r="L159" s="229" t="n">
        <f aca="false">SUM(L156:L158)</f>
        <v>0</v>
      </c>
      <c r="M159" s="229" t="n">
        <f aca="false">SUM(M156:M158)</f>
        <v>0.175921292628205</v>
      </c>
      <c r="N159" s="229" t="n">
        <f aca="false">SUM(N156:N158)</f>
        <v>12.1339309220385</v>
      </c>
      <c r="O159" s="229" t="n">
        <f aca="false">SUM(O156:O158)</f>
        <v>12.338616184</v>
      </c>
      <c r="P159" s="229" t="n">
        <f aca="false">SUM(P156:P158)</f>
        <v>12.338616184</v>
      </c>
      <c r="Q159" s="230" t="n">
        <f aca="false">SUM(L159:P159)</f>
        <v>36.9870845826667</v>
      </c>
      <c r="R159" s="145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</row>
    <row r="160" s="14" customFormat="true" ht="16.5" hidden="true" customHeight="true" outlineLevel="1" collapsed="false">
      <c r="E160" s="14" t="s">
        <v>171</v>
      </c>
      <c r="H160" s="21"/>
      <c r="I160" s="21"/>
      <c r="J160" s="21"/>
      <c r="K160" s="21"/>
      <c r="L160" s="90" t="n">
        <f aca="false">L159</f>
        <v>0</v>
      </c>
      <c r="M160" s="90" t="n">
        <f aca="false">L160+M159</f>
        <v>0.175921292628205</v>
      </c>
      <c r="N160" s="90" t="n">
        <f aca="false">M160+N159</f>
        <v>12.3098522146667</v>
      </c>
      <c r="O160" s="90" t="n">
        <f aca="false">N160+O159</f>
        <v>24.6484683986667</v>
      </c>
      <c r="P160" s="90" t="n">
        <f aca="false">O160+P159</f>
        <v>36.9870845826667</v>
      </c>
      <c r="Q160" s="146" t="n">
        <f aca="false">P160</f>
        <v>36.9870845826667</v>
      </c>
      <c r="R160" s="145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</row>
    <row r="161" s="14" customFormat="true" ht="16.5" hidden="true" customHeight="true" outlineLevel="1" collapsed="false">
      <c r="E161" s="14" t="s">
        <v>172</v>
      </c>
      <c r="H161" s="21"/>
      <c r="I161" s="21"/>
      <c r="J161" s="21"/>
      <c r="K161" s="21"/>
      <c r="L161" s="148" t="n">
        <f aca="false">IF(L160&lt;0,1,0)</f>
        <v>0</v>
      </c>
      <c r="M161" s="148" t="n">
        <f aca="false">IF(M160&lt;0,1,IF(AND(L160&lt;0,M159&gt;0),-L160/M159,0))</f>
        <v>0</v>
      </c>
      <c r="N161" s="148" t="n">
        <f aca="false">IF(N160&lt;0,1,IF(AND(M160&lt;0,N159&gt;0),-M160/N159,0))</f>
        <v>0</v>
      </c>
      <c r="O161" s="148" t="n">
        <f aca="false">IF(O160&lt;0,1,IF(AND(N160&lt;0,O159&gt;0),-N160/O159,0))</f>
        <v>0</v>
      </c>
      <c r="P161" s="148" t="n">
        <f aca="false">IF(P160&lt;0,1,IF(AND(O160&lt;0,P159&gt;0),-O160/P159,0))</f>
        <v>0</v>
      </c>
      <c r="Q161" s="90"/>
      <c r="R161" s="145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</row>
    <row r="162" s="14" customFormat="true" ht="16.5" hidden="true" customHeight="true" outlineLevel="1" collapsed="false">
      <c r="H162" s="21"/>
      <c r="I162" s="21"/>
      <c r="J162" s="21"/>
      <c r="K162" s="21"/>
      <c r="R162" s="145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</row>
    <row r="163" s="14" customFormat="true" ht="16.5" hidden="true" customHeight="true" outlineLevel="1" collapsed="false">
      <c r="E163" s="21" t="s">
        <v>430</v>
      </c>
      <c r="F163" s="150" t="s">
        <v>431</v>
      </c>
      <c r="G163" s="148" t="n">
        <f aca="false">IFERROR(K117/-SUM(L149:P149),"n/a")</f>
        <v>6.29457003571064</v>
      </c>
      <c r="H163" s="21"/>
      <c r="I163" s="21"/>
      <c r="J163" s="21"/>
      <c r="K163" s="21"/>
      <c r="R163" s="145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</row>
    <row r="164" s="14" customFormat="true" ht="16.5" hidden="true" customHeight="true" outlineLevel="1" collapsed="false">
      <c r="E164" s="21" t="s">
        <v>432</v>
      </c>
      <c r="F164" s="150" t="s">
        <v>433</v>
      </c>
      <c r="G164" s="231" t="str">
        <f aca="false">IFERROR(IRR($L$159:$P$159, 0.2),"n/a")</f>
        <v>n/a</v>
      </c>
      <c r="H164" s="21"/>
      <c r="I164" s="21"/>
      <c r="J164" s="21"/>
      <c r="K164" s="21"/>
      <c r="R164" s="145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</row>
    <row r="165" s="14" customFormat="true" ht="16.5" hidden="true" customHeight="true" outlineLevel="1" collapsed="false">
      <c r="E165" s="21" t="s">
        <v>434</v>
      </c>
      <c r="F165" s="150" t="s">
        <v>176</v>
      </c>
      <c r="G165" s="148" t="n">
        <f aca="false">IF(SUM(L161:P161)=5,"&gt;5",SUM(L161:P161))</f>
        <v>0</v>
      </c>
      <c r="H165" s="21"/>
      <c r="I165" s="21"/>
      <c r="J165" s="21"/>
      <c r="K165" s="21"/>
      <c r="R165" s="145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</row>
    <row r="166" s="14" customFormat="true" ht="16.5" hidden="true" customHeight="true" outlineLevel="1" collapsed="false">
      <c r="E166" s="21"/>
      <c r="F166" s="150"/>
      <c r="G166" s="148"/>
      <c r="H166" s="21"/>
      <c r="I166" s="21"/>
      <c r="J166" s="21"/>
      <c r="K166" s="21"/>
      <c r="R166" s="145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</row>
    <row r="167" s="14" customFormat="true" ht="16.5" hidden="true" customHeight="true" outlineLevel="1" collapsed="false">
      <c r="E167" s="21" t="s">
        <v>173</v>
      </c>
      <c r="G167" s="149" t="n">
        <v>0.095</v>
      </c>
      <c r="H167" s="21"/>
      <c r="I167" s="21"/>
      <c r="J167" s="21"/>
      <c r="K167" s="21"/>
      <c r="R167" s="145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</row>
    <row r="168" s="14" customFormat="true" ht="16.5" hidden="true" customHeight="true" outlineLevel="1" collapsed="false">
      <c r="E168" s="21" t="s">
        <v>174</v>
      </c>
      <c r="F168" s="150" t="s">
        <v>175</v>
      </c>
      <c r="G168" s="90" t="n">
        <f aca="false">SUM(L168:P168)</f>
        <v>25.808830092509</v>
      </c>
      <c r="H168" s="21"/>
      <c r="I168" s="21"/>
      <c r="J168" s="21"/>
      <c r="K168" s="21"/>
      <c r="L168" s="90" t="n">
        <f aca="false">L159/(1+$G$167)^L$1</f>
        <v>0</v>
      </c>
      <c r="M168" s="90" t="n">
        <f aca="false">M159/(1+$G$167)^M$1</f>
        <v>0.146720287423702</v>
      </c>
      <c r="N168" s="90" t="n">
        <f aca="false">N159/(1+$G$167)^N$1</f>
        <v>9.24185521896241</v>
      </c>
      <c r="O168" s="90" t="n">
        <f aca="false">O159/(1+$G$167)^O$1</f>
        <v>8.58242423475159</v>
      </c>
      <c r="P168" s="90" t="n">
        <f aca="false">P159/(1+$G$167)^P$1</f>
        <v>7.83783035137131</v>
      </c>
      <c r="Q168" s="90" t="n">
        <f aca="false">SUM(L168:P168)</f>
        <v>25.808830092509</v>
      </c>
      <c r="R168" s="145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</row>
    <row r="169" s="14" customFormat="true" ht="16.5" hidden="true" customHeight="true" outlineLevel="1" collapsed="false">
      <c r="Q169" s="16"/>
      <c r="R169" s="16"/>
    </row>
    <row r="170" s="14" customFormat="true" ht="16.5" hidden="false" customHeight="true" outlineLevel="0" collapsed="false">
      <c r="Q170" s="16"/>
      <c r="R170" s="16"/>
    </row>
    <row r="171" s="14" customFormat="true" ht="16.5" hidden="false" customHeight="true" outlineLevel="0" collapsed="false">
      <c r="C171" s="19" t="s">
        <v>178</v>
      </c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20"/>
      <c r="R171" s="20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</row>
  </sheetData>
  <mergeCells count="3">
    <mergeCell ref="F8:J10"/>
    <mergeCell ref="CI62:CM62"/>
    <mergeCell ref="CI90:CM90"/>
  </mergeCells>
  <conditionalFormatting sqref="J26">
    <cfRule type="expression" priority="2" aboveAverage="0" equalAverage="0" bottom="0" percent="0" rank="0" text="" dxfId="0">
      <formula>AND($F26="Yes")</formula>
    </cfRule>
    <cfRule type="expression" priority="3" aboveAverage="0" equalAverage="0" bottom="0" percent="0" rank="0" text="" dxfId="1">
      <formula>AND($F26="No")</formula>
    </cfRule>
  </conditionalFormatting>
  <conditionalFormatting sqref="T79:CA86">
    <cfRule type="expression" priority="4" aboveAverage="0" equalAverage="0" bottom="0" percent="0" rank="0" text="" dxfId="0">
      <formula>AND($F79="Yes")</formula>
    </cfRule>
    <cfRule type="expression" priority="5" aboveAverage="0" equalAverage="0" bottom="0" percent="0" rank="0" text="" dxfId="1">
      <formula>AND($F79="No")</formula>
    </cfRule>
  </conditionalFormatting>
  <conditionalFormatting sqref="I84:P86">
    <cfRule type="expression" priority="6" aboveAverage="0" equalAverage="0" bottom="0" percent="0" rank="0" text="" dxfId="0">
      <formula>AND($F84="Yes")</formula>
    </cfRule>
    <cfRule type="expression" priority="7" aboveAverage="0" equalAverage="0" bottom="0" percent="0" rank="0" text="" dxfId="1">
      <formula>AND($F84="No")</formula>
    </cfRule>
  </conditionalFormatting>
  <conditionalFormatting sqref="I112:K113">
    <cfRule type="expression" priority="8" aboveAverage="0" equalAverage="0" bottom="0" percent="0" rank="0" text="" dxfId="0">
      <formula>AND($F112="Yes")</formula>
    </cfRule>
    <cfRule type="expression" priority="9" aboveAverage="0" equalAverage="0" bottom="0" percent="0" rank="0" text="" dxfId="1">
      <formula>AND($F112="No")</formula>
    </cfRule>
  </conditionalFormatting>
  <conditionalFormatting sqref="E94:E95">
    <cfRule type="expression" priority="10" aboveAverage="0" equalAverage="0" bottom="0" percent="0" rank="0" text="" dxfId="0">
      <formula>AND($F94="Yes")</formula>
    </cfRule>
    <cfRule type="expression" priority="11" aboveAverage="0" equalAverage="0" bottom="0" percent="0" rank="0" text="" dxfId="1">
      <formula>AND($F94="No")</formula>
    </cfRule>
  </conditionalFormatting>
  <conditionalFormatting sqref="E107:E111">
    <cfRule type="expression" priority="12" aboveAverage="0" equalAverage="0" bottom="0" percent="0" rank="0" text="" dxfId="0">
      <formula>AND($F107="Yes")</formula>
    </cfRule>
    <cfRule type="expression" priority="13" aboveAverage="0" equalAverage="0" bottom="0" percent="0" rank="0" text="" dxfId="1">
      <formula>AND($F107="No")</formula>
    </cfRule>
  </conditionalFormatting>
  <conditionalFormatting sqref="E141:E143">
    <cfRule type="expression" priority="14" aboveAverage="0" equalAverage="0" bottom="0" percent="0" rank="0" text="" dxfId="0">
      <formula>AND($F141="Yes")</formula>
    </cfRule>
    <cfRule type="expression" priority="15" aboveAverage="0" equalAverage="0" bottom="0" percent="0" rank="0" text="" dxfId="1">
      <formula>AND($F141="No")</formula>
    </cfRule>
  </conditionalFormatting>
  <conditionalFormatting sqref="E136:E137">
    <cfRule type="expression" priority="16" aboveAverage="0" equalAverage="0" bottom="0" percent="0" rank="0" text="" dxfId="0">
      <formula>AND($F136="Yes")</formula>
    </cfRule>
    <cfRule type="expression" priority="17" aboveAverage="0" equalAverage="0" bottom="0" percent="0" rank="0" text="" dxfId="1">
      <formula>AND($F136="No")</formula>
    </cfRule>
  </conditionalFormatting>
  <conditionalFormatting sqref="E126:E127">
    <cfRule type="expression" priority="18" aboveAverage="0" equalAverage="0" bottom="0" percent="0" rank="0" text="" dxfId="0">
      <formula>AND($F126="Yes")</formula>
    </cfRule>
    <cfRule type="expression" priority="19" aboveAverage="0" equalAverage="0" bottom="0" percent="0" rank="0" text="" dxfId="1">
      <formula>AND($F126="No")</formula>
    </cfRule>
  </conditionalFormatting>
  <conditionalFormatting sqref="E66:E67">
    <cfRule type="expression" priority="20" aboveAverage="0" equalAverage="0" bottom="0" percent="0" rank="0" text="" dxfId="0">
      <formula>AND($F66="Yes")</formula>
    </cfRule>
    <cfRule type="expression" priority="21" aboveAverage="0" equalAverage="0" bottom="0" percent="0" rank="0" text="" dxfId="1">
      <formula>AND($F66="No")</formula>
    </cfRule>
  </conditionalFormatting>
  <conditionalFormatting sqref="CJ152:CM152">
    <cfRule type="containsText" priority="22" operator="containsText" aboveAverage="0" equalAverage="0" bottom="0" percent="0" rank="0" text="FALSE" dxfId="2">
      <formula>NOT(ISERROR(SEARCH("FALSE",CJ152)))</formula>
    </cfRule>
  </conditionalFormatting>
  <conditionalFormatting sqref="Q141:Q143">
    <cfRule type="containsText" priority="23" operator="containsText" aboveAverage="0" equalAverage="0" bottom="0" percent="0" rank="0" text="Error" dxfId="2">
      <formula>NOT(ISERROR(SEARCH("Error",Q141)))</formula>
    </cfRule>
    <cfRule type="containsText" priority="24" operator="containsText" aboveAverage="0" equalAverage="0" bottom="0" percent="0" rank="0" text="FALSE" dxfId="2">
      <formula>NOT(ISERROR(SEARCH("FALSE",Q141)))</formula>
    </cfRule>
  </conditionalFormatting>
  <conditionalFormatting sqref="Q136:Q137">
    <cfRule type="containsText" priority="25" operator="containsText" aboveAverage="0" equalAverage="0" bottom="0" percent="0" rank="0" text="Error" dxfId="2">
      <formula>NOT(ISERROR(SEARCH("Error",Q136)))</formula>
    </cfRule>
    <cfRule type="containsText" priority="26" operator="containsText" aboveAverage="0" equalAverage="0" bottom="0" percent="0" rank="0" text="FALSE" dxfId="2">
      <formula>NOT(ISERROR(SEARCH("FALSE",Q136)))</formula>
    </cfRule>
  </conditionalFormatting>
  <conditionalFormatting sqref="Q126:Q127">
    <cfRule type="containsText" priority="27" operator="containsText" aboveAverage="0" equalAverage="0" bottom="0" percent="0" rank="0" text="Error" dxfId="2">
      <formula>NOT(ISERROR(SEARCH("Error",Q126)))</formula>
    </cfRule>
    <cfRule type="containsText" priority="28" operator="containsText" aboveAverage="0" equalAverage="0" bottom="0" percent="0" rank="0" text="FALSE" dxfId="2">
      <formula>NOT(ISERROR(SEARCH("FALSE",Q126)))</formula>
    </cfRule>
  </conditionalFormatting>
  <conditionalFormatting sqref="J56:J57">
    <cfRule type="expression" priority="29" aboveAverage="0" equalAverage="0" bottom="0" percent="0" rank="0" text="" dxfId="0">
      <formula>AND($F56="Yes")</formula>
    </cfRule>
    <cfRule type="expression" priority="30" aboveAverage="0" equalAverage="0" bottom="0" percent="0" rank="0" text="" dxfId="1">
      <formula>AND($F56="No")</formula>
    </cfRule>
  </conditionalFormatting>
  <conditionalFormatting sqref="J46:J47 J51">
    <cfRule type="expression" priority="31" aboveAverage="0" equalAverage="0" bottom="0" percent="0" rank="0" text="" dxfId="0">
      <formula>AND($F46="Yes")</formula>
    </cfRule>
    <cfRule type="expression" priority="32" aboveAverage="0" equalAverage="0" bottom="0" percent="0" rank="0" text="" dxfId="1">
      <formula>AND($F46="No")</formula>
    </cfRule>
  </conditionalFormatting>
  <conditionalFormatting sqref="J52">
    <cfRule type="expression" priority="33" aboveAverage="0" equalAverage="0" bottom="0" percent="0" rank="0" text="" dxfId="0">
      <formula>AND(#ref!="Yes")</formula>
    </cfRule>
    <cfRule type="expression" priority="34" aboveAverage="0" equalAverage="0" bottom="0" percent="0" rank="0" text="" dxfId="1">
      <formula>AND(#ref!="No")</formula>
    </cfRule>
  </conditionalFormatting>
  <conditionalFormatting sqref="J42:J43">
    <cfRule type="expression" priority="35" aboveAverage="0" equalAverage="0" bottom="0" percent="0" rank="0" text="" dxfId="0">
      <formula>AND($F42="Yes")</formula>
    </cfRule>
    <cfRule type="expression" priority="36" aboveAverage="0" equalAverage="0" bottom="0" percent="0" rank="0" text="" dxfId="1">
      <formula>AND($F42="No")</formula>
    </cfRule>
  </conditionalFormatting>
  <conditionalFormatting sqref="J32:J33 J37">
    <cfRule type="expression" priority="37" aboveAverage="0" equalAverage="0" bottom="0" percent="0" rank="0" text="" dxfId="0">
      <formula>AND($F32="Yes")</formula>
    </cfRule>
    <cfRule type="expression" priority="38" aboveAverage="0" equalAverage="0" bottom="0" percent="0" rank="0" text="" dxfId="1">
      <formula>AND($F32="No")</formula>
    </cfRule>
  </conditionalFormatting>
  <conditionalFormatting sqref="J38">
    <cfRule type="expression" priority="39" aboveAverage="0" equalAverage="0" bottom="0" percent="0" rank="0" text="" dxfId="0">
      <formula>AND(#ref!="Yes")</formula>
    </cfRule>
    <cfRule type="expression" priority="40" aboveAverage="0" equalAverage="0" bottom="0" percent="0" rank="0" text="" dxfId="1">
      <formula>AND(#ref!="No")</formula>
    </cfRule>
  </conditionalFormatting>
  <conditionalFormatting sqref="CJ171:CM171">
    <cfRule type="containsText" priority="41" operator="containsText" aboveAverage="0" equalAverage="0" bottom="0" percent="0" rank="0" text="FALSE" dxfId="2">
      <formula>NOT(ISERROR(SEARCH("FALSE",CJ171)))</formula>
    </cfRule>
  </conditionalFormatting>
  <conditionalFormatting sqref="CJ120:CM120">
    <cfRule type="containsText" priority="42" operator="containsText" aboveAverage="0" equalAverage="0" bottom="0" percent="0" rank="0" text="FALSE" dxfId="2">
      <formula>NOT(ISERROR(SEARCH("FALSE",CJ120)))</formula>
    </cfRule>
  </conditionalFormatting>
  <conditionalFormatting sqref="P18:P21">
    <cfRule type="containsText" priority="43" operator="containsText" aboveAverage="0" equalAverage="0" bottom="0" percent="0" rank="0" text="PASS" dxfId="3">
      <formula>NOT(ISERROR(SEARCH("PASS",P18)))</formula>
    </cfRule>
  </conditionalFormatting>
  <conditionalFormatting sqref="CI141:CM144">
    <cfRule type="expression" priority="44" aboveAverage="0" equalAverage="0" bottom="0" percent="0" rank="0" text="" dxfId="0">
      <formula>AND($F141="Yes")</formula>
    </cfRule>
    <cfRule type="expression" priority="45" aboveAverage="0" equalAverage="0" bottom="0" percent="0" rank="0" text="" dxfId="1">
      <formula>AND($F141="No")</formula>
    </cfRule>
  </conditionalFormatting>
  <conditionalFormatting sqref="CI136:CM138">
    <cfRule type="expression" priority="46" aboveAverage="0" equalAverage="0" bottom="0" percent="0" rank="0" text="" dxfId="0">
      <formula>AND($F136="Yes")</formula>
    </cfRule>
    <cfRule type="expression" priority="47" aboveAverage="0" equalAverage="0" bottom="0" percent="0" rank="0" text="" dxfId="1">
      <formula>AND($F136="No")</formula>
    </cfRule>
  </conditionalFormatting>
  <conditionalFormatting sqref="CC141:CG144">
    <cfRule type="expression" priority="48" aboveAverage="0" equalAverage="0" bottom="0" percent="0" rank="0" text="" dxfId="0">
      <formula>AND($F141="Yes")</formula>
    </cfRule>
    <cfRule type="expression" priority="49" aboveAverage="0" equalAverage="0" bottom="0" percent="0" rank="0" text="" dxfId="1">
      <formula>AND($F141="No")</formula>
    </cfRule>
  </conditionalFormatting>
  <conditionalFormatting sqref="CC136:CG138">
    <cfRule type="expression" priority="50" aboveAverage="0" equalAverage="0" bottom="0" percent="0" rank="0" text="" dxfId="0">
      <formula>AND($F136="Yes")</formula>
    </cfRule>
    <cfRule type="expression" priority="51" aboveAverage="0" equalAverage="0" bottom="0" percent="0" rank="0" text="" dxfId="1">
      <formula>AND($F136="No")</formula>
    </cfRule>
  </conditionalFormatting>
  <conditionalFormatting sqref="V112:CA113">
    <cfRule type="expression" priority="52" aboveAverage="0" equalAverage="0" bottom="0" percent="0" rank="0" text="" dxfId="0">
      <formula>AND($F112="Yes")</formula>
    </cfRule>
    <cfRule type="expression" priority="53" aboveAverage="0" equalAverage="0" bottom="0" percent="0" rank="0" text="" dxfId="1">
      <formula>AND($F112="No")</formula>
    </cfRule>
  </conditionalFormatting>
  <conditionalFormatting sqref="T136:CA138">
    <cfRule type="expression" priority="54" aboveAverage="0" equalAverage="0" bottom="0" percent="0" rank="0" text="" dxfId="0">
      <formula>AND($F136="Yes")</formula>
    </cfRule>
    <cfRule type="expression" priority="55" aboveAverage="0" equalAverage="0" bottom="0" percent="0" rank="0" text="" dxfId="1">
      <formula>AND($F136="No")</formula>
    </cfRule>
  </conditionalFormatting>
  <conditionalFormatting sqref="V85:CA85">
    <cfRule type="expression" priority="56" aboveAverage="0" equalAverage="0" bottom="0" percent="0" rank="0" text="" dxfId="0">
      <formula>AND($F85="Yes")</formula>
    </cfRule>
    <cfRule type="expression" priority="57" aboveAverage="0" equalAverage="0" bottom="0" percent="0" rank="0" text="" dxfId="1">
      <formula>AND($F85="No")</formula>
    </cfRule>
  </conditionalFormatting>
  <conditionalFormatting sqref="T141:CA146">
    <cfRule type="expression" priority="58" aboveAverage="0" equalAverage="0" bottom="0" percent="0" rank="0" text="" dxfId="0">
      <formula>AND($F141="Yes")</formula>
    </cfRule>
    <cfRule type="expression" priority="59" aboveAverage="0" equalAverage="0" bottom="0" percent="0" rank="0" text="" dxfId="1">
      <formula>AND($F141="No")</formula>
    </cfRule>
  </conditionalFormatting>
  <conditionalFormatting sqref="Q63:R113 Q123">
    <cfRule type="containsText" priority="60" operator="containsText" aboveAverage="0" equalAverage="0" bottom="0" percent="0" rank="0" text="Error" dxfId="2">
      <formula>NOT(ISERROR(SEARCH("Error",Q63)))</formula>
    </cfRule>
  </conditionalFormatting>
  <conditionalFormatting sqref="Q66:R90 Q92:R113 CI66:CM119 CI121:CM149">
    <cfRule type="containsText" priority="61" operator="containsText" aboveAverage="0" equalAverage="0" bottom="0" percent="0" rank="0" text="FALSE" dxfId="2">
      <formula>NOT(ISERROR(SEARCH("FALSE",Q66)))</formula>
    </cfRule>
  </conditionalFormatting>
  <conditionalFormatting sqref="L136:P138">
    <cfRule type="expression" priority="62" aboveAverage="0" equalAverage="0" bottom="0" percent="0" rank="0" text="" dxfId="0">
      <formula>AND($F136="Yes")</formula>
    </cfRule>
    <cfRule type="expression" priority="63" aboveAverage="0" equalAverage="0" bottom="0" percent="0" rank="0" text="" dxfId="1">
      <formula>AND($F136="No")</formula>
    </cfRule>
  </conditionalFormatting>
  <conditionalFormatting sqref="Q117:R117">
    <cfRule type="containsText" priority="64" operator="containsText" aboveAverage="0" equalAverage="0" bottom="0" percent="0" rank="0" text="Error" dxfId="2">
      <formula>NOT(ISERROR(SEARCH("Error",Q117)))</formula>
    </cfRule>
    <cfRule type="containsText" priority="65" operator="containsText" aboveAverage="0" equalAverage="0" bottom="0" percent="0" rank="0" text="FALSE" dxfId="2">
      <formula>NOT(ISERROR(SEARCH("FALSE",Q117)))</formula>
    </cfRule>
  </conditionalFormatting>
  <conditionalFormatting sqref="I96:K96">
    <cfRule type="expression" priority="66" aboveAverage="0" equalAverage="0" bottom="0" percent="0" rank="0" text="" dxfId="0">
      <formula>AND($F96="Yes")</formula>
    </cfRule>
    <cfRule type="expression" priority="67" aboveAverage="0" equalAverage="0" bottom="0" percent="0" rank="0" text="" dxfId="1">
      <formula>AND($F96="No")</formula>
    </cfRule>
  </conditionalFormatting>
  <conditionalFormatting sqref="I104:K104">
    <cfRule type="expression" priority="68" aboveAverage="0" equalAverage="0" bottom="0" percent="0" rank="0" text="" dxfId="0">
      <formula>AND($F104="Yes")</formula>
    </cfRule>
    <cfRule type="expression" priority="69" aboveAverage="0" equalAverage="0" bottom="0" percent="0" rank="0" text="" dxfId="1">
      <formula>AND($F104="No")</formula>
    </cfRule>
  </conditionalFormatting>
  <conditionalFormatting sqref="E71:E75 E79:E83 E99:E103 F6:G6 I66:J67 I71:J75 I79:J83 I94:J95 I99:J103 I107:J111 J18:J21 J29 L66:P67 L71:P75 L79:P83 L94:P96 L99:P104 L107:P113 L126:P129 L141:P146 T66:CA68 T71:CA76 T94:CA96 T99:CA104 T107:CA113 T126:CA129 CC66:CG68 CC71:CG76 CC79:CG86 CC94:CG96 CC99:CG104 CC107:CG113 CC126:CG128 CI66:CM68 CI71:CM76 CI79:CM86 CI94:CM96 CI99:CM104 CI107:CM113 CI126:CM128">
    <cfRule type="expression" priority="70" aboveAverage="0" equalAverage="0" bottom="0" percent="0" rank="0" text="" dxfId="0">
      <formula>AND($F6="Yes")</formula>
    </cfRule>
    <cfRule type="expression" priority="71" aboveAverage="0" equalAverage="0" bottom="0" percent="0" rank="0" text="" dxfId="1">
      <formula>AND($F6="No")</formula>
    </cfRule>
  </conditionalFormatting>
  <conditionalFormatting sqref="E97">
    <cfRule type="expression" priority="72" aboveAverage="0" equalAverage="0" bottom="0" percent="0" rank="0" text="" dxfId="4">
      <formula>AND($F97="Yes")</formula>
    </cfRule>
    <cfRule type="expression" priority="73" aboveAverage="0" equalAverage="0" bottom="0" percent="0" rank="0" text="" dxfId="5">
      <formula>AND($F97="No")</formula>
    </cfRule>
  </conditionalFormatting>
  <conditionalFormatting sqref="E114">
    <cfRule type="expression" priority="74" aboveAverage="0" equalAverage="0" bottom="0" percent="0" rank="0" text="" dxfId="4">
      <formula>AND($F114="Yes")</formula>
    </cfRule>
    <cfRule type="expression" priority="75" aboveAverage="0" equalAverage="0" bottom="0" percent="0" rank="0" text="" dxfId="5">
      <formula>AND($F114="No")</formula>
    </cfRule>
  </conditionalFormatting>
  <conditionalFormatting sqref="I68:P68">
    <cfRule type="expression" priority="76" aboveAverage="0" equalAverage="0" bottom="0" percent="0" rank="0" text="" dxfId="0">
      <formula>AND($F68="Yes")</formula>
    </cfRule>
    <cfRule type="expression" priority="77" aboveAverage="0" equalAverage="0" bottom="0" percent="0" rank="0" text="" dxfId="1">
      <formula>AND($F68="No")</formula>
    </cfRule>
  </conditionalFormatting>
  <conditionalFormatting sqref="D136:D137 E69 E132">
    <cfRule type="expression" priority="78" aboveAverage="0" equalAverage="0" bottom="0" percent="0" rank="0" text="" dxfId="4">
      <formula>AND($F69="Yes")</formula>
    </cfRule>
    <cfRule type="expression" priority="79" aboveAverage="0" equalAverage="0" bottom="0" percent="0" rank="0" text="" dxfId="5">
      <formula>AND($F69="No")</formula>
    </cfRule>
  </conditionalFormatting>
  <conditionalFormatting sqref="I76:P76">
    <cfRule type="expression" priority="80" aboveAverage="0" equalAverage="0" bottom="0" percent="0" rank="0" text="" dxfId="0">
      <formula>AND($F76="Yes")</formula>
    </cfRule>
    <cfRule type="expression" priority="81" aboveAverage="0" equalAverage="0" bottom="0" percent="0" rank="0" text="" dxfId="1">
      <formula>AND($F76="No")</formula>
    </cfRule>
  </conditionalFormatting>
  <conditionalFormatting sqref="E87">
    <cfRule type="expression" priority="82" aboveAverage="0" equalAverage="0" bottom="0" percent="0" rank="0" text="" dxfId="4">
      <formula>AND($F87="Yes")</formula>
    </cfRule>
    <cfRule type="expression" priority="83" aboveAverage="0" equalAverage="0" bottom="0" percent="0" rank="0" text="" dxfId="5">
      <formula>AND($F87="No")</formula>
    </cfRule>
  </conditionalFormatting>
  <conditionalFormatting sqref="G167 J24:J25">
    <cfRule type="expression" priority="84" aboveAverage="0" equalAverage="0" bottom="0" percent="0" rank="0" text="" dxfId="0">
      <formula>AND(#ref!="Yes")</formula>
    </cfRule>
    <cfRule type="expression" priority="85" aboveAverage="0" equalAverage="0" bottom="0" percent="0" rank="0" text="" dxfId="1">
      <formula>AND(#ref!="No")</formula>
    </cfRule>
  </conditionalFormatting>
  <printOptions headings="false" gridLines="false" gridLinesSet="true" horizontalCentered="true" verticalCentered="false"/>
  <pageMargins left="0.25" right="0.25" top="0.75" bottom="0.75" header="0.511811023622047" footer="0.511811023622047"/>
  <pageSetup paperSize="1" scale="2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B2:CA1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6" topLeftCell="G7" activePane="bottomRight" state="frozen"/>
      <selection pane="topLeft" activeCell="A1" activeCellId="0" sqref="A1"/>
      <selection pane="topRight" activeCell="G1" activeCellId="0" sqref="G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4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8" min="6" style="0" width="15"/>
    <col collapsed="false" customWidth="true" hidden="false" outlineLevel="0" max="9" min="9" style="0" width="13"/>
    <col collapsed="false" customWidth="true" hidden="false" outlineLevel="0" max="10" min="10" style="0" width="2"/>
    <col collapsed="false" customWidth="true" hidden="false" outlineLevel="0" max="11" min="11" style="0" width="12"/>
    <col collapsed="false" customWidth="true" hidden="false" outlineLevel="0" max="16" min="12" style="0" width="11"/>
    <col collapsed="false" customWidth="true" hidden="false" outlineLevel="0" max="17" min="17" style="0" width="2"/>
    <col collapsed="false" customWidth="true" hidden="false" outlineLevel="0" max="18" min="18" style="0" width="60"/>
    <col collapsed="false" customWidth="true" hidden="false" outlineLevel="0" max="19" min="19" style="0" width="2"/>
    <col collapsed="false" customWidth="true" hidden="false" outlineLevel="0" max="79" min="20" style="0" width="9"/>
  </cols>
  <sheetData>
    <row r="2" customFormat="false" ht="24" hidden="false" customHeight="true" outlineLevel="0" collapsed="false">
      <c r="B2" s="153" t="s">
        <v>435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B3" s="154" t="s">
        <v>436</v>
      </c>
    </row>
    <row r="5" customFormat="false" ht="15" hidden="false" customHeight="false" outlineLevel="0" collapsed="false">
      <c r="T5" s="175" t="n">
        <v>2026</v>
      </c>
      <c r="U5" s="175" t="n">
        <v>2026</v>
      </c>
      <c r="V5" s="175" t="n">
        <v>2026</v>
      </c>
      <c r="W5" s="175" t="n">
        <v>2026</v>
      </c>
      <c r="X5" s="175" t="n">
        <v>2026</v>
      </c>
      <c r="Y5" s="175" t="n">
        <v>2026</v>
      </c>
      <c r="Z5" s="175" t="n">
        <v>2026</v>
      </c>
      <c r="AA5" s="175" t="n">
        <v>2026</v>
      </c>
      <c r="AB5" s="175" t="n">
        <v>2026</v>
      </c>
      <c r="AC5" s="175" t="n">
        <v>2026</v>
      </c>
      <c r="AD5" s="175" t="n">
        <v>2026</v>
      </c>
      <c r="AE5" s="175" t="n">
        <v>2026</v>
      </c>
      <c r="AF5" s="175" t="n">
        <v>2027</v>
      </c>
      <c r="AG5" s="175" t="n">
        <v>2027</v>
      </c>
      <c r="AH5" s="175" t="n">
        <v>2027</v>
      </c>
      <c r="AI5" s="175" t="n">
        <v>2027</v>
      </c>
      <c r="AJ5" s="175" t="n">
        <v>2027</v>
      </c>
      <c r="AK5" s="175" t="n">
        <v>2027</v>
      </c>
      <c r="AL5" s="175" t="n">
        <v>2027</v>
      </c>
      <c r="AM5" s="175" t="n">
        <v>2027</v>
      </c>
      <c r="AN5" s="175" t="n">
        <v>2027</v>
      </c>
      <c r="AO5" s="175" t="n">
        <v>2027</v>
      </c>
      <c r="AP5" s="175" t="n">
        <v>2027</v>
      </c>
      <c r="AQ5" s="175" t="n">
        <v>2027</v>
      </c>
      <c r="AR5" s="175" t="n">
        <v>2028</v>
      </c>
      <c r="AS5" s="175" t="n">
        <v>2028</v>
      </c>
      <c r="AT5" s="175" t="n">
        <v>2028</v>
      </c>
      <c r="AU5" s="175" t="n">
        <v>2028</v>
      </c>
      <c r="AV5" s="175" t="n">
        <v>2028</v>
      </c>
      <c r="AW5" s="175" t="n">
        <v>2028</v>
      </c>
      <c r="AX5" s="175" t="n">
        <v>2028</v>
      </c>
      <c r="AY5" s="175" t="n">
        <v>2028</v>
      </c>
      <c r="AZ5" s="175" t="n">
        <v>2028</v>
      </c>
      <c r="BA5" s="175" t="n">
        <v>2028</v>
      </c>
      <c r="BB5" s="175" t="n">
        <v>2028</v>
      </c>
      <c r="BC5" s="175" t="n">
        <v>2028</v>
      </c>
      <c r="BD5" s="175" t="n">
        <v>2029</v>
      </c>
      <c r="BE5" s="175" t="n">
        <v>2029</v>
      </c>
      <c r="BF5" s="175" t="n">
        <v>2029</v>
      </c>
      <c r="BG5" s="175" t="n">
        <v>2029</v>
      </c>
      <c r="BH5" s="175" t="n">
        <v>2029</v>
      </c>
      <c r="BI5" s="175" t="n">
        <v>2029</v>
      </c>
      <c r="BJ5" s="175" t="n">
        <v>2029</v>
      </c>
      <c r="BK5" s="175" t="n">
        <v>2029</v>
      </c>
      <c r="BL5" s="175" t="n">
        <v>2029</v>
      </c>
      <c r="BM5" s="175" t="n">
        <v>2029</v>
      </c>
      <c r="BN5" s="175" t="n">
        <v>2029</v>
      </c>
      <c r="BO5" s="175" t="n">
        <v>2029</v>
      </c>
      <c r="BP5" s="175" t="n">
        <v>2030</v>
      </c>
      <c r="BQ5" s="175" t="n">
        <v>2030</v>
      </c>
      <c r="BR5" s="175" t="n">
        <v>2030</v>
      </c>
      <c r="BS5" s="175" t="n">
        <v>2030</v>
      </c>
      <c r="BT5" s="175" t="n">
        <v>2030</v>
      </c>
      <c r="BU5" s="175" t="n">
        <v>2030</v>
      </c>
      <c r="BV5" s="175" t="n">
        <v>2030</v>
      </c>
      <c r="BW5" s="175" t="n">
        <v>2030</v>
      </c>
      <c r="BX5" s="175" t="n">
        <v>2030</v>
      </c>
      <c r="BY5" s="175" t="n">
        <v>2030</v>
      </c>
      <c r="BZ5" s="175" t="n">
        <v>2030</v>
      </c>
      <c r="CA5" s="175" t="n">
        <v>2030</v>
      </c>
    </row>
    <row r="6" customFormat="false" ht="15" hidden="false" customHeight="false" outlineLevel="0" collapsed="false">
      <c r="B6" s="161" t="s">
        <v>258</v>
      </c>
      <c r="K6" s="176" t="s">
        <v>259</v>
      </c>
      <c r="L6" s="176" t="n">
        <v>2026</v>
      </c>
      <c r="M6" s="176" t="n">
        <v>2027</v>
      </c>
      <c r="N6" s="176" t="n">
        <v>2028</v>
      </c>
      <c r="O6" s="176" t="n">
        <v>2029</v>
      </c>
      <c r="P6" s="176" t="n">
        <v>2030</v>
      </c>
      <c r="T6" s="177" t="n">
        <f aca="false">DATE(2026,1,31)</f>
        <v>46053</v>
      </c>
      <c r="U6" s="177" t="n">
        <f aca="false">EOMONTH(T6,1)</f>
        <v>46081</v>
      </c>
      <c r="V6" s="177" t="n">
        <f aca="false">EOMONTH(U6,1)</f>
        <v>46112</v>
      </c>
      <c r="W6" s="177" t="n">
        <f aca="false">EOMONTH(V6,1)</f>
        <v>46142</v>
      </c>
      <c r="X6" s="177" t="n">
        <f aca="false">EOMONTH(W6,1)</f>
        <v>46173</v>
      </c>
      <c r="Y6" s="177" t="n">
        <f aca="false">EOMONTH(X6,1)</f>
        <v>46203</v>
      </c>
      <c r="Z6" s="177" t="n">
        <f aca="false">EOMONTH(Y6,1)</f>
        <v>46234</v>
      </c>
      <c r="AA6" s="177" t="n">
        <f aca="false">EOMONTH(Z6,1)</f>
        <v>46265</v>
      </c>
      <c r="AB6" s="177" t="n">
        <f aca="false">EOMONTH(AA6,1)</f>
        <v>46295</v>
      </c>
      <c r="AC6" s="177" t="n">
        <f aca="false">EOMONTH(AB6,1)</f>
        <v>46326</v>
      </c>
      <c r="AD6" s="177" t="n">
        <f aca="false">EOMONTH(AC6,1)</f>
        <v>46356</v>
      </c>
      <c r="AE6" s="177" t="n">
        <f aca="false">EOMONTH(AD6,1)</f>
        <v>46387</v>
      </c>
      <c r="AF6" s="177" t="n">
        <f aca="false">EOMONTH(AE6,1)</f>
        <v>46418</v>
      </c>
      <c r="AG6" s="177" t="n">
        <f aca="false">EOMONTH(AF6,1)</f>
        <v>46446</v>
      </c>
      <c r="AH6" s="177" t="n">
        <f aca="false">EOMONTH(AG6,1)</f>
        <v>46477</v>
      </c>
      <c r="AI6" s="177" t="n">
        <f aca="false">EOMONTH(AH6,1)</f>
        <v>46507</v>
      </c>
      <c r="AJ6" s="177" t="n">
        <f aca="false">EOMONTH(AI6,1)</f>
        <v>46538</v>
      </c>
      <c r="AK6" s="177" t="n">
        <f aca="false">EOMONTH(AJ6,1)</f>
        <v>46568</v>
      </c>
      <c r="AL6" s="177" t="n">
        <f aca="false">EOMONTH(AK6,1)</f>
        <v>46599</v>
      </c>
      <c r="AM6" s="177" t="n">
        <f aca="false">EOMONTH(AL6,1)</f>
        <v>46630</v>
      </c>
      <c r="AN6" s="177" t="n">
        <f aca="false">EOMONTH(AM6,1)</f>
        <v>46660</v>
      </c>
      <c r="AO6" s="177" t="n">
        <f aca="false">EOMONTH(AN6,1)</f>
        <v>46691</v>
      </c>
      <c r="AP6" s="177" t="n">
        <f aca="false">EOMONTH(AO6,1)</f>
        <v>46721</v>
      </c>
      <c r="AQ6" s="177" t="n">
        <f aca="false">EOMONTH(AP6,1)</f>
        <v>46752</v>
      </c>
      <c r="AR6" s="177" t="n">
        <f aca="false">EOMONTH(AQ6,1)</f>
        <v>46783</v>
      </c>
      <c r="AS6" s="177" t="n">
        <f aca="false">EOMONTH(AR6,1)</f>
        <v>46812</v>
      </c>
      <c r="AT6" s="177" t="n">
        <f aca="false">EOMONTH(AS6,1)</f>
        <v>46843</v>
      </c>
      <c r="AU6" s="177" t="n">
        <f aca="false">EOMONTH(AT6,1)</f>
        <v>46873</v>
      </c>
      <c r="AV6" s="177" t="n">
        <f aca="false">EOMONTH(AU6,1)</f>
        <v>46904</v>
      </c>
      <c r="AW6" s="177" t="n">
        <f aca="false">EOMONTH(AV6,1)</f>
        <v>46934</v>
      </c>
      <c r="AX6" s="177" t="n">
        <f aca="false">EOMONTH(AW6,1)</f>
        <v>46965</v>
      </c>
      <c r="AY6" s="177" t="n">
        <f aca="false">EOMONTH(AX6,1)</f>
        <v>46996</v>
      </c>
      <c r="AZ6" s="177" t="n">
        <f aca="false">EOMONTH(AY6,1)</f>
        <v>47026</v>
      </c>
      <c r="BA6" s="177" t="n">
        <f aca="false">EOMONTH(AZ6,1)</f>
        <v>47057</v>
      </c>
      <c r="BB6" s="177" t="n">
        <f aca="false">EOMONTH(BA6,1)</f>
        <v>47087</v>
      </c>
      <c r="BC6" s="177" t="n">
        <f aca="false">EOMONTH(BB6,1)</f>
        <v>47118</v>
      </c>
      <c r="BD6" s="177" t="n">
        <f aca="false">EOMONTH(BC6,1)</f>
        <v>47149</v>
      </c>
      <c r="BE6" s="177" t="n">
        <f aca="false">EOMONTH(BD6,1)</f>
        <v>47177</v>
      </c>
      <c r="BF6" s="177" t="n">
        <f aca="false">EOMONTH(BE6,1)</f>
        <v>47208</v>
      </c>
      <c r="BG6" s="177" t="n">
        <f aca="false">EOMONTH(BF6,1)</f>
        <v>47238</v>
      </c>
      <c r="BH6" s="177" t="n">
        <f aca="false">EOMONTH(BG6,1)</f>
        <v>47269</v>
      </c>
      <c r="BI6" s="177" t="n">
        <f aca="false">EOMONTH(BH6,1)</f>
        <v>47299</v>
      </c>
      <c r="BJ6" s="177" t="n">
        <f aca="false">EOMONTH(BI6,1)</f>
        <v>47330</v>
      </c>
      <c r="BK6" s="177" t="n">
        <f aca="false">EOMONTH(BJ6,1)</f>
        <v>47361</v>
      </c>
      <c r="BL6" s="177" t="n">
        <f aca="false">EOMONTH(BK6,1)</f>
        <v>47391</v>
      </c>
      <c r="BM6" s="177" t="n">
        <f aca="false">EOMONTH(BL6,1)</f>
        <v>47422</v>
      </c>
      <c r="BN6" s="177" t="n">
        <f aca="false">EOMONTH(BM6,1)</f>
        <v>47452</v>
      </c>
      <c r="BO6" s="177" t="n">
        <f aca="false">EOMONTH(BN6,1)</f>
        <v>47483</v>
      </c>
      <c r="BP6" s="177" t="n">
        <f aca="false">EOMONTH(BO6,1)</f>
        <v>47514</v>
      </c>
      <c r="BQ6" s="177" t="n">
        <f aca="false">EOMONTH(BP6,1)</f>
        <v>47542</v>
      </c>
      <c r="BR6" s="177" t="n">
        <f aca="false">EOMONTH(BQ6,1)</f>
        <v>47573</v>
      </c>
      <c r="BS6" s="177" t="n">
        <f aca="false">EOMONTH(BR6,1)</f>
        <v>47603</v>
      </c>
      <c r="BT6" s="177" t="n">
        <f aca="false">EOMONTH(BS6,1)</f>
        <v>47634</v>
      </c>
      <c r="BU6" s="177" t="n">
        <f aca="false">EOMONTH(BT6,1)</f>
        <v>47664</v>
      </c>
      <c r="BV6" s="177" t="n">
        <f aca="false">EOMONTH(BU6,1)</f>
        <v>47695</v>
      </c>
      <c r="BW6" s="177" t="n">
        <f aca="false">EOMONTH(BV6,1)</f>
        <v>47726</v>
      </c>
      <c r="BX6" s="177" t="n">
        <f aca="false">EOMONTH(BW6,1)</f>
        <v>47756</v>
      </c>
      <c r="BY6" s="177" t="n">
        <f aca="false">EOMONTH(BX6,1)</f>
        <v>47787</v>
      </c>
      <c r="BZ6" s="177" t="n">
        <f aca="false">EOMONTH(BY6,1)</f>
        <v>47817</v>
      </c>
      <c r="CA6" s="177" t="n">
        <f aca="false">EOMONTH(BZ6,1)</f>
        <v>47848</v>
      </c>
    </row>
    <row r="8" customFormat="false" ht="18" hidden="false" customHeight="true" outlineLevel="0" collapsed="false">
      <c r="B8" s="5" t="s">
        <v>260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10" customFormat="false" ht="15" hidden="false" customHeight="false" outlineLevel="0" collapsed="false">
      <c r="B10" s="10" t="s">
        <v>261</v>
      </c>
      <c r="D10" s="9" t="s">
        <v>437</v>
      </c>
      <c r="E10" s="9"/>
      <c r="F10" s="9"/>
      <c r="G10" s="9"/>
      <c r="H10" s="9"/>
    </row>
    <row r="11" customFormat="false" ht="22.35" hidden="false" customHeight="false" outlineLevel="0" collapsed="false">
      <c r="B11" s="10" t="s">
        <v>263</v>
      </c>
      <c r="D11" s="9" t="s">
        <v>264</v>
      </c>
      <c r="E11" s="9"/>
      <c r="F11" s="9"/>
      <c r="G11" s="9"/>
      <c r="H11" s="9"/>
      <c r="I11" s="155" t="s">
        <v>265</v>
      </c>
    </row>
    <row r="12" customFormat="false" ht="15" hidden="false" customHeight="false" outlineLevel="0" collapsed="false">
      <c r="B12" s="10" t="s">
        <v>132</v>
      </c>
      <c r="D12" s="9" t="s">
        <v>266</v>
      </c>
      <c r="E12" s="9"/>
      <c r="F12" s="9"/>
      <c r="G12" s="9"/>
      <c r="H12" s="9"/>
    </row>
    <row r="13" customFormat="false" ht="22.35" hidden="false" customHeight="false" outlineLevel="0" collapsed="false">
      <c r="B13" s="3" t="s">
        <v>267</v>
      </c>
      <c r="D13" s="178" t="n">
        <f aca="false">DATE(2027,9,1)</f>
        <v>46631</v>
      </c>
      <c r="I13" s="155" t="s">
        <v>268</v>
      </c>
    </row>
    <row r="15" customFormat="false" ht="15" hidden="false" customHeight="false" outlineLevel="0" collapsed="false">
      <c r="B15" s="167" t="s">
        <v>269</v>
      </c>
    </row>
    <row r="16" customFormat="false" ht="15" hidden="false" customHeight="false" outlineLevel="0" collapsed="false">
      <c r="B16" s="167" t="s">
        <v>270</v>
      </c>
    </row>
    <row r="17" customFormat="false" ht="15" hidden="false" customHeight="false" outlineLevel="0" collapsed="false">
      <c r="B17" s="179" t="s">
        <v>271</v>
      </c>
    </row>
    <row r="18" customFormat="false" ht="15" hidden="false" customHeight="false" outlineLevel="0" collapsed="false">
      <c r="B18" s="180" t="s">
        <v>438</v>
      </c>
    </row>
    <row r="19" customFormat="false" ht="15" hidden="false" customHeight="false" outlineLevel="0" collapsed="false">
      <c r="B19" s="180" t="s">
        <v>439</v>
      </c>
    </row>
    <row r="20" customFormat="false" ht="15" hidden="false" customHeight="false" outlineLevel="0" collapsed="false">
      <c r="B20" s="180" t="s">
        <v>440</v>
      </c>
    </row>
    <row r="22" customFormat="false" ht="18" hidden="false" customHeight="true" outlineLevel="0" collapsed="false">
      <c r="B22" s="5" t="s">
        <v>275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4" customFormat="false" ht="15" hidden="false" customHeight="false" outlineLevel="0" collapsed="false">
      <c r="B24" s="181" t="s">
        <v>441</v>
      </c>
    </row>
    <row r="25" customFormat="false" ht="210.4" hidden="false" customHeight="false" outlineLevel="0" collapsed="false">
      <c r="B25" s="182" t="s">
        <v>442</v>
      </c>
      <c r="D25" s="158" t="n">
        <v>143185920.21</v>
      </c>
      <c r="E25" s="167" t="s">
        <v>278</v>
      </c>
      <c r="F25" s="155" t="s">
        <v>443</v>
      </c>
    </row>
    <row r="26" customFormat="false" ht="15" hidden="false" customHeight="false" outlineLevel="0" collapsed="false">
      <c r="B26" s="181" t="s">
        <v>280</v>
      </c>
    </row>
    <row r="27" customFormat="false" ht="15" hidden="false" customHeight="false" outlineLevel="0" collapsed="false">
      <c r="B27" s="182" t="s">
        <v>281</v>
      </c>
      <c r="D27" s="168" t="n">
        <v>0.08</v>
      </c>
      <c r="E27" s="167" t="s">
        <v>282</v>
      </c>
    </row>
    <row r="28" customFormat="false" ht="15" hidden="false" customHeight="false" outlineLevel="0" collapsed="false">
      <c r="B28" s="182" t="s">
        <v>284</v>
      </c>
      <c r="D28" s="168" t="n">
        <v>0.1</v>
      </c>
      <c r="E28" s="167" t="s">
        <v>282</v>
      </c>
    </row>
    <row r="29" customFormat="false" ht="15" hidden="false" customHeight="false" outlineLevel="0" collapsed="false">
      <c r="B29" s="182" t="s">
        <v>286</v>
      </c>
      <c r="D29" s="183" t="n">
        <v>3</v>
      </c>
      <c r="E29" s="167" t="s">
        <v>287</v>
      </c>
      <c r="F29" s="155" t="s">
        <v>444</v>
      </c>
    </row>
    <row r="30" customFormat="false" ht="15" hidden="false" customHeight="false" outlineLevel="0" collapsed="false">
      <c r="B30" s="182" t="s">
        <v>289</v>
      </c>
      <c r="D30" s="158" t="n">
        <v>180000</v>
      </c>
      <c r="E30" s="167" t="s">
        <v>290</v>
      </c>
    </row>
    <row r="31" customFormat="false" ht="95.5" hidden="false" customHeight="false" outlineLevel="0" collapsed="false">
      <c r="B31" s="182" t="s">
        <v>445</v>
      </c>
      <c r="D31" s="183" t="n">
        <v>867.7176</v>
      </c>
      <c r="E31" s="167" t="s">
        <v>287</v>
      </c>
      <c r="F31" s="155" t="s">
        <v>446</v>
      </c>
    </row>
    <row r="32" customFormat="false" ht="15" hidden="false" customHeight="false" outlineLevel="0" collapsed="false">
      <c r="B32" s="182" t="s">
        <v>292</v>
      </c>
      <c r="D32" s="9"/>
    </row>
    <row r="33" customFormat="false" ht="15" hidden="false" customHeight="false" outlineLevel="0" collapsed="false">
      <c r="B33" s="182" t="s">
        <v>292</v>
      </c>
      <c r="D33" s="9"/>
    </row>
    <row r="35" customFormat="false" ht="15" hidden="false" customHeight="false" outlineLevel="0" collapsed="false">
      <c r="B35" s="184" t="s">
        <v>447</v>
      </c>
    </row>
    <row r="36" customFormat="false" ht="25.5" hidden="false" customHeight="true" outlineLevel="0" collapsed="false">
      <c r="B36" s="169" t="s">
        <v>294</v>
      </c>
      <c r="D36" s="169" t="s">
        <v>295</v>
      </c>
      <c r="F36" s="169" t="s">
        <v>296</v>
      </c>
      <c r="H36" s="169" t="s">
        <v>297</v>
      </c>
      <c r="M36" s="185" t="s">
        <v>448</v>
      </c>
    </row>
    <row r="37" customFormat="false" ht="15" hidden="false" customHeight="false" outlineLevel="0" collapsed="false">
      <c r="B37" s="186" t="s">
        <v>449</v>
      </c>
      <c r="D37" s="158" t="n">
        <v>27286882.49</v>
      </c>
      <c r="F37" s="187" t="n">
        <v>0.4311128666</v>
      </c>
      <c r="H37" s="159" t="n">
        <f aca="false">D37*F37</f>
        <v>11763726.1308412</v>
      </c>
      <c r="M37" s="189" t="s">
        <v>450</v>
      </c>
    </row>
    <row r="38" customFormat="false" ht="15" hidden="false" customHeight="false" outlineLevel="0" collapsed="false">
      <c r="B38" s="186" t="s">
        <v>451</v>
      </c>
      <c r="D38" s="158" t="n">
        <v>3525444.71</v>
      </c>
      <c r="F38" s="187" t="n">
        <v>0.3886586988</v>
      </c>
      <c r="H38" s="159" t="n">
        <f aca="false">D38*F38</f>
        <v>1370194.75367994</v>
      </c>
      <c r="M38" s="189" t="s">
        <v>452</v>
      </c>
    </row>
    <row r="39" customFormat="false" ht="15" hidden="false" customHeight="false" outlineLevel="0" collapsed="false">
      <c r="B39" s="186" t="s">
        <v>453</v>
      </c>
      <c r="D39" s="158" t="n">
        <v>8186544.37</v>
      </c>
      <c r="F39" s="187" t="n">
        <v>0.2</v>
      </c>
      <c r="H39" s="159" t="n">
        <f aca="false">D39*F39</f>
        <v>1637308.874</v>
      </c>
      <c r="M39" s="189" t="s">
        <v>454</v>
      </c>
    </row>
    <row r="40" customFormat="false" ht="15" hidden="false" customHeight="false" outlineLevel="0" collapsed="false">
      <c r="B40" s="3" t="s">
        <v>455</v>
      </c>
      <c r="D40" s="159" t="n">
        <f aca="false">SUM(D37:D39)</f>
        <v>38998871.57</v>
      </c>
      <c r="H40" s="159" t="n">
        <f aca="false">SUM(H37:H39)</f>
        <v>14771229.7585212</v>
      </c>
    </row>
    <row r="42" customFormat="false" ht="18" hidden="false" customHeight="true" outlineLevel="0" collapsed="false">
      <c r="B42" s="5" t="s">
        <v>310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4" customFormat="false" ht="22.35" hidden="false" customHeight="false" outlineLevel="0" collapsed="false">
      <c r="B44" s="182" t="s">
        <v>311</v>
      </c>
      <c r="D44" s="159" t="n">
        <f aca="false">$H$40</f>
        <v>14771229.7585212</v>
      </c>
      <c r="E44" s="167" t="s">
        <v>278</v>
      </c>
      <c r="F44" s="155" t="s">
        <v>456</v>
      </c>
    </row>
    <row r="45" customFormat="false" ht="15" hidden="false" customHeight="false" outlineLevel="0" collapsed="false">
      <c r="B45" s="182" t="s">
        <v>457</v>
      </c>
      <c r="D45" s="159" t="n">
        <f aca="false">$D$25-$D$44</f>
        <v>128414690.451479</v>
      </c>
      <c r="E45" s="167" t="s">
        <v>278</v>
      </c>
      <c r="F45" s="155" t="s">
        <v>458</v>
      </c>
    </row>
    <row r="47" customFormat="false" ht="18" hidden="false" customHeight="true" outlineLevel="0" collapsed="false">
      <c r="B47" s="5" t="s">
        <v>317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9" customFormat="false" ht="53.7" hidden="false" customHeight="false" outlineLevel="0" collapsed="false">
      <c r="B49" s="3" t="s">
        <v>318</v>
      </c>
      <c r="D49" s="156" t="n">
        <v>7</v>
      </c>
      <c r="F49" s="155" t="s">
        <v>319</v>
      </c>
    </row>
    <row r="50" customFormat="false" ht="15" hidden="false" customHeight="false" outlineLevel="0" collapsed="false">
      <c r="B50" s="10" t="s">
        <v>320</v>
      </c>
      <c r="T50" s="190" t="n">
        <f aca="false">MIN(1,MAX(0,((YEAR(T$6)-YEAR($D$13))*12+MONTH(T$6)-MONTH($D$13)+0.5)/MAX($D$49,0.5)))</f>
        <v>0</v>
      </c>
      <c r="U50" s="190" t="n">
        <f aca="false">MIN(1,MAX(0,((YEAR(U$6)-YEAR($D$13))*12+MONTH(U$6)-MONTH($D$13)+0.5)/MAX($D$49,0.5)))</f>
        <v>0</v>
      </c>
      <c r="V50" s="190" t="n">
        <f aca="false">MIN(1,MAX(0,((YEAR(V$6)-YEAR($D$13))*12+MONTH(V$6)-MONTH($D$13)+0.5)/MAX($D$49,0.5)))</f>
        <v>0</v>
      </c>
      <c r="W50" s="190" t="n">
        <f aca="false">MIN(1,MAX(0,((YEAR(W$6)-YEAR($D$13))*12+MONTH(W$6)-MONTH($D$13)+0.5)/MAX($D$49,0.5)))</f>
        <v>0</v>
      </c>
      <c r="X50" s="190" t="n">
        <f aca="false">MIN(1,MAX(0,((YEAR(X$6)-YEAR($D$13))*12+MONTH(X$6)-MONTH($D$13)+0.5)/MAX($D$49,0.5)))</f>
        <v>0</v>
      </c>
      <c r="Y50" s="190" t="n">
        <f aca="false">MIN(1,MAX(0,((YEAR(Y$6)-YEAR($D$13))*12+MONTH(Y$6)-MONTH($D$13)+0.5)/MAX($D$49,0.5)))</f>
        <v>0</v>
      </c>
      <c r="Z50" s="190" t="n">
        <f aca="false">MIN(1,MAX(0,((YEAR(Z$6)-YEAR($D$13))*12+MONTH(Z$6)-MONTH($D$13)+0.5)/MAX($D$49,0.5)))</f>
        <v>0</v>
      </c>
      <c r="AA50" s="190" t="n">
        <f aca="false">MIN(1,MAX(0,((YEAR(AA$6)-YEAR($D$13))*12+MONTH(AA$6)-MONTH($D$13)+0.5)/MAX($D$49,0.5)))</f>
        <v>0</v>
      </c>
      <c r="AB50" s="190" t="n">
        <f aca="false">MIN(1,MAX(0,((YEAR(AB$6)-YEAR($D$13))*12+MONTH(AB$6)-MONTH($D$13)+0.5)/MAX($D$49,0.5)))</f>
        <v>0</v>
      </c>
      <c r="AC50" s="190" t="n">
        <f aca="false">MIN(1,MAX(0,((YEAR(AC$6)-YEAR($D$13))*12+MONTH(AC$6)-MONTH($D$13)+0.5)/MAX($D$49,0.5)))</f>
        <v>0</v>
      </c>
      <c r="AD50" s="190" t="n">
        <f aca="false">MIN(1,MAX(0,((YEAR(AD$6)-YEAR($D$13))*12+MONTH(AD$6)-MONTH($D$13)+0.5)/MAX($D$49,0.5)))</f>
        <v>0</v>
      </c>
      <c r="AE50" s="190" t="n">
        <f aca="false">MIN(1,MAX(0,((YEAR(AE$6)-YEAR($D$13))*12+MONTH(AE$6)-MONTH($D$13)+0.5)/MAX($D$49,0.5)))</f>
        <v>0</v>
      </c>
      <c r="AF50" s="190" t="n">
        <f aca="false">MIN(1,MAX(0,((YEAR(AF$6)-YEAR($D$13))*12+MONTH(AF$6)-MONTH($D$13)+0.5)/MAX($D$49,0.5)))</f>
        <v>0</v>
      </c>
      <c r="AG50" s="190" t="n">
        <f aca="false">MIN(1,MAX(0,((YEAR(AG$6)-YEAR($D$13))*12+MONTH(AG$6)-MONTH($D$13)+0.5)/MAX($D$49,0.5)))</f>
        <v>0</v>
      </c>
      <c r="AH50" s="190" t="n">
        <f aca="false">MIN(1,MAX(0,((YEAR(AH$6)-YEAR($D$13))*12+MONTH(AH$6)-MONTH($D$13)+0.5)/MAX($D$49,0.5)))</f>
        <v>0</v>
      </c>
      <c r="AI50" s="190" t="n">
        <f aca="false">MIN(1,MAX(0,((YEAR(AI$6)-YEAR($D$13))*12+MONTH(AI$6)-MONTH($D$13)+0.5)/MAX($D$49,0.5)))</f>
        <v>0</v>
      </c>
      <c r="AJ50" s="190" t="n">
        <f aca="false">MIN(1,MAX(0,((YEAR(AJ$6)-YEAR($D$13))*12+MONTH(AJ$6)-MONTH($D$13)+0.5)/MAX($D$49,0.5)))</f>
        <v>0</v>
      </c>
      <c r="AK50" s="190" t="n">
        <f aca="false">MIN(1,MAX(0,((YEAR(AK$6)-YEAR($D$13))*12+MONTH(AK$6)-MONTH($D$13)+0.5)/MAX($D$49,0.5)))</f>
        <v>0</v>
      </c>
      <c r="AL50" s="190" t="n">
        <f aca="false">MIN(1,MAX(0,((YEAR(AL$6)-YEAR($D$13))*12+MONTH(AL$6)-MONTH($D$13)+0.5)/MAX($D$49,0.5)))</f>
        <v>0</v>
      </c>
      <c r="AM50" s="190" t="n">
        <f aca="false">MIN(1,MAX(0,((YEAR(AM$6)-YEAR($D$13))*12+MONTH(AM$6)-MONTH($D$13)+0.5)/MAX($D$49,0.5)))</f>
        <v>0</v>
      </c>
      <c r="AN50" s="190" t="n">
        <f aca="false">MIN(1,MAX(0,((YEAR(AN$6)-YEAR($D$13))*12+MONTH(AN$6)-MONTH($D$13)+0.5)/MAX($D$49,0.5)))</f>
        <v>0.0714285714285714</v>
      </c>
      <c r="AO50" s="190" t="n">
        <f aca="false">MIN(1,MAX(0,((YEAR(AO$6)-YEAR($D$13))*12+MONTH(AO$6)-MONTH($D$13)+0.5)/MAX($D$49,0.5)))</f>
        <v>0.214285714285714</v>
      </c>
      <c r="AP50" s="190" t="n">
        <f aca="false">MIN(1,MAX(0,((YEAR(AP$6)-YEAR($D$13))*12+MONTH(AP$6)-MONTH($D$13)+0.5)/MAX($D$49,0.5)))</f>
        <v>0.357142857142857</v>
      </c>
      <c r="AQ50" s="190" t="n">
        <f aca="false">MIN(1,MAX(0,((YEAR(AQ$6)-YEAR($D$13))*12+MONTH(AQ$6)-MONTH($D$13)+0.5)/MAX($D$49,0.5)))</f>
        <v>0.5</v>
      </c>
      <c r="AR50" s="190" t="n">
        <f aca="false">MIN(1,MAX(0,((YEAR(AR$6)-YEAR($D$13))*12+MONTH(AR$6)-MONTH($D$13)+0.5)/MAX($D$49,0.5)))</f>
        <v>0.642857142857143</v>
      </c>
      <c r="AS50" s="190" t="n">
        <f aca="false">MIN(1,MAX(0,((YEAR(AS$6)-YEAR($D$13))*12+MONTH(AS$6)-MONTH($D$13)+0.5)/MAX($D$49,0.5)))</f>
        <v>0.785714285714286</v>
      </c>
      <c r="AT50" s="190" t="n">
        <f aca="false">MIN(1,MAX(0,((YEAR(AT$6)-YEAR($D$13))*12+MONTH(AT$6)-MONTH($D$13)+0.5)/MAX($D$49,0.5)))</f>
        <v>0.928571428571429</v>
      </c>
      <c r="AU50" s="190" t="n">
        <f aca="false">MIN(1,MAX(0,((YEAR(AU$6)-YEAR($D$13))*12+MONTH(AU$6)-MONTH($D$13)+0.5)/MAX($D$49,0.5)))</f>
        <v>1</v>
      </c>
      <c r="AV50" s="190" t="n">
        <f aca="false">MIN(1,MAX(0,((YEAR(AV$6)-YEAR($D$13))*12+MONTH(AV$6)-MONTH($D$13)+0.5)/MAX($D$49,0.5)))</f>
        <v>1</v>
      </c>
      <c r="AW50" s="190" t="n">
        <f aca="false">MIN(1,MAX(0,((YEAR(AW$6)-YEAR($D$13))*12+MONTH(AW$6)-MONTH($D$13)+0.5)/MAX($D$49,0.5)))</f>
        <v>1</v>
      </c>
      <c r="AX50" s="190" t="n">
        <f aca="false">MIN(1,MAX(0,((YEAR(AX$6)-YEAR($D$13))*12+MONTH(AX$6)-MONTH($D$13)+0.5)/MAX($D$49,0.5)))</f>
        <v>1</v>
      </c>
      <c r="AY50" s="190" t="n">
        <f aca="false">MIN(1,MAX(0,((YEAR(AY$6)-YEAR($D$13))*12+MONTH(AY$6)-MONTH($D$13)+0.5)/MAX($D$49,0.5)))</f>
        <v>1</v>
      </c>
      <c r="AZ50" s="190" t="n">
        <f aca="false">MIN(1,MAX(0,((YEAR(AZ$6)-YEAR($D$13))*12+MONTH(AZ$6)-MONTH($D$13)+0.5)/MAX($D$49,0.5)))</f>
        <v>1</v>
      </c>
      <c r="BA50" s="190" t="n">
        <f aca="false">MIN(1,MAX(0,((YEAR(BA$6)-YEAR($D$13))*12+MONTH(BA$6)-MONTH($D$13)+0.5)/MAX($D$49,0.5)))</f>
        <v>1</v>
      </c>
      <c r="BB50" s="190" t="n">
        <f aca="false">MIN(1,MAX(0,((YEAR(BB$6)-YEAR($D$13))*12+MONTH(BB$6)-MONTH($D$13)+0.5)/MAX($D$49,0.5)))</f>
        <v>1</v>
      </c>
      <c r="BC50" s="190" t="n">
        <f aca="false">MIN(1,MAX(0,((YEAR(BC$6)-YEAR($D$13))*12+MONTH(BC$6)-MONTH($D$13)+0.5)/MAX($D$49,0.5)))</f>
        <v>1</v>
      </c>
      <c r="BD50" s="190" t="n">
        <f aca="false">MIN(1,MAX(0,((YEAR(BD$6)-YEAR($D$13))*12+MONTH(BD$6)-MONTH($D$13)+0.5)/MAX($D$49,0.5)))</f>
        <v>1</v>
      </c>
      <c r="BE50" s="190" t="n">
        <f aca="false">MIN(1,MAX(0,((YEAR(BE$6)-YEAR($D$13))*12+MONTH(BE$6)-MONTH($D$13)+0.5)/MAX($D$49,0.5)))</f>
        <v>1</v>
      </c>
      <c r="BF50" s="190" t="n">
        <f aca="false">MIN(1,MAX(0,((YEAR(BF$6)-YEAR($D$13))*12+MONTH(BF$6)-MONTH($D$13)+0.5)/MAX($D$49,0.5)))</f>
        <v>1</v>
      </c>
      <c r="BG50" s="190" t="n">
        <f aca="false">MIN(1,MAX(0,((YEAR(BG$6)-YEAR($D$13))*12+MONTH(BG$6)-MONTH($D$13)+0.5)/MAX($D$49,0.5)))</f>
        <v>1</v>
      </c>
      <c r="BH50" s="190" t="n">
        <f aca="false">MIN(1,MAX(0,((YEAR(BH$6)-YEAR($D$13))*12+MONTH(BH$6)-MONTH($D$13)+0.5)/MAX($D$49,0.5)))</f>
        <v>1</v>
      </c>
      <c r="BI50" s="190" t="n">
        <f aca="false">MIN(1,MAX(0,((YEAR(BI$6)-YEAR($D$13))*12+MONTH(BI$6)-MONTH($D$13)+0.5)/MAX($D$49,0.5)))</f>
        <v>1</v>
      </c>
      <c r="BJ50" s="190" t="n">
        <f aca="false">MIN(1,MAX(0,((YEAR(BJ$6)-YEAR($D$13))*12+MONTH(BJ$6)-MONTH($D$13)+0.5)/MAX($D$49,0.5)))</f>
        <v>1</v>
      </c>
      <c r="BK50" s="190" t="n">
        <f aca="false">MIN(1,MAX(0,((YEAR(BK$6)-YEAR($D$13))*12+MONTH(BK$6)-MONTH($D$13)+0.5)/MAX($D$49,0.5)))</f>
        <v>1</v>
      </c>
      <c r="BL50" s="190" t="n">
        <f aca="false">MIN(1,MAX(0,((YEAR(BL$6)-YEAR($D$13))*12+MONTH(BL$6)-MONTH($D$13)+0.5)/MAX($D$49,0.5)))</f>
        <v>1</v>
      </c>
      <c r="BM50" s="190" t="n">
        <f aca="false">MIN(1,MAX(0,((YEAR(BM$6)-YEAR($D$13))*12+MONTH(BM$6)-MONTH($D$13)+0.5)/MAX($D$49,0.5)))</f>
        <v>1</v>
      </c>
      <c r="BN50" s="190" t="n">
        <f aca="false">MIN(1,MAX(0,((YEAR(BN$6)-YEAR($D$13))*12+MONTH(BN$6)-MONTH($D$13)+0.5)/MAX($D$49,0.5)))</f>
        <v>1</v>
      </c>
      <c r="BO50" s="190" t="n">
        <f aca="false">MIN(1,MAX(0,((YEAR(BO$6)-YEAR($D$13))*12+MONTH(BO$6)-MONTH($D$13)+0.5)/MAX($D$49,0.5)))</f>
        <v>1</v>
      </c>
      <c r="BP50" s="190" t="n">
        <f aca="false">MIN(1,MAX(0,((YEAR(BP$6)-YEAR($D$13))*12+MONTH(BP$6)-MONTH($D$13)+0.5)/MAX($D$49,0.5)))</f>
        <v>1</v>
      </c>
      <c r="BQ50" s="190" t="n">
        <f aca="false">MIN(1,MAX(0,((YEAR(BQ$6)-YEAR($D$13))*12+MONTH(BQ$6)-MONTH($D$13)+0.5)/MAX($D$49,0.5)))</f>
        <v>1</v>
      </c>
      <c r="BR50" s="190" t="n">
        <f aca="false">MIN(1,MAX(0,((YEAR(BR$6)-YEAR($D$13))*12+MONTH(BR$6)-MONTH($D$13)+0.5)/MAX($D$49,0.5)))</f>
        <v>1</v>
      </c>
      <c r="BS50" s="190" t="n">
        <f aca="false">MIN(1,MAX(0,((YEAR(BS$6)-YEAR($D$13))*12+MONTH(BS$6)-MONTH($D$13)+0.5)/MAX($D$49,0.5)))</f>
        <v>1</v>
      </c>
      <c r="BT50" s="190" t="n">
        <f aca="false">MIN(1,MAX(0,((YEAR(BT$6)-YEAR($D$13))*12+MONTH(BT$6)-MONTH($D$13)+0.5)/MAX($D$49,0.5)))</f>
        <v>1</v>
      </c>
      <c r="BU50" s="190" t="n">
        <f aca="false">MIN(1,MAX(0,((YEAR(BU$6)-YEAR($D$13))*12+MONTH(BU$6)-MONTH($D$13)+0.5)/MAX($D$49,0.5)))</f>
        <v>1</v>
      </c>
      <c r="BV50" s="190" t="n">
        <f aca="false">MIN(1,MAX(0,((YEAR(BV$6)-YEAR($D$13))*12+MONTH(BV$6)-MONTH($D$13)+0.5)/MAX($D$49,0.5)))</f>
        <v>1</v>
      </c>
      <c r="BW50" s="190" t="n">
        <f aca="false">MIN(1,MAX(0,((YEAR(BW$6)-YEAR($D$13))*12+MONTH(BW$6)-MONTH($D$13)+0.5)/MAX($D$49,0.5)))</f>
        <v>1</v>
      </c>
      <c r="BX50" s="190" t="n">
        <f aca="false">MIN(1,MAX(0,((YEAR(BX$6)-YEAR($D$13))*12+MONTH(BX$6)-MONTH($D$13)+0.5)/MAX($D$49,0.5)))</f>
        <v>1</v>
      </c>
      <c r="BY50" s="190" t="n">
        <f aca="false">MIN(1,MAX(0,((YEAR(BY$6)-YEAR($D$13))*12+MONTH(BY$6)-MONTH($D$13)+0.5)/MAX($D$49,0.5)))</f>
        <v>1</v>
      </c>
      <c r="BZ50" s="190" t="n">
        <f aca="false">MIN(1,MAX(0,((YEAR(BZ$6)-YEAR($D$13))*12+MONTH(BZ$6)-MONTH($D$13)+0.5)/MAX($D$49,0.5)))</f>
        <v>1</v>
      </c>
      <c r="CA50" s="190" t="n">
        <f aca="false">MIN(1,MAX(0,((YEAR(CA$6)-YEAR($D$13))*12+MONTH(CA$6)-MONTH($D$13)+0.5)/MAX($D$49,0.5)))</f>
        <v>1</v>
      </c>
    </row>
    <row r="51" customFormat="false" ht="15" hidden="false" customHeight="false" outlineLevel="0" collapsed="false">
      <c r="B51" s="10" t="s">
        <v>321</v>
      </c>
      <c r="L51" s="190" t="n">
        <f aca="false">SUMIFS($T50:$CA50,$T$5:$CA$5,2026)/12</f>
        <v>0</v>
      </c>
      <c r="M51" s="190" t="n">
        <f aca="false">SUMIFS($T50:$CA50,$T$5:$CA$5,2027)/12</f>
        <v>0.0952380952380952</v>
      </c>
      <c r="N51" s="190" t="n">
        <f aca="false">SUMIFS($T50:$CA50,$T$5:$CA$5,2028)/12</f>
        <v>0.946428571428572</v>
      </c>
      <c r="O51" s="190" t="n">
        <f aca="false">SUMIFS($T50:$CA50,$T$5:$CA$5,2029)/12</f>
        <v>1</v>
      </c>
      <c r="P51" s="190" t="n">
        <f aca="false">SUMIFS($T50:$CA50,$T$5:$CA$5,2030)/12</f>
        <v>1</v>
      </c>
    </row>
    <row r="53" customFormat="false" ht="18" hidden="false" customHeight="true" outlineLevel="0" collapsed="false">
      <c r="B53" s="5" t="s">
        <v>322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5" customFormat="false" ht="15" hidden="false" customHeight="false" outlineLevel="0" collapsed="false">
      <c r="B55" s="191" t="s">
        <v>323</v>
      </c>
      <c r="D55" s="169" t="s">
        <v>324</v>
      </c>
      <c r="K55" s="192" t="s">
        <v>259</v>
      </c>
    </row>
    <row r="56" customFormat="false" ht="15" hidden="false" customHeight="false" outlineLevel="0" collapsed="false">
      <c r="B56" s="10" t="s">
        <v>459</v>
      </c>
      <c r="D56" s="193" t="n">
        <f aca="false">$D$25/1000000</f>
        <v>143.18592021</v>
      </c>
      <c r="K56" s="193" t="n">
        <f aca="false">SUMIFS($T56:$CA56,$T$5:$CA$5,2030)</f>
        <v>14.7712297585212</v>
      </c>
      <c r="L56" s="193" t="n">
        <f aca="false">SUMIFS($T56:$CA56,$T$5:$CA$5,2026)</f>
        <v>0</v>
      </c>
      <c r="M56" s="193" t="n">
        <f aca="false">SUMIFS($T56:$CA56,$T$5:$CA$5,2027)</f>
        <v>1.40678378652583</v>
      </c>
      <c r="N56" s="193" t="n">
        <f aca="false">SUMIFS($T56:$CA56,$T$5:$CA$5,2028)</f>
        <v>13.9799138786004</v>
      </c>
      <c r="O56" s="193" t="n">
        <f aca="false">SUMIFS($T56:$CA56,$T$5:$CA$5,2029)</f>
        <v>14.7712297585212</v>
      </c>
      <c r="P56" s="193" t="n">
        <f aca="false">SUMIFS($T56:$CA56,$T$5:$CA$5,2030)</f>
        <v>14.7712297585212</v>
      </c>
      <c r="R56" s="10"/>
      <c r="T56" s="193" t="n">
        <f aca="false">($D$44)/1000000/12*T$50</f>
        <v>0</v>
      </c>
      <c r="U56" s="193" t="n">
        <f aca="false">($D$44)/1000000/12*U$50</f>
        <v>0</v>
      </c>
      <c r="V56" s="193" t="n">
        <f aca="false">($D$44)/1000000/12*V$50</f>
        <v>0</v>
      </c>
      <c r="W56" s="193" t="n">
        <f aca="false">($D$44)/1000000/12*W$50</f>
        <v>0</v>
      </c>
      <c r="X56" s="193" t="n">
        <f aca="false">($D$44)/1000000/12*X$50</f>
        <v>0</v>
      </c>
      <c r="Y56" s="193" t="n">
        <f aca="false">($D$44)/1000000/12*Y$50</f>
        <v>0</v>
      </c>
      <c r="Z56" s="193" t="n">
        <f aca="false">($D$44)/1000000/12*Z$50</f>
        <v>0</v>
      </c>
      <c r="AA56" s="193" t="n">
        <f aca="false">($D$44)/1000000/12*AA$50</f>
        <v>0</v>
      </c>
      <c r="AB56" s="193" t="n">
        <f aca="false">($D$44)/1000000/12*AB$50</f>
        <v>0</v>
      </c>
      <c r="AC56" s="193" t="n">
        <f aca="false">($D$44)/1000000/12*AC$50</f>
        <v>0</v>
      </c>
      <c r="AD56" s="193" t="n">
        <f aca="false">($D$44)/1000000/12*AD$50</f>
        <v>0</v>
      </c>
      <c r="AE56" s="193" t="n">
        <f aca="false">($D$44)/1000000/12*AE$50</f>
        <v>0</v>
      </c>
      <c r="AF56" s="193" t="n">
        <f aca="false">($D$44)/1000000/12*AF$50</f>
        <v>0</v>
      </c>
      <c r="AG56" s="193" t="n">
        <f aca="false">($D$44)/1000000/12*AG$50</f>
        <v>0</v>
      </c>
      <c r="AH56" s="193" t="n">
        <f aca="false">($D$44)/1000000/12*AH$50</f>
        <v>0</v>
      </c>
      <c r="AI56" s="193" t="n">
        <f aca="false">($D$44)/1000000/12*AI$50</f>
        <v>0</v>
      </c>
      <c r="AJ56" s="193" t="n">
        <f aca="false">($D$44)/1000000/12*AJ$50</f>
        <v>0</v>
      </c>
      <c r="AK56" s="193" t="n">
        <f aca="false">($D$44)/1000000/12*AK$50</f>
        <v>0</v>
      </c>
      <c r="AL56" s="193" t="n">
        <f aca="false">($D$44)/1000000/12*AL$50</f>
        <v>0</v>
      </c>
      <c r="AM56" s="193" t="n">
        <f aca="false">($D$44)/1000000/12*AM$50</f>
        <v>0</v>
      </c>
      <c r="AN56" s="193" t="n">
        <f aca="false">($D$44)/1000000/12*AN$50</f>
        <v>0.0879239866578642</v>
      </c>
      <c r="AO56" s="193" t="n">
        <f aca="false">($D$44)/1000000/12*AO$50</f>
        <v>0.263771959973593</v>
      </c>
      <c r="AP56" s="193" t="n">
        <f aca="false">($D$44)/1000000/12*AP$50</f>
        <v>0.439619933289321</v>
      </c>
      <c r="AQ56" s="193" t="n">
        <f aca="false">($D$44)/1000000/12*AQ$50</f>
        <v>0.615467906605049</v>
      </c>
      <c r="AR56" s="193" t="n">
        <f aca="false">($D$44)/1000000/12*AR$50</f>
        <v>0.791315879920778</v>
      </c>
      <c r="AS56" s="193" t="n">
        <f aca="false">($D$44)/1000000/12*AS$50</f>
        <v>0.967163853236506</v>
      </c>
      <c r="AT56" s="193" t="n">
        <f aca="false">($D$44)/1000000/12*AT$50</f>
        <v>1.14301182655223</v>
      </c>
      <c r="AU56" s="193" t="n">
        <f aca="false">($D$44)/1000000/12*AU$50</f>
        <v>1.2309358132101</v>
      </c>
      <c r="AV56" s="193" t="n">
        <f aca="false">($D$44)/1000000/12*AV$50</f>
        <v>1.2309358132101</v>
      </c>
      <c r="AW56" s="193" t="n">
        <f aca="false">($D$44)/1000000/12*AW$50</f>
        <v>1.2309358132101</v>
      </c>
      <c r="AX56" s="193" t="n">
        <f aca="false">($D$44)/1000000/12*AX$50</f>
        <v>1.2309358132101</v>
      </c>
      <c r="AY56" s="193" t="n">
        <f aca="false">($D$44)/1000000/12*AY$50</f>
        <v>1.2309358132101</v>
      </c>
      <c r="AZ56" s="193" t="n">
        <f aca="false">($D$44)/1000000/12*AZ$50</f>
        <v>1.2309358132101</v>
      </c>
      <c r="BA56" s="193" t="n">
        <f aca="false">($D$44)/1000000/12*BA$50</f>
        <v>1.2309358132101</v>
      </c>
      <c r="BB56" s="193" t="n">
        <f aca="false">($D$44)/1000000/12*BB$50</f>
        <v>1.2309358132101</v>
      </c>
      <c r="BC56" s="193" t="n">
        <f aca="false">($D$44)/1000000/12*BC$50</f>
        <v>1.2309358132101</v>
      </c>
      <c r="BD56" s="193" t="n">
        <f aca="false">($D$44)/1000000/12*BD$50</f>
        <v>1.2309358132101</v>
      </c>
      <c r="BE56" s="193" t="n">
        <f aca="false">($D$44)/1000000/12*BE$50</f>
        <v>1.2309358132101</v>
      </c>
      <c r="BF56" s="193" t="n">
        <f aca="false">($D$44)/1000000/12*BF$50</f>
        <v>1.2309358132101</v>
      </c>
      <c r="BG56" s="193" t="n">
        <f aca="false">($D$44)/1000000/12*BG$50</f>
        <v>1.2309358132101</v>
      </c>
      <c r="BH56" s="193" t="n">
        <f aca="false">($D$44)/1000000/12*BH$50</f>
        <v>1.2309358132101</v>
      </c>
      <c r="BI56" s="193" t="n">
        <f aca="false">($D$44)/1000000/12*BI$50</f>
        <v>1.2309358132101</v>
      </c>
      <c r="BJ56" s="193" t="n">
        <f aca="false">($D$44)/1000000/12*BJ$50</f>
        <v>1.2309358132101</v>
      </c>
      <c r="BK56" s="193" t="n">
        <f aca="false">($D$44)/1000000/12*BK$50</f>
        <v>1.2309358132101</v>
      </c>
      <c r="BL56" s="193" t="n">
        <f aca="false">($D$44)/1000000/12*BL$50</f>
        <v>1.2309358132101</v>
      </c>
      <c r="BM56" s="193" t="n">
        <f aca="false">($D$44)/1000000/12*BM$50</f>
        <v>1.2309358132101</v>
      </c>
      <c r="BN56" s="193" t="n">
        <f aca="false">($D$44)/1000000/12*BN$50</f>
        <v>1.2309358132101</v>
      </c>
      <c r="BO56" s="193" t="n">
        <f aca="false">($D$44)/1000000/12*BO$50</f>
        <v>1.2309358132101</v>
      </c>
      <c r="BP56" s="193" t="n">
        <f aca="false">($D$44)/1000000/12*BP$50</f>
        <v>1.2309358132101</v>
      </c>
      <c r="BQ56" s="193" t="n">
        <f aca="false">($D$44)/1000000/12*BQ$50</f>
        <v>1.2309358132101</v>
      </c>
      <c r="BR56" s="193" t="n">
        <f aca="false">($D$44)/1000000/12*BR$50</f>
        <v>1.2309358132101</v>
      </c>
      <c r="BS56" s="193" t="n">
        <f aca="false">($D$44)/1000000/12*BS$50</f>
        <v>1.2309358132101</v>
      </c>
      <c r="BT56" s="193" t="n">
        <f aca="false">($D$44)/1000000/12*BT$50</f>
        <v>1.2309358132101</v>
      </c>
      <c r="BU56" s="193" t="n">
        <f aca="false">($D$44)/1000000/12*BU$50</f>
        <v>1.2309358132101</v>
      </c>
      <c r="BV56" s="193" t="n">
        <f aca="false">($D$44)/1000000/12*BV$50</f>
        <v>1.2309358132101</v>
      </c>
      <c r="BW56" s="193" t="n">
        <f aca="false">($D$44)/1000000/12*BW$50</f>
        <v>1.2309358132101</v>
      </c>
      <c r="BX56" s="193" t="n">
        <f aca="false">($D$44)/1000000/12*BX$50</f>
        <v>1.2309358132101</v>
      </c>
      <c r="BY56" s="193" t="n">
        <f aca="false">($D$44)/1000000/12*BY$50</f>
        <v>1.2309358132101</v>
      </c>
      <c r="BZ56" s="193" t="n">
        <f aca="false">($D$44)/1000000/12*BZ$50</f>
        <v>1.2309358132101</v>
      </c>
      <c r="CA56" s="193" t="n">
        <f aca="false">($D$44)/1000000/12*CA$50</f>
        <v>1.2309358132101</v>
      </c>
    </row>
    <row r="57" customFormat="false" ht="15" hidden="false" customHeight="false" outlineLevel="0" collapsed="false">
      <c r="B57" s="3" t="s">
        <v>326</v>
      </c>
      <c r="K57" s="193" t="n">
        <f aca="false">SUM(K56:K56)</f>
        <v>14.7712297585212</v>
      </c>
      <c r="L57" s="193" t="n">
        <f aca="false">SUM(L56:L56)</f>
        <v>0</v>
      </c>
      <c r="M57" s="193" t="n">
        <f aca="false">SUM(M56:M56)</f>
        <v>1.40678378652583</v>
      </c>
      <c r="N57" s="193" t="n">
        <f aca="false">SUM(N56:N56)</f>
        <v>13.9799138786004</v>
      </c>
      <c r="O57" s="193" t="n">
        <f aca="false">SUM(O56:O56)</f>
        <v>14.7712297585212</v>
      </c>
      <c r="P57" s="193" t="n">
        <f aca="false">SUM(P56:P56)</f>
        <v>14.7712297585212</v>
      </c>
    </row>
    <row r="59" customFormat="false" ht="18" hidden="false" customHeight="true" outlineLevel="0" collapsed="false">
      <c r="B59" s="5" t="s">
        <v>327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</row>
    <row r="61" customFormat="false" ht="22.35" hidden="false" customHeight="false" outlineLevel="0" collapsed="false">
      <c r="B61" s="169" t="s">
        <v>221</v>
      </c>
      <c r="C61" s="169" t="s">
        <v>328</v>
      </c>
      <c r="D61" s="169" t="s">
        <v>329</v>
      </c>
      <c r="E61" s="169" t="s">
        <v>330</v>
      </c>
      <c r="F61" s="169" t="s">
        <v>331</v>
      </c>
      <c r="G61" s="169" t="s">
        <v>332</v>
      </c>
      <c r="H61" s="169" t="s">
        <v>333</v>
      </c>
      <c r="I61" s="169" t="s">
        <v>334</v>
      </c>
      <c r="K61" s="169" t="s">
        <v>335</v>
      </c>
    </row>
    <row r="62" customFormat="false" ht="30" hidden="false" customHeight="true" outlineLevel="0" collapsed="false">
      <c r="C62" s="185" t="s">
        <v>336</v>
      </c>
      <c r="E62" s="185" t="s">
        <v>337</v>
      </c>
      <c r="F62" s="185" t="s">
        <v>338</v>
      </c>
      <c r="G62" s="185" t="s">
        <v>339</v>
      </c>
      <c r="I62" s="185" t="s">
        <v>340</v>
      </c>
    </row>
    <row r="63" customFormat="false" ht="42" hidden="false" customHeight="true" outlineLevel="0" collapsed="false">
      <c r="B63" s="186" t="s">
        <v>224</v>
      </c>
      <c r="C63" s="194" t="s">
        <v>460</v>
      </c>
      <c r="D63" s="183" t="n">
        <v>4</v>
      </c>
      <c r="E63" s="183" t="n">
        <v>2</v>
      </c>
      <c r="F63" s="168" t="n">
        <v>0.1</v>
      </c>
      <c r="G63" s="159" t="n">
        <f aca="false">D63*E63*IF(K63="",'Rate Card'!$G$29,K63)*(1+F63)</f>
        <v>146666.666666667</v>
      </c>
      <c r="H63" s="178" t="n">
        <f aca="false">DATE(2027,1,1)</f>
        <v>46388</v>
      </c>
      <c r="I63" s="195" t="n">
        <f aca="false">'Rate Card'!$C$45</f>
        <v>0</v>
      </c>
      <c r="K63" s="158"/>
    </row>
    <row r="64" customFormat="false" ht="42" hidden="false" customHeight="true" outlineLevel="0" collapsed="false">
      <c r="B64" s="186" t="s">
        <v>225</v>
      </c>
      <c r="C64" s="194" t="s">
        <v>461</v>
      </c>
      <c r="D64" s="183" t="n">
        <v>8</v>
      </c>
      <c r="E64" s="183" t="n">
        <v>6</v>
      </c>
      <c r="F64" s="168" t="n">
        <v>0.1</v>
      </c>
      <c r="G64" s="159" t="n">
        <f aca="false">D64*E64*IF(K64="",'Rate Card'!$G$29,K64)*(1+F64)</f>
        <v>880000</v>
      </c>
      <c r="H64" s="178" t="n">
        <f aca="false">DATE(2027,3,1)</f>
        <v>46447</v>
      </c>
      <c r="I64" s="195" t="n">
        <f aca="false">'Rate Card'!$C$46</f>
        <v>0</v>
      </c>
      <c r="K64" s="158"/>
    </row>
    <row r="65" customFormat="false" ht="42" hidden="false" customHeight="true" outlineLevel="0" collapsed="false">
      <c r="B65" s="186" t="s">
        <v>226</v>
      </c>
      <c r="C65" s="194" t="s">
        <v>462</v>
      </c>
      <c r="D65" s="183" t="n">
        <v>5</v>
      </c>
      <c r="E65" s="183" t="n">
        <v>7</v>
      </c>
      <c r="F65" s="168" t="n">
        <v>0.1</v>
      </c>
      <c r="G65" s="159" t="n">
        <f aca="false">D65*E65*IF(K65="",'Rate Card'!$G$29,K65)*(1+F65)</f>
        <v>641666.666666667</v>
      </c>
      <c r="H65" s="178" t="n">
        <f aca="false">DATE(2027,9,1)</f>
        <v>46631</v>
      </c>
      <c r="I65" s="195" t="n">
        <f aca="false">'Rate Card'!$C$47</f>
        <v>0</v>
      </c>
      <c r="K65" s="158"/>
    </row>
    <row r="66" customFormat="false" ht="42" hidden="false" customHeight="true" outlineLevel="0" collapsed="false">
      <c r="B66" s="186" t="s">
        <v>227</v>
      </c>
      <c r="C66" s="194" t="s">
        <v>463</v>
      </c>
      <c r="D66" s="183" t="n">
        <v>0</v>
      </c>
      <c r="E66" s="183" t="n">
        <v>0</v>
      </c>
      <c r="F66" s="168" t="n">
        <v>0.1</v>
      </c>
      <c r="G66" s="159" t="n">
        <f aca="false">D66*E66*IF(K66="",'Rate Card'!$G$29,K66)*(1+F66)</f>
        <v>0</v>
      </c>
      <c r="H66" s="178" t="n">
        <f aca="false">DATE(2028,4,1)</f>
        <v>46844</v>
      </c>
      <c r="I66" s="195" t="n">
        <f aca="false">'Rate Card'!$C$48</f>
        <v>0</v>
      </c>
      <c r="K66" s="158"/>
    </row>
    <row r="68" customFormat="false" ht="15" hidden="false" customHeight="false" outlineLevel="0" collapsed="false">
      <c r="B68" s="167" t="s">
        <v>345</v>
      </c>
    </row>
    <row r="69" customFormat="false" ht="15" hidden="false" customHeight="false" outlineLevel="0" collapsed="false">
      <c r="B69" s="196" t="s">
        <v>346</v>
      </c>
      <c r="T69" s="159" t="n">
        <f aca="false">IF(AND(T$6&gt;=EOMONTH($H$63,0),T$6&lt;=EOMONTH(EDATE($H$63,$E$63-1),0)),$G$63/MAX($E$63,1),0)</f>
        <v>0</v>
      </c>
      <c r="U69" s="159" t="n">
        <f aca="false">IF(AND(U$6&gt;=EOMONTH($H$63,0),U$6&lt;=EOMONTH(EDATE($H$63,$E$63-1),0)),$G$63/MAX($E$63,1),0)</f>
        <v>0</v>
      </c>
      <c r="V69" s="159" t="n">
        <f aca="false">IF(AND(V$6&gt;=EOMONTH($H$63,0),V$6&lt;=EOMONTH(EDATE($H$63,$E$63-1),0)),$G$63/MAX($E$63,1),0)</f>
        <v>0</v>
      </c>
      <c r="W69" s="159" t="n">
        <f aca="false">IF(AND(W$6&gt;=EOMONTH($H$63,0),W$6&lt;=EOMONTH(EDATE($H$63,$E$63-1),0)),$G$63/MAX($E$63,1),0)</f>
        <v>0</v>
      </c>
      <c r="X69" s="159" t="n">
        <f aca="false">IF(AND(X$6&gt;=EOMONTH($H$63,0),X$6&lt;=EOMONTH(EDATE($H$63,$E$63-1),0)),$G$63/MAX($E$63,1),0)</f>
        <v>0</v>
      </c>
      <c r="Y69" s="159" t="n">
        <f aca="false">IF(AND(Y$6&gt;=EOMONTH($H$63,0),Y$6&lt;=EOMONTH(EDATE($H$63,$E$63-1),0)),$G$63/MAX($E$63,1),0)</f>
        <v>0</v>
      </c>
      <c r="Z69" s="159" t="n">
        <f aca="false">IF(AND(Z$6&gt;=EOMONTH($H$63,0),Z$6&lt;=EOMONTH(EDATE($H$63,$E$63-1),0)),$G$63/MAX($E$63,1),0)</f>
        <v>0</v>
      </c>
      <c r="AA69" s="159" t="n">
        <f aca="false">IF(AND(AA$6&gt;=EOMONTH($H$63,0),AA$6&lt;=EOMONTH(EDATE($H$63,$E$63-1),0)),$G$63/MAX($E$63,1),0)</f>
        <v>0</v>
      </c>
      <c r="AB69" s="159" t="n">
        <f aca="false">IF(AND(AB$6&gt;=EOMONTH($H$63,0),AB$6&lt;=EOMONTH(EDATE($H$63,$E$63-1),0)),$G$63/MAX($E$63,1),0)</f>
        <v>0</v>
      </c>
      <c r="AC69" s="159" t="n">
        <f aca="false">IF(AND(AC$6&gt;=EOMONTH($H$63,0),AC$6&lt;=EOMONTH(EDATE($H$63,$E$63-1),0)),$G$63/MAX($E$63,1),0)</f>
        <v>0</v>
      </c>
      <c r="AD69" s="159" t="n">
        <f aca="false">IF(AND(AD$6&gt;=EOMONTH($H$63,0),AD$6&lt;=EOMONTH(EDATE($H$63,$E$63-1),0)),$G$63/MAX($E$63,1),0)</f>
        <v>0</v>
      </c>
      <c r="AE69" s="159" t="n">
        <f aca="false">IF(AND(AE$6&gt;=EOMONTH($H$63,0),AE$6&lt;=EOMONTH(EDATE($H$63,$E$63-1),0)),$G$63/MAX($E$63,1),0)</f>
        <v>0</v>
      </c>
      <c r="AF69" s="159" t="n">
        <f aca="false">IF(AND(AF$6&gt;=EOMONTH($H$63,0),AF$6&lt;=EOMONTH(EDATE($H$63,$E$63-1),0)),$G$63/MAX($E$63,1),0)</f>
        <v>73333.3333333333</v>
      </c>
      <c r="AG69" s="159" t="n">
        <f aca="false">IF(AND(AG$6&gt;=EOMONTH($H$63,0),AG$6&lt;=EOMONTH(EDATE($H$63,$E$63-1),0)),$G$63/MAX($E$63,1),0)</f>
        <v>73333.3333333333</v>
      </c>
      <c r="AH69" s="159" t="n">
        <f aca="false">IF(AND(AH$6&gt;=EOMONTH($H$63,0),AH$6&lt;=EOMONTH(EDATE($H$63,$E$63-1),0)),$G$63/MAX($E$63,1),0)</f>
        <v>0</v>
      </c>
      <c r="AI69" s="159" t="n">
        <f aca="false">IF(AND(AI$6&gt;=EOMONTH($H$63,0),AI$6&lt;=EOMONTH(EDATE($H$63,$E$63-1),0)),$G$63/MAX($E$63,1),0)</f>
        <v>0</v>
      </c>
      <c r="AJ69" s="159" t="n">
        <f aca="false">IF(AND(AJ$6&gt;=EOMONTH($H$63,0),AJ$6&lt;=EOMONTH(EDATE($H$63,$E$63-1),0)),$G$63/MAX($E$63,1),0)</f>
        <v>0</v>
      </c>
      <c r="AK69" s="159" t="n">
        <f aca="false">IF(AND(AK$6&gt;=EOMONTH($H$63,0),AK$6&lt;=EOMONTH(EDATE($H$63,$E$63-1),0)),$G$63/MAX($E$63,1),0)</f>
        <v>0</v>
      </c>
      <c r="AL69" s="159" t="n">
        <f aca="false">IF(AND(AL$6&gt;=EOMONTH($H$63,0),AL$6&lt;=EOMONTH(EDATE($H$63,$E$63-1),0)),$G$63/MAX($E$63,1),0)</f>
        <v>0</v>
      </c>
      <c r="AM69" s="159" t="n">
        <f aca="false">IF(AND(AM$6&gt;=EOMONTH($H$63,0),AM$6&lt;=EOMONTH(EDATE($H$63,$E$63-1),0)),$G$63/MAX($E$63,1),0)</f>
        <v>0</v>
      </c>
      <c r="AN69" s="159" t="n">
        <f aca="false">IF(AND(AN$6&gt;=EOMONTH($H$63,0),AN$6&lt;=EOMONTH(EDATE($H$63,$E$63-1),0)),$G$63/MAX($E$63,1),0)</f>
        <v>0</v>
      </c>
      <c r="AO69" s="159" t="n">
        <f aca="false">IF(AND(AO$6&gt;=EOMONTH($H$63,0),AO$6&lt;=EOMONTH(EDATE($H$63,$E$63-1),0)),$G$63/MAX($E$63,1),0)</f>
        <v>0</v>
      </c>
      <c r="AP69" s="159" t="n">
        <f aca="false">IF(AND(AP$6&gt;=EOMONTH($H$63,0),AP$6&lt;=EOMONTH(EDATE($H$63,$E$63-1),0)),$G$63/MAX($E$63,1),0)</f>
        <v>0</v>
      </c>
      <c r="AQ69" s="159" t="n">
        <f aca="false">IF(AND(AQ$6&gt;=EOMONTH($H$63,0),AQ$6&lt;=EOMONTH(EDATE($H$63,$E$63-1),0)),$G$63/MAX($E$63,1),0)</f>
        <v>0</v>
      </c>
      <c r="AR69" s="159" t="n">
        <f aca="false">IF(AND(AR$6&gt;=EOMONTH($H$63,0),AR$6&lt;=EOMONTH(EDATE($H$63,$E$63-1),0)),$G$63/MAX($E$63,1),0)</f>
        <v>0</v>
      </c>
      <c r="AS69" s="159" t="n">
        <f aca="false">IF(AND(AS$6&gt;=EOMONTH($H$63,0),AS$6&lt;=EOMONTH(EDATE($H$63,$E$63-1),0)),$G$63/MAX($E$63,1),0)</f>
        <v>0</v>
      </c>
      <c r="AT69" s="159" t="n">
        <f aca="false">IF(AND(AT$6&gt;=EOMONTH($H$63,0),AT$6&lt;=EOMONTH(EDATE($H$63,$E$63-1),0)),$G$63/MAX($E$63,1),0)</f>
        <v>0</v>
      </c>
      <c r="AU69" s="159" t="n">
        <f aca="false">IF(AND(AU$6&gt;=EOMONTH($H$63,0),AU$6&lt;=EOMONTH(EDATE($H$63,$E$63-1),0)),$G$63/MAX($E$63,1),0)</f>
        <v>0</v>
      </c>
      <c r="AV69" s="159" t="n">
        <f aca="false">IF(AND(AV$6&gt;=EOMONTH($H$63,0),AV$6&lt;=EOMONTH(EDATE($H$63,$E$63-1),0)),$G$63/MAX($E$63,1),0)</f>
        <v>0</v>
      </c>
      <c r="AW69" s="159" t="n">
        <f aca="false">IF(AND(AW$6&gt;=EOMONTH($H$63,0),AW$6&lt;=EOMONTH(EDATE($H$63,$E$63-1),0)),$G$63/MAX($E$63,1),0)</f>
        <v>0</v>
      </c>
      <c r="AX69" s="159" t="n">
        <f aca="false">IF(AND(AX$6&gt;=EOMONTH($H$63,0),AX$6&lt;=EOMONTH(EDATE($H$63,$E$63-1),0)),$G$63/MAX($E$63,1),0)</f>
        <v>0</v>
      </c>
      <c r="AY69" s="159" t="n">
        <f aca="false">IF(AND(AY$6&gt;=EOMONTH($H$63,0),AY$6&lt;=EOMONTH(EDATE($H$63,$E$63-1),0)),$G$63/MAX($E$63,1),0)</f>
        <v>0</v>
      </c>
      <c r="AZ69" s="159" t="n">
        <f aca="false">IF(AND(AZ$6&gt;=EOMONTH($H$63,0),AZ$6&lt;=EOMONTH(EDATE($H$63,$E$63-1),0)),$G$63/MAX($E$63,1),0)</f>
        <v>0</v>
      </c>
      <c r="BA69" s="159" t="n">
        <f aca="false">IF(AND(BA$6&gt;=EOMONTH($H$63,0),BA$6&lt;=EOMONTH(EDATE($H$63,$E$63-1),0)),$G$63/MAX($E$63,1),0)</f>
        <v>0</v>
      </c>
      <c r="BB69" s="159" t="n">
        <f aca="false">IF(AND(BB$6&gt;=EOMONTH($H$63,0),BB$6&lt;=EOMONTH(EDATE($H$63,$E$63-1),0)),$G$63/MAX($E$63,1),0)</f>
        <v>0</v>
      </c>
      <c r="BC69" s="159" t="n">
        <f aca="false">IF(AND(BC$6&gt;=EOMONTH($H$63,0),BC$6&lt;=EOMONTH(EDATE($H$63,$E$63-1),0)),$G$63/MAX($E$63,1),0)</f>
        <v>0</v>
      </c>
      <c r="BD69" s="159" t="n">
        <f aca="false">IF(AND(BD$6&gt;=EOMONTH($H$63,0),BD$6&lt;=EOMONTH(EDATE($H$63,$E$63-1),0)),$G$63/MAX($E$63,1),0)</f>
        <v>0</v>
      </c>
      <c r="BE69" s="159" t="n">
        <f aca="false">IF(AND(BE$6&gt;=EOMONTH($H$63,0),BE$6&lt;=EOMONTH(EDATE($H$63,$E$63-1),0)),$G$63/MAX($E$63,1),0)</f>
        <v>0</v>
      </c>
      <c r="BF69" s="159" t="n">
        <f aca="false">IF(AND(BF$6&gt;=EOMONTH($H$63,0),BF$6&lt;=EOMONTH(EDATE($H$63,$E$63-1),0)),$G$63/MAX($E$63,1),0)</f>
        <v>0</v>
      </c>
      <c r="BG69" s="159" t="n">
        <f aca="false">IF(AND(BG$6&gt;=EOMONTH($H$63,0),BG$6&lt;=EOMONTH(EDATE($H$63,$E$63-1),0)),$G$63/MAX($E$63,1),0)</f>
        <v>0</v>
      </c>
      <c r="BH69" s="159" t="n">
        <f aca="false">IF(AND(BH$6&gt;=EOMONTH($H$63,0),BH$6&lt;=EOMONTH(EDATE($H$63,$E$63-1),0)),$G$63/MAX($E$63,1),0)</f>
        <v>0</v>
      </c>
      <c r="BI69" s="159" t="n">
        <f aca="false">IF(AND(BI$6&gt;=EOMONTH($H$63,0),BI$6&lt;=EOMONTH(EDATE($H$63,$E$63-1),0)),$G$63/MAX($E$63,1),0)</f>
        <v>0</v>
      </c>
      <c r="BJ69" s="159" t="n">
        <f aca="false">IF(AND(BJ$6&gt;=EOMONTH($H$63,0),BJ$6&lt;=EOMONTH(EDATE($H$63,$E$63-1),0)),$G$63/MAX($E$63,1),0)</f>
        <v>0</v>
      </c>
      <c r="BK69" s="159" t="n">
        <f aca="false">IF(AND(BK$6&gt;=EOMONTH($H$63,0),BK$6&lt;=EOMONTH(EDATE($H$63,$E$63-1),0)),$G$63/MAX($E$63,1),0)</f>
        <v>0</v>
      </c>
      <c r="BL69" s="159" t="n">
        <f aca="false">IF(AND(BL$6&gt;=EOMONTH($H$63,0),BL$6&lt;=EOMONTH(EDATE($H$63,$E$63-1),0)),$G$63/MAX($E$63,1),0)</f>
        <v>0</v>
      </c>
      <c r="BM69" s="159" t="n">
        <f aca="false">IF(AND(BM$6&gt;=EOMONTH($H$63,0),BM$6&lt;=EOMONTH(EDATE($H$63,$E$63-1),0)),$G$63/MAX($E$63,1),0)</f>
        <v>0</v>
      </c>
      <c r="BN69" s="159" t="n">
        <f aca="false">IF(AND(BN$6&gt;=EOMONTH($H$63,0),BN$6&lt;=EOMONTH(EDATE($H$63,$E$63-1),0)),$G$63/MAX($E$63,1),0)</f>
        <v>0</v>
      </c>
      <c r="BO69" s="159" t="n">
        <f aca="false">IF(AND(BO$6&gt;=EOMONTH($H$63,0),BO$6&lt;=EOMONTH(EDATE($H$63,$E$63-1),0)),$G$63/MAX($E$63,1),0)</f>
        <v>0</v>
      </c>
      <c r="BP69" s="159" t="n">
        <f aca="false">IF(AND(BP$6&gt;=EOMONTH($H$63,0),BP$6&lt;=EOMONTH(EDATE($H$63,$E$63-1),0)),$G$63/MAX($E$63,1),0)</f>
        <v>0</v>
      </c>
      <c r="BQ69" s="159" t="n">
        <f aca="false">IF(AND(BQ$6&gt;=EOMONTH($H$63,0),BQ$6&lt;=EOMONTH(EDATE($H$63,$E$63-1),0)),$G$63/MAX($E$63,1),0)</f>
        <v>0</v>
      </c>
      <c r="BR69" s="159" t="n">
        <f aca="false">IF(AND(BR$6&gt;=EOMONTH($H$63,0),BR$6&lt;=EOMONTH(EDATE($H$63,$E$63-1),0)),$G$63/MAX($E$63,1),0)</f>
        <v>0</v>
      </c>
      <c r="BS69" s="159" t="n">
        <f aca="false">IF(AND(BS$6&gt;=EOMONTH($H$63,0),BS$6&lt;=EOMONTH(EDATE($H$63,$E$63-1),0)),$G$63/MAX($E$63,1),0)</f>
        <v>0</v>
      </c>
      <c r="BT69" s="159" t="n">
        <f aca="false">IF(AND(BT$6&gt;=EOMONTH($H$63,0),BT$6&lt;=EOMONTH(EDATE($H$63,$E$63-1),0)),$G$63/MAX($E$63,1),0)</f>
        <v>0</v>
      </c>
      <c r="BU69" s="159" t="n">
        <f aca="false">IF(AND(BU$6&gt;=EOMONTH($H$63,0),BU$6&lt;=EOMONTH(EDATE($H$63,$E$63-1),0)),$G$63/MAX($E$63,1),0)</f>
        <v>0</v>
      </c>
      <c r="BV69" s="159" t="n">
        <f aca="false">IF(AND(BV$6&gt;=EOMONTH($H$63,0),BV$6&lt;=EOMONTH(EDATE($H$63,$E$63-1),0)),$G$63/MAX($E$63,1),0)</f>
        <v>0</v>
      </c>
      <c r="BW69" s="159" t="n">
        <f aca="false">IF(AND(BW$6&gt;=EOMONTH($H$63,0),BW$6&lt;=EOMONTH(EDATE($H$63,$E$63-1),0)),$G$63/MAX($E$63,1),0)</f>
        <v>0</v>
      </c>
      <c r="BX69" s="159" t="n">
        <f aca="false">IF(AND(BX$6&gt;=EOMONTH($H$63,0),BX$6&lt;=EOMONTH(EDATE($H$63,$E$63-1),0)),$G$63/MAX($E$63,1),0)</f>
        <v>0</v>
      </c>
      <c r="BY69" s="159" t="n">
        <f aca="false">IF(AND(BY$6&gt;=EOMONTH($H$63,0),BY$6&lt;=EOMONTH(EDATE($H$63,$E$63-1),0)),$G$63/MAX($E$63,1),0)</f>
        <v>0</v>
      </c>
      <c r="BZ69" s="159" t="n">
        <f aca="false">IF(AND(BZ$6&gt;=EOMONTH($H$63,0),BZ$6&lt;=EOMONTH(EDATE($H$63,$E$63-1),0)),$G$63/MAX($E$63,1),0)</f>
        <v>0</v>
      </c>
      <c r="CA69" s="159" t="n">
        <f aca="false">IF(AND(CA$6&gt;=EOMONTH($H$63,0),CA$6&lt;=EOMONTH(EDATE($H$63,$E$63-1),0)),$G$63/MAX($E$63,1),0)</f>
        <v>0</v>
      </c>
    </row>
    <row r="70" customFormat="false" ht="15" hidden="false" customHeight="false" outlineLevel="0" collapsed="false">
      <c r="B70" s="196" t="s">
        <v>347</v>
      </c>
      <c r="T70" s="159" t="n">
        <f aca="false">IF(AND(T$6&gt;=EOMONTH($H$64,0),T$6&lt;=EOMONTH(EDATE($H$64,$E$64-1),0)),$G$64/MAX($E$64,1),0)</f>
        <v>0</v>
      </c>
      <c r="U70" s="159" t="n">
        <f aca="false">IF(AND(U$6&gt;=EOMONTH($H$64,0),U$6&lt;=EOMONTH(EDATE($H$64,$E$64-1),0)),$G$64/MAX($E$64,1),0)</f>
        <v>0</v>
      </c>
      <c r="V70" s="159" t="n">
        <f aca="false">IF(AND(V$6&gt;=EOMONTH($H$64,0),V$6&lt;=EOMONTH(EDATE($H$64,$E$64-1),0)),$G$64/MAX($E$64,1),0)</f>
        <v>0</v>
      </c>
      <c r="W70" s="159" t="n">
        <f aca="false">IF(AND(W$6&gt;=EOMONTH($H$64,0),W$6&lt;=EOMONTH(EDATE($H$64,$E$64-1),0)),$G$64/MAX($E$64,1),0)</f>
        <v>0</v>
      </c>
      <c r="X70" s="159" t="n">
        <f aca="false">IF(AND(X$6&gt;=EOMONTH($H$64,0),X$6&lt;=EOMONTH(EDATE($H$64,$E$64-1),0)),$G$64/MAX($E$64,1),0)</f>
        <v>0</v>
      </c>
      <c r="Y70" s="159" t="n">
        <f aca="false">IF(AND(Y$6&gt;=EOMONTH($H$64,0),Y$6&lt;=EOMONTH(EDATE($H$64,$E$64-1),0)),$G$64/MAX($E$64,1),0)</f>
        <v>0</v>
      </c>
      <c r="Z70" s="159" t="n">
        <f aca="false">IF(AND(Z$6&gt;=EOMONTH($H$64,0),Z$6&lt;=EOMONTH(EDATE($H$64,$E$64-1),0)),$G$64/MAX($E$64,1),0)</f>
        <v>0</v>
      </c>
      <c r="AA70" s="159" t="n">
        <f aca="false">IF(AND(AA$6&gt;=EOMONTH($H$64,0),AA$6&lt;=EOMONTH(EDATE($H$64,$E$64-1),0)),$G$64/MAX($E$64,1),0)</f>
        <v>0</v>
      </c>
      <c r="AB70" s="159" t="n">
        <f aca="false">IF(AND(AB$6&gt;=EOMONTH($H$64,0),AB$6&lt;=EOMONTH(EDATE($H$64,$E$64-1),0)),$G$64/MAX($E$64,1),0)</f>
        <v>0</v>
      </c>
      <c r="AC70" s="159" t="n">
        <f aca="false">IF(AND(AC$6&gt;=EOMONTH($H$64,0),AC$6&lt;=EOMONTH(EDATE($H$64,$E$64-1),0)),$G$64/MAX($E$64,1),0)</f>
        <v>0</v>
      </c>
      <c r="AD70" s="159" t="n">
        <f aca="false">IF(AND(AD$6&gt;=EOMONTH($H$64,0),AD$6&lt;=EOMONTH(EDATE($H$64,$E$64-1),0)),$G$64/MAX($E$64,1),0)</f>
        <v>0</v>
      </c>
      <c r="AE70" s="159" t="n">
        <f aca="false">IF(AND(AE$6&gt;=EOMONTH($H$64,0),AE$6&lt;=EOMONTH(EDATE($H$64,$E$64-1),0)),$G$64/MAX($E$64,1),0)</f>
        <v>0</v>
      </c>
      <c r="AF70" s="159" t="n">
        <f aca="false">IF(AND(AF$6&gt;=EOMONTH($H$64,0),AF$6&lt;=EOMONTH(EDATE($H$64,$E$64-1),0)),$G$64/MAX($E$64,1),0)</f>
        <v>0</v>
      </c>
      <c r="AG70" s="159" t="n">
        <f aca="false">IF(AND(AG$6&gt;=EOMONTH($H$64,0),AG$6&lt;=EOMONTH(EDATE($H$64,$E$64-1),0)),$G$64/MAX($E$64,1),0)</f>
        <v>0</v>
      </c>
      <c r="AH70" s="159" t="n">
        <f aca="false">IF(AND(AH$6&gt;=EOMONTH($H$64,0),AH$6&lt;=EOMONTH(EDATE($H$64,$E$64-1),0)),$G$64/MAX($E$64,1),0)</f>
        <v>146666.666666667</v>
      </c>
      <c r="AI70" s="159" t="n">
        <f aca="false">IF(AND(AI$6&gt;=EOMONTH($H$64,0),AI$6&lt;=EOMONTH(EDATE($H$64,$E$64-1),0)),$G$64/MAX($E$64,1),0)</f>
        <v>146666.666666667</v>
      </c>
      <c r="AJ70" s="159" t="n">
        <f aca="false">IF(AND(AJ$6&gt;=EOMONTH($H$64,0),AJ$6&lt;=EOMONTH(EDATE($H$64,$E$64-1),0)),$G$64/MAX($E$64,1),0)</f>
        <v>146666.666666667</v>
      </c>
      <c r="AK70" s="159" t="n">
        <f aca="false">IF(AND(AK$6&gt;=EOMONTH($H$64,0),AK$6&lt;=EOMONTH(EDATE($H$64,$E$64-1),0)),$G$64/MAX($E$64,1),0)</f>
        <v>146666.666666667</v>
      </c>
      <c r="AL70" s="159" t="n">
        <f aca="false">IF(AND(AL$6&gt;=EOMONTH($H$64,0),AL$6&lt;=EOMONTH(EDATE($H$64,$E$64-1),0)),$G$64/MAX($E$64,1),0)</f>
        <v>146666.666666667</v>
      </c>
      <c r="AM70" s="159" t="n">
        <f aca="false">IF(AND(AM$6&gt;=EOMONTH($H$64,0),AM$6&lt;=EOMONTH(EDATE($H$64,$E$64-1),0)),$G$64/MAX($E$64,1),0)</f>
        <v>146666.666666667</v>
      </c>
      <c r="AN70" s="159" t="n">
        <f aca="false">IF(AND(AN$6&gt;=EOMONTH($H$64,0),AN$6&lt;=EOMONTH(EDATE($H$64,$E$64-1),0)),$G$64/MAX($E$64,1),0)</f>
        <v>0</v>
      </c>
      <c r="AO70" s="159" t="n">
        <f aca="false">IF(AND(AO$6&gt;=EOMONTH($H$64,0),AO$6&lt;=EOMONTH(EDATE($H$64,$E$64-1),0)),$G$64/MAX($E$64,1),0)</f>
        <v>0</v>
      </c>
      <c r="AP70" s="159" t="n">
        <f aca="false">IF(AND(AP$6&gt;=EOMONTH($H$64,0),AP$6&lt;=EOMONTH(EDATE($H$64,$E$64-1),0)),$G$64/MAX($E$64,1),0)</f>
        <v>0</v>
      </c>
      <c r="AQ70" s="159" t="n">
        <f aca="false">IF(AND(AQ$6&gt;=EOMONTH($H$64,0),AQ$6&lt;=EOMONTH(EDATE($H$64,$E$64-1),0)),$G$64/MAX($E$64,1),0)</f>
        <v>0</v>
      </c>
      <c r="AR70" s="159" t="n">
        <f aca="false">IF(AND(AR$6&gt;=EOMONTH($H$64,0),AR$6&lt;=EOMONTH(EDATE($H$64,$E$64-1),0)),$G$64/MAX($E$64,1),0)</f>
        <v>0</v>
      </c>
      <c r="AS70" s="159" t="n">
        <f aca="false">IF(AND(AS$6&gt;=EOMONTH($H$64,0),AS$6&lt;=EOMONTH(EDATE($H$64,$E$64-1),0)),$G$64/MAX($E$64,1),0)</f>
        <v>0</v>
      </c>
      <c r="AT70" s="159" t="n">
        <f aca="false">IF(AND(AT$6&gt;=EOMONTH($H$64,0),AT$6&lt;=EOMONTH(EDATE($H$64,$E$64-1),0)),$G$64/MAX($E$64,1),0)</f>
        <v>0</v>
      </c>
      <c r="AU70" s="159" t="n">
        <f aca="false">IF(AND(AU$6&gt;=EOMONTH($H$64,0),AU$6&lt;=EOMONTH(EDATE($H$64,$E$64-1),0)),$G$64/MAX($E$64,1),0)</f>
        <v>0</v>
      </c>
      <c r="AV70" s="159" t="n">
        <f aca="false">IF(AND(AV$6&gt;=EOMONTH($H$64,0),AV$6&lt;=EOMONTH(EDATE($H$64,$E$64-1),0)),$G$64/MAX($E$64,1),0)</f>
        <v>0</v>
      </c>
      <c r="AW70" s="159" t="n">
        <f aca="false">IF(AND(AW$6&gt;=EOMONTH($H$64,0),AW$6&lt;=EOMONTH(EDATE($H$64,$E$64-1),0)),$G$64/MAX($E$64,1),0)</f>
        <v>0</v>
      </c>
      <c r="AX70" s="159" t="n">
        <f aca="false">IF(AND(AX$6&gt;=EOMONTH($H$64,0),AX$6&lt;=EOMONTH(EDATE($H$64,$E$64-1),0)),$G$64/MAX($E$64,1),0)</f>
        <v>0</v>
      </c>
      <c r="AY70" s="159" t="n">
        <f aca="false">IF(AND(AY$6&gt;=EOMONTH($H$64,0),AY$6&lt;=EOMONTH(EDATE($H$64,$E$64-1),0)),$G$64/MAX($E$64,1),0)</f>
        <v>0</v>
      </c>
      <c r="AZ70" s="159" t="n">
        <f aca="false">IF(AND(AZ$6&gt;=EOMONTH($H$64,0),AZ$6&lt;=EOMONTH(EDATE($H$64,$E$64-1),0)),$G$64/MAX($E$64,1),0)</f>
        <v>0</v>
      </c>
      <c r="BA70" s="159" t="n">
        <f aca="false">IF(AND(BA$6&gt;=EOMONTH($H$64,0),BA$6&lt;=EOMONTH(EDATE($H$64,$E$64-1),0)),$G$64/MAX($E$64,1),0)</f>
        <v>0</v>
      </c>
      <c r="BB70" s="159" t="n">
        <f aca="false">IF(AND(BB$6&gt;=EOMONTH($H$64,0),BB$6&lt;=EOMONTH(EDATE($H$64,$E$64-1),0)),$G$64/MAX($E$64,1),0)</f>
        <v>0</v>
      </c>
      <c r="BC70" s="159" t="n">
        <f aca="false">IF(AND(BC$6&gt;=EOMONTH($H$64,0),BC$6&lt;=EOMONTH(EDATE($H$64,$E$64-1),0)),$G$64/MAX($E$64,1),0)</f>
        <v>0</v>
      </c>
      <c r="BD70" s="159" t="n">
        <f aca="false">IF(AND(BD$6&gt;=EOMONTH($H$64,0),BD$6&lt;=EOMONTH(EDATE($H$64,$E$64-1),0)),$G$64/MAX($E$64,1),0)</f>
        <v>0</v>
      </c>
      <c r="BE70" s="159" t="n">
        <f aca="false">IF(AND(BE$6&gt;=EOMONTH($H$64,0),BE$6&lt;=EOMONTH(EDATE($H$64,$E$64-1),0)),$G$64/MAX($E$64,1),0)</f>
        <v>0</v>
      </c>
      <c r="BF70" s="159" t="n">
        <f aca="false">IF(AND(BF$6&gt;=EOMONTH($H$64,0),BF$6&lt;=EOMONTH(EDATE($H$64,$E$64-1),0)),$G$64/MAX($E$64,1),0)</f>
        <v>0</v>
      </c>
      <c r="BG70" s="159" t="n">
        <f aca="false">IF(AND(BG$6&gt;=EOMONTH($H$64,0),BG$6&lt;=EOMONTH(EDATE($H$64,$E$64-1),0)),$G$64/MAX($E$64,1),0)</f>
        <v>0</v>
      </c>
      <c r="BH70" s="159" t="n">
        <f aca="false">IF(AND(BH$6&gt;=EOMONTH($H$64,0),BH$6&lt;=EOMONTH(EDATE($H$64,$E$64-1),0)),$G$64/MAX($E$64,1),0)</f>
        <v>0</v>
      </c>
      <c r="BI70" s="159" t="n">
        <f aca="false">IF(AND(BI$6&gt;=EOMONTH($H$64,0),BI$6&lt;=EOMONTH(EDATE($H$64,$E$64-1),0)),$G$64/MAX($E$64,1),0)</f>
        <v>0</v>
      </c>
      <c r="BJ70" s="159" t="n">
        <f aca="false">IF(AND(BJ$6&gt;=EOMONTH($H$64,0),BJ$6&lt;=EOMONTH(EDATE($H$64,$E$64-1),0)),$G$64/MAX($E$64,1),0)</f>
        <v>0</v>
      </c>
      <c r="BK70" s="159" t="n">
        <f aca="false">IF(AND(BK$6&gt;=EOMONTH($H$64,0),BK$6&lt;=EOMONTH(EDATE($H$64,$E$64-1),0)),$G$64/MAX($E$64,1),0)</f>
        <v>0</v>
      </c>
      <c r="BL70" s="159" t="n">
        <f aca="false">IF(AND(BL$6&gt;=EOMONTH($H$64,0),BL$6&lt;=EOMONTH(EDATE($H$64,$E$64-1),0)),$G$64/MAX($E$64,1),0)</f>
        <v>0</v>
      </c>
      <c r="BM70" s="159" t="n">
        <f aca="false">IF(AND(BM$6&gt;=EOMONTH($H$64,0),BM$6&lt;=EOMONTH(EDATE($H$64,$E$64-1),0)),$G$64/MAX($E$64,1),0)</f>
        <v>0</v>
      </c>
      <c r="BN70" s="159" t="n">
        <f aca="false">IF(AND(BN$6&gt;=EOMONTH($H$64,0),BN$6&lt;=EOMONTH(EDATE($H$64,$E$64-1),0)),$G$64/MAX($E$64,1),0)</f>
        <v>0</v>
      </c>
      <c r="BO70" s="159" t="n">
        <f aca="false">IF(AND(BO$6&gt;=EOMONTH($H$64,0),BO$6&lt;=EOMONTH(EDATE($H$64,$E$64-1),0)),$G$64/MAX($E$64,1),0)</f>
        <v>0</v>
      </c>
      <c r="BP70" s="159" t="n">
        <f aca="false">IF(AND(BP$6&gt;=EOMONTH($H$64,0),BP$6&lt;=EOMONTH(EDATE($H$64,$E$64-1),0)),$G$64/MAX($E$64,1),0)</f>
        <v>0</v>
      </c>
      <c r="BQ70" s="159" t="n">
        <f aca="false">IF(AND(BQ$6&gt;=EOMONTH($H$64,0),BQ$6&lt;=EOMONTH(EDATE($H$64,$E$64-1),0)),$G$64/MAX($E$64,1),0)</f>
        <v>0</v>
      </c>
      <c r="BR70" s="159" t="n">
        <f aca="false">IF(AND(BR$6&gt;=EOMONTH($H$64,0),BR$6&lt;=EOMONTH(EDATE($H$64,$E$64-1),0)),$G$64/MAX($E$64,1),0)</f>
        <v>0</v>
      </c>
      <c r="BS70" s="159" t="n">
        <f aca="false">IF(AND(BS$6&gt;=EOMONTH($H$64,0),BS$6&lt;=EOMONTH(EDATE($H$64,$E$64-1),0)),$G$64/MAX($E$64,1),0)</f>
        <v>0</v>
      </c>
      <c r="BT70" s="159" t="n">
        <f aca="false">IF(AND(BT$6&gt;=EOMONTH($H$64,0),BT$6&lt;=EOMONTH(EDATE($H$64,$E$64-1),0)),$G$64/MAX($E$64,1),0)</f>
        <v>0</v>
      </c>
      <c r="BU70" s="159" t="n">
        <f aca="false">IF(AND(BU$6&gt;=EOMONTH($H$64,0),BU$6&lt;=EOMONTH(EDATE($H$64,$E$64-1),0)),$G$64/MAX($E$64,1),0)</f>
        <v>0</v>
      </c>
      <c r="BV70" s="159" t="n">
        <f aca="false">IF(AND(BV$6&gt;=EOMONTH($H$64,0),BV$6&lt;=EOMONTH(EDATE($H$64,$E$64-1),0)),$G$64/MAX($E$64,1),0)</f>
        <v>0</v>
      </c>
      <c r="BW70" s="159" t="n">
        <f aca="false">IF(AND(BW$6&gt;=EOMONTH($H$64,0),BW$6&lt;=EOMONTH(EDATE($H$64,$E$64-1),0)),$G$64/MAX($E$64,1),0)</f>
        <v>0</v>
      </c>
      <c r="BX70" s="159" t="n">
        <f aca="false">IF(AND(BX$6&gt;=EOMONTH($H$64,0),BX$6&lt;=EOMONTH(EDATE($H$64,$E$64-1),0)),$G$64/MAX($E$64,1),0)</f>
        <v>0</v>
      </c>
      <c r="BY70" s="159" t="n">
        <f aca="false">IF(AND(BY$6&gt;=EOMONTH($H$64,0),BY$6&lt;=EOMONTH(EDATE($H$64,$E$64-1),0)),$G$64/MAX($E$64,1),0)</f>
        <v>0</v>
      </c>
      <c r="BZ70" s="159" t="n">
        <f aca="false">IF(AND(BZ$6&gt;=EOMONTH($H$64,0),BZ$6&lt;=EOMONTH(EDATE($H$64,$E$64-1),0)),$G$64/MAX($E$64,1),0)</f>
        <v>0</v>
      </c>
      <c r="CA70" s="159" t="n">
        <f aca="false">IF(AND(CA$6&gt;=EOMONTH($H$64,0),CA$6&lt;=EOMONTH(EDATE($H$64,$E$64-1),0)),$G$64/MAX($E$64,1),0)</f>
        <v>0</v>
      </c>
    </row>
    <row r="71" customFormat="false" ht="15" hidden="false" customHeight="false" outlineLevel="0" collapsed="false">
      <c r="B71" s="196" t="s">
        <v>348</v>
      </c>
      <c r="T71" s="159" t="n">
        <f aca="false">IF(AND(T$6&gt;=EOMONTH($H$65,0),T$6&lt;=EOMONTH(EDATE($H$65,$E$65-1),0)),$G$65/MAX($E$65,1),0)</f>
        <v>0</v>
      </c>
      <c r="U71" s="159" t="n">
        <f aca="false">IF(AND(U$6&gt;=EOMONTH($H$65,0),U$6&lt;=EOMONTH(EDATE($H$65,$E$65-1),0)),$G$65/MAX($E$65,1),0)</f>
        <v>0</v>
      </c>
      <c r="V71" s="159" t="n">
        <f aca="false">IF(AND(V$6&gt;=EOMONTH($H$65,0),V$6&lt;=EOMONTH(EDATE($H$65,$E$65-1),0)),$G$65/MAX($E$65,1),0)</f>
        <v>0</v>
      </c>
      <c r="W71" s="159" t="n">
        <f aca="false">IF(AND(W$6&gt;=EOMONTH($H$65,0),W$6&lt;=EOMONTH(EDATE($H$65,$E$65-1),0)),$G$65/MAX($E$65,1),0)</f>
        <v>0</v>
      </c>
      <c r="X71" s="159" t="n">
        <f aca="false">IF(AND(X$6&gt;=EOMONTH($H$65,0),X$6&lt;=EOMONTH(EDATE($H$65,$E$65-1),0)),$G$65/MAX($E$65,1),0)</f>
        <v>0</v>
      </c>
      <c r="Y71" s="159" t="n">
        <f aca="false">IF(AND(Y$6&gt;=EOMONTH($H$65,0),Y$6&lt;=EOMONTH(EDATE($H$65,$E$65-1),0)),$G$65/MAX($E$65,1),0)</f>
        <v>0</v>
      </c>
      <c r="Z71" s="159" t="n">
        <f aca="false">IF(AND(Z$6&gt;=EOMONTH($H$65,0),Z$6&lt;=EOMONTH(EDATE($H$65,$E$65-1),0)),$G$65/MAX($E$65,1),0)</f>
        <v>0</v>
      </c>
      <c r="AA71" s="159" t="n">
        <f aca="false">IF(AND(AA$6&gt;=EOMONTH($H$65,0),AA$6&lt;=EOMONTH(EDATE($H$65,$E$65-1),0)),$G$65/MAX($E$65,1),0)</f>
        <v>0</v>
      </c>
      <c r="AB71" s="159" t="n">
        <f aca="false">IF(AND(AB$6&gt;=EOMONTH($H$65,0),AB$6&lt;=EOMONTH(EDATE($H$65,$E$65-1),0)),$G$65/MAX($E$65,1),0)</f>
        <v>0</v>
      </c>
      <c r="AC71" s="159" t="n">
        <f aca="false">IF(AND(AC$6&gt;=EOMONTH($H$65,0),AC$6&lt;=EOMONTH(EDATE($H$65,$E$65-1),0)),$G$65/MAX($E$65,1),0)</f>
        <v>0</v>
      </c>
      <c r="AD71" s="159" t="n">
        <f aca="false">IF(AND(AD$6&gt;=EOMONTH($H$65,0),AD$6&lt;=EOMONTH(EDATE($H$65,$E$65-1),0)),$G$65/MAX($E$65,1),0)</f>
        <v>0</v>
      </c>
      <c r="AE71" s="159" t="n">
        <f aca="false">IF(AND(AE$6&gt;=EOMONTH($H$65,0),AE$6&lt;=EOMONTH(EDATE($H$65,$E$65-1),0)),$G$65/MAX($E$65,1),0)</f>
        <v>0</v>
      </c>
      <c r="AF71" s="159" t="n">
        <f aca="false">IF(AND(AF$6&gt;=EOMONTH($H$65,0),AF$6&lt;=EOMONTH(EDATE($H$65,$E$65-1),0)),$G$65/MAX($E$65,1),0)</f>
        <v>0</v>
      </c>
      <c r="AG71" s="159" t="n">
        <f aca="false">IF(AND(AG$6&gt;=EOMONTH($H$65,0),AG$6&lt;=EOMONTH(EDATE($H$65,$E$65-1),0)),$G$65/MAX($E$65,1),0)</f>
        <v>0</v>
      </c>
      <c r="AH71" s="159" t="n">
        <f aca="false">IF(AND(AH$6&gt;=EOMONTH($H$65,0),AH$6&lt;=EOMONTH(EDATE($H$65,$E$65-1),0)),$G$65/MAX($E$65,1),0)</f>
        <v>0</v>
      </c>
      <c r="AI71" s="159" t="n">
        <f aca="false">IF(AND(AI$6&gt;=EOMONTH($H$65,0),AI$6&lt;=EOMONTH(EDATE($H$65,$E$65-1),0)),$G$65/MAX($E$65,1),0)</f>
        <v>0</v>
      </c>
      <c r="AJ71" s="159" t="n">
        <f aca="false">IF(AND(AJ$6&gt;=EOMONTH($H$65,0),AJ$6&lt;=EOMONTH(EDATE($H$65,$E$65-1),0)),$G$65/MAX($E$65,1),0)</f>
        <v>0</v>
      </c>
      <c r="AK71" s="159" t="n">
        <f aca="false">IF(AND(AK$6&gt;=EOMONTH($H$65,0),AK$6&lt;=EOMONTH(EDATE($H$65,$E$65-1),0)),$G$65/MAX($E$65,1),0)</f>
        <v>0</v>
      </c>
      <c r="AL71" s="159" t="n">
        <f aca="false">IF(AND(AL$6&gt;=EOMONTH($H$65,0),AL$6&lt;=EOMONTH(EDATE($H$65,$E$65-1),0)),$G$65/MAX($E$65,1),0)</f>
        <v>0</v>
      </c>
      <c r="AM71" s="159" t="n">
        <f aca="false">IF(AND(AM$6&gt;=EOMONTH($H$65,0),AM$6&lt;=EOMONTH(EDATE($H$65,$E$65-1),0)),$G$65/MAX($E$65,1),0)</f>
        <v>0</v>
      </c>
      <c r="AN71" s="159" t="n">
        <f aca="false">IF(AND(AN$6&gt;=EOMONTH($H$65,0),AN$6&lt;=EOMONTH(EDATE($H$65,$E$65-1),0)),$G$65/MAX($E$65,1),0)</f>
        <v>91666.6666666667</v>
      </c>
      <c r="AO71" s="159" t="n">
        <f aca="false">IF(AND(AO$6&gt;=EOMONTH($H$65,0),AO$6&lt;=EOMONTH(EDATE($H$65,$E$65-1),0)),$G$65/MAX($E$65,1),0)</f>
        <v>91666.6666666667</v>
      </c>
      <c r="AP71" s="159" t="n">
        <f aca="false">IF(AND(AP$6&gt;=EOMONTH($H$65,0),AP$6&lt;=EOMONTH(EDATE($H$65,$E$65-1),0)),$G$65/MAX($E$65,1),0)</f>
        <v>91666.6666666667</v>
      </c>
      <c r="AQ71" s="159" t="n">
        <f aca="false">IF(AND(AQ$6&gt;=EOMONTH($H$65,0),AQ$6&lt;=EOMONTH(EDATE($H$65,$E$65-1),0)),$G$65/MAX($E$65,1),0)</f>
        <v>91666.6666666667</v>
      </c>
      <c r="AR71" s="159" t="n">
        <f aca="false">IF(AND(AR$6&gt;=EOMONTH($H$65,0),AR$6&lt;=EOMONTH(EDATE($H$65,$E$65-1),0)),$G$65/MAX($E$65,1),0)</f>
        <v>91666.6666666667</v>
      </c>
      <c r="AS71" s="159" t="n">
        <f aca="false">IF(AND(AS$6&gt;=EOMONTH($H$65,0),AS$6&lt;=EOMONTH(EDATE($H$65,$E$65-1),0)),$G$65/MAX($E$65,1),0)</f>
        <v>91666.6666666667</v>
      </c>
      <c r="AT71" s="159" t="n">
        <f aca="false">IF(AND(AT$6&gt;=EOMONTH($H$65,0),AT$6&lt;=EOMONTH(EDATE($H$65,$E$65-1),0)),$G$65/MAX($E$65,1),0)</f>
        <v>91666.6666666667</v>
      </c>
      <c r="AU71" s="159" t="n">
        <f aca="false">IF(AND(AU$6&gt;=EOMONTH($H$65,0),AU$6&lt;=EOMONTH(EDATE($H$65,$E$65-1),0)),$G$65/MAX($E$65,1),0)</f>
        <v>0</v>
      </c>
      <c r="AV71" s="159" t="n">
        <f aca="false">IF(AND(AV$6&gt;=EOMONTH($H$65,0),AV$6&lt;=EOMONTH(EDATE($H$65,$E$65-1),0)),$G$65/MAX($E$65,1),0)</f>
        <v>0</v>
      </c>
      <c r="AW71" s="159" t="n">
        <f aca="false">IF(AND(AW$6&gt;=EOMONTH($H$65,0),AW$6&lt;=EOMONTH(EDATE($H$65,$E$65-1),0)),$G$65/MAX($E$65,1),0)</f>
        <v>0</v>
      </c>
      <c r="AX71" s="159" t="n">
        <f aca="false">IF(AND(AX$6&gt;=EOMONTH($H$65,0),AX$6&lt;=EOMONTH(EDATE($H$65,$E$65-1),0)),$G$65/MAX($E$65,1),0)</f>
        <v>0</v>
      </c>
      <c r="AY71" s="159" t="n">
        <f aca="false">IF(AND(AY$6&gt;=EOMONTH($H$65,0),AY$6&lt;=EOMONTH(EDATE($H$65,$E$65-1),0)),$G$65/MAX($E$65,1),0)</f>
        <v>0</v>
      </c>
      <c r="AZ71" s="159" t="n">
        <f aca="false">IF(AND(AZ$6&gt;=EOMONTH($H$65,0),AZ$6&lt;=EOMONTH(EDATE($H$65,$E$65-1),0)),$G$65/MAX($E$65,1),0)</f>
        <v>0</v>
      </c>
      <c r="BA71" s="159" t="n">
        <f aca="false">IF(AND(BA$6&gt;=EOMONTH($H$65,0),BA$6&lt;=EOMONTH(EDATE($H$65,$E$65-1),0)),$G$65/MAX($E$65,1),0)</f>
        <v>0</v>
      </c>
      <c r="BB71" s="159" t="n">
        <f aca="false">IF(AND(BB$6&gt;=EOMONTH($H$65,0),BB$6&lt;=EOMONTH(EDATE($H$65,$E$65-1),0)),$G$65/MAX($E$65,1),0)</f>
        <v>0</v>
      </c>
      <c r="BC71" s="159" t="n">
        <f aca="false">IF(AND(BC$6&gt;=EOMONTH($H$65,0),BC$6&lt;=EOMONTH(EDATE($H$65,$E$65-1),0)),$G$65/MAX($E$65,1),0)</f>
        <v>0</v>
      </c>
      <c r="BD71" s="159" t="n">
        <f aca="false">IF(AND(BD$6&gt;=EOMONTH($H$65,0),BD$6&lt;=EOMONTH(EDATE($H$65,$E$65-1),0)),$G$65/MAX($E$65,1),0)</f>
        <v>0</v>
      </c>
      <c r="BE71" s="159" t="n">
        <f aca="false">IF(AND(BE$6&gt;=EOMONTH($H$65,0),BE$6&lt;=EOMONTH(EDATE($H$65,$E$65-1),0)),$G$65/MAX($E$65,1),0)</f>
        <v>0</v>
      </c>
      <c r="BF71" s="159" t="n">
        <f aca="false">IF(AND(BF$6&gt;=EOMONTH($H$65,0),BF$6&lt;=EOMONTH(EDATE($H$65,$E$65-1),0)),$G$65/MAX($E$65,1),0)</f>
        <v>0</v>
      </c>
      <c r="BG71" s="159" t="n">
        <f aca="false">IF(AND(BG$6&gt;=EOMONTH($H$65,0),BG$6&lt;=EOMONTH(EDATE($H$65,$E$65-1),0)),$G$65/MAX($E$65,1),0)</f>
        <v>0</v>
      </c>
      <c r="BH71" s="159" t="n">
        <f aca="false">IF(AND(BH$6&gt;=EOMONTH($H$65,0),BH$6&lt;=EOMONTH(EDATE($H$65,$E$65-1),0)),$G$65/MAX($E$65,1),0)</f>
        <v>0</v>
      </c>
      <c r="BI71" s="159" t="n">
        <f aca="false">IF(AND(BI$6&gt;=EOMONTH($H$65,0),BI$6&lt;=EOMONTH(EDATE($H$65,$E$65-1),0)),$G$65/MAX($E$65,1),0)</f>
        <v>0</v>
      </c>
      <c r="BJ71" s="159" t="n">
        <f aca="false">IF(AND(BJ$6&gt;=EOMONTH($H$65,0),BJ$6&lt;=EOMONTH(EDATE($H$65,$E$65-1),0)),$G$65/MAX($E$65,1),0)</f>
        <v>0</v>
      </c>
      <c r="BK71" s="159" t="n">
        <f aca="false">IF(AND(BK$6&gt;=EOMONTH($H$65,0),BK$6&lt;=EOMONTH(EDATE($H$65,$E$65-1),0)),$G$65/MAX($E$65,1),0)</f>
        <v>0</v>
      </c>
      <c r="BL71" s="159" t="n">
        <f aca="false">IF(AND(BL$6&gt;=EOMONTH($H$65,0),BL$6&lt;=EOMONTH(EDATE($H$65,$E$65-1),0)),$G$65/MAX($E$65,1),0)</f>
        <v>0</v>
      </c>
      <c r="BM71" s="159" t="n">
        <f aca="false">IF(AND(BM$6&gt;=EOMONTH($H$65,0),BM$6&lt;=EOMONTH(EDATE($H$65,$E$65-1),0)),$G$65/MAX($E$65,1),0)</f>
        <v>0</v>
      </c>
      <c r="BN71" s="159" t="n">
        <f aca="false">IF(AND(BN$6&gt;=EOMONTH($H$65,0),BN$6&lt;=EOMONTH(EDATE($H$65,$E$65-1),0)),$G$65/MAX($E$65,1),0)</f>
        <v>0</v>
      </c>
      <c r="BO71" s="159" t="n">
        <f aca="false">IF(AND(BO$6&gt;=EOMONTH($H$65,0),BO$6&lt;=EOMONTH(EDATE($H$65,$E$65-1),0)),$G$65/MAX($E$65,1),0)</f>
        <v>0</v>
      </c>
      <c r="BP71" s="159" t="n">
        <f aca="false">IF(AND(BP$6&gt;=EOMONTH($H$65,0),BP$6&lt;=EOMONTH(EDATE($H$65,$E$65-1),0)),$G$65/MAX($E$65,1),0)</f>
        <v>0</v>
      </c>
      <c r="BQ71" s="159" t="n">
        <f aca="false">IF(AND(BQ$6&gt;=EOMONTH($H$65,0),BQ$6&lt;=EOMONTH(EDATE($H$65,$E$65-1),0)),$G$65/MAX($E$65,1),0)</f>
        <v>0</v>
      </c>
      <c r="BR71" s="159" t="n">
        <f aca="false">IF(AND(BR$6&gt;=EOMONTH($H$65,0),BR$6&lt;=EOMONTH(EDATE($H$65,$E$65-1),0)),$G$65/MAX($E$65,1),0)</f>
        <v>0</v>
      </c>
      <c r="BS71" s="159" t="n">
        <f aca="false">IF(AND(BS$6&gt;=EOMONTH($H$65,0),BS$6&lt;=EOMONTH(EDATE($H$65,$E$65-1),0)),$G$65/MAX($E$65,1),0)</f>
        <v>0</v>
      </c>
      <c r="BT71" s="159" t="n">
        <f aca="false">IF(AND(BT$6&gt;=EOMONTH($H$65,0),BT$6&lt;=EOMONTH(EDATE($H$65,$E$65-1),0)),$G$65/MAX($E$65,1),0)</f>
        <v>0</v>
      </c>
      <c r="BU71" s="159" t="n">
        <f aca="false">IF(AND(BU$6&gt;=EOMONTH($H$65,0),BU$6&lt;=EOMONTH(EDATE($H$65,$E$65-1),0)),$G$65/MAX($E$65,1),0)</f>
        <v>0</v>
      </c>
      <c r="BV71" s="159" t="n">
        <f aca="false">IF(AND(BV$6&gt;=EOMONTH($H$65,0),BV$6&lt;=EOMONTH(EDATE($H$65,$E$65-1),0)),$G$65/MAX($E$65,1),0)</f>
        <v>0</v>
      </c>
      <c r="BW71" s="159" t="n">
        <f aca="false">IF(AND(BW$6&gt;=EOMONTH($H$65,0),BW$6&lt;=EOMONTH(EDATE($H$65,$E$65-1),0)),$G$65/MAX($E$65,1),0)</f>
        <v>0</v>
      </c>
      <c r="BX71" s="159" t="n">
        <f aca="false">IF(AND(BX$6&gt;=EOMONTH($H$65,0),BX$6&lt;=EOMONTH(EDATE($H$65,$E$65-1),0)),$G$65/MAX($E$65,1),0)</f>
        <v>0</v>
      </c>
      <c r="BY71" s="159" t="n">
        <f aca="false">IF(AND(BY$6&gt;=EOMONTH($H$65,0),BY$6&lt;=EOMONTH(EDATE($H$65,$E$65-1),0)),$G$65/MAX($E$65,1),0)</f>
        <v>0</v>
      </c>
      <c r="BZ71" s="159" t="n">
        <f aca="false">IF(AND(BZ$6&gt;=EOMONTH($H$65,0),BZ$6&lt;=EOMONTH(EDATE($H$65,$E$65-1),0)),$G$65/MAX($E$65,1),0)</f>
        <v>0</v>
      </c>
      <c r="CA71" s="159" t="n">
        <f aca="false">IF(AND(CA$6&gt;=EOMONTH($H$65,0),CA$6&lt;=EOMONTH(EDATE($H$65,$E$65-1),0)),$G$65/MAX($E$65,1),0)</f>
        <v>0</v>
      </c>
    </row>
    <row r="72" customFormat="false" ht="15" hidden="false" customHeight="false" outlineLevel="0" collapsed="false">
      <c r="B72" s="196" t="s">
        <v>349</v>
      </c>
      <c r="T72" s="159" t="n">
        <f aca="false">IF(AND(T$6&gt;=EOMONTH($H$66,0),T$6&lt;=EOMONTH(EDATE($H$66,$E$66-1),0)),$G$66/MAX($E$66,1),0)</f>
        <v>0</v>
      </c>
      <c r="U72" s="159" t="n">
        <f aca="false">IF(AND(U$6&gt;=EOMONTH($H$66,0),U$6&lt;=EOMONTH(EDATE($H$66,$E$66-1),0)),$G$66/MAX($E$66,1),0)</f>
        <v>0</v>
      </c>
      <c r="V72" s="159" t="n">
        <f aca="false">IF(AND(V$6&gt;=EOMONTH($H$66,0),V$6&lt;=EOMONTH(EDATE($H$66,$E$66-1),0)),$G$66/MAX($E$66,1),0)</f>
        <v>0</v>
      </c>
      <c r="W72" s="159" t="n">
        <f aca="false">IF(AND(W$6&gt;=EOMONTH($H$66,0),W$6&lt;=EOMONTH(EDATE($H$66,$E$66-1),0)),$G$66/MAX($E$66,1),0)</f>
        <v>0</v>
      </c>
      <c r="X72" s="159" t="n">
        <f aca="false">IF(AND(X$6&gt;=EOMONTH($H$66,0),X$6&lt;=EOMONTH(EDATE($H$66,$E$66-1),0)),$G$66/MAX($E$66,1),0)</f>
        <v>0</v>
      </c>
      <c r="Y72" s="159" t="n">
        <f aca="false">IF(AND(Y$6&gt;=EOMONTH($H$66,0),Y$6&lt;=EOMONTH(EDATE($H$66,$E$66-1),0)),$G$66/MAX($E$66,1),0)</f>
        <v>0</v>
      </c>
      <c r="Z72" s="159" t="n">
        <f aca="false">IF(AND(Z$6&gt;=EOMONTH($H$66,0),Z$6&lt;=EOMONTH(EDATE($H$66,$E$66-1),0)),$G$66/MAX($E$66,1),0)</f>
        <v>0</v>
      </c>
      <c r="AA72" s="159" t="n">
        <f aca="false">IF(AND(AA$6&gt;=EOMONTH($H$66,0),AA$6&lt;=EOMONTH(EDATE($H$66,$E$66-1),0)),$G$66/MAX($E$66,1),0)</f>
        <v>0</v>
      </c>
      <c r="AB72" s="159" t="n">
        <f aca="false">IF(AND(AB$6&gt;=EOMONTH($H$66,0),AB$6&lt;=EOMONTH(EDATE($H$66,$E$66-1),0)),$G$66/MAX($E$66,1),0)</f>
        <v>0</v>
      </c>
      <c r="AC72" s="159" t="n">
        <f aca="false">IF(AND(AC$6&gt;=EOMONTH($H$66,0),AC$6&lt;=EOMONTH(EDATE($H$66,$E$66-1),0)),$G$66/MAX($E$66,1),0)</f>
        <v>0</v>
      </c>
      <c r="AD72" s="159" t="n">
        <f aca="false">IF(AND(AD$6&gt;=EOMONTH($H$66,0),AD$6&lt;=EOMONTH(EDATE($H$66,$E$66-1),0)),$G$66/MAX($E$66,1),0)</f>
        <v>0</v>
      </c>
      <c r="AE72" s="159" t="n">
        <f aca="false">IF(AND(AE$6&gt;=EOMONTH($H$66,0),AE$6&lt;=EOMONTH(EDATE($H$66,$E$66-1),0)),$G$66/MAX($E$66,1),0)</f>
        <v>0</v>
      </c>
      <c r="AF72" s="159" t="n">
        <f aca="false">IF(AND(AF$6&gt;=EOMONTH($H$66,0),AF$6&lt;=EOMONTH(EDATE($H$66,$E$66-1),0)),$G$66/MAX($E$66,1),0)</f>
        <v>0</v>
      </c>
      <c r="AG72" s="159" t="n">
        <f aca="false">IF(AND(AG$6&gt;=EOMONTH($H$66,0),AG$6&lt;=EOMONTH(EDATE($H$66,$E$66-1),0)),$G$66/MAX($E$66,1),0)</f>
        <v>0</v>
      </c>
      <c r="AH72" s="159" t="n">
        <f aca="false">IF(AND(AH$6&gt;=EOMONTH($H$66,0),AH$6&lt;=EOMONTH(EDATE($H$66,$E$66-1),0)),$G$66/MAX($E$66,1),0)</f>
        <v>0</v>
      </c>
      <c r="AI72" s="159" t="n">
        <f aca="false">IF(AND(AI$6&gt;=EOMONTH($H$66,0),AI$6&lt;=EOMONTH(EDATE($H$66,$E$66-1),0)),$G$66/MAX($E$66,1),0)</f>
        <v>0</v>
      </c>
      <c r="AJ72" s="159" t="n">
        <f aca="false">IF(AND(AJ$6&gt;=EOMONTH($H$66,0),AJ$6&lt;=EOMONTH(EDATE($H$66,$E$66-1),0)),$G$66/MAX($E$66,1),0)</f>
        <v>0</v>
      </c>
      <c r="AK72" s="159" t="n">
        <f aca="false">IF(AND(AK$6&gt;=EOMONTH($H$66,0),AK$6&lt;=EOMONTH(EDATE($H$66,$E$66-1),0)),$G$66/MAX($E$66,1),0)</f>
        <v>0</v>
      </c>
      <c r="AL72" s="159" t="n">
        <f aca="false">IF(AND(AL$6&gt;=EOMONTH($H$66,0),AL$6&lt;=EOMONTH(EDATE($H$66,$E$66-1),0)),$G$66/MAX($E$66,1),0)</f>
        <v>0</v>
      </c>
      <c r="AM72" s="159" t="n">
        <f aca="false">IF(AND(AM$6&gt;=EOMONTH($H$66,0),AM$6&lt;=EOMONTH(EDATE($H$66,$E$66-1),0)),$G$66/MAX($E$66,1),0)</f>
        <v>0</v>
      </c>
      <c r="AN72" s="159" t="n">
        <f aca="false">IF(AND(AN$6&gt;=EOMONTH($H$66,0),AN$6&lt;=EOMONTH(EDATE($H$66,$E$66-1),0)),$G$66/MAX($E$66,1),0)</f>
        <v>0</v>
      </c>
      <c r="AO72" s="159" t="n">
        <f aca="false">IF(AND(AO$6&gt;=EOMONTH($H$66,0),AO$6&lt;=EOMONTH(EDATE($H$66,$E$66-1),0)),$G$66/MAX($E$66,1),0)</f>
        <v>0</v>
      </c>
      <c r="AP72" s="159" t="n">
        <f aca="false">IF(AND(AP$6&gt;=EOMONTH($H$66,0),AP$6&lt;=EOMONTH(EDATE($H$66,$E$66-1),0)),$G$66/MAX($E$66,1),0)</f>
        <v>0</v>
      </c>
      <c r="AQ72" s="159" t="n">
        <f aca="false">IF(AND(AQ$6&gt;=EOMONTH($H$66,0),AQ$6&lt;=EOMONTH(EDATE($H$66,$E$66-1),0)),$G$66/MAX($E$66,1),0)</f>
        <v>0</v>
      </c>
      <c r="AR72" s="159" t="n">
        <f aca="false">IF(AND(AR$6&gt;=EOMONTH($H$66,0),AR$6&lt;=EOMONTH(EDATE($H$66,$E$66-1),0)),$G$66/MAX($E$66,1),0)</f>
        <v>0</v>
      </c>
      <c r="AS72" s="159" t="n">
        <f aca="false">IF(AND(AS$6&gt;=EOMONTH($H$66,0),AS$6&lt;=EOMONTH(EDATE($H$66,$E$66-1),0)),$G$66/MAX($E$66,1),0)</f>
        <v>0</v>
      </c>
      <c r="AT72" s="159" t="n">
        <f aca="false">IF(AND(AT$6&gt;=EOMONTH($H$66,0),AT$6&lt;=EOMONTH(EDATE($H$66,$E$66-1),0)),$G$66/MAX($E$66,1),0)</f>
        <v>0</v>
      </c>
      <c r="AU72" s="159" t="n">
        <f aca="false">IF(AND(AU$6&gt;=EOMONTH($H$66,0),AU$6&lt;=EOMONTH(EDATE($H$66,$E$66-1),0)),$G$66/MAX($E$66,1),0)</f>
        <v>0</v>
      </c>
      <c r="AV72" s="159" t="n">
        <f aca="false">IF(AND(AV$6&gt;=EOMONTH($H$66,0),AV$6&lt;=EOMONTH(EDATE($H$66,$E$66-1),0)),$G$66/MAX($E$66,1),0)</f>
        <v>0</v>
      </c>
      <c r="AW72" s="159" t="n">
        <f aca="false">IF(AND(AW$6&gt;=EOMONTH($H$66,0),AW$6&lt;=EOMONTH(EDATE($H$66,$E$66-1),0)),$G$66/MAX($E$66,1),0)</f>
        <v>0</v>
      </c>
      <c r="AX72" s="159" t="n">
        <f aca="false">IF(AND(AX$6&gt;=EOMONTH($H$66,0),AX$6&lt;=EOMONTH(EDATE($H$66,$E$66-1),0)),$G$66/MAX($E$66,1),0)</f>
        <v>0</v>
      </c>
      <c r="AY72" s="159" t="n">
        <f aca="false">IF(AND(AY$6&gt;=EOMONTH($H$66,0),AY$6&lt;=EOMONTH(EDATE($H$66,$E$66-1),0)),$G$66/MAX($E$66,1),0)</f>
        <v>0</v>
      </c>
      <c r="AZ72" s="159" t="n">
        <f aca="false">IF(AND(AZ$6&gt;=EOMONTH($H$66,0),AZ$6&lt;=EOMONTH(EDATE($H$66,$E$66-1),0)),$G$66/MAX($E$66,1),0)</f>
        <v>0</v>
      </c>
      <c r="BA72" s="159" t="n">
        <f aca="false">IF(AND(BA$6&gt;=EOMONTH($H$66,0),BA$6&lt;=EOMONTH(EDATE($H$66,$E$66-1),0)),$G$66/MAX($E$66,1),0)</f>
        <v>0</v>
      </c>
      <c r="BB72" s="159" t="n">
        <f aca="false">IF(AND(BB$6&gt;=EOMONTH($H$66,0),BB$6&lt;=EOMONTH(EDATE($H$66,$E$66-1),0)),$G$66/MAX($E$66,1),0)</f>
        <v>0</v>
      </c>
      <c r="BC72" s="159" t="n">
        <f aca="false">IF(AND(BC$6&gt;=EOMONTH($H$66,0),BC$6&lt;=EOMONTH(EDATE($H$66,$E$66-1),0)),$G$66/MAX($E$66,1),0)</f>
        <v>0</v>
      </c>
      <c r="BD72" s="159" t="n">
        <f aca="false">IF(AND(BD$6&gt;=EOMONTH($H$66,0),BD$6&lt;=EOMONTH(EDATE($H$66,$E$66-1),0)),$G$66/MAX($E$66,1),0)</f>
        <v>0</v>
      </c>
      <c r="BE72" s="159" t="n">
        <f aca="false">IF(AND(BE$6&gt;=EOMONTH($H$66,0),BE$6&lt;=EOMONTH(EDATE($H$66,$E$66-1),0)),$G$66/MAX($E$66,1),0)</f>
        <v>0</v>
      </c>
      <c r="BF72" s="159" t="n">
        <f aca="false">IF(AND(BF$6&gt;=EOMONTH($H$66,0),BF$6&lt;=EOMONTH(EDATE($H$66,$E$66-1),0)),$G$66/MAX($E$66,1),0)</f>
        <v>0</v>
      </c>
      <c r="BG72" s="159" t="n">
        <f aca="false">IF(AND(BG$6&gt;=EOMONTH($H$66,0),BG$6&lt;=EOMONTH(EDATE($H$66,$E$66-1),0)),$G$66/MAX($E$66,1),0)</f>
        <v>0</v>
      </c>
      <c r="BH72" s="159" t="n">
        <f aca="false">IF(AND(BH$6&gt;=EOMONTH($H$66,0),BH$6&lt;=EOMONTH(EDATE($H$66,$E$66-1),0)),$G$66/MAX($E$66,1),0)</f>
        <v>0</v>
      </c>
      <c r="BI72" s="159" t="n">
        <f aca="false">IF(AND(BI$6&gt;=EOMONTH($H$66,0),BI$6&lt;=EOMONTH(EDATE($H$66,$E$66-1),0)),$G$66/MAX($E$66,1),0)</f>
        <v>0</v>
      </c>
      <c r="BJ72" s="159" t="n">
        <f aca="false">IF(AND(BJ$6&gt;=EOMONTH($H$66,0),BJ$6&lt;=EOMONTH(EDATE($H$66,$E$66-1),0)),$G$66/MAX($E$66,1),0)</f>
        <v>0</v>
      </c>
      <c r="BK72" s="159" t="n">
        <f aca="false">IF(AND(BK$6&gt;=EOMONTH($H$66,0),BK$6&lt;=EOMONTH(EDATE($H$66,$E$66-1),0)),$G$66/MAX($E$66,1),0)</f>
        <v>0</v>
      </c>
      <c r="BL72" s="159" t="n">
        <f aca="false">IF(AND(BL$6&gt;=EOMONTH($H$66,0),BL$6&lt;=EOMONTH(EDATE($H$66,$E$66-1),0)),$G$66/MAX($E$66,1),0)</f>
        <v>0</v>
      </c>
      <c r="BM72" s="159" t="n">
        <f aca="false">IF(AND(BM$6&gt;=EOMONTH($H$66,0),BM$6&lt;=EOMONTH(EDATE($H$66,$E$66-1),0)),$G$66/MAX($E$66,1),0)</f>
        <v>0</v>
      </c>
      <c r="BN72" s="159" t="n">
        <f aca="false">IF(AND(BN$6&gt;=EOMONTH($H$66,0),BN$6&lt;=EOMONTH(EDATE($H$66,$E$66-1),0)),$G$66/MAX($E$66,1),0)</f>
        <v>0</v>
      </c>
      <c r="BO72" s="159" t="n">
        <f aca="false">IF(AND(BO$6&gt;=EOMONTH($H$66,0),BO$6&lt;=EOMONTH(EDATE($H$66,$E$66-1),0)),$G$66/MAX($E$66,1),0)</f>
        <v>0</v>
      </c>
      <c r="BP72" s="159" t="n">
        <f aca="false">IF(AND(BP$6&gt;=EOMONTH($H$66,0),BP$6&lt;=EOMONTH(EDATE($H$66,$E$66-1),0)),$G$66/MAX($E$66,1),0)</f>
        <v>0</v>
      </c>
      <c r="BQ72" s="159" t="n">
        <f aca="false">IF(AND(BQ$6&gt;=EOMONTH($H$66,0),BQ$6&lt;=EOMONTH(EDATE($H$66,$E$66-1),0)),$G$66/MAX($E$66,1),0)</f>
        <v>0</v>
      </c>
      <c r="BR72" s="159" t="n">
        <f aca="false">IF(AND(BR$6&gt;=EOMONTH($H$66,0),BR$6&lt;=EOMONTH(EDATE($H$66,$E$66-1),0)),$G$66/MAX($E$66,1),0)</f>
        <v>0</v>
      </c>
      <c r="BS72" s="159" t="n">
        <f aca="false">IF(AND(BS$6&gt;=EOMONTH($H$66,0),BS$6&lt;=EOMONTH(EDATE($H$66,$E$66-1),0)),$G$66/MAX($E$66,1),0)</f>
        <v>0</v>
      </c>
      <c r="BT72" s="159" t="n">
        <f aca="false">IF(AND(BT$6&gt;=EOMONTH($H$66,0),BT$6&lt;=EOMONTH(EDATE($H$66,$E$66-1),0)),$G$66/MAX($E$66,1),0)</f>
        <v>0</v>
      </c>
      <c r="BU72" s="159" t="n">
        <f aca="false">IF(AND(BU$6&gt;=EOMONTH($H$66,0),BU$6&lt;=EOMONTH(EDATE($H$66,$E$66-1),0)),$G$66/MAX($E$66,1),0)</f>
        <v>0</v>
      </c>
      <c r="BV72" s="159" t="n">
        <f aca="false">IF(AND(BV$6&gt;=EOMONTH($H$66,0),BV$6&lt;=EOMONTH(EDATE($H$66,$E$66-1),0)),$G$66/MAX($E$66,1),0)</f>
        <v>0</v>
      </c>
      <c r="BW72" s="159" t="n">
        <f aca="false">IF(AND(BW$6&gt;=EOMONTH($H$66,0),BW$6&lt;=EOMONTH(EDATE($H$66,$E$66-1),0)),$G$66/MAX($E$66,1),0)</f>
        <v>0</v>
      </c>
      <c r="BX72" s="159" t="n">
        <f aca="false">IF(AND(BX$6&gt;=EOMONTH($H$66,0),BX$6&lt;=EOMONTH(EDATE($H$66,$E$66-1),0)),$G$66/MAX($E$66,1),0)</f>
        <v>0</v>
      </c>
      <c r="BY72" s="159" t="n">
        <f aca="false">IF(AND(BY$6&gt;=EOMONTH($H$66,0),BY$6&lt;=EOMONTH(EDATE($H$66,$E$66-1),0)),$G$66/MAX($E$66,1),0)</f>
        <v>0</v>
      </c>
      <c r="BZ72" s="159" t="n">
        <f aca="false">IF(AND(BZ$6&gt;=EOMONTH($H$66,0),BZ$6&lt;=EOMONTH(EDATE($H$66,$E$66-1),0)),$G$66/MAX($E$66,1),0)</f>
        <v>0</v>
      </c>
      <c r="CA72" s="159" t="n">
        <f aca="false">IF(AND(CA$6&gt;=EOMONTH($H$66,0),CA$6&lt;=EOMONTH(EDATE($H$66,$E$66-1),0)),$G$66/MAX($E$66,1),0)</f>
        <v>0</v>
      </c>
    </row>
    <row r="73" customFormat="false" ht="15" hidden="false" customHeight="false" outlineLevel="0" collapsed="false">
      <c r="B73" s="3" t="s">
        <v>350</v>
      </c>
      <c r="G73" s="159" t="n">
        <f aca="false">SUM(G63:G66)</f>
        <v>1668333.33333333</v>
      </c>
    </row>
    <row r="75" customFormat="false" ht="15" hidden="false" customHeight="false" outlineLevel="0" collapsed="false">
      <c r="B75" s="197" t="s">
        <v>351</v>
      </c>
    </row>
    <row r="76" customFormat="false" ht="15" hidden="false" customHeight="false" outlineLevel="0" collapsed="false">
      <c r="B76" s="169" t="s">
        <v>352</v>
      </c>
      <c r="C76" s="169" t="s">
        <v>353</v>
      </c>
      <c r="D76" s="169" t="s">
        <v>354</v>
      </c>
      <c r="E76" s="169" t="s">
        <v>355</v>
      </c>
      <c r="H76" s="169" t="s">
        <v>333</v>
      </c>
      <c r="I76" s="169" t="s">
        <v>222</v>
      </c>
    </row>
    <row r="77" customFormat="false" ht="15" hidden="false" customHeight="false" outlineLevel="0" collapsed="false">
      <c r="B77" s="9" t="s">
        <v>356</v>
      </c>
      <c r="C77" s="194" t="s">
        <v>361</v>
      </c>
      <c r="D77" s="158" t="n">
        <v>80000</v>
      </c>
      <c r="E77" s="156" t="n">
        <v>2</v>
      </c>
      <c r="H77" s="178" t="n">
        <f aca="false">DATE(2027,3,1)</f>
        <v>46447</v>
      </c>
      <c r="I77" s="168" t="n">
        <v>0</v>
      </c>
    </row>
    <row r="78" customFormat="false" ht="15" hidden="false" customHeight="false" outlineLevel="0" collapsed="false">
      <c r="B78" s="9" t="s">
        <v>358</v>
      </c>
      <c r="C78" s="194" t="s">
        <v>361</v>
      </c>
      <c r="D78" s="158" t="n">
        <v>180000</v>
      </c>
      <c r="E78" s="156" t="n">
        <v>6</v>
      </c>
      <c r="H78" s="178" t="n">
        <f aca="false">DATE(2027,3,1)</f>
        <v>46447</v>
      </c>
      <c r="I78" s="168" t="n">
        <v>0</v>
      </c>
    </row>
    <row r="79" customFormat="false" ht="15" hidden="false" customHeight="false" outlineLevel="0" collapsed="false">
      <c r="B79" s="9" t="s">
        <v>360</v>
      </c>
      <c r="C79" s="194" t="s">
        <v>361</v>
      </c>
      <c r="D79" s="158" t="n">
        <v>120000</v>
      </c>
      <c r="E79" s="156" t="n">
        <v>6</v>
      </c>
      <c r="H79" s="178" t="n">
        <f aca="false">DATE(2027,3,1)</f>
        <v>46447</v>
      </c>
      <c r="I79" s="168" t="n">
        <v>0</v>
      </c>
    </row>
    <row r="80" customFormat="false" ht="15" hidden="false" customHeight="false" outlineLevel="0" collapsed="false">
      <c r="B80" s="9" t="s">
        <v>362</v>
      </c>
      <c r="C80" s="194" t="s">
        <v>361</v>
      </c>
      <c r="D80" s="158" t="n">
        <v>60000</v>
      </c>
      <c r="E80" s="156" t="n">
        <v>6</v>
      </c>
      <c r="H80" s="178" t="n">
        <f aca="false">DATE(2027,3,1)</f>
        <v>46447</v>
      </c>
      <c r="I80" s="168" t="n">
        <v>0</v>
      </c>
    </row>
    <row r="81" customFormat="false" ht="15" hidden="false" customHeight="false" outlineLevel="0" collapsed="false">
      <c r="B81" s="9" t="s">
        <v>363</v>
      </c>
      <c r="C81" s="194" t="s">
        <v>464</v>
      </c>
      <c r="D81" s="159" t="n">
        <f aca="false">$D$27*($G$73+$D$77+$D$78+$D$79+$D$80)</f>
        <v>168666.666666667</v>
      </c>
      <c r="E81" s="156" t="n">
        <v>15</v>
      </c>
      <c r="H81" s="178" t="n">
        <f aca="false">DATE(2027,1,1)</f>
        <v>46388</v>
      </c>
      <c r="I81" s="168" t="n">
        <v>0</v>
      </c>
    </row>
    <row r="82" customFormat="false" ht="15" hidden="false" customHeight="false" outlineLevel="0" collapsed="false">
      <c r="B82" s="9" t="s">
        <v>365</v>
      </c>
      <c r="C82" s="194" t="s">
        <v>465</v>
      </c>
      <c r="D82" s="159" t="n">
        <f aca="false">$D$28*($G$73+$D$77+$D$78+$D$79+$D$80+$D$81)</f>
        <v>227700</v>
      </c>
      <c r="E82" s="156" t="n">
        <v>15</v>
      </c>
      <c r="H82" s="178" t="n">
        <f aca="false">DATE(2027,1,1)</f>
        <v>46388</v>
      </c>
      <c r="I82" s="168" t="n">
        <v>0</v>
      </c>
    </row>
    <row r="83" customFormat="false" ht="15" hidden="false" customHeight="false" outlineLevel="0" collapsed="false">
      <c r="B83" s="9" t="s">
        <v>367</v>
      </c>
      <c r="C83" s="194"/>
      <c r="D83" s="158" t="n">
        <v>0</v>
      </c>
      <c r="E83" s="156" t="n">
        <v>1</v>
      </c>
      <c r="H83" s="178" t="n">
        <f aca="false">DATE(2027,9,1)</f>
        <v>46631</v>
      </c>
      <c r="I83" s="168" t="n">
        <v>0</v>
      </c>
    </row>
    <row r="85" customFormat="false" ht="15" hidden="false" customHeight="false" outlineLevel="0" collapsed="false">
      <c r="B85" s="167" t="s">
        <v>368</v>
      </c>
    </row>
    <row r="86" customFormat="false" ht="15" hidden="false" customHeight="false" outlineLevel="0" collapsed="false">
      <c r="B86" s="196" t="s">
        <v>369</v>
      </c>
      <c r="T86" s="159" t="n">
        <f aca="false">IF(AND(T$6&gt;=EOMONTH($H$77,0),T$6&lt;=EOMONTH(EDATE($H$77,$E$77-1),0)),$D$77/MAX($E$77,1),0)</f>
        <v>0</v>
      </c>
      <c r="U86" s="159" t="n">
        <f aca="false">IF(AND(U$6&gt;=EOMONTH($H$77,0),U$6&lt;=EOMONTH(EDATE($H$77,$E$77-1),0)),$D$77/MAX($E$77,1),0)</f>
        <v>0</v>
      </c>
      <c r="V86" s="159" t="n">
        <f aca="false">IF(AND(V$6&gt;=EOMONTH($H$77,0),V$6&lt;=EOMONTH(EDATE($H$77,$E$77-1),0)),$D$77/MAX($E$77,1),0)</f>
        <v>0</v>
      </c>
      <c r="W86" s="159" t="n">
        <f aca="false">IF(AND(W$6&gt;=EOMONTH($H$77,0),W$6&lt;=EOMONTH(EDATE($H$77,$E$77-1),0)),$D$77/MAX($E$77,1),0)</f>
        <v>0</v>
      </c>
      <c r="X86" s="159" t="n">
        <f aca="false">IF(AND(X$6&gt;=EOMONTH($H$77,0),X$6&lt;=EOMONTH(EDATE($H$77,$E$77-1),0)),$D$77/MAX($E$77,1),0)</f>
        <v>0</v>
      </c>
      <c r="Y86" s="159" t="n">
        <f aca="false">IF(AND(Y$6&gt;=EOMONTH($H$77,0),Y$6&lt;=EOMONTH(EDATE($H$77,$E$77-1),0)),$D$77/MAX($E$77,1),0)</f>
        <v>0</v>
      </c>
      <c r="Z86" s="159" t="n">
        <f aca="false">IF(AND(Z$6&gt;=EOMONTH($H$77,0),Z$6&lt;=EOMONTH(EDATE($H$77,$E$77-1),0)),$D$77/MAX($E$77,1),0)</f>
        <v>0</v>
      </c>
      <c r="AA86" s="159" t="n">
        <f aca="false">IF(AND(AA$6&gt;=EOMONTH($H$77,0),AA$6&lt;=EOMONTH(EDATE($H$77,$E$77-1),0)),$D$77/MAX($E$77,1),0)</f>
        <v>0</v>
      </c>
      <c r="AB86" s="159" t="n">
        <f aca="false">IF(AND(AB$6&gt;=EOMONTH($H$77,0),AB$6&lt;=EOMONTH(EDATE($H$77,$E$77-1),0)),$D$77/MAX($E$77,1),0)</f>
        <v>0</v>
      </c>
      <c r="AC86" s="159" t="n">
        <f aca="false">IF(AND(AC$6&gt;=EOMONTH($H$77,0),AC$6&lt;=EOMONTH(EDATE($H$77,$E$77-1),0)),$D$77/MAX($E$77,1),0)</f>
        <v>0</v>
      </c>
      <c r="AD86" s="159" t="n">
        <f aca="false">IF(AND(AD$6&gt;=EOMONTH($H$77,0),AD$6&lt;=EOMONTH(EDATE($H$77,$E$77-1),0)),$D$77/MAX($E$77,1),0)</f>
        <v>0</v>
      </c>
      <c r="AE86" s="159" t="n">
        <f aca="false">IF(AND(AE$6&gt;=EOMONTH($H$77,0),AE$6&lt;=EOMONTH(EDATE($H$77,$E$77-1),0)),$D$77/MAX($E$77,1),0)</f>
        <v>0</v>
      </c>
      <c r="AF86" s="159" t="n">
        <f aca="false">IF(AND(AF$6&gt;=EOMONTH($H$77,0),AF$6&lt;=EOMONTH(EDATE($H$77,$E$77-1),0)),$D$77/MAX($E$77,1),0)</f>
        <v>0</v>
      </c>
      <c r="AG86" s="159" t="n">
        <f aca="false">IF(AND(AG$6&gt;=EOMONTH($H$77,0),AG$6&lt;=EOMONTH(EDATE($H$77,$E$77-1),0)),$D$77/MAX($E$77,1),0)</f>
        <v>0</v>
      </c>
      <c r="AH86" s="159" t="n">
        <f aca="false">IF(AND(AH$6&gt;=EOMONTH($H$77,0),AH$6&lt;=EOMONTH(EDATE($H$77,$E$77-1),0)),$D$77/MAX($E$77,1),0)</f>
        <v>40000</v>
      </c>
      <c r="AI86" s="159" t="n">
        <f aca="false">IF(AND(AI$6&gt;=EOMONTH($H$77,0),AI$6&lt;=EOMONTH(EDATE($H$77,$E$77-1),0)),$D$77/MAX($E$77,1),0)</f>
        <v>40000</v>
      </c>
      <c r="AJ86" s="159" t="n">
        <f aca="false">IF(AND(AJ$6&gt;=EOMONTH($H$77,0),AJ$6&lt;=EOMONTH(EDATE($H$77,$E$77-1),0)),$D$77/MAX($E$77,1),0)</f>
        <v>0</v>
      </c>
      <c r="AK86" s="159" t="n">
        <f aca="false">IF(AND(AK$6&gt;=EOMONTH($H$77,0),AK$6&lt;=EOMONTH(EDATE($H$77,$E$77-1),0)),$D$77/MAX($E$77,1),0)</f>
        <v>0</v>
      </c>
      <c r="AL86" s="159" t="n">
        <f aca="false">IF(AND(AL$6&gt;=EOMONTH($H$77,0),AL$6&lt;=EOMONTH(EDATE($H$77,$E$77-1),0)),$D$77/MAX($E$77,1),0)</f>
        <v>0</v>
      </c>
      <c r="AM86" s="159" t="n">
        <f aca="false">IF(AND(AM$6&gt;=EOMONTH($H$77,0),AM$6&lt;=EOMONTH(EDATE($H$77,$E$77-1),0)),$D$77/MAX($E$77,1),0)</f>
        <v>0</v>
      </c>
      <c r="AN86" s="159" t="n">
        <f aca="false">IF(AND(AN$6&gt;=EOMONTH($H$77,0),AN$6&lt;=EOMONTH(EDATE($H$77,$E$77-1),0)),$D$77/MAX($E$77,1),0)</f>
        <v>0</v>
      </c>
      <c r="AO86" s="159" t="n">
        <f aca="false">IF(AND(AO$6&gt;=EOMONTH($H$77,0),AO$6&lt;=EOMONTH(EDATE($H$77,$E$77-1),0)),$D$77/MAX($E$77,1),0)</f>
        <v>0</v>
      </c>
      <c r="AP86" s="159" t="n">
        <f aca="false">IF(AND(AP$6&gt;=EOMONTH($H$77,0),AP$6&lt;=EOMONTH(EDATE($H$77,$E$77-1),0)),$D$77/MAX($E$77,1),0)</f>
        <v>0</v>
      </c>
      <c r="AQ86" s="159" t="n">
        <f aca="false">IF(AND(AQ$6&gt;=EOMONTH($H$77,0),AQ$6&lt;=EOMONTH(EDATE($H$77,$E$77-1),0)),$D$77/MAX($E$77,1),0)</f>
        <v>0</v>
      </c>
      <c r="AR86" s="159" t="n">
        <f aca="false">IF(AND(AR$6&gt;=EOMONTH($H$77,0),AR$6&lt;=EOMONTH(EDATE($H$77,$E$77-1),0)),$D$77/MAX($E$77,1),0)</f>
        <v>0</v>
      </c>
      <c r="AS86" s="159" t="n">
        <f aca="false">IF(AND(AS$6&gt;=EOMONTH($H$77,0),AS$6&lt;=EOMONTH(EDATE($H$77,$E$77-1),0)),$D$77/MAX($E$77,1),0)</f>
        <v>0</v>
      </c>
      <c r="AT86" s="159" t="n">
        <f aca="false">IF(AND(AT$6&gt;=EOMONTH($H$77,0),AT$6&lt;=EOMONTH(EDATE($H$77,$E$77-1),0)),$D$77/MAX($E$77,1),0)</f>
        <v>0</v>
      </c>
      <c r="AU86" s="159" t="n">
        <f aca="false">IF(AND(AU$6&gt;=EOMONTH($H$77,0),AU$6&lt;=EOMONTH(EDATE($H$77,$E$77-1),0)),$D$77/MAX($E$77,1),0)</f>
        <v>0</v>
      </c>
      <c r="AV86" s="159" t="n">
        <f aca="false">IF(AND(AV$6&gt;=EOMONTH($H$77,0),AV$6&lt;=EOMONTH(EDATE($H$77,$E$77-1),0)),$D$77/MAX($E$77,1),0)</f>
        <v>0</v>
      </c>
      <c r="AW86" s="159" t="n">
        <f aca="false">IF(AND(AW$6&gt;=EOMONTH($H$77,0),AW$6&lt;=EOMONTH(EDATE($H$77,$E$77-1),0)),$D$77/MAX($E$77,1),0)</f>
        <v>0</v>
      </c>
      <c r="AX86" s="159" t="n">
        <f aca="false">IF(AND(AX$6&gt;=EOMONTH($H$77,0),AX$6&lt;=EOMONTH(EDATE($H$77,$E$77-1),0)),$D$77/MAX($E$77,1),0)</f>
        <v>0</v>
      </c>
      <c r="AY86" s="159" t="n">
        <f aca="false">IF(AND(AY$6&gt;=EOMONTH($H$77,0),AY$6&lt;=EOMONTH(EDATE($H$77,$E$77-1),0)),$D$77/MAX($E$77,1),0)</f>
        <v>0</v>
      </c>
      <c r="AZ86" s="159" t="n">
        <f aca="false">IF(AND(AZ$6&gt;=EOMONTH($H$77,0),AZ$6&lt;=EOMONTH(EDATE($H$77,$E$77-1),0)),$D$77/MAX($E$77,1),0)</f>
        <v>0</v>
      </c>
      <c r="BA86" s="159" t="n">
        <f aca="false">IF(AND(BA$6&gt;=EOMONTH($H$77,0),BA$6&lt;=EOMONTH(EDATE($H$77,$E$77-1),0)),$D$77/MAX($E$77,1),0)</f>
        <v>0</v>
      </c>
      <c r="BB86" s="159" t="n">
        <f aca="false">IF(AND(BB$6&gt;=EOMONTH($H$77,0),BB$6&lt;=EOMONTH(EDATE($H$77,$E$77-1),0)),$D$77/MAX($E$77,1),0)</f>
        <v>0</v>
      </c>
      <c r="BC86" s="159" t="n">
        <f aca="false">IF(AND(BC$6&gt;=EOMONTH($H$77,0),BC$6&lt;=EOMONTH(EDATE($H$77,$E$77-1),0)),$D$77/MAX($E$77,1),0)</f>
        <v>0</v>
      </c>
      <c r="BD86" s="159" t="n">
        <f aca="false">IF(AND(BD$6&gt;=EOMONTH($H$77,0),BD$6&lt;=EOMONTH(EDATE($H$77,$E$77-1),0)),$D$77/MAX($E$77,1),0)</f>
        <v>0</v>
      </c>
      <c r="BE86" s="159" t="n">
        <f aca="false">IF(AND(BE$6&gt;=EOMONTH($H$77,0),BE$6&lt;=EOMONTH(EDATE($H$77,$E$77-1),0)),$D$77/MAX($E$77,1),0)</f>
        <v>0</v>
      </c>
      <c r="BF86" s="159" t="n">
        <f aca="false">IF(AND(BF$6&gt;=EOMONTH($H$77,0),BF$6&lt;=EOMONTH(EDATE($H$77,$E$77-1),0)),$D$77/MAX($E$77,1),0)</f>
        <v>0</v>
      </c>
      <c r="BG86" s="159" t="n">
        <f aca="false">IF(AND(BG$6&gt;=EOMONTH($H$77,0),BG$6&lt;=EOMONTH(EDATE($H$77,$E$77-1),0)),$D$77/MAX($E$77,1),0)</f>
        <v>0</v>
      </c>
      <c r="BH86" s="159" t="n">
        <f aca="false">IF(AND(BH$6&gt;=EOMONTH($H$77,0),BH$6&lt;=EOMONTH(EDATE($H$77,$E$77-1),0)),$D$77/MAX($E$77,1),0)</f>
        <v>0</v>
      </c>
      <c r="BI86" s="159" t="n">
        <f aca="false">IF(AND(BI$6&gt;=EOMONTH($H$77,0),BI$6&lt;=EOMONTH(EDATE($H$77,$E$77-1),0)),$D$77/MAX($E$77,1),0)</f>
        <v>0</v>
      </c>
      <c r="BJ86" s="159" t="n">
        <f aca="false">IF(AND(BJ$6&gt;=EOMONTH($H$77,0),BJ$6&lt;=EOMONTH(EDATE($H$77,$E$77-1),0)),$D$77/MAX($E$77,1),0)</f>
        <v>0</v>
      </c>
      <c r="BK86" s="159" t="n">
        <f aca="false">IF(AND(BK$6&gt;=EOMONTH($H$77,0),BK$6&lt;=EOMONTH(EDATE($H$77,$E$77-1),0)),$D$77/MAX($E$77,1),0)</f>
        <v>0</v>
      </c>
      <c r="BL86" s="159" t="n">
        <f aca="false">IF(AND(BL$6&gt;=EOMONTH($H$77,0),BL$6&lt;=EOMONTH(EDATE($H$77,$E$77-1),0)),$D$77/MAX($E$77,1),0)</f>
        <v>0</v>
      </c>
      <c r="BM86" s="159" t="n">
        <f aca="false">IF(AND(BM$6&gt;=EOMONTH($H$77,0),BM$6&lt;=EOMONTH(EDATE($H$77,$E$77-1),0)),$D$77/MAX($E$77,1),0)</f>
        <v>0</v>
      </c>
      <c r="BN86" s="159" t="n">
        <f aca="false">IF(AND(BN$6&gt;=EOMONTH($H$77,0),BN$6&lt;=EOMONTH(EDATE($H$77,$E$77-1),0)),$D$77/MAX($E$77,1),0)</f>
        <v>0</v>
      </c>
      <c r="BO86" s="159" t="n">
        <f aca="false">IF(AND(BO$6&gt;=EOMONTH($H$77,0),BO$6&lt;=EOMONTH(EDATE($H$77,$E$77-1),0)),$D$77/MAX($E$77,1),0)</f>
        <v>0</v>
      </c>
      <c r="BP86" s="159" t="n">
        <f aca="false">IF(AND(BP$6&gt;=EOMONTH($H$77,0),BP$6&lt;=EOMONTH(EDATE($H$77,$E$77-1),0)),$D$77/MAX($E$77,1),0)</f>
        <v>0</v>
      </c>
      <c r="BQ86" s="159" t="n">
        <f aca="false">IF(AND(BQ$6&gt;=EOMONTH($H$77,0),BQ$6&lt;=EOMONTH(EDATE($H$77,$E$77-1),0)),$D$77/MAX($E$77,1),0)</f>
        <v>0</v>
      </c>
      <c r="BR86" s="159" t="n">
        <f aca="false">IF(AND(BR$6&gt;=EOMONTH($H$77,0),BR$6&lt;=EOMONTH(EDATE($H$77,$E$77-1),0)),$D$77/MAX($E$77,1),0)</f>
        <v>0</v>
      </c>
      <c r="BS86" s="159" t="n">
        <f aca="false">IF(AND(BS$6&gt;=EOMONTH($H$77,0),BS$6&lt;=EOMONTH(EDATE($H$77,$E$77-1),0)),$D$77/MAX($E$77,1),0)</f>
        <v>0</v>
      </c>
      <c r="BT86" s="159" t="n">
        <f aca="false">IF(AND(BT$6&gt;=EOMONTH($H$77,0),BT$6&lt;=EOMONTH(EDATE($H$77,$E$77-1),0)),$D$77/MAX($E$77,1),0)</f>
        <v>0</v>
      </c>
      <c r="BU86" s="159" t="n">
        <f aca="false">IF(AND(BU$6&gt;=EOMONTH($H$77,0),BU$6&lt;=EOMONTH(EDATE($H$77,$E$77-1),0)),$D$77/MAX($E$77,1),0)</f>
        <v>0</v>
      </c>
      <c r="BV86" s="159" t="n">
        <f aca="false">IF(AND(BV$6&gt;=EOMONTH($H$77,0),BV$6&lt;=EOMONTH(EDATE($H$77,$E$77-1),0)),$D$77/MAX($E$77,1),0)</f>
        <v>0</v>
      </c>
      <c r="BW86" s="159" t="n">
        <f aca="false">IF(AND(BW$6&gt;=EOMONTH($H$77,0),BW$6&lt;=EOMONTH(EDATE($H$77,$E$77-1),0)),$D$77/MAX($E$77,1),0)</f>
        <v>0</v>
      </c>
      <c r="BX86" s="159" t="n">
        <f aca="false">IF(AND(BX$6&gt;=EOMONTH($H$77,0),BX$6&lt;=EOMONTH(EDATE($H$77,$E$77-1),0)),$D$77/MAX($E$77,1),0)</f>
        <v>0</v>
      </c>
      <c r="BY86" s="159" t="n">
        <f aca="false">IF(AND(BY$6&gt;=EOMONTH($H$77,0),BY$6&lt;=EOMONTH(EDATE($H$77,$E$77-1),0)),$D$77/MAX($E$77,1),0)</f>
        <v>0</v>
      </c>
      <c r="BZ86" s="159" t="n">
        <f aca="false">IF(AND(BZ$6&gt;=EOMONTH($H$77,0),BZ$6&lt;=EOMONTH(EDATE($H$77,$E$77-1),0)),$D$77/MAX($E$77,1),0)</f>
        <v>0</v>
      </c>
      <c r="CA86" s="159" t="n">
        <f aca="false">IF(AND(CA$6&gt;=EOMONTH($H$77,0),CA$6&lt;=EOMONTH(EDATE($H$77,$E$77-1),0)),$D$77/MAX($E$77,1),0)</f>
        <v>0</v>
      </c>
    </row>
    <row r="87" customFormat="false" ht="15" hidden="false" customHeight="false" outlineLevel="0" collapsed="false">
      <c r="B87" s="196" t="s">
        <v>370</v>
      </c>
      <c r="T87" s="159" t="n">
        <f aca="false">IF(AND(T$6&gt;=EOMONTH($H$78,0),T$6&lt;=EOMONTH(EDATE($H$78,$E$78-1),0)),$D$78/MAX($E$78,1),0)</f>
        <v>0</v>
      </c>
      <c r="U87" s="159" t="n">
        <f aca="false">IF(AND(U$6&gt;=EOMONTH($H$78,0),U$6&lt;=EOMONTH(EDATE($H$78,$E$78-1),0)),$D$78/MAX($E$78,1),0)</f>
        <v>0</v>
      </c>
      <c r="V87" s="159" t="n">
        <f aca="false">IF(AND(V$6&gt;=EOMONTH($H$78,0),V$6&lt;=EOMONTH(EDATE($H$78,$E$78-1),0)),$D$78/MAX($E$78,1),0)</f>
        <v>0</v>
      </c>
      <c r="W87" s="159" t="n">
        <f aca="false">IF(AND(W$6&gt;=EOMONTH($H$78,0),W$6&lt;=EOMONTH(EDATE($H$78,$E$78-1),0)),$D$78/MAX($E$78,1),0)</f>
        <v>0</v>
      </c>
      <c r="X87" s="159" t="n">
        <f aca="false">IF(AND(X$6&gt;=EOMONTH($H$78,0),X$6&lt;=EOMONTH(EDATE($H$78,$E$78-1),0)),$D$78/MAX($E$78,1),0)</f>
        <v>0</v>
      </c>
      <c r="Y87" s="159" t="n">
        <f aca="false">IF(AND(Y$6&gt;=EOMONTH($H$78,0),Y$6&lt;=EOMONTH(EDATE($H$78,$E$78-1),0)),$D$78/MAX($E$78,1),0)</f>
        <v>0</v>
      </c>
      <c r="Z87" s="159" t="n">
        <f aca="false">IF(AND(Z$6&gt;=EOMONTH($H$78,0),Z$6&lt;=EOMONTH(EDATE($H$78,$E$78-1),0)),$D$78/MAX($E$78,1),0)</f>
        <v>0</v>
      </c>
      <c r="AA87" s="159" t="n">
        <f aca="false">IF(AND(AA$6&gt;=EOMONTH($H$78,0),AA$6&lt;=EOMONTH(EDATE($H$78,$E$78-1),0)),$D$78/MAX($E$78,1),0)</f>
        <v>0</v>
      </c>
      <c r="AB87" s="159" t="n">
        <f aca="false">IF(AND(AB$6&gt;=EOMONTH($H$78,0),AB$6&lt;=EOMONTH(EDATE($H$78,$E$78-1),0)),$D$78/MAX($E$78,1),0)</f>
        <v>0</v>
      </c>
      <c r="AC87" s="159" t="n">
        <f aca="false">IF(AND(AC$6&gt;=EOMONTH($H$78,0),AC$6&lt;=EOMONTH(EDATE($H$78,$E$78-1),0)),$D$78/MAX($E$78,1),0)</f>
        <v>0</v>
      </c>
      <c r="AD87" s="159" t="n">
        <f aca="false">IF(AND(AD$6&gt;=EOMONTH($H$78,0),AD$6&lt;=EOMONTH(EDATE($H$78,$E$78-1),0)),$D$78/MAX($E$78,1),0)</f>
        <v>0</v>
      </c>
      <c r="AE87" s="159" t="n">
        <f aca="false">IF(AND(AE$6&gt;=EOMONTH($H$78,0),AE$6&lt;=EOMONTH(EDATE($H$78,$E$78-1),0)),$D$78/MAX($E$78,1),0)</f>
        <v>0</v>
      </c>
      <c r="AF87" s="159" t="n">
        <f aca="false">IF(AND(AF$6&gt;=EOMONTH($H$78,0),AF$6&lt;=EOMONTH(EDATE($H$78,$E$78-1),0)),$D$78/MAX($E$78,1),0)</f>
        <v>0</v>
      </c>
      <c r="AG87" s="159" t="n">
        <f aca="false">IF(AND(AG$6&gt;=EOMONTH($H$78,0),AG$6&lt;=EOMONTH(EDATE($H$78,$E$78-1),0)),$D$78/MAX($E$78,1),0)</f>
        <v>0</v>
      </c>
      <c r="AH87" s="159" t="n">
        <f aca="false">IF(AND(AH$6&gt;=EOMONTH($H$78,0),AH$6&lt;=EOMONTH(EDATE($H$78,$E$78-1),0)),$D$78/MAX($E$78,1),0)</f>
        <v>30000</v>
      </c>
      <c r="AI87" s="159" t="n">
        <f aca="false">IF(AND(AI$6&gt;=EOMONTH($H$78,0),AI$6&lt;=EOMONTH(EDATE($H$78,$E$78-1),0)),$D$78/MAX($E$78,1),0)</f>
        <v>30000</v>
      </c>
      <c r="AJ87" s="159" t="n">
        <f aca="false">IF(AND(AJ$6&gt;=EOMONTH($H$78,0),AJ$6&lt;=EOMONTH(EDATE($H$78,$E$78-1),0)),$D$78/MAX($E$78,1),0)</f>
        <v>30000</v>
      </c>
      <c r="AK87" s="159" t="n">
        <f aca="false">IF(AND(AK$6&gt;=EOMONTH($H$78,0),AK$6&lt;=EOMONTH(EDATE($H$78,$E$78-1),0)),$D$78/MAX($E$78,1),0)</f>
        <v>30000</v>
      </c>
      <c r="AL87" s="159" t="n">
        <f aca="false">IF(AND(AL$6&gt;=EOMONTH($H$78,0),AL$6&lt;=EOMONTH(EDATE($H$78,$E$78-1),0)),$D$78/MAX($E$78,1),0)</f>
        <v>30000</v>
      </c>
      <c r="AM87" s="159" t="n">
        <f aca="false">IF(AND(AM$6&gt;=EOMONTH($H$78,0),AM$6&lt;=EOMONTH(EDATE($H$78,$E$78-1),0)),$D$78/MAX($E$78,1),0)</f>
        <v>30000</v>
      </c>
      <c r="AN87" s="159" t="n">
        <f aca="false">IF(AND(AN$6&gt;=EOMONTH($H$78,0),AN$6&lt;=EOMONTH(EDATE($H$78,$E$78-1),0)),$D$78/MAX($E$78,1),0)</f>
        <v>0</v>
      </c>
      <c r="AO87" s="159" t="n">
        <f aca="false">IF(AND(AO$6&gt;=EOMONTH($H$78,0),AO$6&lt;=EOMONTH(EDATE($H$78,$E$78-1),0)),$D$78/MAX($E$78,1),0)</f>
        <v>0</v>
      </c>
      <c r="AP87" s="159" t="n">
        <f aca="false">IF(AND(AP$6&gt;=EOMONTH($H$78,0),AP$6&lt;=EOMONTH(EDATE($H$78,$E$78-1),0)),$D$78/MAX($E$78,1),0)</f>
        <v>0</v>
      </c>
      <c r="AQ87" s="159" t="n">
        <f aca="false">IF(AND(AQ$6&gt;=EOMONTH($H$78,0),AQ$6&lt;=EOMONTH(EDATE($H$78,$E$78-1),0)),$D$78/MAX($E$78,1),0)</f>
        <v>0</v>
      </c>
      <c r="AR87" s="159" t="n">
        <f aca="false">IF(AND(AR$6&gt;=EOMONTH($H$78,0),AR$6&lt;=EOMONTH(EDATE($H$78,$E$78-1),0)),$D$78/MAX($E$78,1),0)</f>
        <v>0</v>
      </c>
      <c r="AS87" s="159" t="n">
        <f aca="false">IF(AND(AS$6&gt;=EOMONTH($H$78,0),AS$6&lt;=EOMONTH(EDATE($H$78,$E$78-1),0)),$D$78/MAX($E$78,1),0)</f>
        <v>0</v>
      </c>
      <c r="AT87" s="159" t="n">
        <f aca="false">IF(AND(AT$6&gt;=EOMONTH($H$78,0),AT$6&lt;=EOMONTH(EDATE($H$78,$E$78-1),0)),$D$78/MAX($E$78,1),0)</f>
        <v>0</v>
      </c>
      <c r="AU87" s="159" t="n">
        <f aca="false">IF(AND(AU$6&gt;=EOMONTH($H$78,0),AU$6&lt;=EOMONTH(EDATE($H$78,$E$78-1),0)),$D$78/MAX($E$78,1),0)</f>
        <v>0</v>
      </c>
      <c r="AV87" s="159" t="n">
        <f aca="false">IF(AND(AV$6&gt;=EOMONTH($H$78,0),AV$6&lt;=EOMONTH(EDATE($H$78,$E$78-1),0)),$D$78/MAX($E$78,1),0)</f>
        <v>0</v>
      </c>
      <c r="AW87" s="159" t="n">
        <f aca="false">IF(AND(AW$6&gt;=EOMONTH($H$78,0),AW$6&lt;=EOMONTH(EDATE($H$78,$E$78-1),0)),$D$78/MAX($E$78,1),0)</f>
        <v>0</v>
      </c>
      <c r="AX87" s="159" t="n">
        <f aca="false">IF(AND(AX$6&gt;=EOMONTH($H$78,0),AX$6&lt;=EOMONTH(EDATE($H$78,$E$78-1),0)),$D$78/MAX($E$78,1),0)</f>
        <v>0</v>
      </c>
      <c r="AY87" s="159" t="n">
        <f aca="false">IF(AND(AY$6&gt;=EOMONTH($H$78,0),AY$6&lt;=EOMONTH(EDATE($H$78,$E$78-1),0)),$D$78/MAX($E$78,1),0)</f>
        <v>0</v>
      </c>
      <c r="AZ87" s="159" t="n">
        <f aca="false">IF(AND(AZ$6&gt;=EOMONTH($H$78,0),AZ$6&lt;=EOMONTH(EDATE($H$78,$E$78-1),0)),$D$78/MAX($E$78,1),0)</f>
        <v>0</v>
      </c>
      <c r="BA87" s="159" t="n">
        <f aca="false">IF(AND(BA$6&gt;=EOMONTH($H$78,0),BA$6&lt;=EOMONTH(EDATE($H$78,$E$78-1),0)),$D$78/MAX($E$78,1),0)</f>
        <v>0</v>
      </c>
      <c r="BB87" s="159" t="n">
        <f aca="false">IF(AND(BB$6&gt;=EOMONTH($H$78,0),BB$6&lt;=EOMONTH(EDATE($H$78,$E$78-1),0)),$D$78/MAX($E$78,1),0)</f>
        <v>0</v>
      </c>
      <c r="BC87" s="159" t="n">
        <f aca="false">IF(AND(BC$6&gt;=EOMONTH($H$78,0),BC$6&lt;=EOMONTH(EDATE($H$78,$E$78-1),0)),$D$78/MAX($E$78,1),0)</f>
        <v>0</v>
      </c>
      <c r="BD87" s="159" t="n">
        <f aca="false">IF(AND(BD$6&gt;=EOMONTH($H$78,0),BD$6&lt;=EOMONTH(EDATE($H$78,$E$78-1),0)),$D$78/MAX($E$78,1),0)</f>
        <v>0</v>
      </c>
      <c r="BE87" s="159" t="n">
        <f aca="false">IF(AND(BE$6&gt;=EOMONTH($H$78,0),BE$6&lt;=EOMONTH(EDATE($H$78,$E$78-1),0)),$D$78/MAX($E$78,1),0)</f>
        <v>0</v>
      </c>
      <c r="BF87" s="159" t="n">
        <f aca="false">IF(AND(BF$6&gt;=EOMONTH($H$78,0),BF$6&lt;=EOMONTH(EDATE($H$78,$E$78-1),0)),$D$78/MAX($E$78,1),0)</f>
        <v>0</v>
      </c>
      <c r="BG87" s="159" t="n">
        <f aca="false">IF(AND(BG$6&gt;=EOMONTH($H$78,0),BG$6&lt;=EOMONTH(EDATE($H$78,$E$78-1),0)),$D$78/MAX($E$78,1),0)</f>
        <v>0</v>
      </c>
      <c r="BH87" s="159" t="n">
        <f aca="false">IF(AND(BH$6&gt;=EOMONTH($H$78,0),BH$6&lt;=EOMONTH(EDATE($H$78,$E$78-1),0)),$D$78/MAX($E$78,1),0)</f>
        <v>0</v>
      </c>
      <c r="BI87" s="159" t="n">
        <f aca="false">IF(AND(BI$6&gt;=EOMONTH($H$78,0),BI$6&lt;=EOMONTH(EDATE($H$78,$E$78-1),0)),$D$78/MAX($E$78,1),0)</f>
        <v>0</v>
      </c>
      <c r="BJ87" s="159" t="n">
        <f aca="false">IF(AND(BJ$6&gt;=EOMONTH($H$78,0),BJ$6&lt;=EOMONTH(EDATE($H$78,$E$78-1),0)),$D$78/MAX($E$78,1),0)</f>
        <v>0</v>
      </c>
      <c r="BK87" s="159" t="n">
        <f aca="false">IF(AND(BK$6&gt;=EOMONTH($H$78,0),BK$6&lt;=EOMONTH(EDATE($H$78,$E$78-1),0)),$D$78/MAX($E$78,1),0)</f>
        <v>0</v>
      </c>
      <c r="BL87" s="159" t="n">
        <f aca="false">IF(AND(BL$6&gt;=EOMONTH($H$78,0),BL$6&lt;=EOMONTH(EDATE($H$78,$E$78-1),0)),$D$78/MAX($E$78,1),0)</f>
        <v>0</v>
      </c>
      <c r="BM87" s="159" t="n">
        <f aca="false">IF(AND(BM$6&gt;=EOMONTH($H$78,0),BM$6&lt;=EOMONTH(EDATE($H$78,$E$78-1),0)),$D$78/MAX($E$78,1),0)</f>
        <v>0</v>
      </c>
      <c r="BN87" s="159" t="n">
        <f aca="false">IF(AND(BN$6&gt;=EOMONTH($H$78,0),BN$6&lt;=EOMONTH(EDATE($H$78,$E$78-1),0)),$D$78/MAX($E$78,1),0)</f>
        <v>0</v>
      </c>
      <c r="BO87" s="159" t="n">
        <f aca="false">IF(AND(BO$6&gt;=EOMONTH($H$78,0),BO$6&lt;=EOMONTH(EDATE($H$78,$E$78-1),0)),$D$78/MAX($E$78,1),0)</f>
        <v>0</v>
      </c>
      <c r="BP87" s="159" t="n">
        <f aca="false">IF(AND(BP$6&gt;=EOMONTH($H$78,0),BP$6&lt;=EOMONTH(EDATE($H$78,$E$78-1),0)),$D$78/MAX($E$78,1),0)</f>
        <v>0</v>
      </c>
      <c r="BQ87" s="159" t="n">
        <f aca="false">IF(AND(BQ$6&gt;=EOMONTH($H$78,0),BQ$6&lt;=EOMONTH(EDATE($H$78,$E$78-1),0)),$D$78/MAX($E$78,1),0)</f>
        <v>0</v>
      </c>
      <c r="BR87" s="159" t="n">
        <f aca="false">IF(AND(BR$6&gt;=EOMONTH($H$78,0),BR$6&lt;=EOMONTH(EDATE($H$78,$E$78-1),0)),$D$78/MAX($E$78,1),0)</f>
        <v>0</v>
      </c>
      <c r="BS87" s="159" t="n">
        <f aca="false">IF(AND(BS$6&gt;=EOMONTH($H$78,0),BS$6&lt;=EOMONTH(EDATE($H$78,$E$78-1),0)),$D$78/MAX($E$78,1),0)</f>
        <v>0</v>
      </c>
      <c r="BT87" s="159" t="n">
        <f aca="false">IF(AND(BT$6&gt;=EOMONTH($H$78,0),BT$6&lt;=EOMONTH(EDATE($H$78,$E$78-1),0)),$D$78/MAX($E$78,1),0)</f>
        <v>0</v>
      </c>
      <c r="BU87" s="159" t="n">
        <f aca="false">IF(AND(BU$6&gt;=EOMONTH($H$78,0),BU$6&lt;=EOMONTH(EDATE($H$78,$E$78-1),0)),$D$78/MAX($E$78,1),0)</f>
        <v>0</v>
      </c>
      <c r="BV87" s="159" t="n">
        <f aca="false">IF(AND(BV$6&gt;=EOMONTH($H$78,0),BV$6&lt;=EOMONTH(EDATE($H$78,$E$78-1),0)),$D$78/MAX($E$78,1),0)</f>
        <v>0</v>
      </c>
      <c r="BW87" s="159" t="n">
        <f aca="false">IF(AND(BW$6&gt;=EOMONTH($H$78,0),BW$6&lt;=EOMONTH(EDATE($H$78,$E$78-1),0)),$D$78/MAX($E$78,1),0)</f>
        <v>0</v>
      </c>
      <c r="BX87" s="159" t="n">
        <f aca="false">IF(AND(BX$6&gt;=EOMONTH($H$78,0),BX$6&lt;=EOMONTH(EDATE($H$78,$E$78-1),0)),$D$78/MAX($E$78,1),0)</f>
        <v>0</v>
      </c>
      <c r="BY87" s="159" t="n">
        <f aca="false">IF(AND(BY$6&gt;=EOMONTH($H$78,0),BY$6&lt;=EOMONTH(EDATE($H$78,$E$78-1),0)),$D$78/MAX($E$78,1),0)</f>
        <v>0</v>
      </c>
      <c r="BZ87" s="159" t="n">
        <f aca="false">IF(AND(BZ$6&gt;=EOMONTH($H$78,0),BZ$6&lt;=EOMONTH(EDATE($H$78,$E$78-1),0)),$D$78/MAX($E$78,1),0)</f>
        <v>0</v>
      </c>
      <c r="CA87" s="159" t="n">
        <f aca="false">IF(AND(CA$6&gt;=EOMONTH($H$78,0),CA$6&lt;=EOMONTH(EDATE($H$78,$E$78-1),0)),$D$78/MAX($E$78,1),0)</f>
        <v>0</v>
      </c>
    </row>
    <row r="88" customFormat="false" ht="15" hidden="false" customHeight="false" outlineLevel="0" collapsed="false">
      <c r="B88" s="196" t="s">
        <v>371</v>
      </c>
      <c r="T88" s="159" t="n">
        <f aca="false">IF(AND(T$6&gt;=EOMONTH($H$79,0),T$6&lt;=EOMONTH(EDATE($H$79,$E$79-1),0)),$D$79/MAX($E$79,1),0)</f>
        <v>0</v>
      </c>
      <c r="U88" s="159" t="n">
        <f aca="false">IF(AND(U$6&gt;=EOMONTH($H$79,0),U$6&lt;=EOMONTH(EDATE($H$79,$E$79-1),0)),$D$79/MAX($E$79,1),0)</f>
        <v>0</v>
      </c>
      <c r="V88" s="159" t="n">
        <f aca="false">IF(AND(V$6&gt;=EOMONTH($H$79,0),V$6&lt;=EOMONTH(EDATE($H$79,$E$79-1),0)),$D$79/MAX($E$79,1),0)</f>
        <v>0</v>
      </c>
      <c r="W88" s="159" t="n">
        <f aca="false">IF(AND(W$6&gt;=EOMONTH($H$79,0),W$6&lt;=EOMONTH(EDATE($H$79,$E$79-1),0)),$D$79/MAX($E$79,1),0)</f>
        <v>0</v>
      </c>
      <c r="X88" s="159" t="n">
        <f aca="false">IF(AND(X$6&gt;=EOMONTH($H$79,0),X$6&lt;=EOMONTH(EDATE($H$79,$E$79-1),0)),$D$79/MAX($E$79,1),0)</f>
        <v>0</v>
      </c>
      <c r="Y88" s="159" t="n">
        <f aca="false">IF(AND(Y$6&gt;=EOMONTH($H$79,0),Y$6&lt;=EOMONTH(EDATE($H$79,$E$79-1),0)),$D$79/MAX($E$79,1),0)</f>
        <v>0</v>
      </c>
      <c r="Z88" s="159" t="n">
        <f aca="false">IF(AND(Z$6&gt;=EOMONTH($H$79,0),Z$6&lt;=EOMONTH(EDATE($H$79,$E$79-1),0)),$D$79/MAX($E$79,1),0)</f>
        <v>0</v>
      </c>
      <c r="AA88" s="159" t="n">
        <f aca="false">IF(AND(AA$6&gt;=EOMONTH($H$79,0),AA$6&lt;=EOMONTH(EDATE($H$79,$E$79-1),0)),$D$79/MAX($E$79,1),0)</f>
        <v>0</v>
      </c>
      <c r="AB88" s="159" t="n">
        <f aca="false">IF(AND(AB$6&gt;=EOMONTH($H$79,0),AB$6&lt;=EOMONTH(EDATE($H$79,$E$79-1),0)),$D$79/MAX($E$79,1),0)</f>
        <v>0</v>
      </c>
      <c r="AC88" s="159" t="n">
        <f aca="false">IF(AND(AC$6&gt;=EOMONTH($H$79,0),AC$6&lt;=EOMONTH(EDATE($H$79,$E$79-1),0)),$D$79/MAX($E$79,1),0)</f>
        <v>0</v>
      </c>
      <c r="AD88" s="159" t="n">
        <f aca="false">IF(AND(AD$6&gt;=EOMONTH($H$79,0),AD$6&lt;=EOMONTH(EDATE($H$79,$E$79-1),0)),$D$79/MAX($E$79,1),0)</f>
        <v>0</v>
      </c>
      <c r="AE88" s="159" t="n">
        <f aca="false">IF(AND(AE$6&gt;=EOMONTH($H$79,0),AE$6&lt;=EOMONTH(EDATE($H$79,$E$79-1),0)),$D$79/MAX($E$79,1),0)</f>
        <v>0</v>
      </c>
      <c r="AF88" s="159" t="n">
        <f aca="false">IF(AND(AF$6&gt;=EOMONTH($H$79,0),AF$6&lt;=EOMONTH(EDATE($H$79,$E$79-1),0)),$D$79/MAX($E$79,1),0)</f>
        <v>0</v>
      </c>
      <c r="AG88" s="159" t="n">
        <f aca="false">IF(AND(AG$6&gt;=EOMONTH($H$79,0),AG$6&lt;=EOMONTH(EDATE($H$79,$E$79-1),0)),$D$79/MAX($E$79,1),0)</f>
        <v>0</v>
      </c>
      <c r="AH88" s="159" t="n">
        <f aca="false">IF(AND(AH$6&gt;=EOMONTH($H$79,0),AH$6&lt;=EOMONTH(EDATE($H$79,$E$79-1),0)),$D$79/MAX($E$79,1),0)</f>
        <v>20000</v>
      </c>
      <c r="AI88" s="159" t="n">
        <f aca="false">IF(AND(AI$6&gt;=EOMONTH($H$79,0),AI$6&lt;=EOMONTH(EDATE($H$79,$E$79-1),0)),$D$79/MAX($E$79,1),0)</f>
        <v>20000</v>
      </c>
      <c r="AJ88" s="159" t="n">
        <f aca="false">IF(AND(AJ$6&gt;=EOMONTH($H$79,0),AJ$6&lt;=EOMONTH(EDATE($H$79,$E$79-1),0)),$D$79/MAX($E$79,1),0)</f>
        <v>20000</v>
      </c>
      <c r="AK88" s="159" t="n">
        <f aca="false">IF(AND(AK$6&gt;=EOMONTH($H$79,0),AK$6&lt;=EOMONTH(EDATE($H$79,$E$79-1),0)),$D$79/MAX($E$79,1),0)</f>
        <v>20000</v>
      </c>
      <c r="AL88" s="159" t="n">
        <f aca="false">IF(AND(AL$6&gt;=EOMONTH($H$79,0),AL$6&lt;=EOMONTH(EDATE($H$79,$E$79-1),0)),$D$79/MAX($E$79,1),0)</f>
        <v>20000</v>
      </c>
      <c r="AM88" s="159" t="n">
        <f aca="false">IF(AND(AM$6&gt;=EOMONTH($H$79,0),AM$6&lt;=EOMONTH(EDATE($H$79,$E$79-1),0)),$D$79/MAX($E$79,1),0)</f>
        <v>20000</v>
      </c>
      <c r="AN88" s="159" t="n">
        <f aca="false">IF(AND(AN$6&gt;=EOMONTH($H$79,0),AN$6&lt;=EOMONTH(EDATE($H$79,$E$79-1),0)),$D$79/MAX($E$79,1),0)</f>
        <v>0</v>
      </c>
      <c r="AO88" s="159" t="n">
        <f aca="false">IF(AND(AO$6&gt;=EOMONTH($H$79,0),AO$6&lt;=EOMONTH(EDATE($H$79,$E$79-1),0)),$D$79/MAX($E$79,1),0)</f>
        <v>0</v>
      </c>
      <c r="AP88" s="159" t="n">
        <f aca="false">IF(AND(AP$6&gt;=EOMONTH($H$79,0),AP$6&lt;=EOMONTH(EDATE($H$79,$E$79-1),0)),$D$79/MAX($E$79,1),0)</f>
        <v>0</v>
      </c>
      <c r="AQ88" s="159" t="n">
        <f aca="false">IF(AND(AQ$6&gt;=EOMONTH($H$79,0),AQ$6&lt;=EOMONTH(EDATE($H$79,$E$79-1),0)),$D$79/MAX($E$79,1),0)</f>
        <v>0</v>
      </c>
      <c r="AR88" s="159" t="n">
        <f aca="false">IF(AND(AR$6&gt;=EOMONTH($H$79,0),AR$6&lt;=EOMONTH(EDATE($H$79,$E$79-1),0)),$D$79/MAX($E$79,1),0)</f>
        <v>0</v>
      </c>
      <c r="AS88" s="159" t="n">
        <f aca="false">IF(AND(AS$6&gt;=EOMONTH($H$79,0),AS$6&lt;=EOMONTH(EDATE($H$79,$E$79-1),0)),$D$79/MAX($E$79,1),0)</f>
        <v>0</v>
      </c>
      <c r="AT88" s="159" t="n">
        <f aca="false">IF(AND(AT$6&gt;=EOMONTH($H$79,0),AT$6&lt;=EOMONTH(EDATE($H$79,$E$79-1),0)),$D$79/MAX($E$79,1),0)</f>
        <v>0</v>
      </c>
      <c r="AU88" s="159" t="n">
        <f aca="false">IF(AND(AU$6&gt;=EOMONTH($H$79,0),AU$6&lt;=EOMONTH(EDATE($H$79,$E$79-1),0)),$D$79/MAX($E$79,1),0)</f>
        <v>0</v>
      </c>
      <c r="AV88" s="159" t="n">
        <f aca="false">IF(AND(AV$6&gt;=EOMONTH($H$79,0),AV$6&lt;=EOMONTH(EDATE($H$79,$E$79-1),0)),$D$79/MAX($E$79,1),0)</f>
        <v>0</v>
      </c>
      <c r="AW88" s="159" t="n">
        <f aca="false">IF(AND(AW$6&gt;=EOMONTH($H$79,0),AW$6&lt;=EOMONTH(EDATE($H$79,$E$79-1),0)),$D$79/MAX($E$79,1),0)</f>
        <v>0</v>
      </c>
      <c r="AX88" s="159" t="n">
        <f aca="false">IF(AND(AX$6&gt;=EOMONTH($H$79,0),AX$6&lt;=EOMONTH(EDATE($H$79,$E$79-1),0)),$D$79/MAX($E$79,1),0)</f>
        <v>0</v>
      </c>
      <c r="AY88" s="159" t="n">
        <f aca="false">IF(AND(AY$6&gt;=EOMONTH($H$79,0),AY$6&lt;=EOMONTH(EDATE($H$79,$E$79-1),0)),$D$79/MAX($E$79,1),0)</f>
        <v>0</v>
      </c>
      <c r="AZ88" s="159" t="n">
        <f aca="false">IF(AND(AZ$6&gt;=EOMONTH($H$79,0),AZ$6&lt;=EOMONTH(EDATE($H$79,$E$79-1),0)),$D$79/MAX($E$79,1),0)</f>
        <v>0</v>
      </c>
      <c r="BA88" s="159" t="n">
        <f aca="false">IF(AND(BA$6&gt;=EOMONTH($H$79,0),BA$6&lt;=EOMONTH(EDATE($H$79,$E$79-1),0)),$D$79/MAX($E$79,1),0)</f>
        <v>0</v>
      </c>
      <c r="BB88" s="159" t="n">
        <f aca="false">IF(AND(BB$6&gt;=EOMONTH($H$79,0),BB$6&lt;=EOMONTH(EDATE($H$79,$E$79-1),0)),$D$79/MAX($E$79,1),0)</f>
        <v>0</v>
      </c>
      <c r="BC88" s="159" t="n">
        <f aca="false">IF(AND(BC$6&gt;=EOMONTH($H$79,0),BC$6&lt;=EOMONTH(EDATE($H$79,$E$79-1),0)),$D$79/MAX($E$79,1),0)</f>
        <v>0</v>
      </c>
      <c r="BD88" s="159" t="n">
        <f aca="false">IF(AND(BD$6&gt;=EOMONTH($H$79,0),BD$6&lt;=EOMONTH(EDATE($H$79,$E$79-1),0)),$D$79/MAX($E$79,1),0)</f>
        <v>0</v>
      </c>
      <c r="BE88" s="159" t="n">
        <f aca="false">IF(AND(BE$6&gt;=EOMONTH($H$79,0),BE$6&lt;=EOMONTH(EDATE($H$79,$E$79-1),0)),$D$79/MAX($E$79,1),0)</f>
        <v>0</v>
      </c>
      <c r="BF88" s="159" t="n">
        <f aca="false">IF(AND(BF$6&gt;=EOMONTH($H$79,0),BF$6&lt;=EOMONTH(EDATE($H$79,$E$79-1),0)),$D$79/MAX($E$79,1),0)</f>
        <v>0</v>
      </c>
      <c r="BG88" s="159" t="n">
        <f aca="false">IF(AND(BG$6&gt;=EOMONTH($H$79,0),BG$6&lt;=EOMONTH(EDATE($H$79,$E$79-1),0)),$D$79/MAX($E$79,1),0)</f>
        <v>0</v>
      </c>
      <c r="BH88" s="159" t="n">
        <f aca="false">IF(AND(BH$6&gt;=EOMONTH($H$79,0),BH$6&lt;=EOMONTH(EDATE($H$79,$E$79-1),0)),$D$79/MAX($E$79,1),0)</f>
        <v>0</v>
      </c>
      <c r="BI88" s="159" t="n">
        <f aca="false">IF(AND(BI$6&gt;=EOMONTH($H$79,0),BI$6&lt;=EOMONTH(EDATE($H$79,$E$79-1),0)),$D$79/MAX($E$79,1),0)</f>
        <v>0</v>
      </c>
      <c r="BJ88" s="159" t="n">
        <f aca="false">IF(AND(BJ$6&gt;=EOMONTH($H$79,0),BJ$6&lt;=EOMONTH(EDATE($H$79,$E$79-1),0)),$D$79/MAX($E$79,1),0)</f>
        <v>0</v>
      </c>
      <c r="BK88" s="159" t="n">
        <f aca="false">IF(AND(BK$6&gt;=EOMONTH($H$79,0),BK$6&lt;=EOMONTH(EDATE($H$79,$E$79-1),0)),$D$79/MAX($E$79,1),0)</f>
        <v>0</v>
      </c>
      <c r="BL88" s="159" t="n">
        <f aca="false">IF(AND(BL$6&gt;=EOMONTH($H$79,0),BL$6&lt;=EOMONTH(EDATE($H$79,$E$79-1),0)),$D$79/MAX($E$79,1),0)</f>
        <v>0</v>
      </c>
      <c r="BM88" s="159" t="n">
        <f aca="false">IF(AND(BM$6&gt;=EOMONTH($H$79,0),BM$6&lt;=EOMONTH(EDATE($H$79,$E$79-1),0)),$D$79/MAX($E$79,1),0)</f>
        <v>0</v>
      </c>
      <c r="BN88" s="159" t="n">
        <f aca="false">IF(AND(BN$6&gt;=EOMONTH($H$79,0),BN$6&lt;=EOMONTH(EDATE($H$79,$E$79-1),0)),$D$79/MAX($E$79,1),0)</f>
        <v>0</v>
      </c>
      <c r="BO88" s="159" t="n">
        <f aca="false">IF(AND(BO$6&gt;=EOMONTH($H$79,0),BO$6&lt;=EOMONTH(EDATE($H$79,$E$79-1),0)),$D$79/MAX($E$79,1),0)</f>
        <v>0</v>
      </c>
      <c r="BP88" s="159" t="n">
        <f aca="false">IF(AND(BP$6&gt;=EOMONTH($H$79,0),BP$6&lt;=EOMONTH(EDATE($H$79,$E$79-1),0)),$D$79/MAX($E$79,1),0)</f>
        <v>0</v>
      </c>
      <c r="BQ88" s="159" t="n">
        <f aca="false">IF(AND(BQ$6&gt;=EOMONTH($H$79,0),BQ$6&lt;=EOMONTH(EDATE($H$79,$E$79-1),0)),$D$79/MAX($E$79,1),0)</f>
        <v>0</v>
      </c>
      <c r="BR88" s="159" t="n">
        <f aca="false">IF(AND(BR$6&gt;=EOMONTH($H$79,0),BR$6&lt;=EOMONTH(EDATE($H$79,$E$79-1),0)),$D$79/MAX($E$79,1),0)</f>
        <v>0</v>
      </c>
      <c r="BS88" s="159" t="n">
        <f aca="false">IF(AND(BS$6&gt;=EOMONTH($H$79,0),BS$6&lt;=EOMONTH(EDATE($H$79,$E$79-1),0)),$D$79/MAX($E$79,1),0)</f>
        <v>0</v>
      </c>
      <c r="BT88" s="159" t="n">
        <f aca="false">IF(AND(BT$6&gt;=EOMONTH($H$79,0),BT$6&lt;=EOMONTH(EDATE($H$79,$E$79-1),0)),$D$79/MAX($E$79,1),0)</f>
        <v>0</v>
      </c>
      <c r="BU88" s="159" t="n">
        <f aca="false">IF(AND(BU$6&gt;=EOMONTH($H$79,0),BU$6&lt;=EOMONTH(EDATE($H$79,$E$79-1),0)),$D$79/MAX($E$79,1),0)</f>
        <v>0</v>
      </c>
      <c r="BV88" s="159" t="n">
        <f aca="false">IF(AND(BV$6&gt;=EOMONTH($H$79,0),BV$6&lt;=EOMONTH(EDATE($H$79,$E$79-1),0)),$D$79/MAX($E$79,1),0)</f>
        <v>0</v>
      </c>
      <c r="BW88" s="159" t="n">
        <f aca="false">IF(AND(BW$6&gt;=EOMONTH($H$79,0),BW$6&lt;=EOMONTH(EDATE($H$79,$E$79-1),0)),$D$79/MAX($E$79,1),0)</f>
        <v>0</v>
      </c>
      <c r="BX88" s="159" t="n">
        <f aca="false">IF(AND(BX$6&gt;=EOMONTH($H$79,0),BX$6&lt;=EOMONTH(EDATE($H$79,$E$79-1),0)),$D$79/MAX($E$79,1),0)</f>
        <v>0</v>
      </c>
      <c r="BY88" s="159" t="n">
        <f aca="false">IF(AND(BY$6&gt;=EOMONTH($H$79,0),BY$6&lt;=EOMONTH(EDATE($H$79,$E$79-1),0)),$D$79/MAX($E$79,1),0)</f>
        <v>0</v>
      </c>
      <c r="BZ88" s="159" t="n">
        <f aca="false">IF(AND(BZ$6&gt;=EOMONTH($H$79,0),BZ$6&lt;=EOMONTH(EDATE($H$79,$E$79-1),0)),$D$79/MAX($E$79,1),0)</f>
        <v>0</v>
      </c>
      <c r="CA88" s="159" t="n">
        <f aca="false">IF(AND(CA$6&gt;=EOMONTH($H$79,0),CA$6&lt;=EOMONTH(EDATE($H$79,$E$79-1),0)),$D$79/MAX($E$79,1),0)</f>
        <v>0</v>
      </c>
    </row>
    <row r="89" customFormat="false" ht="15" hidden="false" customHeight="false" outlineLevel="0" collapsed="false">
      <c r="B89" s="196" t="s">
        <v>372</v>
      </c>
      <c r="T89" s="159" t="n">
        <f aca="false">IF(AND(T$6&gt;=EOMONTH($H$80,0),T$6&lt;=EOMONTH(EDATE($H$80,$E$80-1),0)),$D$80/MAX($E$80,1),0)</f>
        <v>0</v>
      </c>
      <c r="U89" s="159" t="n">
        <f aca="false">IF(AND(U$6&gt;=EOMONTH($H$80,0),U$6&lt;=EOMONTH(EDATE($H$80,$E$80-1),0)),$D$80/MAX($E$80,1),0)</f>
        <v>0</v>
      </c>
      <c r="V89" s="159" t="n">
        <f aca="false">IF(AND(V$6&gt;=EOMONTH($H$80,0),V$6&lt;=EOMONTH(EDATE($H$80,$E$80-1),0)),$D$80/MAX($E$80,1),0)</f>
        <v>0</v>
      </c>
      <c r="W89" s="159" t="n">
        <f aca="false">IF(AND(W$6&gt;=EOMONTH($H$80,0),W$6&lt;=EOMONTH(EDATE($H$80,$E$80-1),0)),$D$80/MAX($E$80,1),0)</f>
        <v>0</v>
      </c>
      <c r="X89" s="159" t="n">
        <f aca="false">IF(AND(X$6&gt;=EOMONTH($H$80,0),X$6&lt;=EOMONTH(EDATE($H$80,$E$80-1),0)),$D$80/MAX($E$80,1),0)</f>
        <v>0</v>
      </c>
      <c r="Y89" s="159" t="n">
        <f aca="false">IF(AND(Y$6&gt;=EOMONTH($H$80,0),Y$6&lt;=EOMONTH(EDATE($H$80,$E$80-1),0)),$D$80/MAX($E$80,1),0)</f>
        <v>0</v>
      </c>
      <c r="Z89" s="159" t="n">
        <f aca="false">IF(AND(Z$6&gt;=EOMONTH($H$80,0),Z$6&lt;=EOMONTH(EDATE($H$80,$E$80-1),0)),$D$80/MAX($E$80,1),0)</f>
        <v>0</v>
      </c>
      <c r="AA89" s="159" t="n">
        <f aca="false">IF(AND(AA$6&gt;=EOMONTH($H$80,0),AA$6&lt;=EOMONTH(EDATE($H$80,$E$80-1),0)),$D$80/MAX($E$80,1),0)</f>
        <v>0</v>
      </c>
      <c r="AB89" s="159" t="n">
        <f aca="false">IF(AND(AB$6&gt;=EOMONTH($H$80,0),AB$6&lt;=EOMONTH(EDATE($H$80,$E$80-1),0)),$D$80/MAX($E$80,1),0)</f>
        <v>0</v>
      </c>
      <c r="AC89" s="159" t="n">
        <f aca="false">IF(AND(AC$6&gt;=EOMONTH($H$80,0),AC$6&lt;=EOMONTH(EDATE($H$80,$E$80-1),0)),$D$80/MAX($E$80,1),0)</f>
        <v>0</v>
      </c>
      <c r="AD89" s="159" t="n">
        <f aca="false">IF(AND(AD$6&gt;=EOMONTH($H$80,0),AD$6&lt;=EOMONTH(EDATE($H$80,$E$80-1),0)),$D$80/MAX($E$80,1),0)</f>
        <v>0</v>
      </c>
      <c r="AE89" s="159" t="n">
        <f aca="false">IF(AND(AE$6&gt;=EOMONTH($H$80,0),AE$6&lt;=EOMONTH(EDATE($H$80,$E$80-1),0)),$D$80/MAX($E$80,1),0)</f>
        <v>0</v>
      </c>
      <c r="AF89" s="159" t="n">
        <f aca="false">IF(AND(AF$6&gt;=EOMONTH($H$80,0),AF$6&lt;=EOMONTH(EDATE($H$80,$E$80-1),0)),$D$80/MAX($E$80,1),0)</f>
        <v>0</v>
      </c>
      <c r="AG89" s="159" t="n">
        <f aca="false">IF(AND(AG$6&gt;=EOMONTH($H$80,0),AG$6&lt;=EOMONTH(EDATE($H$80,$E$80-1),0)),$D$80/MAX($E$80,1),0)</f>
        <v>0</v>
      </c>
      <c r="AH89" s="159" t="n">
        <f aca="false">IF(AND(AH$6&gt;=EOMONTH($H$80,0),AH$6&lt;=EOMONTH(EDATE($H$80,$E$80-1),0)),$D$80/MAX($E$80,1),0)</f>
        <v>10000</v>
      </c>
      <c r="AI89" s="159" t="n">
        <f aca="false">IF(AND(AI$6&gt;=EOMONTH($H$80,0),AI$6&lt;=EOMONTH(EDATE($H$80,$E$80-1),0)),$D$80/MAX($E$80,1),0)</f>
        <v>10000</v>
      </c>
      <c r="AJ89" s="159" t="n">
        <f aca="false">IF(AND(AJ$6&gt;=EOMONTH($H$80,0),AJ$6&lt;=EOMONTH(EDATE($H$80,$E$80-1),0)),$D$80/MAX($E$80,1),0)</f>
        <v>10000</v>
      </c>
      <c r="AK89" s="159" t="n">
        <f aca="false">IF(AND(AK$6&gt;=EOMONTH($H$80,0),AK$6&lt;=EOMONTH(EDATE($H$80,$E$80-1),0)),$D$80/MAX($E$80,1),0)</f>
        <v>10000</v>
      </c>
      <c r="AL89" s="159" t="n">
        <f aca="false">IF(AND(AL$6&gt;=EOMONTH($H$80,0),AL$6&lt;=EOMONTH(EDATE($H$80,$E$80-1),0)),$D$80/MAX($E$80,1),0)</f>
        <v>10000</v>
      </c>
      <c r="AM89" s="159" t="n">
        <f aca="false">IF(AND(AM$6&gt;=EOMONTH($H$80,0),AM$6&lt;=EOMONTH(EDATE($H$80,$E$80-1),0)),$D$80/MAX($E$80,1),0)</f>
        <v>10000</v>
      </c>
      <c r="AN89" s="159" t="n">
        <f aca="false">IF(AND(AN$6&gt;=EOMONTH($H$80,0),AN$6&lt;=EOMONTH(EDATE($H$80,$E$80-1),0)),$D$80/MAX($E$80,1),0)</f>
        <v>0</v>
      </c>
      <c r="AO89" s="159" t="n">
        <f aca="false">IF(AND(AO$6&gt;=EOMONTH($H$80,0),AO$6&lt;=EOMONTH(EDATE($H$80,$E$80-1),0)),$D$80/MAX($E$80,1),0)</f>
        <v>0</v>
      </c>
      <c r="AP89" s="159" t="n">
        <f aca="false">IF(AND(AP$6&gt;=EOMONTH($H$80,0),AP$6&lt;=EOMONTH(EDATE($H$80,$E$80-1),0)),$D$80/MAX($E$80,1),0)</f>
        <v>0</v>
      </c>
      <c r="AQ89" s="159" t="n">
        <f aca="false">IF(AND(AQ$6&gt;=EOMONTH($H$80,0),AQ$6&lt;=EOMONTH(EDATE($H$80,$E$80-1),0)),$D$80/MAX($E$80,1),0)</f>
        <v>0</v>
      </c>
      <c r="AR89" s="159" t="n">
        <f aca="false">IF(AND(AR$6&gt;=EOMONTH($H$80,0),AR$6&lt;=EOMONTH(EDATE($H$80,$E$80-1),0)),$D$80/MAX($E$80,1),0)</f>
        <v>0</v>
      </c>
      <c r="AS89" s="159" t="n">
        <f aca="false">IF(AND(AS$6&gt;=EOMONTH($H$80,0),AS$6&lt;=EOMONTH(EDATE($H$80,$E$80-1),0)),$D$80/MAX($E$80,1),0)</f>
        <v>0</v>
      </c>
      <c r="AT89" s="159" t="n">
        <f aca="false">IF(AND(AT$6&gt;=EOMONTH($H$80,0),AT$6&lt;=EOMONTH(EDATE($H$80,$E$80-1),0)),$D$80/MAX($E$80,1),0)</f>
        <v>0</v>
      </c>
      <c r="AU89" s="159" t="n">
        <f aca="false">IF(AND(AU$6&gt;=EOMONTH($H$80,0),AU$6&lt;=EOMONTH(EDATE($H$80,$E$80-1),0)),$D$80/MAX($E$80,1),0)</f>
        <v>0</v>
      </c>
      <c r="AV89" s="159" t="n">
        <f aca="false">IF(AND(AV$6&gt;=EOMONTH($H$80,0),AV$6&lt;=EOMONTH(EDATE($H$80,$E$80-1),0)),$D$80/MAX($E$80,1),0)</f>
        <v>0</v>
      </c>
      <c r="AW89" s="159" t="n">
        <f aca="false">IF(AND(AW$6&gt;=EOMONTH($H$80,0),AW$6&lt;=EOMONTH(EDATE($H$80,$E$80-1),0)),$D$80/MAX($E$80,1),0)</f>
        <v>0</v>
      </c>
      <c r="AX89" s="159" t="n">
        <f aca="false">IF(AND(AX$6&gt;=EOMONTH($H$80,0),AX$6&lt;=EOMONTH(EDATE($H$80,$E$80-1),0)),$D$80/MAX($E$80,1),0)</f>
        <v>0</v>
      </c>
      <c r="AY89" s="159" t="n">
        <f aca="false">IF(AND(AY$6&gt;=EOMONTH($H$80,0),AY$6&lt;=EOMONTH(EDATE($H$80,$E$80-1),0)),$D$80/MAX($E$80,1),0)</f>
        <v>0</v>
      </c>
      <c r="AZ89" s="159" t="n">
        <f aca="false">IF(AND(AZ$6&gt;=EOMONTH($H$80,0),AZ$6&lt;=EOMONTH(EDATE($H$80,$E$80-1),0)),$D$80/MAX($E$80,1),0)</f>
        <v>0</v>
      </c>
      <c r="BA89" s="159" t="n">
        <f aca="false">IF(AND(BA$6&gt;=EOMONTH($H$80,0),BA$6&lt;=EOMONTH(EDATE($H$80,$E$80-1),0)),$D$80/MAX($E$80,1),0)</f>
        <v>0</v>
      </c>
      <c r="BB89" s="159" t="n">
        <f aca="false">IF(AND(BB$6&gt;=EOMONTH($H$80,0),BB$6&lt;=EOMONTH(EDATE($H$80,$E$80-1),0)),$D$80/MAX($E$80,1),0)</f>
        <v>0</v>
      </c>
      <c r="BC89" s="159" t="n">
        <f aca="false">IF(AND(BC$6&gt;=EOMONTH($H$80,0),BC$6&lt;=EOMONTH(EDATE($H$80,$E$80-1),0)),$D$80/MAX($E$80,1),0)</f>
        <v>0</v>
      </c>
      <c r="BD89" s="159" t="n">
        <f aca="false">IF(AND(BD$6&gt;=EOMONTH($H$80,0),BD$6&lt;=EOMONTH(EDATE($H$80,$E$80-1),0)),$D$80/MAX($E$80,1),0)</f>
        <v>0</v>
      </c>
      <c r="BE89" s="159" t="n">
        <f aca="false">IF(AND(BE$6&gt;=EOMONTH($H$80,0),BE$6&lt;=EOMONTH(EDATE($H$80,$E$80-1),0)),$D$80/MAX($E$80,1),0)</f>
        <v>0</v>
      </c>
      <c r="BF89" s="159" t="n">
        <f aca="false">IF(AND(BF$6&gt;=EOMONTH($H$80,0),BF$6&lt;=EOMONTH(EDATE($H$80,$E$80-1),0)),$D$80/MAX($E$80,1),0)</f>
        <v>0</v>
      </c>
      <c r="BG89" s="159" t="n">
        <f aca="false">IF(AND(BG$6&gt;=EOMONTH($H$80,0),BG$6&lt;=EOMONTH(EDATE($H$80,$E$80-1),0)),$D$80/MAX($E$80,1),0)</f>
        <v>0</v>
      </c>
      <c r="BH89" s="159" t="n">
        <f aca="false">IF(AND(BH$6&gt;=EOMONTH($H$80,0),BH$6&lt;=EOMONTH(EDATE($H$80,$E$80-1),0)),$D$80/MAX($E$80,1),0)</f>
        <v>0</v>
      </c>
      <c r="BI89" s="159" t="n">
        <f aca="false">IF(AND(BI$6&gt;=EOMONTH($H$80,0),BI$6&lt;=EOMONTH(EDATE($H$80,$E$80-1),0)),$D$80/MAX($E$80,1),0)</f>
        <v>0</v>
      </c>
      <c r="BJ89" s="159" t="n">
        <f aca="false">IF(AND(BJ$6&gt;=EOMONTH($H$80,0),BJ$6&lt;=EOMONTH(EDATE($H$80,$E$80-1),0)),$D$80/MAX($E$80,1),0)</f>
        <v>0</v>
      </c>
      <c r="BK89" s="159" t="n">
        <f aca="false">IF(AND(BK$6&gt;=EOMONTH($H$80,0),BK$6&lt;=EOMONTH(EDATE($H$80,$E$80-1),0)),$D$80/MAX($E$80,1),0)</f>
        <v>0</v>
      </c>
      <c r="BL89" s="159" t="n">
        <f aca="false">IF(AND(BL$6&gt;=EOMONTH($H$80,0),BL$6&lt;=EOMONTH(EDATE($H$80,$E$80-1),0)),$D$80/MAX($E$80,1),0)</f>
        <v>0</v>
      </c>
      <c r="BM89" s="159" t="n">
        <f aca="false">IF(AND(BM$6&gt;=EOMONTH($H$80,0),BM$6&lt;=EOMONTH(EDATE($H$80,$E$80-1),0)),$D$80/MAX($E$80,1),0)</f>
        <v>0</v>
      </c>
      <c r="BN89" s="159" t="n">
        <f aca="false">IF(AND(BN$6&gt;=EOMONTH($H$80,0),BN$6&lt;=EOMONTH(EDATE($H$80,$E$80-1),0)),$D$80/MAX($E$80,1),0)</f>
        <v>0</v>
      </c>
      <c r="BO89" s="159" t="n">
        <f aca="false">IF(AND(BO$6&gt;=EOMONTH($H$80,0),BO$6&lt;=EOMONTH(EDATE($H$80,$E$80-1),0)),$D$80/MAX($E$80,1),0)</f>
        <v>0</v>
      </c>
      <c r="BP89" s="159" t="n">
        <f aca="false">IF(AND(BP$6&gt;=EOMONTH($H$80,0),BP$6&lt;=EOMONTH(EDATE($H$80,$E$80-1),0)),$D$80/MAX($E$80,1),0)</f>
        <v>0</v>
      </c>
      <c r="BQ89" s="159" t="n">
        <f aca="false">IF(AND(BQ$6&gt;=EOMONTH($H$80,0),BQ$6&lt;=EOMONTH(EDATE($H$80,$E$80-1),0)),$D$80/MAX($E$80,1),0)</f>
        <v>0</v>
      </c>
      <c r="BR89" s="159" t="n">
        <f aca="false">IF(AND(BR$6&gt;=EOMONTH($H$80,0),BR$6&lt;=EOMONTH(EDATE($H$80,$E$80-1),0)),$D$80/MAX($E$80,1),0)</f>
        <v>0</v>
      </c>
      <c r="BS89" s="159" t="n">
        <f aca="false">IF(AND(BS$6&gt;=EOMONTH($H$80,0),BS$6&lt;=EOMONTH(EDATE($H$80,$E$80-1),0)),$D$80/MAX($E$80,1),0)</f>
        <v>0</v>
      </c>
      <c r="BT89" s="159" t="n">
        <f aca="false">IF(AND(BT$6&gt;=EOMONTH($H$80,0),BT$6&lt;=EOMONTH(EDATE($H$80,$E$80-1),0)),$D$80/MAX($E$80,1),0)</f>
        <v>0</v>
      </c>
      <c r="BU89" s="159" t="n">
        <f aca="false">IF(AND(BU$6&gt;=EOMONTH($H$80,0),BU$6&lt;=EOMONTH(EDATE($H$80,$E$80-1),0)),$D$80/MAX($E$80,1),0)</f>
        <v>0</v>
      </c>
      <c r="BV89" s="159" t="n">
        <f aca="false">IF(AND(BV$6&gt;=EOMONTH($H$80,0),BV$6&lt;=EOMONTH(EDATE($H$80,$E$80-1),0)),$D$80/MAX($E$80,1),0)</f>
        <v>0</v>
      </c>
      <c r="BW89" s="159" t="n">
        <f aca="false">IF(AND(BW$6&gt;=EOMONTH($H$80,0),BW$6&lt;=EOMONTH(EDATE($H$80,$E$80-1),0)),$D$80/MAX($E$80,1),0)</f>
        <v>0</v>
      </c>
      <c r="BX89" s="159" t="n">
        <f aca="false">IF(AND(BX$6&gt;=EOMONTH($H$80,0),BX$6&lt;=EOMONTH(EDATE($H$80,$E$80-1),0)),$D$80/MAX($E$80,1),0)</f>
        <v>0</v>
      </c>
      <c r="BY89" s="159" t="n">
        <f aca="false">IF(AND(BY$6&gt;=EOMONTH($H$80,0),BY$6&lt;=EOMONTH(EDATE($H$80,$E$80-1),0)),$D$80/MAX($E$80,1),0)</f>
        <v>0</v>
      </c>
      <c r="BZ89" s="159" t="n">
        <f aca="false">IF(AND(BZ$6&gt;=EOMONTH($H$80,0),BZ$6&lt;=EOMONTH(EDATE($H$80,$E$80-1),0)),$D$80/MAX($E$80,1),0)</f>
        <v>0</v>
      </c>
      <c r="CA89" s="159" t="n">
        <f aca="false">IF(AND(CA$6&gt;=EOMONTH($H$80,0),CA$6&lt;=EOMONTH(EDATE($H$80,$E$80-1),0)),$D$80/MAX($E$80,1),0)</f>
        <v>0</v>
      </c>
    </row>
    <row r="90" customFormat="false" ht="15" hidden="false" customHeight="false" outlineLevel="0" collapsed="false">
      <c r="B90" s="196" t="s">
        <v>373</v>
      </c>
      <c r="T90" s="159" t="n">
        <f aca="false">IF(AND(T$6&gt;=EOMONTH($H$81,0),T$6&lt;=EOMONTH(EDATE($H$81,$E$81-1),0)),$D$81/MAX($E$81,1),0)</f>
        <v>0</v>
      </c>
      <c r="U90" s="159" t="n">
        <f aca="false">IF(AND(U$6&gt;=EOMONTH($H$81,0),U$6&lt;=EOMONTH(EDATE($H$81,$E$81-1),0)),$D$81/MAX($E$81,1),0)</f>
        <v>0</v>
      </c>
      <c r="V90" s="159" t="n">
        <f aca="false">IF(AND(V$6&gt;=EOMONTH($H$81,0),V$6&lt;=EOMONTH(EDATE($H$81,$E$81-1),0)),$D$81/MAX($E$81,1),0)</f>
        <v>0</v>
      </c>
      <c r="W90" s="159" t="n">
        <f aca="false">IF(AND(W$6&gt;=EOMONTH($H$81,0),W$6&lt;=EOMONTH(EDATE($H$81,$E$81-1),0)),$D$81/MAX($E$81,1),0)</f>
        <v>0</v>
      </c>
      <c r="X90" s="159" t="n">
        <f aca="false">IF(AND(X$6&gt;=EOMONTH($H$81,0),X$6&lt;=EOMONTH(EDATE($H$81,$E$81-1),0)),$D$81/MAX($E$81,1),0)</f>
        <v>0</v>
      </c>
      <c r="Y90" s="159" t="n">
        <f aca="false">IF(AND(Y$6&gt;=EOMONTH($H$81,0),Y$6&lt;=EOMONTH(EDATE($H$81,$E$81-1),0)),$D$81/MAX($E$81,1),0)</f>
        <v>0</v>
      </c>
      <c r="Z90" s="159" t="n">
        <f aca="false">IF(AND(Z$6&gt;=EOMONTH($H$81,0),Z$6&lt;=EOMONTH(EDATE($H$81,$E$81-1),0)),$D$81/MAX($E$81,1),0)</f>
        <v>0</v>
      </c>
      <c r="AA90" s="159" t="n">
        <f aca="false">IF(AND(AA$6&gt;=EOMONTH($H$81,0),AA$6&lt;=EOMONTH(EDATE($H$81,$E$81-1),0)),$D$81/MAX($E$81,1),0)</f>
        <v>0</v>
      </c>
      <c r="AB90" s="159" t="n">
        <f aca="false">IF(AND(AB$6&gt;=EOMONTH($H$81,0),AB$6&lt;=EOMONTH(EDATE($H$81,$E$81-1),0)),$D$81/MAX($E$81,1),0)</f>
        <v>0</v>
      </c>
      <c r="AC90" s="159" t="n">
        <f aca="false">IF(AND(AC$6&gt;=EOMONTH($H$81,0),AC$6&lt;=EOMONTH(EDATE($H$81,$E$81-1),0)),$D$81/MAX($E$81,1),0)</f>
        <v>0</v>
      </c>
      <c r="AD90" s="159" t="n">
        <f aca="false">IF(AND(AD$6&gt;=EOMONTH($H$81,0),AD$6&lt;=EOMONTH(EDATE($H$81,$E$81-1),0)),$D$81/MAX($E$81,1),0)</f>
        <v>0</v>
      </c>
      <c r="AE90" s="159" t="n">
        <f aca="false">IF(AND(AE$6&gt;=EOMONTH($H$81,0),AE$6&lt;=EOMONTH(EDATE($H$81,$E$81-1),0)),$D$81/MAX($E$81,1),0)</f>
        <v>0</v>
      </c>
      <c r="AF90" s="159" t="n">
        <f aca="false">IF(AND(AF$6&gt;=EOMONTH($H$81,0),AF$6&lt;=EOMONTH(EDATE($H$81,$E$81-1),0)),$D$81/MAX($E$81,1),0)</f>
        <v>11244.4444444444</v>
      </c>
      <c r="AG90" s="159" t="n">
        <f aca="false">IF(AND(AG$6&gt;=EOMONTH($H$81,0),AG$6&lt;=EOMONTH(EDATE($H$81,$E$81-1),0)),$D$81/MAX($E$81,1),0)</f>
        <v>11244.4444444444</v>
      </c>
      <c r="AH90" s="159" t="n">
        <f aca="false">IF(AND(AH$6&gt;=EOMONTH($H$81,0),AH$6&lt;=EOMONTH(EDATE($H$81,$E$81-1),0)),$D$81/MAX($E$81,1),0)</f>
        <v>11244.4444444444</v>
      </c>
      <c r="AI90" s="159" t="n">
        <f aca="false">IF(AND(AI$6&gt;=EOMONTH($H$81,0),AI$6&lt;=EOMONTH(EDATE($H$81,$E$81-1),0)),$D$81/MAX($E$81,1),0)</f>
        <v>11244.4444444444</v>
      </c>
      <c r="AJ90" s="159" t="n">
        <f aca="false">IF(AND(AJ$6&gt;=EOMONTH($H$81,0),AJ$6&lt;=EOMONTH(EDATE($H$81,$E$81-1),0)),$D$81/MAX($E$81,1),0)</f>
        <v>11244.4444444444</v>
      </c>
      <c r="AK90" s="159" t="n">
        <f aca="false">IF(AND(AK$6&gt;=EOMONTH($H$81,0),AK$6&lt;=EOMONTH(EDATE($H$81,$E$81-1),0)),$D$81/MAX($E$81,1),0)</f>
        <v>11244.4444444444</v>
      </c>
      <c r="AL90" s="159" t="n">
        <f aca="false">IF(AND(AL$6&gt;=EOMONTH($H$81,0),AL$6&lt;=EOMONTH(EDATE($H$81,$E$81-1),0)),$D$81/MAX($E$81,1),0)</f>
        <v>11244.4444444444</v>
      </c>
      <c r="AM90" s="159" t="n">
        <f aca="false">IF(AND(AM$6&gt;=EOMONTH($H$81,0),AM$6&lt;=EOMONTH(EDATE($H$81,$E$81-1),0)),$D$81/MAX($E$81,1),0)</f>
        <v>11244.4444444444</v>
      </c>
      <c r="AN90" s="159" t="n">
        <f aca="false">IF(AND(AN$6&gt;=EOMONTH($H$81,0),AN$6&lt;=EOMONTH(EDATE($H$81,$E$81-1),0)),$D$81/MAX($E$81,1),0)</f>
        <v>11244.4444444444</v>
      </c>
      <c r="AO90" s="159" t="n">
        <f aca="false">IF(AND(AO$6&gt;=EOMONTH($H$81,0),AO$6&lt;=EOMONTH(EDATE($H$81,$E$81-1),0)),$D$81/MAX($E$81,1),0)</f>
        <v>11244.4444444444</v>
      </c>
      <c r="AP90" s="159" t="n">
        <f aca="false">IF(AND(AP$6&gt;=EOMONTH($H$81,0),AP$6&lt;=EOMONTH(EDATE($H$81,$E$81-1),0)),$D$81/MAX($E$81,1),0)</f>
        <v>11244.4444444444</v>
      </c>
      <c r="AQ90" s="159" t="n">
        <f aca="false">IF(AND(AQ$6&gt;=EOMONTH($H$81,0),AQ$6&lt;=EOMONTH(EDATE($H$81,$E$81-1),0)),$D$81/MAX($E$81,1),0)</f>
        <v>11244.4444444444</v>
      </c>
      <c r="AR90" s="159" t="n">
        <f aca="false">IF(AND(AR$6&gt;=EOMONTH($H$81,0),AR$6&lt;=EOMONTH(EDATE($H$81,$E$81-1),0)),$D$81/MAX($E$81,1),0)</f>
        <v>11244.4444444444</v>
      </c>
      <c r="AS90" s="159" t="n">
        <f aca="false">IF(AND(AS$6&gt;=EOMONTH($H$81,0),AS$6&lt;=EOMONTH(EDATE($H$81,$E$81-1),0)),$D$81/MAX($E$81,1),0)</f>
        <v>11244.4444444444</v>
      </c>
      <c r="AT90" s="159" t="n">
        <f aca="false">IF(AND(AT$6&gt;=EOMONTH($H$81,0),AT$6&lt;=EOMONTH(EDATE($H$81,$E$81-1),0)),$D$81/MAX($E$81,1),0)</f>
        <v>11244.4444444444</v>
      </c>
      <c r="AU90" s="159" t="n">
        <f aca="false">IF(AND(AU$6&gt;=EOMONTH($H$81,0),AU$6&lt;=EOMONTH(EDATE($H$81,$E$81-1),0)),$D$81/MAX($E$81,1),0)</f>
        <v>0</v>
      </c>
      <c r="AV90" s="159" t="n">
        <f aca="false">IF(AND(AV$6&gt;=EOMONTH($H$81,0),AV$6&lt;=EOMONTH(EDATE($H$81,$E$81-1),0)),$D$81/MAX($E$81,1),0)</f>
        <v>0</v>
      </c>
      <c r="AW90" s="159" t="n">
        <f aca="false">IF(AND(AW$6&gt;=EOMONTH($H$81,0),AW$6&lt;=EOMONTH(EDATE($H$81,$E$81-1),0)),$D$81/MAX($E$81,1),0)</f>
        <v>0</v>
      </c>
      <c r="AX90" s="159" t="n">
        <f aca="false">IF(AND(AX$6&gt;=EOMONTH($H$81,0),AX$6&lt;=EOMONTH(EDATE($H$81,$E$81-1),0)),$D$81/MAX($E$81,1),0)</f>
        <v>0</v>
      </c>
      <c r="AY90" s="159" t="n">
        <f aca="false">IF(AND(AY$6&gt;=EOMONTH($H$81,0),AY$6&lt;=EOMONTH(EDATE($H$81,$E$81-1),0)),$D$81/MAX($E$81,1),0)</f>
        <v>0</v>
      </c>
      <c r="AZ90" s="159" t="n">
        <f aca="false">IF(AND(AZ$6&gt;=EOMONTH($H$81,0),AZ$6&lt;=EOMONTH(EDATE($H$81,$E$81-1),0)),$D$81/MAX($E$81,1),0)</f>
        <v>0</v>
      </c>
      <c r="BA90" s="159" t="n">
        <f aca="false">IF(AND(BA$6&gt;=EOMONTH($H$81,0),BA$6&lt;=EOMONTH(EDATE($H$81,$E$81-1),0)),$D$81/MAX($E$81,1),0)</f>
        <v>0</v>
      </c>
      <c r="BB90" s="159" t="n">
        <f aca="false">IF(AND(BB$6&gt;=EOMONTH($H$81,0),BB$6&lt;=EOMONTH(EDATE($H$81,$E$81-1),0)),$D$81/MAX($E$81,1),0)</f>
        <v>0</v>
      </c>
      <c r="BC90" s="159" t="n">
        <f aca="false">IF(AND(BC$6&gt;=EOMONTH($H$81,0),BC$6&lt;=EOMONTH(EDATE($H$81,$E$81-1),0)),$D$81/MAX($E$81,1),0)</f>
        <v>0</v>
      </c>
      <c r="BD90" s="159" t="n">
        <f aca="false">IF(AND(BD$6&gt;=EOMONTH($H$81,0),BD$6&lt;=EOMONTH(EDATE($H$81,$E$81-1),0)),$D$81/MAX($E$81,1),0)</f>
        <v>0</v>
      </c>
      <c r="BE90" s="159" t="n">
        <f aca="false">IF(AND(BE$6&gt;=EOMONTH($H$81,0),BE$6&lt;=EOMONTH(EDATE($H$81,$E$81-1),0)),$D$81/MAX($E$81,1),0)</f>
        <v>0</v>
      </c>
      <c r="BF90" s="159" t="n">
        <f aca="false">IF(AND(BF$6&gt;=EOMONTH($H$81,0),BF$6&lt;=EOMONTH(EDATE($H$81,$E$81-1),0)),$D$81/MAX($E$81,1),0)</f>
        <v>0</v>
      </c>
      <c r="BG90" s="159" t="n">
        <f aca="false">IF(AND(BG$6&gt;=EOMONTH($H$81,0),BG$6&lt;=EOMONTH(EDATE($H$81,$E$81-1),0)),$D$81/MAX($E$81,1),0)</f>
        <v>0</v>
      </c>
      <c r="BH90" s="159" t="n">
        <f aca="false">IF(AND(BH$6&gt;=EOMONTH($H$81,0),BH$6&lt;=EOMONTH(EDATE($H$81,$E$81-1),0)),$D$81/MAX($E$81,1),0)</f>
        <v>0</v>
      </c>
      <c r="BI90" s="159" t="n">
        <f aca="false">IF(AND(BI$6&gt;=EOMONTH($H$81,0),BI$6&lt;=EOMONTH(EDATE($H$81,$E$81-1),0)),$D$81/MAX($E$81,1),0)</f>
        <v>0</v>
      </c>
      <c r="BJ90" s="159" t="n">
        <f aca="false">IF(AND(BJ$6&gt;=EOMONTH($H$81,0),BJ$6&lt;=EOMONTH(EDATE($H$81,$E$81-1),0)),$D$81/MAX($E$81,1),0)</f>
        <v>0</v>
      </c>
      <c r="BK90" s="159" t="n">
        <f aca="false">IF(AND(BK$6&gt;=EOMONTH($H$81,0),BK$6&lt;=EOMONTH(EDATE($H$81,$E$81-1),0)),$D$81/MAX($E$81,1),0)</f>
        <v>0</v>
      </c>
      <c r="BL90" s="159" t="n">
        <f aca="false">IF(AND(BL$6&gt;=EOMONTH($H$81,0),BL$6&lt;=EOMONTH(EDATE($H$81,$E$81-1),0)),$D$81/MAX($E$81,1),0)</f>
        <v>0</v>
      </c>
      <c r="BM90" s="159" t="n">
        <f aca="false">IF(AND(BM$6&gt;=EOMONTH($H$81,0),BM$6&lt;=EOMONTH(EDATE($H$81,$E$81-1),0)),$D$81/MAX($E$81,1),0)</f>
        <v>0</v>
      </c>
      <c r="BN90" s="159" t="n">
        <f aca="false">IF(AND(BN$6&gt;=EOMONTH($H$81,0),BN$6&lt;=EOMONTH(EDATE($H$81,$E$81-1),0)),$D$81/MAX($E$81,1),0)</f>
        <v>0</v>
      </c>
      <c r="BO90" s="159" t="n">
        <f aca="false">IF(AND(BO$6&gt;=EOMONTH($H$81,0),BO$6&lt;=EOMONTH(EDATE($H$81,$E$81-1),0)),$D$81/MAX($E$81,1),0)</f>
        <v>0</v>
      </c>
      <c r="BP90" s="159" t="n">
        <f aca="false">IF(AND(BP$6&gt;=EOMONTH($H$81,0),BP$6&lt;=EOMONTH(EDATE($H$81,$E$81-1),0)),$D$81/MAX($E$81,1),0)</f>
        <v>0</v>
      </c>
      <c r="BQ90" s="159" t="n">
        <f aca="false">IF(AND(BQ$6&gt;=EOMONTH($H$81,0),BQ$6&lt;=EOMONTH(EDATE($H$81,$E$81-1),0)),$D$81/MAX($E$81,1),0)</f>
        <v>0</v>
      </c>
      <c r="BR90" s="159" t="n">
        <f aca="false">IF(AND(BR$6&gt;=EOMONTH($H$81,0),BR$6&lt;=EOMONTH(EDATE($H$81,$E$81-1),0)),$D$81/MAX($E$81,1),0)</f>
        <v>0</v>
      </c>
      <c r="BS90" s="159" t="n">
        <f aca="false">IF(AND(BS$6&gt;=EOMONTH($H$81,0),BS$6&lt;=EOMONTH(EDATE($H$81,$E$81-1),0)),$D$81/MAX($E$81,1),0)</f>
        <v>0</v>
      </c>
      <c r="BT90" s="159" t="n">
        <f aca="false">IF(AND(BT$6&gt;=EOMONTH($H$81,0),BT$6&lt;=EOMONTH(EDATE($H$81,$E$81-1),0)),$D$81/MAX($E$81,1),0)</f>
        <v>0</v>
      </c>
      <c r="BU90" s="159" t="n">
        <f aca="false">IF(AND(BU$6&gt;=EOMONTH($H$81,0),BU$6&lt;=EOMONTH(EDATE($H$81,$E$81-1),0)),$D$81/MAX($E$81,1),0)</f>
        <v>0</v>
      </c>
      <c r="BV90" s="159" t="n">
        <f aca="false">IF(AND(BV$6&gt;=EOMONTH($H$81,0),BV$6&lt;=EOMONTH(EDATE($H$81,$E$81-1),0)),$D$81/MAX($E$81,1),0)</f>
        <v>0</v>
      </c>
      <c r="BW90" s="159" t="n">
        <f aca="false">IF(AND(BW$6&gt;=EOMONTH($H$81,0),BW$6&lt;=EOMONTH(EDATE($H$81,$E$81-1),0)),$D$81/MAX($E$81,1),0)</f>
        <v>0</v>
      </c>
      <c r="BX90" s="159" t="n">
        <f aca="false">IF(AND(BX$6&gt;=EOMONTH($H$81,0),BX$6&lt;=EOMONTH(EDATE($H$81,$E$81-1),0)),$D$81/MAX($E$81,1),0)</f>
        <v>0</v>
      </c>
      <c r="BY90" s="159" t="n">
        <f aca="false">IF(AND(BY$6&gt;=EOMONTH($H$81,0),BY$6&lt;=EOMONTH(EDATE($H$81,$E$81-1),0)),$D$81/MAX($E$81,1),0)</f>
        <v>0</v>
      </c>
      <c r="BZ90" s="159" t="n">
        <f aca="false">IF(AND(BZ$6&gt;=EOMONTH($H$81,0),BZ$6&lt;=EOMONTH(EDATE($H$81,$E$81-1),0)),$D$81/MAX($E$81,1),0)</f>
        <v>0</v>
      </c>
      <c r="CA90" s="159" t="n">
        <f aca="false">IF(AND(CA$6&gt;=EOMONTH($H$81,0),CA$6&lt;=EOMONTH(EDATE($H$81,$E$81-1),0)),$D$81/MAX($E$81,1),0)</f>
        <v>0</v>
      </c>
    </row>
    <row r="91" customFormat="false" ht="15" hidden="false" customHeight="false" outlineLevel="0" collapsed="false">
      <c r="B91" s="196" t="s">
        <v>374</v>
      </c>
      <c r="T91" s="159" t="n">
        <f aca="false">IF(AND(T$6&gt;=EOMONTH($H$82,0),T$6&lt;=EOMONTH(EDATE($H$82,$E$82-1),0)),$D$82/MAX($E$82,1),0)</f>
        <v>0</v>
      </c>
      <c r="U91" s="159" t="n">
        <f aca="false">IF(AND(U$6&gt;=EOMONTH($H$82,0),U$6&lt;=EOMONTH(EDATE($H$82,$E$82-1),0)),$D$82/MAX($E$82,1),0)</f>
        <v>0</v>
      </c>
      <c r="V91" s="159" t="n">
        <f aca="false">IF(AND(V$6&gt;=EOMONTH($H$82,0),V$6&lt;=EOMONTH(EDATE($H$82,$E$82-1),0)),$D$82/MAX($E$82,1),0)</f>
        <v>0</v>
      </c>
      <c r="W91" s="159" t="n">
        <f aca="false">IF(AND(W$6&gt;=EOMONTH($H$82,0),W$6&lt;=EOMONTH(EDATE($H$82,$E$82-1),0)),$D$82/MAX($E$82,1),0)</f>
        <v>0</v>
      </c>
      <c r="X91" s="159" t="n">
        <f aca="false">IF(AND(X$6&gt;=EOMONTH($H$82,0),X$6&lt;=EOMONTH(EDATE($H$82,$E$82-1),0)),$D$82/MAX($E$82,1),0)</f>
        <v>0</v>
      </c>
      <c r="Y91" s="159" t="n">
        <f aca="false">IF(AND(Y$6&gt;=EOMONTH($H$82,0),Y$6&lt;=EOMONTH(EDATE($H$82,$E$82-1),0)),$D$82/MAX($E$82,1),0)</f>
        <v>0</v>
      </c>
      <c r="Z91" s="159" t="n">
        <f aca="false">IF(AND(Z$6&gt;=EOMONTH($H$82,0),Z$6&lt;=EOMONTH(EDATE($H$82,$E$82-1),0)),$D$82/MAX($E$82,1),0)</f>
        <v>0</v>
      </c>
      <c r="AA91" s="159" t="n">
        <f aca="false">IF(AND(AA$6&gt;=EOMONTH($H$82,0),AA$6&lt;=EOMONTH(EDATE($H$82,$E$82-1),0)),$D$82/MAX($E$82,1),0)</f>
        <v>0</v>
      </c>
      <c r="AB91" s="159" t="n">
        <f aca="false">IF(AND(AB$6&gt;=EOMONTH($H$82,0),AB$6&lt;=EOMONTH(EDATE($H$82,$E$82-1),0)),$D$82/MAX($E$82,1),0)</f>
        <v>0</v>
      </c>
      <c r="AC91" s="159" t="n">
        <f aca="false">IF(AND(AC$6&gt;=EOMONTH($H$82,0),AC$6&lt;=EOMONTH(EDATE($H$82,$E$82-1),0)),$D$82/MAX($E$82,1),0)</f>
        <v>0</v>
      </c>
      <c r="AD91" s="159" t="n">
        <f aca="false">IF(AND(AD$6&gt;=EOMONTH($H$82,0),AD$6&lt;=EOMONTH(EDATE($H$82,$E$82-1),0)),$D$82/MAX($E$82,1),0)</f>
        <v>0</v>
      </c>
      <c r="AE91" s="159" t="n">
        <f aca="false">IF(AND(AE$6&gt;=EOMONTH($H$82,0),AE$6&lt;=EOMONTH(EDATE($H$82,$E$82-1),0)),$D$82/MAX($E$82,1),0)</f>
        <v>0</v>
      </c>
      <c r="AF91" s="159" t="n">
        <f aca="false">IF(AND(AF$6&gt;=EOMONTH($H$82,0),AF$6&lt;=EOMONTH(EDATE($H$82,$E$82-1),0)),$D$82/MAX($E$82,1),0)</f>
        <v>15180</v>
      </c>
      <c r="AG91" s="159" t="n">
        <f aca="false">IF(AND(AG$6&gt;=EOMONTH($H$82,0),AG$6&lt;=EOMONTH(EDATE($H$82,$E$82-1),0)),$D$82/MAX($E$82,1),0)</f>
        <v>15180</v>
      </c>
      <c r="AH91" s="159" t="n">
        <f aca="false">IF(AND(AH$6&gt;=EOMONTH($H$82,0),AH$6&lt;=EOMONTH(EDATE($H$82,$E$82-1),0)),$D$82/MAX($E$82,1),0)</f>
        <v>15180</v>
      </c>
      <c r="AI91" s="159" t="n">
        <f aca="false">IF(AND(AI$6&gt;=EOMONTH($H$82,0),AI$6&lt;=EOMONTH(EDATE($H$82,$E$82-1),0)),$D$82/MAX($E$82,1),0)</f>
        <v>15180</v>
      </c>
      <c r="AJ91" s="159" t="n">
        <f aca="false">IF(AND(AJ$6&gt;=EOMONTH($H$82,0),AJ$6&lt;=EOMONTH(EDATE($H$82,$E$82-1),0)),$D$82/MAX($E$82,1),0)</f>
        <v>15180</v>
      </c>
      <c r="AK91" s="159" t="n">
        <f aca="false">IF(AND(AK$6&gt;=EOMONTH($H$82,0),AK$6&lt;=EOMONTH(EDATE($H$82,$E$82-1),0)),$D$82/MAX($E$82,1),0)</f>
        <v>15180</v>
      </c>
      <c r="AL91" s="159" t="n">
        <f aca="false">IF(AND(AL$6&gt;=EOMONTH($H$82,0),AL$6&lt;=EOMONTH(EDATE($H$82,$E$82-1),0)),$D$82/MAX($E$82,1),0)</f>
        <v>15180</v>
      </c>
      <c r="AM91" s="159" t="n">
        <f aca="false">IF(AND(AM$6&gt;=EOMONTH($H$82,0),AM$6&lt;=EOMONTH(EDATE($H$82,$E$82-1),0)),$D$82/MAX($E$82,1),0)</f>
        <v>15180</v>
      </c>
      <c r="AN91" s="159" t="n">
        <f aca="false">IF(AND(AN$6&gt;=EOMONTH($H$82,0),AN$6&lt;=EOMONTH(EDATE($H$82,$E$82-1),0)),$D$82/MAX($E$82,1),0)</f>
        <v>15180</v>
      </c>
      <c r="AO91" s="159" t="n">
        <f aca="false">IF(AND(AO$6&gt;=EOMONTH($H$82,0),AO$6&lt;=EOMONTH(EDATE($H$82,$E$82-1),0)),$D$82/MAX($E$82,1),0)</f>
        <v>15180</v>
      </c>
      <c r="AP91" s="159" t="n">
        <f aca="false">IF(AND(AP$6&gt;=EOMONTH($H$82,0),AP$6&lt;=EOMONTH(EDATE($H$82,$E$82-1),0)),$D$82/MAX($E$82,1),0)</f>
        <v>15180</v>
      </c>
      <c r="AQ91" s="159" t="n">
        <f aca="false">IF(AND(AQ$6&gt;=EOMONTH($H$82,0),AQ$6&lt;=EOMONTH(EDATE($H$82,$E$82-1),0)),$D$82/MAX($E$82,1),0)</f>
        <v>15180</v>
      </c>
      <c r="AR91" s="159" t="n">
        <f aca="false">IF(AND(AR$6&gt;=EOMONTH($H$82,0),AR$6&lt;=EOMONTH(EDATE($H$82,$E$82-1),0)),$D$82/MAX($E$82,1),0)</f>
        <v>15180</v>
      </c>
      <c r="AS91" s="159" t="n">
        <f aca="false">IF(AND(AS$6&gt;=EOMONTH($H$82,0),AS$6&lt;=EOMONTH(EDATE($H$82,$E$82-1),0)),$D$82/MAX($E$82,1),0)</f>
        <v>15180</v>
      </c>
      <c r="AT91" s="159" t="n">
        <f aca="false">IF(AND(AT$6&gt;=EOMONTH($H$82,0),AT$6&lt;=EOMONTH(EDATE($H$82,$E$82-1),0)),$D$82/MAX($E$82,1),0)</f>
        <v>15180</v>
      </c>
      <c r="AU91" s="159" t="n">
        <f aca="false">IF(AND(AU$6&gt;=EOMONTH($H$82,0),AU$6&lt;=EOMONTH(EDATE($H$82,$E$82-1),0)),$D$82/MAX($E$82,1),0)</f>
        <v>0</v>
      </c>
      <c r="AV91" s="159" t="n">
        <f aca="false">IF(AND(AV$6&gt;=EOMONTH($H$82,0),AV$6&lt;=EOMONTH(EDATE($H$82,$E$82-1),0)),$D$82/MAX($E$82,1),0)</f>
        <v>0</v>
      </c>
      <c r="AW91" s="159" t="n">
        <f aca="false">IF(AND(AW$6&gt;=EOMONTH($H$82,0),AW$6&lt;=EOMONTH(EDATE($H$82,$E$82-1),0)),$D$82/MAX($E$82,1),0)</f>
        <v>0</v>
      </c>
      <c r="AX91" s="159" t="n">
        <f aca="false">IF(AND(AX$6&gt;=EOMONTH($H$82,0),AX$6&lt;=EOMONTH(EDATE($H$82,$E$82-1),0)),$D$82/MAX($E$82,1),0)</f>
        <v>0</v>
      </c>
      <c r="AY91" s="159" t="n">
        <f aca="false">IF(AND(AY$6&gt;=EOMONTH($H$82,0),AY$6&lt;=EOMONTH(EDATE($H$82,$E$82-1),0)),$D$82/MAX($E$82,1),0)</f>
        <v>0</v>
      </c>
      <c r="AZ91" s="159" t="n">
        <f aca="false">IF(AND(AZ$6&gt;=EOMONTH($H$82,0),AZ$6&lt;=EOMONTH(EDATE($H$82,$E$82-1),0)),$D$82/MAX($E$82,1),0)</f>
        <v>0</v>
      </c>
      <c r="BA91" s="159" t="n">
        <f aca="false">IF(AND(BA$6&gt;=EOMONTH($H$82,0),BA$6&lt;=EOMONTH(EDATE($H$82,$E$82-1),0)),$D$82/MAX($E$82,1),0)</f>
        <v>0</v>
      </c>
      <c r="BB91" s="159" t="n">
        <f aca="false">IF(AND(BB$6&gt;=EOMONTH($H$82,0),BB$6&lt;=EOMONTH(EDATE($H$82,$E$82-1),0)),$D$82/MAX($E$82,1),0)</f>
        <v>0</v>
      </c>
      <c r="BC91" s="159" t="n">
        <f aca="false">IF(AND(BC$6&gt;=EOMONTH($H$82,0),BC$6&lt;=EOMONTH(EDATE($H$82,$E$82-1),0)),$D$82/MAX($E$82,1),0)</f>
        <v>0</v>
      </c>
      <c r="BD91" s="159" t="n">
        <f aca="false">IF(AND(BD$6&gt;=EOMONTH($H$82,0),BD$6&lt;=EOMONTH(EDATE($H$82,$E$82-1),0)),$D$82/MAX($E$82,1),0)</f>
        <v>0</v>
      </c>
      <c r="BE91" s="159" t="n">
        <f aca="false">IF(AND(BE$6&gt;=EOMONTH($H$82,0),BE$6&lt;=EOMONTH(EDATE($H$82,$E$82-1),0)),$D$82/MAX($E$82,1),0)</f>
        <v>0</v>
      </c>
      <c r="BF91" s="159" t="n">
        <f aca="false">IF(AND(BF$6&gt;=EOMONTH($H$82,0),BF$6&lt;=EOMONTH(EDATE($H$82,$E$82-1),0)),$D$82/MAX($E$82,1),0)</f>
        <v>0</v>
      </c>
      <c r="BG91" s="159" t="n">
        <f aca="false">IF(AND(BG$6&gt;=EOMONTH($H$82,0),BG$6&lt;=EOMONTH(EDATE($H$82,$E$82-1),0)),$D$82/MAX($E$82,1),0)</f>
        <v>0</v>
      </c>
      <c r="BH91" s="159" t="n">
        <f aca="false">IF(AND(BH$6&gt;=EOMONTH($H$82,0),BH$6&lt;=EOMONTH(EDATE($H$82,$E$82-1),0)),$D$82/MAX($E$82,1),0)</f>
        <v>0</v>
      </c>
      <c r="BI91" s="159" t="n">
        <f aca="false">IF(AND(BI$6&gt;=EOMONTH($H$82,0),BI$6&lt;=EOMONTH(EDATE($H$82,$E$82-1),0)),$D$82/MAX($E$82,1),0)</f>
        <v>0</v>
      </c>
      <c r="BJ91" s="159" t="n">
        <f aca="false">IF(AND(BJ$6&gt;=EOMONTH($H$82,0),BJ$6&lt;=EOMONTH(EDATE($H$82,$E$82-1),0)),$D$82/MAX($E$82,1),0)</f>
        <v>0</v>
      </c>
      <c r="BK91" s="159" t="n">
        <f aca="false">IF(AND(BK$6&gt;=EOMONTH($H$82,0),BK$6&lt;=EOMONTH(EDATE($H$82,$E$82-1),0)),$D$82/MAX($E$82,1),0)</f>
        <v>0</v>
      </c>
      <c r="BL91" s="159" t="n">
        <f aca="false">IF(AND(BL$6&gt;=EOMONTH($H$82,0),BL$6&lt;=EOMONTH(EDATE($H$82,$E$82-1),0)),$D$82/MAX($E$82,1),0)</f>
        <v>0</v>
      </c>
      <c r="BM91" s="159" t="n">
        <f aca="false">IF(AND(BM$6&gt;=EOMONTH($H$82,0),BM$6&lt;=EOMONTH(EDATE($H$82,$E$82-1),0)),$D$82/MAX($E$82,1),0)</f>
        <v>0</v>
      </c>
      <c r="BN91" s="159" t="n">
        <f aca="false">IF(AND(BN$6&gt;=EOMONTH($H$82,0),BN$6&lt;=EOMONTH(EDATE($H$82,$E$82-1),0)),$D$82/MAX($E$82,1),0)</f>
        <v>0</v>
      </c>
      <c r="BO91" s="159" t="n">
        <f aca="false">IF(AND(BO$6&gt;=EOMONTH($H$82,0),BO$6&lt;=EOMONTH(EDATE($H$82,$E$82-1),0)),$D$82/MAX($E$82,1),0)</f>
        <v>0</v>
      </c>
      <c r="BP91" s="159" t="n">
        <f aca="false">IF(AND(BP$6&gt;=EOMONTH($H$82,0),BP$6&lt;=EOMONTH(EDATE($H$82,$E$82-1),0)),$D$82/MAX($E$82,1),0)</f>
        <v>0</v>
      </c>
      <c r="BQ91" s="159" t="n">
        <f aca="false">IF(AND(BQ$6&gt;=EOMONTH($H$82,0),BQ$6&lt;=EOMONTH(EDATE($H$82,$E$82-1),0)),$D$82/MAX($E$82,1),0)</f>
        <v>0</v>
      </c>
      <c r="BR91" s="159" t="n">
        <f aca="false">IF(AND(BR$6&gt;=EOMONTH($H$82,0),BR$6&lt;=EOMONTH(EDATE($H$82,$E$82-1),0)),$D$82/MAX($E$82,1),0)</f>
        <v>0</v>
      </c>
      <c r="BS91" s="159" t="n">
        <f aca="false">IF(AND(BS$6&gt;=EOMONTH($H$82,0),BS$6&lt;=EOMONTH(EDATE($H$82,$E$82-1),0)),$D$82/MAX($E$82,1),0)</f>
        <v>0</v>
      </c>
      <c r="BT91" s="159" t="n">
        <f aca="false">IF(AND(BT$6&gt;=EOMONTH($H$82,0),BT$6&lt;=EOMONTH(EDATE($H$82,$E$82-1),0)),$D$82/MAX($E$82,1),0)</f>
        <v>0</v>
      </c>
      <c r="BU91" s="159" t="n">
        <f aca="false">IF(AND(BU$6&gt;=EOMONTH($H$82,0),BU$6&lt;=EOMONTH(EDATE($H$82,$E$82-1),0)),$D$82/MAX($E$82,1),0)</f>
        <v>0</v>
      </c>
      <c r="BV91" s="159" t="n">
        <f aca="false">IF(AND(BV$6&gt;=EOMONTH($H$82,0),BV$6&lt;=EOMONTH(EDATE($H$82,$E$82-1),0)),$D$82/MAX($E$82,1),0)</f>
        <v>0</v>
      </c>
      <c r="BW91" s="159" t="n">
        <f aca="false">IF(AND(BW$6&gt;=EOMONTH($H$82,0),BW$6&lt;=EOMONTH(EDATE($H$82,$E$82-1),0)),$D$82/MAX($E$82,1),0)</f>
        <v>0</v>
      </c>
      <c r="BX91" s="159" t="n">
        <f aca="false">IF(AND(BX$6&gt;=EOMONTH($H$82,0),BX$6&lt;=EOMONTH(EDATE($H$82,$E$82-1),0)),$D$82/MAX($E$82,1),0)</f>
        <v>0</v>
      </c>
      <c r="BY91" s="159" t="n">
        <f aca="false">IF(AND(BY$6&gt;=EOMONTH($H$82,0),BY$6&lt;=EOMONTH(EDATE($H$82,$E$82-1),0)),$D$82/MAX($E$82,1),0)</f>
        <v>0</v>
      </c>
      <c r="BZ91" s="159" t="n">
        <f aca="false">IF(AND(BZ$6&gt;=EOMONTH($H$82,0),BZ$6&lt;=EOMONTH(EDATE($H$82,$E$82-1),0)),$D$82/MAX($E$82,1),0)</f>
        <v>0</v>
      </c>
      <c r="CA91" s="159" t="n">
        <f aca="false">IF(AND(CA$6&gt;=EOMONTH($H$82,0),CA$6&lt;=EOMONTH(EDATE($H$82,$E$82-1),0)),$D$82/MAX($E$82,1),0)</f>
        <v>0</v>
      </c>
    </row>
    <row r="92" customFormat="false" ht="15" hidden="false" customHeight="false" outlineLevel="0" collapsed="false">
      <c r="B92" s="196" t="s">
        <v>375</v>
      </c>
      <c r="T92" s="159" t="n">
        <f aca="false">IF(AND(T$6&gt;=EOMONTH($H$83,0),T$6&lt;=EOMONTH(EDATE($H$83,$E$83-1),0)),$D$83/MAX($E$83,1),0)</f>
        <v>0</v>
      </c>
      <c r="U92" s="159" t="n">
        <f aca="false">IF(AND(U$6&gt;=EOMONTH($H$83,0),U$6&lt;=EOMONTH(EDATE($H$83,$E$83-1),0)),$D$83/MAX($E$83,1),0)</f>
        <v>0</v>
      </c>
      <c r="V92" s="159" t="n">
        <f aca="false">IF(AND(V$6&gt;=EOMONTH($H$83,0),V$6&lt;=EOMONTH(EDATE($H$83,$E$83-1),0)),$D$83/MAX($E$83,1),0)</f>
        <v>0</v>
      </c>
      <c r="W92" s="159" t="n">
        <f aca="false">IF(AND(W$6&gt;=EOMONTH($H$83,0),W$6&lt;=EOMONTH(EDATE($H$83,$E$83-1),0)),$D$83/MAX($E$83,1),0)</f>
        <v>0</v>
      </c>
      <c r="X92" s="159" t="n">
        <f aca="false">IF(AND(X$6&gt;=EOMONTH($H$83,0),X$6&lt;=EOMONTH(EDATE($H$83,$E$83-1),0)),$D$83/MAX($E$83,1),0)</f>
        <v>0</v>
      </c>
      <c r="Y92" s="159" t="n">
        <f aca="false">IF(AND(Y$6&gt;=EOMONTH($H$83,0),Y$6&lt;=EOMONTH(EDATE($H$83,$E$83-1),0)),$D$83/MAX($E$83,1),0)</f>
        <v>0</v>
      </c>
      <c r="Z92" s="159" t="n">
        <f aca="false">IF(AND(Z$6&gt;=EOMONTH($H$83,0),Z$6&lt;=EOMONTH(EDATE($H$83,$E$83-1),0)),$D$83/MAX($E$83,1),0)</f>
        <v>0</v>
      </c>
      <c r="AA92" s="159" t="n">
        <f aca="false">IF(AND(AA$6&gt;=EOMONTH($H$83,0),AA$6&lt;=EOMONTH(EDATE($H$83,$E$83-1),0)),$D$83/MAX($E$83,1),0)</f>
        <v>0</v>
      </c>
      <c r="AB92" s="159" t="n">
        <f aca="false">IF(AND(AB$6&gt;=EOMONTH($H$83,0),AB$6&lt;=EOMONTH(EDATE($H$83,$E$83-1),0)),$D$83/MAX($E$83,1),0)</f>
        <v>0</v>
      </c>
      <c r="AC92" s="159" t="n">
        <f aca="false">IF(AND(AC$6&gt;=EOMONTH($H$83,0),AC$6&lt;=EOMONTH(EDATE($H$83,$E$83-1),0)),$D$83/MAX($E$83,1),0)</f>
        <v>0</v>
      </c>
      <c r="AD92" s="159" t="n">
        <f aca="false">IF(AND(AD$6&gt;=EOMONTH($H$83,0),AD$6&lt;=EOMONTH(EDATE($H$83,$E$83-1),0)),$D$83/MAX($E$83,1),0)</f>
        <v>0</v>
      </c>
      <c r="AE92" s="159" t="n">
        <f aca="false">IF(AND(AE$6&gt;=EOMONTH($H$83,0),AE$6&lt;=EOMONTH(EDATE($H$83,$E$83-1),0)),$D$83/MAX($E$83,1),0)</f>
        <v>0</v>
      </c>
      <c r="AF92" s="159" t="n">
        <f aca="false">IF(AND(AF$6&gt;=EOMONTH($H$83,0),AF$6&lt;=EOMONTH(EDATE($H$83,$E$83-1),0)),$D$83/MAX($E$83,1),0)</f>
        <v>0</v>
      </c>
      <c r="AG92" s="159" t="n">
        <f aca="false">IF(AND(AG$6&gt;=EOMONTH($H$83,0),AG$6&lt;=EOMONTH(EDATE($H$83,$E$83-1),0)),$D$83/MAX($E$83,1),0)</f>
        <v>0</v>
      </c>
      <c r="AH92" s="159" t="n">
        <f aca="false">IF(AND(AH$6&gt;=EOMONTH($H$83,0),AH$6&lt;=EOMONTH(EDATE($H$83,$E$83-1),0)),$D$83/MAX($E$83,1),0)</f>
        <v>0</v>
      </c>
      <c r="AI92" s="159" t="n">
        <f aca="false">IF(AND(AI$6&gt;=EOMONTH($H$83,0),AI$6&lt;=EOMONTH(EDATE($H$83,$E$83-1),0)),$D$83/MAX($E$83,1),0)</f>
        <v>0</v>
      </c>
      <c r="AJ92" s="159" t="n">
        <f aca="false">IF(AND(AJ$6&gt;=EOMONTH($H$83,0),AJ$6&lt;=EOMONTH(EDATE($H$83,$E$83-1),0)),$D$83/MAX($E$83,1),0)</f>
        <v>0</v>
      </c>
      <c r="AK92" s="159" t="n">
        <f aca="false">IF(AND(AK$6&gt;=EOMONTH($H$83,0),AK$6&lt;=EOMONTH(EDATE($H$83,$E$83-1),0)),$D$83/MAX($E$83,1),0)</f>
        <v>0</v>
      </c>
      <c r="AL92" s="159" t="n">
        <f aca="false">IF(AND(AL$6&gt;=EOMONTH($H$83,0),AL$6&lt;=EOMONTH(EDATE($H$83,$E$83-1),0)),$D$83/MAX($E$83,1),0)</f>
        <v>0</v>
      </c>
      <c r="AM92" s="159" t="n">
        <f aca="false">IF(AND(AM$6&gt;=EOMONTH($H$83,0),AM$6&lt;=EOMONTH(EDATE($H$83,$E$83-1),0)),$D$83/MAX($E$83,1),0)</f>
        <v>0</v>
      </c>
      <c r="AN92" s="159" t="n">
        <f aca="false">IF(AND(AN$6&gt;=EOMONTH($H$83,0),AN$6&lt;=EOMONTH(EDATE($H$83,$E$83-1),0)),$D$83/MAX($E$83,1),0)</f>
        <v>0</v>
      </c>
      <c r="AO92" s="159" t="n">
        <f aca="false">IF(AND(AO$6&gt;=EOMONTH($H$83,0),AO$6&lt;=EOMONTH(EDATE($H$83,$E$83-1),0)),$D$83/MAX($E$83,1),0)</f>
        <v>0</v>
      </c>
      <c r="AP92" s="159" t="n">
        <f aca="false">IF(AND(AP$6&gt;=EOMONTH($H$83,0),AP$6&lt;=EOMONTH(EDATE($H$83,$E$83-1),0)),$D$83/MAX($E$83,1),0)</f>
        <v>0</v>
      </c>
      <c r="AQ92" s="159" t="n">
        <f aca="false">IF(AND(AQ$6&gt;=EOMONTH($H$83,0),AQ$6&lt;=EOMONTH(EDATE($H$83,$E$83-1),0)),$D$83/MAX($E$83,1),0)</f>
        <v>0</v>
      </c>
      <c r="AR92" s="159" t="n">
        <f aca="false">IF(AND(AR$6&gt;=EOMONTH($H$83,0),AR$6&lt;=EOMONTH(EDATE($H$83,$E$83-1),0)),$D$83/MAX($E$83,1),0)</f>
        <v>0</v>
      </c>
      <c r="AS92" s="159" t="n">
        <f aca="false">IF(AND(AS$6&gt;=EOMONTH($H$83,0),AS$6&lt;=EOMONTH(EDATE($H$83,$E$83-1),0)),$D$83/MAX($E$83,1),0)</f>
        <v>0</v>
      </c>
      <c r="AT92" s="159" t="n">
        <f aca="false">IF(AND(AT$6&gt;=EOMONTH($H$83,0),AT$6&lt;=EOMONTH(EDATE($H$83,$E$83-1),0)),$D$83/MAX($E$83,1),0)</f>
        <v>0</v>
      </c>
      <c r="AU92" s="159" t="n">
        <f aca="false">IF(AND(AU$6&gt;=EOMONTH($H$83,0),AU$6&lt;=EOMONTH(EDATE($H$83,$E$83-1),0)),$D$83/MAX($E$83,1),0)</f>
        <v>0</v>
      </c>
      <c r="AV92" s="159" t="n">
        <f aca="false">IF(AND(AV$6&gt;=EOMONTH($H$83,0),AV$6&lt;=EOMONTH(EDATE($H$83,$E$83-1),0)),$D$83/MAX($E$83,1),0)</f>
        <v>0</v>
      </c>
      <c r="AW92" s="159" t="n">
        <f aca="false">IF(AND(AW$6&gt;=EOMONTH($H$83,0),AW$6&lt;=EOMONTH(EDATE($H$83,$E$83-1),0)),$D$83/MAX($E$83,1),0)</f>
        <v>0</v>
      </c>
      <c r="AX92" s="159" t="n">
        <f aca="false">IF(AND(AX$6&gt;=EOMONTH($H$83,0),AX$6&lt;=EOMONTH(EDATE($H$83,$E$83-1),0)),$D$83/MAX($E$83,1),0)</f>
        <v>0</v>
      </c>
      <c r="AY92" s="159" t="n">
        <f aca="false">IF(AND(AY$6&gt;=EOMONTH($H$83,0),AY$6&lt;=EOMONTH(EDATE($H$83,$E$83-1),0)),$D$83/MAX($E$83,1),0)</f>
        <v>0</v>
      </c>
      <c r="AZ92" s="159" t="n">
        <f aca="false">IF(AND(AZ$6&gt;=EOMONTH($H$83,0),AZ$6&lt;=EOMONTH(EDATE($H$83,$E$83-1),0)),$D$83/MAX($E$83,1),0)</f>
        <v>0</v>
      </c>
      <c r="BA92" s="159" t="n">
        <f aca="false">IF(AND(BA$6&gt;=EOMONTH($H$83,0),BA$6&lt;=EOMONTH(EDATE($H$83,$E$83-1),0)),$D$83/MAX($E$83,1),0)</f>
        <v>0</v>
      </c>
      <c r="BB92" s="159" t="n">
        <f aca="false">IF(AND(BB$6&gt;=EOMONTH($H$83,0),BB$6&lt;=EOMONTH(EDATE($H$83,$E$83-1),0)),$D$83/MAX($E$83,1),0)</f>
        <v>0</v>
      </c>
      <c r="BC92" s="159" t="n">
        <f aca="false">IF(AND(BC$6&gt;=EOMONTH($H$83,0),BC$6&lt;=EOMONTH(EDATE($H$83,$E$83-1),0)),$D$83/MAX($E$83,1),0)</f>
        <v>0</v>
      </c>
      <c r="BD92" s="159" t="n">
        <f aca="false">IF(AND(BD$6&gt;=EOMONTH($H$83,0),BD$6&lt;=EOMONTH(EDATE($H$83,$E$83-1),0)),$D$83/MAX($E$83,1),0)</f>
        <v>0</v>
      </c>
      <c r="BE92" s="159" t="n">
        <f aca="false">IF(AND(BE$6&gt;=EOMONTH($H$83,0),BE$6&lt;=EOMONTH(EDATE($H$83,$E$83-1),0)),$D$83/MAX($E$83,1),0)</f>
        <v>0</v>
      </c>
      <c r="BF92" s="159" t="n">
        <f aca="false">IF(AND(BF$6&gt;=EOMONTH($H$83,0),BF$6&lt;=EOMONTH(EDATE($H$83,$E$83-1),0)),$D$83/MAX($E$83,1),0)</f>
        <v>0</v>
      </c>
      <c r="BG92" s="159" t="n">
        <f aca="false">IF(AND(BG$6&gt;=EOMONTH($H$83,0),BG$6&lt;=EOMONTH(EDATE($H$83,$E$83-1),0)),$D$83/MAX($E$83,1),0)</f>
        <v>0</v>
      </c>
      <c r="BH92" s="159" t="n">
        <f aca="false">IF(AND(BH$6&gt;=EOMONTH($H$83,0),BH$6&lt;=EOMONTH(EDATE($H$83,$E$83-1),0)),$D$83/MAX($E$83,1),0)</f>
        <v>0</v>
      </c>
      <c r="BI92" s="159" t="n">
        <f aca="false">IF(AND(BI$6&gt;=EOMONTH($H$83,0),BI$6&lt;=EOMONTH(EDATE($H$83,$E$83-1),0)),$D$83/MAX($E$83,1),0)</f>
        <v>0</v>
      </c>
      <c r="BJ92" s="159" t="n">
        <f aca="false">IF(AND(BJ$6&gt;=EOMONTH($H$83,0),BJ$6&lt;=EOMONTH(EDATE($H$83,$E$83-1),0)),$D$83/MAX($E$83,1),0)</f>
        <v>0</v>
      </c>
      <c r="BK92" s="159" t="n">
        <f aca="false">IF(AND(BK$6&gt;=EOMONTH($H$83,0),BK$6&lt;=EOMONTH(EDATE($H$83,$E$83-1),0)),$D$83/MAX($E$83,1),0)</f>
        <v>0</v>
      </c>
      <c r="BL92" s="159" t="n">
        <f aca="false">IF(AND(BL$6&gt;=EOMONTH($H$83,0),BL$6&lt;=EOMONTH(EDATE($H$83,$E$83-1),0)),$D$83/MAX($E$83,1),0)</f>
        <v>0</v>
      </c>
      <c r="BM92" s="159" t="n">
        <f aca="false">IF(AND(BM$6&gt;=EOMONTH($H$83,0),BM$6&lt;=EOMONTH(EDATE($H$83,$E$83-1),0)),$D$83/MAX($E$83,1),0)</f>
        <v>0</v>
      </c>
      <c r="BN92" s="159" t="n">
        <f aca="false">IF(AND(BN$6&gt;=EOMONTH($H$83,0),BN$6&lt;=EOMONTH(EDATE($H$83,$E$83-1),0)),$D$83/MAX($E$83,1),0)</f>
        <v>0</v>
      </c>
      <c r="BO92" s="159" t="n">
        <f aca="false">IF(AND(BO$6&gt;=EOMONTH($H$83,0),BO$6&lt;=EOMONTH(EDATE($H$83,$E$83-1),0)),$D$83/MAX($E$83,1),0)</f>
        <v>0</v>
      </c>
      <c r="BP92" s="159" t="n">
        <f aca="false">IF(AND(BP$6&gt;=EOMONTH($H$83,0),BP$6&lt;=EOMONTH(EDATE($H$83,$E$83-1),0)),$D$83/MAX($E$83,1),0)</f>
        <v>0</v>
      </c>
      <c r="BQ92" s="159" t="n">
        <f aca="false">IF(AND(BQ$6&gt;=EOMONTH($H$83,0),BQ$6&lt;=EOMONTH(EDATE($H$83,$E$83-1),0)),$D$83/MAX($E$83,1),0)</f>
        <v>0</v>
      </c>
      <c r="BR92" s="159" t="n">
        <f aca="false">IF(AND(BR$6&gt;=EOMONTH($H$83,0),BR$6&lt;=EOMONTH(EDATE($H$83,$E$83-1),0)),$D$83/MAX($E$83,1),0)</f>
        <v>0</v>
      </c>
      <c r="BS92" s="159" t="n">
        <f aca="false">IF(AND(BS$6&gt;=EOMONTH($H$83,0),BS$6&lt;=EOMONTH(EDATE($H$83,$E$83-1),0)),$D$83/MAX($E$83,1),0)</f>
        <v>0</v>
      </c>
      <c r="BT92" s="159" t="n">
        <f aca="false">IF(AND(BT$6&gt;=EOMONTH($H$83,0),BT$6&lt;=EOMONTH(EDATE($H$83,$E$83-1),0)),$D$83/MAX($E$83,1),0)</f>
        <v>0</v>
      </c>
      <c r="BU92" s="159" t="n">
        <f aca="false">IF(AND(BU$6&gt;=EOMONTH($H$83,0),BU$6&lt;=EOMONTH(EDATE($H$83,$E$83-1),0)),$D$83/MAX($E$83,1),0)</f>
        <v>0</v>
      </c>
      <c r="BV92" s="159" t="n">
        <f aca="false">IF(AND(BV$6&gt;=EOMONTH($H$83,0),BV$6&lt;=EOMONTH(EDATE($H$83,$E$83-1),0)),$D$83/MAX($E$83,1),0)</f>
        <v>0</v>
      </c>
      <c r="BW92" s="159" t="n">
        <f aca="false">IF(AND(BW$6&gt;=EOMONTH($H$83,0),BW$6&lt;=EOMONTH(EDATE($H$83,$E$83-1),0)),$D$83/MAX($E$83,1),0)</f>
        <v>0</v>
      </c>
      <c r="BX92" s="159" t="n">
        <f aca="false">IF(AND(BX$6&gt;=EOMONTH($H$83,0),BX$6&lt;=EOMONTH(EDATE($H$83,$E$83-1),0)),$D$83/MAX($E$83,1),0)</f>
        <v>0</v>
      </c>
      <c r="BY92" s="159" t="n">
        <f aca="false">IF(AND(BY$6&gt;=EOMONTH($H$83,0),BY$6&lt;=EOMONTH(EDATE($H$83,$E$83-1),0)),$D$83/MAX($E$83,1),0)</f>
        <v>0</v>
      </c>
      <c r="BZ92" s="159" t="n">
        <f aca="false">IF(AND(BZ$6&gt;=EOMONTH($H$83,0),BZ$6&lt;=EOMONTH(EDATE($H$83,$E$83-1),0)),$D$83/MAX($E$83,1),0)</f>
        <v>0</v>
      </c>
      <c r="CA92" s="159" t="n">
        <f aca="false">IF(AND(CA$6&gt;=EOMONTH($H$83,0),CA$6&lt;=EOMONTH(EDATE($H$83,$E$83-1),0)),$D$83/MAX($E$83,1),0)</f>
        <v>0</v>
      </c>
    </row>
    <row r="94" customFormat="false" ht="15" hidden="false" customHeight="false" outlineLevel="0" collapsed="false">
      <c r="B94" s="197" t="s">
        <v>376</v>
      </c>
    </row>
    <row r="95" customFormat="false" ht="15" hidden="false" customHeight="false" outlineLevel="0" collapsed="false">
      <c r="B95" s="10" t="s">
        <v>377</v>
      </c>
      <c r="L95" s="193" t="n">
        <f aca="false">SUMIFS($T95:$CA95,$T$5:$CA$5,2026)</f>
        <v>0</v>
      </c>
      <c r="M95" s="193" t="n">
        <f aca="false">SUMIFS($T95:$CA95,$T$5:$CA$5,2027)</f>
        <v>0</v>
      </c>
      <c r="N95" s="193" t="n">
        <f aca="false">SUMIFS($T95:$CA95,$T$5:$CA$5,2028)</f>
        <v>0</v>
      </c>
      <c r="O95" s="193" t="n">
        <f aca="false">SUMIFS($T95:$CA95,$T$5:$CA$5,2029)</f>
        <v>0</v>
      </c>
      <c r="P95" s="193" t="n">
        <f aca="false">SUMIFS($T95:$CA95,$T$5:$CA$5,2030)</f>
        <v>0</v>
      </c>
      <c r="T95" s="193" t="n">
        <f aca="false">(SUMPRODUCT(T69:T72,$I$63:$I$66))/1000000</f>
        <v>0</v>
      </c>
      <c r="U95" s="193" t="n">
        <f aca="false">(SUMPRODUCT(U69:U72,$I$63:$I$66))/1000000</f>
        <v>0</v>
      </c>
      <c r="V95" s="193" t="n">
        <f aca="false">(SUMPRODUCT(V69:V72,$I$63:$I$66))/1000000</f>
        <v>0</v>
      </c>
      <c r="W95" s="193" t="n">
        <f aca="false">(SUMPRODUCT(W69:W72,$I$63:$I$66))/1000000</f>
        <v>0</v>
      </c>
      <c r="X95" s="193" t="n">
        <f aca="false">(SUMPRODUCT(X69:X72,$I$63:$I$66))/1000000</f>
        <v>0</v>
      </c>
      <c r="Y95" s="193" t="n">
        <f aca="false">(SUMPRODUCT(Y69:Y72,$I$63:$I$66))/1000000</f>
        <v>0</v>
      </c>
      <c r="Z95" s="193" t="n">
        <f aca="false">(SUMPRODUCT(Z69:Z72,$I$63:$I$66))/1000000</f>
        <v>0</v>
      </c>
      <c r="AA95" s="193" t="n">
        <f aca="false">(SUMPRODUCT(AA69:AA72,$I$63:$I$66))/1000000</f>
        <v>0</v>
      </c>
      <c r="AB95" s="193" t="n">
        <f aca="false">(SUMPRODUCT(AB69:AB72,$I$63:$I$66))/1000000</f>
        <v>0</v>
      </c>
      <c r="AC95" s="193" t="n">
        <f aca="false">(SUMPRODUCT(AC69:AC72,$I$63:$I$66))/1000000</f>
        <v>0</v>
      </c>
      <c r="AD95" s="193" t="n">
        <f aca="false">(SUMPRODUCT(AD69:AD72,$I$63:$I$66))/1000000</f>
        <v>0</v>
      </c>
      <c r="AE95" s="193" t="n">
        <f aca="false">(SUMPRODUCT(AE69:AE72,$I$63:$I$66))/1000000</f>
        <v>0</v>
      </c>
      <c r="AF95" s="193" t="n">
        <f aca="false">(SUMPRODUCT(AF69:AF72,$I$63:$I$66))/1000000</f>
        <v>0</v>
      </c>
      <c r="AG95" s="193" t="n">
        <f aca="false">(SUMPRODUCT(AG69:AG72,$I$63:$I$66))/1000000</f>
        <v>0</v>
      </c>
      <c r="AH95" s="193" t="n">
        <f aca="false">(SUMPRODUCT(AH69:AH72,$I$63:$I$66))/1000000</f>
        <v>0</v>
      </c>
      <c r="AI95" s="193" t="n">
        <f aca="false">(SUMPRODUCT(AI69:AI72,$I$63:$I$66))/1000000</f>
        <v>0</v>
      </c>
      <c r="AJ95" s="193" t="n">
        <f aca="false">(SUMPRODUCT(AJ69:AJ72,$I$63:$I$66))/1000000</f>
        <v>0</v>
      </c>
      <c r="AK95" s="193" t="n">
        <f aca="false">(SUMPRODUCT(AK69:AK72,$I$63:$I$66))/1000000</f>
        <v>0</v>
      </c>
      <c r="AL95" s="193" t="n">
        <f aca="false">(SUMPRODUCT(AL69:AL72,$I$63:$I$66))/1000000</f>
        <v>0</v>
      </c>
      <c r="AM95" s="193" t="n">
        <f aca="false">(SUMPRODUCT(AM69:AM72,$I$63:$I$66))/1000000</f>
        <v>0</v>
      </c>
      <c r="AN95" s="193" t="n">
        <f aca="false">(SUMPRODUCT(AN69:AN72,$I$63:$I$66))/1000000</f>
        <v>0</v>
      </c>
      <c r="AO95" s="193" t="n">
        <f aca="false">(SUMPRODUCT(AO69:AO72,$I$63:$I$66))/1000000</f>
        <v>0</v>
      </c>
      <c r="AP95" s="193" t="n">
        <f aca="false">(SUMPRODUCT(AP69:AP72,$I$63:$I$66))/1000000</f>
        <v>0</v>
      </c>
      <c r="AQ95" s="193" t="n">
        <f aca="false">(SUMPRODUCT(AQ69:AQ72,$I$63:$I$66))/1000000</f>
        <v>0</v>
      </c>
      <c r="AR95" s="193" t="n">
        <f aca="false">(SUMPRODUCT(AR69:AR72,$I$63:$I$66))/1000000</f>
        <v>0</v>
      </c>
      <c r="AS95" s="193" t="n">
        <f aca="false">(SUMPRODUCT(AS69:AS72,$I$63:$I$66))/1000000</f>
        <v>0</v>
      </c>
      <c r="AT95" s="193" t="n">
        <f aca="false">(SUMPRODUCT(AT69:AT72,$I$63:$I$66))/1000000</f>
        <v>0</v>
      </c>
      <c r="AU95" s="193" t="n">
        <f aca="false">(SUMPRODUCT(AU69:AU72,$I$63:$I$66))/1000000</f>
        <v>0</v>
      </c>
      <c r="AV95" s="193" t="n">
        <f aca="false">(SUMPRODUCT(AV69:AV72,$I$63:$I$66))/1000000</f>
        <v>0</v>
      </c>
      <c r="AW95" s="193" t="n">
        <f aca="false">(SUMPRODUCT(AW69:AW72,$I$63:$I$66))/1000000</f>
        <v>0</v>
      </c>
      <c r="AX95" s="193" t="n">
        <f aca="false">(SUMPRODUCT(AX69:AX72,$I$63:$I$66))/1000000</f>
        <v>0</v>
      </c>
      <c r="AY95" s="193" t="n">
        <f aca="false">(SUMPRODUCT(AY69:AY72,$I$63:$I$66))/1000000</f>
        <v>0</v>
      </c>
      <c r="AZ95" s="193" t="n">
        <f aca="false">(SUMPRODUCT(AZ69:AZ72,$I$63:$I$66))/1000000</f>
        <v>0</v>
      </c>
      <c r="BA95" s="193" t="n">
        <f aca="false">(SUMPRODUCT(BA69:BA72,$I$63:$I$66))/1000000</f>
        <v>0</v>
      </c>
      <c r="BB95" s="193" t="n">
        <f aca="false">(SUMPRODUCT(BB69:BB72,$I$63:$I$66))/1000000</f>
        <v>0</v>
      </c>
      <c r="BC95" s="193" t="n">
        <f aca="false">(SUMPRODUCT(BC69:BC72,$I$63:$I$66))/1000000</f>
        <v>0</v>
      </c>
      <c r="BD95" s="193" t="n">
        <f aca="false">(SUMPRODUCT(BD69:BD72,$I$63:$I$66))/1000000</f>
        <v>0</v>
      </c>
      <c r="BE95" s="193" t="n">
        <f aca="false">(SUMPRODUCT(BE69:BE72,$I$63:$I$66))/1000000</f>
        <v>0</v>
      </c>
      <c r="BF95" s="193" t="n">
        <f aca="false">(SUMPRODUCT(BF69:BF72,$I$63:$I$66))/1000000</f>
        <v>0</v>
      </c>
      <c r="BG95" s="193" t="n">
        <f aca="false">(SUMPRODUCT(BG69:BG72,$I$63:$I$66))/1000000</f>
        <v>0</v>
      </c>
      <c r="BH95" s="193" t="n">
        <f aca="false">(SUMPRODUCT(BH69:BH72,$I$63:$I$66))/1000000</f>
        <v>0</v>
      </c>
      <c r="BI95" s="193" t="n">
        <f aca="false">(SUMPRODUCT(BI69:BI72,$I$63:$I$66))/1000000</f>
        <v>0</v>
      </c>
      <c r="BJ95" s="193" t="n">
        <f aca="false">(SUMPRODUCT(BJ69:BJ72,$I$63:$I$66))/1000000</f>
        <v>0</v>
      </c>
      <c r="BK95" s="193" t="n">
        <f aca="false">(SUMPRODUCT(BK69:BK72,$I$63:$I$66))/1000000</f>
        <v>0</v>
      </c>
      <c r="BL95" s="193" t="n">
        <f aca="false">(SUMPRODUCT(BL69:BL72,$I$63:$I$66))/1000000</f>
        <v>0</v>
      </c>
      <c r="BM95" s="193" t="n">
        <f aca="false">(SUMPRODUCT(BM69:BM72,$I$63:$I$66))/1000000</f>
        <v>0</v>
      </c>
      <c r="BN95" s="193" t="n">
        <f aca="false">(SUMPRODUCT(BN69:BN72,$I$63:$I$66))/1000000</f>
        <v>0</v>
      </c>
      <c r="BO95" s="193" t="n">
        <f aca="false">(SUMPRODUCT(BO69:BO72,$I$63:$I$66))/1000000</f>
        <v>0</v>
      </c>
      <c r="BP95" s="193" t="n">
        <f aca="false">(SUMPRODUCT(BP69:BP72,$I$63:$I$66))/1000000</f>
        <v>0</v>
      </c>
      <c r="BQ95" s="193" t="n">
        <f aca="false">(SUMPRODUCT(BQ69:BQ72,$I$63:$I$66))/1000000</f>
        <v>0</v>
      </c>
      <c r="BR95" s="193" t="n">
        <f aca="false">(SUMPRODUCT(BR69:BR72,$I$63:$I$66))/1000000</f>
        <v>0</v>
      </c>
      <c r="BS95" s="193" t="n">
        <f aca="false">(SUMPRODUCT(BS69:BS72,$I$63:$I$66))/1000000</f>
        <v>0</v>
      </c>
      <c r="BT95" s="193" t="n">
        <f aca="false">(SUMPRODUCT(BT69:BT72,$I$63:$I$66))/1000000</f>
        <v>0</v>
      </c>
      <c r="BU95" s="193" t="n">
        <f aca="false">(SUMPRODUCT(BU69:BU72,$I$63:$I$66))/1000000</f>
        <v>0</v>
      </c>
      <c r="BV95" s="193" t="n">
        <f aca="false">(SUMPRODUCT(BV69:BV72,$I$63:$I$66))/1000000</f>
        <v>0</v>
      </c>
      <c r="BW95" s="193" t="n">
        <f aca="false">(SUMPRODUCT(BW69:BW72,$I$63:$I$66))/1000000</f>
        <v>0</v>
      </c>
      <c r="BX95" s="193" t="n">
        <f aca="false">(SUMPRODUCT(BX69:BX72,$I$63:$I$66))/1000000</f>
        <v>0</v>
      </c>
      <c r="BY95" s="193" t="n">
        <f aca="false">(SUMPRODUCT(BY69:BY72,$I$63:$I$66))/1000000</f>
        <v>0</v>
      </c>
      <c r="BZ95" s="193" t="n">
        <f aca="false">(SUMPRODUCT(BZ69:BZ72,$I$63:$I$66))/1000000</f>
        <v>0</v>
      </c>
      <c r="CA95" s="193" t="n">
        <f aca="false">(SUMPRODUCT(CA69:CA72,$I$63:$I$66))/1000000</f>
        <v>0</v>
      </c>
    </row>
    <row r="96" customFormat="false" ht="15" hidden="false" customHeight="false" outlineLevel="0" collapsed="false">
      <c r="B96" s="10" t="s">
        <v>378</v>
      </c>
      <c r="L96" s="193" t="n">
        <f aca="false">SUMIFS($T96:$CA96,$T$5:$CA$5,2026)</f>
        <v>0</v>
      </c>
      <c r="M96" s="193" t="n">
        <f aca="false">SUMIFS($T96:$CA96,$T$5:$CA$5,2027)</f>
        <v>0</v>
      </c>
      <c r="N96" s="193" t="n">
        <f aca="false">SUMIFS($T96:$CA96,$T$5:$CA$5,2028)</f>
        <v>0</v>
      </c>
      <c r="O96" s="193" t="n">
        <f aca="false">SUMIFS($T96:$CA96,$T$5:$CA$5,2029)</f>
        <v>0</v>
      </c>
      <c r="P96" s="193" t="n">
        <f aca="false">SUMIFS($T96:$CA96,$T$5:$CA$5,2030)</f>
        <v>0</v>
      </c>
      <c r="T96" s="193" t="n">
        <f aca="false">SUMPRODUCT(T86:T92,$I$77:$I$83)/1000000</f>
        <v>0</v>
      </c>
      <c r="U96" s="193" t="n">
        <f aca="false">SUMPRODUCT(U86:U92,$I$77:$I$83)/1000000</f>
        <v>0</v>
      </c>
      <c r="V96" s="193" t="n">
        <f aca="false">SUMPRODUCT(V86:V92,$I$77:$I$83)/1000000</f>
        <v>0</v>
      </c>
      <c r="W96" s="193" t="n">
        <f aca="false">SUMPRODUCT(W86:W92,$I$77:$I$83)/1000000</f>
        <v>0</v>
      </c>
      <c r="X96" s="193" t="n">
        <f aca="false">SUMPRODUCT(X86:X92,$I$77:$I$83)/1000000</f>
        <v>0</v>
      </c>
      <c r="Y96" s="193" t="n">
        <f aca="false">SUMPRODUCT(Y86:Y92,$I$77:$I$83)/1000000</f>
        <v>0</v>
      </c>
      <c r="Z96" s="193" t="n">
        <f aca="false">SUMPRODUCT(Z86:Z92,$I$77:$I$83)/1000000</f>
        <v>0</v>
      </c>
      <c r="AA96" s="193" t="n">
        <f aca="false">SUMPRODUCT(AA86:AA92,$I$77:$I$83)/1000000</f>
        <v>0</v>
      </c>
      <c r="AB96" s="193" t="n">
        <f aca="false">SUMPRODUCT(AB86:AB92,$I$77:$I$83)/1000000</f>
        <v>0</v>
      </c>
      <c r="AC96" s="193" t="n">
        <f aca="false">SUMPRODUCT(AC86:AC92,$I$77:$I$83)/1000000</f>
        <v>0</v>
      </c>
      <c r="AD96" s="193" t="n">
        <f aca="false">SUMPRODUCT(AD86:AD92,$I$77:$I$83)/1000000</f>
        <v>0</v>
      </c>
      <c r="AE96" s="193" t="n">
        <f aca="false">SUMPRODUCT(AE86:AE92,$I$77:$I$83)/1000000</f>
        <v>0</v>
      </c>
      <c r="AF96" s="193" t="n">
        <f aca="false">SUMPRODUCT(AF86:AF92,$I$77:$I$83)/1000000</f>
        <v>0</v>
      </c>
      <c r="AG96" s="193" t="n">
        <f aca="false">SUMPRODUCT(AG86:AG92,$I$77:$I$83)/1000000</f>
        <v>0</v>
      </c>
      <c r="AH96" s="193" t="n">
        <f aca="false">SUMPRODUCT(AH86:AH92,$I$77:$I$83)/1000000</f>
        <v>0</v>
      </c>
      <c r="AI96" s="193" t="n">
        <f aca="false">SUMPRODUCT(AI86:AI92,$I$77:$I$83)/1000000</f>
        <v>0</v>
      </c>
      <c r="AJ96" s="193" t="n">
        <f aca="false">SUMPRODUCT(AJ86:AJ92,$I$77:$I$83)/1000000</f>
        <v>0</v>
      </c>
      <c r="AK96" s="193" t="n">
        <f aca="false">SUMPRODUCT(AK86:AK92,$I$77:$I$83)/1000000</f>
        <v>0</v>
      </c>
      <c r="AL96" s="193" t="n">
        <f aca="false">SUMPRODUCT(AL86:AL92,$I$77:$I$83)/1000000</f>
        <v>0</v>
      </c>
      <c r="AM96" s="193" t="n">
        <f aca="false">SUMPRODUCT(AM86:AM92,$I$77:$I$83)/1000000</f>
        <v>0</v>
      </c>
      <c r="AN96" s="193" t="n">
        <f aca="false">SUMPRODUCT(AN86:AN92,$I$77:$I$83)/1000000</f>
        <v>0</v>
      </c>
      <c r="AO96" s="193" t="n">
        <f aca="false">SUMPRODUCT(AO86:AO92,$I$77:$I$83)/1000000</f>
        <v>0</v>
      </c>
      <c r="AP96" s="193" t="n">
        <f aca="false">SUMPRODUCT(AP86:AP92,$I$77:$I$83)/1000000</f>
        <v>0</v>
      </c>
      <c r="AQ96" s="193" t="n">
        <f aca="false">SUMPRODUCT(AQ86:AQ92,$I$77:$I$83)/1000000</f>
        <v>0</v>
      </c>
      <c r="AR96" s="193" t="n">
        <f aca="false">SUMPRODUCT(AR86:AR92,$I$77:$I$83)/1000000</f>
        <v>0</v>
      </c>
      <c r="AS96" s="193" t="n">
        <f aca="false">SUMPRODUCT(AS86:AS92,$I$77:$I$83)/1000000</f>
        <v>0</v>
      </c>
      <c r="AT96" s="193" t="n">
        <f aca="false">SUMPRODUCT(AT86:AT92,$I$77:$I$83)/1000000</f>
        <v>0</v>
      </c>
      <c r="AU96" s="193" t="n">
        <f aca="false">SUMPRODUCT(AU86:AU92,$I$77:$I$83)/1000000</f>
        <v>0</v>
      </c>
      <c r="AV96" s="193" t="n">
        <f aca="false">SUMPRODUCT(AV86:AV92,$I$77:$I$83)/1000000</f>
        <v>0</v>
      </c>
      <c r="AW96" s="193" t="n">
        <f aca="false">SUMPRODUCT(AW86:AW92,$I$77:$I$83)/1000000</f>
        <v>0</v>
      </c>
      <c r="AX96" s="193" t="n">
        <f aca="false">SUMPRODUCT(AX86:AX92,$I$77:$I$83)/1000000</f>
        <v>0</v>
      </c>
      <c r="AY96" s="193" t="n">
        <f aca="false">SUMPRODUCT(AY86:AY92,$I$77:$I$83)/1000000</f>
        <v>0</v>
      </c>
      <c r="AZ96" s="193" t="n">
        <f aca="false">SUMPRODUCT(AZ86:AZ92,$I$77:$I$83)/1000000</f>
        <v>0</v>
      </c>
      <c r="BA96" s="193" t="n">
        <f aca="false">SUMPRODUCT(BA86:BA92,$I$77:$I$83)/1000000</f>
        <v>0</v>
      </c>
      <c r="BB96" s="193" t="n">
        <f aca="false">SUMPRODUCT(BB86:BB92,$I$77:$I$83)/1000000</f>
        <v>0</v>
      </c>
      <c r="BC96" s="193" t="n">
        <f aca="false">SUMPRODUCT(BC86:BC92,$I$77:$I$83)/1000000</f>
        <v>0</v>
      </c>
      <c r="BD96" s="193" t="n">
        <f aca="false">SUMPRODUCT(BD86:BD92,$I$77:$I$83)/1000000</f>
        <v>0</v>
      </c>
      <c r="BE96" s="193" t="n">
        <f aca="false">SUMPRODUCT(BE86:BE92,$I$77:$I$83)/1000000</f>
        <v>0</v>
      </c>
      <c r="BF96" s="193" t="n">
        <f aca="false">SUMPRODUCT(BF86:BF92,$I$77:$I$83)/1000000</f>
        <v>0</v>
      </c>
      <c r="BG96" s="193" t="n">
        <f aca="false">SUMPRODUCT(BG86:BG92,$I$77:$I$83)/1000000</f>
        <v>0</v>
      </c>
      <c r="BH96" s="193" t="n">
        <f aca="false">SUMPRODUCT(BH86:BH92,$I$77:$I$83)/1000000</f>
        <v>0</v>
      </c>
      <c r="BI96" s="193" t="n">
        <f aca="false">SUMPRODUCT(BI86:BI92,$I$77:$I$83)/1000000</f>
        <v>0</v>
      </c>
      <c r="BJ96" s="193" t="n">
        <f aca="false">SUMPRODUCT(BJ86:BJ92,$I$77:$I$83)/1000000</f>
        <v>0</v>
      </c>
      <c r="BK96" s="193" t="n">
        <f aca="false">SUMPRODUCT(BK86:BK92,$I$77:$I$83)/1000000</f>
        <v>0</v>
      </c>
      <c r="BL96" s="193" t="n">
        <f aca="false">SUMPRODUCT(BL86:BL92,$I$77:$I$83)/1000000</f>
        <v>0</v>
      </c>
      <c r="BM96" s="193" t="n">
        <f aca="false">SUMPRODUCT(BM86:BM92,$I$77:$I$83)/1000000</f>
        <v>0</v>
      </c>
      <c r="BN96" s="193" t="n">
        <f aca="false">SUMPRODUCT(BN86:BN92,$I$77:$I$83)/1000000</f>
        <v>0</v>
      </c>
      <c r="BO96" s="193" t="n">
        <f aca="false">SUMPRODUCT(BO86:BO92,$I$77:$I$83)/1000000</f>
        <v>0</v>
      </c>
      <c r="BP96" s="193" t="n">
        <f aca="false">SUMPRODUCT(BP86:BP92,$I$77:$I$83)/1000000</f>
        <v>0</v>
      </c>
      <c r="BQ96" s="193" t="n">
        <f aca="false">SUMPRODUCT(BQ86:BQ92,$I$77:$I$83)/1000000</f>
        <v>0</v>
      </c>
      <c r="BR96" s="193" t="n">
        <f aca="false">SUMPRODUCT(BR86:BR92,$I$77:$I$83)/1000000</f>
        <v>0</v>
      </c>
      <c r="BS96" s="193" t="n">
        <f aca="false">SUMPRODUCT(BS86:BS92,$I$77:$I$83)/1000000</f>
        <v>0</v>
      </c>
      <c r="BT96" s="193" t="n">
        <f aca="false">SUMPRODUCT(BT86:BT92,$I$77:$I$83)/1000000</f>
        <v>0</v>
      </c>
      <c r="BU96" s="193" t="n">
        <f aca="false">SUMPRODUCT(BU86:BU92,$I$77:$I$83)/1000000</f>
        <v>0</v>
      </c>
      <c r="BV96" s="193" t="n">
        <f aca="false">SUMPRODUCT(BV86:BV92,$I$77:$I$83)/1000000</f>
        <v>0</v>
      </c>
      <c r="BW96" s="193" t="n">
        <f aca="false">SUMPRODUCT(BW86:BW92,$I$77:$I$83)/1000000</f>
        <v>0</v>
      </c>
      <c r="BX96" s="193" t="n">
        <f aca="false">SUMPRODUCT(BX86:BX92,$I$77:$I$83)/1000000</f>
        <v>0</v>
      </c>
      <c r="BY96" s="193" t="n">
        <f aca="false">SUMPRODUCT(BY86:BY92,$I$77:$I$83)/1000000</f>
        <v>0</v>
      </c>
      <c r="BZ96" s="193" t="n">
        <f aca="false">SUMPRODUCT(BZ86:BZ92,$I$77:$I$83)/1000000</f>
        <v>0</v>
      </c>
      <c r="CA96" s="193" t="n">
        <f aca="false">SUMPRODUCT(CA86:CA92,$I$77:$I$83)/1000000</f>
        <v>0</v>
      </c>
    </row>
    <row r="97" customFormat="false" ht="15" hidden="false" customHeight="false" outlineLevel="0" collapsed="false">
      <c r="B97" s="10" t="s">
        <v>379</v>
      </c>
      <c r="L97" s="193" t="n">
        <f aca="false">SUMIFS($T97:$CA97,$T$5:$CA$5,2026)</f>
        <v>0</v>
      </c>
      <c r="M97" s="193" t="n">
        <f aca="false">SUMIFS($T97:$CA97,$T$5:$CA$5,2027)</f>
        <v>1.39333333333333</v>
      </c>
      <c r="N97" s="193" t="n">
        <f aca="false">SUMIFS($T97:$CA97,$T$5:$CA$5,2028)</f>
        <v>0.275</v>
      </c>
      <c r="O97" s="193" t="n">
        <f aca="false">SUMIFS($T97:$CA97,$T$5:$CA$5,2029)</f>
        <v>0</v>
      </c>
      <c r="P97" s="193" t="n">
        <f aca="false">SUMIFS($T97:$CA97,$T$5:$CA$5,2030)</f>
        <v>0</v>
      </c>
      <c r="T97" s="193" t="n">
        <f aca="false">(SUMPRODUCT(T69:T72,1-$I$63:$I$66))/1000000</f>
        <v>0</v>
      </c>
      <c r="U97" s="193" t="n">
        <f aca="false">(SUMPRODUCT(U69:U72,1-$I$63:$I$66))/1000000</f>
        <v>0</v>
      </c>
      <c r="V97" s="193" t="n">
        <f aca="false">(SUMPRODUCT(V69:V72,1-$I$63:$I$66))/1000000</f>
        <v>0</v>
      </c>
      <c r="W97" s="193" t="n">
        <f aca="false">(SUMPRODUCT(W69:W72,1-$I$63:$I$66))/1000000</f>
        <v>0</v>
      </c>
      <c r="X97" s="193" t="n">
        <f aca="false">(SUMPRODUCT(X69:X72,1-$I$63:$I$66))/1000000</f>
        <v>0</v>
      </c>
      <c r="Y97" s="193" t="n">
        <f aca="false">(SUMPRODUCT(Y69:Y72,1-$I$63:$I$66))/1000000</f>
        <v>0</v>
      </c>
      <c r="Z97" s="193" t="n">
        <f aca="false">(SUMPRODUCT(Z69:Z72,1-$I$63:$I$66))/1000000</f>
        <v>0</v>
      </c>
      <c r="AA97" s="193" t="n">
        <f aca="false">(SUMPRODUCT(AA69:AA72,1-$I$63:$I$66))/1000000</f>
        <v>0</v>
      </c>
      <c r="AB97" s="193" t="n">
        <f aca="false">(SUMPRODUCT(AB69:AB72,1-$I$63:$I$66))/1000000</f>
        <v>0</v>
      </c>
      <c r="AC97" s="193" t="n">
        <f aca="false">(SUMPRODUCT(AC69:AC72,1-$I$63:$I$66))/1000000</f>
        <v>0</v>
      </c>
      <c r="AD97" s="193" t="n">
        <f aca="false">(SUMPRODUCT(AD69:AD72,1-$I$63:$I$66))/1000000</f>
        <v>0</v>
      </c>
      <c r="AE97" s="193" t="n">
        <f aca="false">(SUMPRODUCT(AE69:AE72,1-$I$63:$I$66))/1000000</f>
        <v>0</v>
      </c>
      <c r="AF97" s="193" t="n">
        <f aca="false">(SUMPRODUCT(AF69:AF72,1-$I$63:$I$66))/1000000</f>
        <v>0.0733333333333334</v>
      </c>
      <c r="AG97" s="193" t="n">
        <f aca="false">(SUMPRODUCT(AG69:AG72,1-$I$63:$I$66))/1000000</f>
        <v>0.0733333333333334</v>
      </c>
      <c r="AH97" s="193" t="n">
        <f aca="false">(SUMPRODUCT(AH69:AH72,1-$I$63:$I$66))/1000000</f>
        <v>0.146666666666667</v>
      </c>
      <c r="AI97" s="193" t="n">
        <f aca="false">(SUMPRODUCT(AI69:AI72,1-$I$63:$I$66))/1000000</f>
        <v>0.146666666666667</v>
      </c>
      <c r="AJ97" s="193" t="n">
        <f aca="false">(SUMPRODUCT(AJ69:AJ72,1-$I$63:$I$66))/1000000</f>
        <v>0.146666666666667</v>
      </c>
      <c r="AK97" s="193" t="n">
        <f aca="false">(SUMPRODUCT(AK69:AK72,1-$I$63:$I$66))/1000000</f>
        <v>0.146666666666667</v>
      </c>
      <c r="AL97" s="193" t="n">
        <f aca="false">(SUMPRODUCT(AL69:AL72,1-$I$63:$I$66))/1000000</f>
        <v>0.146666666666667</v>
      </c>
      <c r="AM97" s="193" t="n">
        <f aca="false">(SUMPRODUCT(AM69:AM72,1-$I$63:$I$66))/1000000</f>
        <v>0.146666666666667</v>
      </c>
      <c r="AN97" s="193" t="n">
        <f aca="false">(SUMPRODUCT(AN69:AN72,1-$I$63:$I$66))/1000000</f>
        <v>0.0916666666666667</v>
      </c>
      <c r="AO97" s="193" t="n">
        <f aca="false">(SUMPRODUCT(AO69:AO72,1-$I$63:$I$66))/1000000</f>
        <v>0.0916666666666667</v>
      </c>
      <c r="AP97" s="193" t="n">
        <f aca="false">(SUMPRODUCT(AP69:AP72,1-$I$63:$I$66))/1000000</f>
        <v>0.0916666666666667</v>
      </c>
      <c r="AQ97" s="193" t="n">
        <f aca="false">(SUMPRODUCT(AQ69:AQ72,1-$I$63:$I$66))/1000000</f>
        <v>0.0916666666666667</v>
      </c>
      <c r="AR97" s="193" t="n">
        <f aca="false">(SUMPRODUCT(AR69:AR72,1-$I$63:$I$66))/1000000</f>
        <v>0.0916666666666667</v>
      </c>
      <c r="AS97" s="193" t="n">
        <f aca="false">(SUMPRODUCT(AS69:AS72,1-$I$63:$I$66))/1000000</f>
        <v>0.0916666666666667</v>
      </c>
      <c r="AT97" s="193" t="n">
        <f aca="false">(SUMPRODUCT(AT69:AT72,1-$I$63:$I$66))/1000000</f>
        <v>0.0916666666666667</v>
      </c>
      <c r="AU97" s="193" t="n">
        <f aca="false">(SUMPRODUCT(AU69:AU72,1-$I$63:$I$66))/1000000</f>
        <v>0</v>
      </c>
      <c r="AV97" s="193" t="n">
        <f aca="false">(SUMPRODUCT(AV69:AV72,1-$I$63:$I$66))/1000000</f>
        <v>0</v>
      </c>
      <c r="AW97" s="193" t="n">
        <f aca="false">(SUMPRODUCT(AW69:AW72,1-$I$63:$I$66))/1000000</f>
        <v>0</v>
      </c>
      <c r="AX97" s="193" t="n">
        <f aca="false">(SUMPRODUCT(AX69:AX72,1-$I$63:$I$66))/1000000</f>
        <v>0</v>
      </c>
      <c r="AY97" s="193" t="n">
        <f aca="false">(SUMPRODUCT(AY69:AY72,1-$I$63:$I$66))/1000000</f>
        <v>0</v>
      </c>
      <c r="AZ97" s="193" t="n">
        <f aca="false">(SUMPRODUCT(AZ69:AZ72,1-$I$63:$I$66))/1000000</f>
        <v>0</v>
      </c>
      <c r="BA97" s="193" t="n">
        <f aca="false">(SUMPRODUCT(BA69:BA72,1-$I$63:$I$66))/1000000</f>
        <v>0</v>
      </c>
      <c r="BB97" s="193" t="n">
        <f aca="false">(SUMPRODUCT(BB69:BB72,1-$I$63:$I$66))/1000000</f>
        <v>0</v>
      </c>
      <c r="BC97" s="193" t="n">
        <f aca="false">(SUMPRODUCT(BC69:BC72,1-$I$63:$I$66))/1000000</f>
        <v>0</v>
      </c>
      <c r="BD97" s="193" t="n">
        <f aca="false">(SUMPRODUCT(BD69:BD72,1-$I$63:$I$66))/1000000</f>
        <v>0</v>
      </c>
      <c r="BE97" s="193" t="n">
        <f aca="false">(SUMPRODUCT(BE69:BE72,1-$I$63:$I$66))/1000000</f>
        <v>0</v>
      </c>
      <c r="BF97" s="193" t="n">
        <f aca="false">(SUMPRODUCT(BF69:BF72,1-$I$63:$I$66))/1000000</f>
        <v>0</v>
      </c>
      <c r="BG97" s="193" t="n">
        <f aca="false">(SUMPRODUCT(BG69:BG72,1-$I$63:$I$66))/1000000</f>
        <v>0</v>
      </c>
      <c r="BH97" s="193" t="n">
        <f aca="false">(SUMPRODUCT(BH69:BH72,1-$I$63:$I$66))/1000000</f>
        <v>0</v>
      </c>
      <c r="BI97" s="193" t="n">
        <f aca="false">(SUMPRODUCT(BI69:BI72,1-$I$63:$I$66))/1000000</f>
        <v>0</v>
      </c>
      <c r="BJ97" s="193" t="n">
        <f aca="false">(SUMPRODUCT(BJ69:BJ72,1-$I$63:$I$66))/1000000</f>
        <v>0</v>
      </c>
      <c r="BK97" s="193" t="n">
        <f aca="false">(SUMPRODUCT(BK69:BK72,1-$I$63:$I$66))/1000000</f>
        <v>0</v>
      </c>
      <c r="BL97" s="193" t="n">
        <f aca="false">(SUMPRODUCT(BL69:BL72,1-$I$63:$I$66))/1000000</f>
        <v>0</v>
      </c>
      <c r="BM97" s="193" t="n">
        <f aca="false">(SUMPRODUCT(BM69:BM72,1-$I$63:$I$66))/1000000</f>
        <v>0</v>
      </c>
      <c r="BN97" s="193" t="n">
        <f aca="false">(SUMPRODUCT(BN69:BN72,1-$I$63:$I$66))/1000000</f>
        <v>0</v>
      </c>
      <c r="BO97" s="193" t="n">
        <f aca="false">(SUMPRODUCT(BO69:BO72,1-$I$63:$I$66))/1000000</f>
        <v>0</v>
      </c>
      <c r="BP97" s="193" t="n">
        <f aca="false">(SUMPRODUCT(BP69:BP72,1-$I$63:$I$66))/1000000</f>
        <v>0</v>
      </c>
      <c r="BQ97" s="193" t="n">
        <f aca="false">(SUMPRODUCT(BQ69:BQ72,1-$I$63:$I$66))/1000000</f>
        <v>0</v>
      </c>
      <c r="BR97" s="193" t="n">
        <f aca="false">(SUMPRODUCT(BR69:BR72,1-$I$63:$I$66))/1000000</f>
        <v>0</v>
      </c>
      <c r="BS97" s="193" t="n">
        <f aca="false">(SUMPRODUCT(BS69:BS72,1-$I$63:$I$66))/1000000</f>
        <v>0</v>
      </c>
      <c r="BT97" s="193" t="n">
        <f aca="false">(SUMPRODUCT(BT69:BT72,1-$I$63:$I$66))/1000000</f>
        <v>0</v>
      </c>
      <c r="BU97" s="193" t="n">
        <f aca="false">(SUMPRODUCT(BU69:BU72,1-$I$63:$I$66))/1000000</f>
        <v>0</v>
      </c>
      <c r="BV97" s="193" t="n">
        <f aca="false">(SUMPRODUCT(BV69:BV72,1-$I$63:$I$66))/1000000</f>
        <v>0</v>
      </c>
      <c r="BW97" s="193" t="n">
        <f aca="false">(SUMPRODUCT(BW69:BW72,1-$I$63:$I$66))/1000000</f>
        <v>0</v>
      </c>
      <c r="BX97" s="193" t="n">
        <f aca="false">(SUMPRODUCT(BX69:BX72,1-$I$63:$I$66))/1000000</f>
        <v>0</v>
      </c>
      <c r="BY97" s="193" t="n">
        <f aca="false">(SUMPRODUCT(BY69:BY72,1-$I$63:$I$66))/1000000</f>
        <v>0</v>
      </c>
      <c r="BZ97" s="193" t="n">
        <f aca="false">(SUMPRODUCT(BZ69:BZ72,1-$I$63:$I$66))/1000000</f>
        <v>0</v>
      </c>
      <c r="CA97" s="193" t="n">
        <f aca="false">(SUMPRODUCT(CA69:CA72,1-$I$63:$I$66))/1000000</f>
        <v>0</v>
      </c>
    </row>
    <row r="98" customFormat="false" ht="15" hidden="false" customHeight="false" outlineLevel="0" collapsed="false">
      <c r="B98" s="10" t="s">
        <v>380</v>
      </c>
      <c r="L98" s="193" t="n">
        <f aca="false">SUMIFS($T98:$CA98,$T$5:$CA$5,2026)</f>
        <v>0</v>
      </c>
      <c r="M98" s="193" t="n">
        <f aca="false">SUMIFS($T98:$CA98,$T$5:$CA$5,2027)</f>
        <v>0.757093333333333</v>
      </c>
      <c r="N98" s="193" t="n">
        <f aca="false">SUMIFS($T98:$CA98,$T$5:$CA$5,2028)</f>
        <v>0.0792733333333333</v>
      </c>
      <c r="O98" s="193" t="n">
        <f aca="false">SUMIFS($T98:$CA98,$T$5:$CA$5,2029)</f>
        <v>0</v>
      </c>
      <c r="P98" s="193" t="n">
        <f aca="false">SUMIFS($T98:$CA98,$T$5:$CA$5,2030)</f>
        <v>0</v>
      </c>
      <c r="T98" s="193" t="n">
        <f aca="false">SUMPRODUCT(T86:T92,1-$I$77:$I$83)/1000000</f>
        <v>0</v>
      </c>
      <c r="U98" s="193" t="n">
        <f aca="false">SUMPRODUCT(U86:U92,1-$I$77:$I$83)/1000000</f>
        <v>0</v>
      </c>
      <c r="V98" s="193" t="n">
        <f aca="false">SUMPRODUCT(V86:V92,1-$I$77:$I$83)/1000000</f>
        <v>0</v>
      </c>
      <c r="W98" s="193" t="n">
        <f aca="false">SUMPRODUCT(W86:W92,1-$I$77:$I$83)/1000000</f>
        <v>0</v>
      </c>
      <c r="X98" s="193" t="n">
        <f aca="false">SUMPRODUCT(X86:X92,1-$I$77:$I$83)/1000000</f>
        <v>0</v>
      </c>
      <c r="Y98" s="193" t="n">
        <f aca="false">SUMPRODUCT(Y86:Y92,1-$I$77:$I$83)/1000000</f>
        <v>0</v>
      </c>
      <c r="Z98" s="193" t="n">
        <f aca="false">SUMPRODUCT(Z86:Z92,1-$I$77:$I$83)/1000000</f>
        <v>0</v>
      </c>
      <c r="AA98" s="193" t="n">
        <f aca="false">SUMPRODUCT(AA86:AA92,1-$I$77:$I$83)/1000000</f>
        <v>0</v>
      </c>
      <c r="AB98" s="193" t="n">
        <f aca="false">SUMPRODUCT(AB86:AB92,1-$I$77:$I$83)/1000000</f>
        <v>0</v>
      </c>
      <c r="AC98" s="193" t="n">
        <f aca="false">SUMPRODUCT(AC86:AC92,1-$I$77:$I$83)/1000000</f>
        <v>0</v>
      </c>
      <c r="AD98" s="193" t="n">
        <f aca="false">SUMPRODUCT(AD86:AD92,1-$I$77:$I$83)/1000000</f>
        <v>0</v>
      </c>
      <c r="AE98" s="193" t="n">
        <f aca="false">SUMPRODUCT(AE86:AE92,1-$I$77:$I$83)/1000000</f>
        <v>0</v>
      </c>
      <c r="AF98" s="193" t="n">
        <f aca="false">SUMPRODUCT(AF86:AF92,1-$I$77:$I$83)/1000000</f>
        <v>0.0264244444444444</v>
      </c>
      <c r="AG98" s="193" t="n">
        <f aca="false">SUMPRODUCT(AG86:AG92,1-$I$77:$I$83)/1000000</f>
        <v>0.0264244444444444</v>
      </c>
      <c r="AH98" s="193" t="n">
        <f aca="false">SUMPRODUCT(AH86:AH92,1-$I$77:$I$83)/1000000</f>
        <v>0.126424444444444</v>
      </c>
      <c r="AI98" s="193" t="n">
        <f aca="false">SUMPRODUCT(AI86:AI92,1-$I$77:$I$83)/1000000</f>
        <v>0.126424444444444</v>
      </c>
      <c r="AJ98" s="193" t="n">
        <f aca="false">SUMPRODUCT(AJ86:AJ92,1-$I$77:$I$83)/1000000</f>
        <v>0.0864244444444444</v>
      </c>
      <c r="AK98" s="193" t="n">
        <f aca="false">SUMPRODUCT(AK86:AK92,1-$I$77:$I$83)/1000000</f>
        <v>0.0864244444444444</v>
      </c>
      <c r="AL98" s="193" t="n">
        <f aca="false">SUMPRODUCT(AL86:AL92,1-$I$77:$I$83)/1000000</f>
        <v>0.0864244444444444</v>
      </c>
      <c r="AM98" s="193" t="n">
        <f aca="false">SUMPRODUCT(AM86:AM92,1-$I$77:$I$83)/1000000</f>
        <v>0.0864244444444444</v>
      </c>
      <c r="AN98" s="193" t="n">
        <f aca="false">SUMPRODUCT(AN86:AN92,1-$I$77:$I$83)/1000000</f>
        <v>0.0264244444444444</v>
      </c>
      <c r="AO98" s="193" t="n">
        <f aca="false">SUMPRODUCT(AO86:AO92,1-$I$77:$I$83)/1000000</f>
        <v>0.0264244444444444</v>
      </c>
      <c r="AP98" s="193" t="n">
        <f aca="false">SUMPRODUCT(AP86:AP92,1-$I$77:$I$83)/1000000</f>
        <v>0.0264244444444444</v>
      </c>
      <c r="AQ98" s="193" t="n">
        <f aca="false">SUMPRODUCT(AQ86:AQ92,1-$I$77:$I$83)/1000000</f>
        <v>0.0264244444444444</v>
      </c>
      <c r="AR98" s="193" t="n">
        <f aca="false">SUMPRODUCT(AR86:AR92,1-$I$77:$I$83)/1000000</f>
        <v>0.0264244444444444</v>
      </c>
      <c r="AS98" s="193" t="n">
        <f aca="false">SUMPRODUCT(AS86:AS92,1-$I$77:$I$83)/1000000</f>
        <v>0.0264244444444444</v>
      </c>
      <c r="AT98" s="193" t="n">
        <f aca="false">SUMPRODUCT(AT86:AT92,1-$I$77:$I$83)/1000000</f>
        <v>0.0264244444444444</v>
      </c>
      <c r="AU98" s="193" t="n">
        <f aca="false">SUMPRODUCT(AU86:AU92,1-$I$77:$I$83)/1000000</f>
        <v>0</v>
      </c>
      <c r="AV98" s="193" t="n">
        <f aca="false">SUMPRODUCT(AV86:AV92,1-$I$77:$I$83)/1000000</f>
        <v>0</v>
      </c>
      <c r="AW98" s="193" t="n">
        <f aca="false">SUMPRODUCT(AW86:AW92,1-$I$77:$I$83)/1000000</f>
        <v>0</v>
      </c>
      <c r="AX98" s="193" t="n">
        <f aca="false">SUMPRODUCT(AX86:AX92,1-$I$77:$I$83)/1000000</f>
        <v>0</v>
      </c>
      <c r="AY98" s="193" t="n">
        <f aca="false">SUMPRODUCT(AY86:AY92,1-$I$77:$I$83)/1000000</f>
        <v>0</v>
      </c>
      <c r="AZ98" s="193" t="n">
        <f aca="false">SUMPRODUCT(AZ86:AZ92,1-$I$77:$I$83)/1000000</f>
        <v>0</v>
      </c>
      <c r="BA98" s="193" t="n">
        <f aca="false">SUMPRODUCT(BA86:BA92,1-$I$77:$I$83)/1000000</f>
        <v>0</v>
      </c>
      <c r="BB98" s="193" t="n">
        <f aca="false">SUMPRODUCT(BB86:BB92,1-$I$77:$I$83)/1000000</f>
        <v>0</v>
      </c>
      <c r="BC98" s="193" t="n">
        <f aca="false">SUMPRODUCT(BC86:BC92,1-$I$77:$I$83)/1000000</f>
        <v>0</v>
      </c>
      <c r="BD98" s="193" t="n">
        <f aca="false">SUMPRODUCT(BD86:BD92,1-$I$77:$I$83)/1000000</f>
        <v>0</v>
      </c>
      <c r="BE98" s="193" t="n">
        <f aca="false">SUMPRODUCT(BE86:BE92,1-$I$77:$I$83)/1000000</f>
        <v>0</v>
      </c>
      <c r="BF98" s="193" t="n">
        <f aca="false">SUMPRODUCT(BF86:BF92,1-$I$77:$I$83)/1000000</f>
        <v>0</v>
      </c>
      <c r="BG98" s="193" t="n">
        <f aca="false">SUMPRODUCT(BG86:BG92,1-$I$77:$I$83)/1000000</f>
        <v>0</v>
      </c>
      <c r="BH98" s="193" t="n">
        <f aca="false">SUMPRODUCT(BH86:BH92,1-$I$77:$I$83)/1000000</f>
        <v>0</v>
      </c>
      <c r="BI98" s="193" t="n">
        <f aca="false">SUMPRODUCT(BI86:BI92,1-$I$77:$I$83)/1000000</f>
        <v>0</v>
      </c>
      <c r="BJ98" s="193" t="n">
        <f aca="false">SUMPRODUCT(BJ86:BJ92,1-$I$77:$I$83)/1000000</f>
        <v>0</v>
      </c>
      <c r="BK98" s="193" t="n">
        <f aca="false">SUMPRODUCT(BK86:BK92,1-$I$77:$I$83)/1000000</f>
        <v>0</v>
      </c>
      <c r="BL98" s="193" t="n">
        <f aca="false">SUMPRODUCT(BL86:BL92,1-$I$77:$I$83)/1000000</f>
        <v>0</v>
      </c>
      <c r="BM98" s="193" t="n">
        <f aca="false">SUMPRODUCT(BM86:BM92,1-$I$77:$I$83)/1000000</f>
        <v>0</v>
      </c>
      <c r="BN98" s="193" t="n">
        <f aca="false">SUMPRODUCT(BN86:BN92,1-$I$77:$I$83)/1000000</f>
        <v>0</v>
      </c>
      <c r="BO98" s="193" t="n">
        <f aca="false">SUMPRODUCT(BO86:BO92,1-$I$77:$I$83)/1000000</f>
        <v>0</v>
      </c>
      <c r="BP98" s="193" t="n">
        <f aca="false">SUMPRODUCT(BP86:BP92,1-$I$77:$I$83)/1000000</f>
        <v>0</v>
      </c>
      <c r="BQ98" s="193" t="n">
        <f aca="false">SUMPRODUCT(BQ86:BQ92,1-$I$77:$I$83)/1000000</f>
        <v>0</v>
      </c>
      <c r="BR98" s="193" t="n">
        <f aca="false">SUMPRODUCT(BR86:BR92,1-$I$77:$I$83)/1000000</f>
        <v>0</v>
      </c>
      <c r="BS98" s="193" t="n">
        <f aca="false">SUMPRODUCT(BS86:BS92,1-$I$77:$I$83)/1000000</f>
        <v>0</v>
      </c>
      <c r="BT98" s="193" t="n">
        <f aca="false">SUMPRODUCT(BT86:BT92,1-$I$77:$I$83)/1000000</f>
        <v>0</v>
      </c>
      <c r="BU98" s="193" t="n">
        <f aca="false">SUMPRODUCT(BU86:BU92,1-$I$77:$I$83)/1000000</f>
        <v>0</v>
      </c>
      <c r="BV98" s="193" t="n">
        <f aca="false">SUMPRODUCT(BV86:BV92,1-$I$77:$I$83)/1000000</f>
        <v>0</v>
      </c>
      <c r="BW98" s="193" t="n">
        <f aca="false">SUMPRODUCT(BW86:BW92,1-$I$77:$I$83)/1000000</f>
        <v>0</v>
      </c>
      <c r="BX98" s="193" t="n">
        <f aca="false">SUMPRODUCT(BX86:BX92,1-$I$77:$I$83)/1000000</f>
        <v>0</v>
      </c>
      <c r="BY98" s="193" t="n">
        <f aca="false">SUMPRODUCT(BY86:BY92,1-$I$77:$I$83)/1000000</f>
        <v>0</v>
      </c>
      <c r="BZ98" s="193" t="n">
        <f aca="false">SUMPRODUCT(BZ86:BZ92,1-$I$77:$I$83)/1000000</f>
        <v>0</v>
      </c>
      <c r="CA98" s="193" t="n">
        <f aca="false">SUMPRODUCT(CA86:CA92,1-$I$77:$I$83)/1000000</f>
        <v>0</v>
      </c>
    </row>
    <row r="99" customFormat="false" ht="15" hidden="false" customHeight="false" outlineLevel="0" collapsed="false">
      <c r="B99" s="3" t="s">
        <v>381</v>
      </c>
      <c r="L99" s="193" t="n">
        <f aca="false">SUM(L95:L98)</f>
        <v>0</v>
      </c>
      <c r="M99" s="193" t="n">
        <f aca="false">SUM(M95:M98)</f>
        <v>2.15042666666667</v>
      </c>
      <c r="N99" s="193" t="n">
        <f aca="false">SUM(N95:N98)</f>
        <v>0.354273333333333</v>
      </c>
      <c r="O99" s="193" t="n">
        <f aca="false">SUM(O95:O98)</f>
        <v>0</v>
      </c>
      <c r="P99" s="193" t="n">
        <f aca="false">SUM(P95:P98)</f>
        <v>0</v>
      </c>
    </row>
    <row r="101" customFormat="false" ht="18" hidden="false" customHeight="true" outlineLevel="0" collapsed="false">
      <c r="B101" s="5" t="s">
        <v>382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</row>
    <row r="103" customFormat="false" ht="22.35" hidden="false" customHeight="false" outlineLevel="0" collapsed="false">
      <c r="B103" s="169" t="s">
        <v>383</v>
      </c>
      <c r="C103" s="169" t="s">
        <v>353</v>
      </c>
      <c r="D103" s="169" t="s">
        <v>384</v>
      </c>
      <c r="H103" s="169" t="s">
        <v>333</v>
      </c>
      <c r="I103" s="169" t="s">
        <v>385</v>
      </c>
    </row>
    <row r="104" customFormat="false" ht="41.75" hidden="false" customHeight="false" outlineLevel="0" collapsed="false">
      <c r="B104" s="10" t="s">
        <v>466</v>
      </c>
      <c r="C104" s="194" t="s">
        <v>467</v>
      </c>
      <c r="D104" s="158" t="n">
        <v>1200000</v>
      </c>
      <c r="H104" s="178" t="n">
        <f aca="false">DATE(2027,9,1)</f>
        <v>46631</v>
      </c>
      <c r="I104" s="9" t="s">
        <v>468</v>
      </c>
    </row>
    <row r="105" customFormat="false" ht="15" hidden="false" customHeight="false" outlineLevel="0" collapsed="false">
      <c r="B105" s="10" t="s">
        <v>469</v>
      </c>
      <c r="C105" s="194" t="s">
        <v>390</v>
      </c>
      <c r="D105" s="158" t="n">
        <v>300000</v>
      </c>
      <c r="H105" s="178" t="n">
        <f aca="false">DATE(2027,9,1)</f>
        <v>46631</v>
      </c>
      <c r="I105" s="9" t="s">
        <v>388</v>
      </c>
    </row>
    <row r="106" customFormat="false" ht="15" hidden="false" customHeight="false" outlineLevel="0" collapsed="false">
      <c r="B106" s="10" t="s">
        <v>386</v>
      </c>
      <c r="C106" s="194" t="s">
        <v>470</v>
      </c>
      <c r="D106" s="159" t="n">
        <f aca="false">$D$29*$D$30</f>
        <v>540000</v>
      </c>
      <c r="H106" s="178" t="n">
        <f aca="false">DATE(2027,9,1)</f>
        <v>46631</v>
      </c>
      <c r="I106" s="9" t="s">
        <v>388</v>
      </c>
    </row>
    <row r="107" customFormat="false" ht="15" hidden="false" customHeight="false" outlineLevel="0" collapsed="false">
      <c r="B107" s="10" t="s">
        <v>389</v>
      </c>
      <c r="C107" s="194" t="s">
        <v>390</v>
      </c>
      <c r="D107" s="158" t="n">
        <v>200000</v>
      </c>
      <c r="H107" s="178" t="n">
        <f aca="false">DATE(2027,9,1)</f>
        <v>46631</v>
      </c>
      <c r="I107" s="9" t="s">
        <v>388</v>
      </c>
    </row>
    <row r="108" customFormat="false" ht="15" hidden="false" customHeight="false" outlineLevel="0" collapsed="false">
      <c r="B108" s="10" t="s">
        <v>391</v>
      </c>
      <c r="C108" s="194" t="s">
        <v>390</v>
      </c>
      <c r="D108" s="158" t="n">
        <v>100000</v>
      </c>
      <c r="H108" s="178" t="n">
        <f aca="false">DATE(2027,9,1)</f>
        <v>46631</v>
      </c>
      <c r="I108" s="9" t="s">
        <v>388</v>
      </c>
    </row>
    <row r="110" customFormat="false" ht="15" hidden="false" customHeight="false" outlineLevel="0" collapsed="false">
      <c r="B110" s="197" t="s">
        <v>392</v>
      </c>
    </row>
    <row r="111" customFormat="false" ht="15" hidden="false" customHeight="false" outlineLevel="0" collapsed="false">
      <c r="B111" s="10" t="s">
        <v>471</v>
      </c>
      <c r="K111" s="193" t="n">
        <f aca="false">SUMIFS($T111:$CA111,$T$5:$CA$5,2030)</f>
        <v>1.2</v>
      </c>
      <c r="L111" s="193" t="n">
        <f aca="false">SUMIFS($T111:$CA111,$T$5:$CA$5,2026)</f>
        <v>0</v>
      </c>
      <c r="M111" s="193" t="n">
        <f aca="false">SUMIFS($T111:$CA111,$T$5:$CA$5,2027)</f>
        <v>0.114285714285714</v>
      </c>
      <c r="N111" s="193" t="n">
        <f aca="false">SUMIFS($T111:$CA111,$T$5:$CA$5,2028)</f>
        <v>1.13571428571429</v>
      </c>
      <c r="O111" s="193" t="n">
        <f aca="false">SUMIFS($T111:$CA111,$T$5:$CA$5,2029)</f>
        <v>1.2</v>
      </c>
      <c r="P111" s="193" t="n">
        <f aca="false">SUMIFS($T111:$CA111,$T$5:$CA$5,2030)</f>
        <v>1.2</v>
      </c>
      <c r="T111" s="193" t="n">
        <f aca="false">$D$104/1000000/12*IF($I$104="Y",T$50,IF(T$6&gt;=EOMONTH($H$104,0),1,0))</f>
        <v>0</v>
      </c>
      <c r="U111" s="193" t="n">
        <f aca="false">$D$104/1000000/12*IF($I$104="Y",U$50,IF(U$6&gt;=EOMONTH($H$104,0),1,0))</f>
        <v>0</v>
      </c>
      <c r="V111" s="193" t="n">
        <f aca="false">$D$104/1000000/12*IF($I$104="Y",V$50,IF(V$6&gt;=EOMONTH($H$104,0),1,0))</f>
        <v>0</v>
      </c>
      <c r="W111" s="193" t="n">
        <f aca="false">$D$104/1000000/12*IF($I$104="Y",W$50,IF(W$6&gt;=EOMONTH($H$104,0),1,0))</f>
        <v>0</v>
      </c>
      <c r="X111" s="193" t="n">
        <f aca="false">$D$104/1000000/12*IF($I$104="Y",X$50,IF(X$6&gt;=EOMONTH($H$104,0),1,0))</f>
        <v>0</v>
      </c>
      <c r="Y111" s="193" t="n">
        <f aca="false">$D$104/1000000/12*IF($I$104="Y",Y$50,IF(Y$6&gt;=EOMONTH($H$104,0),1,0))</f>
        <v>0</v>
      </c>
      <c r="Z111" s="193" t="n">
        <f aca="false">$D$104/1000000/12*IF($I$104="Y",Z$50,IF(Z$6&gt;=EOMONTH($H$104,0),1,0))</f>
        <v>0</v>
      </c>
      <c r="AA111" s="193" t="n">
        <f aca="false">$D$104/1000000/12*IF($I$104="Y",AA$50,IF(AA$6&gt;=EOMONTH($H$104,0),1,0))</f>
        <v>0</v>
      </c>
      <c r="AB111" s="193" t="n">
        <f aca="false">$D$104/1000000/12*IF($I$104="Y",AB$50,IF(AB$6&gt;=EOMONTH($H$104,0),1,0))</f>
        <v>0</v>
      </c>
      <c r="AC111" s="193" t="n">
        <f aca="false">$D$104/1000000/12*IF($I$104="Y",AC$50,IF(AC$6&gt;=EOMONTH($H$104,0),1,0))</f>
        <v>0</v>
      </c>
      <c r="AD111" s="193" t="n">
        <f aca="false">$D$104/1000000/12*IF($I$104="Y",AD$50,IF(AD$6&gt;=EOMONTH($H$104,0),1,0))</f>
        <v>0</v>
      </c>
      <c r="AE111" s="193" t="n">
        <f aca="false">$D$104/1000000/12*IF($I$104="Y",AE$50,IF(AE$6&gt;=EOMONTH($H$104,0),1,0))</f>
        <v>0</v>
      </c>
      <c r="AF111" s="193" t="n">
        <f aca="false">$D$104/1000000/12*IF($I$104="Y",AF$50,IF(AF$6&gt;=EOMONTH($H$104,0),1,0))</f>
        <v>0</v>
      </c>
      <c r="AG111" s="193" t="n">
        <f aca="false">$D$104/1000000/12*IF($I$104="Y",AG$50,IF(AG$6&gt;=EOMONTH($H$104,0),1,0))</f>
        <v>0</v>
      </c>
      <c r="AH111" s="193" t="n">
        <f aca="false">$D$104/1000000/12*IF($I$104="Y",AH$50,IF(AH$6&gt;=EOMONTH($H$104,0),1,0))</f>
        <v>0</v>
      </c>
      <c r="AI111" s="193" t="n">
        <f aca="false">$D$104/1000000/12*IF($I$104="Y",AI$50,IF(AI$6&gt;=EOMONTH($H$104,0),1,0))</f>
        <v>0</v>
      </c>
      <c r="AJ111" s="193" t="n">
        <f aca="false">$D$104/1000000/12*IF($I$104="Y",AJ$50,IF(AJ$6&gt;=EOMONTH($H$104,0),1,0))</f>
        <v>0</v>
      </c>
      <c r="AK111" s="193" t="n">
        <f aca="false">$D$104/1000000/12*IF($I$104="Y",AK$50,IF(AK$6&gt;=EOMONTH($H$104,0),1,0))</f>
        <v>0</v>
      </c>
      <c r="AL111" s="193" t="n">
        <f aca="false">$D$104/1000000/12*IF($I$104="Y",AL$50,IF(AL$6&gt;=EOMONTH($H$104,0),1,0))</f>
        <v>0</v>
      </c>
      <c r="AM111" s="193" t="n">
        <f aca="false">$D$104/1000000/12*IF($I$104="Y",AM$50,IF(AM$6&gt;=EOMONTH($H$104,0),1,0))</f>
        <v>0</v>
      </c>
      <c r="AN111" s="193" t="n">
        <f aca="false">$D$104/1000000/12*IF($I$104="Y",AN$50,IF(AN$6&gt;=EOMONTH($H$104,0),1,0))</f>
        <v>0.00714285714285714</v>
      </c>
      <c r="AO111" s="193" t="n">
        <f aca="false">$D$104/1000000/12*IF($I$104="Y",AO$50,IF(AO$6&gt;=EOMONTH($H$104,0),1,0))</f>
        <v>0.0214285714285714</v>
      </c>
      <c r="AP111" s="193" t="n">
        <f aca="false">$D$104/1000000/12*IF($I$104="Y",AP$50,IF(AP$6&gt;=EOMONTH($H$104,0),1,0))</f>
        <v>0.0357142857142857</v>
      </c>
      <c r="AQ111" s="193" t="n">
        <f aca="false">$D$104/1000000/12*IF($I$104="Y",AQ$50,IF(AQ$6&gt;=EOMONTH($H$104,0),1,0))</f>
        <v>0.05</v>
      </c>
      <c r="AR111" s="193" t="n">
        <f aca="false">$D$104/1000000/12*IF($I$104="Y",AR$50,IF(AR$6&gt;=EOMONTH($H$104,0),1,0))</f>
        <v>0.0642857142857143</v>
      </c>
      <c r="AS111" s="193" t="n">
        <f aca="false">$D$104/1000000/12*IF($I$104="Y",AS$50,IF(AS$6&gt;=EOMONTH($H$104,0),1,0))</f>
        <v>0.0785714285714286</v>
      </c>
      <c r="AT111" s="193" t="n">
        <f aca="false">$D$104/1000000/12*IF($I$104="Y",AT$50,IF(AT$6&gt;=EOMONTH($H$104,0),1,0))</f>
        <v>0.0928571428571429</v>
      </c>
      <c r="AU111" s="193" t="n">
        <f aca="false">$D$104/1000000/12*IF($I$104="Y",AU$50,IF(AU$6&gt;=EOMONTH($H$104,0),1,0))</f>
        <v>0.1</v>
      </c>
      <c r="AV111" s="193" t="n">
        <f aca="false">$D$104/1000000/12*IF($I$104="Y",AV$50,IF(AV$6&gt;=EOMONTH($H$104,0),1,0))</f>
        <v>0.1</v>
      </c>
      <c r="AW111" s="193" t="n">
        <f aca="false">$D$104/1000000/12*IF($I$104="Y",AW$50,IF(AW$6&gt;=EOMONTH($H$104,0),1,0))</f>
        <v>0.1</v>
      </c>
      <c r="AX111" s="193" t="n">
        <f aca="false">$D$104/1000000/12*IF($I$104="Y",AX$50,IF(AX$6&gt;=EOMONTH($H$104,0),1,0))</f>
        <v>0.1</v>
      </c>
      <c r="AY111" s="193" t="n">
        <f aca="false">$D$104/1000000/12*IF($I$104="Y",AY$50,IF(AY$6&gt;=EOMONTH($H$104,0),1,0))</f>
        <v>0.1</v>
      </c>
      <c r="AZ111" s="193" t="n">
        <f aca="false">$D$104/1000000/12*IF($I$104="Y",AZ$50,IF(AZ$6&gt;=EOMONTH($H$104,0),1,0))</f>
        <v>0.1</v>
      </c>
      <c r="BA111" s="193" t="n">
        <f aca="false">$D$104/1000000/12*IF($I$104="Y",BA$50,IF(BA$6&gt;=EOMONTH($H$104,0),1,0))</f>
        <v>0.1</v>
      </c>
      <c r="BB111" s="193" t="n">
        <f aca="false">$D$104/1000000/12*IF($I$104="Y",BB$50,IF(BB$6&gt;=EOMONTH($H$104,0),1,0))</f>
        <v>0.1</v>
      </c>
      <c r="BC111" s="193" t="n">
        <f aca="false">$D$104/1000000/12*IF($I$104="Y",BC$50,IF(BC$6&gt;=EOMONTH($H$104,0),1,0))</f>
        <v>0.1</v>
      </c>
      <c r="BD111" s="193" t="n">
        <f aca="false">$D$104/1000000/12*IF($I$104="Y",BD$50,IF(BD$6&gt;=EOMONTH($H$104,0),1,0))</f>
        <v>0.1</v>
      </c>
      <c r="BE111" s="193" t="n">
        <f aca="false">$D$104/1000000/12*IF($I$104="Y",BE$50,IF(BE$6&gt;=EOMONTH($H$104,0),1,0))</f>
        <v>0.1</v>
      </c>
      <c r="BF111" s="193" t="n">
        <f aca="false">$D$104/1000000/12*IF($I$104="Y",BF$50,IF(BF$6&gt;=EOMONTH($H$104,0),1,0))</f>
        <v>0.1</v>
      </c>
      <c r="BG111" s="193" t="n">
        <f aca="false">$D$104/1000000/12*IF($I$104="Y",BG$50,IF(BG$6&gt;=EOMONTH($H$104,0),1,0))</f>
        <v>0.1</v>
      </c>
      <c r="BH111" s="193" t="n">
        <f aca="false">$D$104/1000000/12*IF($I$104="Y",BH$50,IF(BH$6&gt;=EOMONTH($H$104,0),1,0))</f>
        <v>0.1</v>
      </c>
      <c r="BI111" s="193" t="n">
        <f aca="false">$D$104/1000000/12*IF($I$104="Y",BI$50,IF(BI$6&gt;=EOMONTH($H$104,0),1,0))</f>
        <v>0.1</v>
      </c>
      <c r="BJ111" s="193" t="n">
        <f aca="false">$D$104/1000000/12*IF($I$104="Y",BJ$50,IF(BJ$6&gt;=EOMONTH($H$104,0),1,0))</f>
        <v>0.1</v>
      </c>
      <c r="BK111" s="193" t="n">
        <f aca="false">$D$104/1000000/12*IF($I$104="Y",BK$50,IF(BK$6&gt;=EOMONTH($H$104,0),1,0))</f>
        <v>0.1</v>
      </c>
      <c r="BL111" s="193" t="n">
        <f aca="false">$D$104/1000000/12*IF($I$104="Y",BL$50,IF(BL$6&gt;=EOMONTH($H$104,0),1,0))</f>
        <v>0.1</v>
      </c>
      <c r="BM111" s="193" t="n">
        <f aca="false">$D$104/1000000/12*IF($I$104="Y",BM$50,IF(BM$6&gt;=EOMONTH($H$104,0),1,0))</f>
        <v>0.1</v>
      </c>
      <c r="BN111" s="193" t="n">
        <f aca="false">$D$104/1000000/12*IF($I$104="Y",BN$50,IF(BN$6&gt;=EOMONTH($H$104,0),1,0))</f>
        <v>0.1</v>
      </c>
      <c r="BO111" s="193" t="n">
        <f aca="false">$D$104/1000000/12*IF($I$104="Y",BO$50,IF(BO$6&gt;=EOMONTH($H$104,0),1,0))</f>
        <v>0.1</v>
      </c>
      <c r="BP111" s="193" t="n">
        <f aca="false">$D$104/1000000/12*IF($I$104="Y",BP$50,IF(BP$6&gt;=EOMONTH($H$104,0),1,0))</f>
        <v>0.1</v>
      </c>
      <c r="BQ111" s="193" t="n">
        <f aca="false">$D$104/1000000/12*IF($I$104="Y",BQ$50,IF(BQ$6&gt;=EOMONTH($H$104,0),1,0))</f>
        <v>0.1</v>
      </c>
      <c r="BR111" s="193" t="n">
        <f aca="false">$D$104/1000000/12*IF($I$104="Y",BR$50,IF(BR$6&gt;=EOMONTH($H$104,0),1,0))</f>
        <v>0.1</v>
      </c>
      <c r="BS111" s="193" t="n">
        <f aca="false">$D$104/1000000/12*IF($I$104="Y",BS$50,IF(BS$6&gt;=EOMONTH($H$104,0),1,0))</f>
        <v>0.1</v>
      </c>
      <c r="BT111" s="193" t="n">
        <f aca="false">$D$104/1000000/12*IF($I$104="Y",BT$50,IF(BT$6&gt;=EOMONTH($H$104,0),1,0))</f>
        <v>0.1</v>
      </c>
      <c r="BU111" s="193" t="n">
        <f aca="false">$D$104/1000000/12*IF($I$104="Y",BU$50,IF(BU$6&gt;=EOMONTH($H$104,0),1,0))</f>
        <v>0.1</v>
      </c>
      <c r="BV111" s="193" t="n">
        <f aca="false">$D$104/1000000/12*IF($I$104="Y",BV$50,IF(BV$6&gt;=EOMONTH($H$104,0),1,0))</f>
        <v>0.1</v>
      </c>
      <c r="BW111" s="193" t="n">
        <f aca="false">$D$104/1000000/12*IF($I$104="Y",BW$50,IF(BW$6&gt;=EOMONTH($H$104,0),1,0))</f>
        <v>0.1</v>
      </c>
      <c r="BX111" s="193" t="n">
        <f aca="false">$D$104/1000000/12*IF($I$104="Y",BX$50,IF(BX$6&gt;=EOMONTH($H$104,0),1,0))</f>
        <v>0.1</v>
      </c>
      <c r="BY111" s="193" t="n">
        <f aca="false">$D$104/1000000/12*IF($I$104="Y",BY$50,IF(BY$6&gt;=EOMONTH($H$104,0),1,0))</f>
        <v>0.1</v>
      </c>
      <c r="BZ111" s="193" t="n">
        <f aca="false">$D$104/1000000/12*IF($I$104="Y",BZ$50,IF(BZ$6&gt;=EOMONTH($H$104,0),1,0))</f>
        <v>0.1</v>
      </c>
      <c r="CA111" s="193" t="n">
        <f aca="false">$D$104/1000000/12*IF($I$104="Y",CA$50,IF(CA$6&gt;=EOMONTH($H$104,0),1,0))</f>
        <v>0.1</v>
      </c>
    </row>
    <row r="112" customFormat="false" ht="15" hidden="false" customHeight="false" outlineLevel="0" collapsed="false">
      <c r="B112" s="10" t="s">
        <v>472</v>
      </c>
      <c r="K112" s="193" t="n">
        <f aca="false">SUMIFS($T112:$CA112,$T$5:$CA$5,2030)</f>
        <v>0.3</v>
      </c>
      <c r="L112" s="193" t="n">
        <f aca="false">SUMIFS($T112:$CA112,$T$5:$CA$5,2026)</f>
        <v>0</v>
      </c>
      <c r="M112" s="193" t="n">
        <f aca="false">SUMIFS($T112:$CA112,$T$5:$CA$5,2027)</f>
        <v>0.1</v>
      </c>
      <c r="N112" s="193" t="n">
        <f aca="false">SUMIFS($T112:$CA112,$T$5:$CA$5,2028)</f>
        <v>0.3</v>
      </c>
      <c r="O112" s="193" t="n">
        <f aca="false">SUMIFS($T112:$CA112,$T$5:$CA$5,2029)</f>
        <v>0.3</v>
      </c>
      <c r="P112" s="193" t="n">
        <f aca="false">SUMIFS($T112:$CA112,$T$5:$CA$5,2030)</f>
        <v>0.3</v>
      </c>
      <c r="T112" s="193" t="n">
        <f aca="false">$D$105/1000000/12*IF($I$105="Y",T$50,IF(T$6&gt;=EOMONTH($H$105,0),1,0))</f>
        <v>0</v>
      </c>
      <c r="U112" s="193" t="n">
        <f aca="false">$D$105/1000000/12*IF($I$105="Y",U$50,IF(U$6&gt;=EOMONTH($H$105,0),1,0))</f>
        <v>0</v>
      </c>
      <c r="V112" s="193" t="n">
        <f aca="false">$D$105/1000000/12*IF($I$105="Y",V$50,IF(V$6&gt;=EOMONTH($H$105,0),1,0))</f>
        <v>0</v>
      </c>
      <c r="W112" s="193" t="n">
        <f aca="false">$D$105/1000000/12*IF($I$105="Y",W$50,IF(W$6&gt;=EOMONTH($H$105,0),1,0))</f>
        <v>0</v>
      </c>
      <c r="X112" s="193" t="n">
        <f aca="false">$D$105/1000000/12*IF($I$105="Y",X$50,IF(X$6&gt;=EOMONTH($H$105,0),1,0))</f>
        <v>0</v>
      </c>
      <c r="Y112" s="193" t="n">
        <f aca="false">$D$105/1000000/12*IF($I$105="Y",Y$50,IF(Y$6&gt;=EOMONTH($H$105,0),1,0))</f>
        <v>0</v>
      </c>
      <c r="Z112" s="193" t="n">
        <f aca="false">$D$105/1000000/12*IF($I$105="Y",Z$50,IF(Z$6&gt;=EOMONTH($H$105,0),1,0))</f>
        <v>0</v>
      </c>
      <c r="AA112" s="193" t="n">
        <f aca="false">$D$105/1000000/12*IF($I$105="Y",AA$50,IF(AA$6&gt;=EOMONTH($H$105,0),1,0))</f>
        <v>0</v>
      </c>
      <c r="AB112" s="193" t="n">
        <f aca="false">$D$105/1000000/12*IF($I$105="Y",AB$50,IF(AB$6&gt;=EOMONTH($H$105,0),1,0))</f>
        <v>0</v>
      </c>
      <c r="AC112" s="193" t="n">
        <f aca="false">$D$105/1000000/12*IF($I$105="Y",AC$50,IF(AC$6&gt;=EOMONTH($H$105,0),1,0))</f>
        <v>0</v>
      </c>
      <c r="AD112" s="193" t="n">
        <f aca="false">$D$105/1000000/12*IF($I$105="Y",AD$50,IF(AD$6&gt;=EOMONTH($H$105,0),1,0))</f>
        <v>0</v>
      </c>
      <c r="AE112" s="193" t="n">
        <f aca="false">$D$105/1000000/12*IF($I$105="Y",AE$50,IF(AE$6&gt;=EOMONTH($H$105,0),1,0))</f>
        <v>0</v>
      </c>
      <c r="AF112" s="193" t="n">
        <f aca="false">$D$105/1000000/12*IF($I$105="Y",AF$50,IF(AF$6&gt;=EOMONTH($H$105,0),1,0))</f>
        <v>0</v>
      </c>
      <c r="AG112" s="193" t="n">
        <f aca="false">$D$105/1000000/12*IF($I$105="Y",AG$50,IF(AG$6&gt;=EOMONTH($H$105,0),1,0))</f>
        <v>0</v>
      </c>
      <c r="AH112" s="193" t="n">
        <f aca="false">$D$105/1000000/12*IF($I$105="Y",AH$50,IF(AH$6&gt;=EOMONTH($H$105,0),1,0))</f>
        <v>0</v>
      </c>
      <c r="AI112" s="193" t="n">
        <f aca="false">$D$105/1000000/12*IF($I$105="Y",AI$50,IF(AI$6&gt;=EOMONTH($H$105,0),1,0))</f>
        <v>0</v>
      </c>
      <c r="AJ112" s="193" t="n">
        <f aca="false">$D$105/1000000/12*IF($I$105="Y",AJ$50,IF(AJ$6&gt;=EOMONTH($H$105,0),1,0))</f>
        <v>0</v>
      </c>
      <c r="AK112" s="193" t="n">
        <f aca="false">$D$105/1000000/12*IF($I$105="Y",AK$50,IF(AK$6&gt;=EOMONTH($H$105,0),1,0))</f>
        <v>0</v>
      </c>
      <c r="AL112" s="193" t="n">
        <f aca="false">$D$105/1000000/12*IF($I$105="Y",AL$50,IF(AL$6&gt;=EOMONTH($H$105,0),1,0))</f>
        <v>0</v>
      </c>
      <c r="AM112" s="193" t="n">
        <f aca="false">$D$105/1000000/12*IF($I$105="Y",AM$50,IF(AM$6&gt;=EOMONTH($H$105,0),1,0))</f>
        <v>0</v>
      </c>
      <c r="AN112" s="193" t="n">
        <f aca="false">$D$105/1000000/12*IF($I$105="Y",AN$50,IF(AN$6&gt;=EOMONTH($H$105,0),1,0))</f>
        <v>0.025</v>
      </c>
      <c r="AO112" s="193" t="n">
        <f aca="false">$D$105/1000000/12*IF($I$105="Y",AO$50,IF(AO$6&gt;=EOMONTH($H$105,0),1,0))</f>
        <v>0.025</v>
      </c>
      <c r="AP112" s="193" t="n">
        <f aca="false">$D$105/1000000/12*IF($I$105="Y",AP$50,IF(AP$6&gt;=EOMONTH($H$105,0),1,0))</f>
        <v>0.025</v>
      </c>
      <c r="AQ112" s="193" t="n">
        <f aca="false">$D$105/1000000/12*IF($I$105="Y",AQ$50,IF(AQ$6&gt;=EOMONTH($H$105,0),1,0))</f>
        <v>0.025</v>
      </c>
      <c r="AR112" s="193" t="n">
        <f aca="false">$D$105/1000000/12*IF($I$105="Y",AR$50,IF(AR$6&gt;=EOMONTH($H$105,0),1,0))</f>
        <v>0.025</v>
      </c>
      <c r="AS112" s="193" t="n">
        <f aca="false">$D$105/1000000/12*IF($I$105="Y",AS$50,IF(AS$6&gt;=EOMONTH($H$105,0),1,0))</f>
        <v>0.025</v>
      </c>
      <c r="AT112" s="193" t="n">
        <f aca="false">$D$105/1000000/12*IF($I$105="Y",AT$50,IF(AT$6&gt;=EOMONTH($H$105,0),1,0))</f>
        <v>0.025</v>
      </c>
      <c r="AU112" s="193" t="n">
        <f aca="false">$D$105/1000000/12*IF($I$105="Y",AU$50,IF(AU$6&gt;=EOMONTH($H$105,0),1,0))</f>
        <v>0.025</v>
      </c>
      <c r="AV112" s="193" t="n">
        <f aca="false">$D$105/1000000/12*IF($I$105="Y",AV$50,IF(AV$6&gt;=EOMONTH($H$105,0),1,0))</f>
        <v>0.025</v>
      </c>
      <c r="AW112" s="193" t="n">
        <f aca="false">$D$105/1000000/12*IF($I$105="Y",AW$50,IF(AW$6&gt;=EOMONTH($H$105,0),1,0))</f>
        <v>0.025</v>
      </c>
      <c r="AX112" s="193" t="n">
        <f aca="false">$D$105/1000000/12*IF($I$105="Y",AX$50,IF(AX$6&gt;=EOMONTH($H$105,0),1,0))</f>
        <v>0.025</v>
      </c>
      <c r="AY112" s="193" t="n">
        <f aca="false">$D$105/1000000/12*IF($I$105="Y",AY$50,IF(AY$6&gt;=EOMONTH($H$105,0),1,0))</f>
        <v>0.025</v>
      </c>
      <c r="AZ112" s="193" t="n">
        <f aca="false">$D$105/1000000/12*IF($I$105="Y",AZ$50,IF(AZ$6&gt;=EOMONTH($H$105,0),1,0))</f>
        <v>0.025</v>
      </c>
      <c r="BA112" s="193" t="n">
        <f aca="false">$D$105/1000000/12*IF($I$105="Y",BA$50,IF(BA$6&gt;=EOMONTH($H$105,0),1,0))</f>
        <v>0.025</v>
      </c>
      <c r="BB112" s="193" t="n">
        <f aca="false">$D$105/1000000/12*IF($I$105="Y",BB$50,IF(BB$6&gt;=EOMONTH($H$105,0),1,0))</f>
        <v>0.025</v>
      </c>
      <c r="BC112" s="193" t="n">
        <f aca="false">$D$105/1000000/12*IF($I$105="Y",BC$50,IF(BC$6&gt;=EOMONTH($H$105,0),1,0))</f>
        <v>0.025</v>
      </c>
      <c r="BD112" s="193" t="n">
        <f aca="false">$D$105/1000000/12*IF($I$105="Y",BD$50,IF(BD$6&gt;=EOMONTH($H$105,0),1,0))</f>
        <v>0.025</v>
      </c>
      <c r="BE112" s="193" t="n">
        <f aca="false">$D$105/1000000/12*IF($I$105="Y",BE$50,IF(BE$6&gt;=EOMONTH($H$105,0),1,0))</f>
        <v>0.025</v>
      </c>
      <c r="BF112" s="193" t="n">
        <f aca="false">$D$105/1000000/12*IF($I$105="Y",BF$50,IF(BF$6&gt;=EOMONTH($H$105,0),1,0))</f>
        <v>0.025</v>
      </c>
      <c r="BG112" s="193" t="n">
        <f aca="false">$D$105/1000000/12*IF($I$105="Y",BG$50,IF(BG$6&gt;=EOMONTH($H$105,0),1,0))</f>
        <v>0.025</v>
      </c>
      <c r="BH112" s="193" t="n">
        <f aca="false">$D$105/1000000/12*IF($I$105="Y",BH$50,IF(BH$6&gt;=EOMONTH($H$105,0),1,0))</f>
        <v>0.025</v>
      </c>
      <c r="BI112" s="193" t="n">
        <f aca="false">$D$105/1000000/12*IF($I$105="Y",BI$50,IF(BI$6&gt;=EOMONTH($H$105,0),1,0))</f>
        <v>0.025</v>
      </c>
      <c r="BJ112" s="193" t="n">
        <f aca="false">$D$105/1000000/12*IF($I$105="Y",BJ$50,IF(BJ$6&gt;=EOMONTH($H$105,0),1,0))</f>
        <v>0.025</v>
      </c>
      <c r="BK112" s="193" t="n">
        <f aca="false">$D$105/1000000/12*IF($I$105="Y",BK$50,IF(BK$6&gt;=EOMONTH($H$105,0),1,0))</f>
        <v>0.025</v>
      </c>
      <c r="BL112" s="193" t="n">
        <f aca="false">$D$105/1000000/12*IF($I$105="Y",BL$50,IF(BL$6&gt;=EOMONTH($H$105,0),1,0))</f>
        <v>0.025</v>
      </c>
      <c r="BM112" s="193" t="n">
        <f aca="false">$D$105/1000000/12*IF($I$105="Y",BM$50,IF(BM$6&gt;=EOMONTH($H$105,0),1,0))</f>
        <v>0.025</v>
      </c>
      <c r="BN112" s="193" t="n">
        <f aca="false">$D$105/1000000/12*IF($I$105="Y",BN$50,IF(BN$6&gt;=EOMONTH($H$105,0),1,0))</f>
        <v>0.025</v>
      </c>
      <c r="BO112" s="193" t="n">
        <f aca="false">$D$105/1000000/12*IF($I$105="Y",BO$50,IF(BO$6&gt;=EOMONTH($H$105,0),1,0))</f>
        <v>0.025</v>
      </c>
      <c r="BP112" s="193" t="n">
        <f aca="false">$D$105/1000000/12*IF($I$105="Y",BP$50,IF(BP$6&gt;=EOMONTH($H$105,0),1,0))</f>
        <v>0.025</v>
      </c>
      <c r="BQ112" s="193" t="n">
        <f aca="false">$D$105/1000000/12*IF($I$105="Y",BQ$50,IF(BQ$6&gt;=EOMONTH($H$105,0),1,0))</f>
        <v>0.025</v>
      </c>
      <c r="BR112" s="193" t="n">
        <f aca="false">$D$105/1000000/12*IF($I$105="Y",BR$50,IF(BR$6&gt;=EOMONTH($H$105,0),1,0))</f>
        <v>0.025</v>
      </c>
      <c r="BS112" s="193" t="n">
        <f aca="false">$D$105/1000000/12*IF($I$105="Y",BS$50,IF(BS$6&gt;=EOMONTH($H$105,0),1,0))</f>
        <v>0.025</v>
      </c>
      <c r="BT112" s="193" t="n">
        <f aca="false">$D$105/1000000/12*IF($I$105="Y",BT$50,IF(BT$6&gt;=EOMONTH($H$105,0),1,0))</f>
        <v>0.025</v>
      </c>
      <c r="BU112" s="193" t="n">
        <f aca="false">$D$105/1000000/12*IF($I$105="Y",BU$50,IF(BU$6&gt;=EOMONTH($H$105,0),1,0))</f>
        <v>0.025</v>
      </c>
      <c r="BV112" s="193" t="n">
        <f aca="false">$D$105/1000000/12*IF($I$105="Y",BV$50,IF(BV$6&gt;=EOMONTH($H$105,0),1,0))</f>
        <v>0.025</v>
      </c>
      <c r="BW112" s="193" t="n">
        <f aca="false">$D$105/1000000/12*IF($I$105="Y",BW$50,IF(BW$6&gt;=EOMONTH($H$105,0),1,0))</f>
        <v>0.025</v>
      </c>
      <c r="BX112" s="193" t="n">
        <f aca="false">$D$105/1000000/12*IF($I$105="Y",BX$50,IF(BX$6&gt;=EOMONTH($H$105,0),1,0))</f>
        <v>0.025</v>
      </c>
      <c r="BY112" s="193" t="n">
        <f aca="false">$D$105/1000000/12*IF($I$105="Y",BY$50,IF(BY$6&gt;=EOMONTH($H$105,0),1,0))</f>
        <v>0.025</v>
      </c>
      <c r="BZ112" s="193" t="n">
        <f aca="false">$D$105/1000000/12*IF($I$105="Y",BZ$50,IF(BZ$6&gt;=EOMONTH($H$105,0),1,0))</f>
        <v>0.025</v>
      </c>
      <c r="CA112" s="193" t="n">
        <f aca="false">$D$105/1000000/12*IF($I$105="Y",CA$50,IF(CA$6&gt;=EOMONTH($H$105,0),1,0))</f>
        <v>0.025</v>
      </c>
    </row>
    <row r="113" customFormat="false" ht="15" hidden="false" customHeight="false" outlineLevel="0" collapsed="false">
      <c r="B113" s="10" t="s">
        <v>393</v>
      </c>
      <c r="K113" s="193" t="n">
        <f aca="false">SUMIFS($T113:$CA113,$T$5:$CA$5,2030)</f>
        <v>0.54</v>
      </c>
      <c r="L113" s="193" t="n">
        <f aca="false">SUMIFS($T113:$CA113,$T$5:$CA$5,2026)</f>
        <v>0</v>
      </c>
      <c r="M113" s="193" t="n">
        <f aca="false">SUMIFS($T113:$CA113,$T$5:$CA$5,2027)</f>
        <v>0.18</v>
      </c>
      <c r="N113" s="193" t="n">
        <f aca="false">SUMIFS($T113:$CA113,$T$5:$CA$5,2028)</f>
        <v>0.54</v>
      </c>
      <c r="O113" s="193" t="n">
        <f aca="false">SUMIFS($T113:$CA113,$T$5:$CA$5,2029)</f>
        <v>0.54</v>
      </c>
      <c r="P113" s="193" t="n">
        <f aca="false">SUMIFS($T113:$CA113,$T$5:$CA$5,2030)</f>
        <v>0.54</v>
      </c>
      <c r="T113" s="193" t="n">
        <f aca="false">$D$106/1000000/12*IF($I$106="Y",T$50,IF(T$6&gt;=EOMONTH($H$106,0),1,0))</f>
        <v>0</v>
      </c>
      <c r="U113" s="193" t="n">
        <f aca="false">$D$106/1000000/12*IF($I$106="Y",U$50,IF(U$6&gt;=EOMONTH($H$106,0),1,0))</f>
        <v>0</v>
      </c>
      <c r="V113" s="193" t="n">
        <f aca="false">$D$106/1000000/12*IF($I$106="Y",V$50,IF(V$6&gt;=EOMONTH($H$106,0),1,0))</f>
        <v>0</v>
      </c>
      <c r="W113" s="193" t="n">
        <f aca="false">$D$106/1000000/12*IF($I$106="Y",W$50,IF(W$6&gt;=EOMONTH($H$106,0),1,0))</f>
        <v>0</v>
      </c>
      <c r="X113" s="193" t="n">
        <f aca="false">$D$106/1000000/12*IF($I$106="Y",X$50,IF(X$6&gt;=EOMONTH($H$106,0),1,0))</f>
        <v>0</v>
      </c>
      <c r="Y113" s="193" t="n">
        <f aca="false">$D$106/1000000/12*IF($I$106="Y",Y$50,IF(Y$6&gt;=EOMONTH($H$106,0),1,0))</f>
        <v>0</v>
      </c>
      <c r="Z113" s="193" t="n">
        <f aca="false">$D$106/1000000/12*IF($I$106="Y",Z$50,IF(Z$6&gt;=EOMONTH($H$106,0),1,0))</f>
        <v>0</v>
      </c>
      <c r="AA113" s="193" t="n">
        <f aca="false">$D$106/1000000/12*IF($I$106="Y",AA$50,IF(AA$6&gt;=EOMONTH($H$106,0),1,0))</f>
        <v>0</v>
      </c>
      <c r="AB113" s="193" t="n">
        <f aca="false">$D$106/1000000/12*IF($I$106="Y",AB$50,IF(AB$6&gt;=EOMONTH($H$106,0),1,0))</f>
        <v>0</v>
      </c>
      <c r="AC113" s="193" t="n">
        <f aca="false">$D$106/1000000/12*IF($I$106="Y",AC$50,IF(AC$6&gt;=EOMONTH($H$106,0),1,0))</f>
        <v>0</v>
      </c>
      <c r="AD113" s="193" t="n">
        <f aca="false">$D$106/1000000/12*IF($I$106="Y",AD$50,IF(AD$6&gt;=EOMONTH($H$106,0),1,0))</f>
        <v>0</v>
      </c>
      <c r="AE113" s="193" t="n">
        <f aca="false">$D$106/1000000/12*IF($I$106="Y",AE$50,IF(AE$6&gt;=EOMONTH($H$106,0),1,0))</f>
        <v>0</v>
      </c>
      <c r="AF113" s="193" t="n">
        <f aca="false">$D$106/1000000/12*IF($I$106="Y",AF$50,IF(AF$6&gt;=EOMONTH($H$106,0),1,0))</f>
        <v>0</v>
      </c>
      <c r="AG113" s="193" t="n">
        <f aca="false">$D$106/1000000/12*IF($I$106="Y",AG$50,IF(AG$6&gt;=EOMONTH($H$106,0),1,0))</f>
        <v>0</v>
      </c>
      <c r="AH113" s="193" t="n">
        <f aca="false">$D$106/1000000/12*IF($I$106="Y",AH$50,IF(AH$6&gt;=EOMONTH($H$106,0),1,0))</f>
        <v>0</v>
      </c>
      <c r="AI113" s="193" t="n">
        <f aca="false">$D$106/1000000/12*IF($I$106="Y",AI$50,IF(AI$6&gt;=EOMONTH($H$106,0),1,0))</f>
        <v>0</v>
      </c>
      <c r="AJ113" s="193" t="n">
        <f aca="false">$D$106/1000000/12*IF($I$106="Y",AJ$50,IF(AJ$6&gt;=EOMONTH($H$106,0),1,0))</f>
        <v>0</v>
      </c>
      <c r="AK113" s="193" t="n">
        <f aca="false">$D$106/1000000/12*IF($I$106="Y",AK$50,IF(AK$6&gt;=EOMONTH($H$106,0),1,0))</f>
        <v>0</v>
      </c>
      <c r="AL113" s="193" t="n">
        <f aca="false">$D$106/1000000/12*IF($I$106="Y",AL$50,IF(AL$6&gt;=EOMONTH($H$106,0),1,0))</f>
        <v>0</v>
      </c>
      <c r="AM113" s="193" t="n">
        <f aca="false">$D$106/1000000/12*IF($I$106="Y",AM$50,IF(AM$6&gt;=EOMONTH($H$106,0),1,0))</f>
        <v>0</v>
      </c>
      <c r="AN113" s="193" t="n">
        <f aca="false">$D$106/1000000/12*IF($I$106="Y",AN$50,IF(AN$6&gt;=EOMONTH($H$106,0),1,0))</f>
        <v>0.045</v>
      </c>
      <c r="AO113" s="193" t="n">
        <f aca="false">$D$106/1000000/12*IF($I$106="Y",AO$50,IF(AO$6&gt;=EOMONTH($H$106,0),1,0))</f>
        <v>0.045</v>
      </c>
      <c r="AP113" s="193" t="n">
        <f aca="false">$D$106/1000000/12*IF($I$106="Y",AP$50,IF(AP$6&gt;=EOMONTH($H$106,0),1,0))</f>
        <v>0.045</v>
      </c>
      <c r="AQ113" s="193" t="n">
        <f aca="false">$D$106/1000000/12*IF($I$106="Y",AQ$50,IF(AQ$6&gt;=EOMONTH($H$106,0),1,0))</f>
        <v>0.045</v>
      </c>
      <c r="AR113" s="193" t="n">
        <f aca="false">$D$106/1000000/12*IF($I$106="Y",AR$50,IF(AR$6&gt;=EOMONTH($H$106,0),1,0))</f>
        <v>0.045</v>
      </c>
      <c r="AS113" s="193" t="n">
        <f aca="false">$D$106/1000000/12*IF($I$106="Y",AS$50,IF(AS$6&gt;=EOMONTH($H$106,0),1,0))</f>
        <v>0.045</v>
      </c>
      <c r="AT113" s="193" t="n">
        <f aca="false">$D$106/1000000/12*IF($I$106="Y",AT$50,IF(AT$6&gt;=EOMONTH($H$106,0),1,0))</f>
        <v>0.045</v>
      </c>
      <c r="AU113" s="193" t="n">
        <f aca="false">$D$106/1000000/12*IF($I$106="Y",AU$50,IF(AU$6&gt;=EOMONTH($H$106,0),1,0))</f>
        <v>0.045</v>
      </c>
      <c r="AV113" s="193" t="n">
        <f aca="false">$D$106/1000000/12*IF($I$106="Y",AV$50,IF(AV$6&gt;=EOMONTH($H$106,0),1,0))</f>
        <v>0.045</v>
      </c>
      <c r="AW113" s="193" t="n">
        <f aca="false">$D$106/1000000/12*IF($I$106="Y",AW$50,IF(AW$6&gt;=EOMONTH($H$106,0),1,0))</f>
        <v>0.045</v>
      </c>
      <c r="AX113" s="193" t="n">
        <f aca="false">$D$106/1000000/12*IF($I$106="Y",AX$50,IF(AX$6&gt;=EOMONTH($H$106,0),1,0))</f>
        <v>0.045</v>
      </c>
      <c r="AY113" s="193" t="n">
        <f aca="false">$D$106/1000000/12*IF($I$106="Y",AY$50,IF(AY$6&gt;=EOMONTH($H$106,0),1,0))</f>
        <v>0.045</v>
      </c>
      <c r="AZ113" s="193" t="n">
        <f aca="false">$D$106/1000000/12*IF($I$106="Y",AZ$50,IF(AZ$6&gt;=EOMONTH($H$106,0),1,0))</f>
        <v>0.045</v>
      </c>
      <c r="BA113" s="193" t="n">
        <f aca="false">$D$106/1000000/12*IF($I$106="Y",BA$50,IF(BA$6&gt;=EOMONTH($H$106,0),1,0))</f>
        <v>0.045</v>
      </c>
      <c r="BB113" s="193" t="n">
        <f aca="false">$D$106/1000000/12*IF($I$106="Y",BB$50,IF(BB$6&gt;=EOMONTH($H$106,0),1,0))</f>
        <v>0.045</v>
      </c>
      <c r="BC113" s="193" t="n">
        <f aca="false">$D$106/1000000/12*IF($I$106="Y",BC$50,IF(BC$6&gt;=EOMONTH($H$106,0),1,0))</f>
        <v>0.045</v>
      </c>
      <c r="BD113" s="193" t="n">
        <f aca="false">$D$106/1000000/12*IF($I$106="Y",BD$50,IF(BD$6&gt;=EOMONTH($H$106,0),1,0))</f>
        <v>0.045</v>
      </c>
      <c r="BE113" s="193" t="n">
        <f aca="false">$D$106/1000000/12*IF($I$106="Y",BE$50,IF(BE$6&gt;=EOMONTH($H$106,0),1,0))</f>
        <v>0.045</v>
      </c>
      <c r="BF113" s="193" t="n">
        <f aca="false">$D$106/1000000/12*IF($I$106="Y",BF$50,IF(BF$6&gt;=EOMONTH($H$106,0),1,0))</f>
        <v>0.045</v>
      </c>
      <c r="BG113" s="193" t="n">
        <f aca="false">$D$106/1000000/12*IF($I$106="Y",BG$50,IF(BG$6&gt;=EOMONTH($H$106,0),1,0))</f>
        <v>0.045</v>
      </c>
      <c r="BH113" s="193" t="n">
        <f aca="false">$D$106/1000000/12*IF($I$106="Y",BH$50,IF(BH$6&gt;=EOMONTH($H$106,0),1,0))</f>
        <v>0.045</v>
      </c>
      <c r="BI113" s="193" t="n">
        <f aca="false">$D$106/1000000/12*IF($I$106="Y",BI$50,IF(BI$6&gt;=EOMONTH($H$106,0),1,0))</f>
        <v>0.045</v>
      </c>
      <c r="BJ113" s="193" t="n">
        <f aca="false">$D$106/1000000/12*IF($I$106="Y",BJ$50,IF(BJ$6&gt;=EOMONTH($H$106,0),1,0))</f>
        <v>0.045</v>
      </c>
      <c r="BK113" s="193" t="n">
        <f aca="false">$D$106/1000000/12*IF($I$106="Y",BK$50,IF(BK$6&gt;=EOMONTH($H$106,0),1,0))</f>
        <v>0.045</v>
      </c>
      <c r="BL113" s="193" t="n">
        <f aca="false">$D$106/1000000/12*IF($I$106="Y",BL$50,IF(BL$6&gt;=EOMONTH($H$106,0),1,0))</f>
        <v>0.045</v>
      </c>
      <c r="BM113" s="193" t="n">
        <f aca="false">$D$106/1000000/12*IF($I$106="Y",BM$50,IF(BM$6&gt;=EOMONTH($H$106,0),1,0))</f>
        <v>0.045</v>
      </c>
      <c r="BN113" s="193" t="n">
        <f aca="false">$D$106/1000000/12*IF($I$106="Y",BN$50,IF(BN$6&gt;=EOMONTH($H$106,0),1,0))</f>
        <v>0.045</v>
      </c>
      <c r="BO113" s="193" t="n">
        <f aca="false">$D$106/1000000/12*IF($I$106="Y",BO$50,IF(BO$6&gt;=EOMONTH($H$106,0),1,0))</f>
        <v>0.045</v>
      </c>
      <c r="BP113" s="193" t="n">
        <f aca="false">$D$106/1000000/12*IF($I$106="Y",BP$50,IF(BP$6&gt;=EOMONTH($H$106,0),1,0))</f>
        <v>0.045</v>
      </c>
      <c r="BQ113" s="193" t="n">
        <f aca="false">$D$106/1000000/12*IF($I$106="Y",BQ$50,IF(BQ$6&gt;=EOMONTH($H$106,0),1,0))</f>
        <v>0.045</v>
      </c>
      <c r="BR113" s="193" t="n">
        <f aca="false">$D$106/1000000/12*IF($I$106="Y",BR$50,IF(BR$6&gt;=EOMONTH($H$106,0),1,0))</f>
        <v>0.045</v>
      </c>
      <c r="BS113" s="193" t="n">
        <f aca="false">$D$106/1000000/12*IF($I$106="Y",BS$50,IF(BS$6&gt;=EOMONTH($H$106,0),1,0))</f>
        <v>0.045</v>
      </c>
      <c r="BT113" s="193" t="n">
        <f aca="false">$D$106/1000000/12*IF($I$106="Y",BT$50,IF(BT$6&gt;=EOMONTH($H$106,0),1,0))</f>
        <v>0.045</v>
      </c>
      <c r="BU113" s="193" t="n">
        <f aca="false">$D$106/1000000/12*IF($I$106="Y",BU$50,IF(BU$6&gt;=EOMONTH($H$106,0),1,0))</f>
        <v>0.045</v>
      </c>
      <c r="BV113" s="193" t="n">
        <f aca="false">$D$106/1000000/12*IF($I$106="Y",BV$50,IF(BV$6&gt;=EOMONTH($H$106,0),1,0))</f>
        <v>0.045</v>
      </c>
      <c r="BW113" s="193" t="n">
        <f aca="false">$D$106/1000000/12*IF($I$106="Y",BW$50,IF(BW$6&gt;=EOMONTH($H$106,0),1,0))</f>
        <v>0.045</v>
      </c>
      <c r="BX113" s="193" t="n">
        <f aca="false">$D$106/1000000/12*IF($I$106="Y",BX$50,IF(BX$6&gt;=EOMONTH($H$106,0),1,0))</f>
        <v>0.045</v>
      </c>
      <c r="BY113" s="193" t="n">
        <f aca="false">$D$106/1000000/12*IF($I$106="Y",BY$50,IF(BY$6&gt;=EOMONTH($H$106,0),1,0))</f>
        <v>0.045</v>
      </c>
      <c r="BZ113" s="193" t="n">
        <f aca="false">$D$106/1000000/12*IF($I$106="Y",BZ$50,IF(BZ$6&gt;=EOMONTH($H$106,0),1,0))</f>
        <v>0.045</v>
      </c>
      <c r="CA113" s="193" t="n">
        <f aca="false">$D$106/1000000/12*IF($I$106="Y",CA$50,IF(CA$6&gt;=EOMONTH($H$106,0),1,0))</f>
        <v>0.045</v>
      </c>
    </row>
    <row r="114" customFormat="false" ht="15" hidden="false" customHeight="false" outlineLevel="0" collapsed="false">
      <c r="B114" s="10" t="s">
        <v>394</v>
      </c>
      <c r="K114" s="193" t="n">
        <f aca="false">SUMIFS($T114:$CA114,$T$5:$CA$5,2030)</f>
        <v>0.2</v>
      </c>
      <c r="L114" s="193" t="n">
        <f aca="false">SUMIFS($T114:$CA114,$T$5:$CA$5,2026)</f>
        <v>0</v>
      </c>
      <c r="M114" s="193" t="n">
        <f aca="false">SUMIFS($T114:$CA114,$T$5:$CA$5,2027)</f>
        <v>0.0666666666666667</v>
      </c>
      <c r="N114" s="193" t="n">
        <f aca="false">SUMIFS($T114:$CA114,$T$5:$CA$5,2028)</f>
        <v>0.2</v>
      </c>
      <c r="O114" s="193" t="n">
        <f aca="false">SUMIFS($T114:$CA114,$T$5:$CA$5,2029)</f>
        <v>0.2</v>
      </c>
      <c r="P114" s="193" t="n">
        <f aca="false">SUMIFS($T114:$CA114,$T$5:$CA$5,2030)</f>
        <v>0.2</v>
      </c>
      <c r="T114" s="193" t="n">
        <f aca="false">$D$107/1000000/12*IF($I$107="Y",T$50,IF(T$6&gt;=EOMONTH($H$107,0),1,0))</f>
        <v>0</v>
      </c>
      <c r="U114" s="193" t="n">
        <f aca="false">$D$107/1000000/12*IF($I$107="Y",U$50,IF(U$6&gt;=EOMONTH($H$107,0),1,0))</f>
        <v>0</v>
      </c>
      <c r="V114" s="193" t="n">
        <f aca="false">$D$107/1000000/12*IF($I$107="Y",V$50,IF(V$6&gt;=EOMONTH($H$107,0),1,0))</f>
        <v>0</v>
      </c>
      <c r="W114" s="193" t="n">
        <f aca="false">$D$107/1000000/12*IF($I$107="Y",W$50,IF(W$6&gt;=EOMONTH($H$107,0),1,0))</f>
        <v>0</v>
      </c>
      <c r="X114" s="193" t="n">
        <f aca="false">$D$107/1000000/12*IF($I$107="Y",X$50,IF(X$6&gt;=EOMONTH($H$107,0),1,0))</f>
        <v>0</v>
      </c>
      <c r="Y114" s="193" t="n">
        <f aca="false">$D$107/1000000/12*IF($I$107="Y",Y$50,IF(Y$6&gt;=EOMONTH($H$107,0),1,0))</f>
        <v>0</v>
      </c>
      <c r="Z114" s="193" t="n">
        <f aca="false">$D$107/1000000/12*IF($I$107="Y",Z$50,IF(Z$6&gt;=EOMONTH($H$107,0),1,0))</f>
        <v>0</v>
      </c>
      <c r="AA114" s="193" t="n">
        <f aca="false">$D$107/1000000/12*IF($I$107="Y",AA$50,IF(AA$6&gt;=EOMONTH($H$107,0),1,0))</f>
        <v>0</v>
      </c>
      <c r="AB114" s="193" t="n">
        <f aca="false">$D$107/1000000/12*IF($I$107="Y",AB$50,IF(AB$6&gt;=EOMONTH($H$107,0),1,0))</f>
        <v>0</v>
      </c>
      <c r="AC114" s="193" t="n">
        <f aca="false">$D$107/1000000/12*IF($I$107="Y",AC$50,IF(AC$6&gt;=EOMONTH($H$107,0),1,0))</f>
        <v>0</v>
      </c>
      <c r="AD114" s="193" t="n">
        <f aca="false">$D$107/1000000/12*IF($I$107="Y",AD$50,IF(AD$6&gt;=EOMONTH($H$107,0),1,0))</f>
        <v>0</v>
      </c>
      <c r="AE114" s="193" t="n">
        <f aca="false">$D$107/1000000/12*IF($I$107="Y",AE$50,IF(AE$6&gt;=EOMONTH($H$107,0),1,0))</f>
        <v>0</v>
      </c>
      <c r="AF114" s="193" t="n">
        <f aca="false">$D$107/1000000/12*IF($I$107="Y",AF$50,IF(AF$6&gt;=EOMONTH($H$107,0),1,0))</f>
        <v>0</v>
      </c>
      <c r="AG114" s="193" t="n">
        <f aca="false">$D$107/1000000/12*IF($I$107="Y",AG$50,IF(AG$6&gt;=EOMONTH($H$107,0),1,0))</f>
        <v>0</v>
      </c>
      <c r="AH114" s="193" t="n">
        <f aca="false">$D$107/1000000/12*IF($I$107="Y",AH$50,IF(AH$6&gt;=EOMONTH($H$107,0),1,0))</f>
        <v>0</v>
      </c>
      <c r="AI114" s="193" t="n">
        <f aca="false">$D$107/1000000/12*IF($I$107="Y",AI$50,IF(AI$6&gt;=EOMONTH($H$107,0),1,0))</f>
        <v>0</v>
      </c>
      <c r="AJ114" s="193" t="n">
        <f aca="false">$D$107/1000000/12*IF($I$107="Y",AJ$50,IF(AJ$6&gt;=EOMONTH($H$107,0),1,0))</f>
        <v>0</v>
      </c>
      <c r="AK114" s="193" t="n">
        <f aca="false">$D$107/1000000/12*IF($I$107="Y",AK$50,IF(AK$6&gt;=EOMONTH($H$107,0),1,0))</f>
        <v>0</v>
      </c>
      <c r="AL114" s="193" t="n">
        <f aca="false">$D$107/1000000/12*IF($I$107="Y",AL$50,IF(AL$6&gt;=EOMONTH($H$107,0),1,0))</f>
        <v>0</v>
      </c>
      <c r="AM114" s="193" t="n">
        <f aca="false">$D$107/1000000/12*IF($I$107="Y",AM$50,IF(AM$6&gt;=EOMONTH($H$107,0),1,0))</f>
        <v>0</v>
      </c>
      <c r="AN114" s="193" t="n">
        <f aca="false">$D$107/1000000/12*IF($I$107="Y",AN$50,IF(AN$6&gt;=EOMONTH($H$107,0),1,0))</f>
        <v>0.0166666666666667</v>
      </c>
      <c r="AO114" s="193" t="n">
        <f aca="false">$D$107/1000000/12*IF($I$107="Y",AO$50,IF(AO$6&gt;=EOMONTH($H$107,0),1,0))</f>
        <v>0.0166666666666667</v>
      </c>
      <c r="AP114" s="193" t="n">
        <f aca="false">$D$107/1000000/12*IF($I$107="Y",AP$50,IF(AP$6&gt;=EOMONTH($H$107,0),1,0))</f>
        <v>0.0166666666666667</v>
      </c>
      <c r="AQ114" s="193" t="n">
        <f aca="false">$D$107/1000000/12*IF($I$107="Y",AQ$50,IF(AQ$6&gt;=EOMONTH($H$107,0),1,0))</f>
        <v>0.0166666666666667</v>
      </c>
      <c r="AR114" s="193" t="n">
        <f aca="false">$D$107/1000000/12*IF($I$107="Y",AR$50,IF(AR$6&gt;=EOMONTH($H$107,0),1,0))</f>
        <v>0.0166666666666667</v>
      </c>
      <c r="AS114" s="193" t="n">
        <f aca="false">$D$107/1000000/12*IF($I$107="Y",AS$50,IF(AS$6&gt;=EOMONTH($H$107,0),1,0))</f>
        <v>0.0166666666666667</v>
      </c>
      <c r="AT114" s="193" t="n">
        <f aca="false">$D$107/1000000/12*IF($I$107="Y",AT$50,IF(AT$6&gt;=EOMONTH($H$107,0),1,0))</f>
        <v>0.0166666666666667</v>
      </c>
      <c r="AU114" s="193" t="n">
        <f aca="false">$D$107/1000000/12*IF($I$107="Y",AU$50,IF(AU$6&gt;=EOMONTH($H$107,0),1,0))</f>
        <v>0.0166666666666667</v>
      </c>
      <c r="AV114" s="193" t="n">
        <f aca="false">$D$107/1000000/12*IF($I$107="Y",AV$50,IF(AV$6&gt;=EOMONTH($H$107,0),1,0))</f>
        <v>0.0166666666666667</v>
      </c>
      <c r="AW114" s="193" t="n">
        <f aca="false">$D$107/1000000/12*IF($I$107="Y",AW$50,IF(AW$6&gt;=EOMONTH($H$107,0),1,0))</f>
        <v>0.0166666666666667</v>
      </c>
      <c r="AX114" s="193" t="n">
        <f aca="false">$D$107/1000000/12*IF($I$107="Y",AX$50,IF(AX$6&gt;=EOMONTH($H$107,0),1,0))</f>
        <v>0.0166666666666667</v>
      </c>
      <c r="AY114" s="193" t="n">
        <f aca="false">$D$107/1000000/12*IF($I$107="Y",AY$50,IF(AY$6&gt;=EOMONTH($H$107,0),1,0))</f>
        <v>0.0166666666666667</v>
      </c>
      <c r="AZ114" s="193" t="n">
        <f aca="false">$D$107/1000000/12*IF($I$107="Y",AZ$50,IF(AZ$6&gt;=EOMONTH($H$107,0),1,0))</f>
        <v>0.0166666666666667</v>
      </c>
      <c r="BA114" s="193" t="n">
        <f aca="false">$D$107/1000000/12*IF($I$107="Y",BA$50,IF(BA$6&gt;=EOMONTH($H$107,0),1,0))</f>
        <v>0.0166666666666667</v>
      </c>
      <c r="BB114" s="193" t="n">
        <f aca="false">$D$107/1000000/12*IF($I$107="Y",BB$50,IF(BB$6&gt;=EOMONTH($H$107,0),1,0))</f>
        <v>0.0166666666666667</v>
      </c>
      <c r="BC114" s="193" t="n">
        <f aca="false">$D$107/1000000/12*IF($I$107="Y",BC$50,IF(BC$6&gt;=EOMONTH($H$107,0),1,0))</f>
        <v>0.0166666666666667</v>
      </c>
      <c r="BD114" s="193" t="n">
        <f aca="false">$D$107/1000000/12*IF($I$107="Y",BD$50,IF(BD$6&gt;=EOMONTH($H$107,0),1,0))</f>
        <v>0.0166666666666667</v>
      </c>
      <c r="BE114" s="193" t="n">
        <f aca="false">$D$107/1000000/12*IF($I$107="Y",BE$50,IF(BE$6&gt;=EOMONTH($H$107,0),1,0))</f>
        <v>0.0166666666666667</v>
      </c>
      <c r="BF114" s="193" t="n">
        <f aca="false">$D$107/1000000/12*IF($I$107="Y",BF$50,IF(BF$6&gt;=EOMONTH($H$107,0),1,0))</f>
        <v>0.0166666666666667</v>
      </c>
      <c r="BG114" s="193" t="n">
        <f aca="false">$D$107/1000000/12*IF($I$107="Y",BG$50,IF(BG$6&gt;=EOMONTH($H$107,0),1,0))</f>
        <v>0.0166666666666667</v>
      </c>
      <c r="BH114" s="193" t="n">
        <f aca="false">$D$107/1000000/12*IF($I$107="Y",BH$50,IF(BH$6&gt;=EOMONTH($H$107,0),1,0))</f>
        <v>0.0166666666666667</v>
      </c>
      <c r="BI114" s="193" t="n">
        <f aca="false">$D$107/1000000/12*IF($I$107="Y",BI$50,IF(BI$6&gt;=EOMONTH($H$107,0),1,0))</f>
        <v>0.0166666666666667</v>
      </c>
      <c r="BJ114" s="193" t="n">
        <f aca="false">$D$107/1000000/12*IF($I$107="Y",BJ$50,IF(BJ$6&gt;=EOMONTH($H$107,0),1,0))</f>
        <v>0.0166666666666667</v>
      </c>
      <c r="BK114" s="193" t="n">
        <f aca="false">$D$107/1000000/12*IF($I$107="Y",BK$50,IF(BK$6&gt;=EOMONTH($H$107,0),1,0))</f>
        <v>0.0166666666666667</v>
      </c>
      <c r="BL114" s="193" t="n">
        <f aca="false">$D$107/1000000/12*IF($I$107="Y",BL$50,IF(BL$6&gt;=EOMONTH($H$107,0),1,0))</f>
        <v>0.0166666666666667</v>
      </c>
      <c r="BM114" s="193" t="n">
        <f aca="false">$D$107/1000000/12*IF($I$107="Y",BM$50,IF(BM$6&gt;=EOMONTH($H$107,0),1,0))</f>
        <v>0.0166666666666667</v>
      </c>
      <c r="BN114" s="193" t="n">
        <f aca="false">$D$107/1000000/12*IF($I$107="Y",BN$50,IF(BN$6&gt;=EOMONTH($H$107,0),1,0))</f>
        <v>0.0166666666666667</v>
      </c>
      <c r="BO114" s="193" t="n">
        <f aca="false">$D$107/1000000/12*IF($I$107="Y",BO$50,IF(BO$6&gt;=EOMONTH($H$107,0),1,0))</f>
        <v>0.0166666666666667</v>
      </c>
      <c r="BP114" s="193" t="n">
        <f aca="false">$D$107/1000000/12*IF($I$107="Y",BP$50,IF(BP$6&gt;=EOMONTH($H$107,0),1,0))</f>
        <v>0.0166666666666667</v>
      </c>
      <c r="BQ114" s="193" t="n">
        <f aca="false">$D$107/1000000/12*IF($I$107="Y",BQ$50,IF(BQ$6&gt;=EOMONTH($H$107,0),1,0))</f>
        <v>0.0166666666666667</v>
      </c>
      <c r="BR114" s="193" t="n">
        <f aca="false">$D$107/1000000/12*IF($I$107="Y",BR$50,IF(BR$6&gt;=EOMONTH($H$107,0),1,0))</f>
        <v>0.0166666666666667</v>
      </c>
      <c r="BS114" s="193" t="n">
        <f aca="false">$D$107/1000000/12*IF($I$107="Y",BS$50,IF(BS$6&gt;=EOMONTH($H$107,0),1,0))</f>
        <v>0.0166666666666667</v>
      </c>
      <c r="BT114" s="193" t="n">
        <f aca="false">$D$107/1000000/12*IF($I$107="Y",BT$50,IF(BT$6&gt;=EOMONTH($H$107,0),1,0))</f>
        <v>0.0166666666666667</v>
      </c>
      <c r="BU114" s="193" t="n">
        <f aca="false">$D$107/1000000/12*IF($I$107="Y",BU$50,IF(BU$6&gt;=EOMONTH($H$107,0),1,0))</f>
        <v>0.0166666666666667</v>
      </c>
      <c r="BV114" s="193" t="n">
        <f aca="false">$D$107/1000000/12*IF($I$107="Y",BV$50,IF(BV$6&gt;=EOMONTH($H$107,0),1,0))</f>
        <v>0.0166666666666667</v>
      </c>
      <c r="BW114" s="193" t="n">
        <f aca="false">$D$107/1000000/12*IF($I$107="Y",BW$50,IF(BW$6&gt;=EOMONTH($H$107,0),1,0))</f>
        <v>0.0166666666666667</v>
      </c>
      <c r="BX114" s="193" t="n">
        <f aca="false">$D$107/1000000/12*IF($I$107="Y",BX$50,IF(BX$6&gt;=EOMONTH($H$107,0),1,0))</f>
        <v>0.0166666666666667</v>
      </c>
      <c r="BY114" s="193" t="n">
        <f aca="false">$D$107/1000000/12*IF($I$107="Y",BY$50,IF(BY$6&gt;=EOMONTH($H$107,0),1,0))</f>
        <v>0.0166666666666667</v>
      </c>
      <c r="BZ114" s="193" t="n">
        <f aca="false">$D$107/1000000/12*IF($I$107="Y",BZ$50,IF(BZ$6&gt;=EOMONTH($H$107,0),1,0))</f>
        <v>0.0166666666666667</v>
      </c>
      <c r="CA114" s="193" t="n">
        <f aca="false">$D$107/1000000/12*IF($I$107="Y",CA$50,IF(CA$6&gt;=EOMONTH($H$107,0),1,0))</f>
        <v>0.0166666666666667</v>
      </c>
    </row>
    <row r="115" customFormat="false" ht="15" hidden="false" customHeight="false" outlineLevel="0" collapsed="false">
      <c r="B115" s="10" t="s">
        <v>395</v>
      </c>
      <c r="K115" s="193" t="n">
        <f aca="false">SUMIFS($T115:$CA115,$T$5:$CA$5,2030)</f>
        <v>0.1</v>
      </c>
      <c r="L115" s="193" t="n">
        <f aca="false">SUMIFS($T115:$CA115,$T$5:$CA$5,2026)</f>
        <v>0</v>
      </c>
      <c r="M115" s="193" t="n">
        <f aca="false">SUMIFS($T115:$CA115,$T$5:$CA$5,2027)</f>
        <v>0.0333333333333333</v>
      </c>
      <c r="N115" s="193" t="n">
        <f aca="false">SUMIFS($T115:$CA115,$T$5:$CA$5,2028)</f>
        <v>0.1</v>
      </c>
      <c r="O115" s="193" t="n">
        <f aca="false">SUMIFS($T115:$CA115,$T$5:$CA$5,2029)</f>
        <v>0.1</v>
      </c>
      <c r="P115" s="193" t="n">
        <f aca="false">SUMIFS($T115:$CA115,$T$5:$CA$5,2030)</f>
        <v>0.1</v>
      </c>
      <c r="T115" s="193" t="n">
        <f aca="false">$D$108/1000000/12*IF($I$108="Y",T$50,IF(T$6&gt;=EOMONTH($H$108,0),1,0))</f>
        <v>0</v>
      </c>
      <c r="U115" s="193" t="n">
        <f aca="false">$D$108/1000000/12*IF($I$108="Y",U$50,IF(U$6&gt;=EOMONTH($H$108,0),1,0))</f>
        <v>0</v>
      </c>
      <c r="V115" s="193" t="n">
        <f aca="false">$D$108/1000000/12*IF($I$108="Y",V$50,IF(V$6&gt;=EOMONTH($H$108,0),1,0))</f>
        <v>0</v>
      </c>
      <c r="W115" s="193" t="n">
        <f aca="false">$D$108/1000000/12*IF($I$108="Y",W$50,IF(W$6&gt;=EOMONTH($H$108,0),1,0))</f>
        <v>0</v>
      </c>
      <c r="X115" s="193" t="n">
        <f aca="false">$D$108/1000000/12*IF($I$108="Y",X$50,IF(X$6&gt;=EOMONTH($H$108,0),1,0))</f>
        <v>0</v>
      </c>
      <c r="Y115" s="193" t="n">
        <f aca="false">$D$108/1000000/12*IF($I$108="Y",Y$50,IF(Y$6&gt;=EOMONTH($H$108,0),1,0))</f>
        <v>0</v>
      </c>
      <c r="Z115" s="193" t="n">
        <f aca="false">$D$108/1000000/12*IF($I$108="Y",Z$50,IF(Z$6&gt;=EOMONTH($H$108,0),1,0))</f>
        <v>0</v>
      </c>
      <c r="AA115" s="193" t="n">
        <f aca="false">$D$108/1000000/12*IF($I$108="Y",AA$50,IF(AA$6&gt;=EOMONTH($H$108,0),1,0))</f>
        <v>0</v>
      </c>
      <c r="AB115" s="193" t="n">
        <f aca="false">$D$108/1000000/12*IF($I$108="Y",AB$50,IF(AB$6&gt;=EOMONTH($H$108,0),1,0))</f>
        <v>0</v>
      </c>
      <c r="AC115" s="193" t="n">
        <f aca="false">$D$108/1000000/12*IF($I$108="Y",AC$50,IF(AC$6&gt;=EOMONTH($H$108,0),1,0))</f>
        <v>0</v>
      </c>
      <c r="AD115" s="193" t="n">
        <f aca="false">$D$108/1000000/12*IF($I$108="Y",AD$50,IF(AD$6&gt;=EOMONTH($H$108,0),1,0))</f>
        <v>0</v>
      </c>
      <c r="AE115" s="193" t="n">
        <f aca="false">$D$108/1000000/12*IF($I$108="Y",AE$50,IF(AE$6&gt;=EOMONTH($H$108,0),1,0))</f>
        <v>0</v>
      </c>
      <c r="AF115" s="193" t="n">
        <f aca="false">$D$108/1000000/12*IF($I$108="Y",AF$50,IF(AF$6&gt;=EOMONTH($H$108,0),1,0))</f>
        <v>0</v>
      </c>
      <c r="AG115" s="193" t="n">
        <f aca="false">$D$108/1000000/12*IF($I$108="Y",AG$50,IF(AG$6&gt;=EOMONTH($H$108,0),1,0))</f>
        <v>0</v>
      </c>
      <c r="AH115" s="193" t="n">
        <f aca="false">$D$108/1000000/12*IF($I$108="Y",AH$50,IF(AH$6&gt;=EOMONTH($H$108,0),1,0))</f>
        <v>0</v>
      </c>
      <c r="AI115" s="193" t="n">
        <f aca="false">$D$108/1000000/12*IF($I$108="Y",AI$50,IF(AI$6&gt;=EOMONTH($H$108,0),1,0))</f>
        <v>0</v>
      </c>
      <c r="AJ115" s="193" t="n">
        <f aca="false">$D$108/1000000/12*IF($I$108="Y",AJ$50,IF(AJ$6&gt;=EOMONTH($H$108,0),1,0))</f>
        <v>0</v>
      </c>
      <c r="AK115" s="193" t="n">
        <f aca="false">$D$108/1000000/12*IF($I$108="Y",AK$50,IF(AK$6&gt;=EOMONTH($H$108,0),1,0))</f>
        <v>0</v>
      </c>
      <c r="AL115" s="193" t="n">
        <f aca="false">$D$108/1000000/12*IF($I$108="Y",AL$50,IF(AL$6&gt;=EOMONTH($H$108,0),1,0))</f>
        <v>0</v>
      </c>
      <c r="AM115" s="193" t="n">
        <f aca="false">$D$108/1000000/12*IF($I$108="Y",AM$50,IF(AM$6&gt;=EOMONTH($H$108,0),1,0))</f>
        <v>0</v>
      </c>
      <c r="AN115" s="193" t="n">
        <f aca="false">$D$108/1000000/12*IF($I$108="Y",AN$50,IF(AN$6&gt;=EOMONTH($H$108,0),1,0))</f>
        <v>0.00833333333333333</v>
      </c>
      <c r="AO115" s="193" t="n">
        <f aca="false">$D$108/1000000/12*IF($I$108="Y",AO$50,IF(AO$6&gt;=EOMONTH($H$108,0),1,0))</f>
        <v>0.00833333333333333</v>
      </c>
      <c r="AP115" s="193" t="n">
        <f aca="false">$D$108/1000000/12*IF($I$108="Y",AP$50,IF(AP$6&gt;=EOMONTH($H$108,0),1,0))</f>
        <v>0.00833333333333333</v>
      </c>
      <c r="AQ115" s="193" t="n">
        <f aca="false">$D$108/1000000/12*IF($I$108="Y",AQ$50,IF(AQ$6&gt;=EOMONTH($H$108,0),1,0))</f>
        <v>0.00833333333333333</v>
      </c>
      <c r="AR115" s="193" t="n">
        <f aca="false">$D$108/1000000/12*IF($I$108="Y",AR$50,IF(AR$6&gt;=EOMONTH($H$108,0),1,0))</f>
        <v>0.00833333333333333</v>
      </c>
      <c r="AS115" s="193" t="n">
        <f aca="false">$D$108/1000000/12*IF($I$108="Y",AS$50,IF(AS$6&gt;=EOMONTH($H$108,0),1,0))</f>
        <v>0.00833333333333333</v>
      </c>
      <c r="AT115" s="193" t="n">
        <f aca="false">$D$108/1000000/12*IF($I$108="Y",AT$50,IF(AT$6&gt;=EOMONTH($H$108,0),1,0))</f>
        <v>0.00833333333333333</v>
      </c>
      <c r="AU115" s="193" t="n">
        <f aca="false">$D$108/1000000/12*IF($I$108="Y",AU$50,IF(AU$6&gt;=EOMONTH($H$108,0),1,0))</f>
        <v>0.00833333333333333</v>
      </c>
      <c r="AV115" s="193" t="n">
        <f aca="false">$D$108/1000000/12*IF($I$108="Y",AV$50,IF(AV$6&gt;=EOMONTH($H$108,0),1,0))</f>
        <v>0.00833333333333333</v>
      </c>
      <c r="AW115" s="193" t="n">
        <f aca="false">$D$108/1000000/12*IF($I$108="Y",AW$50,IF(AW$6&gt;=EOMONTH($H$108,0),1,0))</f>
        <v>0.00833333333333333</v>
      </c>
      <c r="AX115" s="193" t="n">
        <f aca="false">$D$108/1000000/12*IF($I$108="Y",AX$50,IF(AX$6&gt;=EOMONTH($H$108,0),1,0))</f>
        <v>0.00833333333333333</v>
      </c>
      <c r="AY115" s="193" t="n">
        <f aca="false">$D$108/1000000/12*IF($I$108="Y",AY$50,IF(AY$6&gt;=EOMONTH($H$108,0),1,0))</f>
        <v>0.00833333333333333</v>
      </c>
      <c r="AZ115" s="193" t="n">
        <f aca="false">$D$108/1000000/12*IF($I$108="Y",AZ$50,IF(AZ$6&gt;=EOMONTH($H$108,0),1,0))</f>
        <v>0.00833333333333333</v>
      </c>
      <c r="BA115" s="193" t="n">
        <f aca="false">$D$108/1000000/12*IF($I$108="Y",BA$50,IF(BA$6&gt;=EOMONTH($H$108,0),1,0))</f>
        <v>0.00833333333333333</v>
      </c>
      <c r="BB115" s="193" t="n">
        <f aca="false">$D$108/1000000/12*IF($I$108="Y",BB$50,IF(BB$6&gt;=EOMONTH($H$108,0),1,0))</f>
        <v>0.00833333333333333</v>
      </c>
      <c r="BC115" s="193" t="n">
        <f aca="false">$D$108/1000000/12*IF($I$108="Y",BC$50,IF(BC$6&gt;=EOMONTH($H$108,0),1,0))</f>
        <v>0.00833333333333333</v>
      </c>
      <c r="BD115" s="193" t="n">
        <f aca="false">$D$108/1000000/12*IF($I$108="Y",BD$50,IF(BD$6&gt;=EOMONTH($H$108,0),1,0))</f>
        <v>0.00833333333333333</v>
      </c>
      <c r="BE115" s="193" t="n">
        <f aca="false">$D$108/1000000/12*IF($I$108="Y",BE$50,IF(BE$6&gt;=EOMONTH($H$108,0),1,0))</f>
        <v>0.00833333333333333</v>
      </c>
      <c r="BF115" s="193" t="n">
        <f aca="false">$D$108/1000000/12*IF($I$108="Y",BF$50,IF(BF$6&gt;=EOMONTH($H$108,0),1,0))</f>
        <v>0.00833333333333333</v>
      </c>
      <c r="BG115" s="193" t="n">
        <f aca="false">$D$108/1000000/12*IF($I$108="Y",BG$50,IF(BG$6&gt;=EOMONTH($H$108,0),1,0))</f>
        <v>0.00833333333333333</v>
      </c>
      <c r="BH115" s="193" t="n">
        <f aca="false">$D$108/1000000/12*IF($I$108="Y",BH$50,IF(BH$6&gt;=EOMONTH($H$108,0),1,0))</f>
        <v>0.00833333333333333</v>
      </c>
      <c r="BI115" s="193" t="n">
        <f aca="false">$D$108/1000000/12*IF($I$108="Y",BI$50,IF(BI$6&gt;=EOMONTH($H$108,0),1,0))</f>
        <v>0.00833333333333333</v>
      </c>
      <c r="BJ115" s="193" t="n">
        <f aca="false">$D$108/1000000/12*IF($I$108="Y",BJ$50,IF(BJ$6&gt;=EOMONTH($H$108,0),1,0))</f>
        <v>0.00833333333333333</v>
      </c>
      <c r="BK115" s="193" t="n">
        <f aca="false">$D$108/1000000/12*IF($I$108="Y",BK$50,IF(BK$6&gt;=EOMONTH($H$108,0),1,0))</f>
        <v>0.00833333333333333</v>
      </c>
      <c r="BL115" s="193" t="n">
        <f aca="false">$D$108/1000000/12*IF($I$108="Y",BL$50,IF(BL$6&gt;=EOMONTH($H$108,0),1,0))</f>
        <v>0.00833333333333333</v>
      </c>
      <c r="BM115" s="193" t="n">
        <f aca="false">$D$108/1000000/12*IF($I$108="Y",BM$50,IF(BM$6&gt;=EOMONTH($H$108,0),1,0))</f>
        <v>0.00833333333333333</v>
      </c>
      <c r="BN115" s="193" t="n">
        <f aca="false">$D$108/1000000/12*IF($I$108="Y",BN$50,IF(BN$6&gt;=EOMONTH($H$108,0),1,0))</f>
        <v>0.00833333333333333</v>
      </c>
      <c r="BO115" s="193" t="n">
        <f aca="false">$D$108/1000000/12*IF($I$108="Y",BO$50,IF(BO$6&gt;=EOMONTH($H$108,0),1,0))</f>
        <v>0.00833333333333333</v>
      </c>
      <c r="BP115" s="193" t="n">
        <f aca="false">$D$108/1000000/12*IF($I$108="Y",BP$50,IF(BP$6&gt;=EOMONTH($H$108,0),1,0))</f>
        <v>0.00833333333333333</v>
      </c>
      <c r="BQ115" s="193" t="n">
        <f aca="false">$D$108/1000000/12*IF($I$108="Y",BQ$50,IF(BQ$6&gt;=EOMONTH($H$108,0),1,0))</f>
        <v>0.00833333333333333</v>
      </c>
      <c r="BR115" s="193" t="n">
        <f aca="false">$D$108/1000000/12*IF($I$108="Y",BR$50,IF(BR$6&gt;=EOMONTH($H$108,0),1,0))</f>
        <v>0.00833333333333333</v>
      </c>
      <c r="BS115" s="193" t="n">
        <f aca="false">$D$108/1000000/12*IF($I$108="Y",BS$50,IF(BS$6&gt;=EOMONTH($H$108,0),1,0))</f>
        <v>0.00833333333333333</v>
      </c>
      <c r="BT115" s="193" t="n">
        <f aca="false">$D$108/1000000/12*IF($I$108="Y",BT$50,IF(BT$6&gt;=EOMONTH($H$108,0),1,0))</f>
        <v>0.00833333333333333</v>
      </c>
      <c r="BU115" s="193" t="n">
        <f aca="false">$D$108/1000000/12*IF($I$108="Y",BU$50,IF(BU$6&gt;=EOMONTH($H$108,0),1,0))</f>
        <v>0.00833333333333333</v>
      </c>
      <c r="BV115" s="193" t="n">
        <f aca="false">$D$108/1000000/12*IF($I$108="Y",BV$50,IF(BV$6&gt;=EOMONTH($H$108,0),1,0))</f>
        <v>0.00833333333333333</v>
      </c>
      <c r="BW115" s="193" t="n">
        <f aca="false">$D$108/1000000/12*IF($I$108="Y",BW$50,IF(BW$6&gt;=EOMONTH($H$108,0),1,0))</f>
        <v>0.00833333333333333</v>
      </c>
      <c r="BX115" s="193" t="n">
        <f aca="false">$D$108/1000000/12*IF($I$108="Y",BX$50,IF(BX$6&gt;=EOMONTH($H$108,0),1,0))</f>
        <v>0.00833333333333333</v>
      </c>
      <c r="BY115" s="193" t="n">
        <f aca="false">$D$108/1000000/12*IF($I$108="Y",BY$50,IF(BY$6&gt;=EOMONTH($H$108,0),1,0))</f>
        <v>0.00833333333333333</v>
      </c>
      <c r="BZ115" s="193" t="n">
        <f aca="false">$D$108/1000000/12*IF($I$108="Y",BZ$50,IF(BZ$6&gt;=EOMONTH($H$108,0),1,0))</f>
        <v>0.00833333333333333</v>
      </c>
      <c r="CA115" s="193" t="n">
        <f aca="false">$D$108/1000000/12*IF($I$108="Y",CA$50,IF(CA$6&gt;=EOMONTH($H$108,0),1,0))</f>
        <v>0.00833333333333333</v>
      </c>
    </row>
    <row r="116" customFormat="false" ht="15" hidden="false" customHeight="false" outlineLevel="0" collapsed="false">
      <c r="B116" s="3" t="s">
        <v>396</v>
      </c>
      <c r="K116" s="193" t="n">
        <f aca="false">SUM(K111:K115)</f>
        <v>2.34</v>
      </c>
      <c r="L116" s="193" t="n">
        <f aca="false">SUM(L111:L115)</f>
        <v>0</v>
      </c>
      <c r="M116" s="193" t="n">
        <f aca="false">SUM(M111:M115)</f>
        <v>0.494285714285714</v>
      </c>
      <c r="N116" s="193" t="n">
        <f aca="false">SUM(N111:N115)</f>
        <v>2.27571428571429</v>
      </c>
      <c r="O116" s="193" t="n">
        <f aca="false">SUM(O111:O115)</f>
        <v>2.34</v>
      </c>
      <c r="P116" s="193" t="n">
        <f aca="false">SUM(P111:P115)</f>
        <v>2.34</v>
      </c>
    </row>
    <row r="118" customFormat="false" ht="18" hidden="false" customHeight="true" outlineLevel="0" collapsed="false">
      <c r="B118" s="5" t="s">
        <v>397</v>
      </c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20" customFormat="false" ht="15" hidden="false" customHeight="false" outlineLevel="0" collapsed="false">
      <c r="B120" s="196" t="s">
        <v>473</v>
      </c>
      <c r="F120" s="198" t="s">
        <v>399</v>
      </c>
    </row>
    <row r="121" customFormat="false" ht="15" hidden="false" customHeight="false" outlineLevel="0" collapsed="false">
      <c r="B121" s="196" t="s">
        <v>474</v>
      </c>
      <c r="F121" s="198" t="s">
        <v>401</v>
      </c>
    </row>
    <row r="122" customFormat="false" ht="15" hidden="false" customHeight="false" outlineLevel="0" collapsed="false">
      <c r="B122" s="196" t="s">
        <v>475</v>
      </c>
      <c r="F122" s="198" t="s">
        <v>403</v>
      </c>
    </row>
    <row r="123" customFormat="false" ht="15" hidden="false" customHeight="false" outlineLevel="0" collapsed="false">
      <c r="B123" s="196" t="s">
        <v>476</v>
      </c>
      <c r="F123" s="198" t="s">
        <v>405</v>
      </c>
    </row>
    <row r="124" customFormat="false" ht="15" hidden="false" customHeight="false" outlineLevel="0" collapsed="false">
      <c r="B124" s="196" t="s">
        <v>477</v>
      </c>
      <c r="F124" s="198" t="s">
        <v>478</v>
      </c>
    </row>
    <row r="125" customFormat="false" ht="15" hidden="false" customHeight="false" outlineLevel="0" collapsed="false">
      <c r="B125" s="196" t="s">
        <v>479</v>
      </c>
      <c r="F125" s="198" t="s">
        <v>480</v>
      </c>
    </row>
    <row r="126" customFormat="false" ht="15" hidden="false" customHeight="false" outlineLevel="0" collapsed="false">
      <c r="B126" s="196" t="s">
        <v>481</v>
      </c>
      <c r="F126" s="198" t="s">
        <v>407</v>
      </c>
    </row>
    <row r="127" customFormat="false" ht="15" hidden="false" customHeight="false" outlineLevel="0" collapsed="false">
      <c r="B127" s="196" t="s">
        <v>482</v>
      </c>
      <c r="F127" s="198" t="s">
        <v>409</v>
      </c>
    </row>
    <row r="128" customFormat="false" ht="15" hidden="false" customHeight="false" outlineLevel="0" collapsed="false">
      <c r="B128" s="196" t="s">
        <v>483</v>
      </c>
      <c r="F128" s="198" t="s">
        <v>411</v>
      </c>
    </row>
    <row r="129" customFormat="false" ht="15" hidden="false" customHeight="false" outlineLevel="0" collapsed="false">
      <c r="B129" s="196" t="s">
        <v>484</v>
      </c>
      <c r="F129" s="198" t="s">
        <v>413</v>
      </c>
    </row>
    <row r="131" customFormat="false" ht="18" hidden="false" customHeight="true" outlineLevel="0" collapsed="false">
      <c r="B131" s="5" t="s">
        <v>414</v>
      </c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</row>
  </sheetData>
  <mergeCells count="3">
    <mergeCell ref="D10:H10"/>
    <mergeCell ref="D11:H11"/>
    <mergeCell ref="D12:H12"/>
  </mergeCells>
  <dataValidations count="1">
    <dataValidation allowBlank="true" errorStyle="stop" operator="between" showDropDown="false" showErrorMessage="false" showInputMessage="false" sqref="I104:I108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C1:CM171"/>
  <sheetViews>
    <sheetView showFormulas="false" showGridLines="false" showRowColHeaders="true" showZeros="true" rightToLeft="false" tabSelected="false" showOutlineSymbols="true" defaultGridColor="true" view="normal" topLeftCell="A1" colorId="64" zoomScale="50" zoomScaleNormal="5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5390625" defaultRowHeight="14.25" zeroHeight="false" outlineLevelRow="1" outlineLevelCol="1"/>
  <cols>
    <col collapsed="false" customWidth="true" hidden="false" outlineLevel="0" max="4" min="1" style="0" width="2.81"/>
    <col collapsed="false" customWidth="true" hidden="false" outlineLevel="0" max="5" min="5" style="0" width="65.81"/>
    <col collapsed="false" customWidth="true" hidden="false" outlineLevel="0" max="6" min="6" style="0" width="16.54"/>
    <col collapsed="false" customWidth="true" hidden="false" outlineLevel="0" max="7" min="7" style="0" width="16.18"/>
    <col collapsed="false" customWidth="true" hidden="false" outlineLevel="0" max="8" min="8" style="0" width="22.45"/>
    <col collapsed="false" customWidth="true" hidden="false" outlineLevel="0" max="16" min="9" style="0" width="13.54"/>
    <col collapsed="false" customWidth="true" hidden="false" outlineLevel="0" max="17" min="17" style="13" width="13.54"/>
    <col collapsed="false" customWidth="true" hidden="false" outlineLevel="0" max="18" min="18" style="13" width="16.45"/>
    <col collapsed="false" customWidth="true" hidden="false" outlineLevel="0" max="19" min="19" style="0" width="2.81"/>
    <col collapsed="false" customWidth="true" hidden="false" outlineLevel="0" max="67" min="20" style="0" width="16.54"/>
    <col collapsed="false" customWidth="true" hidden="true" outlineLevel="1" max="79" min="68" style="0" width="16.54"/>
    <col collapsed="false" customWidth="true" hidden="false" outlineLevel="0" max="80" min="80" style="0" width="2.81"/>
    <col collapsed="false" customWidth="true" hidden="false" outlineLevel="0" max="85" min="81" style="0" width="16.54"/>
    <col collapsed="false" customWidth="true" hidden="false" outlineLevel="0" max="86" min="86" style="0" width="2.81"/>
    <col collapsed="false" customWidth="true" hidden="false" outlineLevel="0" max="91" min="87" style="0" width="16.54"/>
  </cols>
  <sheetData>
    <row r="1" s="14" customFormat="true" ht="16.5" hidden="true" customHeight="true" outlineLevel="1" collapsed="false">
      <c r="L1" s="15" t="n">
        <v>1</v>
      </c>
      <c r="M1" s="15" t="n">
        <v>2</v>
      </c>
      <c r="N1" s="15" t="n">
        <v>3</v>
      </c>
      <c r="O1" s="15" t="n">
        <v>4</v>
      </c>
      <c r="P1" s="15" t="n">
        <v>5</v>
      </c>
      <c r="Q1" s="16"/>
      <c r="R1" s="17" t="n">
        <f aca="false">COUNTIFS($R$66:$R$117, "Error")</f>
        <v>0</v>
      </c>
      <c r="T1" s="17" t="n">
        <v>2026</v>
      </c>
      <c r="U1" s="17" t="n">
        <v>2026</v>
      </c>
      <c r="V1" s="17" t="n">
        <v>2026</v>
      </c>
      <c r="W1" s="17" t="n">
        <v>2026</v>
      </c>
      <c r="X1" s="17" t="n">
        <v>2026</v>
      </c>
      <c r="Y1" s="17" t="n">
        <v>2026</v>
      </c>
      <c r="Z1" s="17" t="n">
        <v>2026</v>
      </c>
      <c r="AA1" s="17" t="n">
        <v>2026</v>
      </c>
      <c r="AB1" s="17" t="n">
        <v>2026</v>
      </c>
      <c r="AC1" s="17" t="n">
        <v>2026</v>
      </c>
      <c r="AD1" s="17" t="n">
        <v>2026</v>
      </c>
      <c r="AE1" s="17" t="n">
        <v>2026</v>
      </c>
      <c r="AF1" s="17" t="n">
        <v>2027</v>
      </c>
      <c r="AG1" s="17" t="n">
        <v>2027</v>
      </c>
      <c r="AH1" s="17" t="n">
        <v>2027</v>
      </c>
      <c r="AI1" s="17" t="n">
        <v>2027</v>
      </c>
      <c r="AJ1" s="17" t="n">
        <v>2027</v>
      </c>
      <c r="AK1" s="17" t="n">
        <v>2027</v>
      </c>
      <c r="AL1" s="17" t="n">
        <v>2027</v>
      </c>
      <c r="AM1" s="17" t="n">
        <v>2027</v>
      </c>
      <c r="AN1" s="17" t="n">
        <v>2027</v>
      </c>
      <c r="AO1" s="17" t="n">
        <v>2027</v>
      </c>
      <c r="AP1" s="17" t="n">
        <v>2027</v>
      </c>
      <c r="AQ1" s="17" t="n">
        <v>2027</v>
      </c>
      <c r="AR1" s="17" t="n">
        <v>2028</v>
      </c>
      <c r="AS1" s="17" t="n">
        <v>2028</v>
      </c>
      <c r="AT1" s="17" t="n">
        <v>2028</v>
      </c>
      <c r="AU1" s="17" t="n">
        <v>2028</v>
      </c>
      <c r="AV1" s="17" t="n">
        <v>2028</v>
      </c>
      <c r="AW1" s="17" t="n">
        <v>2028</v>
      </c>
      <c r="AX1" s="17" t="n">
        <v>2028</v>
      </c>
      <c r="AY1" s="17" t="n">
        <v>2028</v>
      </c>
      <c r="AZ1" s="17" t="n">
        <v>2028</v>
      </c>
      <c r="BA1" s="17" t="n">
        <v>2028</v>
      </c>
      <c r="BB1" s="17" t="n">
        <v>2028</v>
      </c>
      <c r="BC1" s="17" t="n">
        <v>2028</v>
      </c>
      <c r="BD1" s="17" t="n">
        <v>2029</v>
      </c>
      <c r="BE1" s="17" t="n">
        <v>2029</v>
      </c>
      <c r="BF1" s="17" t="n">
        <v>2029</v>
      </c>
      <c r="BG1" s="17" t="n">
        <v>2029</v>
      </c>
      <c r="BH1" s="17" t="n">
        <v>2029</v>
      </c>
      <c r="BI1" s="17" t="n">
        <v>2029</v>
      </c>
      <c r="BJ1" s="17" t="n">
        <v>2029</v>
      </c>
      <c r="BK1" s="17" t="n">
        <v>2029</v>
      </c>
      <c r="BL1" s="17" t="n">
        <v>2029</v>
      </c>
      <c r="BM1" s="17" t="n">
        <v>2029</v>
      </c>
      <c r="BN1" s="17" t="n">
        <v>2029</v>
      </c>
      <c r="BO1" s="17" t="n">
        <v>2029</v>
      </c>
      <c r="BP1" s="17" t="n">
        <v>2030</v>
      </c>
      <c r="BQ1" s="17" t="n">
        <v>2030</v>
      </c>
      <c r="BR1" s="17" t="n">
        <v>2030</v>
      </c>
      <c r="BS1" s="17" t="n">
        <v>2030</v>
      </c>
      <c r="BT1" s="17" t="n">
        <v>2030</v>
      </c>
      <c r="BU1" s="17" t="n">
        <v>2030</v>
      </c>
      <c r="BV1" s="17" t="n">
        <v>2030</v>
      </c>
      <c r="BW1" s="17" t="n">
        <v>2030</v>
      </c>
      <c r="BX1" s="17" t="n">
        <v>2030</v>
      </c>
      <c r="BY1" s="17" t="n">
        <v>2030</v>
      </c>
      <c r="BZ1" s="17" t="n">
        <v>2030</v>
      </c>
      <c r="CA1" s="17" t="n">
        <v>2030</v>
      </c>
      <c r="CI1" s="17" t="n">
        <f aca="false">COUNTIFS(CI$66:CI$149, "FALSE")</f>
        <v>0</v>
      </c>
      <c r="CJ1" s="17" t="n">
        <f aca="false">COUNTIFS(CJ$66:CJ$149, "FALSE")</f>
        <v>0</v>
      </c>
      <c r="CK1" s="17" t="n">
        <f aca="false">COUNTIFS(CK$66:CK$149, "FALSE")</f>
        <v>0</v>
      </c>
      <c r="CL1" s="17" t="n">
        <f aca="false">COUNTIFS(CL$66:CL$149, "FALSE")</f>
        <v>0</v>
      </c>
      <c r="CM1" s="17" t="n">
        <f aca="false">COUNTIFS(CM$66:CM$149, "FALSE")</f>
        <v>0</v>
      </c>
    </row>
    <row r="2" s="14" customFormat="true" ht="30.75" hidden="false" customHeight="true" outlineLevel="0" collapsed="false">
      <c r="C2" s="18" t="str">
        <f aca="false">"#"&amp;$F$6&amp;" Initiative Business Case"</f>
        <v>#TBD Initiative Business Case</v>
      </c>
      <c r="Q2" s="16"/>
      <c r="R2" s="16"/>
    </row>
    <row r="3" s="14" customFormat="true" ht="16.5" hidden="false" customHeight="true" outlineLevel="0" collapsed="false">
      <c r="Q3" s="16"/>
      <c r="R3" s="16"/>
    </row>
    <row r="4" s="14" customFormat="true" ht="16.5" hidden="false" customHeight="true" outlineLevel="0" collapsed="false">
      <c r="C4" s="19" t="s">
        <v>61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</row>
    <row r="5" s="14" customFormat="true" ht="16.5" hidden="false" customHeight="true" outlineLevel="0" collapsed="false">
      <c r="Q5" s="16"/>
      <c r="R5" s="16"/>
    </row>
    <row r="6" s="14" customFormat="true" ht="16.5" hidden="false" customHeight="true" outlineLevel="0" collapsed="false">
      <c r="D6" s="21" t="s">
        <v>62</v>
      </c>
      <c r="F6" s="22" t="s">
        <v>415</v>
      </c>
      <c r="G6" s="23"/>
      <c r="Q6" s="16"/>
      <c r="R6" s="16"/>
    </row>
    <row r="7" customFormat="false" ht="16.5" hidden="false" customHeight="true" outlineLevel="0" collapsed="false">
      <c r="D7" s="21" t="s">
        <v>63</v>
      </c>
      <c r="F7" s="199" t="s">
        <v>264</v>
      </c>
      <c r="G7" s="200"/>
      <c r="I7" s="14"/>
      <c r="J7" s="14"/>
      <c r="K7" s="14"/>
    </row>
    <row r="8" s="14" customFormat="true" ht="16.5" hidden="false" customHeight="true" outlineLevel="0" collapsed="false">
      <c r="D8" s="21" t="s">
        <v>65</v>
      </c>
      <c r="F8" s="26" t="s">
        <v>437</v>
      </c>
      <c r="G8" s="26"/>
      <c r="H8" s="26"/>
      <c r="I8" s="26"/>
      <c r="J8" s="26"/>
      <c r="Q8" s="16"/>
      <c r="R8" s="16"/>
    </row>
    <row r="9" s="14" customFormat="true" ht="16.5" hidden="false" customHeight="true" outlineLevel="0" collapsed="false">
      <c r="D9" s="21"/>
      <c r="F9" s="26"/>
      <c r="G9" s="26"/>
      <c r="H9" s="26"/>
      <c r="I9" s="26"/>
      <c r="J9" s="26"/>
      <c r="N9" s="21"/>
      <c r="Q9" s="16"/>
      <c r="R9" s="16"/>
    </row>
    <row r="10" s="14" customFormat="true" ht="16.5" hidden="false" customHeight="true" outlineLevel="0" collapsed="false">
      <c r="F10" s="26"/>
      <c r="G10" s="26"/>
      <c r="H10" s="26"/>
      <c r="I10" s="26"/>
      <c r="J10" s="26"/>
      <c r="Q10" s="16"/>
      <c r="R10" s="16"/>
    </row>
    <row r="11" s="14" customFormat="true" ht="16.5" hidden="false" customHeight="true" outlineLevel="0" collapsed="false">
      <c r="D11" s="21" t="s">
        <v>69</v>
      </c>
      <c r="F11" s="201" t="n">
        <f aca="false">'SVC-2 Model'!$D$13</f>
        <v>46631</v>
      </c>
      <c r="M11" s="21"/>
      <c r="Q11" s="16"/>
      <c r="R11" s="16"/>
    </row>
    <row r="12" s="14" customFormat="true" ht="16.5" hidden="false" customHeight="true" outlineLevel="0" collapsed="false">
      <c r="D12" s="21" t="s">
        <v>70</v>
      </c>
      <c r="F12" s="28" t="n">
        <f aca="false">$K$117</f>
        <v>12.4312297585212</v>
      </c>
      <c r="M12" s="21"/>
      <c r="Q12" s="16"/>
      <c r="R12" s="16"/>
    </row>
    <row r="13" s="14" customFormat="true" ht="17.25" hidden="false" customHeight="true" outlineLevel="0" collapsed="false">
      <c r="Q13" s="16"/>
      <c r="R13" s="16"/>
    </row>
    <row r="14" s="14" customFormat="true" ht="16.5" hidden="false" customHeight="true" outlineLevel="0" collapsed="false">
      <c r="C14" s="19" t="s">
        <v>71</v>
      </c>
      <c r="D14" s="19"/>
      <c r="E14" s="19"/>
      <c r="F14" s="19"/>
      <c r="G14" s="19"/>
      <c r="H14" s="19"/>
      <c r="I14" s="19"/>
      <c r="J14" s="19"/>
      <c r="L14" s="19"/>
      <c r="M14" s="19"/>
      <c r="N14" s="19"/>
      <c r="O14" s="19"/>
      <c r="P14" s="19"/>
      <c r="Q14" s="20"/>
      <c r="R14" s="20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</row>
    <row r="15" s="14" customFormat="true" ht="17.25" hidden="false" customHeight="true" outlineLevel="0" collapsed="false">
      <c r="Q15" s="16"/>
      <c r="R15" s="16"/>
    </row>
    <row r="16" s="14" customFormat="true" ht="17.25" hidden="false" customHeight="true" outlineLevel="0" collapsed="false">
      <c r="D16" s="29" t="s">
        <v>416</v>
      </c>
    </row>
    <row r="17" s="14" customFormat="true" ht="17.25" hidden="false" customHeight="true" outlineLevel="0" collapsed="false">
      <c r="D17" s="32" t="s">
        <v>77</v>
      </c>
      <c r="E17" s="33"/>
      <c r="F17" s="33"/>
      <c r="G17" s="33"/>
      <c r="H17" s="32" t="s">
        <v>78</v>
      </c>
      <c r="I17" s="32" t="s">
        <v>79</v>
      </c>
      <c r="J17" s="34" t="s">
        <v>80</v>
      </c>
    </row>
    <row r="18" s="14" customFormat="true" ht="17.25" hidden="false" customHeight="true" outlineLevel="0" collapsed="false">
      <c r="D18" s="33"/>
      <c r="E18" s="33" t="s">
        <v>485</v>
      </c>
      <c r="F18" s="33"/>
      <c r="G18" s="36"/>
      <c r="H18" s="202" t="s">
        <v>486</v>
      </c>
      <c r="I18" s="37" t="s">
        <v>102</v>
      </c>
      <c r="J18" s="203" t="n">
        <f aca="false">'SVC-2 Model'!$D$25/1000000</f>
        <v>143.18592021</v>
      </c>
      <c r="P18" s="16"/>
      <c r="Q18" s="35"/>
      <c r="R18" s="16"/>
    </row>
    <row r="19" s="14" customFormat="true" ht="17.25" hidden="false" customHeight="true" outlineLevel="0" collapsed="false">
      <c r="D19" s="33"/>
      <c r="E19" s="33" t="s">
        <v>487</v>
      </c>
      <c r="F19" s="33"/>
      <c r="G19" s="36"/>
      <c r="H19" s="202" t="s">
        <v>420</v>
      </c>
      <c r="I19" s="37" t="s">
        <v>102</v>
      </c>
      <c r="J19" s="203" t="n">
        <f aca="false">('SVC-2 Model'!$D$40)/1000000</f>
        <v>38.99887157</v>
      </c>
      <c r="P19" s="16"/>
      <c r="Q19" s="35"/>
      <c r="R19" s="16"/>
    </row>
    <row r="20" s="14" customFormat="true" ht="17.25" hidden="false" customHeight="true" outlineLevel="0" collapsed="false">
      <c r="D20" s="33"/>
      <c r="E20" s="33"/>
      <c r="F20" s="33"/>
      <c r="G20" s="36"/>
      <c r="H20" s="202"/>
      <c r="I20" s="37"/>
      <c r="J20" s="138"/>
      <c r="L20" s="205"/>
      <c r="P20" s="16"/>
      <c r="Q20" s="35"/>
      <c r="R20" s="16"/>
    </row>
    <row r="21" s="14" customFormat="true" ht="17.25" hidden="false" customHeight="true" outlineLevel="0" collapsed="false">
      <c r="D21" s="33"/>
      <c r="E21" s="40"/>
      <c r="F21" s="40"/>
      <c r="G21" s="41"/>
      <c r="H21" s="206"/>
      <c r="I21" s="42"/>
      <c r="J21" s="55"/>
      <c r="P21" s="16"/>
      <c r="Q21" s="35"/>
      <c r="R21" s="16"/>
    </row>
    <row r="22" s="14" customFormat="true" ht="17.25" hidden="false" customHeight="true" outlineLevel="0" collapsed="false">
      <c r="D22" s="33"/>
      <c r="E22" s="33"/>
      <c r="F22" s="33"/>
      <c r="G22" s="36"/>
      <c r="H22" s="33"/>
      <c r="I22" s="37"/>
      <c r="J22" s="33"/>
      <c r="Q22" s="16"/>
      <c r="R22" s="16"/>
    </row>
    <row r="23" s="14" customFormat="true" ht="17.25" hidden="false" customHeight="true" outlineLevel="0" collapsed="false">
      <c r="D23" s="32" t="s">
        <v>104</v>
      </c>
      <c r="E23" s="33"/>
      <c r="F23" s="33"/>
      <c r="G23" s="36"/>
      <c r="H23" s="32"/>
      <c r="I23" s="32"/>
      <c r="J23" s="34"/>
      <c r="Q23" s="16"/>
      <c r="R23" s="16"/>
    </row>
    <row r="24" s="14" customFormat="true" ht="17.25" hidden="false" customHeight="true" outlineLevel="0" collapsed="false">
      <c r="D24" s="33"/>
      <c r="E24" s="33" t="s">
        <v>488</v>
      </c>
      <c r="F24" s="33"/>
      <c r="G24" s="36"/>
      <c r="H24" s="33" t="s">
        <v>423</v>
      </c>
      <c r="I24" s="37" t="s">
        <v>282</v>
      </c>
      <c r="J24" s="207" t="n">
        <f aca="false">'SVC-2 Model'!$D$44/'SVC-2 Model'!$D$40</f>
        <v>0.378760440081143</v>
      </c>
      <c r="Q24" s="16"/>
      <c r="R24" s="16"/>
    </row>
    <row r="25" s="14" customFormat="true" ht="17.25" hidden="false" customHeight="true" outlineLevel="0" collapsed="false">
      <c r="D25" s="33"/>
      <c r="E25" s="33" t="s">
        <v>489</v>
      </c>
      <c r="F25" s="33"/>
      <c r="G25" s="36"/>
      <c r="H25" s="33" t="s">
        <v>423</v>
      </c>
      <c r="I25" s="37" t="s">
        <v>287</v>
      </c>
      <c r="J25" s="208" t="n">
        <f aca="false">'SVC-2 Model'!$D$31</f>
        <v>867.7176</v>
      </c>
      <c r="Q25" s="16"/>
      <c r="R25" s="16"/>
    </row>
    <row r="26" s="14" customFormat="true" ht="17.25" hidden="false" customHeight="true" outlineLevel="0" collapsed="false">
      <c r="D26" s="33"/>
      <c r="E26" s="40"/>
      <c r="F26" s="40"/>
      <c r="G26" s="41"/>
      <c r="H26" s="40"/>
      <c r="I26" s="42"/>
      <c r="J26" s="55"/>
      <c r="K26" s="45"/>
      <c r="Q26" s="16"/>
      <c r="R26" s="16"/>
    </row>
    <row r="27" s="14" customFormat="true" ht="17.25" hidden="false" customHeight="true" outlineLevel="0" collapsed="false">
      <c r="D27" s="33"/>
      <c r="E27" s="46"/>
      <c r="F27" s="46"/>
      <c r="G27" s="47"/>
      <c r="H27" s="46"/>
      <c r="I27" s="48"/>
      <c r="J27" s="49"/>
      <c r="K27" s="50"/>
      <c r="Q27" s="16"/>
      <c r="R27" s="16"/>
    </row>
    <row r="28" s="14" customFormat="true" ht="17.25" hidden="false" customHeight="true" outlineLevel="0" collapsed="false">
      <c r="D28" s="32" t="s">
        <v>111</v>
      </c>
      <c r="E28" s="46"/>
      <c r="F28" s="46"/>
      <c r="G28" s="47"/>
      <c r="H28" s="46"/>
      <c r="I28" s="48"/>
      <c r="J28" s="49"/>
      <c r="K28" s="50"/>
      <c r="L28" s="51"/>
      <c r="Q28" s="16"/>
      <c r="R28" s="16"/>
    </row>
    <row r="29" s="14" customFormat="true" ht="17.25" hidden="false" customHeight="true" outlineLevel="0" collapsed="false">
      <c r="D29" s="32"/>
      <c r="E29" s="209" t="s">
        <v>425</v>
      </c>
      <c r="F29" s="40"/>
      <c r="G29" s="41"/>
      <c r="H29" s="40"/>
      <c r="I29" s="42" t="s">
        <v>102</v>
      </c>
      <c r="J29" s="210" t="n">
        <f aca="false">'SVC-2 Model'!$D$44/1000000</f>
        <v>14.7712297585212</v>
      </c>
      <c r="Q29" s="16"/>
      <c r="R29" s="16"/>
    </row>
    <row r="30" s="14" customFormat="true" ht="17.25" hidden="false" customHeight="true" outlineLevel="0" collapsed="false">
      <c r="D30" s="16"/>
      <c r="E30" s="16"/>
      <c r="F30" s="16"/>
      <c r="G30" s="16"/>
      <c r="H30" s="16"/>
      <c r="I30" s="16"/>
      <c r="J30" s="16"/>
      <c r="Q30" s="16"/>
      <c r="R30" s="16"/>
    </row>
    <row r="31" s="14" customFormat="true" ht="17.25" hidden="true" customHeight="true" outlineLevel="1" collapsed="false">
      <c r="D31" s="32"/>
      <c r="E31" s="33"/>
      <c r="F31" s="33"/>
      <c r="G31" s="33"/>
      <c r="H31" s="32"/>
      <c r="I31" s="42"/>
      <c r="J31" s="34"/>
      <c r="Q31" s="16"/>
      <c r="R31" s="16"/>
    </row>
    <row r="32" s="14" customFormat="true" ht="17.25" hidden="true" customHeight="true" outlineLevel="1" collapsed="false">
      <c r="D32" s="33"/>
      <c r="E32" s="33"/>
      <c r="F32" s="33"/>
      <c r="G32" s="36"/>
      <c r="H32" s="202"/>
      <c r="I32" s="37"/>
      <c r="J32" s="38"/>
      <c r="Q32" s="16"/>
      <c r="R32" s="16"/>
    </row>
    <row r="33" s="14" customFormat="true" ht="17.25" hidden="true" customHeight="true" outlineLevel="1" collapsed="false">
      <c r="D33" s="33"/>
      <c r="E33" s="33"/>
      <c r="F33" s="33"/>
      <c r="G33" s="36"/>
      <c r="H33" s="33"/>
      <c r="I33" s="37"/>
      <c r="J33" s="39"/>
      <c r="Q33" s="16"/>
      <c r="R33" s="16"/>
    </row>
    <row r="34" s="14" customFormat="true" ht="17.25" hidden="true" customHeight="true" outlineLevel="1" collapsed="false">
      <c r="D34" s="33"/>
      <c r="E34" s="40"/>
      <c r="F34" s="40"/>
      <c r="G34" s="41"/>
      <c r="H34" s="40"/>
      <c r="I34" s="42"/>
      <c r="J34" s="53"/>
      <c r="Q34" s="16"/>
      <c r="R34" s="16"/>
    </row>
    <row r="35" s="14" customFormat="true" ht="17.25" hidden="true" customHeight="true" outlineLevel="1" collapsed="false">
      <c r="D35" s="33"/>
      <c r="E35" s="33"/>
      <c r="F35" s="33"/>
      <c r="G35" s="36"/>
      <c r="H35" s="33"/>
      <c r="I35" s="37"/>
      <c r="J35" s="33"/>
      <c r="Q35" s="16"/>
      <c r="R35" s="16"/>
    </row>
    <row r="36" s="14" customFormat="true" ht="17.25" hidden="true" customHeight="true" outlineLevel="1" collapsed="false">
      <c r="D36" s="32"/>
      <c r="E36" s="33"/>
      <c r="F36" s="33"/>
      <c r="G36" s="36"/>
      <c r="H36" s="32"/>
      <c r="I36" s="32"/>
      <c r="J36" s="34"/>
      <c r="Q36" s="16"/>
      <c r="R36" s="16"/>
    </row>
    <row r="37" s="14" customFormat="true" ht="17.25" hidden="true" customHeight="true" outlineLevel="1" collapsed="false">
      <c r="D37" s="33"/>
      <c r="E37" s="33"/>
      <c r="F37" s="33"/>
      <c r="G37" s="36"/>
      <c r="H37" s="33"/>
      <c r="I37" s="37"/>
      <c r="J37" s="54"/>
      <c r="Q37" s="16"/>
      <c r="R37" s="16"/>
    </row>
    <row r="38" s="14" customFormat="true" ht="17.25" hidden="true" customHeight="true" outlineLevel="1" collapsed="false">
      <c r="D38" s="33"/>
      <c r="E38" s="33"/>
      <c r="F38" s="33"/>
      <c r="G38" s="36"/>
      <c r="H38" s="33"/>
      <c r="I38" s="37"/>
      <c r="J38" s="44"/>
      <c r="Q38" s="16"/>
      <c r="R38" s="16"/>
    </row>
    <row r="39" s="14" customFormat="true" ht="17.25" hidden="true" customHeight="true" outlineLevel="1" collapsed="false">
      <c r="D39" s="33"/>
      <c r="E39" s="40"/>
      <c r="F39" s="40"/>
      <c r="G39" s="41"/>
      <c r="H39" s="40"/>
      <c r="I39" s="42"/>
      <c r="J39" s="53"/>
      <c r="Q39" s="16"/>
      <c r="R39" s="16"/>
    </row>
    <row r="40" s="14" customFormat="true" ht="17.25" hidden="true" customHeight="true" outlineLevel="1" collapsed="false">
      <c r="D40" s="33"/>
      <c r="E40" s="46"/>
      <c r="F40" s="46"/>
      <c r="G40" s="47"/>
      <c r="H40" s="46"/>
      <c r="I40" s="48"/>
      <c r="J40" s="49"/>
      <c r="Q40" s="16"/>
      <c r="R40" s="16"/>
    </row>
    <row r="41" s="14" customFormat="true" ht="17.25" hidden="true" customHeight="true" outlineLevel="1" collapsed="false">
      <c r="D41" s="32"/>
      <c r="E41" s="46"/>
      <c r="F41" s="46"/>
      <c r="G41" s="47"/>
      <c r="H41" s="46"/>
      <c r="I41" s="48"/>
      <c r="J41" s="49"/>
      <c r="Q41" s="16"/>
      <c r="R41" s="16"/>
    </row>
    <row r="42" s="14" customFormat="true" ht="17.25" hidden="true" customHeight="true" outlineLevel="1" collapsed="false">
      <c r="D42" s="32"/>
      <c r="E42" s="33"/>
      <c r="F42" s="46"/>
      <c r="G42" s="36"/>
      <c r="H42" s="46"/>
      <c r="I42" s="37"/>
      <c r="J42" s="52"/>
      <c r="Q42" s="16"/>
      <c r="R42" s="16"/>
    </row>
    <row r="43" s="14" customFormat="true" ht="17.25" hidden="true" customHeight="true" outlineLevel="1" collapsed="false">
      <c r="D43" s="32"/>
      <c r="E43" s="33"/>
      <c r="F43" s="46"/>
      <c r="G43" s="36"/>
      <c r="H43" s="46"/>
      <c r="I43" s="37"/>
      <c r="J43" s="55"/>
      <c r="Q43" s="16"/>
      <c r="R43" s="16"/>
    </row>
    <row r="44" s="14" customFormat="true" ht="17.25" hidden="false" customHeight="true" outlineLevel="0" collapsed="false">
      <c r="E44" s="21"/>
      <c r="F44" s="21"/>
      <c r="G44" s="21"/>
      <c r="H44" s="21"/>
      <c r="I44" s="56"/>
      <c r="J44" s="57"/>
      <c r="Q44" s="16"/>
      <c r="R44" s="16"/>
    </row>
    <row r="45" s="14" customFormat="true" ht="17.25" hidden="true" customHeight="true" outlineLevel="1" collapsed="false">
      <c r="D45" s="32"/>
      <c r="E45" s="33"/>
      <c r="F45" s="33"/>
      <c r="G45" s="33"/>
      <c r="H45" s="32"/>
      <c r="I45" s="32"/>
      <c r="J45" s="34"/>
      <c r="Q45" s="16"/>
      <c r="R45" s="16"/>
    </row>
    <row r="46" s="14" customFormat="true" ht="17.25" hidden="true" customHeight="true" outlineLevel="1" collapsed="false">
      <c r="D46" s="33"/>
      <c r="E46" s="33"/>
      <c r="F46" s="33"/>
      <c r="G46" s="36"/>
      <c r="H46" s="33"/>
      <c r="I46" s="37"/>
      <c r="J46" s="38"/>
      <c r="Q46" s="16"/>
      <c r="R46" s="16"/>
    </row>
    <row r="47" s="14" customFormat="true" ht="17.25" hidden="true" customHeight="true" outlineLevel="1" collapsed="false">
      <c r="D47" s="33"/>
      <c r="E47" s="33"/>
      <c r="F47" s="33"/>
      <c r="G47" s="36"/>
      <c r="H47" s="33"/>
      <c r="I47" s="37"/>
      <c r="J47" s="39"/>
      <c r="Q47" s="16"/>
      <c r="R47" s="16"/>
    </row>
    <row r="48" s="14" customFormat="true" ht="17.25" hidden="true" customHeight="true" outlineLevel="1" collapsed="false">
      <c r="D48" s="33"/>
      <c r="E48" s="40"/>
      <c r="F48" s="40"/>
      <c r="G48" s="41"/>
      <c r="H48" s="40"/>
      <c r="I48" s="42"/>
      <c r="J48" s="53"/>
      <c r="Q48" s="16"/>
      <c r="R48" s="16"/>
    </row>
    <row r="49" s="14" customFormat="true" ht="17.25" hidden="true" customHeight="true" outlineLevel="1" collapsed="false">
      <c r="D49" s="33"/>
      <c r="E49" s="33"/>
      <c r="F49" s="33"/>
      <c r="G49" s="36"/>
      <c r="H49" s="33"/>
      <c r="I49" s="37"/>
      <c r="J49" s="33"/>
      <c r="Q49" s="16"/>
      <c r="R49" s="16"/>
    </row>
    <row r="50" s="14" customFormat="true" ht="17.25" hidden="true" customHeight="true" outlineLevel="1" collapsed="false">
      <c r="D50" s="32"/>
      <c r="E50" s="33"/>
      <c r="F50" s="33"/>
      <c r="G50" s="36"/>
      <c r="H50" s="32"/>
      <c r="I50" s="32"/>
      <c r="J50" s="34"/>
      <c r="Q50" s="16"/>
      <c r="R50" s="16"/>
    </row>
    <row r="51" s="14" customFormat="true" ht="17.25" hidden="true" customHeight="true" outlineLevel="1" collapsed="false">
      <c r="D51" s="33"/>
      <c r="E51" s="33"/>
      <c r="F51" s="33"/>
      <c r="G51" s="36"/>
      <c r="H51" s="33"/>
      <c r="I51" s="37"/>
      <c r="J51" s="54"/>
      <c r="Q51" s="16"/>
      <c r="R51" s="16"/>
    </row>
    <row r="52" s="14" customFormat="true" ht="17.25" hidden="true" customHeight="true" outlineLevel="1" collapsed="false">
      <c r="D52" s="33"/>
      <c r="E52" s="33"/>
      <c r="F52" s="33"/>
      <c r="G52" s="36"/>
      <c r="H52" s="33"/>
      <c r="I52" s="37"/>
      <c r="J52" s="44"/>
      <c r="Q52" s="16"/>
      <c r="R52" s="16"/>
    </row>
    <row r="53" s="14" customFormat="true" ht="17.25" hidden="true" customHeight="true" outlineLevel="1" collapsed="false">
      <c r="D53" s="33"/>
      <c r="E53" s="40"/>
      <c r="F53" s="40"/>
      <c r="G53" s="41"/>
      <c r="H53" s="40"/>
      <c r="I53" s="42"/>
      <c r="J53" s="53"/>
      <c r="Q53" s="16"/>
      <c r="R53" s="16"/>
    </row>
    <row r="54" s="14" customFormat="true" ht="17.25" hidden="true" customHeight="true" outlineLevel="1" collapsed="false">
      <c r="D54" s="33"/>
      <c r="E54" s="46"/>
      <c r="F54" s="46"/>
      <c r="G54" s="47"/>
      <c r="H54" s="46"/>
      <c r="I54" s="48"/>
      <c r="J54" s="49"/>
      <c r="Q54" s="16"/>
      <c r="R54" s="16"/>
    </row>
    <row r="55" s="14" customFormat="true" ht="17.25" hidden="true" customHeight="true" outlineLevel="1" collapsed="false">
      <c r="D55" s="32"/>
      <c r="E55" s="46"/>
      <c r="F55" s="46"/>
      <c r="G55" s="47"/>
      <c r="H55" s="46"/>
      <c r="I55" s="48"/>
      <c r="J55" s="49"/>
      <c r="Q55" s="16"/>
      <c r="R55" s="16"/>
    </row>
    <row r="56" s="14" customFormat="true" ht="17.25" hidden="true" customHeight="true" outlineLevel="1" collapsed="false">
      <c r="D56" s="32"/>
      <c r="E56" s="33"/>
      <c r="F56" s="46"/>
      <c r="G56" s="36"/>
      <c r="H56" s="46"/>
      <c r="I56" s="37"/>
      <c r="J56" s="52"/>
      <c r="Q56" s="16"/>
      <c r="R56" s="16"/>
    </row>
    <row r="57" s="14" customFormat="true" ht="17.25" hidden="true" customHeight="true" outlineLevel="1" collapsed="false">
      <c r="D57" s="32"/>
      <c r="E57" s="33"/>
      <c r="F57" s="46"/>
      <c r="G57" s="36"/>
      <c r="H57" s="46"/>
      <c r="I57" s="37"/>
      <c r="J57" s="55"/>
      <c r="Q57" s="16"/>
      <c r="R57" s="16"/>
    </row>
    <row r="58" s="14" customFormat="true" ht="17.25" hidden="true" customHeight="true" outlineLevel="1" collapsed="false">
      <c r="E58" s="21"/>
      <c r="F58" s="21"/>
      <c r="G58" s="21"/>
      <c r="H58" s="21"/>
      <c r="I58" s="56"/>
      <c r="J58" s="57"/>
      <c r="Q58" s="16"/>
      <c r="R58" s="16"/>
    </row>
    <row r="59" s="14" customFormat="true" ht="16.5" hidden="true" customHeight="true" outlineLevel="1" collapsed="false">
      <c r="H59" s="58"/>
      <c r="Q59" s="16"/>
      <c r="R59" s="16"/>
    </row>
    <row r="60" s="14" customFormat="true" ht="16.5" hidden="false" customHeight="true" outlineLevel="0" collapsed="false">
      <c r="C60" s="19" t="s">
        <v>126</v>
      </c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20"/>
      <c r="R60" s="20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C60" s="19" t="s">
        <v>127</v>
      </c>
      <c r="CD60" s="19"/>
      <c r="CE60" s="19"/>
      <c r="CF60" s="19"/>
      <c r="CG60" s="19"/>
      <c r="CI60" s="19" t="s">
        <v>128</v>
      </c>
      <c r="CJ60" s="19"/>
      <c r="CK60" s="19"/>
      <c r="CL60" s="19"/>
      <c r="CM60" s="19"/>
    </row>
    <row r="61" s="14" customFormat="true" ht="16.5" hidden="false" customHeight="true" outlineLevel="0" collapsed="false">
      <c r="Q61" s="16"/>
    </row>
    <row r="62" s="14" customFormat="true" ht="16.5" hidden="false" customHeight="true" outlineLevel="0" collapsed="false">
      <c r="Q62" s="16"/>
      <c r="R62" s="16"/>
      <c r="T62" s="62" t="n">
        <v>2026</v>
      </c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62" t="n">
        <v>2027</v>
      </c>
      <c r="AG62" s="129"/>
      <c r="AH62" s="129"/>
      <c r="AI62" s="129"/>
      <c r="AJ62" s="129"/>
      <c r="AK62" s="129"/>
      <c r="AL62" s="129"/>
      <c r="AM62" s="129"/>
      <c r="AN62" s="129"/>
      <c r="AO62" s="129"/>
      <c r="AP62" s="129"/>
      <c r="AQ62" s="129"/>
      <c r="AR62" s="62" t="n">
        <v>2028</v>
      </c>
      <c r="AS62" s="129"/>
      <c r="AT62" s="129"/>
      <c r="AU62" s="129"/>
      <c r="AV62" s="129"/>
      <c r="AW62" s="129"/>
      <c r="AX62" s="129"/>
      <c r="AY62" s="129"/>
      <c r="AZ62" s="129"/>
      <c r="BA62" s="129"/>
      <c r="BB62" s="129"/>
      <c r="BC62" s="129"/>
      <c r="BD62" s="62" t="n">
        <v>2029</v>
      </c>
      <c r="BE62" s="129"/>
      <c r="BF62" s="129"/>
      <c r="BG62" s="129"/>
      <c r="BH62" s="129"/>
      <c r="BI62" s="129"/>
      <c r="BJ62" s="129"/>
      <c r="BK62" s="129"/>
      <c r="BL62" s="129"/>
      <c r="BM62" s="129"/>
      <c r="BN62" s="129"/>
      <c r="BO62" s="129"/>
      <c r="BP62" s="62" t="n">
        <v>2030</v>
      </c>
      <c r="BQ62" s="130"/>
      <c r="BR62" s="130"/>
      <c r="BS62" s="130"/>
      <c r="BT62" s="130"/>
      <c r="BU62" s="130"/>
      <c r="BV62" s="130"/>
      <c r="BW62" s="130"/>
      <c r="BX62" s="130"/>
      <c r="BY62" s="130"/>
      <c r="BZ62" s="130"/>
      <c r="CA62" s="130"/>
      <c r="CC62" s="211"/>
      <c r="CD62" s="130"/>
      <c r="CE62" s="130"/>
      <c r="CF62" s="130"/>
      <c r="CG62" s="130"/>
      <c r="CI62" s="211" t="s">
        <v>426</v>
      </c>
      <c r="CJ62" s="211"/>
      <c r="CK62" s="211"/>
      <c r="CL62" s="211"/>
      <c r="CM62" s="211"/>
    </row>
    <row r="63" s="14" customFormat="true" ht="16.5" hidden="false" customHeight="true" outlineLevel="0" collapsed="false">
      <c r="D63" s="30" t="s">
        <v>129</v>
      </c>
      <c r="E63" s="31"/>
      <c r="F63" s="31"/>
      <c r="G63" s="31"/>
      <c r="H63" s="30" t="s">
        <v>130</v>
      </c>
      <c r="I63" s="31" t="s">
        <v>77</v>
      </c>
      <c r="J63" s="31" t="s">
        <v>104</v>
      </c>
      <c r="K63" s="31" t="s">
        <v>131</v>
      </c>
      <c r="L63" s="31" t="n">
        <v>2026</v>
      </c>
      <c r="M63" s="31" t="n">
        <f aca="false">L63+1</f>
        <v>2027</v>
      </c>
      <c r="N63" s="31" t="n">
        <f aca="false">M63+1</f>
        <v>2028</v>
      </c>
      <c r="O63" s="31" t="n">
        <f aca="false">N63+1</f>
        <v>2029</v>
      </c>
      <c r="P63" s="31" t="n">
        <f aca="false">O63+1</f>
        <v>2030</v>
      </c>
      <c r="Q63" s="31" t="s">
        <v>132</v>
      </c>
      <c r="R63" s="31" t="s">
        <v>75</v>
      </c>
      <c r="T63" s="59" t="n">
        <v>46023</v>
      </c>
      <c r="U63" s="60" t="n">
        <f aca="false">EOMONTH(T63, 1)</f>
        <v>46081</v>
      </c>
      <c r="V63" s="60" t="n">
        <f aca="false">EOMONTH(U63, 1)</f>
        <v>46112</v>
      </c>
      <c r="W63" s="60" t="n">
        <f aca="false">EOMONTH(V63, 1)</f>
        <v>46142</v>
      </c>
      <c r="X63" s="60" t="n">
        <f aca="false">EOMONTH(W63, 1)</f>
        <v>46173</v>
      </c>
      <c r="Y63" s="60" t="n">
        <f aca="false">EOMONTH(X63, 1)</f>
        <v>46203</v>
      </c>
      <c r="Z63" s="60" t="n">
        <f aca="false">EOMONTH(Y63, 1)</f>
        <v>46234</v>
      </c>
      <c r="AA63" s="60" t="n">
        <f aca="false">EOMONTH(Z63, 1)</f>
        <v>46265</v>
      </c>
      <c r="AB63" s="60" t="n">
        <f aca="false">EOMONTH(AA63, 1)</f>
        <v>46295</v>
      </c>
      <c r="AC63" s="60" t="n">
        <f aca="false">EOMONTH(AB63, 1)</f>
        <v>46326</v>
      </c>
      <c r="AD63" s="60" t="n">
        <f aca="false">EOMONTH(AC63, 1)</f>
        <v>46356</v>
      </c>
      <c r="AE63" s="61" t="n">
        <f aca="false">EOMONTH(AD63, 1)</f>
        <v>46387</v>
      </c>
      <c r="AF63" s="59" t="n">
        <f aca="false">EOMONTH(AE63, 1)</f>
        <v>46418</v>
      </c>
      <c r="AG63" s="60" t="n">
        <f aca="false">EOMONTH(AF63, 1)</f>
        <v>46446</v>
      </c>
      <c r="AH63" s="60" t="n">
        <f aca="false">EOMONTH(AG63, 1)</f>
        <v>46477</v>
      </c>
      <c r="AI63" s="60" t="n">
        <f aca="false">EOMONTH(AH63, 1)</f>
        <v>46507</v>
      </c>
      <c r="AJ63" s="60" t="n">
        <f aca="false">EOMONTH(AI63, 1)</f>
        <v>46538</v>
      </c>
      <c r="AK63" s="60" t="n">
        <f aca="false">EOMONTH(AJ63, 1)</f>
        <v>46568</v>
      </c>
      <c r="AL63" s="60" t="n">
        <f aca="false">EOMONTH(AK63, 1)</f>
        <v>46599</v>
      </c>
      <c r="AM63" s="60" t="n">
        <f aca="false">EOMONTH(AL63, 1)</f>
        <v>46630</v>
      </c>
      <c r="AN63" s="60" t="n">
        <f aca="false">EOMONTH(AM63, 1)</f>
        <v>46660</v>
      </c>
      <c r="AO63" s="60" t="n">
        <f aca="false">EOMONTH(AN63, 1)</f>
        <v>46691</v>
      </c>
      <c r="AP63" s="60" t="n">
        <f aca="false">EOMONTH(AO63, 1)</f>
        <v>46721</v>
      </c>
      <c r="AQ63" s="61" t="n">
        <f aca="false">EOMONTH(AP63, 1)</f>
        <v>46752</v>
      </c>
      <c r="AR63" s="59" t="n">
        <f aca="false">EOMONTH(AQ63, 1)</f>
        <v>46783</v>
      </c>
      <c r="AS63" s="60" t="n">
        <f aca="false">EOMONTH(AR63, 1)</f>
        <v>46812</v>
      </c>
      <c r="AT63" s="60" t="n">
        <f aca="false">EOMONTH(AS63, 1)</f>
        <v>46843</v>
      </c>
      <c r="AU63" s="60" t="n">
        <f aca="false">EOMONTH(AT63, 1)</f>
        <v>46873</v>
      </c>
      <c r="AV63" s="60" t="n">
        <f aca="false">EOMONTH(AU63, 1)</f>
        <v>46904</v>
      </c>
      <c r="AW63" s="60" t="n">
        <f aca="false">EOMONTH(AV63, 1)</f>
        <v>46934</v>
      </c>
      <c r="AX63" s="60" t="n">
        <f aca="false">EOMONTH(AW63, 1)</f>
        <v>46965</v>
      </c>
      <c r="AY63" s="60" t="n">
        <f aca="false">EOMONTH(AX63, 1)</f>
        <v>46996</v>
      </c>
      <c r="AZ63" s="60" t="n">
        <f aca="false">EOMONTH(AY63, 1)</f>
        <v>47026</v>
      </c>
      <c r="BA63" s="60" t="n">
        <f aca="false">EOMONTH(AZ63, 1)</f>
        <v>47057</v>
      </c>
      <c r="BB63" s="60" t="n">
        <f aca="false">EOMONTH(BA63, 1)</f>
        <v>47087</v>
      </c>
      <c r="BC63" s="61" t="n">
        <f aca="false">EOMONTH(BB63, 1)</f>
        <v>47118</v>
      </c>
      <c r="BD63" s="59" t="n">
        <f aca="false">EOMONTH(BC63, 1)</f>
        <v>47149</v>
      </c>
      <c r="BE63" s="60" t="n">
        <f aca="false">EOMONTH(BD63, 1)</f>
        <v>47177</v>
      </c>
      <c r="BF63" s="60" t="n">
        <f aca="false">EOMONTH(BE63, 1)</f>
        <v>47208</v>
      </c>
      <c r="BG63" s="60" t="n">
        <f aca="false">EOMONTH(BF63, 1)</f>
        <v>47238</v>
      </c>
      <c r="BH63" s="60" t="n">
        <f aca="false">EOMONTH(BG63, 1)</f>
        <v>47269</v>
      </c>
      <c r="BI63" s="60" t="n">
        <f aca="false">EOMONTH(BH63, 1)</f>
        <v>47299</v>
      </c>
      <c r="BJ63" s="60" t="n">
        <f aca="false">EOMONTH(BI63, 1)</f>
        <v>47330</v>
      </c>
      <c r="BK63" s="60" t="n">
        <f aca="false">EOMONTH(BJ63, 1)</f>
        <v>47361</v>
      </c>
      <c r="BL63" s="60" t="n">
        <f aca="false">EOMONTH(BK63, 1)</f>
        <v>47391</v>
      </c>
      <c r="BM63" s="60" t="n">
        <f aca="false">EOMONTH(BL63, 1)</f>
        <v>47422</v>
      </c>
      <c r="BN63" s="60" t="n">
        <f aca="false">EOMONTH(BM63, 1)</f>
        <v>47452</v>
      </c>
      <c r="BO63" s="61" t="n">
        <f aca="false">EOMONTH(BN63, 1)</f>
        <v>47483</v>
      </c>
      <c r="BP63" s="59" t="n">
        <f aca="false">EOMONTH(BO63, 1)</f>
        <v>47514</v>
      </c>
      <c r="BQ63" s="60" t="n">
        <f aca="false">EOMONTH(BP63, 1)</f>
        <v>47542</v>
      </c>
      <c r="BR63" s="60" t="n">
        <f aca="false">EOMONTH(BQ63, 1)</f>
        <v>47573</v>
      </c>
      <c r="BS63" s="60" t="n">
        <f aca="false">EOMONTH(BR63, 1)</f>
        <v>47603</v>
      </c>
      <c r="BT63" s="60" t="n">
        <f aca="false">EOMONTH(BS63, 1)</f>
        <v>47634</v>
      </c>
      <c r="BU63" s="60" t="n">
        <f aca="false">EOMONTH(BT63, 1)</f>
        <v>47664</v>
      </c>
      <c r="BV63" s="60" t="n">
        <f aca="false">EOMONTH(BU63, 1)</f>
        <v>47695</v>
      </c>
      <c r="BW63" s="60" t="n">
        <f aca="false">EOMONTH(BV63, 1)</f>
        <v>47726</v>
      </c>
      <c r="BX63" s="60" t="n">
        <f aca="false">EOMONTH(BW63, 1)</f>
        <v>47756</v>
      </c>
      <c r="BY63" s="60" t="n">
        <f aca="false">EOMONTH(BX63, 1)</f>
        <v>47787</v>
      </c>
      <c r="BZ63" s="60" t="n">
        <f aca="false">EOMONTH(BY63, 1)</f>
        <v>47817</v>
      </c>
      <c r="CA63" s="60" t="n">
        <f aca="false">EOMONTH(BZ63, 1)</f>
        <v>47848</v>
      </c>
      <c r="CC63" s="62" t="n">
        <v>2026</v>
      </c>
      <c r="CD63" s="62" t="n">
        <f aca="false">CC63+1</f>
        <v>2027</v>
      </c>
      <c r="CE63" s="62" t="n">
        <f aca="false">CD63+1</f>
        <v>2028</v>
      </c>
      <c r="CF63" s="62" t="n">
        <f aca="false">CE63+1</f>
        <v>2029</v>
      </c>
      <c r="CG63" s="62" t="n">
        <f aca="false">CF63+1</f>
        <v>2030</v>
      </c>
      <c r="CI63" s="62" t="n">
        <v>2026</v>
      </c>
      <c r="CJ63" s="62" t="n">
        <f aca="false">CI63+1</f>
        <v>2027</v>
      </c>
      <c r="CK63" s="62" t="n">
        <f aca="false">CJ63+1</f>
        <v>2028</v>
      </c>
      <c r="CL63" s="62" t="n">
        <f aca="false">CK63+1</f>
        <v>2029</v>
      </c>
      <c r="CM63" s="62" t="n">
        <f aca="false">CL63+1</f>
        <v>2030</v>
      </c>
    </row>
    <row r="64" s="14" customFormat="true" ht="16.5" hidden="false" customHeight="true" outlineLevel="0" collapsed="false">
      <c r="D64" s="63"/>
      <c r="E64" s="64" t="s">
        <v>102</v>
      </c>
      <c r="H64" s="16"/>
      <c r="I64" s="65" t="str">
        <f aca="false">$H$18</f>
        <v>Post-upstream levers (S2 waterfall)</v>
      </c>
      <c r="J64" s="65" t="s">
        <v>134</v>
      </c>
      <c r="K64" s="65" t="s">
        <v>135</v>
      </c>
      <c r="L64" s="66"/>
      <c r="M64" s="66"/>
      <c r="N64" s="66"/>
      <c r="O64" s="66"/>
      <c r="P64" s="66"/>
      <c r="Q64" s="16"/>
      <c r="R64" s="1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7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7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7"/>
      <c r="BE64" s="66"/>
      <c r="BF64" s="66"/>
      <c r="BG64" s="66"/>
      <c r="BH64" s="66"/>
      <c r="BI64" s="66"/>
      <c r="BJ64" s="66"/>
      <c r="BK64" s="66"/>
      <c r="BL64" s="66"/>
      <c r="BM64" s="66"/>
      <c r="BN64" s="66"/>
      <c r="BO64" s="66"/>
      <c r="BP64" s="67"/>
      <c r="BQ64" s="66"/>
      <c r="BR64" s="66"/>
      <c r="BS64" s="66"/>
      <c r="BT64" s="66"/>
      <c r="BU64" s="66"/>
      <c r="BV64" s="66"/>
      <c r="BW64" s="66"/>
      <c r="BX64" s="66"/>
      <c r="BY64" s="66"/>
      <c r="BZ64" s="66"/>
      <c r="CA64" s="66"/>
    </row>
    <row r="65" s="14" customFormat="true" ht="16.5" hidden="false" customHeight="true" outlineLevel="0" collapsed="false">
      <c r="E65" s="68" t="s">
        <v>136</v>
      </c>
      <c r="F65" s="21"/>
      <c r="G65" s="21"/>
      <c r="H65" s="16"/>
      <c r="I65" s="65"/>
      <c r="J65" s="65"/>
      <c r="K65" s="65"/>
      <c r="Q65" s="16"/>
      <c r="R65" s="16"/>
      <c r="AF65" s="69"/>
      <c r="AR65" s="69"/>
      <c r="BD65" s="69"/>
      <c r="BP65" s="69"/>
    </row>
    <row r="66" s="14" customFormat="true" ht="16.5" hidden="false" customHeight="true" outlineLevel="0" collapsed="false">
      <c r="E66" s="70"/>
      <c r="H66" s="71"/>
      <c r="I66" s="76" t="n">
        <v>0</v>
      </c>
      <c r="J66" s="76" t="n">
        <v>0</v>
      </c>
      <c r="K66" s="212" t="n">
        <f aca="false">J66-I66</f>
        <v>0</v>
      </c>
      <c r="L66" s="76"/>
      <c r="M66" s="76"/>
      <c r="N66" s="76"/>
      <c r="O66" s="76"/>
      <c r="P66" s="77"/>
      <c r="Q66" s="75"/>
      <c r="R66" s="16" t="str">
        <f aca="false">IF(K66=P66, "", "Error")</f>
        <v/>
      </c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7"/>
      <c r="AF66" s="78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7"/>
      <c r="AR66" s="78"/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7"/>
      <c r="BD66" s="78"/>
      <c r="BE66" s="76"/>
      <c r="BF66" s="76"/>
      <c r="BG66" s="76"/>
      <c r="BH66" s="76"/>
      <c r="BI66" s="76"/>
      <c r="BJ66" s="76"/>
      <c r="BK66" s="76"/>
      <c r="BL66" s="76"/>
      <c r="BM66" s="76"/>
      <c r="BN66" s="76"/>
      <c r="BO66" s="77"/>
      <c r="BP66" s="78"/>
      <c r="BQ66" s="76"/>
      <c r="BR66" s="76"/>
      <c r="BS66" s="76"/>
      <c r="BT66" s="76"/>
      <c r="BU66" s="76"/>
      <c r="BV66" s="76"/>
      <c r="BW66" s="76"/>
      <c r="BX66" s="76"/>
      <c r="BY66" s="76"/>
      <c r="BZ66" s="76"/>
      <c r="CA66" s="76"/>
      <c r="CC66" s="79" t="n">
        <f aca="false">SUMIFS($T66:$CA66, $T$1:$CA$1, CC$63)</f>
        <v>0</v>
      </c>
      <c r="CD66" s="79" t="n">
        <f aca="false">SUMIFS($T66:$CA66, $T$1:$CA$1, CD$63)</f>
        <v>0</v>
      </c>
      <c r="CE66" s="79" t="n">
        <f aca="false">SUMIFS($T66:$CA66, $T$1:$CA$1, CE$63)</f>
        <v>0</v>
      </c>
      <c r="CF66" s="79" t="n">
        <f aca="false">SUMIFS($T66:$CA66, $T$1:$CA$1, CF$63)</f>
        <v>0</v>
      </c>
      <c r="CG66" s="79" t="n">
        <f aca="false">SUMIFS($T66:$CA66, $T$1:$CA$1, CG$63)</f>
        <v>0</v>
      </c>
      <c r="CI66" s="79" t="n">
        <f aca="false">CC66=L66</f>
        <v>1</v>
      </c>
      <c r="CJ66" s="79" t="n">
        <f aca="false">CD66=M66</f>
        <v>1</v>
      </c>
      <c r="CK66" s="79" t="n">
        <f aca="false">CE66=N66</f>
        <v>1</v>
      </c>
      <c r="CL66" s="79" t="n">
        <f aca="false">CF66=O66</f>
        <v>1</v>
      </c>
      <c r="CM66" s="79" t="n">
        <f aca="false">CG66=P66</f>
        <v>1</v>
      </c>
    </row>
    <row r="67" s="14" customFormat="true" ht="16.5" hidden="false" customHeight="true" outlineLevel="0" collapsed="false">
      <c r="E67" s="70"/>
      <c r="H67" s="71"/>
      <c r="I67" s="76" t="n">
        <v>0</v>
      </c>
      <c r="J67" s="76" t="n">
        <v>0</v>
      </c>
      <c r="K67" s="212" t="n">
        <f aca="false">J67-I67</f>
        <v>0</v>
      </c>
      <c r="L67" s="76"/>
      <c r="M67" s="76"/>
      <c r="N67" s="76"/>
      <c r="O67" s="76"/>
      <c r="P67" s="77"/>
      <c r="Q67" s="75"/>
      <c r="R67" s="16" t="str">
        <f aca="false">IF(K67=P67, "", "Error")</f>
        <v/>
      </c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7"/>
      <c r="AF67" s="78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7"/>
      <c r="AR67" s="78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7"/>
      <c r="BD67" s="78"/>
      <c r="BE67" s="76"/>
      <c r="BF67" s="76"/>
      <c r="BG67" s="76"/>
      <c r="BH67" s="76"/>
      <c r="BI67" s="76"/>
      <c r="BJ67" s="76"/>
      <c r="BK67" s="76"/>
      <c r="BL67" s="76"/>
      <c r="BM67" s="76"/>
      <c r="BN67" s="76"/>
      <c r="BO67" s="77"/>
      <c r="BP67" s="78"/>
      <c r="BQ67" s="76"/>
      <c r="BR67" s="76"/>
      <c r="BS67" s="76"/>
      <c r="BT67" s="76"/>
      <c r="BU67" s="76"/>
      <c r="BV67" s="76"/>
      <c r="BW67" s="76"/>
      <c r="BX67" s="76"/>
      <c r="BY67" s="76"/>
      <c r="BZ67" s="76"/>
      <c r="CA67" s="76"/>
      <c r="CC67" s="79" t="n">
        <f aca="false">SUMIFS($T67:$CA67, $T$1:$CA$1, CC$63)</f>
        <v>0</v>
      </c>
      <c r="CD67" s="79" t="n">
        <f aca="false">SUMIFS($T67:$CA67, $T$1:$CA$1, CD$63)</f>
        <v>0</v>
      </c>
      <c r="CE67" s="79" t="n">
        <f aca="false">SUMIFS($T67:$CA67, $T$1:$CA$1, CE$63)</f>
        <v>0</v>
      </c>
      <c r="CF67" s="79" t="n">
        <f aca="false">SUMIFS($T67:$CA67, $T$1:$CA$1, CF$63)</f>
        <v>0</v>
      </c>
      <c r="CG67" s="79" t="n">
        <f aca="false">SUMIFS($T67:$CA67, $T$1:$CA$1, CG$63)</f>
        <v>0</v>
      </c>
      <c r="CI67" s="79" t="n">
        <f aca="false">CC67=L67</f>
        <v>1</v>
      </c>
      <c r="CJ67" s="79" t="n">
        <f aca="false">CD67=M67</f>
        <v>1</v>
      </c>
      <c r="CK67" s="79" t="n">
        <f aca="false">CE67=N67</f>
        <v>1</v>
      </c>
      <c r="CL67" s="79" t="n">
        <f aca="false">CF67=O67</f>
        <v>1</v>
      </c>
      <c r="CM67" s="79" t="n">
        <f aca="false">CG67=P67</f>
        <v>1</v>
      </c>
    </row>
    <row r="68" s="14" customFormat="true" ht="16.5" hidden="false" customHeight="true" outlineLevel="0" collapsed="false">
      <c r="E68" s="80" t="s">
        <v>137</v>
      </c>
      <c r="H68" s="71"/>
      <c r="I68" s="82" t="n">
        <f aca="false">SUM(I66:I67)</f>
        <v>0</v>
      </c>
      <c r="J68" s="82" t="n">
        <f aca="false">SUM(J66:J67)</f>
        <v>0</v>
      </c>
      <c r="K68" s="82" t="n">
        <f aca="false">SUM(K66:K67)</f>
        <v>0</v>
      </c>
      <c r="L68" s="82" t="n">
        <f aca="false">SUM(L66:L67)</f>
        <v>0</v>
      </c>
      <c r="M68" s="82" t="n">
        <f aca="false">SUM(M66:M67)</f>
        <v>0</v>
      </c>
      <c r="N68" s="82" t="n">
        <f aca="false">SUM(N66:N67)</f>
        <v>0</v>
      </c>
      <c r="O68" s="82" t="n">
        <f aca="false">SUM(O66:O67)</f>
        <v>0</v>
      </c>
      <c r="P68" s="82" t="n">
        <f aca="false">SUM(P66:P67)</f>
        <v>0</v>
      </c>
      <c r="Q68" s="16"/>
      <c r="R68" s="16"/>
      <c r="T68" s="82" t="n">
        <f aca="false">SUM(T66:T67)</f>
        <v>0</v>
      </c>
      <c r="U68" s="82" t="n">
        <f aca="false">SUM(U66:U67)</f>
        <v>0</v>
      </c>
      <c r="V68" s="82" t="n">
        <f aca="false">SUM(V66:V67)</f>
        <v>0</v>
      </c>
      <c r="W68" s="82" t="n">
        <f aca="false">SUM(W66:W67)</f>
        <v>0</v>
      </c>
      <c r="X68" s="82" t="n">
        <f aca="false">SUM(X66:X67)</f>
        <v>0</v>
      </c>
      <c r="Y68" s="82" t="n">
        <f aca="false">SUM(Y66:Y67)</f>
        <v>0</v>
      </c>
      <c r="Z68" s="82" t="n">
        <f aca="false">SUM(Z66:Z67)</f>
        <v>0</v>
      </c>
      <c r="AA68" s="82" t="n">
        <f aca="false">SUM(AA66:AA67)</f>
        <v>0</v>
      </c>
      <c r="AB68" s="82" t="n">
        <f aca="false">SUM(AB66:AB67)</f>
        <v>0</v>
      </c>
      <c r="AC68" s="82" t="n">
        <f aca="false">SUM(AC66:AC67)</f>
        <v>0</v>
      </c>
      <c r="AD68" s="82" t="n">
        <f aca="false">SUM(AD66:AD67)</f>
        <v>0</v>
      </c>
      <c r="AE68" s="82" t="n">
        <f aca="false">SUM(AE66:AE67)</f>
        <v>0</v>
      </c>
      <c r="AF68" s="83" t="n">
        <f aca="false">SUM(AF66:AF67)</f>
        <v>0</v>
      </c>
      <c r="AG68" s="82" t="n">
        <f aca="false">SUM(AG66:AG67)</f>
        <v>0</v>
      </c>
      <c r="AH68" s="82" t="n">
        <f aca="false">SUM(AH66:AH67)</f>
        <v>0</v>
      </c>
      <c r="AI68" s="82" t="n">
        <f aca="false">SUM(AI66:AI67)</f>
        <v>0</v>
      </c>
      <c r="AJ68" s="82" t="n">
        <f aca="false">SUM(AJ66:AJ67)</f>
        <v>0</v>
      </c>
      <c r="AK68" s="82" t="n">
        <f aca="false">SUM(AK66:AK67)</f>
        <v>0</v>
      </c>
      <c r="AL68" s="82" t="n">
        <f aca="false">SUM(AL66:AL67)</f>
        <v>0</v>
      </c>
      <c r="AM68" s="82" t="n">
        <f aca="false">SUM(AM66:AM67)</f>
        <v>0</v>
      </c>
      <c r="AN68" s="82" t="n">
        <f aca="false">SUM(AN66:AN67)</f>
        <v>0</v>
      </c>
      <c r="AO68" s="82" t="n">
        <f aca="false">SUM(AO66:AO67)</f>
        <v>0</v>
      </c>
      <c r="AP68" s="82" t="n">
        <f aca="false">SUM(AP66:AP67)</f>
        <v>0</v>
      </c>
      <c r="AQ68" s="82" t="n">
        <f aca="false">SUM(AQ66:AQ67)</f>
        <v>0</v>
      </c>
      <c r="AR68" s="83" t="n">
        <f aca="false">SUM(AR66:AR67)</f>
        <v>0</v>
      </c>
      <c r="AS68" s="82" t="n">
        <f aca="false">SUM(AS66:AS67)</f>
        <v>0</v>
      </c>
      <c r="AT68" s="82" t="n">
        <f aca="false">SUM(AT66:AT67)</f>
        <v>0</v>
      </c>
      <c r="AU68" s="82" t="n">
        <f aca="false">SUM(AU66:AU67)</f>
        <v>0</v>
      </c>
      <c r="AV68" s="82" t="n">
        <f aca="false">SUM(AV66:AV67)</f>
        <v>0</v>
      </c>
      <c r="AW68" s="82" t="n">
        <f aca="false">SUM(AW66:AW67)</f>
        <v>0</v>
      </c>
      <c r="AX68" s="82" t="n">
        <f aca="false">SUM(AX66:AX67)</f>
        <v>0</v>
      </c>
      <c r="AY68" s="82" t="n">
        <f aca="false">SUM(AY66:AY67)</f>
        <v>0</v>
      </c>
      <c r="AZ68" s="82" t="n">
        <f aca="false">SUM(AZ66:AZ67)</f>
        <v>0</v>
      </c>
      <c r="BA68" s="82" t="n">
        <f aca="false">SUM(BA66:BA67)</f>
        <v>0</v>
      </c>
      <c r="BB68" s="82" t="n">
        <f aca="false">SUM(BB66:BB67)</f>
        <v>0</v>
      </c>
      <c r="BC68" s="82" t="n">
        <f aca="false">SUM(BC66:BC67)</f>
        <v>0</v>
      </c>
      <c r="BD68" s="83" t="n">
        <f aca="false">SUM(BD66:BD67)</f>
        <v>0</v>
      </c>
      <c r="BE68" s="82" t="n">
        <f aca="false">SUM(BE66:BE67)</f>
        <v>0</v>
      </c>
      <c r="BF68" s="82" t="n">
        <f aca="false">SUM(BF66:BF67)</f>
        <v>0</v>
      </c>
      <c r="BG68" s="82" t="n">
        <f aca="false">SUM(BG66:BG67)</f>
        <v>0</v>
      </c>
      <c r="BH68" s="82" t="n">
        <f aca="false">SUM(BH66:BH67)</f>
        <v>0</v>
      </c>
      <c r="BI68" s="82" t="n">
        <f aca="false">SUM(BI66:BI67)</f>
        <v>0</v>
      </c>
      <c r="BJ68" s="82" t="n">
        <f aca="false">SUM(BJ66:BJ67)</f>
        <v>0</v>
      </c>
      <c r="BK68" s="82" t="n">
        <f aca="false">SUM(BK66:BK67)</f>
        <v>0</v>
      </c>
      <c r="BL68" s="82" t="n">
        <f aca="false">SUM(BL66:BL67)</f>
        <v>0</v>
      </c>
      <c r="BM68" s="82" t="n">
        <f aca="false">SUM(BM66:BM67)</f>
        <v>0</v>
      </c>
      <c r="BN68" s="82" t="n">
        <f aca="false">SUM(BN66:BN67)</f>
        <v>0</v>
      </c>
      <c r="BO68" s="82" t="n">
        <f aca="false">SUM(BO66:BO67)</f>
        <v>0</v>
      </c>
      <c r="BP68" s="83" t="n">
        <f aca="false">SUM(BP66:BP67)</f>
        <v>0</v>
      </c>
      <c r="BQ68" s="82" t="n">
        <f aca="false">SUM(BQ66:BQ67)</f>
        <v>0</v>
      </c>
      <c r="BR68" s="82" t="n">
        <f aca="false">SUM(BR66:BR67)</f>
        <v>0</v>
      </c>
      <c r="BS68" s="82" t="n">
        <f aca="false">SUM(BS66:BS67)</f>
        <v>0</v>
      </c>
      <c r="BT68" s="82" t="n">
        <f aca="false">SUM(BT66:BT67)</f>
        <v>0</v>
      </c>
      <c r="BU68" s="82" t="n">
        <f aca="false">SUM(BU66:BU67)</f>
        <v>0</v>
      </c>
      <c r="BV68" s="82" t="n">
        <f aca="false">SUM(BV66:BV67)</f>
        <v>0</v>
      </c>
      <c r="BW68" s="82" t="n">
        <f aca="false">SUM(BW66:BW67)</f>
        <v>0</v>
      </c>
      <c r="BX68" s="82" t="n">
        <f aca="false">SUM(BX66:BX67)</f>
        <v>0</v>
      </c>
      <c r="BY68" s="82" t="n">
        <f aca="false">SUM(BY66:BY67)</f>
        <v>0</v>
      </c>
      <c r="BZ68" s="82" t="n">
        <f aca="false">SUM(BZ66:BZ67)</f>
        <v>0</v>
      </c>
      <c r="CA68" s="82" t="n">
        <f aca="false">SUM(CA66:CA67)</f>
        <v>0</v>
      </c>
      <c r="CC68" s="84" t="n">
        <f aca="false">SUM(CC66:CC67)</f>
        <v>0</v>
      </c>
      <c r="CD68" s="84" t="n">
        <f aca="false">SUM(CD66:CD67)</f>
        <v>0</v>
      </c>
      <c r="CE68" s="84" t="n">
        <f aca="false">SUM(CE66:CE67)</f>
        <v>0</v>
      </c>
      <c r="CF68" s="84" t="n">
        <f aca="false">SUM(CF66:CF67)</f>
        <v>0</v>
      </c>
      <c r="CG68" s="84" t="n">
        <f aca="false">SUM(CG66:CG67)</f>
        <v>0</v>
      </c>
      <c r="CI68" s="84" t="n">
        <f aca="false">CC68=L68</f>
        <v>1</v>
      </c>
      <c r="CJ68" s="84" t="n">
        <f aca="false">CD68=M68</f>
        <v>1</v>
      </c>
      <c r="CK68" s="84" t="n">
        <f aca="false">CE68=N68</f>
        <v>1</v>
      </c>
      <c r="CL68" s="84" t="n">
        <f aca="false">CF68=O68</f>
        <v>1</v>
      </c>
      <c r="CM68" s="84" t="n">
        <f aca="false">CG68=P68</f>
        <v>1</v>
      </c>
    </row>
    <row r="69" s="14" customFormat="true" ht="16.5" hidden="false" customHeight="true" outlineLevel="0" collapsed="false">
      <c r="E69" s="85"/>
      <c r="H69" s="86"/>
      <c r="I69" s="88"/>
      <c r="J69" s="88"/>
      <c r="K69" s="88"/>
      <c r="L69" s="88"/>
      <c r="M69" s="88"/>
      <c r="N69" s="88"/>
      <c r="O69" s="88"/>
      <c r="P69" s="88"/>
      <c r="Q69" s="16"/>
      <c r="R69" s="16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9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9"/>
      <c r="AS69" s="88"/>
      <c r="AT69" s="88"/>
      <c r="AU69" s="88"/>
      <c r="AV69" s="88"/>
      <c r="AW69" s="88"/>
      <c r="AX69" s="88"/>
      <c r="AY69" s="88"/>
      <c r="AZ69" s="88"/>
      <c r="BA69" s="88"/>
      <c r="BB69" s="88"/>
      <c r="BC69" s="88"/>
      <c r="BD69" s="89"/>
      <c r="BE69" s="88"/>
      <c r="BF69" s="88"/>
      <c r="BG69" s="88"/>
      <c r="BH69" s="88"/>
      <c r="BI69" s="88"/>
      <c r="BJ69" s="88"/>
      <c r="BK69" s="88"/>
      <c r="BL69" s="88"/>
      <c r="BM69" s="88"/>
      <c r="BN69" s="88"/>
      <c r="BO69" s="88"/>
      <c r="BP69" s="89"/>
      <c r="BQ69" s="88"/>
      <c r="BR69" s="88"/>
      <c r="BS69" s="88"/>
      <c r="BT69" s="88"/>
      <c r="BU69" s="88"/>
      <c r="BV69" s="88"/>
      <c r="BW69" s="88"/>
      <c r="BX69" s="88"/>
      <c r="BY69" s="88"/>
      <c r="BZ69" s="88"/>
      <c r="CA69" s="88"/>
      <c r="CC69" s="90"/>
      <c r="CD69" s="90"/>
      <c r="CE69" s="90"/>
      <c r="CF69" s="90"/>
      <c r="CG69" s="90"/>
      <c r="CI69" s="90"/>
      <c r="CJ69" s="90"/>
      <c r="CK69" s="90"/>
      <c r="CL69" s="90"/>
      <c r="CM69" s="90"/>
    </row>
    <row r="70" s="14" customFormat="true" ht="16.5" hidden="false" customHeight="true" outlineLevel="0" collapsed="false">
      <c r="E70" s="21" t="s">
        <v>138</v>
      </c>
      <c r="H70" s="71"/>
      <c r="I70" s="88"/>
      <c r="J70" s="88"/>
      <c r="K70" s="88"/>
      <c r="L70" s="88"/>
      <c r="M70" s="88"/>
      <c r="N70" s="88"/>
      <c r="O70" s="88"/>
      <c r="P70" s="88"/>
      <c r="Q70" s="16"/>
      <c r="R70" s="16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9"/>
      <c r="AG70" s="88"/>
      <c r="AH70" s="88"/>
      <c r="AI70" s="88"/>
      <c r="AJ70" s="88"/>
      <c r="AK70" s="88"/>
      <c r="AL70" s="88"/>
      <c r="AM70" s="88"/>
      <c r="AN70" s="88"/>
      <c r="AO70" s="88"/>
      <c r="AP70" s="88"/>
      <c r="AQ70" s="88"/>
      <c r="AR70" s="89"/>
      <c r="AS70" s="88"/>
      <c r="AT70" s="88"/>
      <c r="AU70" s="88"/>
      <c r="AV70" s="88"/>
      <c r="AW70" s="88"/>
      <c r="AX70" s="88"/>
      <c r="AY70" s="88"/>
      <c r="AZ70" s="88"/>
      <c r="BA70" s="88"/>
      <c r="BB70" s="88"/>
      <c r="BC70" s="88"/>
      <c r="BD70" s="89"/>
      <c r="BE70" s="88"/>
      <c r="BF70" s="88"/>
      <c r="BG70" s="88"/>
      <c r="BH70" s="88"/>
      <c r="BI70" s="88"/>
      <c r="BJ70" s="88"/>
      <c r="BK70" s="88"/>
      <c r="BL70" s="88"/>
      <c r="BM70" s="88"/>
      <c r="BN70" s="88"/>
      <c r="BO70" s="88"/>
      <c r="BP70" s="89"/>
      <c r="BQ70" s="88"/>
      <c r="BR70" s="88"/>
      <c r="BS70" s="88"/>
      <c r="BT70" s="88"/>
      <c r="BU70" s="88"/>
      <c r="BV70" s="88"/>
      <c r="BW70" s="88"/>
      <c r="BX70" s="88"/>
      <c r="BY70" s="88"/>
      <c r="BZ70" s="88"/>
      <c r="CA70" s="88"/>
      <c r="CC70" s="90"/>
      <c r="CD70" s="90"/>
      <c r="CE70" s="90"/>
      <c r="CF70" s="90"/>
      <c r="CG70" s="90"/>
      <c r="CI70" s="90"/>
      <c r="CJ70" s="90"/>
      <c r="CK70" s="90"/>
      <c r="CL70" s="90"/>
      <c r="CM70" s="90"/>
    </row>
    <row r="71" s="14" customFormat="true" ht="16.5" hidden="false" customHeight="true" outlineLevel="0" collapsed="false">
      <c r="E71" s="91"/>
      <c r="H71" s="71"/>
      <c r="I71" s="91"/>
      <c r="J71" s="91"/>
      <c r="K71" s="212" t="n">
        <f aca="false">I71-J71</f>
        <v>0</v>
      </c>
      <c r="L71" s="91"/>
      <c r="M71" s="91"/>
      <c r="N71" s="91"/>
      <c r="O71" s="91"/>
      <c r="P71" s="91"/>
      <c r="Q71" s="93"/>
      <c r="R71" s="16" t="str">
        <f aca="false">IF(K71=P71, "", "Error")</f>
        <v/>
      </c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4"/>
      <c r="AF71" s="95"/>
      <c r="AG71" s="91"/>
      <c r="AH71" s="91"/>
      <c r="AI71" s="91"/>
      <c r="AJ71" s="91"/>
      <c r="AK71" s="91"/>
      <c r="AL71" s="91"/>
      <c r="AM71" s="91"/>
      <c r="AN71" s="91"/>
      <c r="AO71" s="91"/>
      <c r="AP71" s="91"/>
      <c r="AQ71" s="94"/>
      <c r="AR71" s="95"/>
      <c r="AS71" s="91"/>
      <c r="AT71" s="91"/>
      <c r="AU71" s="91"/>
      <c r="AV71" s="91"/>
      <c r="AW71" s="91"/>
      <c r="AX71" s="91"/>
      <c r="AY71" s="91"/>
      <c r="AZ71" s="91"/>
      <c r="BA71" s="91"/>
      <c r="BB71" s="91"/>
      <c r="BC71" s="94"/>
      <c r="BD71" s="95"/>
      <c r="BE71" s="91"/>
      <c r="BF71" s="91"/>
      <c r="BG71" s="91"/>
      <c r="BH71" s="91"/>
      <c r="BI71" s="91"/>
      <c r="BJ71" s="91"/>
      <c r="BK71" s="91"/>
      <c r="BL71" s="91"/>
      <c r="BM71" s="91"/>
      <c r="BN71" s="91"/>
      <c r="BO71" s="94"/>
      <c r="BP71" s="95"/>
      <c r="BQ71" s="91"/>
      <c r="BR71" s="91"/>
      <c r="BS71" s="91"/>
      <c r="BT71" s="91"/>
      <c r="BU71" s="91"/>
      <c r="BV71" s="91"/>
      <c r="BW71" s="91"/>
      <c r="BX71" s="91"/>
      <c r="BY71" s="91"/>
      <c r="BZ71" s="91"/>
      <c r="CA71" s="91"/>
      <c r="CC71" s="79" t="n">
        <f aca="false">SUMIFS($T71:$CA71, $T$1:$CA$1, CC$63)</f>
        <v>0</v>
      </c>
      <c r="CD71" s="79" t="n">
        <f aca="false">SUMIFS($T71:$CA71, $T$1:$CA$1, CD$63)</f>
        <v>0</v>
      </c>
      <c r="CE71" s="79" t="n">
        <f aca="false">SUMIFS($T71:$CA71, $T$1:$CA$1, CE$63)</f>
        <v>0</v>
      </c>
      <c r="CF71" s="79" t="n">
        <f aca="false">SUMIFS($T71:$CA71, $T$1:$CA$1, CF$63)</f>
        <v>0</v>
      </c>
      <c r="CG71" s="79" t="n">
        <f aca="false">SUMIFS($T71:$CA71, $T$1:$CA$1, CG$63)</f>
        <v>0</v>
      </c>
      <c r="CI71" s="79" t="n">
        <f aca="false">CC71=L71</f>
        <v>1</v>
      </c>
      <c r="CJ71" s="79" t="n">
        <f aca="false">CD71=M71</f>
        <v>1</v>
      </c>
      <c r="CK71" s="79" t="n">
        <f aca="false">CE71=N71</f>
        <v>1</v>
      </c>
      <c r="CL71" s="79" t="n">
        <f aca="false">CF71=O71</f>
        <v>1</v>
      </c>
      <c r="CM71" s="79" t="n">
        <f aca="false">CG71=P71</f>
        <v>1</v>
      </c>
    </row>
    <row r="72" s="14" customFormat="true" ht="16.5" hidden="false" customHeight="true" outlineLevel="0" collapsed="false">
      <c r="E72" s="91"/>
      <c r="H72" s="71"/>
      <c r="I72" s="91" t="n">
        <v>0</v>
      </c>
      <c r="J72" s="91" t="n">
        <v>0</v>
      </c>
      <c r="K72" s="212" t="n">
        <f aca="false">I72-J72</f>
        <v>0</v>
      </c>
      <c r="L72" s="91"/>
      <c r="M72" s="91"/>
      <c r="N72" s="91"/>
      <c r="O72" s="91"/>
      <c r="P72" s="91"/>
      <c r="Q72" s="93"/>
      <c r="R72" s="16" t="str">
        <f aca="false">IF(K72=P72, "", "Error")</f>
        <v/>
      </c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4"/>
      <c r="AF72" s="95"/>
      <c r="AG72" s="91"/>
      <c r="AH72" s="91"/>
      <c r="AI72" s="91"/>
      <c r="AJ72" s="91"/>
      <c r="AK72" s="91"/>
      <c r="AL72" s="91"/>
      <c r="AM72" s="91"/>
      <c r="AN72" s="91"/>
      <c r="AO72" s="91"/>
      <c r="AP72" s="91"/>
      <c r="AQ72" s="94"/>
      <c r="AR72" s="95"/>
      <c r="AS72" s="91"/>
      <c r="AT72" s="91"/>
      <c r="AU72" s="91"/>
      <c r="AV72" s="91"/>
      <c r="AW72" s="91"/>
      <c r="AX72" s="91"/>
      <c r="AY72" s="91"/>
      <c r="AZ72" s="91"/>
      <c r="BA72" s="91"/>
      <c r="BB72" s="91"/>
      <c r="BC72" s="94"/>
      <c r="BD72" s="95"/>
      <c r="BE72" s="91"/>
      <c r="BF72" s="91"/>
      <c r="BG72" s="91"/>
      <c r="BH72" s="91"/>
      <c r="BI72" s="91"/>
      <c r="BJ72" s="91"/>
      <c r="BK72" s="91"/>
      <c r="BL72" s="91"/>
      <c r="BM72" s="91"/>
      <c r="BN72" s="91"/>
      <c r="BO72" s="94"/>
      <c r="BP72" s="95"/>
      <c r="BQ72" s="91"/>
      <c r="BR72" s="91"/>
      <c r="BS72" s="91"/>
      <c r="BT72" s="91"/>
      <c r="BU72" s="91"/>
      <c r="BV72" s="91"/>
      <c r="BW72" s="91"/>
      <c r="BX72" s="91"/>
      <c r="BY72" s="91"/>
      <c r="BZ72" s="91"/>
      <c r="CA72" s="91"/>
      <c r="CC72" s="79" t="n">
        <f aca="false">SUMIFS($T72:$CA72, $T$1:$CA$1, CC$63)</f>
        <v>0</v>
      </c>
      <c r="CD72" s="79" t="n">
        <f aca="false">SUMIFS($T72:$CA72, $T$1:$CA$1, CD$63)</f>
        <v>0</v>
      </c>
      <c r="CE72" s="79" t="n">
        <f aca="false">SUMIFS($T72:$CA72, $T$1:$CA$1, CE$63)</f>
        <v>0</v>
      </c>
      <c r="CF72" s="79" t="n">
        <f aca="false">SUMIFS($T72:$CA72, $T$1:$CA$1, CF$63)</f>
        <v>0</v>
      </c>
      <c r="CG72" s="79" t="n">
        <f aca="false">SUMIFS($T72:$CA72, $T$1:$CA$1, CG$63)</f>
        <v>0</v>
      </c>
      <c r="CI72" s="79" t="n">
        <f aca="false">CC72=L72</f>
        <v>1</v>
      </c>
      <c r="CJ72" s="79" t="n">
        <f aca="false">CD72=M72</f>
        <v>1</v>
      </c>
      <c r="CK72" s="79" t="n">
        <f aca="false">CE72=N72</f>
        <v>1</v>
      </c>
      <c r="CL72" s="79" t="n">
        <f aca="false">CF72=O72</f>
        <v>1</v>
      </c>
      <c r="CM72" s="79" t="n">
        <f aca="false">CG72=P72</f>
        <v>1</v>
      </c>
    </row>
    <row r="73" s="14" customFormat="true" ht="16.5" hidden="false" customHeight="true" outlineLevel="0" collapsed="false">
      <c r="E73" s="91"/>
      <c r="H73" s="71"/>
      <c r="I73" s="91" t="n">
        <v>0</v>
      </c>
      <c r="J73" s="91" t="n">
        <v>0</v>
      </c>
      <c r="K73" s="212" t="n">
        <f aca="false">I73-J73</f>
        <v>0</v>
      </c>
      <c r="L73" s="91"/>
      <c r="M73" s="91"/>
      <c r="N73" s="91"/>
      <c r="O73" s="91"/>
      <c r="P73" s="91"/>
      <c r="Q73" s="93"/>
      <c r="R73" s="16" t="str">
        <f aca="false">IF(K73=P73, "", "Error")</f>
        <v/>
      </c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4"/>
      <c r="AF73" s="95"/>
      <c r="AG73" s="91"/>
      <c r="AH73" s="91"/>
      <c r="AI73" s="91"/>
      <c r="AJ73" s="91"/>
      <c r="AK73" s="91"/>
      <c r="AL73" s="91"/>
      <c r="AM73" s="91"/>
      <c r="AN73" s="91"/>
      <c r="AO73" s="91"/>
      <c r="AP73" s="91"/>
      <c r="AQ73" s="94"/>
      <c r="AR73" s="95"/>
      <c r="AS73" s="91"/>
      <c r="AT73" s="91"/>
      <c r="AU73" s="91"/>
      <c r="AV73" s="91"/>
      <c r="AW73" s="91"/>
      <c r="AX73" s="91"/>
      <c r="AY73" s="91"/>
      <c r="AZ73" s="91"/>
      <c r="BA73" s="91"/>
      <c r="BB73" s="91"/>
      <c r="BC73" s="94"/>
      <c r="BD73" s="95"/>
      <c r="BE73" s="91"/>
      <c r="BF73" s="91"/>
      <c r="BG73" s="91"/>
      <c r="BH73" s="91"/>
      <c r="BI73" s="91"/>
      <c r="BJ73" s="91"/>
      <c r="BK73" s="91"/>
      <c r="BL73" s="91"/>
      <c r="BM73" s="91"/>
      <c r="BN73" s="91"/>
      <c r="BO73" s="94"/>
      <c r="BP73" s="95"/>
      <c r="BQ73" s="91"/>
      <c r="BR73" s="91"/>
      <c r="BS73" s="91"/>
      <c r="BT73" s="91"/>
      <c r="BU73" s="91"/>
      <c r="BV73" s="91"/>
      <c r="BW73" s="91"/>
      <c r="BX73" s="91"/>
      <c r="BY73" s="91"/>
      <c r="BZ73" s="91"/>
      <c r="CA73" s="91"/>
      <c r="CC73" s="79" t="n">
        <f aca="false">SUMIFS($T73:$CA73, $T$1:$CA$1, CC$63)</f>
        <v>0</v>
      </c>
      <c r="CD73" s="79" t="n">
        <f aca="false">SUMIFS($T73:$CA73, $T$1:$CA$1, CD$63)</f>
        <v>0</v>
      </c>
      <c r="CE73" s="79" t="n">
        <f aca="false">SUMIFS($T73:$CA73, $T$1:$CA$1, CE$63)</f>
        <v>0</v>
      </c>
      <c r="CF73" s="79" t="n">
        <f aca="false">SUMIFS($T73:$CA73, $T$1:$CA$1, CF$63)</f>
        <v>0</v>
      </c>
      <c r="CG73" s="79" t="n">
        <f aca="false">SUMIFS($T73:$CA73, $T$1:$CA$1, CG$63)</f>
        <v>0</v>
      </c>
      <c r="CI73" s="79" t="n">
        <f aca="false">CC73=L73</f>
        <v>1</v>
      </c>
      <c r="CJ73" s="79" t="n">
        <f aca="false">CD73=M73</f>
        <v>1</v>
      </c>
      <c r="CK73" s="79" t="n">
        <f aca="false">CE73=N73</f>
        <v>1</v>
      </c>
      <c r="CL73" s="79" t="n">
        <f aca="false">CF73=O73</f>
        <v>1</v>
      </c>
      <c r="CM73" s="79" t="n">
        <f aca="false">CG73=P73</f>
        <v>1</v>
      </c>
    </row>
    <row r="74" s="14" customFormat="true" ht="16.5" hidden="false" customHeight="true" outlineLevel="0" collapsed="false">
      <c r="E74" s="91"/>
      <c r="H74" s="71"/>
      <c r="I74" s="91" t="n">
        <v>0</v>
      </c>
      <c r="J74" s="91" t="n">
        <v>0</v>
      </c>
      <c r="K74" s="212" t="n">
        <f aca="false">I74-J74</f>
        <v>0</v>
      </c>
      <c r="L74" s="91"/>
      <c r="M74" s="91"/>
      <c r="N74" s="91"/>
      <c r="O74" s="91"/>
      <c r="P74" s="91"/>
      <c r="Q74" s="93"/>
      <c r="R74" s="16" t="str">
        <f aca="false">IF(K74=P74, "", "Error")</f>
        <v/>
      </c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4"/>
      <c r="AF74" s="95"/>
      <c r="AG74" s="91"/>
      <c r="AH74" s="91"/>
      <c r="AI74" s="91"/>
      <c r="AJ74" s="91"/>
      <c r="AK74" s="91"/>
      <c r="AL74" s="91"/>
      <c r="AM74" s="91"/>
      <c r="AN74" s="91"/>
      <c r="AO74" s="91"/>
      <c r="AP74" s="91"/>
      <c r="AQ74" s="94"/>
      <c r="AR74" s="95"/>
      <c r="AS74" s="91"/>
      <c r="AT74" s="91"/>
      <c r="AU74" s="91"/>
      <c r="AV74" s="91"/>
      <c r="AW74" s="91"/>
      <c r="AX74" s="91"/>
      <c r="AY74" s="91"/>
      <c r="AZ74" s="91"/>
      <c r="BA74" s="91"/>
      <c r="BB74" s="91"/>
      <c r="BC74" s="94"/>
      <c r="BD74" s="95"/>
      <c r="BE74" s="91"/>
      <c r="BF74" s="91"/>
      <c r="BG74" s="91"/>
      <c r="BH74" s="91"/>
      <c r="BI74" s="91"/>
      <c r="BJ74" s="91"/>
      <c r="BK74" s="91"/>
      <c r="BL74" s="91"/>
      <c r="BM74" s="91"/>
      <c r="BN74" s="91"/>
      <c r="BO74" s="94"/>
      <c r="BP74" s="95"/>
      <c r="BQ74" s="91"/>
      <c r="BR74" s="91"/>
      <c r="BS74" s="91"/>
      <c r="BT74" s="91"/>
      <c r="BU74" s="91"/>
      <c r="BV74" s="91"/>
      <c r="BW74" s="91"/>
      <c r="BX74" s="91"/>
      <c r="BY74" s="91"/>
      <c r="BZ74" s="91"/>
      <c r="CA74" s="91"/>
      <c r="CC74" s="79" t="n">
        <f aca="false">SUMIFS($T74:$CA74, $T$1:$CA$1, CC$63)</f>
        <v>0</v>
      </c>
      <c r="CD74" s="79" t="n">
        <f aca="false">SUMIFS($T74:$CA74, $T$1:$CA$1, CD$63)</f>
        <v>0</v>
      </c>
      <c r="CE74" s="79" t="n">
        <f aca="false">SUMIFS($T74:$CA74, $T$1:$CA$1, CE$63)</f>
        <v>0</v>
      </c>
      <c r="CF74" s="79" t="n">
        <f aca="false">SUMIFS($T74:$CA74, $T$1:$CA$1, CF$63)</f>
        <v>0</v>
      </c>
      <c r="CG74" s="79" t="n">
        <f aca="false">SUMIFS($T74:$CA74, $T$1:$CA$1, CG$63)</f>
        <v>0</v>
      </c>
      <c r="CI74" s="79" t="n">
        <f aca="false">CC74=L74</f>
        <v>1</v>
      </c>
      <c r="CJ74" s="79" t="n">
        <f aca="false">CD74=M74</f>
        <v>1</v>
      </c>
      <c r="CK74" s="79" t="n">
        <f aca="false">CE74=N74</f>
        <v>1</v>
      </c>
      <c r="CL74" s="79" t="n">
        <f aca="false">CF74=O74</f>
        <v>1</v>
      </c>
      <c r="CM74" s="79" t="n">
        <f aca="false">CG74=P74</f>
        <v>1</v>
      </c>
    </row>
    <row r="75" s="14" customFormat="true" ht="16.5" hidden="false" customHeight="true" outlineLevel="0" collapsed="false">
      <c r="E75" s="91"/>
      <c r="H75" s="71"/>
      <c r="I75" s="91"/>
      <c r="J75" s="91"/>
      <c r="K75" s="212" t="n">
        <f aca="false">I75-J75</f>
        <v>0</v>
      </c>
      <c r="L75" s="91"/>
      <c r="M75" s="91"/>
      <c r="N75" s="91"/>
      <c r="O75" s="91"/>
      <c r="P75" s="91"/>
      <c r="Q75" s="93"/>
      <c r="R75" s="16" t="str">
        <f aca="false">IF(K75=P75, "", "Error")</f>
        <v/>
      </c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4"/>
      <c r="AF75" s="95"/>
      <c r="AG75" s="91"/>
      <c r="AH75" s="91"/>
      <c r="AI75" s="91"/>
      <c r="AJ75" s="91"/>
      <c r="AK75" s="91"/>
      <c r="AL75" s="91"/>
      <c r="AM75" s="91"/>
      <c r="AN75" s="91"/>
      <c r="AO75" s="91"/>
      <c r="AP75" s="91"/>
      <c r="AQ75" s="94"/>
      <c r="AR75" s="95"/>
      <c r="AS75" s="91"/>
      <c r="AT75" s="91"/>
      <c r="AU75" s="91"/>
      <c r="AV75" s="91"/>
      <c r="AW75" s="91"/>
      <c r="AX75" s="91"/>
      <c r="AY75" s="91"/>
      <c r="AZ75" s="91"/>
      <c r="BA75" s="91"/>
      <c r="BB75" s="91"/>
      <c r="BC75" s="94"/>
      <c r="BD75" s="95"/>
      <c r="BE75" s="91"/>
      <c r="BF75" s="91"/>
      <c r="BG75" s="91"/>
      <c r="BH75" s="91"/>
      <c r="BI75" s="91"/>
      <c r="BJ75" s="91"/>
      <c r="BK75" s="91"/>
      <c r="BL75" s="91"/>
      <c r="BM75" s="91"/>
      <c r="BN75" s="91"/>
      <c r="BO75" s="94"/>
      <c r="BP75" s="95"/>
      <c r="BQ75" s="91"/>
      <c r="BR75" s="91"/>
      <c r="BS75" s="91"/>
      <c r="BT75" s="91"/>
      <c r="BU75" s="91"/>
      <c r="BV75" s="91"/>
      <c r="BW75" s="91"/>
      <c r="BX75" s="91"/>
      <c r="BY75" s="91"/>
      <c r="BZ75" s="91"/>
      <c r="CA75" s="91"/>
      <c r="CC75" s="79" t="n">
        <f aca="false">SUMIFS($T75:$CA75, $T$1:$CA$1, CC$63)</f>
        <v>0</v>
      </c>
      <c r="CD75" s="79" t="n">
        <f aca="false">SUMIFS($T75:$CA75, $T$1:$CA$1, CD$63)</f>
        <v>0</v>
      </c>
      <c r="CE75" s="79" t="n">
        <f aca="false">SUMIFS($T75:$CA75, $T$1:$CA$1, CE$63)</f>
        <v>0</v>
      </c>
      <c r="CF75" s="79" t="n">
        <f aca="false">SUMIFS($T75:$CA75, $T$1:$CA$1, CF$63)</f>
        <v>0</v>
      </c>
      <c r="CG75" s="79" t="n">
        <f aca="false">SUMIFS($T75:$CA75, $T$1:$CA$1, CG$63)</f>
        <v>0</v>
      </c>
      <c r="CI75" s="79" t="n">
        <f aca="false">CC75=L75</f>
        <v>1</v>
      </c>
      <c r="CJ75" s="79" t="n">
        <f aca="false">CD75=M75</f>
        <v>1</v>
      </c>
      <c r="CK75" s="79" t="n">
        <f aca="false">CE75=N75</f>
        <v>1</v>
      </c>
      <c r="CL75" s="79" t="n">
        <f aca="false">CF75=O75</f>
        <v>1</v>
      </c>
      <c r="CM75" s="79" t="n">
        <f aca="false">CG75=P75</f>
        <v>1</v>
      </c>
    </row>
    <row r="76" s="14" customFormat="true" ht="16.5" hidden="false" customHeight="true" outlineLevel="0" collapsed="false">
      <c r="E76" s="96" t="s">
        <v>139</v>
      </c>
      <c r="H76" s="71"/>
      <c r="I76" s="82" t="n">
        <f aca="false">SUM(I71:I75)</f>
        <v>0</v>
      </c>
      <c r="J76" s="82" t="n">
        <f aca="false">SUM(J71:J75)</f>
        <v>0</v>
      </c>
      <c r="K76" s="82" t="n">
        <f aca="false">SUM(K71:K75)</f>
        <v>0</v>
      </c>
      <c r="L76" s="82" t="n">
        <f aca="false">SUM(L71:L75)</f>
        <v>0</v>
      </c>
      <c r="M76" s="82" t="n">
        <f aca="false">SUM(M71:M75)</f>
        <v>0</v>
      </c>
      <c r="N76" s="82" t="n">
        <f aca="false">SUM(N71:N75)</f>
        <v>0</v>
      </c>
      <c r="O76" s="82" t="n">
        <f aca="false">SUM(O71:O75)</f>
        <v>0</v>
      </c>
      <c r="P76" s="82" t="n">
        <f aca="false">SUM(P71:P75)</f>
        <v>0</v>
      </c>
      <c r="Q76" s="16"/>
      <c r="R76" s="16"/>
      <c r="T76" s="82" t="n">
        <f aca="false">SUM(T71:T75)</f>
        <v>0</v>
      </c>
      <c r="U76" s="82" t="n">
        <f aca="false">SUM(U71:U75)</f>
        <v>0</v>
      </c>
      <c r="V76" s="82" t="n">
        <f aca="false">SUM(V71:V75)</f>
        <v>0</v>
      </c>
      <c r="W76" s="82" t="n">
        <f aca="false">SUM(W71:W75)</f>
        <v>0</v>
      </c>
      <c r="X76" s="82" t="n">
        <f aca="false">SUM(X71:X75)</f>
        <v>0</v>
      </c>
      <c r="Y76" s="82" t="n">
        <f aca="false">SUM(Y71:Y75)</f>
        <v>0</v>
      </c>
      <c r="Z76" s="82" t="n">
        <f aca="false">SUM(Z71:Z75)</f>
        <v>0</v>
      </c>
      <c r="AA76" s="82" t="n">
        <f aca="false">SUM(AA71:AA75)</f>
        <v>0</v>
      </c>
      <c r="AB76" s="82" t="n">
        <f aca="false">SUM(AB71:AB75)</f>
        <v>0</v>
      </c>
      <c r="AC76" s="82" t="n">
        <f aca="false">SUM(AC71:AC75)</f>
        <v>0</v>
      </c>
      <c r="AD76" s="82" t="n">
        <f aca="false">SUM(AD71:AD75)</f>
        <v>0</v>
      </c>
      <c r="AE76" s="82" t="n">
        <f aca="false">SUM(AE71:AE75)</f>
        <v>0</v>
      </c>
      <c r="AF76" s="83" t="n">
        <f aca="false">SUM(AF71:AF75)</f>
        <v>0</v>
      </c>
      <c r="AG76" s="82" t="n">
        <f aca="false">SUM(AG71:AG75)</f>
        <v>0</v>
      </c>
      <c r="AH76" s="82" t="n">
        <f aca="false">SUM(AH71:AH75)</f>
        <v>0</v>
      </c>
      <c r="AI76" s="82" t="n">
        <f aca="false">SUM(AI71:AI75)</f>
        <v>0</v>
      </c>
      <c r="AJ76" s="82" t="n">
        <f aca="false">SUM(AJ71:AJ75)</f>
        <v>0</v>
      </c>
      <c r="AK76" s="82" t="n">
        <f aca="false">SUM(AK71:AK75)</f>
        <v>0</v>
      </c>
      <c r="AL76" s="82" t="n">
        <f aca="false">SUM(AL71:AL75)</f>
        <v>0</v>
      </c>
      <c r="AM76" s="82" t="n">
        <f aca="false">SUM(AM71:AM75)</f>
        <v>0</v>
      </c>
      <c r="AN76" s="82" t="n">
        <f aca="false">SUM(AN71:AN75)</f>
        <v>0</v>
      </c>
      <c r="AO76" s="82" t="n">
        <f aca="false">SUM(AO71:AO75)</f>
        <v>0</v>
      </c>
      <c r="AP76" s="82" t="n">
        <f aca="false">SUM(AP71:AP75)</f>
        <v>0</v>
      </c>
      <c r="AQ76" s="82" t="n">
        <f aca="false">SUM(AQ71:AQ75)</f>
        <v>0</v>
      </c>
      <c r="AR76" s="83" t="n">
        <f aca="false">SUM(AR71:AR75)</f>
        <v>0</v>
      </c>
      <c r="AS76" s="82" t="n">
        <f aca="false">SUM(AS71:AS75)</f>
        <v>0</v>
      </c>
      <c r="AT76" s="82" t="n">
        <f aca="false">SUM(AT71:AT75)</f>
        <v>0</v>
      </c>
      <c r="AU76" s="82" t="n">
        <f aca="false">SUM(AU71:AU75)</f>
        <v>0</v>
      </c>
      <c r="AV76" s="82" t="n">
        <f aca="false">SUM(AV71:AV75)</f>
        <v>0</v>
      </c>
      <c r="AW76" s="82" t="n">
        <f aca="false">SUM(AW71:AW75)</f>
        <v>0</v>
      </c>
      <c r="AX76" s="82" t="n">
        <f aca="false">SUM(AX71:AX75)</f>
        <v>0</v>
      </c>
      <c r="AY76" s="82" t="n">
        <f aca="false">SUM(AY71:AY75)</f>
        <v>0</v>
      </c>
      <c r="AZ76" s="82" t="n">
        <f aca="false">SUM(AZ71:AZ75)</f>
        <v>0</v>
      </c>
      <c r="BA76" s="82" t="n">
        <f aca="false">SUM(BA71:BA75)</f>
        <v>0</v>
      </c>
      <c r="BB76" s="82" t="n">
        <f aca="false">SUM(BB71:BB75)</f>
        <v>0</v>
      </c>
      <c r="BC76" s="82" t="n">
        <f aca="false">SUM(BC71:BC75)</f>
        <v>0</v>
      </c>
      <c r="BD76" s="83" t="n">
        <f aca="false">SUM(BD71:BD75)</f>
        <v>0</v>
      </c>
      <c r="BE76" s="82" t="n">
        <f aca="false">SUM(BE71:BE75)</f>
        <v>0</v>
      </c>
      <c r="BF76" s="82" t="n">
        <f aca="false">SUM(BF71:BF75)</f>
        <v>0</v>
      </c>
      <c r="BG76" s="82" t="n">
        <f aca="false">SUM(BG71:BG75)</f>
        <v>0</v>
      </c>
      <c r="BH76" s="82" t="n">
        <f aca="false">SUM(BH71:BH75)</f>
        <v>0</v>
      </c>
      <c r="BI76" s="82" t="n">
        <f aca="false">SUM(BI71:BI75)</f>
        <v>0</v>
      </c>
      <c r="BJ76" s="82" t="n">
        <f aca="false">SUM(BJ71:BJ75)</f>
        <v>0</v>
      </c>
      <c r="BK76" s="82" t="n">
        <f aca="false">SUM(BK71:BK75)</f>
        <v>0</v>
      </c>
      <c r="BL76" s="82" t="n">
        <f aca="false">SUM(BL71:BL75)</f>
        <v>0</v>
      </c>
      <c r="BM76" s="82" t="n">
        <f aca="false">SUM(BM71:BM75)</f>
        <v>0</v>
      </c>
      <c r="BN76" s="82" t="n">
        <f aca="false">SUM(BN71:BN75)</f>
        <v>0</v>
      </c>
      <c r="BO76" s="82" t="n">
        <f aca="false">SUM(BO71:BO75)</f>
        <v>0</v>
      </c>
      <c r="BP76" s="83" t="n">
        <f aca="false">SUM(BP71:BP75)</f>
        <v>0</v>
      </c>
      <c r="BQ76" s="82" t="n">
        <f aca="false">SUM(BQ71:BQ75)</f>
        <v>0</v>
      </c>
      <c r="BR76" s="82" t="n">
        <f aca="false">SUM(BR71:BR75)</f>
        <v>0</v>
      </c>
      <c r="BS76" s="82" t="n">
        <f aca="false">SUM(BS71:BS75)</f>
        <v>0</v>
      </c>
      <c r="BT76" s="82" t="n">
        <f aca="false">SUM(BT71:BT75)</f>
        <v>0</v>
      </c>
      <c r="BU76" s="82" t="n">
        <f aca="false">SUM(BU71:BU75)</f>
        <v>0</v>
      </c>
      <c r="BV76" s="82" t="n">
        <f aca="false">SUM(BV71:BV75)</f>
        <v>0</v>
      </c>
      <c r="BW76" s="82" t="n">
        <f aca="false">SUM(BW71:BW75)</f>
        <v>0</v>
      </c>
      <c r="BX76" s="82" t="n">
        <f aca="false">SUM(BX71:BX75)</f>
        <v>0</v>
      </c>
      <c r="BY76" s="82" t="n">
        <f aca="false">SUM(BY71:BY75)</f>
        <v>0</v>
      </c>
      <c r="BZ76" s="82" t="n">
        <f aca="false">SUM(BZ71:BZ75)</f>
        <v>0</v>
      </c>
      <c r="CA76" s="82" t="n">
        <f aca="false">SUM(CA71:CA75)</f>
        <v>0</v>
      </c>
      <c r="CC76" s="84" t="n">
        <f aca="false">SUM(CC71:CC75)</f>
        <v>0</v>
      </c>
      <c r="CD76" s="84" t="n">
        <f aca="false">SUM(CD71:CD75)</f>
        <v>0</v>
      </c>
      <c r="CE76" s="84" t="n">
        <f aca="false">SUM(CE71:CE75)</f>
        <v>0</v>
      </c>
      <c r="CF76" s="84" t="n">
        <f aca="false">SUM(CF71:CF75)</f>
        <v>0</v>
      </c>
      <c r="CG76" s="84" t="n">
        <f aca="false">SUM(CG71:CG75)</f>
        <v>0</v>
      </c>
      <c r="CI76" s="84" t="n">
        <f aca="false">CC76=L76</f>
        <v>1</v>
      </c>
      <c r="CJ76" s="84" t="n">
        <f aca="false">CD76=M76</f>
        <v>1</v>
      </c>
      <c r="CK76" s="84" t="n">
        <f aca="false">CE76=N76</f>
        <v>1</v>
      </c>
      <c r="CL76" s="84" t="n">
        <f aca="false">CF76=O76</f>
        <v>1</v>
      </c>
      <c r="CM76" s="84" t="n">
        <f aca="false">CG76=P76</f>
        <v>1</v>
      </c>
    </row>
    <row r="77" s="14" customFormat="true" ht="16.5" hidden="false" customHeight="true" outlineLevel="0" collapsed="false">
      <c r="H77" s="71"/>
      <c r="I77" s="88"/>
      <c r="J77" s="88"/>
      <c r="K77" s="88"/>
      <c r="L77" s="88"/>
      <c r="M77" s="88"/>
      <c r="N77" s="88"/>
      <c r="O77" s="88"/>
      <c r="P77" s="88"/>
      <c r="Q77" s="16"/>
      <c r="R77" s="16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9"/>
      <c r="AG77" s="88"/>
      <c r="AH77" s="88"/>
      <c r="AI77" s="88"/>
      <c r="AJ77" s="88"/>
      <c r="AK77" s="88"/>
      <c r="AL77" s="88"/>
      <c r="AM77" s="88"/>
      <c r="AN77" s="88"/>
      <c r="AO77" s="88"/>
      <c r="AP77" s="88"/>
      <c r="AQ77" s="88"/>
      <c r="AR77" s="89"/>
      <c r="AS77" s="88"/>
      <c r="AT77" s="88"/>
      <c r="AU77" s="88"/>
      <c r="AV77" s="88"/>
      <c r="AW77" s="88"/>
      <c r="AX77" s="88"/>
      <c r="AY77" s="88"/>
      <c r="AZ77" s="88"/>
      <c r="BA77" s="88"/>
      <c r="BB77" s="88"/>
      <c r="BC77" s="88"/>
      <c r="BD77" s="89"/>
      <c r="BE77" s="88"/>
      <c r="BF77" s="88"/>
      <c r="BG77" s="88"/>
      <c r="BH77" s="88"/>
      <c r="BI77" s="88"/>
      <c r="BJ77" s="88"/>
      <c r="BK77" s="88"/>
      <c r="BL77" s="88"/>
      <c r="BM77" s="88"/>
      <c r="BN77" s="88"/>
      <c r="BO77" s="88"/>
      <c r="BP77" s="89"/>
      <c r="BQ77" s="88"/>
      <c r="BR77" s="88"/>
      <c r="BS77" s="88"/>
      <c r="BT77" s="88"/>
      <c r="BU77" s="88"/>
      <c r="BV77" s="88"/>
      <c r="BW77" s="88"/>
      <c r="BX77" s="88"/>
      <c r="BY77" s="88"/>
      <c r="BZ77" s="88"/>
      <c r="CA77" s="88"/>
      <c r="CC77" s="90"/>
      <c r="CD77" s="90"/>
      <c r="CE77" s="90"/>
      <c r="CF77" s="90"/>
      <c r="CG77" s="90"/>
      <c r="CI77" s="90"/>
      <c r="CJ77" s="90"/>
      <c r="CK77" s="90"/>
      <c r="CL77" s="90"/>
      <c r="CM77" s="90"/>
    </row>
    <row r="78" s="14" customFormat="true" ht="16.5" hidden="false" customHeight="true" outlineLevel="0" collapsed="false">
      <c r="E78" s="21" t="s">
        <v>140</v>
      </c>
      <c r="H78" s="71"/>
      <c r="I78" s="88"/>
      <c r="J78" s="88"/>
      <c r="K78" s="88"/>
      <c r="L78" s="88"/>
      <c r="M78" s="88"/>
      <c r="N78" s="88"/>
      <c r="O78" s="88"/>
      <c r="P78" s="88"/>
      <c r="Q78" s="16"/>
      <c r="R78" s="16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9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9"/>
      <c r="AS78" s="88"/>
      <c r="AT78" s="88"/>
      <c r="AU78" s="88"/>
      <c r="AV78" s="88"/>
      <c r="AW78" s="88"/>
      <c r="AX78" s="88"/>
      <c r="AY78" s="88"/>
      <c r="AZ78" s="88"/>
      <c r="BA78" s="88"/>
      <c r="BB78" s="88"/>
      <c r="BC78" s="88"/>
      <c r="BD78" s="89"/>
      <c r="BE78" s="88"/>
      <c r="BF78" s="88"/>
      <c r="BG78" s="88"/>
      <c r="BH78" s="88"/>
      <c r="BI78" s="88"/>
      <c r="BJ78" s="88"/>
      <c r="BK78" s="88"/>
      <c r="BL78" s="88"/>
      <c r="BM78" s="88"/>
      <c r="BN78" s="88"/>
      <c r="BO78" s="88"/>
      <c r="BP78" s="89"/>
      <c r="BQ78" s="88"/>
      <c r="BR78" s="88"/>
      <c r="BS78" s="88"/>
      <c r="BT78" s="88"/>
      <c r="BU78" s="88"/>
      <c r="BV78" s="88"/>
      <c r="BW78" s="88"/>
      <c r="BX78" s="88"/>
      <c r="BY78" s="88"/>
      <c r="BZ78" s="88"/>
      <c r="CA78" s="88"/>
      <c r="CC78" s="90"/>
      <c r="CD78" s="90"/>
      <c r="CE78" s="90"/>
      <c r="CF78" s="90"/>
      <c r="CG78" s="90"/>
      <c r="CI78" s="90"/>
      <c r="CJ78" s="90"/>
      <c r="CK78" s="90"/>
      <c r="CL78" s="90"/>
      <c r="CM78" s="90"/>
    </row>
    <row r="79" s="14" customFormat="true" ht="16.5" hidden="false" customHeight="true" outlineLevel="0" collapsed="false">
      <c r="E79" s="91" t="s">
        <v>490</v>
      </c>
      <c r="H79" s="71" t="s">
        <v>491</v>
      </c>
      <c r="I79" s="213" t="n">
        <f aca="false">'SVC-2 Model'!$D$56</f>
        <v>143.18592021</v>
      </c>
      <c r="J79" s="213" t="n">
        <f aca="false">I79-'SVC-2 Model'!$K$56</f>
        <v>128.414690451479</v>
      </c>
      <c r="K79" s="214" t="n">
        <f aca="false">'SVC-2 Model'!$K$56</f>
        <v>14.7712297585212</v>
      </c>
      <c r="L79" s="213" t="n">
        <f aca="false">'SVC-2 Model'!L56</f>
        <v>0</v>
      </c>
      <c r="M79" s="213" t="n">
        <f aca="false">'SVC-2 Model'!M56</f>
        <v>1.40678378652583</v>
      </c>
      <c r="N79" s="213" t="n">
        <f aca="false">'SVC-2 Model'!N56</f>
        <v>13.9799138786004</v>
      </c>
      <c r="O79" s="213" t="n">
        <f aca="false">'SVC-2 Model'!O56</f>
        <v>14.7712297585212</v>
      </c>
      <c r="P79" s="213" t="n">
        <f aca="false">'SVC-2 Model'!P56</f>
        <v>14.7712297585212</v>
      </c>
      <c r="Q79" s="93" t="s">
        <v>266</v>
      </c>
      <c r="R79" s="16" t="str">
        <f aca="false">IF(K79=P79, "", "Error")</f>
        <v/>
      </c>
      <c r="T79" s="213" t="n">
        <f aca="false">'SVC-2 Model'!T56</f>
        <v>0</v>
      </c>
      <c r="U79" s="213" t="n">
        <f aca="false">'SVC-2 Model'!U56</f>
        <v>0</v>
      </c>
      <c r="V79" s="213" t="n">
        <f aca="false">'SVC-2 Model'!V56</f>
        <v>0</v>
      </c>
      <c r="W79" s="213" t="n">
        <f aca="false">'SVC-2 Model'!W56</f>
        <v>0</v>
      </c>
      <c r="X79" s="213" t="n">
        <f aca="false">'SVC-2 Model'!X56</f>
        <v>0</v>
      </c>
      <c r="Y79" s="213" t="n">
        <f aca="false">'SVC-2 Model'!Y56</f>
        <v>0</v>
      </c>
      <c r="Z79" s="213" t="n">
        <f aca="false">'SVC-2 Model'!Z56</f>
        <v>0</v>
      </c>
      <c r="AA79" s="213" t="n">
        <f aca="false">'SVC-2 Model'!AA56</f>
        <v>0</v>
      </c>
      <c r="AB79" s="213" t="n">
        <f aca="false">'SVC-2 Model'!AB56</f>
        <v>0</v>
      </c>
      <c r="AC79" s="213" t="n">
        <f aca="false">'SVC-2 Model'!AC56</f>
        <v>0</v>
      </c>
      <c r="AD79" s="213" t="n">
        <f aca="false">'SVC-2 Model'!AD56</f>
        <v>0</v>
      </c>
      <c r="AE79" s="215" t="n">
        <f aca="false">'SVC-2 Model'!AE56</f>
        <v>0</v>
      </c>
      <c r="AF79" s="216" t="n">
        <f aca="false">'SVC-2 Model'!AF56</f>
        <v>0</v>
      </c>
      <c r="AG79" s="216" t="n">
        <f aca="false">'SVC-2 Model'!AG56</f>
        <v>0</v>
      </c>
      <c r="AH79" s="216" t="n">
        <f aca="false">'SVC-2 Model'!AH56</f>
        <v>0</v>
      </c>
      <c r="AI79" s="216" t="n">
        <f aca="false">'SVC-2 Model'!AI56</f>
        <v>0</v>
      </c>
      <c r="AJ79" s="216" t="n">
        <f aca="false">'SVC-2 Model'!AJ56</f>
        <v>0</v>
      </c>
      <c r="AK79" s="216" t="n">
        <f aca="false">'SVC-2 Model'!AK56</f>
        <v>0</v>
      </c>
      <c r="AL79" s="216" t="n">
        <f aca="false">'SVC-2 Model'!AL56</f>
        <v>0</v>
      </c>
      <c r="AM79" s="216" t="n">
        <f aca="false">'SVC-2 Model'!AM56</f>
        <v>0</v>
      </c>
      <c r="AN79" s="216" t="n">
        <f aca="false">'SVC-2 Model'!AN56</f>
        <v>0.0879239866578642</v>
      </c>
      <c r="AO79" s="216" t="n">
        <f aca="false">'SVC-2 Model'!AO56</f>
        <v>0.263771959973593</v>
      </c>
      <c r="AP79" s="216" t="n">
        <f aca="false">'SVC-2 Model'!AP56</f>
        <v>0.439619933289321</v>
      </c>
      <c r="AQ79" s="216" t="n">
        <f aca="false">'SVC-2 Model'!AQ56</f>
        <v>0.615467906605049</v>
      </c>
      <c r="AR79" s="216" t="n">
        <f aca="false">'SVC-2 Model'!AR56</f>
        <v>0.791315879920778</v>
      </c>
      <c r="AS79" s="216" t="n">
        <f aca="false">'SVC-2 Model'!AS56</f>
        <v>0.967163853236506</v>
      </c>
      <c r="AT79" s="216" t="n">
        <f aca="false">'SVC-2 Model'!AT56</f>
        <v>1.14301182655223</v>
      </c>
      <c r="AU79" s="216" t="n">
        <f aca="false">'SVC-2 Model'!AU56</f>
        <v>1.2309358132101</v>
      </c>
      <c r="AV79" s="216" t="n">
        <f aca="false">'SVC-2 Model'!AV56</f>
        <v>1.2309358132101</v>
      </c>
      <c r="AW79" s="216" t="n">
        <f aca="false">'SVC-2 Model'!AW56</f>
        <v>1.2309358132101</v>
      </c>
      <c r="AX79" s="216" t="n">
        <f aca="false">'SVC-2 Model'!AX56</f>
        <v>1.2309358132101</v>
      </c>
      <c r="AY79" s="216" t="n">
        <f aca="false">'SVC-2 Model'!AY56</f>
        <v>1.2309358132101</v>
      </c>
      <c r="AZ79" s="216" t="n">
        <f aca="false">'SVC-2 Model'!AZ56</f>
        <v>1.2309358132101</v>
      </c>
      <c r="BA79" s="216" t="n">
        <f aca="false">'SVC-2 Model'!BA56</f>
        <v>1.2309358132101</v>
      </c>
      <c r="BB79" s="216" t="n">
        <f aca="false">'SVC-2 Model'!BB56</f>
        <v>1.2309358132101</v>
      </c>
      <c r="BC79" s="216" t="n">
        <f aca="false">'SVC-2 Model'!BC56</f>
        <v>1.2309358132101</v>
      </c>
      <c r="BD79" s="216" t="n">
        <f aca="false">'SVC-2 Model'!BD56</f>
        <v>1.2309358132101</v>
      </c>
      <c r="BE79" s="216" t="n">
        <f aca="false">'SVC-2 Model'!BE56</f>
        <v>1.2309358132101</v>
      </c>
      <c r="BF79" s="216" t="n">
        <f aca="false">'SVC-2 Model'!BF56</f>
        <v>1.2309358132101</v>
      </c>
      <c r="BG79" s="216" t="n">
        <f aca="false">'SVC-2 Model'!BG56</f>
        <v>1.2309358132101</v>
      </c>
      <c r="BH79" s="216" t="n">
        <f aca="false">'SVC-2 Model'!BH56</f>
        <v>1.2309358132101</v>
      </c>
      <c r="BI79" s="216" t="n">
        <f aca="false">'SVC-2 Model'!BI56</f>
        <v>1.2309358132101</v>
      </c>
      <c r="BJ79" s="216" t="n">
        <f aca="false">'SVC-2 Model'!BJ56</f>
        <v>1.2309358132101</v>
      </c>
      <c r="BK79" s="216" t="n">
        <f aca="false">'SVC-2 Model'!BK56</f>
        <v>1.2309358132101</v>
      </c>
      <c r="BL79" s="216" t="n">
        <f aca="false">'SVC-2 Model'!BL56</f>
        <v>1.2309358132101</v>
      </c>
      <c r="BM79" s="216" t="n">
        <f aca="false">'SVC-2 Model'!BM56</f>
        <v>1.2309358132101</v>
      </c>
      <c r="BN79" s="216" t="n">
        <f aca="false">'SVC-2 Model'!BN56</f>
        <v>1.2309358132101</v>
      </c>
      <c r="BO79" s="216" t="n">
        <f aca="false">'SVC-2 Model'!BO56</f>
        <v>1.2309358132101</v>
      </c>
      <c r="BP79" s="216" t="n">
        <f aca="false">'SVC-2 Model'!BP56</f>
        <v>1.2309358132101</v>
      </c>
      <c r="BQ79" s="216" t="n">
        <f aca="false">'SVC-2 Model'!BQ56</f>
        <v>1.2309358132101</v>
      </c>
      <c r="BR79" s="216" t="n">
        <f aca="false">'SVC-2 Model'!BR56</f>
        <v>1.2309358132101</v>
      </c>
      <c r="BS79" s="216" t="n">
        <f aca="false">'SVC-2 Model'!BS56</f>
        <v>1.2309358132101</v>
      </c>
      <c r="BT79" s="216" t="n">
        <f aca="false">'SVC-2 Model'!BT56</f>
        <v>1.2309358132101</v>
      </c>
      <c r="BU79" s="216" t="n">
        <f aca="false">'SVC-2 Model'!BU56</f>
        <v>1.2309358132101</v>
      </c>
      <c r="BV79" s="216" t="n">
        <f aca="false">'SVC-2 Model'!BV56</f>
        <v>1.2309358132101</v>
      </c>
      <c r="BW79" s="216" t="n">
        <f aca="false">'SVC-2 Model'!BW56</f>
        <v>1.2309358132101</v>
      </c>
      <c r="BX79" s="216" t="n">
        <f aca="false">'SVC-2 Model'!BX56</f>
        <v>1.2309358132101</v>
      </c>
      <c r="BY79" s="216" t="n">
        <f aca="false">'SVC-2 Model'!BY56</f>
        <v>1.2309358132101</v>
      </c>
      <c r="BZ79" s="216" t="n">
        <f aca="false">'SVC-2 Model'!BZ56</f>
        <v>1.2309358132101</v>
      </c>
      <c r="CA79" s="216" t="n">
        <f aca="false">'SVC-2 Model'!CA56</f>
        <v>1.2309358132101</v>
      </c>
      <c r="CC79" s="79" t="n">
        <f aca="false">SUMIFS($T79:$CA79, $T$1:$CA$1, CC$63)</f>
        <v>0</v>
      </c>
      <c r="CD79" s="79" t="n">
        <f aca="false">SUMIFS($T79:$CA79, $T$1:$CA$1, CD$63)</f>
        <v>1.40678378652583</v>
      </c>
      <c r="CE79" s="79" t="n">
        <f aca="false">SUMIFS($T79:$CA79, $T$1:$CA$1, CE$63)</f>
        <v>13.9799138786004</v>
      </c>
      <c r="CF79" s="79" t="n">
        <f aca="false">SUMIFS($T79:$CA79, $T$1:$CA$1, CF$63)</f>
        <v>14.7712297585212</v>
      </c>
      <c r="CG79" s="79" t="n">
        <f aca="false">SUMIFS($T79:$CA79, $T$1:$CA$1, CG$63)</f>
        <v>14.7712297585212</v>
      </c>
      <c r="CI79" s="79" t="n">
        <f aca="false">CC79=L79</f>
        <v>1</v>
      </c>
      <c r="CJ79" s="79" t="n">
        <f aca="false">CD79=M79</f>
        <v>1</v>
      </c>
      <c r="CK79" s="79" t="n">
        <f aca="false">CE79=N79</f>
        <v>1</v>
      </c>
      <c r="CL79" s="79" t="n">
        <f aca="false">CF79=O79</f>
        <v>1</v>
      </c>
      <c r="CM79" s="79" t="n">
        <f aca="false">CG79=P79</f>
        <v>1</v>
      </c>
    </row>
    <row r="80" s="14" customFormat="true" ht="16.5" hidden="false" customHeight="true" outlineLevel="0" collapsed="false">
      <c r="E80" s="91"/>
      <c r="H80" s="71"/>
      <c r="I80" s="91" t="n">
        <v>0</v>
      </c>
      <c r="J80" s="91" t="n">
        <v>0</v>
      </c>
      <c r="K80" s="212" t="n">
        <f aca="false">I80-J80</f>
        <v>0</v>
      </c>
      <c r="L80" s="91"/>
      <c r="M80" s="91"/>
      <c r="N80" s="91"/>
      <c r="O80" s="91"/>
      <c r="P80" s="91"/>
      <c r="Q80" s="93"/>
      <c r="R80" s="16" t="str">
        <f aca="false">IF(K80=P80, "", "Error")</f>
        <v/>
      </c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4"/>
      <c r="AF80" s="95"/>
      <c r="AG80" s="91"/>
      <c r="AH80" s="91"/>
      <c r="AI80" s="91"/>
      <c r="AJ80" s="91"/>
      <c r="AK80" s="91"/>
      <c r="AL80" s="91"/>
      <c r="AM80" s="91"/>
      <c r="AN80" s="91"/>
      <c r="AO80" s="91"/>
      <c r="AP80" s="91"/>
      <c r="AQ80" s="94"/>
      <c r="AR80" s="95"/>
      <c r="AS80" s="91"/>
      <c r="AT80" s="91"/>
      <c r="AU80" s="91"/>
      <c r="AV80" s="91"/>
      <c r="AW80" s="91"/>
      <c r="AX80" s="91"/>
      <c r="AY80" s="91"/>
      <c r="AZ80" s="91"/>
      <c r="BA80" s="91"/>
      <c r="BB80" s="91"/>
      <c r="BC80" s="94"/>
      <c r="BD80" s="95"/>
      <c r="BE80" s="91"/>
      <c r="BF80" s="91"/>
      <c r="BG80" s="91"/>
      <c r="BH80" s="91"/>
      <c r="BI80" s="91"/>
      <c r="BJ80" s="91"/>
      <c r="BK80" s="91"/>
      <c r="BL80" s="91"/>
      <c r="BM80" s="91"/>
      <c r="BN80" s="91"/>
      <c r="BO80" s="94"/>
      <c r="BP80" s="95"/>
      <c r="BQ80" s="91"/>
      <c r="BR80" s="91"/>
      <c r="BS80" s="91"/>
      <c r="BT80" s="91"/>
      <c r="BU80" s="91"/>
      <c r="BV80" s="91"/>
      <c r="BW80" s="91"/>
      <c r="BX80" s="91"/>
      <c r="BY80" s="91"/>
      <c r="BZ80" s="91"/>
      <c r="CA80" s="91"/>
      <c r="CC80" s="79" t="n">
        <f aca="false">SUMIFS($T80:$CA80, $T$1:$CA$1, CC$63)</f>
        <v>0</v>
      </c>
      <c r="CD80" s="79" t="n">
        <f aca="false">SUMIFS($T80:$CA80, $T$1:$CA$1, CD$63)</f>
        <v>0</v>
      </c>
      <c r="CE80" s="79" t="n">
        <f aca="false">SUMIFS($T80:$CA80, $T$1:$CA$1, CE$63)</f>
        <v>0</v>
      </c>
      <c r="CF80" s="79" t="n">
        <f aca="false">SUMIFS($T80:$CA80, $T$1:$CA$1, CF$63)</f>
        <v>0</v>
      </c>
      <c r="CG80" s="79" t="n">
        <f aca="false">SUMIFS($T80:$CA80, $T$1:$CA$1, CG$63)</f>
        <v>0</v>
      </c>
      <c r="CI80" s="79" t="n">
        <f aca="false">CC80=L80</f>
        <v>1</v>
      </c>
      <c r="CJ80" s="79" t="n">
        <f aca="false">CD80=M80</f>
        <v>1</v>
      </c>
      <c r="CK80" s="79" t="n">
        <f aca="false">CE80=N80</f>
        <v>1</v>
      </c>
      <c r="CL80" s="79" t="n">
        <f aca="false">CF80=O80</f>
        <v>1</v>
      </c>
      <c r="CM80" s="79" t="n">
        <f aca="false">CG80=P80</f>
        <v>1</v>
      </c>
    </row>
    <row r="81" s="14" customFormat="true" ht="16.5" hidden="false" customHeight="true" outlineLevel="0" collapsed="false">
      <c r="E81" s="91"/>
      <c r="H81" s="71"/>
      <c r="I81" s="91" t="n">
        <v>0</v>
      </c>
      <c r="J81" s="91" t="n">
        <v>0</v>
      </c>
      <c r="K81" s="212" t="n">
        <f aca="false">I81-J81</f>
        <v>0</v>
      </c>
      <c r="L81" s="91"/>
      <c r="M81" s="91"/>
      <c r="N81" s="91"/>
      <c r="O81" s="91"/>
      <c r="P81" s="91"/>
      <c r="Q81" s="93"/>
      <c r="R81" s="16" t="str">
        <f aca="false">IF(K81=P81, "", "Error")</f>
        <v/>
      </c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4"/>
      <c r="AF81" s="95"/>
      <c r="AG81" s="91"/>
      <c r="AH81" s="91"/>
      <c r="AI81" s="91"/>
      <c r="AJ81" s="91"/>
      <c r="AK81" s="91"/>
      <c r="AL81" s="91"/>
      <c r="AM81" s="91"/>
      <c r="AN81" s="91"/>
      <c r="AO81" s="91"/>
      <c r="AP81" s="91"/>
      <c r="AQ81" s="94"/>
      <c r="AR81" s="95"/>
      <c r="AS81" s="91"/>
      <c r="AT81" s="91"/>
      <c r="AU81" s="91"/>
      <c r="AV81" s="91"/>
      <c r="AW81" s="91"/>
      <c r="AX81" s="91"/>
      <c r="AY81" s="91"/>
      <c r="AZ81" s="91"/>
      <c r="BA81" s="91"/>
      <c r="BB81" s="91"/>
      <c r="BC81" s="94"/>
      <c r="BD81" s="95"/>
      <c r="BE81" s="91"/>
      <c r="BF81" s="91"/>
      <c r="BG81" s="91"/>
      <c r="BH81" s="91"/>
      <c r="BI81" s="91"/>
      <c r="BJ81" s="91"/>
      <c r="BK81" s="91"/>
      <c r="BL81" s="91"/>
      <c r="BM81" s="91"/>
      <c r="BN81" s="91"/>
      <c r="BO81" s="94"/>
      <c r="BP81" s="95"/>
      <c r="BQ81" s="91"/>
      <c r="BR81" s="91"/>
      <c r="BS81" s="91"/>
      <c r="BT81" s="91"/>
      <c r="BU81" s="91"/>
      <c r="BV81" s="91"/>
      <c r="BW81" s="91"/>
      <c r="BX81" s="91"/>
      <c r="BY81" s="91"/>
      <c r="BZ81" s="91"/>
      <c r="CA81" s="91"/>
      <c r="CC81" s="79" t="n">
        <f aca="false">SUMIFS($T81:$CA81, $T$1:$CA$1, CC$63)</f>
        <v>0</v>
      </c>
      <c r="CD81" s="79" t="n">
        <f aca="false">SUMIFS($T81:$CA81, $T$1:$CA$1, CD$63)</f>
        <v>0</v>
      </c>
      <c r="CE81" s="79" t="n">
        <f aca="false">SUMIFS($T81:$CA81, $T$1:$CA$1, CE$63)</f>
        <v>0</v>
      </c>
      <c r="CF81" s="79" t="n">
        <f aca="false">SUMIFS($T81:$CA81, $T$1:$CA$1, CF$63)</f>
        <v>0</v>
      </c>
      <c r="CG81" s="79" t="n">
        <f aca="false">SUMIFS($T81:$CA81, $T$1:$CA$1, CG$63)</f>
        <v>0</v>
      </c>
      <c r="CI81" s="79" t="n">
        <f aca="false">CC81=L81</f>
        <v>1</v>
      </c>
      <c r="CJ81" s="79" t="n">
        <f aca="false">CD81=M81</f>
        <v>1</v>
      </c>
      <c r="CK81" s="79" t="n">
        <f aca="false">CE81=N81</f>
        <v>1</v>
      </c>
      <c r="CL81" s="79" t="n">
        <f aca="false">CF81=O81</f>
        <v>1</v>
      </c>
      <c r="CM81" s="79" t="n">
        <f aca="false">CG81=P81</f>
        <v>1</v>
      </c>
    </row>
    <row r="82" s="14" customFormat="true" ht="16.5" hidden="false" customHeight="true" outlineLevel="0" collapsed="false">
      <c r="E82" s="91"/>
      <c r="H82" s="71"/>
      <c r="I82" s="91" t="n">
        <v>0</v>
      </c>
      <c r="J82" s="91" t="n">
        <v>0</v>
      </c>
      <c r="K82" s="212" t="n">
        <f aca="false">I82-J82</f>
        <v>0</v>
      </c>
      <c r="L82" s="91"/>
      <c r="M82" s="91"/>
      <c r="N82" s="91"/>
      <c r="O82" s="91"/>
      <c r="P82" s="91"/>
      <c r="Q82" s="93"/>
      <c r="R82" s="16" t="str">
        <f aca="false">IF(K82=P82, "", "Error")</f>
        <v/>
      </c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4"/>
      <c r="AF82" s="95"/>
      <c r="AG82" s="91"/>
      <c r="AH82" s="91"/>
      <c r="AI82" s="91"/>
      <c r="AJ82" s="91"/>
      <c r="AK82" s="91"/>
      <c r="AL82" s="91"/>
      <c r="AM82" s="91"/>
      <c r="AN82" s="91"/>
      <c r="AO82" s="91"/>
      <c r="AP82" s="91"/>
      <c r="AQ82" s="94"/>
      <c r="AR82" s="95"/>
      <c r="AS82" s="91"/>
      <c r="AT82" s="91"/>
      <c r="AU82" s="91"/>
      <c r="AV82" s="91"/>
      <c r="AW82" s="91"/>
      <c r="AX82" s="91"/>
      <c r="AY82" s="91"/>
      <c r="AZ82" s="91"/>
      <c r="BA82" s="91"/>
      <c r="BB82" s="91"/>
      <c r="BC82" s="94"/>
      <c r="BD82" s="95"/>
      <c r="BE82" s="91"/>
      <c r="BF82" s="91"/>
      <c r="BG82" s="91"/>
      <c r="BH82" s="91"/>
      <c r="BI82" s="91"/>
      <c r="BJ82" s="91"/>
      <c r="BK82" s="91"/>
      <c r="BL82" s="91"/>
      <c r="BM82" s="91"/>
      <c r="BN82" s="91"/>
      <c r="BO82" s="94"/>
      <c r="BP82" s="95"/>
      <c r="BQ82" s="91"/>
      <c r="BR82" s="91"/>
      <c r="BS82" s="91"/>
      <c r="BT82" s="91"/>
      <c r="BU82" s="91"/>
      <c r="BV82" s="91"/>
      <c r="BW82" s="91"/>
      <c r="BX82" s="91"/>
      <c r="BY82" s="91"/>
      <c r="BZ82" s="91"/>
      <c r="CA82" s="91"/>
      <c r="CC82" s="79" t="n">
        <f aca="false">SUMIFS($T82:$CA82, $T$1:$CA$1, CC$63)</f>
        <v>0</v>
      </c>
      <c r="CD82" s="79" t="n">
        <f aca="false">SUMIFS($T82:$CA82, $T$1:$CA$1, CD$63)</f>
        <v>0</v>
      </c>
      <c r="CE82" s="79" t="n">
        <f aca="false">SUMIFS($T82:$CA82, $T$1:$CA$1, CE$63)</f>
        <v>0</v>
      </c>
      <c r="CF82" s="79" t="n">
        <f aca="false">SUMIFS($T82:$CA82, $T$1:$CA$1, CF$63)</f>
        <v>0</v>
      </c>
      <c r="CG82" s="79" t="n">
        <f aca="false">SUMIFS($T82:$CA82, $T$1:$CA$1, CG$63)</f>
        <v>0</v>
      </c>
      <c r="CI82" s="79" t="n">
        <f aca="false">CC82=L82</f>
        <v>1</v>
      </c>
      <c r="CJ82" s="79" t="n">
        <f aca="false">CD82=M82</f>
        <v>1</v>
      </c>
      <c r="CK82" s="79" t="n">
        <f aca="false">CE82=N82</f>
        <v>1</v>
      </c>
      <c r="CL82" s="79" t="n">
        <f aca="false">CF82=O82</f>
        <v>1</v>
      </c>
      <c r="CM82" s="79" t="n">
        <f aca="false">CG82=P82</f>
        <v>1</v>
      </c>
    </row>
    <row r="83" s="14" customFormat="true" ht="16.5" hidden="false" customHeight="true" outlineLevel="0" collapsed="false">
      <c r="E83" s="91"/>
      <c r="H83" s="71"/>
      <c r="I83" s="91" t="n">
        <v>0</v>
      </c>
      <c r="J83" s="91" t="n">
        <v>0</v>
      </c>
      <c r="K83" s="212" t="n">
        <f aca="false">I83-J83</f>
        <v>0</v>
      </c>
      <c r="L83" s="91"/>
      <c r="M83" s="91"/>
      <c r="N83" s="91"/>
      <c r="O83" s="91"/>
      <c r="P83" s="91"/>
      <c r="Q83" s="93"/>
      <c r="R83" s="16" t="str">
        <f aca="false">IF(K83=P83, "", "Error")</f>
        <v/>
      </c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4"/>
      <c r="AF83" s="95"/>
      <c r="AG83" s="91"/>
      <c r="AH83" s="91"/>
      <c r="AI83" s="91"/>
      <c r="AJ83" s="91"/>
      <c r="AK83" s="91"/>
      <c r="AL83" s="91"/>
      <c r="AM83" s="91"/>
      <c r="AN83" s="91"/>
      <c r="AO83" s="91"/>
      <c r="AP83" s="91"/>
      <c r="AQ83" s="94"/>
      <c r="AR83" s="95"/>
      <c r="AS83" s="91"/>
      <c r="AT83" s="91"/>
      <c r="AU83" s="91"/>
      <c r="AV83" s="91"/>
      <c r="AW83" s="91"/>
      <c r="AX83" s="91"/>
      <c r="AY83" s="91"/>
      <c r="AZ83" s="91"/>
      <c r="BA83" s="91"/>
      <c r="BB83" s="91"/>
      <c r="BC83" s="94"/>
      <c r="BD83" s="95"/>
      <c r="BE83" s="91"/>
      <c r="BF83" s="91"/>
      <c r="BG83" s="91"/>
      <c r="BH83" s="91"/>
      <c r="BI83" s="91"/>
      <c r="BJ83" s="91"/>
      <c r="BK83" s="91"/>
      <c r="BL83" s="91"/>
      <c r="BM83" s="91"/>
      <c r="BN83" s="91"/>
      <c r="BO83" s="94"/>
      <c r="BP83" s="95"/>
      <c r="BQ83" s="91"/>
      <c r="BR83" s="91"/>
      <c r="BS83" s="91"/>
      <c r="BT83" s="91"/>
      <c r="BU83" s="91"/>
      <c r="BV83" s="91"/>
      <c r="BW83" s="91"/>
      <c r="BX83" s="91"/>
      <c r="BY83" s="91"/>
      <c r="BZ83" s="91"/>
      <c r="CA83" s="91"/>
      <c r="CC83" s="79" t="n">
        <f aca="false">SUMIFS($T83:$CA83, $T$1:$CA$1, CC$63)</f>
        <v>0</v>
      </c>
      <c r="CD83" s="79" t="n">
        <f aca="false">SUMIFS($T83:$CA83, $T$1:$CA$1, CD$63)</f>
        <v>0</v>
      </c>
      <c r="CE83" s="79" t="n">
        <f aca="false">SUMIFS($T83:$CA83, $T$1:$CA$1, CE$63)</f>
        <v>0</v>
      </c>
      <c r="CF83" s="79" t="n">
        <f aca="false">SUMIFS($T83:$CA83, $T$1:$CA$1, CF$63)</f>
        <v>0</v>
      </c>
      <c r="CG83" s="79" t="n">
        <f aca="false">SUMIFS($T83:$CA83, $T$1:$CA$1, CG$63)</f>
        <v>0</v>
      </c>
      <c r="CI83" s="79" t="n">
        <f aca="false">CC83=L83</f>
        <v>1</v>
      </c>
      <c r="CJ83" s="79" t="n">
        <f aca="false">CD83=M83</f>
        <v>1</v>
      </c>
      <c r="CK83" s="79" t="n">
        <f aca="false">CE83=N83</f>
        <v>1</v>
      </c>
      <c r="CL83" s="79" t="n">
        <f aca="false">CF83=O83</f>
        <v>1</v>
      </c>
      <c r="CM83" s="79" t="n">
        <f aca="false">CG83=P83</f>
        <v>1</v>
      </c>
    </row>
    <row r="84" s="14" customFormat="true" ht="16.5" hidden="false" customHeight="true" outlineLevel="0" collapsed="false">
      <c r="E84" s="96" t="s">
        <v>143</v>
      </c>
      <c r="H84" s="71"/>
      <c r="I84" s="82" t="n">
        <f aca="false">SUM(I79:I83)</f>
        <v>143.18592021</v>
      </c>
      <c r="J84" s="82" t="n">
        <f aca="false">SUM(J79:J83)</f>
        <v>128.414690451479</v>
      </c>
      <c r="K84" s="82" t="n">
        <f aca="false">SUM(K79:K83)</f>
        <v>14.7712297585212</v>
      </c>
      <c r="L84" s="82" t="n">
        <f aca="false">SUM(L79:L83)</f>
        <v>0</v>
      </c>
      <c r="M84" s="82" t="n">
        <f aca="false">SUM(M79:M83)</f>
        <v>1.40678378652583</v>
      </c>
      <c r="N84" s="82" t="n">
        <f aca="false">SUM(N79:N83)</f>
        <v>13.9799138786004</v>
      </c>
      <c r="O84" s="82" t="n">
        <f aca="false">SUM(O79:O83)</f>
        <v>14.7712297585212</v>
      </c>
      <c r="P84" s="82" t="n">
        <f aca="false">SUM(P79:P83)</f>
        <v>14.7712297585212</v>
      </c>
      <c r="Q84" s="103"/>
      <c r="R84" s="103"/>
      <c r="S84" s="104"/>
      <c r="T84" s="82" t="n">
        <f aca="false">SUM(T79:T83)</f>
        <v>0</v>
      </c>
      <c r="U84" s="82" t="n">
        <f aca="false">SUM(U79:U83)</f>
        <v>0</v>
      </c>
      <c r="V84" s="82" t="n">
        <f aca="false">SUM(V79:V83)</f>
        <v>0</v>
      </c>
      <c r="W84" s="82" t="n">
        <f aca="false">SUM(W79:W83)</f>
        <v>0</v>
      </c>
      <c r="X84" s="82" t="n">
        <f aca="false">SUM(X79:X83)</f>
        <v>0</v>
      </c>
      <c r="Y84" s="82" t="n">
        <f aca="false">SUM(Y79:Y83)</f>
        <v>0</v>
      </c>
      <c r="Z84" s="82" t="n">
        <f aca="false">SUM(Z79:Z83)</f>
        <v>0</v>
      </c>
      <c r="AA84" s="82" t="n">
        <f aca="false">SUM(AA79:AA83)</f>
        <v>0</v>
      </c>
      <c r="AB84" s="82" t="n">
        <f aca="false">SUM(AB79:AB83)</f>
        <v>0</v>
      </c>
      <c r="AC84" s="82" t="n">
        <f aca="false">SUM(AC79:AC83)</f>
        <v>0</v>
      </c>
      <c r="AD84" s="82" t="n">
        <f aca="false">SUM(AD79:AD83)</f>
        <v>0</v>
      </c>
      <c r="AE84" s="82" t="n">
        <f aca="false">SUM(AE79:AE83)</f>
        <v>0</v>
      </c>
      <c r="AF84" s="82" t="n">
        <f aca="false">SUM(AF79:AF83)</f>
        <v>0</v>
      </c>
      <c r="AG84" s="82" t="n">
        <f aca="false">SUM(AG79:AG83)</f>
        <v>0</v>
      </c>
      <c r="AH84" s="82" t="n">
        <f aca="false">SUM(AH79:AH83)</f>
        <v>0</v>
      </c>
      <c r="AI84" s="82" t="n">
        <f aca="false">SUM(AI79:AI83)</f>
        <v>0</v>
      </c>
      <c r="AJ84" s="82" t="n">
        <f aca="false">SUM(AJ79:AJ83)</f>
        <v>0</v>
      </c>
      <c r="AK84" s="82" t="n">
        <f aca="false">SUM(AK79:AK83)</f>
        <v>0</v>
      </c>
      <c r="AL84" s="82" t="n">
        <f aca="false">SUM(AL79:AL83)</f>
        <v>0</v>
      </c>
      <c r="AM84" s="82" t="n">
        <f aca="false">SUM(AM79:AM83)</f>
        <v>0</v>
      </c>
      <c r="AN84" s="82" t="n">
        <f aca="false">SUM(AN79:AN83)</f>
        <v>0.0879239866578642</v>
      </c>
      <c r="AO84" s="82" t="n">
        <f aca="false">SUM(AO79:AO83)</f>
        <v>0.263771959973593</v>
      </c>
      <c r="AP84" s="82" t="n">
        <f aca="false">SUM(AP79:AP83)</f>
        <v>0.439619933289321</v>
      </c>
      <c r="AQ84" s="82" t="n">
        <f aca="false">SUM(AQ79:AQ83)</f>
        <v>0.615467906605049</v>
      </c>
      <c r="AR84" s="82" t="n">
        <f aca="false">SUM(AR79:AR83)</f>
        <v>0.791315879920778</v>
      </c>
      <c r="AS84" s="82" t="n">
        <f aca="false">SUM(AS79:AS83)</f>
        <v>0.967163853236506</v>
      </c>
      <c r="AT84" s="82" t="n">
        <f aca="false">SUM(AT79:AT83)</f>
        <v>1.14301182655223</v>
      </c>
      <c r="AU84" s="82" t="n">
        <f aca="false">SUM(AU79:AU83)</f>
        <v>1.2309358132101</v>
      </c>
      <c r="AV84" s="82" t="n">
        <f aca="false">SUM(AV79:AV83)</f>
        <v>1.2309358132101</v>
      </c>
      <c r="AW84" s="82" t="n">
        <f aca="false">SUM(AW79:AW83)</f>
        <v>1.2309358132101</v>
      </c>
      <c r="AX84" s="82" t="n">
        <f aca="false">SUM(AX79:AX83)</f>
        <v>1.2309358132101</v>
      </c>
      <c r="AY84" s="82" t="n">
        <f aca="false">SUM(AY79:AY83)</f>
        <v>1.2309358132101</v>
      </c>
      <c r="AZ84" s="82" t="n">
        <f aca="false">SUM(AZ79:AZ83)</f>
        <v>1.2309358132101</v>
      </c>
      <c r="BA84" s="82" t="n">
        <f aca="false">SUM(BA79:BA83)</f>
        <v>1.2309358132101</v>
      </c>
      <c r="BB84" s="82" t="n">
        <f aca="false">SUM(BB79:BB83)</f>
        <v>1.2309358132101</v>
      </c>
      <c r="BC84" s="82" t="n">
        <f aca="false">SUM(BC79:BC83)</f>
        <v>1.2309358132101</v>
      </c>
      <c r="BD84" s="82" t="n">
        <f aca="false">SUM(BD79:BD83)</f>
        <v>1.2309358132101</v>
      </c>
      <c r="BE84" s="82" t="n">
        <f aca="false">SUM(BE79:BE83)</f>
        <v>1.2309358132101</v>
      </c>
      <c r="BF84" s="82" t="n">
        <f aca="false">SUM(BF79:BF83)</f>
        <v>1.2309358132101</v>
      </c>
      <c r="BG84" s="82" t="n">
        <f aca="false">SUM(BG79:BG83)</f>
        <v>1.2309358132101</v>
      </c>
      <c r="BH84" s="82" t="n">
        <f aca="false">SUM(BH79:BH83)</f>
        <v>1.2309358132101</v>
      </c>
      <c r="BI84" s="82" t="n">
        <f aca="false">SUM(BI79:BI83)</f>
        <v>1.2309358132101</v>
      </c>
      <c r="BJ84" s="82" t="n">
        <f aca="false">SUM(BJ79:BJ83)</f>
        <v>1.2309358132101</v>
      </c>
      <c r="BK84" s="82" t="n">
        <f aca="false">SUM(BK79:BK83)</f>
        <v>1.2309358132101</v>
      </c>
      <c r="BL84" s="82" t="n">
        <f aca="false">SUM(BL79:BL83)</f>
        <v>1.2309358132101</v>
      </c>
      <c r="BM84" s="82" t="n">
        <f aca="false">SUM(BM79:BM83)</f>
        <v>1.2309358132101</v>
      </c>
      <c r="BN84" s="82" t="n">
        <f aca="false">SUM(BN79:BN83)</f>
        <v>1.2309358132101</v>
      </c>
      <c r="BO84" s="82" t="n">
        <f aca="false">SUM(BO79:BO83)</f>
        <v>1.2309358132101</v>
      </c>
      <c r="BP84" s="82" t="n">
        <f aca="false">SUM(BP79:BP83)</f>
        <v>1.2309358132101</v>
      </c>
      <c r="BQ84" s="82" t="n">
        <f aca="false">SUM(BQ79:BQ83)</f>
        <v>1.2309358132101</v>
      </c>
      <c r="BR84" s="82" t="n">
        <f aca="false">SUM(BR79:BR83)</f>
        <v>1.2309358132101</v>
      </c>
      <c r="BS84" s="82" t="n">
        <f aca="false">SUM(BS79:BS83)</f>
        <v>1.2309358132101</v>
      </c>
      <c r="BT84" s="82" t="n">
        <f aca="false">SUM(BT79:BT83)</f>
        <v>1.2309358132101</v>
      </c>
      <c r="BU84" s="82" t="n">
        <f aca="false">SUM(BU79:BU83)</f>
        <v>1.2309358132101</v>
      </c>
      <c r="BV84" s="82" t="n">
        <f aca="false">SUM(BV79:BV83)</f>
        <v>1.2309358132101</v>
      </c>
      <c r="BW84" s="82" t="n">
        <f aca="false">SUM(BW79:BW83)</f>
        <v>1.2309358132101</v>
      </c>
      <c r="BX84" s="82" t="n">
        <f aca="false">SUM(BX79:BX83)</f>
        <v>1.2309358132101</v>
      </c>
      <c r="BY84" s="82" t="n">
        <f aca="false">SUM(BY79:BY83)</f>
        <v>1.2309358132101</v>
      </c>
      <c r="BZ84" s="82" t="n">
        <f aca="false">SUM(BZ79:BZ83)</f>
        <v>1.2309358132101</v>
      </c>
      <c r="CA84" s="82" t="n">
        <f aca="false">SUM(CA79:CA83)</f>
        <v>1.2309358132101</v>
      </c>
      <c r="CB84" s="104"/>
      <c r="CC84" s="105" t="n">
        <f aca="false">SUM(CC79:CC83)</f>
        <v>0</v>
      </c>
      <c r="CD84" s="105" t="n">
        <f aca="false">SUM(CD79:CD83)</f>
        <v>1.40678378652583</v>
      </c>
      <c r="CE84" s="105" t="n">
        <f aca="false">SUM(CE79:CE83)</f>
        <v>13.9799138786004</v>
      </c>
      <c r="CF84" s="105" t="n">
        <f aca="false">SUM(CF79:CF83)</f>
        <v>14.7712297585212</v>
      </c>
      <c r="CG84" s="105" t="n">
        <f aca="false">SUM(CG79:CG83)</f>
        <v>14.7712297585212</v>
      </c>
      <c r="CI84" s="84" t="n">
        <f aca="false">CC84=L84</f>
        <v>1</v>
      </c>
      <c r="CJ84" s="84" t="n">
        <f aca="false">CD84=M84</f>
        <v>1</v>
      </c>
      <c r="CK84" s="84" t="n">
        <f aca="false">CE84=N84</f>
        <v>1</v>
      </c>
      <c r="CL84" s="84" t="n">
        <f aca="false">CF84=O84</f>
        <v>1</v>
      </c>
      <c r="CM84" s="84" t="n">
        <f aca="false">CG84=P84</f>
        <v>1</v>
      </c>
    </row>
    <row r="85" s="14" customFormat="true" ht="16.5" hidden="false" customHeight="true" outlineLevel="0" collapsed="false">
      <c r="E85" s="96"/>
      <c r="H85" s="71"/>
      <c r="I85" s="82"/>
      <c r="J85" s="82"/>
      <c r="K85" s="82"/>
      <c r="L85" s="82"/>
      <c r="M85" s="82"/>
      <c r="N85" s="82"/>
      <c r="O85" s="82"/>
      <c r="P85" s="82"/>
      <c r="Q85" s="16"/>
      <c r="R85" s="16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3"/>
      <c r="AG85" s="82"/>
      <c r="AH85" s="82"/>
      <c r="AI85" s="82"/>
      <c r="AJ85" s="82"/>
      <c r="AK85" s="82"/>
      <c r="AL85" s="82"/>
      <c r="AM85" s="82"/>
      <c r="AN85" s="82"/>
      <c r="AO85" s="82"/>
      <c r="AP85" s="82"/>
      <c r="AQ85" s="82"/>
      <c r="AR85" s="83"/>
      <c r="AS85" s="82"/>
      <c r="AT85" s="82"/>
      <c r="AU85" s="82"/>
      <c r="AV85" s="82"/>
      <c r="AW85" s="82"/>
      <c r="AX85" s="82"/>
      <c r="AY85" s="82"/>
      <c r="AZ85" s="82"/>
      <c r="BA85" s="82"/>
      <c r="BB85" s="82"/>
      <c r="BC85" s="82"/>
      <c r="BD85" s="83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3"/>
      <c r="BQ85" s="82"/>
      <c r="BR85" s="82"/>
      <c r="BS85" s="82"/>
      <c r="BT85" s="82"/>
      <c r="BU85" s="82"/>
      <c r="BV85" s="82"/>
      <c r="BW85" s="82"/>
      <c r="BX85" s="82"/>
      <c r="BY85" s="82"/>
      <c r="BZ85" s="82"/>
      <c r="CA85" s="82"/>
      <c r="CC85" s="84"/>
      <c r="CD85" s="84"/>
      <c r="CE85" s="84"/>
      <c r="CF85" s="84"/>
      <c r="CG85" s="84"/>
      <c r="CI85" s="84"/>
      <c r="CJ85" s="84"/>
      <c r="CK85" s="84"/>
      <c r="CL85" s="84"/>
      <c r="CM85" s="84"/>
    </row>
    <row r="86" s="14" customFormat="true" ht="16.5" hidden="false" customHeight="true" outlineLevel="0" collapsed="false">
      <c r="E86" s="96"/>
      <c r="H86" s="71"/>
      <c r="I86" s="82"/>
      <c r="J86" s="82"/>
      <c r="K86" s="82"/>
      <c r="L86" s="82"/>
      <c r="M86" s="82"/>
      <c r="N86" s="82"/>
      <c r="O86" s="82"/>
      <c r="P86" s="82"/>
      <c r="Q86" s="16"/>
      <c r="R86" s="16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3"/>
      <c r="AG86" s="82"/>
      <c r="AH86" s="82"/>
      <c r="AI86" s="82"/>
      <c r="AJ86" s="82"/>
      <c r="AK86" s="82"/>
      <c r="AL86" s="82"/>
      <c r="AM86" s="82"/>
      <c r="AN86" s="82"/>
      <c r="AO86" s="82"/>
      <c r="AP86" s="82"/>
      <c r="AQ86" s="82"/>
      <c r="AR86" s="83"/>
      <c r="AS86" s="82"/>
      <c r="AT86" s="82"/>
      <c r="AU86" s="82"/>
      <c r="AV86" s="82"/>
      <c r="AW86" s="82"/>
      <c r="AX86" s="82"/>
      <c r="AY86" s="82"/>
      <c r="AZ86" s="82"/>
      <c r="BA86" s="82"/>
      <c r="BB86" s="82"/>
      <c r="BC86" s="82"/>
      <c r="BD86" s="83"/>
      <c r="BE86" s="82"/>
      <c r="BF86" s="82"/>
      <c r="BG86" s="82"/>
      <c r="BH86" s="82"/>
      <c r="BI86" s="82"/>
      <c r="BJ86" s="82"/>
      <c r="BK86" s="82"/>
      <c r="BL86" s="82"/>
      <c r="BM86" s="82"/>
      <c r="BN86" s="82"/>
      <c r="BO86" s="82"/>
      <c r="BP86" s="83"/>
      <c r="BQ86" s="82"/>
      <c r="BR86" s="82"/>
      <c r="BS86" s="82"/>
      <c r="BT86" s="82"/>
      <c r="BU86" s="82"/>
      <c r="BV86" s="82"/>
      <c r="BW86" s="82"/>
      <c r="BX86" s="82"/>
      <c r="BY86" s="82"/>
      <c r="BZ86" s="82"/>
      <c r="CA86" s="82"/>
      <c r="CC86" s="84"/>
      <c r="CD86" s="84"/>
      <c r="CE86" s="84"/>
      <c r="CF86" s="84"/>
      <c r="CG86" s="84"/>
      <c r="CI86" s="84"/>
      <c r="CJ86" s="84"/>
      <c r="CK86" s="84"/>
      <c r="CL86" s="84"/>
      <c r="CM86" s="84"/>
    </row>
    <row r="87" s="14" customFormat="true" ht="16.5" hidden="false" customHeight="true" outlineLevel="0" collapsed="false">
      <c r="E87" s="85"/>
      <c r="H87" s="71"/>
      <c r="I87" s="88"/>
      <c r="J87" s="88"/>
      <c r="K87" s="88"/>
      <c r="L87" s="88"/>
      <c r="M87" s="88"/>
      <c r="N87" s="88"/>
      <c r="O87" s="88"/>
      <c r="P87" s="88"/>
      <c r="Q87" s="16"/>
      <c r="R87" s="16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9"/>
      <c r="AG87" s="88"/>
      <c r="AH87" s="88"/>
      <c r="AI87" s="88"/>
      <c r="AJ87" s="88"/>
      <c r="AK87" s="88"/>
      <c r="AL87" s="88"/>
      <c r="AM87" s="88"/>
      <c r="AN87" s="88"/>
      <c r="AO87" s="88"/>
      <c r="AP87" s="88"/>
      <c r="AQ87" s="88"/>
      <c r="AR87" s="89"/>
      <c r="AS87" s="88"/>
      <c r="AT87" s="88"/>
      <c r="AU87" s="88"/>
      <c r="AV87" s="88"/>
      <c r="AW87" s="88"/>
      <c r="AX87" s="88"/>
      <c r="AY87" s="88"/>
      <c r="AZ87" s="88"/>
      <c r="BA87" s="88"/>
      <c r="BB87" s="88"/>
      <c r="BC87" s="88"/>
      <c r="BD87" s="89"/>
      <c r="BE87" s="88"/>
      <c r="BF87" s="88"/>
      <c r="BG87" s="88"/>
      <c r="BH87" s="88"/>
      <c r="BI87" s="88"/>
      <c r="BJ87" s="88"/>
      <c r="BK87" s="88"/>
      <c r="BL87" s="88"/>
      <c r="BM87" s="88"/>
      <c r="BN87" s="88"/>
      <c r="BO87" s="88"/>
      <c r="BP87" s="89"/>
      <c r="BQ87" s="88"/>
      <c r="BR87" s="88"/>
      <c r="BS87" s="88"/>
      <c r="BT87" s="88"/>
      <c r="BU87" s="88"/>
      <c r="BV87" s="88"/>
      <c r="BW87" s="88"/>
      <c r="BX87" s="88"/>
      <c r="BY87" s="88"/>
      <c r="BZ87" s="88"/>
      <c r="CA87" s="88"/>
      <c r="CC87" s="90"/>
      <c r="CD87" s="90"/>
      <c r="CE87" s="90"/>
      <c r="CF87" s="90"/>
      <c r="CG87" s="90"/>
      <c r="CI87" s="90"/>
      <c r="CJ87" s="90"/>
      <c r="CK87" s="90"/>
      <c r="CL87" s="90"/>
      <c r="CM87" s="90"/>
    </row>
    <row r="88" s="14" customFormat="true" ht="16.5" hidden="false" customHeight="true" outlineLevel="0" collapsed="false">
      <c r="E88" s="109" t="s">
        <v>144</v>
      </c>
      <c r="F88" s="109"/>
      <c r="G88" s="109"/>
      <c r="H88" s="110"/>
      <c r="I88" s="217" t="n">
        <f aca="false">SUM(I68, I76, I84)</f>
        <v>143.18592021</v>
      </c>
      <c r="J88" s="217" t="n">
        <f aca="false">SUM(J68, J76, J84)</f>
        <v>128.414690451479</v>
      </c>
      <c r="K88" s="217" t="n">
        <f aca="false">SUM(K68, K76, K84)</f>
        <v>14.7712297585212</v>
      </c>
      <c r="L88" s="217" t="n">
        <f aca="false">SUM(L68, L76, L84)</f>
        <v>0</v>
      </c>
      <c r="M88" s="217" t="n">
        <f aca="false">SUM(M68, M76, M84)</f>
        <v>1.40678378652583</v>
      </c>
      <c r="N88" s="217" t="n">
        <f aca="false">SUM(N68, N76, N84)</f>
        <v>13.9799138786004</v>
      </c>
      <c r="O88" s="217" t="n">
        <f aca="false">SUM(O68, O76, O84)</f>
        <v>14.7712297585212</v>
      </c>
      <c r="P88" s="217" t="n">
        <f aca="false">SUM(P68, P76, P84)</f>
        <v>14.7712297585212</v>
      </c>
      <c r="Q88" s="16"/>
      <c r="R88" s="16"/>
      <c r="T88" s="218" t="n">
        <f aca="false">SUM(T68, T76, T84)</f>
        <v>0</v>
      </c>
      <c r="U88" s="218" t="n">
        <f aca="false">SUM(U68, U76, U84)</f>
        <v>0</v>
      </c>
      <c r="V88" s="218" t="n">
        <f aca="false">SUM(V68, V76, V84)</f>
        <v>0</v>
      </c>
      <c r="W88" s="218" t="n">
        <f aca="false">SUM(W68, W76, W84)</f>
        <v>0</v>
      </c>
      <c r="X88" s="218" t="n">
        <f aca="false">SUM(X68, X76, X84)</f>
        <v>0</v>
      </c>
      <c r="Y88" s="218" t="n">
        <f aca="false">SUM(Y68, Y76, Y84)</f>
        <v>0</v>
      </c>
      <c r="Z88" s="218" t="n">
        <f aca="false">SUM(Z68, Z76, Z84)</f>
        <v>0</v>
      </c>
      <c r="AA88" s="218" t="n">
        <f aca="false">SUM(AA68, AA76, AA84)</f>
        <v>0</v>
      </c>
      <c r="AB88" s="218" t="n">
        <f aca="false">SUM(AB68, AB76, AB84)</f>
        <v>0</v>
      </c>
      <c r="AC88" s="218" t="n">
        <f aca="false">SUM(AC68, AC76, AC84)</f>
        <v>0</v>
      </c>
      <c r="AD88" s="218" t="n">
        <f aca="false">SUM(AD68, AD76, AD84)</f>
        <v>0</v>
      </c>
      <c r="AE88" s="218" t="n">
        <f aca="false">SUM(AE68, AE76, AE84)</f>
        <v>0</v>
      </c>
      <c r="AF88" s="218" t="n">
        <f aca="false">SUM(AF68, AF76, AF84)</f>
        <v>0</v>
      </c>
      <c r="AG88" s="218" t="n">
        <f aca="false">SUM(AG68, AG76, AG84)</f>
        <v>0</v>
      </c>
      <c r="AH88" s="218" t="n">
        <f aca="false">SUM(AH68, AH76, AH84)</f>
        <v>0</v>
      </c>
      <c r="AI88" s="218" t="n">
        <f aca="false">SUM(AI68, AI76, AI84)</f>
        <v>0</v>
      </c>
      <c r="AJ88" s="218" t="n">
        <f aca="false">SUM(AJ68, AJ76, AJ84)</f>
        <v>0</v>
      </c>
      <c r="AK88" s="218" t="n">
        <f aca="false">SUM(AK68, AK76, AK84)</f>
        <v>0</v>
      </c>
      <c r="AL88" s="218" t="n">
        <f aca="false">SUM(AL68, AL76, AL84)</f>
        <v>0</v>
      </c>
      <c r="AM88" s="218" t="n">
        <f aca="false">SUM(AM68, AM76, AM84)</f>
        <v>0</v>
      </c>
      <c r="AN88" s="218" t="n">
        <f aca="false">SUM(AN68, AN76, AN84)</f>
        <v>0.0879239866578642</v>
      </c>
      <c r="AO88" s="218" t="n">
        <f aca="false">SUM(AO68, AO76, AO84)</f>
        <v>0.263771959973593</v>
      </c>
      <c r="AP88" s="218" t="n">
        <f aca="false">SUM(AP68, AP76, AP84)</f>
        <v>0.439619933289321</v>
      </c>
      <c r="AQ88" s="218" t="n">
        <f aca="false">SUM(AQ68, AQ76, AQ84)</f>
        <v>0.615467906605049</v>
      </c>
      <c r="AR88" s="218" t="n">
        <f aca="false">SUM(AR68, AR76, AR84)</f>
        <v>0.791315879920778</v>
      </c>
      <c r="AS88" s="218" t="n">
        <f aca="false">SUM(AS68, AS76, AS84)</f>
        <v>0.967163853236506</v>
      </c>
      <c r="AT88" s="218" t="n">
        <f aca="false">SUM(AT68, AT76, AT84)</f>
        <v>1.14301182655223</v>
      </c>
      <c r="AU88" s="218" t="n">
        <f aca="false">SUM(AU68, AU76, AU84)</f>
        <v>1.2309358132101</v>
      </c>
      <c r="AV88" s="218" t="n">
        <f aca="false">SUM(AV68, AV76, AV84)</f>
        <v>1.2309358132101</v>
      </c>
      <c r="AW88" s="218" t="n">
        <f aca="false">SUM(AW68, AW76, AW84)</f>
        <v>1.2309358132101</v>
      </c>
      <c r="AX88" s="218" t="n">
        <f aca="false">SUM(AX68, AX76, AX84)</f>
        <v>1.2309358132101</v>
      </c>
      <c r="AY88" s="218" t="n">
        <f aca="false">SUM(AY68, AY76, AY84)</f>
        <v>1.2309358132101</v>
      </c>
      <c r="AZ88" s="218" t="n">
        <f aca="false">SUM(AZ68, AZ76, AZ84)</f>
        <v>1.2309358132101</v>
      </c>
      <c r="BA88" s="218" t="n">
        <f aca="false">SUM(BA68, BA76, BA84)</f>
        <v>1.2309358132101</v>
      </c>
      <c r="BB88" s="218" t="n">
        <f aca="false">SUM(BB68, BB76, BB84)</f>
        <v>1.2309358132101</v>
      </c>
      <c r="BC88" s="218" t="n">
        <f aca="false">SUM(BC68, BC76, BC84)</f>
        <v>1.2309358132101</v>
      </c>
      <c r="BD88" s="218" t="n">
        <f aca="false">SUM(BD68, BD76, BD84)</f>
        <v>1.2309358132101</v>
      </c>
      <c r="BE88" s="218" t="n">
        <f aca="false">SUM(BE68, BE76, BE84)</f>
        <v>1.2309358132101</v>
      </c>
      <c r="BF88" s="218" t="n">
        <f aca="false">SUM(BF68, BF76, BF84)</f>
        <v>1.2309358132101</v>
      </c>
      <c r="BG88" s="218" t="n">
        <f aca="false">SUM(BG68, BG76, BG84)</f>
        <v>1.2309358132101</v>
      </c>
      <c r="BH88" s="218" t="n">
        <f aca="false">SUM(BH68, BH76, BH84)</f>
        <v>1.2309358132101</v>
      </c>
      <c r="BI88" s="218" t="n">
        <f aca="false">SUM(BI68, BI76, BI84)</f>
        <v>1.2309358132101</v>
      </c>
      <c r="BJ88" s="218" t="n">
        <f aca="false">SUM(BJ68, BJ76, BJ84)</f>
        <v>1.2309358132101</v>
      </c>
      <c r="BK88" s="218" t="n">
        <f aca="false">SUM(BK68, BK76, BK84)</f>
        <v>1.2309358132101</v>
      </c>
      <c r="BL88" s="218" t="n">
        <f aca="false">SUM(BL68, BL76, BL84)</f>
        <v>1.2309358132101</v>
      </c>
      <c r="BM88" s="218" t="n">
        <f aca="false">SUM(BM68, BM76, BM84)</f>
        <v>1.2309358132101</v>
      </c>
      <c r="BN88" s="218" t="n">
        <f aca="false">SUM(BN68, BN76, BN84)</f>
        <v>1.2309358132101</v>
      </c>
      <c r="BO88" s="218" t="n">
        <f aca="false">SUM(BO68, BO76, BO84)</f>
        <v>1.2309358132101</v>
      </c>
      <c r="BP88" s="218" t="n">
        <f aca="false">SUM(BP68, BP76, BP84)</f>
        <v>1.2309358132101</v>
      </c>
      <c r="BQ88" s="218" t="n">
        <f aca="false">SUM(BQ68, BQ76, BQ84)</f>
        <v>1.2309358132101</v>
      </c>
      <c r="BR88" s="218" t="n">
        <f aca="false">SUM(BR68, BR76, BR84)</f>
        <v>1.2309358132101</v>
      </c>
      <c r="BS88" s="218" t="n">
        <f aca="false">SUM(BS68, BS76, BS84)</f>
        <v>1.2309358132101</v>
      </c>
      <c r="BT88" s="218" t="n">
        <f aca="false">SUM(BT68, BT76, BT84)</f>
        <v>1.2309358132101</v>
      </c>
      <c r="BU88" s="218" t="n">
        <f aca="false">SUM(BU68, BU76, BU84)</f>
        <v>1.2309358132101</v>
      </c>
      <c r="BV88" s="218" t="n">
        <f aca="false">SUM(BV68, BV76, BV84)</f>
        <v>1.2309358132101</v>
      </c>
      <c r="BW88" s="218" t="n">
        <f aca="false">SUM(BW68, BW76, BW84)</f>
        <v>1.2309358132101</v>
      </c>
      <c r="BX88" s="218" t="n">
        <f aca="false">SUM(BX68, BX76, BX84)</f>
        <v>1.2309358132101</v>
      </c>
      <c r="BY88" s="218" t="n">
        <f aca="false">SUM(BY68, BY76, BY84)</f>
        <v>1.2309358132101</v>
      </c>
      <c r="BZ88" s="218" t="n">
        <f aca="false">SUM(BZ68, BZ76, BZ84)</f>
        <v>1.2309358132101</v>
      </c>
      <c r="CA88" s="218" t="n">
        <f aca="false">SUM(CA68, CA76, CA84)</f>
        <v>1.2309358132101</v>
      </c>
      <c r="CC88" s="112" t="n">
        <f aca="false">SUM(CC68, CC76, CC84)</f>
        <v>0</v>
      </c>
      <c r="CD88" s="112" t="n">
        <f aca="false">SUM(CD68, CD76, CD84)</f>
        <v>1.40678378652583</v>
      </c>
      <c r="CE88" s="112" t="n">
        <f aca="false">SUM(CE68, CE76, CE84)</f>
        <v>13.9799138786004</v>
      </c>
      <c r="CF88" s="112" t="n">
        <f aca="false">SUM(CF68, CF76, CF84)</f>
        <v>14.7712297585212</v>
      </c>
      <c r="CG88" s="112" t="n">
        <f aca="false">SUM(CG68, CG76, CG84)</f>
        <v>14.7712297585212</v>
      </c>
      <c r="CH88" s="112" t="n">
        <f aca="false">SUM(CH68, CH76, CH84)</f>
        <v>0</v>
      </c>
      <c r="CI88" s="113" t="n">
        <f aca="false">CC88=L88</f>
        <v>1</v>
      </c>
      <c r="CJ88" s="113" t="n">
        <f aca="false">CD88=M88</f>
        <v>1</v>
      </c>
      <c r="CK88" s="113" t="n">
        <f aca="false">CE88=N88</f>
        <v>1</v>
      </c>
      <c r="CL88" s="113" t="n">
        <f aca="false">CF88=O88</f>
        <v>1</v>
      </c>
      <c r="CM88" s="113" t="n">
        <f aca="false">CG88=P88</f>
        <v>1</v>
      </c>
    </row>
    <row r="89" s="14" customFormat="true" ht="16.5" hidden="false" customHeight="true" outlineLevel="0" collapsed="false">
      <c r="H89" s="29"/>
      <c r="Q89" s="16"/>
      <c r="R89" s="16"/>
    </row>
    <row r="90" s="14" customFormat="true" ht="16.5" hidden="false" customHeight="true" outlineLevel="0" collapsed="false">
      <c r="H90" s="29"/>
      <c r="Q90" s="16"/>
      <c r="R90" s="16"/>
      <c r="T90" s="62" t="n">
        <v>2026</v>
      </c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62" t="n">
        <v>2027</v>
      </c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62" t="n">
        <v>2028</v>
      </c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62" t="n">
        <v>2029</v>
      </c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62" t="n">
        <v>2030</v>
      </c>
      <c r="BQ90" s="130"/>
      <c r="BR90" s="130"/>
      <c r="BS90" s="130"/>
      <c r="BT90" s="130"/>
      <c r="BU90" s="130"/>
      <c r="BV90" s="130"/>
      <c r="BW90" s="130"/>
      <c r="BX90" s="130"/>
      <c r="BY90" s="130"/>
      <c r="BZ90" s="130"/>
      <c r="CA90" s="130"/>
      <c r="CI90" s="211" t="s">
        <v>426</v>
      </c>
      <c r="CJ90" s="211"/>
      <c r="CK90" s="211"/>
      <c r="CL90" s="211"/>
      <c r="CM90" s="211"/>
    </row>
    <row r="91" s="14" customFormat="true" ht="16.5" hidden="false" customHeight="true" outlineLevel="0" collapsed="false">
      <c r="D91" s="30" t="s">
        <v>145</v>
      </c>
      <c r="E91" s="31"/>
      <c r="F91" s="31"/>
      <c r="G91" s="31"/>
      <c r="H91" s="219" t="s">
        <v>130</v>
      </c>
      <c r="I91" s="31" t="s">
        <v>77</v>
      </c>
      <c r="J91" s="31" t="s">
        <v>104</v>
      </c>
      <c r="K91" s="31" t="s">
        <v>131</v>
      </c>
      <c r="L91" s="31" t="n">
        <v>2026</v>
      </c>
      <c r="M91" s="31" t="n">
        <f aca="false">L91+1</f>
        <v>2027</v>
      </c>
      <c r="N91" s="31" t="n">
        <f aca="false">M91+1</f>
        <v>2028</v>
      </c>
      <c r="O91" s="31" t="n">
        <f aca="false">N91+1</f>
        <v>2029</v>
      </c>
      <c r="P91" s="31" t="n">
        <f aca="false">O91+1</f>
        <v>2030</v>
      </c>
      <c r="Q91" s="31" t="s">
        <v>132</v>
      </c>
      <c r="R91" s="31" t="s">
        <v>75</v>
      </c>
      <c r="T91" s="59" t="n">
        <v>46023</v>
      </c>
      <c r="U91" s="60" t="n">
        <f aca="false">EOMONTH(T91, 1)</f>
        <v>46081</v>
      </c>
      <c r="V91" s="60" t="n">
        <f aca="false">EOMONTH(U91, 1)</f>
        <v>46112</v>
      </c>
      <c r="W91" s="60" t="n">
        <f aca="false">EOMONTH(V91, 1)</f>
        <v>46142</v>
      </c>
      <c r="X91" s="60" t="n">
        <f aca="false">EOMONTH(W91, 1)</f>
        <v>46173</v>
      </c>
      <c r="Y91" s="60" t="n">
        <f aca="false">EOMONTH(X91, 1)</f>
        <v>46203</v>
      </c>
      <c r="Z91" s="60" t="n">
        <f aca="false">EOMONTH(Y91, 1)</f>
        <v>46234</v>
      </c>
      <c r="AA91" s="60" t="n">
        <f aca="false">EOMONTH(Z91, 1)</f>
        <v>46265</v>
      </c>
      <c r="AB91" s="60" t="n">
        <f aca="false">EOMONTH(AA91, 1)</f>
        <v>46295</v>
      </c>
      <c r="AC91" s="60" t="n">
        <f aca="false">EOMONTH(AB91, 1)</f>
        <v>46326</v>
      </c>
      <c r="AD91" s="60" t="n">
        <f aca="false">EOMONTH(AC91, 1)</f>
        <v>46356</v>
      </c>
      <c r="AE91" s="61" t="n">
        <f aca="false">EOMONTH(AD91, 1)</f>
        <v>46387</v>
      </c>
      <c r="AF91" s="59" t="n">
        <f aca="false">EOMONTH(AE91, 1)</f>
        <v>46418</v>
      </c>
      <c r="AG91" s="60" t="n">
        <f aca="false">EOMONTH(AF91, 1)</f>
        <v>46446</v>
      </c>
      <c r="AH91" s="60" t="n">
        <f aca="false">EOMONTH(AG91, 1)</f>
        <v>46477</v>
      </c>
      <c r="AI91" s="60" t="n">
        <f aca="false">EOMONTH(AH91, 1)</f>
        <v>46507</v>
      </c>
      <c r="AJ91" s="60" t="n">
        <f aca="false">EOMONTH(AI91, 1)</f>
        <v>46538</v>
      </c>
      <c r="AK91" s="60" t="n">
        <f aca="false">EOMONTH(AJ91, 1)</f>
        <v>46568</v>
      </c>
      <c r="AL91" s="60" t="n">
        <f aca="false">EOMONTH(AK91, 1)</f>
        <v>46599</v>
      </c>
      <c r="AM91" s="60" t="n">
        <f aca="false">EOMONTH(AL91, 1)</f>
        <v>46630</v>
      </c>
      <c r="AN91" s="60" t="n">
        <f aca="false">EOMONTH(AM91, 1)</f>
        <v>46660</v>
      </c>
      <c r="AO91" s="60" t="n">
        <f aca="false">EOMONTH(AN91, 1)</f>
        <v>46691</v>
      </c>
      <c r="AP91" s="60" t="n">
        <f aca="false">EOMONTH(AO91, 1)</f>
        <v>46721</v>
      </c>
      <c r="AQ91" s="61" t="n">
        <f aca="false">EOMONTH(AP91, 1)</f>
        <v>46752</v>
      </c>
      <c r="AR91" s="59" t="n">
        <f aca="false">EOMONTH(AQ91, 1)</f>
        <v>46783</v>
      </c>
      <c r="AS91" s="60" t="n">
        <f aca="false">EOMONTH(AR91, 1)</f>
        <v>46812</v>
      </c>
      <c r="AT91" s="60" t="n">
        <f aca="false">EOMONTH(AS91, 1)</f>
        <v>46843</v>
      </c>
      <c r="AU91" s="60" t="n">
        <f aca="false">EOMONTH(AT91, 1)</f>
        <v>46873</v>
      </c>
      <c r="AV91" s="60" t="n">
        <f aca="false">EOMONTH(AU91, 1)</f>
        <v>46904</v>
      </c>
      <c r="AW91" s="60" t="n">
        <f aca="false">EOMONTH(AV91, 1)</f>
        <v>46934</v>
      </c>
      <c r="AX91" s="60" t="n">
        <f aca="false">EOMONTH(AW91, 1)</f>
        <v>46965</v>
      </c>
      <c r="AY91" s="60" t="n">
        <f aca="false">EOMONTH(AX91, 1)</f>
        <v>46996</v>
      </c>
      <c r="AZ91" s="60" t="n">
        <f aca="false">EOMONTH(AY91, 1)</f>
        <v>47026</v>
      </c>
      <c r="BA91" s="60" t="n">
        <f aca="false">EOMONTH(AZ91, 1)</f>
        <v>47057</v>
      </c>
      <c r="BB91" s="60" t="n">
        <f aca="false">EOMONTH(BA91, 1)</f>
        <v>47087</v>
      </c>
      <c r="BC91" s="61" t="n">
        <f aca="false">EOMONTH(BB91, 1)</f>
        <v>47118</v>
      </c>
      <c r="BD91" s="59" t="n">
        <f aca="false">EOMONTH(BC91, 1)</f>
        <v>47149</v>
      </c>
      <c r="BE91" s="60" t="n">
        <f aca="false">EOMONTH(BD91, 1)</f>
        <v>47177</v>
      </c>
      <c r="BF91" s="60" t="n">
        <f aca="false">EOMONTH(BE91, 1)</f>
        <v>47208</v>
      </c>
      <c r="BG91" s="60" t="n">
        <f aca="false">EOMONTH(BF91, 1)</f>
        <v>47238</v>
      </c>
      <c r="BH91" s="60" t="n">
        <f aca="false">EOMONTH(BG91, 1)</f>
        <v>47269</v>
      </c>
      <c r="BI91" s="60" t="n">
        <f aca="false">EOMONTH(BH91, 1)</f>
        <v>47299</v>
      </c>
      <c r="BJ91" s="60" t="n">
        <f aca="false">EOMONTH(BI91, 1)</f>
        <v>47330</v>
      </c>
      <c r="BK91" s="60" t="n">
        <f aca="false">EOMONTH(BJ91, 1)</f>
        <v>47361</v>
      </c>
      <c r="BL91" s="60" t="n">
        <f aca="false">EOMONTH(BK91, 1)</f>
        <v>47391</v>
      </c>
      <c r="BM91" s="60" t="n">
        <f aca="false">EOMONTH(BL91, 1)</f>
        <v>47422</v>
      </c>
      <c r="BN91" s="60" t="n">
        <f aca="false">EOMONTH(BM91, 1)</f>
        <v>47452</v>
      </c>
      <c r="BO91" s="61" t="n">
        <f aca="false">EOMONTH(BN91, 1)</f>
        <v>47483</v>
      </c>
      <c r="BP91" s="59" t="n">
        <f aca="false">EOMONTH(BO91, 1)</f>
        <v>47514</v>
      </c>
      <c r="BQ91" s="60" t="n">
        <f aca="false">EOMONTH(BP91, 1)</f>
        <v>47542</v>
      </c>
      <c r="BR91" s="60" t="n">
        <f aca="false">EOMONTH(BQ91, 1)</f>
        <v>47573</v>
      </c>
      <c r="BS91" s="60" t="n">
        <f aca="false">EOMONTH(BR91, 1)</f>
        <v>47603</v>
      </c>
      <c r="BT91" s="60" t="n">
        <f aca="false">EOMONTH(BS91, 1)</f>
        <v>47634</v>
      </c>
      <c r="BU91" s="60" t="n">
        <f aca="false">EOMONTH(BT91, 1)</f>
        <v>47664</v>
      </c>
      <c r="BV91" s="60" t="n">
        <f aca="false">EOMONTH(BU91, 1)</f>
        <v>47695</v>
      </c>
      <c r="BW91" s="60" t="n">
        <f aca="false">EOMONTH(BV91, 1)</f>
        <v>47726</v>
      </c>
      <c r="BX91" s="60" t="n">
        <f aca="false">EOMONTH(BW91, 1)</f>
        <v>47756</v>
      </c>
      <c r="BY91" s="60" t="n">
        <f aca="false">EOMONTH(BX91, 1)</f>
        <v>47787</v>
      </c>
      <c r="BZ91" s="60" t="n">
        <f aca="false">EOMONTH(BY91, 1)</f>
        <v>47817</v>
      </c>
      <c r="CA91" s="60" t="n">
        <f aca="false">EOMONTH(BZ91, 1)</f>
        <v>47848</v>
      </c>
      <c r="CC91" s="62" t="n">
        <v>2026</v>
      </c>
      <c r="CD91" s="62" t="n">
        <f aca="false">CC91+1</f>
        <v>2027</v>
      </c>
      <c r="CE91" s="62" t="n">
        <f aca="false">CD91+1</f>
        <v>2028</v>
      </c>
      <c r="CF91" s="62" t="n">
        <f aca="false">CE91+1</f>
        <v>2029</v>
      </c>
      <c r="CG91" s="62" t="n">
        <f aca="false">CF91+1</f>
        <v>2030</v>
      </c>
      <c r="CI91" s="62" t="n">
        <v>2026</v>
      </c>
      <c r="CJ91" s="62" t="n">
        <f aca="false">CI91+1</f>
        <v>2027</v>
      </c>
      <c r="CK91" s="62" t="n">
        <f aca="false">CJ91+1</f>
        <v>2028</v>
      </c>
      <c r="CL91" s="62" t="n">
        <f aca="false">CK91+1</f>
        <v>2029</v>
      </c>
      <c r="CM91" s="62" t="n">
        <f aca="false">CL91+1</f>
        <v>2030</v>
      </c>
    </row>
    <row r="92" s="14" customFormat="true" ht="16.5" hidden="false" customHeight="true" outlineLevel="0" collapsed="false">
      <c r="D92" s="63"/>
      <c r="E92" s="64" t="s">
        <v>102</v>
      </c>
      <c r="H92" s="29"/>
      <c r="I92" s="65" t="str">
        <f aca="false">$H$18</f>
        <v>Post-upstream levers (S2 waterfall)</v>
      </c>
      <c r="J92" s="65" t="s">
        <v>134</v>
      </c>
      <c r="K92" s="65" t="s">
        <v>135</v>
      </c>
      <c r="L92" s="66"/>
      <c r="M92" s="66"/>
      <c r="N92" s="66"/>
      <c r="O92" s="66"/>
      <c r="P92" s="66"/>
      <c r="Q92" s="16"/>
      <c r="R92" s="1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7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7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6"/>
      <c r="BD92" s="67"/>
      <c r="BE92" s="66"/>
      <c r="BF92" s="66"/>
      <c r="BG92" s="66"/>
      <c r="BH92" s="66"/>
      <c r="BI92" s="66"/>
      <c r="BJ92" s="66"/>
      <c r="BK92" s="66"/>
      <c r="BL92" s="66"/>
      <c r="BM92" s="66"/>
      <c r="BN92" s="66"/>
      <c r="BO92" s="66"/>
      <c r="BP92" s="67"/>
      <c r="BQ92" s="66"/>
      <c r="BR92" s="66"/>
      <c r="BS92" s="66"/>
      <c r="BT92" s="66"/>
      <c r="BU92" s="66"/>
      <c r="BV92" s="66"/>
      <c r="BW92" s="66"/>
      <c r="BX92" s="66"/>
      <c r="BY92" s="66"/>
      <c r="BZ92" s="66"/>
      <c r="CA92" s="66"/>
    </row>
    <row r="93" s="14" customFormat="true" ht="16.5" hidden="false" customHeight="true" outlineLevel="0" collapsed="false">
      <c r="E93" s="68" t="s">
        <v>136</v>
      </c>
      <c r="F93" s="21"/>
      <c r="G93" s="21"/>
      <c r="H93" s="29"/>
      <c r="I93" s="65"/>
      <c r="J93" s="65"/>
      <c r="K93" s="65"/>
      <c r="Q93" s="16"/>
      <c r="R93" s="16"/>
      <c r="AF93" s="69"/>
      <c r="AR93" s="69"/>
      <c r="BD93" s="69"/>
      <c r="BP93" s="69"/>
    </row>
    <row r="94" s="14" customFormat="true" ht="16.5" hidden="false" customHeight="true" outlineLevel="0" collapsed="false">
      <c r="E94" s="70"/>
      <c r="H94" s="71"/>
      <c r="I94" s="76" t="n">
        <v>0</v>
      </c>
      <c r="J94" s="76" t="n">
        <v>0</v>
      </c>
      <c r="K94" s="212" t="n">
        <f aca="false">J94-I94</f>
        <v>0</v>
      </c>
      <c r="L94" s="76"/>
      <c r="M94" s="76"/>
      <c r="N94" s="76"/>
      <c r="O94" s="76"/>
      <c r="P94" s="77"/>
      <c r="Q94" s="75"/>
      <c r="R94" s="16" t="str">
        <f aca="false">IF(K94=P94, "", "Error")</f>
        <v/>
      </c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7"/>
      <c r="AF94" s="78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7"/>
      <c r="AR94" s="78"/>
      <c r="AS94" s="76"/>
      <c r="AT94" s="76"/>
      <c r="AU94" s="76"/>
      <c r="AV94" s="76"/>
      <c r="AW94" s="76"/>
      <c r="AX94" s="76"/>
      <c r="AY94" s="76"/>
      <c r="AZ94" s="76"/>
      <c r="BA94" s="76"/>
      <c r="BB94" s="76"/>
      <c r="BC94" s="77"/>
      <c r="BD94" s="78"/>
      <c r="BE94" s="76"/>
      <c r="BF94" s="76"/>
      <c r="BG94" s="76"/>
      <c r="BH94" s="76"/>
      <c r="BI94" s="76"/>
      <c r="BJ94" s="76"/>
      <c r="BK94" s="76"/>
      <c r="BL94" s="76"/>
      <c r="BM94" s="76"/>
      <c r="BN94" s="76"/>
      <c r="BO94" s="77"/>
      <c r="BP94" s="78"/>
      <c r="BQ94" s="76"/>
      <c r="BR94" s="76"/>
      <c r="BS94" s="76"/>
      <c r="BT94" s="76"/>
      <c r="BU94" s="76"/>
      <c r="BV94" s="76"/>
      <c r="BW94" s="76"/>
      <c r="BX94" s="76"/>
      <c r="BY94" s="76"/>
      <c r="BZ94" s="76"/>
      <c r="CA94" s="76"/>
      <c r="CC94" s="79" t="n">
        <f aca="false">SUMIFS($T94:$CA94, $T$1:$CA$1, CC$63)</f>
        <v>0</v>
      </c>
      <c r="CD94" s="79" t="n">
        <f aca="false">SUMIFS($T94:$CA94, $T$1:$CA$1, CD$63)</f>
        <v>0</v>
      </c>
      <c r="CE94" s="79" t="n">
        <f aca="false">SUMIFS($T94:$CA94, $T$1:$CA$1, CE$63)</f>
        <v>0</v>
      </c>
      <c r="CF94" s="79" t="n">
        <f aca="false">SUMIFS($T94:$CA94, $T$1:$CA$1, CF$63)</f>
        <v>0</v>
      </c>
      <c r="CG94" s="79" t="n">
        <f aca="false">SUMIFS($T94:$CA94, $T$1:$CA$1, CG$63)</f>
        <v>0</v>
      </c>
      <c r="CI94" s="79" t="n">
        <f aca="false">CC94=L94</f>
        <v>1</v>
      </c>
      <c r="CJ94" s="79" t="n">
        <f aca="false">CD94=M94</f>
        <v>1</v>
      </c>
      <c r="CK94" s="79" t="n">
        <f aca="false">CE94=N94</f>
        <v>1</v>
      </c>
      <c r="CL94" s="79" t="n">
        <f aca="false">CF94=O94</f>
        <v>1</v>
      </c>
      <c r="CM94" s="79" t="n">
        <f aca="false">CG94=P94</f>
        <v>1</v>
      </c>
    </row>
    <row r="95" s="14" customFormat="true" ht="16.5" hidden="false" customHeight="true" outlineLevel="0" collapsed="false">
      <c r="E95" s="70"/>
      <c r="H95" s="71"/>
      <c r="I95" s="76" t="n">
        <v>0</v>
      </c>
      <c r="J95" s="76" t="n">
        <v>0</v>
      </c>
      <c r="K95" s="212" t="n">
        <f aca="false">J95-I95</f>
        <v>0</v>
      </c>
      <c r="L95" s="76"/>
      <c r="M95" s="76"/>
      <c r="N95" s="76"/>
      <c r="O95" s="76"/>
      <c r="P95" s="77"/>
      <c r="Q95" s="75"/>
      <c r="R95" s="16" t="str">
        <f aca="false">IF(K95=P95, "", "Error")</f>
        <v/>
      </c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7"/>
      <c r="AF95" s="78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7"/>
      <c r="AR95" s="78"/>
      <c r="AS95" s="76"/>
      <c r="AT95" s="76"/>
      <c r="AU95" s="76"/>
      <c r="AV95" s="76"/>
      <c r="AW95" s="76"/>
      <c r="AX95" s="76"/>
      <c r="AY95" s="76"/>
      <c r="AZ95" s="76"/>
      <c r="BA95" s="76"/>
      <c r="BB95" s="76"/>
      <c r="BC95" s="77"/>
      <c r="BD95" s="78"/>
      <c r="BE95" s="76"/>
      <c r="BF95" s="76"/>
      <c r="BG95" s="76"/>
      <c r="BH95" s="76"/>
      <c r="BI95" s="76"/>
      <c r="BJ95" s="76"/>
      <c r="BK95" s="76"/>
      <c r="BL95" s="76"/>
      <c r="BM95" s="76"/>
      <c r="BN95" s="76"/>
      <c r="BO95" s="77"/>
      <c r="BP95" s="78"/>
      <c r="BQ95" s="76"/>
      <c r="BR95" s="76"/>
      <c r="BS95" s="76"/>
      <c r="BT95" s="76"/>
      <c r="BU95" s="76"/>
      <c r="BV95" s="76"/>
      <c r="BW95" s="76"/>
      <c r="BX95" s="76"/>
      <c r="BY95" s="76"/>
      <c r="BZ95" s="76"/>
      <c r="CA95" s="76"/>
      <c r="CC95" s="79" t="n">
        <f aca="false">SUMIFS($T95:$CA95, $T$1:$CA$1, CC$63)</f>
        <v>0</v>
      </c>
      <c r="CD95" s="79" t="n">
        <f aca="false">SUMIFS($T95:$CA95, $T$1:$CA$1, CD$63)</f>
        <v>0</v>
      </c>
      <c r="CE95" s="79" t="n">
        <f aca="false">SUMIFS($T95:$CA95, $T$1:$CA$1, CE$63)</f>
        <v>0</v>
      </c>
      <c r="CF95" s="79" t="n">
        <f aca="false">SUMIFS($T95:$CA95, $T$1:$CA$1, CF$63)</f>
        <v>0</v>
      </c>
      <c r="CG95" s="79" t="n">
        <f aca="false">SUMIFS($T95:$CA95, $T$1:$CA$1, CG$63)</f>
        <v>0</v>
      </c>
      <c r="CI95" s="79" t="n">
        <f aca="false">CC95=L95</f>
        <v>1</v>
      </c>
      <c r="CJ95" s="79" t="n">
        <f aca="false">CD95=M95</f>
        <v>1</v>
      </c>
      <c r="CK95" s="79" t="n">
        <f aca="false">CE95=N95</f>
        <v>1</v>
      </c>
      <c r="CL95" s="79" t="n">
        <f aca="false">CF95=O95</f>
        <v>1</v>
      </c>
      <c r="CM95" s="79" t="n">
        <f aca="false">CG95=P95</f>
        <v>1</v>
      </c>
    </row>
    <row r="96" s="14" customFormat="true" ht="16.5" hidden="false" customHeight="true" outlineLevel="0" collapsed="false">
      <c r="E96" s="80" t="s">
        <v>137</v>
      </c>
      <c r="H96" s="29"/>
      <c r="I96" s="82" t="n">
        <f aca="false">SUM(I94:I95)</f>
        <v>0</v>
      </c>
      <c r="J96" s="82" t="n">
        <f aca="false">SUM(J94:J95)</f>
        <v>0</v>
      </c>
      <c r="K96" s="82" t="n">
        <f aca="false">SUM(K94:K95)</f>
        <v>0</v>
      </c>
      <c r="L96" s="82" t="n">
        <f aca="false">SUM(L94:L95)</f>
        <v>0</v>
      </c>
      <c r="M96" s="82" t="n">
        <f aca="false">SUM(M94:M95)</f>
        <v>0</v>
      </c>
      <c r="N96" s="82" t="n">
        <f aca="false">SUM(N94:N95)</f>
        <v>0</v>
      </c>
      <c r="O96" s="82" t="n">
        <f aca="false">SUM(O94:O95)</f>
        <v>0</v>
      </c>
      <c r="P96" s="82" t="n">
        <f aca="false">SUM(P94:P95)</f>
        <v>0</v>
      </c>
      <c r="Q96" s="16"/>
      <c r="R96" s="16"/>
      <c r="T96" s="82" t="n">
        <f aca="false">SUM(T94:T95)</f>
        <v>0</v>
      </c>
      <c r="U96" s="82" t="n">
        <f aca="false">SUM(U94:U95)</f>
        <v>0</v>
      </c>
      <c r="V96" s="82" t="n">
        <f aca="false">SUM(V94:V95)</f>
        <v>0</v>
      </c>
      <c r="W96" s="82" t="n">
        <f aca="false">SUM(W94:W95)</f>
        <v>0</v>
      </c>
      <c r="X96" s="82" t="n">
        <f aca="false">SUM(X94:X95)</f>
        <v>0</v>
      </c>
      <c r="Y96" s="82" t="n">
        <f aca="false">SUM(Y94:Y95)</f>
        <v>0</v>
      </c>
      <c r="Z96" s="82" t="n">
        <f aca="false">SUM(Z94:Z95)</f>
        <v>0</v>
      </c>
      <c r="AA96" s="82" t="n">
        <f aca="false">SUM(AA94:AA95)</f>
        <v>0</v>
      </c>
      <c r="AB96" s="82" t="n">
        <f aca="false">SUM(AB94:AB95)</f>
        <v>0</v>
      </c>
      <c r="AC96" s="82" t="n">
        <f aca="false">SUM(AC94:AC95)</f>
        <v>0</v>
      </c>
      <c r="AD96" s="82" t="n">
        <f aca="false">SUM(AD94:AD95)</f>
        <v>0</v>
      </c>
      <c r="AE96" s="82" t="n">
        <f aca="false">SUM(AE94:AE95)</f>
        <v>0</v>
      </c>
      <c r="AF96" s="83" t="n">
        <f aca="false">SUM(AF94:AF95)</f>
        <v>0</v>
      </c>
      <c r="AG96" s="82" t="n">
        <f aca="false">SUM(AG94:AG95)</f>
        <v>0</v>
      </c>
      <c r="AH96" s="82" t="n">
        <f aca="false">SUM(AH94:AH95)</f>
        <v>0</v>
      </c>
      <c r="AI96" s="82" t="n">
        <f aca="false">SUM(AI94:AI95)</f>
        <v>0</v>
      </c>
      <c r="AJ96" s="82" t="n">
        <f aca="false">SUM(AJ94:AJ95)</f>
        <v>0</v>
      </c>
      <c r="AK96" s="82" t="n">
        <f aca="false">SUM(AK94:AK95)</f>
        <v>0</v>
      </c>
      <c r="AL96" s="82" t="n">
        <f aca="false">SUM(AL94:AL95)</f>
        <v>0</v>
      </c>
      <c r="AM96" s="82" t="n">
        <f aca="false">SUM(AM94:AM95)</f>
        <v>0</v>
      </c>
      <c r="AN96" s="82" t="n">
        <f aca="false">SUM(AN94:AN95)</f>
        <v>0</v>
      </c>
      <c r="AO96" s="82" t="n">
        <f aca="false">SUM(AO94:AO95)</f>
        <v>0</v>
      </c>
      <c r="AP96" s="82" t="n">
        <f aca="false">SUM(AP94:AP95)</f>
        <v>0</v>
      </c>
      <c r="AQ96" s="82" t="n">
        <f aca="false">SUM(AQ94:AQ95)</f>
        <v>0</v>
      </c>
      <c r="AR96" s="83" t="n">
        <f aca="false">SUM(AR94:AR95)</f>
        <v>0</v>
      </c>
      <c r="AS96" s="82" t="n">
        <f aca="false">SUM(AS94:AS95)</f>
        <v>0</v>
      </c>
      <c r="AT96" s="82" t="n">
        <f aca="false">SUM(AT94:AT95)</f>
        <v>0</v>
      </c>
      <c r="AU96" s="82" t="n">
        <f aca="false">SUM(AU94:AU95)</f>
        <v>0</v>
      </c>
      <c r="AV96" s="82" t="n">
        <f aca="false">SUM(AV94:AV95)</f>
        <v>0</v>
      </c>
      <c r="AW96" s="82" t="n">
        <f aca="false">SUM(AW94:AW95)</f>
        <v>0</v>
      </c>
      <c r="AX96" s="82" t="n">
        <f aca="false">SUM(AX94:AX95)</f>
        <v>0</v>
      </c>
      <c r="AY96" s="82" t="n">
        <f aca="false">SUM(AY94:AY95)</f>
        <v>0</v>
      </c>
      <c r="AZ96" s="82" t="n">
        <f aca="false">SUM(AZ94:AZ95)</f>
        <v>0</v>
      </c>
      <c r="BA96" s="82" t="n">
        <f aca="false">SUM(BA94:BA95)</f>
        <v>0</v>
      </c>
      <c r="BB96" s="82" t="n">
        <f aca="false">SUM(BB94:BB95)</f>
        <v>0</v>
      </c>
      <c r="BC96" s="82" t="n">
        <f aca="false">SUM(BC94:BC95)</f>
        <v>0</v>
      </c>
      <c r="BD96" s="83" t="n">
        <f aca="false">SUM(BD94:BD95)</f>
        <v>0</v>
      </c>
      <c r="BE96" s="82" t="n">
        <f aca="false">SUM(BE94:BE95)</f>
        <v>0</v>
      </c>
      <c r="BF96" s="82" t="n">
        <f aca="false">SUM(BF94:BF95)</f>
        <v>0</v>
      </c>
      <c r="BG96" s="82" t="n">
        <f aca="false">SUM(BG94:BG95)</f>
        <v>0</v>
      </c>
      <c r="BH96" s="82" t="n">
        <f aca="false">SUM(BH94:BH95)</f>
        <v>0</v>
      </c>
      <c r="BI96" s="82" t="n">
        <f aca="false">SUM(BI94:BI95)</f>
        <v>0</v>
      </c>
      <c r="BJ96" s="82" t="n">
        <f aca="false">SUM(BJ94:BJ95)</f>
        <v>0</v>
      </c>
      <c r="BK96" s="82" t="n">
        <f aca="false">SUM(BK94:BK95)</f>
        <v>0</v>
      </c>
      <c r="BL96" s="82" t="n">
        <f aca="false">SUM(BL94:BL95)</f>
        <v>0</v>
      </c>
      <c r="BM96" s="82" t="n">
        <f aca="false">SUM(BM94:BM95)</f>
        <v>0</v>
      </c>
      <c r="BN96" s="82" t="n">
        <f aca="false">SUM(BN94:BN95)</f>
        <v>0</v>
      </c>
      <c r="BO96" s="82" t="n">
        <f aca="false">SUM(BO94:BO95)</f>
        <v>0</v>
      </c>
      <c r="BP96" s="83" t="n">
        <f aca="false">SUM(BP94:BP95)</f>
        <v>0</v>
      </c>
      <c r="BQ96" s="82" t="n">
        <f aca="false">SUM(BQ94:BQ95)</f>
        <v>0</v>
      </c>
      <c r="BR96" s="82" t="n">
        <f aca="false">SUM(BR94:BR95)</f>
        <v>0</v>
      </c>
      <c r="BS96" s="82" t="n">
        <f aca="false">SUM(BS94:BS95)</f>
        <v>0</v>
      </c>
      <c r="BT96" s="82" t="n">
        <f aca="false">SUM(BT94:BT95)</f>
        <v>0</v>
      </c>
      <c r="BU96" s="82" t="n">
        <f aca="false">SUM(BU94:BU95)</f>
        <v>0</v>
      </c>
      <c r="BV96" s="82" t="n">
        <f aca="false">SUM(BV94:BV95)</f>
        <v>0</v>
      </c>
      <c r="BW96" s="82" t="n">
        <f aca="false">SUM(BW94:BW95)</f>
        <v>0</v>
      </c>
      <c r="BX96" s="82" t="n">
        <f aca="false">SUM(BX94:BX95)</f>
        <v>0</v>
      </c>
      <c r="BY96" s="82" t="n">
        <f aca="false">SUM(BY94:BY95)</f>
        <v>0</v>
      </c>
      <c r="BZ96" s="82" t="n">
        <f aca="false">SUM(BZ94:BZ95)</f>
        <v>0</v>
      </c>
      <c r="CA96" s="84" t="n">
        <f aca="false">SUM(CA94:CA95)</f>
        <v>0</v>
      </c>
      <c r="CC96" s="84" t="n">
        <f aca="false">SUM(CC94:CC95)</f>
        <v>0</v>
      </c>
      <c r="CD96" s="84" t="n">
        <f aca="false">SUM(CD94:CD95)</f>
        <v>0</v>
      </c>
      <c r="CE96" s="84" t="n">
        <f aca="false">SUM(CE94:CE95)</f>
        <v>0</v>
      </c>
      <c r="CF96" s="84" t="n">
        <f aca="false">SUM(CF94:CF95)</f>
        <v>0</v>
      </c>
      <c r="CG96" s="84" t="n">
        <f aca="false">SUM(CG94:CG95)</f>
        <v>0</v>
      </c>
      <c r="CI96" s="84" t="n">
        <f aca="false">CC96=L96</f>
        <v>1</v>
      </c>
      <c r="CJ96" s="84" t="n">
        <f aca="false">CD96=M96</f>
        <v>1</v>
      </c>
      <c r="CK96" s="84" t="n">
        <f aca="false">CE96=N96</f>
        <v>1</v>
      </c>
      <c r="CL96" s="84" t="n">
        <f aca="false">CF96=O96</f>
        <v>1</v>
      </c>
      <c r="CM96" s="84" t="n">
        <f aca="false">CG96=P96</f>
        <v>1</v>
      </c>
    </row>
    <row r="97" s="14" customFormat="true" ht="16.5" hidden="false" customHeight="true" outlineLevel="0" collapsed="false">
      <c r="E97" s="85"/>
      <c r="H97" s="29"/>
      <c r="I97" s="88"/>
      <c r="J97" s="88"/>
      <c r="K97" s="88"/>
      <c r="L97" s="88"/>
      <c r="M97" s="88"/>
      <c r="N97" s="88"/>
      <c r="O97" s="88"/>
      <c r="P97" s="88"/>
      <c r="Q97" s="16"/>
      <c r="R97" s="16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9"/>
      <c r="AG97" s="88"/>
      <c r="AH97" s="88"/>
      <c r="AI97" s="88"/>
      <c r="AJ97" s="88"/>
      <c r="AK97" s="88"/>
      <c r="AL97" s="88"/>
      <c r="AM97" s="88"/>
      <c r="AN97" s="88"/>
      <c r="AO97" s="88"/>
      <c r="AP97" s="88"/>
      <c r="AQ97" s="88"/>
      <c r="AR97" s="89"/>
      <c r="AS97" s="88"/>
      <c r="AT97" s="88"/>
      <c r="AU97" s="88"/>
      <c r="AV97" s="88"/>
      <c r="AW97" s="88"/>
      <c r="AX97" s="88"/>
      <c r="AY97" s="88"/>
      <c r="AZ97" s="88"/>
      <c r="BA97" s="88"/>
      <c r="BB97" s="88"/>
      <c r="BC97" s="88"/>
      <c r="BD97" s="89"/>
      <c r="BE97" s="88"/>
      <c r="BF97" s="88"/>
      <c r="BG97" s="88"/>
      <c r="BH97" s="88"/>
      <c r="BI97" s="88"/>
      <c r="BJ97" s="88"/>
      <c r="BK97" s="88"/>
      <c r="BL97" s="88"/>
      <c r="BM97" s="88"/>
      <c r="BN97" s="88"/>
      <c r="BO97" s="88"/>
      <c r="BP97" s="89"/>
      <c r="BQ97" s="88"/>
      <c r="BR97" s="88"/>
      <c r="BS97" s="88"/>
      <c r="BT97" s="88"/>
      <c r="BU97" s="88"/>
      <c r="BV97" s="88"/>
      <c r="BW97" s="88"/>
      <c r="BX97" s="88"/>
      <c r="BY97" s="88"/>
      <c r="BZ97" s="88"/>
      <c r="CA97" s="90"/>
      <c r="CC97" s="90"/>
      <c r="CD97" s="90"/>
      <c r="CE97" s="90"/>
      <c r="CF97" s="90"/>
      <c r="CG97" s="90"/>
      <c r="CI97" s="90"/>
      <c r="CJ97" s="90"/>
      <c r="CK97" s="90"/>
      <c r="CL97" s="90"/>
      <c r="CM97" s="90"/>
    </row>
    <row r="98" s="14" customFormat="true" ht="16.5" hidden="false" customHeight="true" outlineLevel="0" collapsed="false">
      <c r="E98" s="21" t="s">
        <v>138</v>
      </c>
      <c r="H98" s="29"/>
      <c r="I98" s="88"/>
      <c r="K98" s="88"/>
      <c r="L98" s="88"/>
      <c r="M98" s="88"/>
      <c r="N98" s="88"/>
      <c r="O98" s="88"/>
      <c r="P98" s="88"/>
      <c r="Q98" s="16"/>
      <c r="R98" s="16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9"/>
      <c r="AG98" s="88"/>
      <c r="AH98" s="88"/>
      <c r="AI98" s="88"/>
      <c r="AJ98" s="88"/>
      <c r="AK98" s="88"/>
      <c r="AL98" s="88"/>
      <c r="AM98" s="88"/>
      <c r="AN98" s="88"/>
      <c r="AO98" s="88"/>
      <c r="AP98" s="88"/>
      <c r="AQ98" s="88"/>
      <c r="AR98" s="89"/>
      <c r="AS98" s="88"/>
      <c r="AT98" s="88"/>
      <c r="AU98" s="88"/>
      <c r="AV98" s="88"/>
      <c r="AW98" s="88"/>
      <c r="AX98" s="88"/>
      <c r="AY98" s="88"/>
      <c r="AZ98" s="88"/>
      <c r="BA98" s="88"/>
      <c r="BB98" s="88"/>
      <c r="BC98" s="88"/>
      <c r="BD98" s="89"/>
      <c r="BE98" s="88"/>
      <c r="BF98" s="88"/>
      <c r="BG98" s="88"/>
      <c r="BH98" s="88"/>
      <c r="BI98" s="88"/>
      <c r="BJ98" s="88"/>
      <c r="BK98" s="88"/>
      <c r="BL98" s="88"/>
      <c r="BM98" s="88"/>
      <c r="BN98" s="88"/>
      <c r="BO98" s="88"/>
      <c r="BP98" s="89"/>
      <c r="BQ98" s="88"/>
      <c r="BR98" s="88"/>
      <c r="BS98" s="88"/>
      <c r="BT98" s="88"/>
      <c r="BU98" s="88"/>
      <c r="BV98" s="88"/>
      <c r="BW98" s="88"/>
      <c r="BX98" s="88"/>
      <c r="BY98" s="88"/>
      <c r="BZ98" s="88"/>
      <c r="CA98" s="90"/>
      <c r="CC98" s="90"/>
      <c r="CD98" s="90"/>
      <c r="CE98" s="90"/>
      <c r="CF98" s="90"/>
      <c r="CG98" s="90"/>
      <c r="CI98" s="90"/>
      <c r="CJ98" s="90"/>
      <c r="CK98" s="90"/>
      <c r="CL98" s="90"/>
      <c r="CM98" s="90"/>
    </row>
    <row r="99" s="14" customFormat="true" ht="16.5" hidden="false" customHeight="true" outlineLevel="0" collapsed="false">
      <c r="E99" s="91"/>
      <c r="H99" s="29"/>
      <c r="I99" s="91" t="n">
        <v>0</v>
      </c>
      <c r="J99" s="91" t="n">
        <v>0</v>
      </c>
      <c r="K99" s="212" t="n">
        <f aca="false">J99-I99</f>
        <v>0</v>
      </c>
      <c r="L99" s="91" t="n">
        <v>0</v>
      </c>
      <c r="M99" s="91" t="n">
        <v>0</v>
      </c>
      <c r="N99" s="91" t="n">
        <v>0</v>
      </c>
      <c r="O99" s="91" t="n">
        <v>0</v>
      </c>
      <c r="P99" s="91" t="n">
        <v>0</v>
      </c>
      <c r="Q99" s="93"/>
      <c r="R99" s="16" t="str">
        <f aca="false">IF(K99=P99, "", "Error")</f>
        <v/>
      </c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4"/>
      <c r="AF99" s="95"/>
      <c r="AG99" s="91"/>
      <c r="AH99" s="91"/>
      <c r="AI99" s="91"/>
      <c r="AJ99" s="91"/>
      <c r="AK99" s="91"/>
      <c r="AL99" s="91"/>
      <c r="AM99" s="91"/>
      <c r="AN99" s="91"/>
      <c r="AO99" s="91"/>
      <c r="AP99" s="91"/>
      <c r="AQ99" s="94"/>
      <c r="AR99" s="95"/>
      <c r="AS99" s="91"/>
      <c r="AT99" s="91"/>
      <c r="AU99" s="91"/>
      <c r="AV99" s="91"/>
      <c r="AW99" s="91"/>
      <c r="AX99" s="91"/>
      <c r="AY99" s="91"/>
      <c r="AZ99" s="91"/>
      <c r="BA99" s="91"/>
      <c r="BB99" s="91"/>
      <c r="BC99" s="94"/>
      <c r="BD99" s="95"/>
      <c r="BE99" s="91"/>
      <c r="BF99" s="91"/>
      <c r="BG99" s="91"/>
      <c r="BH99" s="91"/>
      <c r="BI99" s="91"/>
      <c r="BJ99" s="91"/>
      <c r="BK99" s="91"/>
      <c r="BL99" s="91"/>
      <c r="BM99" s="91"/>
      <c r="BN99" s="91"/>
      <c r="BO99" s="94"/>
      <c r="BP99" s="95"/>
      <c r="BQ99" s="91"/>
      <c r="BR99" s="91"/>
      <c r="BS99" s="91"/>
      <c r="BT99" s="91"/>
      <c r="BU99" s="91"/>
      <c r="BV99" s="91"/>
      <c r="BW99" s="91"/>
      <c r="BX99" s="91"/>
      <c r="BY99" s="91"/>
      <c r="BZ99" s="91"/>
      <c r="CA99" s="119"/>
      <c r="CC99" s="79" t="n">
        <f aca="false">SUMIFS($T99:$CA99, $T$1:$CA$1, CC$63)</f>
        <v>0</v>
      </c>
      <c r="CD99" s="79" t="n">
        <f aca="false">SUMIFS($T99:$CA99, $T$1:$CA$1, CD$63)</f>
        <v>0</v>
      </c>
      <c r="CE99" s="79" t="n">
        <f aca="false">SUMIFS($T99:$CA99, $T$1:$CA$1, CE$63)</f>
        <v>0</v>
      </c>
      <c r="CF99" s="79" t="n">
        <f aca="false">SUMIFS($T99:$CA99, $T$1:$CA$1, CF$63)</f>
        <v>0</v>
      </c>
      <c r="CG99" s="79" t="n">
        <f aca="false">SUMIFS($T99:$CA99, $T$1:$CA$1, CG$63)</f>
        <v>0</v>
      </c>
      <c r="CI99" s="79" t="n">
        <f aca="false">CC99=L99</f>
        <v>1</v>
      </c>
      <c r="CJ99" s="79" t="n">
        <f aca="false">CD99=M99</f>
        <v>1</v>
      </c>
      <c r="CK99" s="79" t="n">
        <f aca="false">CE99=N99</f>
        <v>1</v>
      </c>
      <c r="CL99" s="79" t="n">
        <f aca="false">CF99=O99</f>
        <v>1</v>
      </c>
      <c r="CM99" s="79" t="n">
        <f aca="false">CG99=P99</f>
        <v>1</v>
      </c>
    </row>
    <row r="100" s="14" customFormat="true" ht="16.5" hidden="false" customHeight="true" outlineLevel="0" collapsed="false">
      <c r="E100" s="91"/>
      <c r="H100" s="29"/>
      <c r="I100" s="91" t="n">
        <v>0</v>
      </c>
      <c r="J100" s="91" t="n">
        <v>0</v>
      </c>
      <c r="K100" s="212" t="n">
        <f aca="false">J100-I100</f>
        <v>0</v>
      </c>
      <c r="L100" s="91" t="n">
        <v>0</v>
      </c>
      <c r="M100" s="91" t="n">
        <v>0</v>
      </c>
      <c r="N100" s="91" t="n">
        <v>0</v>
      </c>
      <c r="O100" s="91" t="n">
        <v>0</v>
      </c>
      <c r="P100" s="91" t="n">
        <v>0</v>
      </c>
      <c r="Q100" s="93"/>
      <c r="R100" s="16" t="str">
        <f aca="false">IF(K100=P100, "", "Error")</f>
        <v/>
      </c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4"/>
      <c r="AF100" s="95"/>
      <c r="AG100" s="91"/>
      <c r="AH100" s="91"/>
      <c r="AI100" s="91"/>
      <c r="AJ100" s="91"/>
      <c r="AK100" s="91"/>
      <c r="AL100" s="91"/>
      <c r="AM100" s="91"/>
      <c r="AN100" s="91"/>
      <c r="AO100" s="91"/>
      <c r="AP100" s="91"/>
      <c r="AQ100" s="94"/>
      <c r="AR100" s="95"/>
      <c r="AS100" s="91"/>
      <c r="AT100" s="91"/>
      <c r="AU100" s="91"/>
      <c r="AV100" s="91"/>
      <c r="AW100" s="91"/>
      <c r="AX100" s="91"/>
      <c r="AY100" s="91"/>
      <c r="AZ100" s="91"/>
      <c r="BA100" s="91"/>
      <c r="BB100" s="91"/>
      <c r="BC100" s="94"/>
      <c r="BD100" s="95"/>
      <c r="BE100" s="91"/>
      <c r="BF100" s="91"/>
      <c r="BG100" s="91"/>
      <c r="BH100" s="91"/>
      <c r="BI100" s="91"/>
      <c r="BJ100" s="91"/>
      <c r="BK100" s="91"/>
      <c r="BL100" s="91"/>
      <c r="BM100" s="91"/>
      <c r="BN100" s="91"/>
      <c r="BO100" s="94"/>
      <c r="BP100" s="95"/>
      <c r="BQ100" s="91"/>
      <c r="BR100" s="91"/>
      <c r="BS100" s="91"/>
      <c r="BT100" s="91"/>
      <c r="BU100" s="91"/>
      <c r="BV100" s="91"/>
      <c r="BW100" s="91"/>
      <c r="BX100" s="91"/>
      <c r="BY100" s="91"/>
      <c r="BZ100" s="91"/>
      <c r="CA100" s="119"/>
      <c r="CC100" s="79" t="n">
        <f aca="false">SUMIFS($T100:$CA100, $T$1:$CA$1, CC$63)</f>
        <v>0</v>
      </c>
      <c r="CD100" s="79" t="n">
        <f aca="false">SUMIFS($T100:$CA100, $T$1:$CA$1, CD$63)</f>
        <v>0</v>
      </c>
      <c r="CE100" s="79" t="n">
        <f aca="false">SUMIFS($T100:$CA100, $T$1:$CA$1, CE$63)</f>
        <v>0</v>
      </c>
      <c r="CF100" s="79" t="n">
        <f aca="false">SUMIFS($T100:$CA100, $T$1:$CA$1, CF$63)</f>
        <v>0</v>
      </c>
      <c r="CG100" s="79" t="n">
        <f aca="false">SUMIFS($T100:$CA100, $T$1:$CA$1, CG$63)</f>
        <v>0</v>
      </c>
      <c r="CI100" s="79" t="n">
        <f aca="false">CC100=L100</f>
        <v>1</v>
      </c>
      <c r="CJ100" s="79" t="n">
        <f aca="false">CD100=M100</f>
        <v>1</v>
      </c>
      <c r="CK100" s="79" t="n">
        <f aca="false">CE100=N100</f>
        <v>1</v>
      </c>
      <c r="CL100" s="79" t="n">
        <f aca="false">CF100=O100</f>
        <v>1</v>
      </c>
      <c r="CM100" s="79" t="n">
        <f aca="false">CG100=P100</f>
        <v>1</v>
      </c>
    </row>
    <row r="101" s="14" customFormat="true" ht="16.5" hidden="false" customHeight="true" outlineLevel="0" collapsed="false">
      <c r="E101" s="91"/>
      <c r="H101" s="29"/>
      <c r="I101" s="91" t="n">
        <v>0</v>
      </c>
      <c r="J101" s="91" t="n">
        <v>0</v>
      </c>
      <c r="K101" s="212" t="n">
        <f aca="false">J101-I101</f>
        <v>0</v>
      </c>
      <c r="L101" s="91" t="n">
        <v>0</v>
      </c>
      <c r="M101" s="91" t="n">
        <v>0</v>
      </c>
      <c r="N101" s="91" t="n">
        <v>0</v>
      </c>
      <c r="O101" s="91" t="n">
        <v>0</v>
      </c>
      <c r="P101" s="91" t="n">
        <v>0</v>
      </c>
      <c r="Q101" s="93"/>
      <c r="R101" s="16" t="str">
        <f aca="false">IF(K101=P101, "", "Error")</f>
        <v/>
      </c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4"/>
      <c r="AF101" s="95"/>
      <c r="AG101" s="91"/>
      <c r="AH101" s="91"/>
      <c r="AI101" s="91"/>
      <c r="AJ101" s="91"/>
      <c r="AK101" s="91"/>
      <c r="AL101" s="91"/>
      <c r="AM101" s="91"/>
      <c r="AN101" s="91"/>
      <c r="AO101" s="91"/>
      <c r="AP101" s="91"/>
      <c r="AQ101" s="94"/>
      <c r="AR101" s="95"/>
      <c r="AS101" s="91"/>
      <c r="AT101" s="91"/>
      <c r="AU101" s="91"/>
      <c r="AV101" s="91"/>
      <c r="AW101" s="91"/>
      <c r="AX101" s="91"/>
      <c r="AY101" s="91"/>
      <c r="AZ101" s="91"/>
      <c r="BA101" s="91"/>
      <c r="BB101" s="91"/>
      <c r="BC101" s="94"/>
      <c r="BD101" s="95"/>
      <c r="BE101" s="91"/>
      <c r="BF101" s="91"/>
      <c r="BG101" s="91"/>
      <c r="BH101" s="91"/>
      <c r="BI101" s="91"/>
      <c r="BJ101" s="91"/>
      <c r="BK101" s="91"/>
      <c r="BL101" s="91"/>
      <c r="BM101" s="91"/>
      <c r="BN101" s="91"/>
      <c r="BO101" s="94"/>
      <c r="BP101" s="95"/>
      <c r="BQ101" s="91"/>
      <c r="BR101" s="91"/>
      <c r="BS101" s="91"/>
      <c r="BT101" s="91"/>
      <c r="BU101" s="91"/>
      <c r="BV101" s="91"/>
      <c r="BW101" s="91"/>
      <c r="BX101" s="91"/>
      <c r="BY101" s="91"/>
      <c r="BZ101" s="91"/>
      <c r="CA101" s="119"/>
      <c r="CC101" s="79" t="n">
        <f aca="false">SUMIFS($T101:$CA101, $T$1:$CA$1, CC$63)</f>
        <v>0</v>
      </c>
      <c r="CD101" s="79" t="n">
        <f aca="false">SUMIFS($T101:$CA101, $T$1:$CA$1, CD$63)</f>
        <v>0</v>
      </c>
      <c r="CE101" s="79" t="n">
        <f aca="false">SUMIFS($T101:$CA101, $T$1:$CA$1, CE$63)</f>
        <v>0</v>
      </c>
      <c r="CF101" s="79" t="n">
        <f aca="false">SUMIFS($T101:$CA101, $T$1:$CA$1, CF$63)</f>
        <v>0</v>
      </c>
      <c r="CG101" s="79" t="n">
        <f aca="false">SUMIFS($T101:$CA101, $T$1:$CA$1, CG$63)</f>
        <v>0</v>
      </c>
      <c r="CI101" s="79" t="n">
        <f aca="false">CC101=L101</f>
        <v>1</v>
      </c>
      <c r="CJ101" s="79" t="n">
        <f aca="false">CD101=M101</f>
        <v>1</v>
      </c>
      <c r="CK101" s="79" t="n">
        <f aca="false">CE101=N101</f>
        <v>1</v>
      </c>
      <c r="CL101" s="79" t="n">
        <f aca="false">CF101=O101</f>
        <v>1</v>
      </c>
      <c r="CM101" s="79" t="n">
        <f aca="false">CG101=P101</f>
        <v>1</v>
      </c>
    </row>
    <row r="102" s="14" customFormat="true" ht="16.5" hidden="false" customHeight="true" outlineLevel="0" collapsed="false">
      <c r="E102" s="91"/>
      <c r="H102" s="29"/>
      <c r="I102" s="91" t="n">
        <v>0</v>
      </c>
      <c r="J102" s="91" t="n">
        <v>0</v>
      </c>
      <c r="K102" s="212" t="n">
        <f aca="false">J102-I102</f>
        <v>0</v>
      </c>
      <c r="L102" s="91" t="n">
        <v>0</v>
      </c>
      <c r="M102" s="91" t="n">
        <v>0</v>
      </c>
      <c r="N102" s="91" t="n">
        <v>0</v>
      </c>
      <c r="O102" s="91" t="n">
        <v>0</v>
      </c>
      <c r="P102" s="91" t="n">
        <v>0</v>
      </c>
      <c r="Q102" s="93"/>
      <c r="R102" s="16" t="str">
        <f aca="false">IF(K102=P102, "", "Error")</f>
        <v/>
      </c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4"/>
      <c r="AF102" s="95"/>
      <c r="AG102" s="91"/>
      <c r="AH102" s="91"/>
      <c r="AI102" s="91"/>
      <c r="AJ102" s="91"/>
      <c r="AK102" s="91"/>
      <c r="AL102" s="91"/>
      <c r="AM102" s="91"/>
      <c r="AN102" s="91"/>
      <c r="AO102" s="91"/>
      <c r="AP102" s="91"/>
      <c r="AQ102" s="94"/>
      <c r="AR102" s="95"/>
      <c r="AS102" s="91"/>
      <c r="AT102" s="91"/>
      <c r="AU102" s="91"/>
      <c r="AV102" s="91"/>
      <c r="AW102" s="91"/>
      <c r="AX102" s="91"/>
      <c r="AY102" s="91"/>
      <c r="AZ102" s="91"/>
      <c r="BA102" s="91"/>
      <c r="BB102" s="91"/>
      <c r="BC102" s="94"/>
      <c r="BD102" s="95"/>
      <c r="BE102" s="91"/>
      <c r="BF102" s="91"/>
      <c r="BG102" s="91"/>
      <c r="BH102" s="91"/>
      <c r="BI102" s="91"/>
      <c r="BJ102" s="91"/>
      <c r="BK102" s="91"/>
      <c r="BL102" s="91"/>
      <c r="BM102" s="91"/>
      <c r="BN102" s="91"/>
      <c r="BO102" s="94"/>
      <c r="BP102" s="95"/>
      <c r="BQ102" s="91"/>
      <c r="BR102" s="91"/>
      <c r="BS102" s="91"/>
      <c r="BT102" s="91"/>
      <c r="BU102" s="91"/>
      <c r="BV102" s="91"/>
      <c r="BW102" s="91"/>
      <c r="BX102" s="91"/>
      <c r="BY102" s="91"/>
      <c r="BZ102" s="91"/>
      <c r="CA102" s="119"/>
      <c r="CC102" s="79" t="n">
        <f aca="false">SUMIFS($T102:$CA102, $T$1:$CA$1, CC$63)</f>
        <v>0</v>
      </c>
      <c r="CD102" s="79" t="n">
        <f aca="false">SUMIFS($T102:$CA102, $T$1:$CA$1, CD$63)</f>
        <v>0</v>
      </c>
      <c r="CE102" s="79" t="n">
        <f aca="false">SUMIFS($T102:$CA102, $T$1:$CA$1, CE$63)</f>
        <v>0</v>
      </c>
      <c r="CF102" s="79" t="n">
        <f aca="false">SUMIFS($T102:$CA102, $T$1:$CA$1, CF$63)</f>
        <v>0</v>
      </c>
      <c r="CG102" s="79" t="n">
        <f aca="false">SUMIFS($T102:$CA102, $T$1:$CA$1, CG$63)</f>
        <v>0</v>
      </c>
      <c r="CI102" s="79" t="n">
        <f aca="false">CC102=L102</f>
        <v>1</v>
      </c>
      <c r="CJ102" s="79" t="n">
        <f aca="false">CD102=M102</f>
        <v>1</v>
      </c>
      <c r="CK102" s="79" t="n">
        <f aca="false">CE102=N102</f>
        <v>1</v>
      </c>
      <c r="CL102" s="79" t="n">
        <f aca="false">CF102=O102</f>
        <v>1</v>
      </c>
      <c r="CM102" s="79" t="n">
        <f aca="false">CG102=P102</f>
        <v>1</v>
      </c>
    </row>
    <row r="103" s="14" customFormat="true" ht="16.5" hidden="false" customHeight="true" outlineLevel="0" collapsed="false">
      <c r="E103" s="91"/>
      <c r="H103" s="29"/>
      <c r="I103" s="91"/>
      <c r="J103" s="91"/>
      <c r="K103" s="212" t="n">
        <f aca="false">J103-I103</f>
        <v>0</v>
      </c>
      <c r="L103" s="91" t="n">
        <v>0</v>
      </c>
      <c r="M103" s="91" t="n">
        <v>0</v>
      </c>
      <c r="N103" s="91" t="n">
        <v>0</v>
      </c>
      <c r="O103" s="91" t="n">
        <v>0</v>
      </c>
      <c r="P103" s="91" t="n">
        <v>0</v>
      </c>
      <c r="Q103" s="93"/>
      <c r="R103" s="16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4"/>
      <c r="AF103" s="95"/>
      <c r="AG103" s="91"/>
      <c r="AH103" s="91"/>
      <c r="AI103" s="91"/>
      <c r="AJ103" s="91"/>
      <c r="AK103" s="91"/>
      <c r="AL103" s="91"/>
      <c r="AM103" s="91"/>
      <c r="AN103" s="91"/>
      <c r="AO103" s="91"/>
      <c r="AP103" s="91"/>
      <c r="AQ103" s="94"/>
      <c r="AR103" s="95"/>
      <c r="AS103" s="91"/>
      <c r="AT103" s="91"/>
      <c r="AU103" s="91"/>
      <c r="AV103" s="91"/>
      <c r="AW103" s="91"/>
      <c r="AX103" s="91"/>
      <c r="AY103" s="91"/>
      <c r="AZ103" s="91"/>
      <c r="BA103" s="91"/>
      <c r="BB103" s="91"/>
      <c r="BC103" s="94"/>
      <c r="BD103" s="95"/>
      <c r="BE103" s="91"/>
      <c r="BF103" s="91"/>
      <c r="BG103" s="91"/>
      <c r="BH103" s="91"/>
      <c r="BI103" s="91"/>
      <c r="BJ103" s="91"/>
      <c r="BK103" s="91"/>
      <c r="BL103" s="91"/>
      <c r="BM103" s="91"/>
      <c r="BN103" s="91"/>
      <c r="BO103" s="94"/>
      <c r="BP103" s="95"/>
      <c r="BQ103" s="91"/>
      <c r="BR103" s="91"/>
      <c r="BS103" s="91"/>
      <c r="BT103" s="91"/>
      <c r="BU103" s="91"/>
      <c r="BV103" s="91"/>
      <c r="BW103" s="91"/>
      <c r="BX103" s="91"/>
      <c r="BY103" s="91"/>
      <c r="BZ103" s="91"/>
      <c r="CA103" s="119"/>
      <c r="CC103" s="79"/>
      <c r="CD103" s="79"/>
      <c r="CE103" s="79"/>
      <c r="CF103" s="79"/>
      <c r="CG103" s="79"/>
      <c r="CI103" s="79"/>
      <c r="CJ103" s="79"/>
      <c r="CK103" s="79"/>
      <c r="CL103" s="79"/>
      <c r="CM103" s="79"/>
    </row>
    <row r="104" s="14" customFormat="true" ht="16.5" hidden="false" customHeight="true" outlineLevel="0" collapsed="false">
      <c r="E104" s="96" t="s">
        <v>139</v>
      </c>
      <c r="H104" s="29"/>
      <c r="I104" s="82" t="n">
        <f aca="false">SUM(I99:I103)</f>
        <v>0</v>
      </c>
      <c r="J104" s="82" t="n">
        <f aca="false">SUM(J99:J103)</f>
        <v>0</v>
      </c>
      <c r="K104" s="82" t="n">
        <f aca="false">SUM(K99:K103)</f>
        <v>0</v>
      </c>
      <c r="L104" s="82" t="n">
        <f aca="false">SUM(L99:L103)</f>
        <v>0</v>
      </c>
      <c r="M104" s="82" t="n">
        <f aca="false">SUM(M99:M103)</f>
        <v>0</v>
      </c>
      <c r="N104" s="82" t="n">
        <f aca="false">SUM(N99:N103)</f>
        <v>0</v>
      </c>
      <c r="O104" s="82" t="n">
        <f aca="false">SUM(O99:O103)</f>
        <v>0</v>
      </c>
      <c r="P104" s="82" t="n">
        <f aca="false">SUM(P99:P103)</f>
        <v>0</v>
      </c>
      <c r="Q104" s="16"/>
      <c r="R104" s="16"/>
      <c r="T104" s="82" t="n">
        <f aca="false">SUM(T99:T103)</f>
        <v>0</v>
      </c>
      <c r="U104" s="82" t="n">
        <f aca="false">SUM(U99:U103)</f>
        <v>0</v>
      </c>
      <c r="V104" s="82" t="n">
        <f aca="false">SUM(V99:V103)</f>
        <v>0</v>
      </c>
      <c r="W104" s="82" t="n">
        <f aca="false">SUM(W99:W103)</f>
        <v>0</v>
      </c>
      <c r="X104" s="82" t="n">
        <f aca="false">SUM(X99:X103)</f>
        <v>0</v>
      </c>
      <c r="Y104" s="82" t="n">
        <f aca="false">SUM(Y99:Y103)</f>
        <v>0</v>
      </c>
      <c r="Z104" s="82" t="n">
        <f aca="false">SUM(Z99:Z103)</f>
        <v>0</v>
      </c>
      <c r="AA104" s="82" t="n">
        <f aca="false">SUM(AA99:AA103)</f>
        <v>0</v>
      </c>
      <c r="AB104" s="82" t="n">
        <f aca="false">SUM(AB99:AB103)</f>
        <v>0</v>
      </c>
      <c r="AC104" s="82" t="n">
        <f aca="false">SUM(AC99:AC103)</f>
        <v>0</v>
      </c>
      <c r="AD104" s="82" t="n">
        <f aca="false">SUM(AD99:AD103)</f>
        <v>0</v>
      </c>
      <c r="AE104" s="82" t="n">
        <f aca="false">SUM(AE99:AE103)</f>
        <v>0</v>
      </c>
      <c r="AF104" s="83" t="n">
        <f aca="false">SUM(AF99:AF103)</f>
        <v>0</v>
      </c>
      <c r="AG104" s="82" t="n">
        <f aca="false">SUM(AG99:AG103)</f>
        <v>0</v>
      </c>
      <c r="AH104" s="82" t="n">
        <f aca="false">SUM(AH99:AH103)</f>
        <v>0</v>
      </c>
      <c r="AI104" s="82" t="n">
        <f aca="false">SUM(AI99:AI103)</f>
        <v>0</v>
      </c>
      <c r="AJ104" s="82" t="n">
        <f aca="false">SUM(AJ99:AJ103)</f>
        <v>0</v>
      </c>
      <c r="AK104" s="82" t="n">
        <f aca="false">SUM(AK99:AK103)</f>
        <v>0</v>
      </c>
      <c r="AL104" s="82" t="n">
        <f aca="false">SUM(AL99:AL103)</f>
        <v>0</v>
      </c>
      <c r="AM104" s="82" t="n">
        <f aca="false">SUM(AM99:AM103)</f>
        <v>0</v>
      </c>
      <c r="AN104" s="82" t="n">
        <f aca="false">SUM(AN99:AN103)</f>
        <v>0</v>
      </c>
      <c r="AO104" s="82" t="n">
        <f aca="false">SUM(AO99:AO103)</f>
        <v>0</v>
      </c>
      <c r="AP104" s="82" t="n">
        <f aca="false">SUM(AP99:AP103)</f>
        <v>0</v>
      </c>
      <c r="AQ104" s="82" t="n">
        <f aca="false">SUM(AQ99:AQ103)</f>
        <v>0</v>
      </c>
      <c r="AR104" s="83" t="n">
        <f aca="false">SUM(AR99:AR103)</f>
        <v>0</v>
      </c>
      <c r="AS104" s="82" t="n">
        <f aca="false">SUM(AS99:AS103)</f>
        <v>0</v>
      </c>
      <c r="AT104" s="82" t="n">
        <f aca="false">SUM(AT99:AT103)</f>
        <v>0</v>
      </c>
      <c r="AU104" s="82" t="n">
        <f aca="false">SUM(AU99:AU103)</f>
        <v>0</v>
      </c>
      <c r="AV104" s="82" t="n">
        <f aca="false">SUM(AV99:AV103)</f>
        <v>0</v>
      </c>
      <c r="AW104" s="82" t="n">
        <f aca="false">SUM(AW99:AW103)</f>
        <v>0</v>
      </c>
      <c r="AX104" s="82" t="n">
        <f aca="false">SUM(AX99:AX103)</f>
        <v>0</v>
      </c>
      <c r="AY104" s="82" t="n">
        <f aca="false">SUM(AY99:AY103)</f>
        <v>0</v>
      </c>
      <c r="AZ104" s="82" t="n">
        <f aca="false">SUM(AZ99:AZ103)</f>
        <v>0</v>
      </c>
      <c r="BA104" s="82" t="n">
        <f aca="false">SUM(BA99:BA103)</f>
        <v>0</v>
      </c>
      <c r="BB104" s="82" t="n">
        <f aca="false">SUM(BB99:BB103)</f>
        <v>0</v>
      </c>
      <c r="BC104" s="82" t="n">
        <f aca="false">SUM(BC99:BC103)</f>
        <v>0</v>
      </c>
      <c r="BD104" s="83" t="n">
        <f aca="false">SUM(BD99:BD103)</f>
        <v>0</v>
      </c>
      <c r="BE104" s="82" t="n">
        <f aca="false">SUM(BE99:BE103)</f>
        <v>0</v>
      </c>
      <c r="BF104" s="82" t="n">
        <f aca="false">SUM(BF99:BF103)</f>
        <v>0</v>
      </c>
      <c r="BG104" s="82" t="n">
        <f aca="false">SUM(BG99:BG103)</f>
        <v>0</v>
      </c>
      <c r="BH104" s="82" t="n">
        <f aca="false">SUM(BH99:BH103)</f>
        <v>0</v>
      </c>
      <c r="BI104" s="82" t="n">
        <f aca="false">SUM(BI99:BI103)</f>
        <v>0</v>
      </c>
      <c r="BJ104" s="82" t="n">
        <f aca="false">SUM(BJ99:BJ103)</f>
        <v>0</v>
      </c>
      <c r="BK104" s="82" t="n">
        <f aca="false">SUM(BK99:BK103)</f>
        <v>0</v>
      </c>
      <c r="BL104" s="82" t="n">
        <f aca="false">SUM(BL99:BL103)</f>
        <v>0</v>
      </c>
      <c r="BM104" s="82" t="n">
        <f aca="false">SUM(BM99:BM103)</f>
        <v>0</v>
      </c>
      <c r="BN104" s="82" t="n">
        <f aca="false">SUM(BN99:BN103)</f>
        <v>0</v>
      </c>
      <c r="BO104" s="82" t="n">
        <f aca="false">SUM(BO99:BO103)</f>
        <v>0</v>
      </c>
      <c r="BP104" s="83" t="n">
        <f aca="false">SUM(BP99:BP103)</f>
        <v>0</v>
      </c>
      <c r="BQ104" s="82" t="n">
        <f aca="false">SUM(BQ99:BQ103)</f>
        <v>0</v>
      </c>
      <c r="BR104" s="82" t="n">
        <f aca="false">SUM(BR99:BR103)</f>
        <v>0</v>
      </c>
      <c r="BS104" s="82" t="n">
        <f aca="false">SUM(BS99:BS103)</f>
        <v>0</v>
      </c>
      <c r="BT104" s="82" t="n">
        <f aca="false">SUM(BT99:BT103)</f>
        <v>0</v>
      </c>
      <c r="BU104" s="82" t="n">
        <f aca="false">SUM(BU99:BU103)</f>
        <v>0</v>
      </c>
      <c r="BV104" s="82" t="n">
        <f aca="false">SUM(BV99:BV103)</f>
        <v>0</v>
      </c>
      <c r="BW104" s="82" t="n">
        <f aca="false">SUM(BW99:BW103)</f>
        <v>0</v>
      </c>
      <c r="BX104" s="82" t="n">
        <f aca="false">SUM(BX99:BX103)</f>
        <v>0</v>
      </c>
      <c r="BY104" s="82" t="n">
        <f aca="false">SUM(BY99:BY103)</f>
        <v>0</v>
      </c>
      <c r="BZ104" s="82" t="n">
        <f aca="false">SUM(BZ99:BZ103)</f>
        <v>0</v>
      </c>
      <c r="CA104" s="84" t="n">
        <f aca="false">SUM(CA99:CA103)</f>
        <v>0</v>
      </c>
      <c r="CC104" s="84" t="n">
        <f aca="false">SUM(CC99:CC103)</f>
        <v>0</v>
      </c>
      <c r="CD104" s="84" t="n">
        <f aca="false">SUM(CD99:CD103)</f>
        <v>0</v>
      </c>
      <c r="CE104" s="84" t="n">
        <f aca="false">SUM(CE99:CE103)</f>
        <v>0</v>
      </c>
      <c r="CF104" s="84" t="n">
        <f aca="false">SUM(CF99:CF103)</f>
        <v>0</v>
      </c>
      <c r="CG104" s="84" t="n">
        <f aca="false">SUM(CG99:CG103)</f>
        <v>0</v>
      </c>
      <c r="CI104" s="84" t="n">
        <f aca="false">CC104=L104</f>
        <v>1</v>
      </c>
      <c r="CJ104" s="84" t="n">
        <f aca="false">CD104=M104</f>
        <v>1</v>
      </c>
      <c r="CK104" s="84" t="n">
        <f aca="false">CE104=N104</f>
        <v>1</v>
      </c>
      <c r="CL104" s="84" t="n">
        <f aca="false">CF104=O104</f>
        <v>1</v>
      </c>
      <c r="CM104" s="84" t="n">
        <f aca="false">CG104=P104</f>
        <v>1</v>
      </c>
    </row>
    <row r="105" s="14" customFormat="true" ht="16.5" hidden="false" customHeight="true" outlineLevel="0" collapsed="false">
      <c r="H105" s="29"/>
      <c r="I105" s="88"/>
      <c r="J105" s="88"/>
      <c r="K105" s="88"/>
      <c r="L105" s="88"/>
      <c r="M105" s="88"/>
      <c r="N105" s="88"/>
      <c r="O105" s="88"/>
      <c r="P105" s="88"/>
      <c r="Q105" s="16"/>
      <c r="R105" s="16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9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  <c r="AQ105" s="88"/>
      <c r="AR105" s="89"/>
      <c r="AS105" s="88"/>
      <c r="AT105" s="88"/>
      <c r="AU105" s="88"/>
      <c r="AV105" s="88"/>
      <c r="AW105" s="88"/>
      <c r="AX105" s="88"/>
      <c r="AY105" s="88"/>
      <c r="AZ105" s="88"/>
      <c r="BA105" s="88"/>
      <c r="BB105" s="88"/>
      <c r="BC105" s="88"/>
      <c r="BD105" s="89"/>
      <c r="BE105" s="88"/>
      <c r="BF105" s="88"/>
      <c r="BG105" s="88"/>
      <c r="BH105" s="88"/>
      <c r="BI105" s="88"/>
      <c r="BJ105" s="88"/>
      <c r="BK105" s="88"/>
      <c r="BL105" s="88"/>
      <c r="BM105" s="88"/>
      <c r="BN105" s="88"/>
      <c r="BO105" s="88"/>
      <c r="BP105" s="89"/>
      <c r="BQ105" s="88"/>
      <c r="BR105" s="88"/>
      <c r="BS105" s="88"/>
      <c r="BT105" s="88"/>
      <c r="BU105" s="88"/>
      <c r="BV105" s="88"/>
      <c r="BW105" s="88"/>
      <c r="BX105" s="88"/>
      <c r="BY105" s="88"/>
      <c r="BZ105" s="88"/>
      <c r="CA105" s="90"/>
      <c r="CC105" s="90"/>
      <c r="CD105" s="90"/>
      <c r="CE105" s="90"/>
      <c r="CF105" s="90"/>
      <c r="CG105" s="90"/>
      <c r="CI105" s="90"/>
      <c r="CJ105" s="90"/>
      <c r="CK105" s="90"/>
      <c r="CL105" s="90"/>
      <c r="CM105" s="90"/>
    </row>
    <row r="106" s="14" customFormat="true" ht="16.5" hidden="false" customHeight="true" outlineLevel="0" collapsed="false">
      <c r="E106" s="21" t="s">
        <v>140</v>
      </c>
      <c r="H106" s="29"/>
      <c r="I106" s="88"/>
      <c r="J106" s="88"/>
      <c r="K106" s="88"/>
      <c r="L106" s="88"/>
      <c r="M106" s="88"/>
      <c r="N106" s="88"/>
      <c r="O106" s="88"/>
      <c r="P106" s="88"/>
      <c r="Q106" s="16"/>
      <c r="R106" s="16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9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  <c r="AQ106" s="88"/>
      <c r="AR106" s="89"/>
      <c r="AS106" s="88"/>
      <c r="AT106" s="88"/>
      <c r="AU106" s="88"/>
      <c r="AV106" s="88"/>
      <c r="AW106" s="88"/>
      <c r="AX106" s="88"/>
      <c r="AY106" s="88"/>
      <c r="AZ106" s="88"/>
      <c r="BA106" s="88"/>
      <c r="BB106" s="88"/>
      <c r="BC106" s="88"/>
      <c r="BD106" s="89"/>
      <c r="BE106" s="88"/>
      <c r="BF106" s="88"/>
      <c r="BG106" s="88"/>
      <c r="BH106" s="88"/>
      <c r="BI106" s="88"/>
      <c r="BJ106" s="88"/>
      <c r="BK106" s="88"/>
      <c r="BL106" s="88"/>
      <c r="BM106" s="88"/>
      <c r="BN106" s="88"/>
      <c r="BO106" s="88"/>
      <c r="BP106" s="89"/>
      <c r="BQ106" s="88"/>
      <c r="BR106" s="88"/>
      <c r="BS106" s="88"/>
      <c r="BT106" s="88"/>
      <c r="BU106" s="88"/>
      <c r="BV106" s="88"/>
      <c r="BW106" s="88"/>
      <c r="BX106" s="88"/>
      <c r="BY106" s="88"/>
      <c r="BZ106" s="88"/>
      <c r="CA106" s="90"/>
      <c r="CC106" s="90"/>
      <c r="CD106" s="90"/>
      <c r="CE106" s="90"/>
      <c r="CF106" s="90"/>
      <c r="CG106" s="90"/>
      <c r="CI106" s="90"/>
      <c r="CJ106" s="90"/>
      <c r="CK106" s="90"/>
      <c r="CL106" s="90"/>
      <c r="CM106" s="90"/>
    </row>
    <row r="107" s="14" customFormat="true" ht="16.5" hidden="false" customHeight="true" outlineLevel="0" collapsed="false">
      <c r="E107" s="91" t="s">
        <v>466</v>
      </c>
      <c r="H107" s="29" t="s">
        <v>467</v>
      </c>
      <c r="I107" s="91" t="n">
        <v>0</v>
      </c>
      <c r="J107" s="213" t="n">
        <f aca="false">I107+'SVC-2 Model'!$K$111</f>
        <v>1.2</v>
      </c>
      <c r="K107" s="214" t="n">
        <f aca="false">'SVC-2 Model'!$K$111</f>
        <v>1.2</v>
      </c>
      <c r="L107" s="213" t="n">
        <f aca="false">'SVC-2 Model'!L111</f>
        <v>0</v>
      </c>
      <c r="M107" s="213" t="n">
        <f aca="false">'SVC-2 Model'!M111</f>
        <v>0.114285714285714</v>
      </c>
      <c r="N107" s="213" t="n">
        <f aca="false">'SVC-2 Model'!N111</f>
        <v>1.13571428571429</v>
      </c>
      <c r="O107" s="213" t="n">
        <f aca="false">'SVC-2 Model'!O111</f>
        <v>1.2</v>
      </c>
      <c r="P107" s="213" t="n">
        <f aca="false">'SVC-2 Model'!P111</f>
        <v>1.2</v>
      </c>
      <c r="Q107" s="93" t="s">
        <v>266</v>
      </c>
      <c r="R107" s="16" t="str">
        <f aca="false">IF(K107=P107, "", "Error")</f>
        <v/>
      </c>
      <c r="T107" s="213" t="n">
        <f aca="false">'SVC-2 Model'!T111</f>
        <v>0</v>
      </c>
      <c r="U107" s="213" t="n">
        <f aca="false">'SVC-2 Model'!U111</f>
        <v>0</v>
      </c>
      <c r="V107" s="213" t="n">
        <f aca="false">'SVC-2 Model'!V111</f>
        <v>0</v>
      </c>
      <c r="W107" s="213" t="n">
        <f aca="false">'SVC-2 Model'!W111</f>
        <v>0</v>
      </c>
      <c r="X107" s="213" t="n">
        <f aca="false">'SVC-2 Model'!X111</f>
        <v>0</v>
      </c>
      <c r="Y107" s="213" t="n">
        <f aca="false">'SVC-2 Model'!Y111</f>
        <v>0</v>
      </c>
      <c r="Z107" s="213" t="n">
        <f aca="false">'SVC-2 Model'!Z111</f>
        <v>0</v>
      </c>
      <c r="AA107" s="213" t="n">
        <f aca="false">'SVC-2 Model'!AA111</f>
        <v>0</v>
      </c>
      <c r="AB107" s="213" t="n">
        <f aca="false">'SVC-2 Model'!AB111</f>
        <v>0</v>
      </c>
      <c r="AC107" s="213" t="n">
        <f aca="false">'SVC-2 Model'!AC111</f>
        <v>0</v>
      </c>
      <c r="AD107" s="213" t="n">
        <f aca="false">'SVC-2 Model'!AD111</f>
        <v>0</v>
      </c>
      <c r="AE107" s="215" t="n">
        <f aca="false">'SVC-2 Model'!AE111</f>
        <v>0</v>
      </c>
      <c r="AF107" s="216" t="n">
        <f aca="false">'SVC-2 Model'!AF111</f>
        <v>0</v>
      </c>
      <c r="AG107" s="216" t="n">
        <f aca="false">'SVC-2 Model'!AG111</f>
        <v>0</v>
      </c>
      <c r="AH107" s="216" t="n">
        <f aca="false">'SVC-2 Model'!AH111</f>
        <v>0</v>
      </c>
      <c r="AI107" s="216" t="n">
        <f aca="false">'SVC-2 Model'!AI111</f>
        <v>0</v>
      </c>
      <c r="AJ107" s="216" t="n">
        <f aca="false">'SVC-2 Model'!AJ111</f>
        <v>0</v>
      </c>
      <c r="AK107" s="216" t="n">
        <f aca="false">'SVC-2 Model'!AK111</f>
        <v>0</v>
      </c>
      <c r="AL107" s="216" t="n">
        <f aca="false">'SVC-2 Model'!AL111</f>
        <v>0</v>
      </c>
      <c r="AM107" s="216" t="n">
        <f aca="false">'SVC-2 Model'!AM111</f>
        <v>0</v>
      </c>
      <c r="AN107" s="216" t="n">
        <f aca="false">'SVC-2 Model'!AN111</f>
        <v>0.00714285714285714</v>
      </c>
      <c r="AO107" s="216" t="n">
        <f aca="false">'SVC-2 Model'!AO111</f>
        <v>0.0214285714285714</v>
      </c>
      <c r="AP107" s="216" t="n">
        <f aca="false">'SVC-2 Model'!AP111</f>
        <v>0.0357142857142857</v>
      </c>
      <c r="AQ107" s="216" t="n">
        <f aca="false">'SVC-2 Model'!AQ111</f>
        <v>0.05</v>
      </c>
      <c r="AR107" s="216" t="n">
        <f aca="false">'SVC-2 Model'!AR111</f>
        <v>0.0642857142857143</v>
      </c>
      <c r="AS107" s="216" t="n">
        <f aca="false">'SVC-2 Model'!AS111</f>
        <v>0.0785714285714286</v>
      </c>
      <c r="AT107" s="216" t="n">
        <f aca="false">'SVC-2 Model'!AT111</f>
        <v>0.0928571428571429</v>
      </c>
      <c r="AU107" s="216" t="n">
        <f aca="false">'SVC-2 Model'!AU111</f>
        <v>0.1</v>
      </c>
      <c r="AV107" s="216" t="n">
        <f aca="false">'SVC-2 Model'!AV111</f>
        <v>0.1</v>
      </c>
      <c r="AW107" s="216" t="n">
        <f aca="false">'SVC-2 Model'!AW111</f>
        <v>0.1</v>
      </c>
      <c r="AX107" s="216" t="n">
        <f aca="false">'SVC-2 Model'!AX111</f>
        <v>0.1</v>
      </c>
      <c r="AY107" s="216" t="n">
        <f aca="false">'SVC-2 Model'!AY111</f>
        <v>0.1</v>
      </c>
      <c r="AZ107" s="216" t="n">
        <f aca="false">'SVC-2 Model'!AZ111</f>
        <v>0.1</v>
      </c>
      <c r="BA107" s="216" t="n">
        <f aca="false">'SVC-2 Model'!BA111</f>
        <v>0.1</v>
      </c>
      <c r="BB107" s="216" t="n">
        <f aca="false">'SVC-2 Model'!BB111</f>
        <v>0.1</v>
      </c>
      <c r="BC107" s="216" t="n">
        <f aca="false">'SVC-2 Model'!BC111</f>
        <v>0.1</v>
      </c>
      <c r="BD107" s="216" t="n">
        <f aca="false">'SVC-2 Model'!BD111</f>
        <v>0.1</v>
      </c>
      <c r="BE107" s="216" t="n">
        <f aca="false">'SVC-2 Model'!BE111</f>
        <v>0.1</v>
      </c>
      <c r="BF107" s="216" t="n">
        <f aca="false">'SVC-2 Model'!BF111</f>
        <v>0.1</v>
      </c>
      <c r="BG107" s="216" t="n">
        <f aca="false">'SVC-2 Model'!BG111</f>
        <v>0.1</v>
      </c>
      <c r="BH107" s="216" t="n">
        <f aca="false">'SVC-2 Model'!BH111</f>
        <v>0.1</v>
      </c>
      <c r="BI107" s="216" t="n">
        <f aca="false">'SVC-2 Model'!BI111</f>
        <v>0.1</v>
      </c>
      <c r="BJ107" s="216" t="n">
        <f aca="false">'SVC-2 Model'!BJ111</f>
        <v>0.1</v>
      </c>
      <c r="BK107" s="216" t="n">
        <f aca="false">'SVC-2 Model'!BK111</f>
        <v>0.1</v>
      </c>
      <c r="BL107" s="216" t="n">
        <f aca="false">'SVC-2 Model'!BL111</f>
        <v>0.1</v>
      </c>
      <c r="BM107" s="216" t="n">
        <f aca="false">'SVC-2 Model'!BM111</f>
        <v>0.1</v>
      </c>
      <c r="BN107" s="216" t="n">
        <f aca="false">'SVC-2 Model'!BN111</f>
        <v>0.1</v>
      </c>
      <c r="BO107" s="216" t="n">
        <f aca="false">'SVC-2 Model'!BO111</f>
        <v>0.1</v>
      </c>
      <c r="BP107" s="216" t="n">
        <f aca="false">'SVC-2 Model'!BP111</f>
        <v>0.1</v>
      </c>
      <c r="BQ107" s="216" t="n">
        <f aca="false">'SVC-2 Model'!BQ111</f>
        <v>0.1</v>
      </c>
      <c r="BR107" s="216" t="n">
        <f aca="false">'SVC-2 Model'!BR111</f>
        <v>0.1</v>
      </c>
      <c r="BS107" s="216" t="n">
        <f aca="false">'SVC-2 Model'!BS111</f>
        <v>0.1</v>
      </c>
      <c r="BT107" s="216" t="n">
        <f aca="false">'SVC-2 Model'!BT111</f>
        <v>0.1</v>
      </c>
      <c r="BU107" s="216" t="n">
        <f aca="false">'SVC-2 Model'!BU111</f>
        <v>0.1</v>
      </c>
      <c r="BV107" s="216" t="n">
        <f aca="false">'SVC-2 Model'!BV111</f>
        <v>0.1</v>
      </c>
      <c r="BW107" s="216" t="n">
        <f aca="false">'SVC-2 Model'!BW111</f>
        <v>0.1</v>
      </c>
      <c r="BX107" s="216" t="n">
        <f aca="false">'SVC-2 Model'!BX111</f>
        <v>0.1</v>
      </c>
      <c r="BY107" s="216" t="n">
        <f aca="false">'SVC-2 Model'!BY111</f>
        <v>0.1</v>
      </c>
      <c r="BZ107" s="216" t="n">
        <f aca="false">'SVC-2 Model'!BZ111</f>
        <v>0.1</v>
      </c>
      <c r="CA107" s="216" t="n">
        <f aca="false">'SVC-2 Model'!CA111</f>
        <v>0.1</v>
      </c>
      <c r="CC107" s="79" t="n">
        <f aca="false">SUMIFS($T107:$CA107, $T$1:$CA$1, CC$63)</f>
        <v>0</v>
      </c>
      <c r="CD107" s="79" t="n">
        <f aca="false">SUMIFS($T107:$CA107, $T$1:$CA$1, CD$63)</f>
        <v>0.114285714285714</v>
      </c>
      <c r="CE107" s="79" t="n">
        <f aca="false">SUMIFS($T107:$CA107, $T$1:$CA$1, CE$63)</f>
        <v>1.13571428571429</v>
      </c>
      <c r="CF107" s="79" t="n">
        <f aca="false">SUMIFS($T107:$CA107, $T$1:$CA$1, CF$63)</f>
        <v>1.2</v>
      </c>
      <c r="CG107" s="79" t="n">
        <f aca="false">SUMIFS($T107:$CA107, $T$1:$CA$1, CG$63)</f>
        <v>1.2</v>
      </c>
      <c r="CI107" s="79" t="n">
        <f aca="false">CC107=L107</f>
        <v>1</v>
      </c>
      <c r="CJ107" s="79" t="n">
        <f aca="false">CD107=M107</f>
        <v>1</v>
      </c>
      <c r="CK107" s="79" t="n">
        <f aca="false">CE107=N107</f>
        <v>1</v>
      </c>
      <c r="CL107" s="79" t="n">
        <f aca="false">CF107=O107</f>
        <v>1</v>
      </c>
      <c r="CM107" s="79" t="n">
        <f aca="false">CG107=P107</f>
        <v>1</v>
      </c>
    </row>
    <row r="108" s="14" customFormat="true" ht="16.5" hidden="false" customHeight="true" outlineLevel="0" collapsed="false">
      <c r="E108" s="91" t="s">
        <v>469</v>
      </c>
      <c r="H108" s="29" t="s">
        <v>390</v>
      </c>
      <c r="I108" s="91" t="n">
        <v>0</v>
      </c>
      <c r="J108" s="213" t="n">
        <f aca="false">I108+'SVC-2 Model'!$K$112</f>
        <v>0.3</v>
      </c>
      <c r="K108" s="214" t="n">
        <f aca="false">'SVC-2 Model'!$K$112</f>
        <v>0.3</v>
      </c>
      <c r="L108" s="213" t="n">
        <f aca="false">'SVC-2 Model'!L112</f>
        <v>0</v>
      </c>
      <c r="M108" s="213" t="n">
        <f aca="false">'SVC-2 Model'!M112</f>
        <v>0.1</v>
      </c>
      <c r="N108" s="213" t="n">
        <f aca="false">'SVC-2 Model'!N112</f>
        <v>0.3</v>
      </c>
      <c r="O108" s="213" t="n">
        <f aca="false">'SVC-2 Model'!O112</f>
        <v>0.3</v>
      </c>
      <c r="P108" s="213" t="n">
        <f aca="false">'SVC-2 Model'!P112</f>
        <v>0.3</v>
      </c>
      <c r="Q108" s="93" t="s">
        <v>266</v>
      </c>
      <c r="R108" s="16" t="str">
        <f aca="false">IF(K108=P108, "", "Error")</f>
        <v/>
      </c>
      <c r="T108" s="213" t="n">
        <f aca="false">'SVC-2 Model'!T112</f>
        <v>0</v>
      </c>
      <c r="U108" s="213" t="n">
        <f aca="false">'SVC-2 Model'!U112</f>
        <v>0</v>
      </c>
      <c r="V108" s="213" t="n">
        <f aca="false">'SVC-2 Model'!V112</f>
        <v>0</v>
      </c>
      <c r="W108" s="213" t="n">
        <f aca="false">'SVC-2 Model'!W112</f>
        <v>0</v>
      </c>
      <c r="X108" s="213" t="n">
        <f aca="false">'SVC-2 Model'!X112</f>
        <v>0</v>
      </c>
      <c r="Y108" s="213" t="n">
        <f aca="false">'SVC-2 Model'!Y112</f>
        <v>0</v>
      </c>
      <c r="Z108" s="213" t="n">
        <f aca="false">'SVC-2 Model'!Z112</f>
        <v>0</v>
      </c>
      <c r="AA108" s="213" t="n">
        <f aca="false">'SVC-2 Model'!AA112</f>
        <v>0</v>
      </c>
      <c r="AB108" s="213" t="n">
        <f aca="false">'SVC-2 Model'!AB112</f>
        <v>0</v>
      </c>
      <c r="AC108" s="213" t="n">
        <f aca="false">'SVC-2 Model'!AC112</f>
        <v>0</v>
      </c>
      <c r="AD108" s="213" t="n">
        <f aca="false">'SVC-2 Model'!AD112</f>
        <v>0</v>
      </c>
      <c r="AE108" s="215" t="n">
        <f aca="false">'SVC-2 Model'!AE112</f>
        <v>0</v>
      </c>
      <c r="AF108" s="215" t="n">
        <f aca="false">'SVC-2 Model'!AF112</f>
        <v>0</v>
      </c>
      <c r="AG108" s="215" t="n">
        <f aca="false">'SVC-2 Model'!AG112</f>
        <v>0</v>
      </c>
      <c r="AH108" s="215" t="n">
        <f aca="false">'SVC-2 Model'!AH112</f>
        <v>0</v>
      </c>
      <c r="AI108" s="215" t="n">
        <f aca="false">'SVC-2 Model'!AI112</f>
        <v>0</v>
      </c>
      <c r="AJ108" s="215" t="n">
        <f aca="false">'SVC-2 Model'!AJ112</f>
        <v>0</v>
      </c>
      <c r="AK108" s="215" t="n">
        <f aca="false">'SVC-2 Model'!AK112</f>
        <v>0</v>
      </c>
      <c r="AL108" s="215" t="n">
        <f aca="false">'SVC-2 Model'!AL112</f>
        <v>0</v>
      </c>
      <c r="AM108" s="215" t="n">
        <f aca="false">'SVC-2 Model'!AM112</f>
        <v>0</v>
      </c>
      <c r="AN108" s="215" t="n">
        <f aca="false">'SVC-2 Model'!AN112</f>
        <v>0.025</v>
      </c>
      <c r="AO108" s="215" t="n">
        <f aca="false">'SVC-2 Model'!AO112</f>
        <v>0.025</v>
      </c>
      <c r="AP108" s="215" t="n">
        <f aca="false">'SVC-2 Model'!AP112</f>
        <v>0.025</v>
      </c>
      <c r="AQ108" s="215" t="n">
        <f aca="false">'SVC-2 Model'!AQ112</f>
        <v>0.025</v>
      </c>
      <c r="AR108" s="215" t="n">
        <f aca="false">'SVC-2 Model'!AR112</f>
        <v>0.025</v>
      </c>
      <c r="AS108" s="215" t="n">
        <f aca="false">'SVC-2 Model'!AS112</f>
        <v>0.025</v>
      </c>
      <c r="AT108" s="215" t="n">
        <f aca="false">'SVC-2 Model'!AT112</f>
        <v>0.025</v>
      </c>
      <c r="AU108" s="215" t="n">
        <f aca="false">'SVC-2 Model'!AU112</f>
        <v>0.025</v>
      </c>
      <c r="AV108" s="215" t="n">
        <f aca="false">'SVC-2 Model'!AV112</f>
        <v>0.025</v>
      </c>
      <c r="AW108" s="215" t="n">
        <f aca="false">'SVC-2 Model'!AW112</f>
        <v>0.025</v>
      </c>
      <c r="AX108" s="215" t="n">
        <f aca="false">'SVC-2 Model'!AX112</f>
        <v>0.025</v>
      </c>
      <c r="AY108" s="215" t="n">
        <f aca="false">'SVC-2 Model'!AY112</f>
        <v>0.025</v>
      </c>
      <c r="AZ108" s="215" t="n">
        <f aca="false">'SVC-2 Model'!AZ112</f>
        <v>0.025</v>
      </c>
      <c r="BA108" s="215" t="n">
        <f aca="false">'SVC-2 Model'!BA112</f>
        <v>0.025</v>
      </c>
      <c r="BB108" s="215" t="n">
        <f aca="false">'SVC-2 Model'!BB112</f>
        <v>0.025</v>
      </c>
      <c r="BC108" s="215" t="n">
        <f aca="false">'SVC-2 Model'!BC112</f>
        <v>0.025</v>
      </c>
      <c r="BD108" s="215" t="n">
        <f aca="false">'SVC-2 Model'!BD112</f>
        <v>0.025</v>
      </c>
      <c r="BE108" s="215" t="n">
        <f aca="false">'SVC-2 Model'!BE112</f>
        <v>0.025</v>
      </c>
      <c r="BF108" s="215" t="n">
        <f aca="false">'SVC-2 Model'!BF112</f>
        <v>0.025</v>
      </c>
      <c r="BG108" s="215" t="n">
        <f aca="false">'SVC-2 Model'!BG112</f>
        <v>0.025</v>
      </c>
      <c r="BH108" s="215" t="n">
        <f aca="false">'SVC-2 Model'!BH112</f>
        <v>0.025</v>
      </c>
      <c r="BI108" s="215" t="n">
        <f aca="false">'SVC-2 Model'!BI112</f>
        <v>0.025</v>
      </c>
      <c r="BJ108" s="215" t="n">
        <f aca="false">'SVC-2 Model'!BJ112</f>
        <v>0.025</v>
      </c>
      <c r="BK108" s="215" t="n">
        <f aca="false">'SVC-2 Model'!BK112</f>
        <v>0.025</v>
      </c>
      <c r="BL108" s="215" t="n">
        <f aca="false">'SVC-2 Model'!BL112</f>
        <v>0.025</v>
      </c>
      <c r="BM108" s="215" t="n">
        <f aca="false">'SVC-2 Model'!BM112</f>
        <v>0.025</v>
      </c>
      <c r="BN108" s="215" t="n">
        <f aca="false">'SVC-2 Model'!BN112</f>
        <v>0.025</v>
      </c>
      <c r="BO108" s="215" t="n">
        <f aca="false">'SVC-2 Model'!BO112</f>
        <v>0.025</v>
      </c>
      <c r="BP108" s="215" t="n">
        <f aca="false">'SVC-2 Model'!BP112</f>
        <v>0.025</v>
      </c>
      <c r="BQ108" s="215" t="n">
        <f aca="false">'SVC-2 Model'!BQ112</f>
        <v>0.025</v>
      </c>
      <c r="BR108" s="215" t="n">
        <f aca="false">'SVC-2 Model'!BR112</f>
        <v>0.025</v>
      </c>
      <c r="BS108" s="215" t="n">
        <f aca="false">'SVC-2 Model'!BS112</f>
        <v>0.025</v>
      </c>
      <c r="BT108" s="215" t="n">
        <f aca="false">'SVC-2 Model'!BT112</f>
        <v>0.025</v>
      </c>
      <c r="BU108" s="215" t="n">
        <f aca="false">'SVC-2 Model'!BU112</f>
        <v>0.025</v>
      </c>
      <c r="BV108" s="215" t="n">
        <f aca="false">'SVC-2 Model'!BV112</f>
        <v>0.025</v>
      </c>
      <c r="BW108" s="215" t="n">
        <f aca="false">'SVC-2 Model'!BW112</f>
        <v>0.025</v>
      </c>
      <c r="BX108" s="215" t="n">
        <f aca="false">'SVC-2 Model'!BX112</f>
        <v>0.025</v>
      </c>
      <c r="BY108" s="215" t="n">
        <f aca="false">'SVC-2 Model'!BY112</f>
        <v>0.025</v>
      </c>
      <c r="BZ108" s="215" t="n">
        <f aca="false">'SVC-2 Model'!BZ112</f>
        <v>0.025</v>
      </c>
      <c r="CA108" s="215" t="n">
        <f aca="false">'SVC-2 Model'!CA112</f>
        <v>0.025</v>
      </c>
      <c r="CC108" s="79" t="n">
        <f aca="false">SUMIFS($T108:$CA108, $T$1:$CA$1, CC$63)</f>
        <v>0</v>
      </c>
      <c r="CD108" s="79" t="n">
        <f aca="false">SUMIFS($T108:$CA108, $T$1:$CA$1, CD$63)</f>
        <v>0.1</v>
      </c>
      <c r="CE108" s="79" t="n">
        <f aca="false">SUMIFS($T108:$CA108, $T$1:$CA$1, CE$63)</f>
        <v>0.3</v>
      </c>
      <c r="CF108" s="79" t="n">
        <f aca="false">SUMIFS($T108:$CA108, $T$1:$CA$1, CF$63)</f>
        <v>0.3</v>
      </c>
      <c r="CG108" s="79" t="n">
        <f aca="false">SUMIFS($T108:$CA108, $T$1:$CA$1, CG$63)</f>
        <v>0.3</v>
      </c>
      <c r="CI108" s="79" t="n">
        <f aca="false">CC108=L108</f>
        <v>1</v>
      </c>
      <c r="CJ108" s="79" t="n">
        <f aca="false">CD108=M108</f>
        <v>1</v>
      </c>
      <c r="CK108" s="79" t="n">
        <f aca="false">CE108=N108</f>
        <v>1</v>
      </c>
      <c r="CL108" s="79" t="n">
        <f aca="false">CF108=O108</f>
        <v>1</v>
      </c>
      <c r="CM108" s="79" t="n">
        <f aca="false">CG108=P108</f>
        <v>1</v>
      </c>
    </row>
    <row r="109" s="14" customFormat="true" ht="16.5" hidden="false" customHeight="true" outlineLevel="0" collapsed="false">
      <c r="E109" s="91" t="s">
        <v>386</v>
      </c>
      <c r="H109" s="29" t="s">
        <v>470</v>
      </c>
      <c r="I109" s="91" t="n">
        <v>0</v>
      </c>
      <c r="J109" s="213" t="n">
        <f aca="false">I109+'SVC-2 Model'!$K$113</f>
        <v>0.54</v>
      </c>
      <c r="K109" s="214" t="n">
        <f aca="false">'SVC-2 Model'!$K$113</f>
        <v>0.54</v>
      </c>
      <c r="L109" s="213" t="n">
        <f aca="false">'SVC-2 Model'!L113</f>
        <v>0</v>
      </c>
      <c r="M109" s="213" t="n">
        <f aca="false">'SVC-2 Model'!M113</f>
        <v>0.18</v>
      </c>
      <c r="N109" s="213" t="n">
        <f aca="false">'SVC-2 Model'!N113</f>
        <v>0.54</v>
      </c>
      <c r="O109" s="213" t="n">
        <f aca="false">'SVC-2 Model'!O113</f>
        <v>0.54</v>
      </c>
      <c r="P109" s="213" t="n">
        <f aca="false">'SVC-2 Model'!P113</f>
        <v>0.54</v>
      </c>
      <c r="Q109" s="93" t="s">
        <v>266</v>
      </c>
      <c r="R109" s="16" t="str">
        <f aca="false">IF(K109=P109, "", "Error")</f>
        <v/>
      </c>
      <c r="T109" s="213" t="n">
        <f aca="false">'SVC-2 Model'!T113</f>
        <v>0</v>
      </c>
      <c r="U109" s="213" t="n">
        <f aca="false">'SVC-2 Model'!U113</f>
        <v>0</v>
      </c>
      <c r="V109" s="213" t="n">
        <f aca="false">'SVC-2 Model'!V113</f>
        <v>0</v>
      </c>
      <c r="W109" s="213" t="n">
        <f aca="false">'SVC-2 Model'!W113</f>
        <v>0</v>
      </c>
      <c r="X109" s="213" t="n">
        <f aca="false">'SVC-2 Model'!X113</f>
        <v>0</v>
      </c>
      <c r="Y109" s="213" t="n">
        <f aca="false">'SVC-2 Model'!Y113</f>
        <v>0</v>
      </c>
      <c r="Z109" s="213" t="n">
        <f aca="false">'SVC-2 Model'!Z113</f>
        <v>0</v>
      </c>
      <c r="AA109" s="213" t="n">
        <f aca="false">'SVC-2 Model'!AA113</f>
        <v>0</v>
      </c>
      <c r="AB109" s="213" t="n">
        <f aca="false">'SVC-2 Model'!AB113</f>
        <v>0</v>
      </c>
      <c r="AC109" s="213" t="n">
        <f aca="false">'SVC-2 Model'!AC113</f>
        <v>0</v>
      </c>
      <c r="AD109" s="213" t="n">
        <f aca="false">'SVC-2 Model'!AD113</f>
        <v>0</v>
      </c>
      <c r="AE109" s="215" t="n">
        <f aca="false">'SVC-2 Model'!AE113</f>
        <v>0</v>
      </c>
      <c r="AF109" s="215" t="n">
        <f aca="false">'SVC-2 Model'!AF113</f>
        <v>0</v>
      </c>
      <c r="AG109" s="215" t="n">
        <f aca="false">'SVC-2 Model'!AG113</f>
        <v>0</v>
      </c>
      <c r="AH109" s="215" t="n">
        <f aca="false">'SVC-2 Model'!AH113</f>
        <v>0</v>
      </c>
      <c r="AI109" s="215" t="n">
        <f aca="false">'SVC-2 Model'!AI113</f>
        <v>0</v>
      </c>
      <c r="AJ109" s="215" t="n">
        <f aca="false">'SVC-2 Model'!AJ113</f>
        <v>0</v>
      </c>
      <c r="AK109" s="215" t="n">
        <f aca="false">'SVC-2 Model'!AK113</f>
        <v>0</v>
      </c>
      <c r="AL109" s="215" t="n">
        <f aca="false">'SVC-2 Model'!AL113</f>
        <v>0</v>
      </c>
      <c r="AM109" s="215" t="n">
        <f aca="false">'SVC-2 Model'!AM113</f>
        <v>0</v>
      </c>
      <c r="AN109" s="215" t="n">
        <f aca="false">'SVC-2 Model'!AN113</f>
        <v>0.045</v>
      </c>
      <c r="AO109" s="215" t="n">
        <f aca="false">'SVC-2 Model'!AO113</f>
        <v>0.045</v>
      </c>
      <c r="AP109" s="215" t="n">
        <f aca="false">'SVC-2 Model'!AP113</f>
        <v>0.045</v>
      </c>
      <c r="AQ109" s="215" t="n">
        <f aca="false">'SVC-2 Model'!AQ113</f>
        <v>0.045</v>
      </c>
      <c r="AR109" s="215" t="n">
        <f aca="false">'SVC-2 Model'!AR113</f>
        <v>0.045</v>
      </c>
      <c r="AS109" s="215" t="n">
        <f aca="false">'SVC-2 Model'!AS113</f>
        <v>0.045</v>
      </c>
      <c r="AT109" s="215" t="n">
        <f aca="false">'SVC-2 Model'!AT113</f>
        <v>0.045</v>
      </c>
      <c r="AU109" s="215" t="n">
        <f aca="false">'SVC-2 Model'!AU113</f>
        <v>0.045</v>
      </c>
      <c r="AV109" s="215" t="n">
        <f aca="false">'SVC-2 Model'!AV113</f>
        <v>0.045</v>
      </c>
      <c r="AW109" s="215" t="n">
        <f aca="false">'SVC-2 Model'!AW113</f>
        <v>0.045</v>
      </c>
      <c r="AX109" s="215" t="n">
        <f aca="false">'SVC-2 Model'!AX113</f>
        <v>0.045</v>
      </c>
      <c r="AY109" s="215" t="n">
        <f aca="false">'SVC-2 Model'!AY113</f>
        <v>0.045</v>
      </c>
      <c r="AZ109" s="215" t="n">
        <f aca="false">'SVC-2 Model'!AZ113</f>
        <v>0.045</v>
      </c>
      <c r="BA109" s="215" t="n">
        <f aca="false">'SVC-2 Model'!BA113</f>
        <v>0.045</v>
      </c>
      <c r="BB109" s="215" t="n">
        <f aca="false">'SVC-2 Model'!BB113</f>
        <v>0.045</v>
      </c>
      <c r="BC109" s="215" t="n">
        <f aca="false">'SVC-2 Model'!BC113</f>
        <v>0.045</v>
      </c>
      <c r="BD109" s="215" t="n">
        <f aca="false">'SVC-2 Model'!BD113</f>
        <v>0.045</v>
      </c>
      <c r="BE109" s="215" t="n">
        <f aca="false">'SVC-2 Model'!BE113</f>
        <v>0.045</v>
      </c>
      <c r="BF109" s="215" t="n">
        <f aca="false">'SVC-2 Model'!BF113</f>
        <v>0.045</v>
      </c>
      <c r="BG109" s="215" t="n">
        <f aca="false">'SVC-2 Model'!BG113</f>
        <v>0.045</v>
      </c>
      <c r="BH109" s="215" t="n">
        <f aca="false">'SVC-2 Model'!BH113</f>
        <v>0.045</v>
      </c>
      <c r="BI109" s="215" t="n">
        <f aca="false">'SVC-2 Model'!BI113</f>
        <v>0.045</v>
      </c>
      <c r="BJ109" s="215" t="n">
        <f aca="false">'SVC-2 Model'!BJ113</f>
        <v>0.045</v>
      </c>
      <c r="BK109" s="215" t="n">
        <f aca="false">'SVC-2 Model'!BK113</f>
        <v>0.045</v>
      </c>
      <c r="BL109" s="215" t="n">
        <f aca="false">'SVC-2 Model'!BL113</f>
        <v>0.045</v>
      </c>
      <c r="BM109" s="215" t="n">
        <f aca="false">'SVC-2 Model'!BM113</f>
        <v>0.045</v>
      </c>
      <c r="BN109" s="215" t="n">
        <f aca="false">'SVC-2 Model'!BN113</f>
        <v>0.045</v>
      </c>
      <c r="BO109" s="215" t="n">
        <f aca="false">'SVC-2 Model'!BO113</f>
        <v>0.045</v>
      </c>
      <c r="BP109" s="215" t="n">
        <f aca="false">'SVC-2 Model'!BP113</f>
        <v>0.045</v>
      </c>
      <c r="BQ109" s="215" t="n">
        <f aca="false">'SVC-2 Model'!BQ113</f>
        <v>0.045</v>
      </c>
      <c r="BR109" s="215" t="n">
        <f aca="false">'SVC-2 Model'!BR113</f>
        <v>0.045</v>
      </c>
      <c r="BS109" s="215" t="n">
        <f aca="false">'SVC-2 Model'!BS113</f>
        <v>0.045</v>
      </c>
      <c r="BT109" s="215" t="n">
        <f aca="false">'SVC-2 Model'!BT113</f>
        <v>0.045</v>
      </c>
      <c r="BU109" s="215" t="n">
        <f aca="false">'SVC-2 Model'!BU113</f>
        <v>0.045</v>
      </c>
      <c r="BV109" s="215" t="n">
        <f aca="false">'SVC-2 Model'!BV113</f>
        <v>0.045</v>
      </c>
      <c r="BW109" s="215" t="n">
        <f aca="false">'SVC-2 Model'!BW113</f>
        <v>0.045</v>
      </c>
      <c r="BX109" s="215" t="n">
        <f aca="false">'SVC-2 Model'!BX113</f>
        <v>0.045</v>
      </c>
      <c r="BY109" s="215" t="n">
        <f aca="false">'SVC-2 Model'!BY113</f>
        <v>0.045</v>
      </c>
      <c r="BZ109" s="215" t="n">
        <f aca="false">'SVC-2 Model'!BZ113</f>
        <v>0.045</v>
      </c>
      <c r="CA109" s="215" t="n">
        <f aca="false">'SVC-2 Model'!CA113</f>
        <v>0.045</v>
      </c>
      <c r="CC109" s="79" t="n">
        <f aca="false">SUMIFS($T109:$CA109, $T$1:$CA$1, CC$63)</f>
        <v>0</v>
      </c>
      <c r="CD109" s="79" t="n">
        <f aca="false">SUMIFS($T109:$CA109, $T$1:$CA$1, CD$63)</f>
        <v>0.18</v>
      </c>
      <c r="CE109" s="79" t="n">
        <f aca="false">SUMIFS($T109:$CA109, $T$1:$CA$1, CE$63)</f>
        <v>0.54</v>
      </c>
      <c r="CF109" s="79" t="n">
        <f aca="false">SUMIFS($T109:$CA109, $T$1:$CA$1, CF$63)</f>
        <v>0.54</v>
      </c>
      <c r="CG109" s="79" t="n">
        <f aca="false">SUMIFS($T109:$CA109, $T$1:$CA$1, CG$63)</f>
        <v>0.54</v>
      </c>
      <c r="CI109" s="79" t="n">
        <f aca="false">CC109=L109</f>
        <v>1</v>
      </c>
      <c r="CJ109" s="79" t="n">
        <f aca="false">CD109=M109</f>
        <v>1</v>
      </c>
      <c r="CK109" s="79" t="n">
        <f aca="false">CE109=N109</f>
        <v>1</v>
      </c>
      <c r="CL109" s="79" t="n">
        <f aca="false">CF109=O109</f>
        <v>1</v>
      </c>
      <c r="CM109" s="79" t="n">
        <f aca="false">CG109=P109</f>
        <v>1</v>
      </c>
    </row>
    <row r="110" s="14" customFormat="true" ht="16.5" hidden="false" customHeight="true" outlineLevel="0" collapsed="false">
      <c r="E110" s="91" t="s">
        <v>389</v>
      </c>
      <c r="H110" s="29" t="s">
        <v>390</v>
      </c>
      <c r="I110" s="91" t="n">
        <v>0</v>
      </c>
      <c r="J110" s="213" t="n">
        <f aca="false">I110+'SVC-2 Model'!$K$114</f>
        <v>0.2</v>
      </c>
      <c r="K110" s="214" t="n">
        <f aca="false">'SVC-2 Model'!$K$114</f>
        <v>0.2</v>
      </c>
      <c r="L110" s="213" t="n">
        <f aca="false">'SVC-2 Model'!L114</f>
        <v>0</v>
      </c>
      <c r="M110" s="213" t="n">
        <f aca="false">'SVC-2 Model'!M114</f>
        <v>0.0666666666666667</v>
      </c>
      <c r="N110" s="213" t="n">
        <f aca="false">'SVC-2 Model'!N114</f>
        <v>0.2</v>
      </c>
      <c r="O110" s="213" t="n">
        <f aca="false">'SVC-2 Model'!O114</f>
        <v>0.2</v>
      </c>
      <c r="P110" s="213" t="n">
        <f aca="false">'SVC-2 Model'!P114</f>
        <v>0.2</v>
      </c>
      <c r="Q110" s="93" t="s">
        <v>266</v>
      </c>
      <c r="R110" s="16" t="str">
        <f aca="false">IF(K110=P110, "", "Error")</f>
        <v/>
      </c>
      <c r="T110" s="213" t="n">
        <f aca="false">'SVC-2 Model'!T114</f>
        <v>0</v>
      </c>
      <c r="U110" s="213" t="n">
        <f aca="false">'SVC-2 Model'!U114</f>
        <v>0</v>
      </c>
      <c r="V110" s="213" t="n">
        <f aca="false">'SVC-2 Model'!V114</f>
        <v>0</v>
      </c>
      <c r="W110" s="213" t="n">
        <f aca="false">'SVC-2 Model'!W114</f>
        <v>0</v>
      </c>
      <c r="X110" s="213" t="n">
        <f aca="false">'SVC-2 Model'!X114</f>
        <v>0</v>
      </c>
      <c r="Y110" s="213" t="n">
        <f aca="false">'SVC-2 Model'!Y114</f>
        <v>0</v>
      </c>
      <c r="Z110" s="213" t="n">
        <f aca="false">'SVC-2 Model'!Z114</f>
        <v>0</v>
      </c>
      <c r="AA110" s="213" t="n">
        <f aca="false">'SVC-2 Model'!AA114</f>
        <v>0</v>
      </c>
      <c r="AB110" s="213" t="n">
        <f aca="false">'SVC-2 Model'!AB114</f>
        <v>0</v>
      </c>
      <c r="AC110" s="213" t="n">
        <f aca="false">'SVC-2 Model'!AC114</f>
        <v>0</v>
      </c>
      <c r="AD110" s="213" t="n">
        <f aca="false">'SVC-2 Model'!AD114</f>
        <v>0</v>
      </c>
      <c r="AE110" s="215" t="n">
        <f aca="false">'SVC-2 Model'!AE114</f>
        <v>0</v>
      </c>
      <c r="AF110" s="216" t="n">
        <f aca="false">'SVC-2 Model'!AF114</f>
        <v>0</v>
      </c>
      <c r="AG110" s="213" t="n">
        <f aca="false">'SVC-2 Model'!AG114</f>
        <v>0</v>
      </c>
      <c r="AH110" s="213" t="n">
        <f aca="false">'SVC-2 Model'!AH114</f>
        <v>0</v>
      </c>
      <c r="AI110" s="213" t="n">
        <f aca="false">'SVC-2 Model'!AI114</f>
        <v>0</v>
      </c>
      <c r="AJ110" s="213" t="n">
        <f aca="false">'SVC-2 Model'!AJ114</f>
        <v>0</v>
      </c>
      <c r="AK110" s="213" t="n">
        <f aca="false">'SVC-2 Model'!AK114</f>
        <v>0</v>
      </c>
      <c r="AL110" s="213" t="n">
        <f aca="false">'SVC-2 Model'!AL114</f>
        <v>0</v>
      </c>
      <c r="AM110" s="213" t="n">
        <f aca="false">'SVC-2 Model'!AM114</f>
        <v>0</v>
      </c>
      <c r="AN110" s="213" t="n">
        <f aca="false">'SVC-2 Model'!AN114</f>
        <v>0.0166666666666667</v>
      </c>
      <c r="AO110" s="213" t="n">
        <f aca="false">'SVC-2 Model'!AO114</f>
        <v>0.0166666666666667</v>
      </c>
      <c r="AP110" s="213" t="n">
        <f aca="false">'SVC-2 Model'!AP114</f>
        <v>0.0166666666666667</v>
      </c>
      <c r="AQ110" s="215" t="n">
        <f aca="false">'SVC-2 Model'!AQ114</f>
        <v>0.0166666666666667</v>
      </c>
      <c r="AR110" s="216" t="n">
        <f aca="false">'SVC-2 Model'!AR114</f>
        <v>0.0166666666666667</v>
      </c>
      <c r="AS110" s="213" t="n">
        <f aca="false">'SVC-2 Model'!AS114</f>
        <v>0.0166666666666667</v>
      </c>
      <c r="AT110" s="213" t="n">
        <f aca="false">'SVC-2 Model'!AT114</f>
        <v>0.0166666666666667</v>
      </c>
      <c r="AU110" s="213" t="n">
        <f aca="false">'SVC-2 Model'!AU114</f>
        <v>0.0166666666666667</v>
      </c>
      <c r="AV110" s="213" t="n">
        <f aca="false">'SVC-2 Model'!AV114</f>
        <v>0.0166666666666667</v>
      </c>
      <c r="AW110" s="213" t="n">
        <f aca="false">'SVC-2 Model'!AW114</f>
        <v>0.0166666666666667</v>
      </c>
      <c r="AX110" s="213" t="n">
        <f aca="false">'SVC-2 Model'!AX114</f>
        <v>0.0166666666666667</v>
      </c>
      <c r="AY110" s="213" t="n">
        <f aca="false">'SVC-2 Model'!AY114</f>
        <v>0.0166666666666667</v>
      </c>
      <c r="AZ110" s="213" t="n">
        <f aca="false">'SVC-2 Model'!AZ114</f>
        <v>0.0166666666666667</v>
      </c>
      <c r="BA110" s="213" t="n">
        <f aca="false">'SVC-2 Model'!BA114</f>
        <v>0.0166666666666667</v>
      </c>
      <c r="BB110" s="213" t="n">
        <f aca="false">'SVC-2 Model'!BB114</f>
        <v>0.0166666666666667</v>
      </c>
      <c r="BC110" s="215" t="n">
        <f aca="false">'SVC-2 Model'!BC114</f>
        <v>0.0166666666666667</v>
      </c>
      <c r="BD110" s="216" t="n">
        <f aca="false">'SVC-2 Model'!BD114</f>
        <v>0.0166666666666667</v>
      </c>
      <c r="BE110" s="213" t="n">
        <f aca="false">'SVC-2 Model'!BE114</f>
        <v>0.0166666666666667</v>
      </c>
      <c r="BF110" s="213" t="n">
        <f aca="false">'SVC-2 Model'!BF114</f>
        <v>0.0166666666666667</v>
      </c>
      <c r="BG110" s="213" t="n">
        <f aca="false">'SVC-2 Model'!BG114</f>
        <v>0.0166666666666667</v>
      </c>
      <c r="BH110" s="213" t="n">
        <f aca="false">'SVC-2 Model'!BH114</f>
        <v>0.0166666666666667</v>
      </c>
      <c r="BI110" s="213" t="n">
        <f aca="false">'SVC-2 Model'!BI114</f>
        <v>0.0166666666666667</v>
      </c>
      <c r="BJ110" s="213" t="n">
        <f aca="false">'SVC-2 Model'!BJ114</f>
        <v>0.0166666666666667</v>
      </c>
      <c r="BK110" s="213" t="n">
        <f aca="false">'SVC-2 Model'!BK114</f>
        <v>0.0166666666666667</v>
      </c>
      <c r="BL110" s="213" t="n">
        <f aca="false">'SVC-2 Model'!BL114</f>
        <v>0.0166666666666667</v>
      </c>
      <c r="BM110" s="213" t="n">
        <f aca="false">'SVC-2 Model'!BM114</f>
        <v>0.0166666666666667</v>
      </c>
      <c r="BN110" s="213" t="n">
        <f aca="false">'SVC-2 Model'!BN114</f>
        <v>0.0166666666666667</v>
      </c>
      <c r="BO110" s="215" t="n">
        <f aca="false">'SVC-2 Model'!BO114</f>
        <v>0.0166666666666667</v>
      </c>
      <c r="BP110" s="216" t="n">
        <f aca="false">'SVC-2 Model'!BP114</f>
        <v>0.0166666666666667</v>
      </c>
      <c r="BQ110" s="213" t="n">
        <f aca="false">'SVC-2 Model'!BQ114</f>
        <v>0.0166666666666667</v>
      </c>
      <c r="BR110" s="213" t="n">
        <f aca="false">'SVC-2 Model'!BR114</f>
        <v>0.0166666666666667</v>
      </c>
      <c r="BS110" s="213" t="n">
        <f aca="false">'SVC-2 Model'!BS114</f>
        <v>0.0166666666666667</v>
      </c>
      <c r="BT110" s="213" t="n">
        <f aca="false">'SVC-2 Model'!BT114</f>
        <v>0.0166666666666667</v>
      </c>
      <c r="BU110" s="213" t="n">
        <f aca="false">'SVC-2 Model'!BU114</f>
        <v>0.0166666666666667</v>
      </c>
      <c r="BV110" s="213" t="n">
        <f aca="false">'SVC-2 Model'!BV114</f>
        <v>0.0166666666666667</v>
      </c>
      <c r="BW110" s="213" t="n">
        <f aca="false">'SVC-2 Model'!BW114</f>
        <v>0.0166666666666667</v>
      </c>
      <c r="BX110" s="213" t="n">
        <f aca="false">'SVC-2 Model'!BX114</f>
        <v>0.0166666666666667</v>
      </c>
      <c r="BY110" s="213" t="n">
        <f aca="false">'SVC-2 Model'!BY114</f>
        <v>0.0166666666666667</v>
      </c>
      <c r="BZ110" s="213" t="n">
        <f aca="false">'SVC-2 Model'!BZ114</f>
        <v>0.0166666666666667</v>
      </c>
      <c r="CA110" s="226" t="n">
        <f aca="false">'SVC-2 Model'!CA114</f>
        <v>0.0166666666666667</v>
      </c>
      <c r="CC110" s="79" t="n">
        <f aca="false">SUMIFS($T110:$CA110, $T$1:$CA$1, CC$63)</f>
        <v>0</v>
      </c>
      <c r="CD110" s="79" t="n">
        <f aca="false">SUMIFS($T110:$CA110, $T$1:$CA$1, CD$63)</f>
        <v>0.0666666666666667</v>
      </c>
      <c r="CE110" s="79" t="n">
        <f aca="false">SUMIFS($T110:$CA110, $T$1:$CA$1, CE$63)</f>
        <v>0.2</v>
      </c>
      <c r="CF110" s="79" t="n">
        <f aca="false">SUMIFS($T110:$CA110, $T$1:$CA$1, CF$63)</f>
        <v>0.2</v>
      </c>
      <c r="CG110" s="79" t="n">
        <f aca="false">SUMIFS($T110:$CA110, $T$1:$CA$1, CG$63)</f>
        <v>0.2</v>
      </c>
      <c r="CI110" s="79" t="n">
        <f aca="false">CC110=L110</f>
        <v>1</v>
      </c>
      <c r="CJ110" s="79" t="n">
        <f aca="false">CD110=M110</f>
        <v>1</v>
      </c>
      <c r="CK110" s="79" t="n">
        <f aca="false">CE110=N110</f>
        <v>1</v>
      </c>
      <c r="CL110" s="79" t="n">
        <f aca="false">CF110=O110</f>
        <v>1</v>
      </c>
      <c r="CM110" s="79" t="n">
        <f aca="false">CG110=P110</f>
        <v>1</v>
      </c>
    </row>
    <row r="111" s="14" customFormat="true" ht="16.5" hidden="false" customHeight="true" outlineLevel="0" collapsed="false">
      <c r="E111" s="91" t="s">
        <v>391</v>
      </c>
      <c r="H111" s="29" t="s">
        <v>390</v>
      </c>
      <c r="I111" s="91" t="n">
        <v>0</v>
      </c>
      <c r="J111" s="213" t="n">
        <f aca="false">I111+'SVC-2 Model'!$K$115</f>
        <v>0.1</v>
      </c>
      <c r="K111" s="214" t="n">
        <f aca="false">'SVC-2 Model'!$K$115</f>
        <v>0.1</v>
      </c>
      <c r="L111" s="213" t="n">
        <f aca="false">'SVC-2 Model'!L115</f>
        <v>0</v>
      </c>
      <c r="M111" s="213" t="n">
        <f aca="false">'SVC-2 Model'!M115</f>
        <v>0.0333333333333333</v>
      </c>
      <c r="N111" s="213" t="n">
        <f aca="false">'SVC-2 Model'!N115</f>
        <v>0.1</v>
      </c>
      <c r="O111" s="213" t="n">
        <f aca="false">'SVC-2 Model'!O115</f>
        <v>0.1</v>
      </c>
      <c r="P111" s="213" t="n">
        <f aca="false">'SVC-2 Model'!P115</f>
        <v>0.1</v>
      </c>
      <c r="Q111" s="93" t="s">
        <v>266</v>
      </c>
      <c r="R111" s="16" t="str">
        <f aca="false">IF(K111=P111, "", "Error")</f>
        <v/>
      </c>
      <c r="T111" s="213" t="n">
        <f aca="false">'SVC-2 Model'!T115</f>
        <v>0</v>
      </c>
      <c r="U111" s="213" t="n">
        <f aca="false">'SVC-2 Model'!U115</f>
        <v>0</v>
      </c>
      <c r="V111" s="213" t="n">
        <f aca="false">'SVC-2 Model'!V115</f>
        <v>0</v>
      </c>
      <c r="W111" s="213" t="n">
        <f aca="false">'SVC-2 Model'!W115</f>
        <v>0</v>
      </c>
      <c r="X111" s="213" t="n">
        <f aca="false">'SVC-2 Model'!X115</f>
        <v>0</v>
      </c>
      <c r="Y111" s="213" t="n">
        <f aca="false">'SVC-2 Model'!Y115</f>
        <v>0</v>
      </c>
      <c r="Z111" s="213" t="n">
        <f aca="false">'SVC-2 Model'!Z115</f>
        <v>0</v>
      </c>
      <c r="AA111" s="213" t="n">
        <f aca="false">'SVC-2 Model'!AA115</f>
        <v>0</v>
      </c>
      <c r="AB111" s="213" t="n">
        <f aca="false">'SVC-2 Model'!AB115</f>
        <v>0</v>
      </c>
      <c r="AC111" s="213" t="n">
        <f aca="false">'SVC-2 Model'!AC115</f>
        <v>0</v>
      </c>
      <c r="AD111" s="213" t="n">
        <f aca="false">'SVC-2 Model'!AD115</f>
        <v>0</v>
      </c>
      <c r="AE111" s="215" t="n">
        <f aca="false">'SVC-2 Model'!AE115</f>
        <v>0</v>
      </c>
      <c r="AF111" s="216" t="n">
        <f aca="false">'SVC-2 Model'!AF115</f>
        <v>0</v>
      </c>
      <c r="AG111" s="213" t="n">
        <f aca="false">'SVC-2 Model'!AG115</f>
        <v>0</v>
      </c>
      <c r="AH111" s="213" t="n">
        <f aca="false">'SVC-2 Model'!AH115</f>
        <v>0</v>
      </c>
      <c r="AI111" s="213" t="n">
        <f aca="false">'SVC-2 Model'!AI115</f>
        <v>0</v>
      </c>
      <c r="AJ111" s="213" t="n">
        <f aca="false">'SVC-2 Model'!AJ115</f>
        <v>0</v>
      </c>
      <c r="AK111" s="213" t="n">
        <f aca="false">'SVC-2 Model'!AK115</f>
        <v>0</v>
      </c>
      <c r="AL111" s="213" t="n">
        <f aca="false">'SVC-2 Model'!AL115</f>
        <v>0</v>
      </c>
      <c r="AM111" s="213" t="n">
        <f aca="false">'SVC-2 Model'!AM115</f>
        <v>0</v>
      </c>
      <c r="AN111" s="213" t="n">
        <f aca="false">'SVC-2 Model'!AN115</f>
        <v>0.00833333333333333</v>
      </c>
      <c r="AO111" s="213" t="n">
        <f aca="false">'SVC-2 Model'!AO115</f>
        <v>0.00833333333333333</v>
      </c>
      <c r="AP111" s="213" t="n">
        <f aca="false">'SVC-2 Model'!AP115</f>
        <v>0.00833333333333333</v>
      </c>
      <c r="AQ111" s="215" t="n">
        <f aca="false">'SVC-2 Model'!AQ115</f>
        <v>0.00833333333333333</v>
      </c>
      <c r="AR111" s="216" t="n">
        <f aca="false">'SVC-2 Model'!AR115</f>
        <v>0.00833333333333333</v>
      </c>
      <c r="AS111" s="213" t="n">
        <f aca="false">'SVC-2 Model'!AS115</f>
        <v>0.00833333333333333</v>
      </c>
      <c r="AT111" s="213" t="n">
        <f aca="false">'SVC-2 Model'!AT115</f>
        <v>0.00833333333333333</v>
      </c>
      <c r="AU111" s="213" t="n">
        <f aca="false">'SVC-2 Model'!AU115</f>
        <v>0.00833333333333333</v>
      </c>
      <c r="AV111" s="213" t="n">
        <f aca="false">'SVC-2 Model'!AV115</f>
        <v>0.00833333333333333</v>
      </c>
      <c r="AW111" s="213" t="n">
        <f aca="false">'SVC-2 Model'!AW115</f>
        <v>0.00833333333333333</v>
      </c>
      <c r="AX111" s="213" t="n">
        <f aca="false">'SVC-2 Model'!AX115</f>
        <v>0.00833333333333333</v>
      </c>
      <c r="AY111" s="213" t="n">
        <f aca="false">'SVC-2 Model'!AY115</f>
        <v>0.00833333333333333</v>
      </c>
      <c r="AZ111" s="213" t="n">
        <f aca="false">'SVC-2 Model'!AZ115</f>
        <v>0.00833333333333333</v>
      </c>
      <c r="BA111" s="213" t="n">
        <f aca="false">'SVC-2 Model'!BA115</f>
        <v>0.00833333333333333</v>
      </c>
      <c r="BB111" s="213" t="n">
        <f aca="false">'SVC-2 Model'!BB115</f>
        <v>0.00833333333333333</v>
      </c>
      <c r="BC111" s="215" t="n">
        <f aca="false">'SVC-2 Model'!BC115</f>
        <v>0.00833333333333333</v>
      </c>
      <c r="BD111" s="216" t="n">
        <f aca="false">'SVC-2 Model'!BD115</f>
        <v>0.00833333333333333</v>
      </c>
      <c r="BE111" s="213" t="n">
        <f aca="false">'SVC-2 Model'!BE115</f>
        <v>0.00833333333333333</v>
      </c>
      <c r="BF111" s="213" t="n">
        <f aca="false">'SVC-2 Model'!BF115</f>
        <v>0.00833333333333333</v>
      </c>
      <c r="BG111" s="213" t="n">
        <f aca="false">'SVC-2 Model'!BG115</f>
        <v>0.00833333333333333</v>
      </c>
      <c r="BH111" s="213" t="n">
        <f aca="false">'SVC-2 Model'!BH115</f>
        <v>0.00833333333333333</v>
      </c>
      <c r="BI111" s="213" t="n">
        <f aca="false">'SVC-2 Model'!BI115</f>
        <v>0.00833333333333333</v>
      </c>
      <c r="BJ111" s="213" t="n">
        <f aca="false">'SVC-2 Model'!BJ115</f>
        <v>0.00833333333333333</v>
      </c>
      <c r="BK111" s="213" t="n">
        <f aca="false">'SVC-2 Model'!BK115</f>
        <v>0.00833333333333333</v>
      </c>
      <c r="BL111" s="213" t="n">
        <f aca="false">'SVC-2 Model'!BL115</f>
        <v>0.00833333333333333</v>
      </c>
      <c r="BM111" s="213" t="n">
        <f aca="false">'SVC-2 Model'!BM115</f>
        <v>0.00833333333333333</v>
      </c>
      <c r="BN111" s="213" t="n">
        <f aca="false">'SVC-2 Model'!BN115</f>
        <v>0.00833333333333333</v>
      </c>
      <c r="BO111" s="215" t="n">
        <f aca="false">'SVC-2 Model'!BO115</f>
        <v>0.00833333333333333</v>
      </c>
      <c r="BP111" s="216" t="n">
        <f aca="false">'SVC-2 Model'!BP115</f>
        <v>0.00833333333333333</v>
      </c>
      <c r="BQ111" s="213" t="n">
        <f aca="false">'SVC-2 Model'!BQ115</f>
        <v>0.00833333333333333</v>
      </c>
      <c r="BR111" s="213" t="n">
        <f aca="false">'SVC-2 Model'!BR115</f>
        <v>0.00833333333333333</v>
      </c>
      <c r="BS111" s="213" t="n">
        <f aca="false">'SVC-2 Model'!BS115</f>
        <v>0.00833333333333333</v>
      </c>
      <c r="BT111" s="213" t="n">
        <f aca="false">'SVC-2 Model'!BT115</f>
        <v>0.00833333333333333</v>
      </c>
      <c r="BU111" s="213" t="n">
        <f aca="false">'SVC-2 Model'!BU115</f>
        <v>0.00833333333333333</v>
      </c>
      <c r="BV111" s="213" t="n">
        <f aca="false">'SVC-2 Model'!BV115</f>
        <v>0.00833333333333333</v>
      </c>
      <c r="BW111" s="213" t="n">
        <f aca="false">'SVC-2 Model'!BW115</f>
        <v>0.00833333333333333</v>
      </c>
      <c r="BX111" s="213" t="n">
        <f aca="false">'SVC-2 Model'!BX115</f>
        <v>0.00833333333333333</v>
      </c>
      <c r="BY111" s="213" t="n">
        <f aca="false">'SVC-2 Model'!BY115</f>
        <v>0.00833333333333333</v>
      </c>
      <c r="BZ111" s="213" t="n">
        <f aca="false">'SVC-2 Model'!BZ115</f>
        <v>0.00833333333333333</v>
      </c>
      <c r="CA111" s="226" t="n">
        <f aca="false">'SVC-2 Model'!CA115</f>
        <v>0.00833333333333333</v>
      </c>
      <c r="CC111" s="79" t="n">
        <f aca="false">SUMIFS($T111:$CA111, $T$1:$CA$1, CC$63)</f>
        <v>0</v>
      </c>
      <c r="CD111" s="79" t="n">
        <f aca="false">SUMIFS($T111:$CA111, $T$1:$CA$1, CD$63)</f>
        <v>0.0333333333333333</v>
      </c>
      <c r="CE111" s="79" t="n">
        <f aca="false">SUMIFS($T111:$CA111, $T$1:$CA$1, CE$63)</f>
        <v>0.1</v>
      </c>
      <c r="CF111" s="79" t="n">
        <f aca="false">SUMIFS($T111:$CA111, $T$1:$CA$1, CF$63)</f>
        <v>0.1</v>
      </c>
      <c r="CG111" s="79" t="n">
        <f aca="false">SUMIFS($T111:$CA111, $T$1:$CA$1, CG$63)</f>
        <v>0.1</v>
      </c>
      <c r="CI111" s="79" t="n">
        <f aca="false">CC111=L111</f>
        <v>1</v>
      </c>
      <c r="CJ111" s="79" t="n">
        <f aca="false">CD111=M111</f>
        <v>1</v>
      </c>
      <c r="CK111" s="79" t="n">
        <f aca="false">CE111=N111</f>
        <v>1</v>
      </c>
      <c r="CL111" s="79" t="n">
        <f aca="false">CF111=O111</f>
        <v>1</v>
      </c>
      <c r="CM111" s="79" t="n">
        <f aca="false">CG111=P111</f>
        <v>1</v>
      </c>
    </row>
    <row r="112" s="14" customFormat="true" ht="16.5" hidden="false" customHeight="true" outlineLevel="0" collapsed="false">
      <c r="E112" s="96" t="s">
        <v>143</v>
      </c>
      <c r="H112" s="29"/>
      <c r="I112" s="82" t="n">
        <f aca="false">SUM(I107:I111)</f>
        <v>0</v>
      </c>
      <c r="J112" s="82" t="n">
        <f aca="false">SUM(J107:J111)</f>
        <v>2.34</v>
      </c>
      <c r="K112" s="82" t="n">
        <f aca="false">SUM(K107:K111)</f>
        <v>2.34</v>
      </c>
      <c r="L112" s="82" t="n">
        <f aca="false">SUM(L107:L111)</f>
        <v>0</v>
      </c>
      <c r="M112" s="82" t="n">
        <f aca="false">SUM(M107:M111)</f>
        <v>0.494285714285714</v>
      </c>
      <c r="N112" s="82" t="n">
        <f aca="false">SUM(N107:N111)</f>
        <v>2.27571428571429</v>
      </c>
      <c r="O112" s="82" t="n">
        <f aca="false">SUM(O107:O111)</f>
        <v>2.34</v>
      </c>
      <c r="P112" s="82" t="n">
        <f aca="false">SUM(P107:P111)</f>
        <v>2.34</v>
      </c>
      <c r="Q112" s="16"/>
      <c r="R112" s="16"/>
      <c r="T112" s="82" t="n">
        <f aca="false">SUM(T107:T111)</f>
        <v>0</v>
      </c>
      <c r="U112" s="82" t="n">
        <f aca="false">SUM(U107:U111)</f>
        <v>0</v>
      </c>
      <c r="V112" s="82" t="n">
        <f aca="false">SUM(V107:V111)</f>
        <v>0</v>
      </c>
      <c r="W112" s="82" t="n">
        <f aca="false">SUM(W107:W111)</f>
        <v>0</v>
      </c>
      <c r="X112" s="82" t="n">
        <f aca="false">SUM(X107:X111)</f>
        <v>0</v>
      </c>
      <c r="Y112" s="82" t="n">
        <f aca="false">SUM(Y107:Y111)</f>
        <v>0</v>
      </c>
      <c r="Z112" s="82" t="n">
        <f aca="false">SUM(Z107:Z111)</f>
        <v>0</v>
      </c>
      <c r="AA112" s="82" t="n">
        <f aca="false">SUM(AA107:AA111)</f>
        <v>0</v>
      </c>
      <c r="AB112" s="82" t="n">
        <f aca="false">SUM(AB107:AB111)</f>
        <v>0</v>
      </c>
      <c r="AC112" s="82" t="n">
        <f aca="false">SUM(AC107:AC111)</f>
        <v>0</v>
      </c>
      <c r="AD112" s="82" t="n">
        <f aca="false">SUM(AD107:AD111)</f>
        <v>0</v>
      </c>
      <c r="AE112" s="82" t="n">
        <f aca="false">SUM(AE107:AE111)</f>
        <v>0</v>
      </c>
      <c r="AF112" s="83" t="n">
        <f aca="false">SUM(AF107:AF111)</f>
        <v>0</v>
      </c>
      <c r="AG112" s="82" t="n">
        <f aca="false">SUM(AG107:AG111)</f>
        <v>0</v>
      </c>
      <c r="AH112" s="82" t="n">
        <f aca="false">SUM(AH107:AH111)</f>
        <v>0</v>
      </c>
      <c r="AI112" s="82" t="n">
        <f aca="false">SUM(AI107:AI111)</f>
        <v>0</v>
      </c>
      <c r="AJ112" s="82" t="n">
        <f aca="false">SUM(AJ107:AJ111)</f>
        <v>0</v>
      </c>
      <c r="AK112" s="82" t="n">
        <f aca="false">SUM(AK107:AK111)</f>
        <v>0</v>
      </c>
      <c r="AL112" s="82" t="n">
        <f aca="false">SUM(AL107:AL111)</f>
        <v>0</v>
      </c>
      <c r="AM112" s="82" t="n">
        <f aca="false">SUM(AM107:AM111)</f>
        <v>0</v>
      </c>
      <c r="AN112" s="82" t="n">
        <f aca="false">SUM(AN107:AN111)</f>
        <v>0.102142857142857</v>
      </c>
      <c r="AO112" s="82" t="n">
        <f aca="false">SUM(AO107:AO111)</f>
        <v>0.116428571428571</v>
      </c>
      <c r="AP112" s="82" t="n">
        <f aca="false">SUM(AP107:AP111)</f>
        <v>0.130714285714286</v>
      </c>
      <c r="AQ112" s="82" t="n">
        <f aca="false">SUM(AQ107:AQ111)</f>
        <v>0.145</v>
      </c>
      <c r="AR112" s="83" t="n">
        <f aca="false">SUM(AR107:AR111)</f>
        <v>0.159285714285714</v>
      </c>
      <c r="AS112" s="82" t="n">
        <f aca="false">SUM(AS107:AS111)</f>
        <v>0.173571428571429</v>
      </c>
      <c r="AT112" s="82" t="n">
        <f aca="false">SUM(AT107:AT111)</f>
        <v>0.187857142857143</v>
      </c>
      <c r="AU112" s="82" t="n">
        <f aca="false">SUM(AU107:AU111)</f>
        <v>0.195</v>
      </c>
      <c r="AV112" s="82" t="n">
        <f aca="false">SUM(AV107:AV111)</f>
        <v>0.195</v>
      </c>
      <c r="AW112" s="82" t="n">
        <f aca="false">SUM(AW107:AW111)</f>
        <v>0.195</v>
      </c>
      <c r="AX112" s="82" t="n">
        <f aca="false">SUM(AX107:AX111)</f>
        <v>0.195</v>
      </c>
      <c r="AY112" s="82" t="n">
        <f aca="false">SUM(AY107:AY111)</f>
        <v>0.195</v>
      </c>
      <c r="AZ112" s="82" t="n">
        <f aca="false">SUM(AZ107:AZ111)</f>
        <v>0.195</v>
      </c>
      <c r="BA112" s="82" t="n">
        <f aca="false">SUM(BA107:BA111)</f>
        <v>0.195</v>
      </c>
      <c r="BB112" s="82" t="n">
        <f aca="false">SUM(BB107:BB111)</f>
        <v>0.195</v>
      </c>
      <c r="BC112" s="82" t="n">
        <f aca="false">SUM(BC107:BC111)</f>
        <v>0.195</v>
      </c>
      <c r="BD112" s="83" t="n">
        <f aca="false">SUM(BD107:BD111)</f>
        <v>0.195</v>
      </c>
      <c r="BE112" s="82" t="n">
        <f aca="false">SUM(BE107:BE111)</f>
        <v>0.195</v>
      </c>
      <c r="BF112" s="82" t="n">
        <f aca="false">SUM(BF107:BF111)</f>
        <v>0.195</v>
      </c>
      <c r="BG112" s="82" t="n">
        <f aca="false">SUM(BG107:BG111)</f>
        <v>0.195</v>
      </c>
      <c r="BH112" s="82" t="n">
        <f aca="false">SUM(BH107:BH111)</f>
        <v>0.195</v>
      </c>
      <c r="BI112" s="82" t="n">
        <f aca="false">SUM(BI107:BI111)</f>
        <v>0.195</v>
      </c>
      <c r="BJ112" s="82" t="n">
        <f aca="false">SUM(BJ107:BJ111)</f>
        <v>0.195</v>
      </c>
      <c r="BK112" s="82" t="n">
        <f aca="false">SUM(BK107:BK111)</f>
        <v>0.195</v>
      </c>
      <c r="BL112" s="82" t="n">
        <f aca="false">SUM(BL107:BL111)</f>
        <v>0.195</v>
      </c>
      <c r="BM112" s="82" t="n">
        <f aca="false">SUM(BM107:BM111)</f>
        <v>0.195</v>
      </c>
      <c r="BN112" s="82" t="n">
        <f aca="false">SUM(BN107:BN111)</f>
        <v>0.195</v>
      </c>
      <c r="BO112" s="82" t="n">
        <f aca="false">SUM(BO107:BO111)</f>
        <v>0.195</v>
      </c>
      <c r="BP112" s="83" t="n">
        <f aca="false">SUM(BP107:BP111)</f>
        <v>0.195</v>
      </c>
      <c r="BQ112" s="82" t="n">
        <f aca="false">SUM(BQ107:BQ111)</f>
        <v>0.195</v>
      </c>
      <c r="BR112" s="82" t="n">
        <f aca="false">SUM(BR107:BR111)</f>
        <v>0.195</v>
      </c>
      <c r="BS112" s="82" t="n">
        <f aca="false">SUM(BS107:BS111)</f>
        <v>0.195</v>
      </c>
      <c r="BT112" s="82" t="n">
        <f aca="false">SUM(BT107:BT111)</f>
        <v>0.195</v>
      </c>
      <c r="BU112" s="82" t="n">
        <f aca="false">SUM(BU107:BU111)</f>
        <v>0.195</v>
      </c>
      <c r="BV112" s="82" t="n">
        <f aca="false">SUM(BV107:BV111)</f>
        <v>0.195</v>
      </c>
      <c r="BW112" s="82" t="n">
        <f aca="false">SUM(BW107:BW111)</f>
        <v>0.195</v>
      </c>
      <c r="BX112" s="82" t="n">
        <f aca="false">SUM(BX107:BX111)</f>
        <v>0.195</v>
      </c>
      <c r="BY112" s="82" t="n">
        <f aca="false">SUM(BY107:BY111)</f>
        <v>0.195</v>
      </c>
      <c r="BZ112" s="82" t="n">
        <f aca="false">SUM(BZ107:BZ111)</f>
        <v>0.195</v>
      </c>
      <c r="CA112" s="84" t="n">
        <f aca="false">SUM(CA107:CA111)</f>
        <v>0.195</v>
      </c>
      <c r="CC112" s="84" t="n">
        <f aca="false">SUM(CC107:CC111)</f>
        <v>0</v>
      </c>
      <c r="CD112" s="84" t="n">
        <f aca="false">SUM(CD107:CD111)</f>
        <v>0.494285714285714</v>
      </c>
      <c r="CE112" s="84" t="n">
        <f aca="false">SUM(CE107:CE111)</f>
        <v>2.27571428571429</v>
      </c>
      <c r="CF112" s="84" t="n">
        <f aca="false">SUM(CF107:CF111)</f>
        <v>2.34</v>
      </c>
      <c r="CG112" s="84" t="n">
        <f aca="false">SUM(CG107:CG111)</f>
        <v>2.34</v>
      </c>
      <c r="CI112" s="84" t="n">
        <f aca="false">CC112=L112</f>
        <v>1</v>
      </c>
      <c r="CJ112" s="84" t="n">
        <f aca="false">CD112=M112</f>
        <v>1</v>
      </c>
      <c r="CK112" s="84" t="n">
        <f aca="false">CE112=N112</f>
        <v>1</v>
      </c>
      <c r="CL112" s="84" t="n">
        <f aca="false">CF112=O112</f>
        <v>1</v>
      </c>
      <c r="CM112" s="84" t="n">
        <f aca="false">CG112=P112</f>
        <v>1</v>
      </c>
    </row>
    <row r="113" s="14" customFormat="true" ht="16.5" hidden="false" customHeight="true" outlineLevel="0" collapsed="false">
      <c r="E113" s="96"/>
      <c r="H113" s="29"/>
      <c r="I113" s="105"/>
      <c r="J113" s="105"/>
      <c r="K113" s="105"/>
      <c r="L113" s="105"/>
      <c r="M113" s="105"/>
      <c r="N113" s="105"/>
      <c r="O113" s="105"/>
      <c r="P113" s="105"/>
      <c r="Q113" s="16"/>
      <c r="R113" s="16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3"/>
      <c r="AG113" s="82"/>
      <c r="AH113" s="82"/>
      <c r="AI113" s="82"/>
      <c r="AJ113" s="82"/>
      <c r="AK113" s="82"/>
      <c r="AL113" s="82"/>
      <c r="AM113" s="82"/>
      <c r="AN113" s="82"/>
      <c r="AO113" s="82"/>
      <c r="AP113" s="82"/>
      <c r="AQ113" s="82"/>
      <c r="AR113" s="83"/>
      <c r="AS113" s="82"/>
      <c r="AT113" s="82"/>
      <c r="AU113" s="82"/>
      <c r="AV113" s="82"/>
      <c r="AW113" s="82"/>
      <c r="AX113" s="82"/>
      <c r="AY113" s="82"/>
      <c r="AZ113" s="82"/>
      <c r="BA113" s="82"/>
      <c r="BB113" s="82"/>
      <c r="BC113" s="82"/>
      <c r="BD113" s="83"/>
      <c r="BE113" s="82"/>
      <c r="BF113" s="82"/>
      <c r="BG113" s="82"/>
      <c r="BH113" s="82"/>
      <c r="BI113" s="82"/>
      <c r="BJ113" s="82"/>
      <c r="BK113" s="82"/>
      <c r="BL113" s="82"/>
      <c r="BM113" s="82"/>
      <c r="BN113" s="82"/>
      <c r="BO113" s="82"/>
      <c r="BP113" s="83"/>
      <c r="BQ113" s="82"/>
      <c r="BR113" s="82"/>
      <c r="BS113" s="82"/>
      <c r="BT113" s="82"/>
      <c r="BU113" s="82"/>
      <c r="BV113" s="82"/>
      <c r="BW113" s="82"/>
      <c r="BX113" s="82"/>
      <c r="BY113" s="82"/>
      <c r="BZ113" s="82"/>
      <c r="CA113" s="84"/>
      <c r="CC113" s="84"/>
      <c r="CD113" s="84"/>
      <c r="CE113" s="84"/>
      <c r="CF113" s="84"/>
      <c r="CG113" s="84"/>
      <c r="CI113" s="84"/>
      <c r="CJ113" s="84"/>
      <c r="CK113" s="84"/>
      <c r="CL113" s="84"/>
      <c r="CM113" s="84"/>
    </row>
    <row r="114" s="14" customFormat="true" ht="16.5" hidden="false" customHeight="true" outlineLevel="0" collapsed="false">
      <c r="E114" s="85"/>
      <c r="I114" s="104"/>
      <c r="J114" s="104"/>
      <c r="K114" s="104"/>
      <c r="L114" s="104"/>
      <c r="M114" s="104"/>
      <c r="N114" s="104"/>
      <c r="O114" s="104"/>
      <c r="P114" s="104"/>
      <c r="Q114" s="16"/>
      <c r="R114" s="16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9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  <c r="AQ114" s="88"/>
      <c r="AR114" s="89"/>
      <c r="AS114" s="88"/>
      <c r="AT114" s="88"/>
      <c r="AU114" s="88"/>
      <c r="AV114" s="88"/>
      <c r="AW114" s="88"/>
      <c r="AX114" s="88"/>
      <c r="AY114" s="88"/>
      <c r="AZ114" s="88"/>
      <c r="BA114" s="88"/>
      <c r="BB114" s="88"/>
      <c r="BC114" s="88"/>
      <c r="BD114" s="89"/>
      <c r="BE114" s="88"/>
      <c r="BF114" s="88"/>
      <c r="BG114" s="88"/>
      <c r="BH114" s="88"/>
      <c r="BI114" s="88"/>
      <c r="BJ114" s="88"/>
      <c r="BK114" s="88"/>
      <c r="BL114" s="88"/>
      <c r="BM114" s="88"/>
      <c r="BN114" s="88"/>
      <c r="BO114" s="88"/>
      <c r="BP114" s="89"/>
      <c r="BQ114" s="88"/>
      <c r="BR114" s="88"/>
      <c r="BS114" s="88"/>
      <c r="BT114" s="88"/>
      <c r="BU114" s="88"/>
      <c r="BV114" s="88"/>
      <c r="BW114" s="88"/>
      <c r="BX114" s="88"/>
      <c r="BY114" s="88"/>
      <c r="BZ114" s="88"/>
      <c r="CA114" s="90"/>
      <c r="CC114" s="90"/>
      <c r="CD114" s="90"/>
      <c r="CE114" s="90"/>
      <c r="CF114" s="90"/>
      <c r="CG114" s="90"/>
      <c r="CI114" s="90"/>
      <c r="CJ114" s="90"/>
      <c r="CK114" s="90"/>
      <c r="CL114" s="90"/>
      <c r="CM114" s="90"/>
    </row>
    <row r="115" s="14" customFormat="true" ht="16.5" hidden="false" customHeight="true" outlineLevel="0" collapsed="false">
      <c r="E115" s="109" t="s">
        <v>150</v>
      </c>
      <c r="F115" s="109"/>
      <c r="G115" s="109"/>
      <c r="H115" s="109"/>
      <c r="I115" s="220" t="n">
        <f aca="false">SUM(-I96, I104, I112)</f>
        <v>0</v>
      </c>
      <c r="J115" s="220" t="n">
        <f aca="false">SUM(-J96, J104, J112)</f>
        <v>2.34</v>
      </c>
      <c r="K115" s="220" t="n">
        <f aca="false">SUM(-K96, K104, K112)</f>
        <v>2.34</v>
      </c>
      <c r="L115" s="220" t="n">
        <f aca="false">SUM(-L96, L104, L112)</f>
        <v>0</v>
      </c>
      <c r="M115" s="220" t="n">
        <f aca="false">SUM(-M96, M104, M112)</f>
        <v>0.494285714285714</v>
      </c>
      <c r="N115" s="220" t="n">
        <f aca="false">SUM(-N96, N104, N112)</f>
        <v>2.27571428571429</v>
      </c>
      <c r="O115" s="220" t="n">
        <f aca="false">SUM(-O96, O104, O112)</f>
        <v>2.34</v>
      </c>
      <c r="P115" s="220" t="n">
        <f aca="false">SUM(-P96, P104, P112)</f>
        <v>2.34</v>
      </c>
      <c r="Q115" s="16"/>
      <c r="R115" s="16"/>
      <c r="T115" s="120" t="n">
        <f aca="false">SUM(-T96, T104, T112)</f>
        <v>0</v>
      </c>
      <c r="U115" s="120" t="n">
        <f aca="false">SUM(-U96, U104, U112)</f>
        <v>0</v>
      </c>
      <c r="V115" s="120" t="n">
        <f aca="false">SUM(-V96, V104, V112)</f>
        <v>0</v>
      </c>
      <c r="W115" s="120" t="n">
        <f aca="false">SUM(-W96, W104, W112)</f>
        <v>0</v>
      </c>
      <c r="X115" s="120" t="n">
        <f aca="false">SUM(-X96, X104, X112)</f>
        <v>0</v>
      </c>
      <c r="Y115" s="120" t="n">
        <f aca="false">SUM(-Y96, Y104, Y112)</f>
        <v>0</v>
      </c>
      <c r="Z115" s="120" t="n">
        <f aca="false">SUM(-Z96, Z104, Z112)</f>
        <v>0</v>
      </c>
      <c r="AA115" s="120" t="n">
        <f aca="false">SUM(-AA96, AA104, AA112)</f>
        <v>0</v>
      </c>
      <c r="AB115" s="120" t="n">
        <f aca="false">SUM(-AB96, AB104, AB112)</f>
        <v>0</v>
      </c>
      <c r="AC115" s="120" t="n">
        <f aca="false">SUM(-AC96, AC104, AC112)</f>
        <v>0</v>
      </c>
      <c r="AD115" s="120" t="n">
        <f aca="false">SUM(-AD96, AD104, AD112)</f>
        <v>0</v>
      </c>
      <c r="AE115" s="120" t="n">
        <f aca="false">SUM(-AE96, AE104, AE112)</f>
        <v>0</v>
      </c>
      <c r="AF115" s="120" t="n">
        <f aca="false">SUM(-AF96, AF104, AF112)</f>
        <v>0</v>
      </c>
      <c r="AG115" s="120" t="n">
        <f aca="false">SUM(-AG96, AG104, AG112)</f>
        <v>0</v>
      </c>
      <c r="AH115" s="120" t="n">
        <f aca="false">SUM(-AH96, AH104, AH112)</f>
        <v>0</v>
      </c>
      <c r="AI115" s="120" t="n">
        <f aca="false">SUM(-AI96, AI104, AI112)</f>
        <v>0</v>
      </c>
      <c r="AJ115" s="120" t="n">
        <f aca="false">SUM(-AJ96, AJ104, AJ112)</f>
        <v>0</v>
      </c>
      <c r="AK115" s="120" t="n">
        <f aca="false">SUM(-AK96, AK104, AK112)</f>
        <v>0</v>
      </c>
      <c r="AL115" s="120" t="n">
        <f aca="false">SUM(-AL96, AL104, AL112)</f>
        <v>0</v>
      </c>
      <c r="AM115" s="120" t="n">
        <f aca="false">SUM(-AM96, AM104, AM112)</f>
        <v>0</v>
      </c>
      <c r="AN115" s="120" t="n">
        <f aca="false">SUM(-AN96, AN104, AN112)</f>
        <v>0.102142857142857</v>
      </c>
      <c r="AO115" s="120" t="n">
        <f aca="false">SUM(-AO96, AO104, AO112)</f>
        <v>0.116428571428571</v>
      </c>
      <c r="AP115" s="120" t="n">
        <f aca="false">SUM(-AP96, AP104, AP112)</f>
        <v>0.130714285714286</v>
      </c>
      <c r="AQ115" s="120" t="n">
        <f aca="false">SUM(-AQ96, AQ104, AQ112)</f>
        <v>0.145</v>
      </c>
      <c r="AR115" s="120" t="n">
        <f aca="false">SUM(-AR96, AR104, AR112)</f>
        <v>0.159285714285714</v>
      </c>
      <c r="AS115" s="120" t="n">
        <f aca="false">SUM(-AS96, AS104, AS112)</f>
        <v>0.173571428571429</v>
      </c>
      <c r="AT115" s="120" t="n">
        <f aca="false">SUM(-AT96, AT104, AT112)</f>
        <v>0.187857142857143</v>
      </c>
      <c r="AU115" s="120" t="n">
        <f aca="false">SUM(-AU96, AU104, AU112)</f>
        <v>0.195</v>
      </c>
      <c r="AV115" s="120" t="n">
        <f aca="false">SUM(-AV96, AV104, AV112)</f>
        <v>0.195</v>
      </c>
      <c r="AW115" s="120" t="n">
        <f aca="false">SUM(-AW96, AW104, AW112)</f>
        <v>0.195</v>
      </c>
      <c r="AX115" s="120" t="n">
        <f aca="false">SUM(-AX96, AX104, AX112)</f>
        <v>0.195</v>
      </c>
      <c r="AY115" s="120" t="n">
        <f aca="false">SUM(-AY96, AY104, AY112)</f>
        <v>0.195</v>
      </c>
      <c r="AZ115" s="120" t="n">
        <f aca="false">SUM(-AZ96, AZ104, AZ112)</f>
        <v>0.195</v>
      </c>
      <c r="BA115" s="120" t="n">
        <f aca="false">SUM(-BA96, BA104, BA112)</f>
        <v>0.195</v>
      </c>
      <c r="BB115" s="120" t="n">
        <f aca="false">SUM(-BB96, BB104, BB112)</f>
        <v>0.195</v>
      </c>
      <c r="BC115" s="120" t="n">
        <f aca="false">SUM(-BC96, BC104, BC112)</f>
        <v>0.195</v>
      </c>
      <c r="BD115" s="120" t="n">
        <f aca="false">SUM(-BD96, BD104, BD112)</f>
        <v>0.195</v>
      </c>
      <c r="BE115" s="120" t="n">
        <f aca="false">SUM(-BE96, BE104, BE112)</f>
        <v>0.195</v>
      </c>
      <c r="BF115" s="120" t="n">
        <f aca="false">SUM(-BF96, BF104, BF112)</f>
        <v>0.195</v>
      </c>
      <c r="BG115" s="120" t="n">
        <f aca="false">SUM(-BG96, BG104, BG112)</f>
        <v>0.195</v>
      </c>
      <c r="BH115" s="120" t="n">
        <f aca="false">SUM(-BH96, BH104, BH112)</f>
        <v>0.195</v>
      </c>
      <c r="BI115" s="120" t="n">
        <f aca="false">SUM(-BI96, BI104, BI112)</f>
        <v>0.195</v>
      </c>
      <c r="BJ115" s="120" t="n">
        <f aca="false">SUM(-BJ96, BJ104, BJ112)</f>
        <v>0.195</v>
      </c>
      <c r="BK115" s="120" t="n">
        <f aca="false">SUM(-BK96, BK104, BK112)</f>
        <v>0.195</v>
      </c>
      <c r="BL115" s="120" t="n">
        <f aca="false">SUM(-BL96, BL104, BL112)</f>
        <v>0.195</v>
      </c>
      <c r="BM115" s="120" t="n">
        <f aca="false">SUM(-BM96, BM104, BM112)</f>
        <v>0.195</v>
      </c>
      <c r="BN115" s="120" t="n">
        <f aca="false">SUM(-BN96, BN104, BN112)</f>
        <v>0.195</v>
      </c>
      <c r="BO115" s="120" t="n">
        <f aca="false">SUM(-BO96, BO104, BO112)</f>
        <v>0.195</v>
      </c>
      <c r="BP115" s="120" t="n">
        <f aca="false">SUM(-BP96, BP104, BP112)</f>
        <v>0.195</v>
      </c>
      <c r="BQ115" s="120" t="n">
        <f aca="false">SUM(-BQ96, BQ104, BQ112)</f>
        <v>0.195</v>
      </c>
      <c r="BR115" s="120" t="n">
        <f aca="false">SUM(-BR96, BR104, BR112)</f>
        <v>0.195</v>
      </c>
      <c r="BS115" s="120" t="n">
        <f aca="false">SUM(-BS96, BS104, BS112)</f>
        <v>0.195</v>
      </c>
      <c r="BT115" s="120" t="n">
        <f aca="false">SUM(-BT96, BT104, BT112)</f>
        <v>0.195</v>
      </c>
      <c r="BU115" s="120" t="n">
        <f aca="false">SUM(-BU96, BU104, BU112)</f>
        <v>0.195</v>
      </c>
      <c r="BV115" s="120" t="n">
        <f aca="false">SUM(-BV96, BV104, BV112)</f>
        <v>0.195</v>
      </c>
      <c r="BW115" s="120" t="n">
        <f aca="false">SUM(-BW96, BW104, BW112)</f>
        <v>0.195</v>
      </c>
      <c r="BX115" s="120" t="n">
        <f aca="false">SUM(-BX96, BX104, BX112)</f>
        <v>0.195</v>
      </c>
      <c r="BY115" s="120" t="n">
        <f aca="false">SUM(-BY96, BY104, BY112)</f>
        <v>0.195</v>
      </c>
      <c r="BZ115" s="120" t="n">
        <f aca="false">SUM(-BZ96, BZ104, BZ112)</f>
        <v>0.195</v>
      </c>
      <c r="CA115" s="120" t="n">
        <f aca="false">SUM(-CA96, CA104, CA112)</f>
        <v>0.195</v>
      </c>
      <c r="CC115" s="120" t="n">
        <f aca="false">SUM(-CC96, CC104, CC112)</f>
        <v>0</v>
      </c>
      <c r="CD115" s="120" t="n">
        <f aca="false">SUM(-CD96, CD104, CD112)</f>
        <v>0.494285714285714</v>
      </c>
      <c r="CE115" s="120" t="n">
        <f aca="false">SUM(-CE96, CE104, CE112)</f>
        <v>2.27571428571429</v>
      </c>
      <c r="CF115" s="120" t="n">
        <f aca="false">SUM(-CF96, CF104, CF112)</f>
        <v>2.34</v>
      </c>
      <c r="CG115" s="120" t="n">
        <f aca="false">SUM(-CG96, CG104, CG112)</f>
        <v>2.34</v>
      </c>
      <c r="CI115" s="113" t="n">
        <f aca="false">CC115=L115</f>
        <v>1</v>
      </c>
      <c r="CJ115" s="113" t="n">
        <f aca="false">CD115=M115</f>
        <v>1</v>
      </c>
      <c r="CK115" s="113" t="n">
        <f aca="false">CE115=N115</f>
        <v>1</v>
      </c>
      <c r="CL115" s="113" t="n">
        <f aca="false">CF115=O115</f>
        <v>1</v>
      </c>
      <c r="CM115" s="113" t="n">
        <f aca="false">CG115=P115</f>
        <v>1</v>
      </c>
    </row>
    <row r="116" s="14" customFormat="true" ht="17.25" hidden="false" customHeight="true" outlineLevel="0" collapsed="false">
      <c r="E116" s="21"/>
      <c r="I116" s="221"/>
      <c r="J116" s="221"/>
      <c r="K116" s="221"/>
      <c r="L116" s="221"/>
      <c r="M116" s="221"/>
      <c r="N116" s="221"/>
      <c r="O116" s="221"/>
      <c r="P116" s="221"/>
      <c r="Q116" s="16"/>
      <c r="R116" s="16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  <c r="AQ116" s="88"/>
      <c r="AR116" s="88"/>
      <c r="AS116" s="88"/>
      <c r="AT116" s="88"/>
      <c r="AU116" s="88"/>
      <c r="AV116" s="88"/>
      <c r="AW116" s="88"/>
      <c r="AX116" s="88"/>
      <c r="AY116" s="88"/>
      <c r="AZ116" s="88"/>
      <c r="BA116" s="88"/>
      <c r="BB116" s="88"/>
      <c r="BC116" s="88"/>
      <c r="BD116" s="88"/>
      <c r="BE116" s="88"/>
      <c r="BF116" s="88"/>
      <c r="BG116" s="88"/>
      <c r="BH116" s="88"/>
      <c r="BI116" s="88"/>
      <c r="BJ116" s="88"/>
      <c r="BK116" s="88"/>
      <c r="BL116" s="88"/>
      <c r="BM116" s="88"/>
      <c r="BN116" s="88"/>
      <c r="BO116" s="88"/>
      <c r="BP116" s="88"/>
      <c r="BQ116" s="88"/>
      <c r="BR116" s="88"/>
      <c r="BS116" s="88"/>
      <c r="BT116" s="88"/>
      <c r="BU116" s="88"/>
      <c r="BV116" s="88"/>
      <c r="BW116" s="88"/>
      <c r="BX116" s="88"/>
      <c r="BY116" s="88"/>
      <c r="BZ116" s="88"/>
      <c r="CA116" s="121"/>
    </row>
    <row r="117" s="14" customFormat="true" ht="17.25" hidden="false" customHeight="true" outlineLevel="0" collapsed="false">
      <c r="E117" s="122" t="s">
        <v>151</v>
      </c>
      <c r="F117" s="123"/>
      <c r="G117" s="123"/>
      <c r="H117" s="123"/>
      <c r="I117" s="222" t="n">
        <f aca="false">SUM(I88, -I115)</f>
        <v>143.18592021</v>
      </c>
      <c r="J117" s="222" t="n">
        <f aca="false">SUM(J88, -J115)</f>
        <v>126.074690451479</v>
      </c>
      <c r="K117" s="223" t="n">
        <f aca="false">SUM(K88, -K115)</f>
        <v>12.4312297585212</v>
      </c>
      <c r="L117" s="222" t="n">
        <f aca="false">SUM(L88, -L115)</f>
        <v>0</v>
      </c>
      <c r="M117" s="222" t="n">
        <f aca="false">SUM(M88, -M115)</f>
        <v>0.912498072240113</v>
      </c>
      <c r="N117" s="222" t="n">
        <f aca="false">SUM(N88, -N115)</f>
        <v>11.7041995928861</v>
      </c>
      <c r="O117" s="222" t="n">
        <f aca="false">SUM(O88, -O115)</f>
        <v>12.4312297585212</v>
      </c>
      <c r="P117" s="222" t="n">
        <f aca="false">SUM(P88, -P115)</f>
        <v>12.4312297585212</v>
      </c>
      <c r="Q117" s="16"/>
      <c r="R117" s="16" t="str">
        <f aca="false">IF(K117=P117, "", "Error")</f>
        <v/>
      </c>
      <c r="T117" s="125" t="n">
        <f aca="false">SUM(T88, -T115)</f>
        <v>0</v>
      </c>
      <c r="U117" s="125" t="n">
        <f aca="false">SUM(U88, -U115)</f>
        <v>0</v>
      </c>
      <c r="V117" s="125" t="n">
        <f aca="false">SUM(V88, -V115)</f>
        <v>0</v>
      </c>
      <c r="W117" s="125" t="n">
        <f aca="false">SUM(W88, -W115)</f>
        <v>0</v>
      </c>
      <c r="X117" s="125" t="n">
        <f aca="false">SUM(X88, -X115)</f>
        <v>0</v>
      </c>
      <c r="Y117" s="125" t="n">
        <f aca="false">SUM(Y88, -Y115)</f>
        <v>0</v>
      </c>
      <c r="Z117" s="125" t="n">
        <f aca="false">SUM(Z88, -Z115)</f>
        <v>0</v>
      </c>
      <c r="AA117" s="125" t="n">
        <f aca="false">SUM(AA88, -AA115)</f>
        <v>0</v>
      </c>
      <c r="AB117" s="125" t="n">
        <f aca="false">SUM(AB88, -AB115)</f>
        <v>0</v>
      </c>
      <c r="AC117" s="125" t="n">
        <f aca="false">SUM(AC88, -AC115)</f>
        <v>0</v>
      </c>
      <c r="AD117" s="125" t="n">
        <f aca="false">SUM(AD88, -AD115)</f>
        <v>0</v>
      </c>
      <c r="AE117" s="125" t="n">
        <f aca="false">SUM(AE88, -AE115)</f>
        <v>0</v>
      </c>
      <c r="AF117" s="125" t="n">
        <f aca="false">SUM(AF88, -AF115)</f>
        <v>0</v>
      </c>
      <c r="AG117" s="125" t="n">
        <f aca="false">SUM(AG88, -AG115)</f>
        <v>0</v>
      </c>
      <c r="AH117" s="125" t="n">
        <f aca="false">SUM(AH88, -AH115)</f>
        <v>0</v>
      </c>
      <c r="AI117" s="125" t="n">
        <f aca="false">SUM(AI88, -AI115)</f>
        <v>0</v>
      </c>
      <c r="AJ117" s="125" t="n">
        <f aca="false">SUM(AJ88, -AJ115)</f>
        <v>0</v>
      </c>
      <c r="AK117" s="125" t="n">
        <f aca="false">SUM(AK88, -AK115)</f>
        <v>0</v>
      </c>
      <c r="AL117" s="125" t="n">
        <f aca="false">SUM(AL88, -AL115)</f>
        <v>0</v>
      </c>
      <c r="AM117" s="125" t="n">
        <f aca="false">SUM(AM88, -AM115)</f>
        <v>0</v>
      </c>
      <c r="AN117" s="125" t="n">
        <f aca="false">SUM(AN88, -AN115)</f>
        <v>-0.014218870484993</v>
      </c>
      <c r="AO117" s="125" t="n">
        <f aca="false">SUM(AO88, -AO115)</f>
        <v>0.147343388545021</v>
      </c>
      <c r="AP117" s="125" t="n">
        <f aca="false">SUM(AP88, -AP115)</f>
        <v>0.308905647575035</v>
      </c>
      <c r="AQ117" s="125" t="n">
        <f aca="false">SUM(AQ88, -AQ115)</f>
        <v>0.470467906605049</v>
      </c>
      <c r="AR117" s="125" t="n">
        <f aca="false">SUM(AR88, -AR115)</f>
        <v>0.632030165635064</v>
      </c>
      <c r="AS117" s="125" t="n">
        <f aca="false">SUM(AS88, -AS115)</f>
        <v>0.793592424665078</v>
      </c>
      <c r="AT117" s="125" t="n">
        <f aca="false">SUM(AT88, -AT115)</f>
        <v>0.955154683695092</v>
      </c>
      <c r="AU117" s="125" t="n">
        <f aca="false">SUM(AU88, -AU115)</f>
        <v>1.0359358132101</v>
      </c>
      <c r="AV117" s="125" t="n">
        <f aca="false">SUM(AV88, -AV115)</f>
        <v>1.0359358132101</v>
      </c>
      <c r="AW117" s="125" t="n">
        <f aca="false">SUM(AW88, -AW115)</f>
        <v>1.0359358132101</v>
      </c>
      <c r="AX117" s="125" t="n">
        <f aca="false">SUM(AX88, -AX115)</f>
        <v>1.0359358132101</v>
      </c>
      <c r="AY117" s="125" t="n">
        <f aca="false">SUM(AY88, -AY115)</f>
        <v>1.0359358132101</v>
      </c>
      <c r="AZ117" s="125" t="n">
        <f aca="false">SUM(AZ88, -AZ115)</f>
        <v>1.0359358132101</v>
      </c>
      <c r="BA117" s="125" t="n">
        <f aca="false">SUM(BA88, -BA115)</f>
        <v>1.0359358132101</v>
      </c>
      <c r="BB117" s="125" t="n">
        <f aca="false">SUM(BB88, -BB115)</f>
        <v>1.0359358132101</v>
      </c>
      <c r="BC117" s="125" t="n">
        <f aca="false">SUM(BC88, -BC115)</f>
        <v>1.0359358132101</v>
      </c>
      <c r="BD117" s="125" t="n">
        <f aca="false">SUM(BD88, -BD115)</f>
        <v>1.0359358132101</v>
      </c>
      <c r="BE117" s="125" t="n">
        <f aca="false">SUM(BE88, -BE115)</f>
        <v>1.0359358132101</v>
      </c>
      <c r="BF117" s="125" t="n">
        <f aca="false">SUM(BF88, -BF115)</f>
        <v>1.0359358132101</v>
      </c>
      <c r="BG117" s="125" t="n">
        <f aca="false">SUM(BG88, -BG115)</f>
        <v>1.0359358132101</v>
      </c>
      <c r="BH117" s="125" t="n">
        <f aca="false">SUM(BH88, -BH115)</f>
        <v>1.0359358132101</v>
      </c>
      <c r="BI117" s="125" t="n">
        <f aca="false">SUM(BI88, -BI115)</f>
        <v>1.0359358132101</v>
      </c>
      <c r="BJ117" s="125" t="n">
        <f aca="false">SUM(BJ88, -BJ115)</f>
        <v>1.0359358132101</v>
      </c>
      <c r="BK117" s="125" t="n">
        <f aca="false">SUM(BK88, -BK115)</f>
        <v>1.0359358132101</v>
      </c>
      <c r="BL117" s="125" t="n">
        <f aca="false">SUM(BL88, -BL115)</f>
        <v>1.0359358132101</v>
      </c>
      <c r="BM117" s="125" t="n">
        <f aca="false">SUM(BM88, -BM115)</f>
        <v>1.0359358132101</v>
      </c>
      <c r="BN117" s="125" t="n">
        <f aca="false">SUM(BN88, -BN115)</f>
        <v>1.0359358132101</v>
      </c>
      <c r="BO117" s="125" t="n">
        <f aca="false">SUM(BO88, -BO115)</f>
        <v>1.0359358132101</v>
      </c>
      <c r="BP117" s="125" t="n">
        <f aca="false">SUM(BP88, -BP115)</f>
        <v>1.0359358132101</v>
      </c>
      <c r="BQ117" s="125" t="n">
        <f aca="false">SUM(BQ88, -BQ115)</f>
        <v>1.0359358132101</v>
      </c>
      <c r="BR117" s="125" t="n">
        <f aca="false">SUM(BR88, -BR115)</f>
        <v>1.0359358132101</v>
      </c>
      <c r="BS117" s="125" t="n">
        <f aca="false">SUM(BS88, -BS115)</f>
        <v>1.0359358132101</v>
      </c>
      <c r="BT117" s="125" t="n">
        <f aca="false">SUM(BT88, -BT115)</f>
        <v>1.0359358132101</v>
      </c>
      <c r="BU117" s="125" t="n">
        <f aca="false">SUM(BU88, -BU115)</f>
        <v>1.0359358132101</v>
      </c>
      <c r="BV117" s="125" t="n">
        <f aca="false">SUM(BV88, -BV115)</f>
        <v>1.0359358132101</v>
      </c>
      <c r="BW117" s="125" t="n">
        <f aca="false">SUM(BW88, -BW115)</f>
        <v>1.0359358132101</v>
      </c>
      <c r="BX117" s="125" t="n">
        <f aca="false">SUM(BX88, -BX115)</f>
        <v>1.0359358132101</v>
      </c>
      <c r="BY117" s="125" t="n">
        <f aca="false">SUM(BY88, -BY115)</f>
        <v>1.0359358132101</v>
      </c>
      <c r="BZ117" s="125" t="n">
        <f aca="false">SUM(BZ88, -BZ115)</f>
        <v>1.0359358132101</v>
      </c>
      <c r="CA117" s="126" t="n">
        <f aca="false">SUM(CA88, -CA115)</f>
        <v>1.0359358132101</v>
      </c>
      <c r="CC117" s="126" t="n">
        <f aca="false">SUM(CC88, -CC115)</f>
        <v>0</v>
      </c>
      <c r="CD117" s="126" t="n">
        <f aca="false">SUM(CD88, -CD115)</f>
        <v>0.912498072240113</v>
      </c>
      <c r="CE117" s="126" t="n">
        <f aca="false">SUM(CE88, -CE115)</f>
        <v>11.7041995928861</v>
      </c>
      <c r="CF117" s="126" t="n">
        <f aca="false">SUM(CF88, -CF115)</f>
        <v>12.4312297585212</v>
      </c>
      <c r="CG117" s="126" t="n">
        <f aca="false">SUM(CG88, -CG115)</f>
        <v>12.4312297585212</v>
      </c>
      <c r="CI117" s="126" t="n">
        <f aca="false">CC117=L117</f>
        <v>1</v>
      </c>
      <c r="CJ117" s="126" t="n">
        <f aca="false">CD117=M117</f>
        <v>1</v>
      </c>
      <c r="CK117" s="126" t="n">
        <f aca="false">CE117=N117</f>
        <v>1</v>
      </c>
      <c r="CL117" s="126" t="n">
        <f aca="false">CF117=O117</f>
        <v>1</v>
      </c>
      <c r="CM117" s="126" t="n">
        <f aca="false">CG117=P117</f>
        <v>1</v>
      </c>
    </row>
    <row r="118" s="14" customFormat="true" ht="17.25" hidden="false" customHeight="true" outlineLevel="0" collapsed="false">
      <c r="K118" s="127"/>
      <c r="Q118" s="16"/>
      <c r="R118" s="16"/>
    </row>
    <row r="119" s="14" customFormat="true" ht="17.25" hidden="false" customHeight="true" outlineLevel="0" collapsed="false">
      <c r="E119" s="128"/>
      <c r="Q119" s="16"/>
      <c r="R119" s="16"/>
    </row>
    <row r="120" s="14" customFormat="true" ht="16.5" hidden="false" customHeight="true" outlineLevel="0" collapsed="false">
      <c r="C120" s="19" t="s">
        <v>152</v>
      </c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20"/>
      <c r="R120" s="20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C120" s="19" t="s">
        <v>127</v>
      </c>
      <c r="CD120" s="19"/>
      <c r="CE120" s="19"/>
      <c r="CF120" s="19"/>
      <c r="CG120" s="19"/>
      <c r="CI120" s="19" t="s">
        <v>128</v>
      </c>
      <c r="CJ120" s="19"/>
      <c r="CK120" s="19"/>
      <c r="CL120" s="19"/>
      <c r="CM120" s="19"/>
    </row>
    <row r="121" s="14" customFormat="true" ht="16.5" hidden="false" customHeight="true" outlineLevel="0" collapsed="false">
      <c r="Q121" s="16"/>
      <c r="R121" s="16"/>
    </row>
    <row r="122" s="14" customFormat="true" ht="16.5" hidden="false" customHeight="true" outlineLevel="0" collapsed="false">
      <c r="Q122" s="16"/>
      <c r="R122" s="16"/>
      <c r="T122" s="62" t="n">
        <v>2026</v>
      </c>
      <c r="U122" s="129"/>
      <c r="V122" s="129"/>
      <c r="W122" s="129"/>
      <c r="X122" s="129"/>
      <c r="Y122" s="129"/>
      <c r="Z122" s="129"/>
      <c r="AA122" s="129"/>
      <c r="AB122" s="129"/>
      <c r="AC122" s="129"/>
      <c r="AD122" s="129"/>
      <c r="AE122" s="129"/>
      <c r="AF122" s="62" t="n">
        <v>2027</v>
      </c>
      <c r="AG122" s="129"/>
      <c r="AH122" s="129"/>
      <c r="AI122" s="129"/>
      <c r="AJ122" s="129"/>
      <c r="AK122" s="129"/>
      <c r="AL122" s="129"/>
      <c r="AM122" s="129"/>
      <c r="AN122" s="129"/>
      <c r="AO122" s="129"/>
      <c r="AP122" s="129"/>
      <c r="AQ122" s="129"/>
      <c r="AR122" s="62" t="n">
        <v>2028</v>
      </c>
      <c r="AS122" s="129"/>
      <c r="AT122" s="129"/>
      <c r="AU122" s="129"/>
      <c r="AV122" s="129"/>
      <c r="AW122" s="129"/>
      <c r="AX122" s="129"/>
      <c r="AY122" s="129"/>
      <c r="AZ122" s="129"/>
      <c r="BA122" s="129"/>
      <c r="BB122" s="129"/>
      <c r="BC122" s="129"/>
      <c r="BD122" s="62" t="n">
        <v>2029</v>
      </c>
      <c r="BE122" s="129"/>
      <c r="BF122" s="129"/>
      <c r="BG122" s="129"/>
      <c r="BH122" s="129"/>
      <c r="BI122" s="129"/>
      <c r="BJ122" s="129"/>
      <c r="BK122" s="129"/>
      <c r="BL122" s="129"/>
      <c r="BM122" s="129"/>
      <c r="BN122" s="129"/>
      <c r="BO122" s="129"/>
      <c r="BP122" s="62" t="n">
        <v>2030</v>
      </c>
      <c r="BQ122" s="130"/>
      <c r="BR122" s="130"/>
      <c r="BS122" s="130"/>
      <c r="BT122" s="130"/>
      <c r="BU122" s="130"/>
      <c r="BV122" s="130"/>
      <c r="BW122" s="130"/>
      <c r="BX122" s="130"/>
      <c r="BY122" s="130"/>
      <c r="BZ122" s="130"/>
      <c r="CA122" s="130"/>
    </row>
    <row r="123" s="14" customFormat="true" ht="16.5" hidden="false" customHeight="true" outlineLevel="0" collapsed="false">
      <c r="D123" s="30" t="s">
        <v>153</v>
      </c>
      <c r="E123" s="31"/>
      <c r="F123" s="31"/>
      <c r="G123" s="31"/>
      <c r="H123" s="31"/>
      <c r="I123" s="31"/>
      <c r="J123" s="31"/>
      <c r="K123" s="30" t="s">
        <v>130</v>
      </c>
      <c r="L123" s="31" t="n">
        <v>2026</v>
      </c>
      <c r="M123" s="31" t="n">
        <f aca="false">L123+1</f>
        <v>2027</v>
      </c>
      <c r="N123" s="31" t="n">
        <f aca="false">M123+1</f>
        <v>2028</v>
      </c>
      <c r="O123" s="31" t="n">
        <f aca="false">N123+1</f>
        <v>2029</v>
      </c>
      <c r="P123" s="31" t="n">
        <f aca="false">O123+1</f>
        <v>2030</v>
      </c>
      <c r="Q123" s="31" t="s">
        <v>132</v>
      </c>
      <c r="R123" s="16"/>
      <c r="T123" s="59" t="n">
        <v>46023</v>
      </c>
      <c r="U123" s="60" t="n">
        <f aca="false">EOMONTH(T123, 1)</f>
        <v>46081</v>
      </c>
      <c r="V123" s="60" t="n">
        <f aca="false">EOMONTH(U123, 1)</f>
        <v>46112</v>
      </c>
      <c r="W123" s="60" t="n">
        <f aca="false">EOMONTH(V123, 1)</f>
        <v>46142</v>
      </c>
      <c r="X123" s="60" t="n">
        <f aca="false">EOMONTH(W123, 1)</f>
        <v>46173</v>
      </c>
      <c r="Y123" s="60" t="n">
        <f aca="false">EOMONTH(X123, 1)</f>
        <v>46203</v>
      </c>
      <c r="Z123" s="60" t="n">
        <f aca="false">EOMONTH(Y123, 1)</f>
        <v>46234</v>
      </c>
      <c r="AA123" s="60" t="n">
        <f aca="false">EOMONTH(Z123, 1)</f>
        <v>46265</v>
      </c>
      <c r="AB123" s="60" t="n">
        <f aca="false">EOMONTH(AA123, 1)</f>
        <v>46295</v>
      </c>
      <c r="AC123" s="60" t="n">
        <f aca="false">EOMONTH(AB123, 1)</f>
        <v>46326</v>
      </c>
      <c r="AD123" s="60" t="n">
        <f aca="false">EOMONTH(AC123, 1)</f>
        <v>46356</v>
      </c>
      <c r="AE123" s="61" t="n">
        <f aca="false">EOMONTH(AD123, 1)</f>
        <v>46387</v>
      </c>
      <c r="AF123" s="59" t="n">
        <f aca="false">EOMONTH(AE123, 1)</f>
        <v>46418</v>
      </c>
      <c r="AG123" s="60" t="n">
        <f aca="false">EOMONTH(AF123, 1)</f>
        <v>46446</v>
      </c>
      <c r="AH123" s="60" t="n">
        <f aca="false">EOMONTH(AG123, 1)</f>
        <v>46477</v>
      </c>
      <c r="AI123" s="60" t="n">
        <f aca="false">EOMONTH(AH123, 1)</f>
        <v>46507</v>
      </c>
      <c r="AJ123" s="60" t="n">
        <f aca="false">EOMONTH(AI123, 1)</f>
        <v>46538</v>
      </c>
      <c r="AK123" s="60" t="n">
        <f aca="false">EOMONTH(AJ123, 1)</f>
        <v>46568</v>
      </c>
      <c r="AL123" s="60" t="n">
        <f aca="false">EOMONTH(AK123, 1)</f>
        <v>46599</v>
      </c>
      <c r="AM123" s="60" t="n">
        <f aca="false">EOMONTH(AL123, 1)</f>
        <v>46630</v>
      </c>
      <c r="AN123" s="60" t="n">
        <f aca="false">EOMONTH(AM123, 1)</f>
        <v>46660</v>
      </c>
      <c r="AO123" s="60" t="n">
        <f aca="false">EOMONTH(AN123, 1)</f>
        <v>46691</v>
      </c>
      <c r="AP123" s="60" t="n">
        <f aca="false">EOMONTH(AO123, 1)</f>
        <v>46721</v>
      </c>
      <c r="AQ123" s="61" t="n">
        <f aca="false">EOMONTH(AP123, 1)</f>
        <v>46752</v>
      </c>
      <c r="AR123" s="59" t="n">
        <f aca="false">EOMONTH(AQ123, 1)</f>
        <v>46783</v>
      </c>
      <c r="AS123" s="60" t="n">
        <f aca="false">EOMONTH(AR123, 1)</f>
        <v>46812</v>
      </c>
      <c r="AT123" s="60" t="n">
        <f aca="false">EOMONTH(AS123, 1)</f>
        <v>46843</v>
      </c>
      <c r="AU123" s="60" t="n">
        <f aca="false">EOMONTH(AT123, 1)</f>
        <v>46873</v>
      </c>
      <c r="AV123" s="60" t="n">
        <f aca="false">EOMONTH(AU123, 1)</f>
        <v>46904</v>
      </c>
      <c r="AW123" s="60" t="n">
        <f aca="false">EOMONTH(AV123, 1)</f>
        <v>46934</v>
      </c>
      <c r="AX123" s="60" t="n">
        <f aca="false">EOMONTH(AW123, 1)</f>
        <v>46965</v>
      </c>
      <c r="AY123" s="60" t="n">
        <f aca="false">EOMONTH(AX123, 1)</f>
        <v>46996</v>
      </c>
      <c r="AZ123" s="60" t="n">
        <f aca="false">EOMONTH(AY123, 1)</f>
        <v>47026</v>
      </c>
      <c r="BA123" s="60" t="n">
        <f aca="false">EOMONTH(AZ123, 1)</f>
        <v>47057</v>
      </c>
      <c r="BB123" s="60" t="n">
        <f aca="false">EOMONTH(BA123, 1)</f>
        <v>47087</v>
      </c>
      <c r="BC123" s="61" t="n">
        <f aca="false">EOMONTH(BB123, 1)</f>
        <v>47118</v>
      </c>
      <c r="BD123" s="59" t="n">
        <f aca="false">EOMONTH(BC123, 1)</f>
        <v>47149</v>
      </c>
      <c r="BE123" s="60" t="n">
        <f aca="false">EOMONTH(BD123, 1)</f>
        <v>47177</v>
      </c>
      <c r="BF123" s="60" t="n">
        <f aca="false">EOMONTH(BE123, 1)</f>
        <v>47208</v>
      </c>
      <c r="BG123" s="60" t="n">
        <f aca="false">EOMONTH(BF123, 1)</f>
        <v>47238</v>
      </c>
      <c r="BH123" s="60" t="n">
        <f aca="false">EOMONTH(BG123, 1)</f>
        <v>47269</v>
      </c>
      <c r="BI123" s="60" t="n">
        <f aca="false">EOMONTH(BH123, 1)</f>
        <v>47299</v>
      </c>
      <c r="BJ123" s="60" t="n">
        <f aca="false">EOMONTH(BI123, 1)</f>
        <v>47330</v>
      </c>
      <c r="BK123" s="60" t="n">
        <f aca="false">EOMONTH(BJ123, 1)</f>
        <v>47361</v>
      </c>
      <c r="BL123" s="60" t="n">
        <f aca="false">EOMONTH(BK123, 1)</f>
        <v>47391</v>
      </c>
      <c r="BM123" s="60" t="n">
        <f aca="false">EOMONTH(BL123, 1)</f>
        <v>47422</v>
      </c>
      <c r="BN123" s="60" t="n">
        <f aca="false">EOMONTH(BM123, 1)</f>
        <v>47452</v>
      </c>
      <c r="BO123" s="61" t="n">
        <f aca="false">EOMONTH(BN123, 1)</f>
        <v>47483</v>
      </c>
      <c r="BP123" s="59" t="n">
        <f aca="false">EOMONTH(BO123, 1)</f>
        <v>47514</v>
      </c>
      <c r="BQ123" s="60" t="n">
        <f aca="false">EOMONTH(BP123, 1)</f>
        <v>47542</v>
      </c>
      <c r="BR123" s="60" t="n">
        <f aca="false">EOMONTH(BQ123, 1)</f>
        <v>47573</v>
      </c>
      <c r="BS123" s="60" t="n">
        <f aca="false">EOMONTH(BR123, 1)</f>
        <v>47603</v>
      </c>
      <c r="BT123" s="60" t="n">
        <f aca="false">EOMONTH(BS123, 1)</f>
        <v>47634</v>
      </c>
      <c r="BU123" s="60" t="n">
        <f aca="false">EOMONTH(BT123, 1)</f>
        <v>47664</v>
      </c>
      <c r="BV123" s="60" t="n">
        <f aca="false">EOMONTH(BU123, 1)</f>
        <v>47695</v>
      </c>
      <c r="BW123" s="60" t="n">
        <f aca="false">EOMONTH(BV123, 1)</f>
        <v>47726</v>
      </c>
      <c r="BX123" s="60" t="n">
        <f aca="false">EOMONTH(BW123, 1)</f>
        <v>47756</v>
      </c>
      <c r="BY123" s="60" t="n">
        <f aca="false">EOMONTH(BX123, 1)</f>
        <v>47787</v>
      </c>
      <c r="BZ123" s="60" t="n">
        <f aca="false">EOMONTH(BY123, 1)</f>
        <v>47817</v>
      </c>
      <c r="CA123" s="60" t="n">
        <f aca="false">EOMONTH(BZ123, 1)</f>
        <v>47848</v>
      </c>
      <c r="CC123" s="62" t="n">
        <v>2026</v>
      </c>
      <c r="CD123" s="62" t="n">
        <f aca="false">CC123+1</f>
        <v>2027</v>
      </c>
      <c r="CE123" s="62" t="n">
        <f aca="false">CD123+1</f>
        <v>2028</v>
      </c>
      <c r="CF123" s="62" t="n">
        <f aca="false">CE123+1</f>
        <v>2029</v>
      </c>
      <c r="CG123" s="62" t="n">
        <f aca="false">CF123+1</f>
        <v>2030</v>
      </c>
      <c r="CI123" s="62" t="n">
        <v>2026</v>
      </c>
      <c r="CJ123" s="62" t="n">
        <f aca="false">CI123+1</f>
        <v>2027</v>
      </c>
      <c r="CK123" s="62" t="n">
        <f aca="false">CJ123+1</f>
        <v>2028</v>
      </c>
      <c r="CL123" s="62" t="n">
        <f aca="false">CK123+1</f>
        <v>2029</v>
      </c>
      <c r="CM123" s="62" t="n">
        <f aca="false">CL123+1</f>
        <v>2030</v>
      </c>
    </row>
    <row r="124" s="14" customFormat="true" ht="16.5" hidden="false" customHeight="true" outlineLevel="0" collapsed="false">
      <c r="E124" s="21"/>
      <c r="F124" s="21"/>
      <c r="G124" s="21"/>
      <c r="K124" s="35"/>
      <c r="Q124" s="16"/>
      <c r="R124" s="16"/>
    </row>
    <row r="125" s="14" customFormat="true" ht="16.5" hidden="false" customHeight="true" outlineLevel="0" collapsed="false">
      <c r="E125" s="21" t="s">
        <v>154</v>
      </c>
      <c r="K125" s="35"/>
      <c r="Q125" s="16"/>
      <c r="R125" s="16"/>
    </row>
    <row r="126" s="14" customFormat="true" ht="16.5" hidden="false" customHeight="true" outlineLevel="0" collapsed="false">
      <c r="E126" s="91"/>
      <c r="K126" s="35"/>
      <c r="L126" s="91"/>
      <c r="M126" s="91"/>
      <c r="N126" s="91"/>
      <c r="O126" s="91"/>
      <c r="P126" s="91"/>
      <c r="Q126" s="93"/>
      <c r="R126" s="16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1"/>
      <c r="AI126" s="91"/>
      <c r="AJ126" s="91"/>
      <c r="AK126" s="91"/>
      <c r="AL126" s="91"/>
      <c r="AM126" s="91"/>
      <c r="AN126" s="91"/>
      <c r="AO126" s="91"/>
      <c r="AP126" s="91"/>
      <c r="AQ126" s="91"/>
      <c r="AR126" s="91"/>
      <c r="AS126" s="91"/>
      <c r="AT126" s="91"/>
      <c r="AU126" s="91"/>
      <c r="AV126" s="91"/>
      <c r="AW126" s="91"/>
      <c r="AX126" s="91"/>
      <c r="AY126" s="91"/>
      <c r="AZ126" s="91"/>
      <c r="BA126" s="91"/>
      <c r="BB126" s="91"/>
      <c r="BC126" s="91"/>
      <c r="BD126" s="91"/>
      <c r="BE126" s="91"/>
      <c r="BF126" s="91"/>
      <c r="BG126" s="91"/>
      <c r="BH126" s="91"/>
      <c r="BI126" s="91"/>
      <c r="BJ126" s="91"/>
      <c r="BK126" s="91"/>
      <c r="BL126" s="91"/>
      <c r="BM126" s="91"/>
      <c r="BN126" s="91"/>
      <c r="BO126" s="91"/>
      <c r="BP126" s="91"/>
      <c r="BQ126" s="91"/>
      <c r="BR126" s="91"/>
      <c r="BS126" s="91"/>
      <c r="BT126" s="91"/>
      <c r="BU126" s="91"/>
      <c r="BV126" s="91"/>
      <c r="BW126" s="91"/>
      <c r="BX126" s="91"/>
      <c r="BY126" s="91"/>
      <c r="BZ126" s="91"/>
      <c r="CA126" s="91"/>
      <c r="CC126" s="79" t="n">
        <f aca="false">SUMIFS($T126:$CA126, $T$1:$CA$1, CC$63)</f>
        <v>0</v>
      </c>
      <c r="CD126" s="79" t="n">
        <f aca="false">SUMIFS($T126:$CA126, $T$1:$CA$1, CD$63)</f>
        <v>0</v>
      </c>
      <c r="CE126" s="79" t="n">
        <f aca="false">SUMIFS($T126:$CA126, $T$1:$CA$1, CE$63)</f>
        <v>0</v>
      </c>
      <c r="CF126" s="79" t="n">
        <f aca="false">SUMIFS($T126:$CA126, $T$1:$CA$1, CF$63)</f>
        <v>0</v>
      </c>
      <c r="CG126" s="79" t="n">
        <f aca="false">SUMIFS($T126:$CA126, $T$1:$CA$1, CG$63)</f>
        <v>0</v>
      </c>
      <c r="CI126" s="79" t="n">
        <f aca="false">CC126=L126</f>
        <v>1</v>
      </c>
      <c r="CJ126" s="79" t="n">
        <f aca="false">CD126=M126</f>
        <v>1</v>
      </c>
      <c r="CK126" s="79" t="n">
        <f aca="false">CE126=N126</f>
        <v>1</v>
      </c>
      <c r="CL126" s="79" t="n">
        <f aca="false">CF126=O126</f>
        <v>1</v>
      </c>
      <c r="CM126" s="79" t="n">
        <f aca="false">CG126=P126</f>
        <v>1</v>
      </c>
    </row>
    <row r="127" s="14" customFormat="true" ht="16.5" hidden="false" customHeight="true" outlineLevel="0" collapsed="false">
      <c r="E127" s="91"/>
      <c r="K127" s="35"/>
      <c r="L127" s="91"/>
      <c r="M127" s="91"/>
      <c r="N127" s="91"/>
      <c r="O127" s="91"/>
      <c r="P127" s="91"/>
      <c r="Q127" s="93"/>
      <c r="R127" s="16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  <c r="AK127" s="91"/>
      <c r="AL127" s="91"/>
      <c r="AM127" s="91"/>
      <c r="AN127" s="91"/>
      <c r="AO127" s="91"/>
      <c r="AP127" s="91"/>
      <c r="AQ127" s="91"/>
      <c r="AR127" s="91"/>
      <c r="AS127" s="91"/>
      <c r="AT127" s="91"/>
      <c r="AU127" s="91"/>
      <c r="AV127" s="91"/>
      <c r="AW127" s="91"/>
      <c r="AX127" s="91"/>
      <c r="AY127" s="91"/>
      <c r="AZ127" s="91"/>
      <c r="BA127" s="91"/>
      <c r="BB127" s="91"/>
      <c r="BC127" s="91"/>
      <c r="BD127" s="91"/>
      <c r="BE127" s="91"/>
      <c r="BF127" s="91"/>
      <c r="BG127" s="91"/>
      <c r="BH127" s="91"/>
      <c r="BI127" s="91"/>
      <c r="BJ127" s="91"/>
      <c r="BK127" s="91"/>
      <c r="BL127" s="91"/>
      <c r="BM127" s="91"/>
      <c r="BN127" s="91"/>
      <c r="BO127" s="91"/>
      <c r="BP127" s="91"/>
      <c r="BQ127" s="91"/>
      <c r="BR127" s="91"/>
      <c r="BS127" s="91"/>
      <c r="BT127" s="91"/>
      <c r="BU127" s="91"/>
      <c r="BV127" s="91"/>
      <c r="BW127" s="91"/>
      <c r="BX127" s="91"/>
      <c r="BY127" s="91"/>
      <c r="BZ127" s="91"/>
      <c r="CA127" s="91"/>
      <c r="CC127" s="79" t="n">
        <f aca="false">SUMIFS($T127:$CA127, $T$1:$CA$1, CC$63)</f>
        <v>0</v>
      </c>
      <c r="CD127" s="79" t="n">
        <f aca="false">SUMIFS($T127:$CA127, $T$1:$CA$1, CD$63)</f>
        <v>0</v>
      </c>
      <c r="CE127" s="79" t="n">
        <f aca="false">SUMIFS($T127:$CA127, $T$1:$CA$1, CE$63)</f>
        <v>0</v>
      </c>
      <c r="CF127" s="79" t="n">
        <f aca="false">SUMIFS($T127:$CA127, $T$1:$CA$1, CF$63)</f>
        <v>0</v>
      </c>
      <c r="CG127" s="79" t="n">
        <f aca="false">SUMIFS($T127:$CA127, $T$1:$CA$1, CG$63)</f>
        <v>0</v>
      </c>
      <c r="CI127" s="79" t="n">
        <f aca="false">CC127=L127</f>
        <v>1</v>
      </c>
      <c r="CJ127" s="79" t="n">
        <f aca="false">CD127=M127</f>
        <v>1</v>
      </c>
      <c r="CK127" s="79" t="n">
        <f aca="false">CE127=N127</f>
        <v>1</v>
      </c>
      <c r="CL127" s="79" t="n">
        <f aca="false">CF127=O127</f>
        <v>1</v>
      </c>
      <c r="CM127" s="79" t="n">
        <f aca="false">CG127=P127</f>
        <v>1</v>
      </c>
    </row>
    <row r="128" s="14" customFormat="true" ht="16.5" hidden="false" customHeight="true" outlineLevel="0" collapsed="false">
      <c r="E128" s="96" t="s">
        <v>155</v>
      </c>
      <c r="K128" s="35"/>
      <c r="L128" s="82" t="n">
        <f aca="false">SUM(L126:L127)</f>
        <v>0</v>
      </c>
      <c r="M128" s="82" t="n">
        <f aca="false">SUM(M126:M127)</f>
        <v>0</v>
      </c>
      <c r="N128" s="82" t="n">
        <f aca="false">SUM(N126:N127)</f>
        <v>0</v>
      </c>
      <c r="O128" s="82" t="n">
        <f aca="false">SUM(O126:O127)</f>
        <v>0</v>
      </c>
      <c r="P128" s="82" t="n">
        <f aca="false">SUM(P126:P127)</f>
        <v>0</v>
      </c>
      <c r="Q128" s="16"/>
      <c r="R128" s="16"/>
      <c r="T128" s="82" t="n">
        <f aca="false">SUM(T126:T127)</f>
        <v>0</v>
      </c>
      <c r="U128" s="82" t="n">
        <f aca="false">SUM(U126:U127)</f>
        <v>0</v>
      </c>
      <c r="V128" s="82" t="n">
        <f aca="false">SUM(V126:V127)</f>
        <v>0</v>
      </c>
      <c r="W128" s="82" t="n">
        <f aca="false">SUM(W126:W127)</f>
        <v>0</v>
      </c>
      <c r="X128" s="82" t="n">
        <f aca="false">SUM(X126:X127)</f>
        <v>0</v>
      </c>
      <c r="Y128" s="82" t="n">
        <f aca="false">SUM(Y126:Y127)</f>
        <v>0</v>
      </c>
      <c r="Z128" s="82" t="n">
        <f aca="false">SUM(Z126:Z127)</f>
        <v>0</v>
      </c>
      <c r="AA128" s="82" t="n">
        <f aca="false">SUM(AA126:AA127)</f>
        <v>0</v>
      </c>
      <c r="AB128" s="82" t="n">
        <f aca="false">SUM(AB126:AB127)</f>
        <v>0</v>
      </c>
      <c r="AC128" s="82" t="n">
        <f aca="false">SUM(AC126:AC127)</f>
        <v>0</v>
      </c>
      <c r="AD128" s="82" t="n">
        <f aca="false">SUM(AD126:AD127)</f>
        <v>0</v>
      </c>
      <c r="AE128" s="82" t="n">
        <f aca="false">SUM(AE126:AE127)</f>
        <v>0</v>
      </c>
      <c r="AF128" s="82" t="n">
        <f aca="false">SUM(AF126:AF127)</f>
        <v>0</v>
      </c>
      <c r="AG128" s="82" t="n">
        <f aca="false">SUM(AG126:AG127)</f>
        <v>0</v>
      </c>
      <c r="AH128" s="82" t="n">
        <f aca="false">SUM(AH126:AH127)</f>
        <v>0</v>
      </c>
      <c r="AI128" s="82" t="n">
        <f aca="false">SUM(AI126:AI127)</f>
        <v>0</v>
      </c>
      <c r="AJ128" s="82" t="n">
        <f aca="false">SUM(AJ126:AJ127)</f>
        <v>0</v>
      </c>
      <c r="AK128" s="82" t="n">
        <f aca="false">SUM(AK126:AK127)</f>
        <v>0</v>
      </c>
      <c r="AL128" s="82" t="n">
        <f aca="false">SUM(AL126:AL127)</f>
        <v>0</v>
      </c>
      <c r="AM128" s="82" t="n">
        <f aca="false">SUM(AM126:AM127)</f>
        <v>0</v>
      </c>
      <c r="AN128" s="82" t="n">
        <f aca="false">SUM(AN126:AN127)</f>
        <v>0</v>
      </c>
      <c r="AO128" s="82" t="n">
        <f aca="false">SUM(AO126:AO127)</f>
        <v>0</v>
      </c>
      <c r="AP128" s="82" t="n">
        <f aca="false">SUM(AP126:AP127)</f>
        <v>0</v>
      </c>
      <c r="AQ128" s="82" t="n">
        <f aca="false">SUM(AQ126:AQ127)</f>
        <v>0</v>
      </c>
      <c r="AR128" s="82" t="n">
        <f aca="false">SUM(AR126:AR127)</f>
        <v>0</v>
      </c>
      <c r="AS128" s="82" t="n">
        <f aca="false">SUM(AS126:AS127)</f>
        <v>0</v>
      </c>
      <c r="AT128" s="82" t="n">
        <f aca="false">SUM(AT126:AT127)</f>
        <v>0</v>
      </c>
      <c r="AU128" s="82" t="n">
        <f aca="false">SUM(AU126:AU127)</f>
        <v>0</v>
      </c>
      <c r="AV128" s="82" t="n">
        <f aca="false">SUM(AV126:AV127)</f>
        <v>0</v>
      </c>
      <c r="AW128" s="82" t="n">
        <f aca="false">SUM(AW126:AW127)</f>
        <v>0</v>
      </c>
      <c r="AX128" s="82" t="n">
        <f aca="false">SUM(AX126:AX127)</f>
        <v>0</v>
      </c>
      <c r="AY128" s="82" t="n">
        <f aca="false">SUM(AY126:AY127)</f>
        <v>0</v>
      </c>
      <c r="AZ128" s="82" t="n">
        <f aca="false">SUM(AZ126:AZ127)</f>
        <v>0</v>
      </c>
      <c r="BA128" s="82" t="n">
        <f aca="false">SUM(BA126:BA127)</f>
        <v>0</v>
      </c>
      <c r="BB128" s="82" t="n">
        <f aca="false">SUM(BB126:BB127)</f>
        <v>0</v>
      </c>
      <c r="BC128" s="82" t="n">
        <f aca="false">SUM(BC126:BC127)</f>
        <v>0</v>
      </c>
      <c r="BD128" s="82" t="n">
        <f aca="false">SUM(BD126:BD127)</f>
        <v>0</v>
      </c>
      <c r="BE128" s="82" t="n">
        <f aca="false">SUM(BE126:BE127)</f>
        <v>0</v>
      </c>
      <c r="BF128" s="82" t="n">
        <f aca="false">SUM(BF126:BF127)</f>
        <v>0</v>
      </c>
      <c r="BG128" s="82" t="n">
        <f aca="false">SUM(BG126:BG127)</f>
        <v>0</v>
      </c>
      <c r="BH128" s="82" t="n">
        <f aca="false">SUM(BH126:BH127)</f>
        <v>0</v>
      </c>
      <c r="BI128" s="82" t="n">
        <f aca="false">SUM(BI126:BI127)</f>
        <v>0</v>
      </c>
      <c r="BJ128" s="82" t="n">
        <f aca="false">SUM(BJ126:BJ127)</f>
        <v>0</v>
      </c>
      <c r="BK128" s="82" t="n">
        <f aca="false">SUM(BK126:BK127)</f>
        <v>0</v>
      </c>
      <c r="BL128" s="82" t="n">
        <f aca="false">SUM(BL126:BL127)</f>
        <v>0</v>
      </c>
      <c r="BM128" s="82" t="n">
        <f aca="false">SUM(BM126:BM127)</f>
        <v>0</v>
      </c>
      <c r="BN128" s="82" t="n">
        <f aca="false">SUM(BN126:BN127)</f>
        <v>0</v>
      </c>
      <c r="BO128" s="82" t="n">
        <f aca="false">SUM(BO126:BO127)</f>
        <v>0</v>
      </c>
      <c r="BP128" s="82" t="n">
        <f aca="false">SUM(BP126:BP127)</f>
        <v>0</v>
      </c>
      <c r="BQ128" s="82" t="n">
        <f aca="false">SUM(BQ126:BQ127)</f>
        <v>0</v>
      </c>
      <c r="BR128" s="82" t="n">
        <f aca="false">SUM(BR126:BR127)</f>
        <v>0</v>
      </c>
      <c r="BS128" s="82" t="n">
        <f aca="false">SUM(BS126:BS127)</f>
        <v>0</v>
      </c>
      <c r="BT128" s="82" t="n">
        <f aca="false">SUM(BT126:BT127)</f>
        <v>0</v>
      </c>
      <c r="BU128" s="82" t="n">
        <f aca="false">SUM(BU126:BU127)</f>
        <v>0</v>
      </c>
      <c r="BV128" s="82" t="n">
        <f aca="false">SUM(BV126:BV127)</f>
        <v>0</v>
      </c>
      <c r="BW128" s="82" t="n">
        <f aca="false">SUM(BW126:BW127)</f>
        <v>0</v>
      </c>
      <c r="BX128" s="82" t="n">
        <f aca="false">SUM(BX126:BX127)</f>
        <v>0</v>
      </c>
      <c r="BY128" s="82" t="n">
        <f aca="false">SUM(BY126:BY127)</f>
        <v>0</v>
      </c>
      <c r="BZ128" s="82" t="n">
        <f aca="false">SUM(BZ126:BZ127)</f>
        <v>0</v>
      </c>
      <c r="CA128" s="82" t="n">
        <f aca="false">SUM(CA126:CA127)</f>
        <v>0</v>
      </c>
      <c r="CC128" s="131" t="n">
        <f aca="false">SUM(CC126:CC127)</f>
        <v>0</v>
      </c>
      <c r="CD128" s="131" t="n">
        <f aca="false">SUM(CD126:CD127)</f>
        <v>0</v>
      </c>
      <c r="CE128" s="131" t="n">
        <f aca="false">SUM(CE126:CE127)</f>
        <v>0</v>
      </c>
      <c r="CF128" s="131" t="n">
        <f aca="false">SUM(CF126:CF127)</f>
        <v>0</v>
      </c>
      <c r="CG128" s="131" t="n">
        <f aca="false">SUM(CG126:CG127)</f>
        <v>0</v>
      </c>
      <c r="CI128" s="131" t="n">
        <f aca="false">CC128=L128</f>
        <v>1</v>
      </c>
      <c r="CJ128" s="131" t="n">
        <f aca="false">CD128=M128</f>
        <v>1</v>
      </c>
      <c r="CK128" s="131" t="n">
        <f aca="false">CE128=N128</f>
        <v>1</v>
      </c>
      <c r="CL128" s="131" t="n">
        <f aca="false">CF128=O128</f>
        <v>1</v>
      </c>
      <c r="CM128" s="131" t="n">
        <f aca="false">CG128=P128</f>
        <v>1</v>
      </c>
    </row>
    <row r="129" s="14" customFormat="true" ht="16.5" hidden="false" customHeight="true" outlineLevel="0" collapsed="false">
      <c r="E129" s="96"/>
      <c r="K129" s="35"/>
      <c r="L129" s="82"/>
      <c r="M129" s="82"/>
      <c r="N129" s="82"/>
      <c r="O129" s="82"/>
      <c r="P129" s="82"/>
      <c r="Q129" s="16"/>
      <c r="R129" s="16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  <c r="AG129" s="82"/>
      <c r="AH129" s="82"/>
      <c r="AI129" s="82"/>
      <c r="AJ129" s="82"/>
      <c r="AK129" s="82"/>
      <c r="AL129" s="82"/>
      <c r="AM129" s="82"/>
      <c r="AN129" s="82"/>
      <c r="AO129" s="82"/>
      <c r="AP129" s="82"/>
      <c r="AQ129" s="82"/>
      <c r="AR129" s="82"/>
      <c r="AS129" s="82"/>
      <c r="AT129" s="82"/>
      <c r="AU129" s="82"/>
      <c r="AV129" s="82"/>
      <c r="AW129" s="82"/>
      <c r="AX129" s="82"/>
      <c r="AY129" s="82"/>
      <c r="AZ129" s="82"/>
      <c r="BA129" s="82"/>
      <c r="BB129" s="82"/>
      <c r="BC129" s="82"/>
      <c r="BD129" s="82"/>
      <c r="BE129" s="82"/>
      <c r="BF129" s="82"/>
      <c r="BG129" s="82"/>
      <c r="BH129" s="82"/>
      <c r="BI129" s="82"/>
      <c r="BJ129" s="82"/>
      <c r="BK129" s="82"/>
      <c r="BL129" s="82"/>
      <c r="BM129" s="82"/>
      <c r="BN129" s="82"/>
      <c r="BO129" s="82"/>
      <c r="BP129" s="82"/>
      <c r="BQ129" s="82"/>
      <c r="BR129" s="82"/>
      <c r="BS129" s="82"/>
      <c r="BT129" s="82"/>
      <c r="BU129" s="82"/>
      <c r="BV129" s="82"/>
      <c r="BW129" s="82"/>
      <c r="BX129" s="82"/>
      <c r="BY129" s="82"/>
      <c r="BZ129" s="82"/>
      <c r="CA129" s="82"/>
    </row>
    <row r="130" s="14" customFormat="true" ht="16.5" hidden="false" customHeight="true" outlineLevel="0" collapsed="false">
      <c r="E130" s="109" t="s">
        <v>156</v>
      </c>
      <c r="F130" s="109"/>
      <c r="G130" s="109"/>
      <c r="H130" s="109"/>
      <c r="I130" s="132"/>
      <c r="J130" s="132"/>
      <c r="K130" s="224"/>
      <c r="L130" s="120" t="n">
        <f aca="false">L128</f>
        <v>0</v>
      </c>
      <c r="M130" s="120" t="n">
        <f aca="false">M128</f>
        <v>0</v>
      </c>
      <c r="N130" s="120" t="n">
        <f aca="false">N128</f>
        <v>0</v>
      </c>
      <c r="O130" s="120" t="n">
        <f aca="false">O128</f>
        <v>0</v>
      </c>
      <c r="P130" s="120" t="n">
        <f aca="false">P128</f>
        <v>0</v>
      </c>
      <c r="Q130" s="16"/>
      <c r="R130" s="16"/>
      <c r="T130" s="120" t="n">
        <f aca="false">T128</f>
        <v>0</v>
      </c>
      <c r="U130" s="120" t="n">
        <f aca="false">U128</f>
        <v>0</v>
      </c>
      <c r="V130" s="120" t="n">
        <f aca="false">V128</f>
        <v>0</v>
      </c>
      <c r="W130" s="120" t="n">
        <f aca="false">W128</f>
        <v>0</v>
      </c>
      <c r="X130" s="120" t="n">
        <f aca="false">X128</f>
        <v>0</v>
      </c>
      <c r="Y130" s="120" t="n">
        <f aca="false">Y128</f>
        <v>0</v>
      </c>
      <c r="Z130" s="120" t="n">
        <f aca="false">Z128</f>
        <v>0</v>
      </c>
      <c r="AA130" s="120" t="n">
        <f aca="false">AA128</f>
        <v>0</v>
      </c>
      <c r="AB130" s="120" t="n">
        <f aca="false">AB128</f>
        <v>0</v>
      </c>
      <c r="AC130" s="120" t="n">
        <f aca="false">AC128</f>
        <v>0</v>
      </c>
      <c r="AD130" s="120" t="n">
        <f aca="false">AD128</f>
        <v>0</v>
      </c>
      <c r="AE130" s="120" t="n">
        <f aca="false">AE128</f>
        <v>0</v>
      </c>
      <c r="AF130" s="120" t="n">
        <f aca="false">AF128</f>
        <v>0</v>
      </c>
      <c r="AG130" s="120" t="n">
        <f aca="false">AG128</f>
        <v>0</v>
      </c>
      <c r="AH130" s="120" t="n">
        <f aca="false">AH128</f>
        <v>0</v>
      </c>
      <c r="AI130" s="120" t="n">
        <f aca="false">AI128</f>
        <v>0</v>
      </c>
      <c r="AJ130" s="120" t="n">
        <f aca="false">AJ128</f>
        <v>0</v>
      </c>
      <c r="AK130" s="120" t="n">
        <f aca="false">AK128</f>
        <v>0</v>
      </c>
      <c r="AL130" s="120" t="n">
        <f aca="false">AL128</f>
        <v>0</v>
      </c>
      <c r="AM130" s="120" t="n">
        <f aca="false">AM128</f>
        <v>0</v>
      </c>
      <c r="AN130" s="120" t="n">
        <f aca="false">AN128</f>
        <v>0</v>
      </c>
      <c r="AO130" s="120" t="n">
        <f aca="false">AO128</f>
        <v>0</v>
      </c>
      <c r="AP130" s="120" t="n">
        <f aca="false">AP128</f>
        <v>0</v>
      </c>
      <c r="AQ130" s="120" t="n">
        <f aca="false">AQ128</f>
        <v>0</v>
      </c>
      <c r="AR130" s="120" t="n">
        <f aca="false">AR128</f>
        <v>0</v>
      </c>
      <c r="AS130" s="120" t="n">
        <f aca="false">AS128</f>
        <v>0</v>
      </c>
      <c r="AT130" s="120" t="n">
        <f aca="false">AT128</f>
        <v>0</v>
      </c>
      <c r="AU130" s="120" t="n">
        <f aca="false">AU128</f>
        <v>0</v>
      </c>
      <c r="AV130" s="120" t="n">
        <f aca="false">AV128</f>
        <v>0</v>
      </c>
      <c r="AW130" s="120" t="n">
        <f aca="false">AW128</f>
        <v>0</v>
      </c>
      <c r="AX130" s="120" t="n">
        <f aca="false">AX128</f>
        <v>0</v>
      </c>
      <c r="AY130" s="120" t="n">
        <f aca="false">AY128</f>
        <v>0</v>
      </c>
      <c r="AZ130" s="120" t="n">
        <f aca="false">AZ128</f>
        <v>0</v>
      </c>
      <c r="BA130" s="120" t="n">
        <f aca="false">BA128</f>
        <v>0</v>
      </c>
      <c r="BB130" s="120" t="n">
        <f aca="false">BB128</f>
        <v>0</v>
      </c>
      <c r="BC130" s="120" t="n">
        <f aca="false">BC128</f>
        <v>0</v>
      </c>
      <c r="BD130" s="120" t="n">
        <f aca="false">BD128</f>
        <v>0</v>
      </c>
      <c r="BE130" s="120" t="n">
        <f aca="false">BE128</f>
        <v>0</v>
      </c>
      <c r="BF130" s="120" t="n">
        <f aca="false">BF128</f>
        <v>0</v>
      </c>
      <c r="BG130" s="120" t="n">
        <f aca="false">BG128</f>
        <v>0</v>
      </c>
      <c r="BH130" s="120" t="n">
        <f aca="false">BH128</f>
        <v>0</v>
      </c>
      <c r="BI130" s="120" t="n">
        <f aca="false">BI128</f>
        <v>0</v>
      </c>
      <c r="BJ130" s="120" t="n">
        <f aca="false">BJ128</f>
        <v>0</v>
      </c>
      <c r="BK130" s="120" t="n">
        <f aca="false">BK128</f>
        <v>0</v>
      </c>
      <c r="BL130" s="120" t="n">
        <f aca="false">BL128</f>
        <v>0</v>
      </c>
      <c r="BM130" s="120" t="n">
        <f aca="false">BM128</f>
        <v>0</v>
      </c>
      <c r="BN130" s="120" t="n">
        <f aca="false">BN128</f>
        <v>0</v>
      </c>
      <c r="BO130" s="120" t="n">
        <f aca="false">BO128</f>
        <v>0</v>
      </c>
      <c r="BP130" s="120" t="n">
        <f aca="false">BP128</f>
        <v>0</v>
      </c>
      <c r="BQ130" s="120" t="n">
        <f aca="false">BQ128</f>
        <v>0</v>
      </c>
      <c r="BR130" s="120" t="n">
        <f aca="false">BR128</f>
        <v>0</v>
      </c>
      <c r="BS130" s="120" t="n">
        <f aca="false">BS128</f>
        <v>0</v>
      </c>
      <c r="BT130" s="120" t="n">
        <f aca="false">BT128</f>
        <v>0</v>
      </c>
      <c r="BU130" s="120" t="n">
        <f aca="false">BU128</f>
        <v>0</v>
      </c>
      <c r="BV130" s="120" t="n">
        <f aca="false">BV128</f>
        <v>0</v>
      </c>
      <c r="BW130" s="120" t="n">
        <f aca="false">BW128</f>
        <v>0</v>
      </c>
      <c r="BX130" s="120" t="n">
        <f aca="false">BX128</f>
        <v>0</v>
      </c>
      <c r="BY130" s="120" t="n">
        <f aca="false">BY128</f>
        <v>0</v>
      </c>
      <c r="BZ130" s="120" t="n">
        <f aca="false">BZ128</f>
        <v>0</v>
      </c>
      <c r="CA130" s="120" t="n">
        <f aca="false">CA128</f>
        <v>0</v>
      </c>
      <c r="CC130" s="132" t="n">
        <f aca="false">CC128</f>
        <v>0</v>
      </c>
      <c r="CD130" s="132" t="n">
        <f aca="false">CD128</f>
        <v>0</v>
      </c>
      <c r="CE130" s="132" t="n">
        <f aca="false">CE128</f>
        <v>0</v>
      </c>
      <c r="CF130" s="132" t="n">
        <f aca="false">CF128</f>
        <v>0</v>
      </c>
      <c r="CG130" s="132" t="n">
        <f aca="false">CG128</f>
        <v>0</v>
      </c>
      <c r="CI130" s="133" t="n">
        <f aca="false">CI128</f>
        <v>1</v>
      </c>
      <c r="CJ130" s="133" t="n">
        <f aca="false">CJ128</f>
        <v>1</v>
      </c>
      <c r="CK130" s="133" t="n">
        <f aca="false">CK128</f>
        <v>1</v>
      </c>
      <c r="CL130" s="133" t="n">
        <f aca="false">CL128</f>
        <v>1</v>
      </c>
      <c r="CM130" s="133" t="n">
        <f aca="false">CM128</f>
        <v>1</v>
      </c>
    </row>
    <row r="131" s="14" customFormat="true" ht="16.5" hidden="false" customHeight="true" outlineLevel="0" collapsed="false">
      <c r="K131" s="35"/>
    </row>
    <row r="132" s="14" customFormat="true" ht="16.5" hidden="false" customHeight="true" outlineLevel="0" collapsed="false">
      <c r="E132" s="85"/>
      <c r="K132" s="35"/>
      <c r="Q132" s="16"/>
      <c r="R132" s="16"/>
      <c r="T132" s="62" t="n">
        <v>2026</v>
      </c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62" t="n">
        <v>2027</v>
      </c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62" t="n">
        <v>2028</v>
      </c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62" t="n">
        <v>2029</v>
      </c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62" t="n">
        <v>2030</v>
      </c>
      <c r="BQ132" s="130"/>
      <c r="BR132" s="130"/>
      <c r="BS132" s="130"/>
      <c r="BT132" s="130"/>
      <c r="BU132" s="130"/>
      <c r="BV132" s="130"/>
      <c r="BW132" s="130"/>
      <c r="BX132" s="130"/>
      <c r="BY132" s="130"/>
      <c r="BZ132" s="130"/>
      <c r="CA132" s="130"/>
    </row>
    <row r="133" s="14" customFormat="true" ht="16.5" hidden="false" customHeight="true" outlineLevel="0" collapsed="false">
      <c r="D133" s="30" t="s">
        <v>157</v>
      </c>
      <c r="E133" s="31"/>
      <c r="F133" s="31"/>
      <c r="G133" s="31"/>
      <c r="H133" s="31"/>
      <c r="I133" s="31"/>
      <c r="J133" s="31"/>
      <c r="K133" s="30" t="s">
        <v>130</v>
      </c>
      <c r="L133" s="31" t="n">
        <v>2026</v>
      </c>
      <c r="M133" s="31" t="n">
        <f aca="false">L133+1</f>
        <v>2027</v>
      </c>
      <c r="N133" s="31" t="n">
        <f aca="false">M133+1</f>
        <v>2028</v>
      </c>
      <c r="O133" s="31" t="n">
        <f aca="false">N133+1</f>
        <v>2029</v>
      </c>
      <c r="P133" s="31" t="n">
        <f aca="false">O133+1</f>
        <v>2030</v>
      </c>
      <c r="Q133" s="16"/>
      <c r="R133" s="16"/>
      <c r="T133" s="59" t="n">
        <v>46023</v>
      </c>
      <c r="U133" s="60" t="n">
        <f aca="false">EOMONTH(T133, 1)</f>
        <v>46081</v>
      </c>
      <c r="V133" s="60" t="n">
        <f aca="false">EOMONTH(U133, 1)</f>
        <v>46112</v>
      </c>
      <c r="W133" s="60" t="n">
        <f aca="false">EOMONTH(V133, 1)</f>
        <v>46142</v>
      </c>
      <c r="X133" s="60" t="n">
        <f aca="false">EOMONTH(W133, 1)</f>
        <v>46173</v>
      </c>
      <c r="Y133" s="60" t="n">
        <f aca="false">EOMONTH(X133, 1)</f>
        <v>46203</v>
      </c>
      <c r="Z133" s="60" t="n">
        <f aca="false">EOMONTH(Y133, 1)</f>
        <v>46234</v>
      </c>
      <c r="AA133" s="60" t="n">
        <f aca="false">EOMONTH(Z133, 1)</f>
        <v>46265</v>
      </c>
      <c r="AB133" s="60" t="n">
        <f aca="false">EOMONTH(AA133, 1)</f>
        <v>46295</v>
      </c>
      <c r="AC133" s="60" t="n">
        <f aca="false">EOMONTH(AB133, 1)</f>
        <v>46326</v>
      </c>
      <c r="AD133" s="60" t="n">
        <f aca="false">EOMONTH(AC133, 1)</f>
        <v>46356</v>
      </c>
      <c r="AE133" s="61" t="n">
        <f aca="false">EOMONTH(AD133, 1)</f>
        <v>46387</v>
      </c>
      <c r="AF133" s="59" t="n">
        <f aca="false">EOMONTH(AE133, 1)</f>
        <v>46418</v>
      </c>
      <c r="AG133" s="60" t="n">
        <f aca="false">EOMONTH(AF133, 1)</f>
        <v>46446</v>
      </c>
      <c r="AH133" s="60" t="n">
        <f aca="false">EOMONTH(AG133, 1)</f>
        <v>46477</v>
      </c>
      <c r="AI133" s="60" t="n">
        <f aca="false">EOMONTH(AH133, 1)</f>
        <v>46507</v>
      </c>
      <c r="AJ133" s="60" t="n">
        <f aca="false">EOMONTH(AI133, 1)</f>
        <v>46538</v>
      </c>
      <c r="AK133" s="60" t="n">
        <f aca="false">EOMONTH(AJ133, 1)</f>
        <v>46568</v>
      </c>
      <c r="AL133" s="60" t="n">
        <f aca="false">EOMONTH(AK133, 1)</f>
        <v>46599</v>
      </c>
      <c r="AM133" s="60" t="n">
        <f aca="false">EOMONTH(AL133, 1)</f>
        <v>46630</v>
      </c>
      <c r="AN133" s="60" t="n">
        <f aca="false">EOMONTH(AM133, 1)</f>
        <v>46660</v>
      </c>
      <c r="AO133" s="60" t="n">
        <f aca="false">EOMONTH(AN133, 1)</f>
        <v>46691</v>
      </c>
      <c r="AP133" s="60" t="n">
        <f aca="false">EOMONTH(AO133, 1)</f>
        <v>46721</v>
      </c>
      <c r="AQ133" s="61" t="n">
        <f aca="false">EOMONTH(AP133, 1)</f>
        <v>46752</v>
      </c>
      <c r="AR133" s="59" t="n">
        <f aca="false">EOMONTH(AQ133, 1)</f>
        <v>46783</v>
      </c>
      <c r="AS133" s="60" t="n">
        <f aca="false">EOMONTH(AR133, 1)</f>
        <v>46812</v>
      </c>
      <c r="AT133" s="60" t="n">
        <f aca="false">EOMONTH(AS133, 1)</f>
        <v>46843</v>
      </c>
      <c r="AU133" s="60" t="n">
        <f aca="false">EOMONTH(AT133, 1)</f>
        <v>46873</v>
      </c>
      <c r="AV133" s="60" t="n">
        <f aca="false">EOMONTH(AU133, 1)</f>
        <v>46904</v>
      </c>
      <c r="AW133" s="60" t="n">
        <f aca="false">EOMONTH(AV133, 1)</f>
        <v>46934</v>
      </c>
      <c r="AX133" s="60" t="n">
        <f aca="false">EOMONTH(AW133, 1)</f>
        <v>46965</v>
      </c>
      <c r="AY133" s="60" t="n">
        <f aca="false">EOMONTH(AX133, 1)</f>
        <v>46996</v>
      </c>
      <c r="AZ133" s="60" t="n">
        <f aca="false">EOMONTH(AY133, 1)</f>
        <v>47026</v>
      </c>
      <c r="BA133" s="60" t="n">
        <f aca="false">EOMONTH(AZ133, 1)</f>
        <v>47057</v>
      </c>
      <c r="BB133" s="60" t="n">
        <f aca="false">EOMONTH(BA133, 1)</f>
        <v>47087</v>
      </c>
      <c r="BC133" s="61" t="n">
        <f aca="false">EOMONTH(BB133, 1)</f>
        <v>47118</v>
      </c>
      <c r="BD133" s="59" t="n">
        <f aca="false">EOMONTH(BC133, 1)</f>
        <v>47149</v>
      </c>
      <c r="BE133" s="60" t="n">
        <f aca="false">EOMONTH(BD133, 1)</f>
        <v>47177</v>
      </c>
      <c r="BF133" s="60" t="n">
        <f aca="false">EOMONTH(BE133, 1)</f>
        <v>47208</v>
      </c>
      <c r="BG133" s="60" t="n">
        <f aca="false">EOMONTH(BF133, 1)</f>
        <v>47238</v>
      </c>
      <c r="BH133" s="60" t="n">
        <f aca="false">EOMONTH(BG133, 1)</f>
        <v>47269</v>
      </c>
      <c r="BI133" s="60" t="n">
        <f aca="false">EOMONTH(BH133, 1)</f>
        <v>47299</v>
      </c>
      <c r="BJ133" s="60" t="n">
        <f aca="false">EOMONTH(BI133, 1)</f>
        <v>47330</v>
      </c>
      <c r="BK133" s="60" t="n">
        <f aca="false">EOMONTH(BJ133, 1)</f>
        <v>47361</v>
      </c>
      <c r="BL133" s="60" t="n">
        <f aca="false">EOMONTH(BK133, 1)</f>
        <v>47391</v>
      </c>
      <c r="BM133" s="60" t="n">
        <f aca="false">EOMONTH(BL133, 1)</f>
        <v>47422</v>
      </c>
      <c r="BN133" s="60" t="n">
        <f aca="false">EOMONTH(BM133, 1)</f>
        <v>47452</v>
      </c>
      <c r="BO133" s="61" t="n">
        <f aca="false">EOMONTH(BN133, 1)</f>
        <v>47483</v>
      </c>
      <c r="BP133" s="59" t="n">
        <f aca="false">EOMONTH(BO133, 1)</f>
        <v>47514</v>
      </c>
      <c r="BQ133" s="60" t="n">
        <f aca="false">EOMONTH(BP133, 1)</f>
        <v>47542</v>
      </c>
      <c r="BR133" s="60" t="n">
        <f aca="false">EOMONTH(BQ133, 1)</f>
        <v>47573</v>
      </c>
      <c r="BS133" s="60" t="n">
        <f aca="false">EOMONTH(BR133, 1)</f>
        <v>47603</v>
      </c>
      <c r="BT133" s="60" t="n">
        <f aca="false">EOMONTH(BS133, 1)</f>
        <v>47634</v>
      </c>
      <c r="BU133" s="60" t="n">
        <f aca="false">EOMONTH(BT133, 1)</f>
        <v>47664</v>
      </c>
      <c r="BV133" s="60" t="n">
        <f aca="false">EOMONTH(BU133, 1)</f>
        <v>47695</v>
      </c>
      <c r="BW133" s="60" t="n">
        <f aca="false">EOMONTH(BV133, 1)</f>
        <v>47726</v>
      </c>
      <c r="BX133" s="60" t="n">
        <f aca="false">EOMONTH(BW133, 1)</f>
        <v>47756</v>
      </c>
      <c r="BY133" s="60" t="n">
        <f aca="false">EOMONTH(BX133, 1)</f>
        <v>47787</v>
      </c>
      <c r="BZ133" s="60" t="n">
        <f aca="false">EOMONTH(BY133, 1)</f>
        <v>47817</v>
      </c>
      <c r="CA133" s="60" t="n">
        <f aca="false">EOMONTH(BZ133, 1)</f>
        <v>47848</v>
      </c>
      <c r="CC133" s="62" t="n">
        <v>2026</v>
      </c>
      <c r="CD133" s="62" t="n">
        <f aca="false">CC133+1</f>
        <v>2027</v>
      </c>
      <c r="CE133" s="62" t="n">
        <f aca="false">CD133+1</f>
        <v>2028</v>
      </c>
      <c r="CF133" s="62" t="n">
        <f aca="false">CE133+1</f>
        <v>2029</v>
      </c>
      <c r="CG133" s="62" t="n">
        <f aca="false">CF133+1</f>
        <v>2030</v>
      </c>
      <c r="CI133" s="62" t="n">
        <v>2026</v>
      </c>
      <c r="CJ133" s="62" t="n">
        <f aca="false">CI133+1</f>
        <v>2027</v>
      </c>
      <c r="CK133" s="62" t="n">
        <f aca="false">CJ133+1</f>
        <v>2028</v>
      </c>
      <c r="CL133" s="62" t="n">
        <f aca="false">CK133+1</f>
        <v>2029</v>
      </c>
      <c r="CM133" s="62" t="n">
        <f aca="false">CL133+1</f>
        <v>2030</v>
      </c>
    </row>
    <row r="134" s="14" customFormat="true" ht="16.5" hidden="false" customHeight="true" outlineLevel="0" collapsed="false">
      <c r="F134" s="21"/>
      <c r="G134" s="21"/>
      <c r="Q134" s="16"/>
      <c r="R134" s="16"/>
    </row>
    <row r="135" s="14" customFormat="true" ht="16.5" hidden="false" customHeight="true" outlineLevel="0" collapsed="false">
      <c r="E135" s="21" t="s">
        <v>158</v>
      </c>
      <c r="Q135" s="16"/>
      <c r="R135" s="16"/>
    </row>
    <row r="136" s="14" customFormat="true" ht="16.5" hidden="false" customHeight="true" outlineLevel="0" collapsed="false">
      <c r="D136" s="134"/>
      <c r="E136" s="91" t="s">
        <v>377</v>
      </c>
      <c r="L136" s="213" t="n">
        <f aca="false">'SVC-2 Model'!L95</f>
        <v>0</v>
      </c>
      <c r="M136" s="213" t="n">
        <f aca="false">'SVC-2 Model'!M95</f>
        <v>0</v>
      </c>
      <c r="N136" s="213" t="n">
        <f aca="false">'SVC-2 Model'!N95</f>
        <v>0</v>
      </c>
      <c r="O136" s="213" t="n">
        <f aca="false">'SVC-2 Model'!O95</f>
        <v>0</v>
      </c>
      <c r="P136" s="213" t="n">
        <f aca="false">'SVC-2 Model'!P95</f>
        <v>0</v>
      </c>
      <c r="Q136" s="93" t="s">
        <v>266</v>
      </c>
      <c r="R136" s="16"/>
      <c r="T136" s="225" t="n">
        <f aca="false">'SVC-2 Model'!T95</f>
        <v>0</v>
      </c>
      <c r="U136" s="225" t="n">
        <f aca="false">'SVC-2 Model'!U95</f>
        <v>0</v>
      </c>
      <c r="V136" s="225" t="n">
        <f aca="false">'SVC-2 Model'!V95</f>
        <v>0</v>
      </c>
      <c r="W136" s="225" t="n">
        <f aca="false">'SVC-2 Model'!W95</f>
        <v>0</v>
      </c>
      <c r="X136" s="225" t="n">
        <f aca="false">'SVC-2 Model'!X95</f>
        <v>0</v>
      </c>
      <c r="Y136" s="225" t="n">
        <f aca="false">'SVC-2 Model'!Y95</f>
        <v>0</v>
      </c>
      <c r="Z136" s="225" t="n">
        <f aca="false">'SVC-2 Model'!Z95</f>
        <v>0</v>
      </c>
      <c r="AA136" s="225" t="n">
        <f aca="false">'SVC-2 Model'!AA95</f>
        <v>0</v>
      </c>
      <c r="AB136" s="225" t="n">
        <f aca="false">'SVC-2 Model'!AB95</f>
        <v>0</v>
      </c>
      <c r="AC136" s="225" t="n">
        <f aca="false">'SVC-2 Model'!AC95</f>
        <v>0</v>
      </c>
      <c r="AD136" s="225" t="n">
        <f aca="false">'SVC-2 Model'!AD95</f>
        <v>0</v>
      </c>
      <c r="AE136" s="225" t="n">
        <f aca="false">'SVC-2 Model'!AE95</f>
        <v>0</v>
      </c>
      <c r="AF136" s="225" t="n">
        <f aca="false">'SVC-2 Model'!AF95</f>
        <v>0</v>
      </c>
      <c r="AG136" s="225" t="n">
        <f aca="false">'SVC-2 Model'!AG95</f>
        <v>0</v>
      </c>
      <c r="AH136" s="225" t="n">
        <f aca="false">'SVC-2 Model'!AH95</f>
        <v>0</v>
      </c>
      <c r="AI136" s="225" t="n">
        <f aca="false">'SVC-2 Model'!AI95</f>
        <v>0</v>
      </c>
      <c r="AJ136" s="225" t="n">
        <f aca="false">'SVC-2 Model'!AJ95</f>
        <v>0</v>
      </c>
      <c r="AK136" s="225" t="n">
        <f aca="false">'SVC-2 Model'!AK95</f>
        <v>0</v>
      </c>
      <c r="AL136" s="225" t="n">
        <f aca="false">'SVC-2 Model'!AL95</f>
        <v>0</v>
      </c>
      <c r="AM136" s="225" t="n">
        <f aca="false">'SVC-2 Model'!AM95</f>
        <v>0</v>
      </c>
      <c r="AN136" s="225" t="n">
        <f aca="false">'SVC-2 Model'!AN95</f>
        <v>0</v>
      </c>
      <c r="AO136" s="225" t="n">
        <f aca="false">'SVC-2 Model'!AO95</f>
        <v>0</v>
      </c>
      <c r="AP136" s="225" t="n">
        <f aca="false">'SVC-2 Model'!AP95</f>
        <v>0</v>
      </c>
      <c r="AQ136" s="225" t="n">
        <f aca="false">'SVC-2 Model'!AQ95</f>
        <v>0</v>
      </c>
      <c r="AR136" s="225" t="n">
        <f aca="false">'SVC-2 Model'!AR95</f>
        <v>0</v>
      </c>
      <c r="AS136" s="225" t="n">
        <f aca="false">'SVC-2 Model'!AS95</f>
        <v>0</v>
      </c>
      <c r="AT136" s="225" t="n">
        <f aca="false">'SVC-2 Model'!AT95</f>
        <v>0</v>
      </c>
      <c r="AU136" s="225" t="n">
        <f aca="false">'SVC-2 Model'!AU95</f>
        <v>0</v>
      </c>
      <c r="AV136" s="225" t="n">
        <f aca="false">'SVC-2 Model'!AV95</f>
        <v>0</v>
      </c>
      <c r="AW136" s="225" t="n">
        <f aca="false">'SVC-2 Model'!AW95</f>
        <v>0</v>
      </c>
      <c r="AX136" s="225" t="n">
        <f aca="false">'SVC-2 Model'!AX95</f>
        <v>0</v>
      </c>
      <c r="AY136" s="225" t="n">
        <f aca="false">'SVC-2 Model'!AY95</f>
        <v>0</v>
      </c>
      <c r="AZ136" s="225" t="n">
        <f aca="false">'SVC-2 Model'!AZ95</f>
        <v>0</v>
      </c>
      <c r="BA136" s="225" t="n">
        <f aca="false">'SVC-2 Model'!BA95</f>
        <v>0</v>
      </c>
      <c r="BB136" s="225" t="n">
        <f aca="false">'SVC-2 Model'!BB95</f>
        <v>0</v>
      </c>
      <c r="BC136" s="225" t="n">
        <f aca="false">'SVC-2 Model'!BC95</f>
        <v>0</v>
      </c>
      <c r="BD136" s="225" t="n">
        <f aca="false">'SVC-2 Model'!BD95</f>
        <v>0</v>
      </c>
      <c r="BE136" s="225" t="n">
        <f aca="false">'SVC-2 Model'!BE95</f>
        <v>0</v>
      </c>
      <c r="BF136" s="225" t="n">
        <f aca="false">'SVC-2 Model'!BF95</f>
        <v>0</v>
      </c>
      <c r="BG136" s="225" t="n">
        <f aca="false">'SVC-2 Model'!BG95</f>
        <v>0</v>
      </c>
      <c r="BH136" s="225" t="n">
        <f aca="false">'SVC-2 Model'!BH95</f>
        <v>0</v>
      </c>
      <c r="BI136" s="225" t="n">
        <f aca="false">'SVC-2 Model'!BI95</f>
        <v>0</v>
      </c>
      <c r="BJ136" s="225" t="n">
        <f aca="false">'SVC-2 Model'!BJ95</f>
        <v>0</v>
      </c>
      <c r="BK136" s="225" t="n">
        <f aca="false">'SVC-2 Model'!BK95</f>
        <v>0</v>
      </c>
      <c r="BL136" s="225" t="n">
        <f aca="false">'SVC-2 Model'!BL95</f>
        <v>0</v>
      </c>
      <c r="BM136" s="225" t="n">
        <f aca="false">'SVC-2 Model'!BM95</f>
        <v>0</v>
      </c>
      <c r="BN136" s="225" t="n">
        <f aca="false">'SVC-2 Model'!BN95</f>
        <v>0</v>
      </c>
      <c r="BO136" s="225" t="n">
        <f aca="false">'SVC-2 Model'!BO95</f>
        <v>0</v>
      </c>
      <c r="BP136" s="225" t="n">
        <f aca="false">'SVC-2 Model'!BP95</f>
        <v>0</v>
      </c>
      <c r="BQ136" s="225" t="n">
        <f aca="false">'SVC-2 Model'!BQ95</f>
        <v>0</v>
      </c>
      <c r="BR136" s="225" t="n">
        <f aca="false">'SVC-2 Model'!BR95</f>
        <v>0</v>
      </c>
      <c r="BS136" s="225" t="n">
        <f aca="false">'SVC-2 Model'!BS95</f>
        <v>0</v>
      </c>
      <c r="BT136" s="225" t="n">
        <f aca="false">'SVC-2 Model'!BT95</f>
        <v>0</v>
      </c>
      <c r="BU136" s="225" t="n">
        <f aca="false">'SVC-2 Model'!BU95</f>
        <v>0</v>
      </c>
      <c r="BV136" s="225" t="n">
        <f aca="false">'SVC-2 Model'!BV95</f>
        <v>0</v>
      </c>
      <c r="BW136" s="225" t="n">
        <f aca="false">'SVC-2 Model'!BW95</f>
        <v>0</v>
      </c>
      <c r="BX136" s="225" t="n">
        <f aca="false">'SVC-2 Model'!BX95</f>
        <v>0</v>
      </c>
      <c r="BY136" s="225" t="n">
        <f aca="false">'SVC-2 Model'!BY95</f>
        <v>0</v>
      </c>
      <c r="BZ136" s="226" t="n">
        <f aca="false">'SVC-2 Model'!BZ95</f>
        <v>0</v>
      </c>
      <c r="CA136" s="226" t="n">
        <f aca="false">'SVC-2 Model'!CA95</f>
        <v>0</v>
      </c>
      <c r="CC136" s="79" t="n">
        <f aca="false">SUMIFS($T136:$CA136, $T$1:$CA$1, CC$63)</f>
        <v>0</v>
      </c>
      <c r="CD136" s="79" t="n">
        <f aca="false">SUMIFS($T136:$CA136, $T$1:$CA$1, CD$63)</f>
        <v>0</v>
      </c>
      <c r="CE136" s="79" t="n">
        <f aca="false">SUMIFS($T136:$CA136, $T$1:$CA$1, CE$63)</f>
        <v>0</v>
      </c>
      <c r="CF136" s="79" t="n">
        <f aca="false">SUMIFS($T136:$CA136, $T$1:$CA$1, CF$63)</f>
        <v>0</v>
      </c>
      <c r="CG136" s="79" t="n">
        <f aca="false">SUMIFS($T136:$CA136, $T$1:$CA$1, CG$63)</f>
        <v>0</v>
      </c>
      <c r="CI136" s="79" t="n">
        <f aca="false">CC136=L136</f>
        <v>1</v>
      </c>
      <c r="CJ136" s="79" t="n">
        <f aca="false">CD136=M136</f>
        <v>1</v>
      </c>
      <c r="CK136" s="79" t="n">
        <f aca="false">CE136=N136</f>
        <v>1</v>
      </c>
      <c r="CL136" s="79" t="n">
        <f aca="false">CF136=O136</f>
        <v>1</v>
      </c>
      <c r="CM136" s="79" t="n">
        <f aca="false">CG136=P136</f>
        <v>1</v>
      </c>
    </row>
    <row r="137" s="14" customFormat="true" ht="16.5" hidden="false" customHeight="true" outlineLevel="0" collapsed="false">
      <c r="D137" s="134"/>
      <c r="E137" s="91" t="s">
        <v>378</v>
      </c>
      <c r="L137" s="213" t="n">
        <f aca="false">'SVC-2 Model'!L96</f>
        <v>0</v>
      </c>
      <c r="M137" s="213" t="n">
        <f aca="false">'SVC-2 Model'!M96</f>
        <v>0</v>
      </c>
      <c r="N137" s="213" t="n">
        <f aca="false">'SVC-2 Model'!N96</f>
        <v>0</v>
      </c>
      <c r="O137" s="213" t="n">
        <f aca="false">'SVC-2 Model'!O96</f>
        <v>0</v>
      </c>
      <c r="P137" s="213" t="n">
        <f aca="false">'SVC-2 Model'!P96</f>
        <v>0</v>
      </c>
      <c r="Q137" s="93" t="s">
        <v>266</v>
      </c>
      <c r="R137" s="16"/>
      <c r="T137" s="225" t="n">
        <f aca="false">'SVC-2 Model'!T96</f>
        <v>0</v>
      </c>
      <c r="U137" s="225" t="n">
        <f aca="false">'SVC-2 Model'!U96</f>
        <v>0</v>
      </c>
      <c r="V137" s="225" t="n">
        <f aca="false">'SVC-2 Model'!V96</f>
        <v>0</v>
      </c>
      <c r="W137" s="225" t="n">
        <f aca="false">'SVC-2 Model'!W96</f>
        <v>0</v>
      </c>
      <c r="X137" s="225" t="n">
        <f aca="false">'SVC-2 Model'!X96</f>
        <v>0</v>
      </c>
      <c r="Y137" s="225" t="n">
        <f aca="false">'SVC-2 Model'!Y96</f>
        <v>0</v>
      </c>
      <c r="Z137" s="225" t="n">
        <f aca="false">'SVC-2 Model'!Z96</f>
        <v>0</v>
      </c>
      <c r="AA137" s="225" t="n">
        <f aca="false">'SVC-2 Model'!AA96</f>
        <v>0</v>
      </c>
      <c r="AB137" s="225" t="n">
        <f aca="false">'SVC-2 Model'!AB96</f>
        <v>0</v>
      </c>
      <c r="AC137" s="225" t="n">
        <f aca="false">'SVC-2 Model'!AC96</f>
        <v>0</v>
      </c>
      <c r="AD137" s="225" t="n">
        <f aca="false">'SVC-2 Model'!AD96</f>
        <v>0</v>
      </c>
      <c r="AE137" s="225" t="n">
        <f aca="false">'SVC-2 Model'!AE96</f>
        <v>0</v>
      </c>
      <c r="AF137" s="225" t="n">
        <f aca="false">'SVC-2 Model'!AF96</f>
        <v>0</v>
      </c>
      <c r="AG137" s="225" t="n">
        <f aca="false">'SVC-2 Model'!AG96</f>
        <v>0</v>
      </c>
      <c r="AH137" s="225" t="n">
        <f aca="false">'SVC-2 Model'!AH96</f>
        <v>0</v>
      </c>
      <c r="AI137" s="225" t="n">
        <f aca="false">'SVC-2 Model'!AI96</f>
        <v>0</v>
      </c>
      <c r="AJ137" s="225" t="n">
        <f aca="false">'SVC-2 Model'!AJ96</f>
        <v>0</v>
      </c>
      <c r="AK137" s="225" t="n">
        <f aca="false">'SVC-2 Model'!AK96</f>
        <v>0</v>
      </c>
      <c r="AL137" s="225" t="n">
        <f aca="false">'SVC-2 Model'!AL96</f>
        <v>0</v>
      </c>
      <c r="AM137" s="225" t="n">
        <f aca="false">'SVC-2 Model'!AM96</f>
        <v>0</v>
      </c>
      <c r="AN137" s="225" t="n">
        <f aca="false">'SVC-2 Model'!AN96</f>
        <v>0</v>
      </c>
      <c r="AO137" s="225" t="n">
        <f aca="false">'SVC-2 Model'!AO96</f>
        <v>0</v>
      </c>
      <c r="AP137" s="225" t="n">
        <f aca="false">'SVC-2 Model'!AP96</f>
        <v>0</v>
      </c>
      <c r="AQ137" s="225" t="n">
        <f aca="false">'SVC-2 Model'!AQ96</f>
        <v>0</v>
      </c>
      <c r="AR137" s="225" t="n">
        <f aca="false">'SVC-2 Model'!AR96</f>
        <v>0</v>
      </c>
      <c r="AS137" s="225" t="n">
        <f aca="false">'SVC-2 Model'!AS96</f>
        <v>0</v>
      </c>
      <c r="AT137" s="225" t="n">
        <f aca="false">'SVC-2 Model'!AT96</f>
        <v>0</v>
      </c>
      <c r="AU137" s="225" t="n">
        <f aca="false">'SVC-2 Model'!AU96</f>
        <v>0</v>
      </c>
      <c r="AV137" s="225" t="n">
        <f aca="false">'SVC-2 Model'!AV96</f>
        <v>0</v>
      </c>
      <c r="AW137" s="225" t="n">
        <f aca="false">'SVC-2 Model'!AW96</f>
        <v>0</v>
      </c>
      <c r="AX137" s="225" t="n">
        <f aca="false">'SVC-2 Model'!AX96</f>
        <v>0</v>
      </c>
      <c r="AY137" s="225" t="n">
        <f aca="false">'SVC-2 Model'!AY96</f>
        <v>0</v>
      </c>
      <c r="AZ137" s="225" t="n">
        <f aca="false">'SVC-2 Model'!AZ96</f>
        <v>0</v>
      </c>
      <c r="BA137" s="225" t="n">
        <f aca="false">'SVC-2 Model'!BA96</f>
        <v>0</v>
      </c>
      <c r="BB137" s="225" t="n">
        <f aca="false">'SVC-2 Model'!BB96</f>
        <v>0</v>
      </c>
      <c r="BC137" s="225" t="n">
        <f aca="false">'SVC-2 Model'!BC96</f>
        <v>0</v>
      </c>
      <c r="BD137" s="225" t="n">
        <f aca="false">'SVC-2 Model'!BD96</f>
        <v>0</v>
      </c>
      <c r="BE137" s="225" t="n">
        <f aca="false">'SVC-2 Model'!BE96</f>
        <v>0</v>
      </c>
      <c r="BF137" s="225" t="n">
        <f aca="false">'SVC-2 Model'!BF96</f>
        <v>0</v>
      </c>
      <c r="BG137" s="225" t="n">
        <f aca="false">'SVC-2 Model'!BG96</f>
        <v>0</v>
      </c>
      <c r="BH137" s="225" t="n">
        <f aca="false">'SVC-2 Model'!BH96</f>
        <v>0</v>
      </c>
      <c r="BI137" s="225" t="n">
        <f aca="false">'SVC-2 Model'!BI96</f>
        <v>0</v>
      </c>
      <c r="BJ137" s="225" t="n">
        <f aca="false">'SVC-2 Model'!BJ96</f>
        <v>0</v>
      </c>
      <c r="BK137" s="225" t="n">
        <f aca="false">'SVC-2 Model'!BK96</f>
        <v>0</v>
      </c>
      <c r="BL137" s="225" t="n">
        <f aca="false">'SVC-2 Model'!BL96</f>
        <v>0</v>
      </c>
      <c r="BM137" s="225" t="n">
        <f aca="false">'SVC-2 Model'!BM96</f>
        <v>0</v>
      </c>
      <c r="BN137" s="225" t="n">
        <f aca="false">'SVC-2 Model'!BN96</f>
        <v>0</v>
      </c>
      <c r="BO137" s="225" t="n">
        <f aca="false">'SVC-2 Model'!BO96</f>
        <v>0</v>
      </c>
      <c r="BP137" s="225" t="n">
        <f aca="false">'SVC-2 Model'!BP96</f>
        <v>0</v>
      </c>
      <c r="BQ137" s="225" t="n">
        <f aca="false">'SVC-2 Model'!BQ96</f>
        <v>0</v>
      </c>
      <c r="BR137" s="225" t="n">
        <f aca="false">'SVC-2 Model'!BR96</f>
        <v>0</v>
      </c>
      <c r="BS137" s="225" t="n">
        <f aca="false">'SVC-2 Model'!BS96</f>
        <v>0</v>
      </c>
      <c r="BT137" s="225" t="n">
        <f aca="false">'SVC-2 Model'!BT96</f>
        <v>0</v>
      </c>
      <c r="BU137" s="225" t="n">
        <f aca="false">'SVC-2 Model'!BU96</f>
        <v>0</v>
      </c>
      <c r="BV137" s="225" t="n">
        <f aca="false">'SVC-2 Model'!BV96</f>
        <v>0</v>
      </c>
      <c r="BW137" s="225" t="n">
        <f aca="false">'SVC-2 Model'!BW96</f>
        <v>0</v>
      </c>
      <c r="BX137" s="225" t="n">
        <f aca="false">'SVC-2 Model'!BX96</f>
        <v>0</v>
      </c>
      <c r="BY137" s="225" t="n">
        <f aca="false">'SVC-2 Model'!BY96</f>
        <v>0</v>
      </c>
      <c r="BZ137" s="226" t="n">
        <f aca="false">'SVC-2 Model'!BZ96</f>
        <v>0</v>
      </c>
      <c r="CA137" s="226" t="n">
        <f aca="false">'SVC-2 Model'!CA96</f>
        <v>0</v>
      </c>
      <c r="CC137" s="79" t="n">
        <f aca="false">SUMIFS($T137:$CA137, $T$1:$CA$1, CC$63)</f>
        <v>0</v>
      </c>
      <c r="CD137" s="79" t="n">
        <f aca="false">SUMIFS($T137:$CA137, $T$1:$CA$1, CD$63)</f>
        <v>0</v>
      </c>
      <c r="CE137" s="79" t="n">
        <f aca="false">SUMIFS($T137:$CA137, $T$1:$CA$1, CE$63)</f>
        <v>0</v>
      </c>
      <c r="CF137" s="79" t="n">
        <f aca="false">SUMIFS($T137:$CA137, $T$1:$CA$1, CF$63)</f>
        <v>0</v>
      </c>
      <c r="CG137" s="79" t="n">
        <f aca="false">SUMIFS($T137:$CA137, $T$1:$CA$1, CG$63)</f>
        <v>0</v>
      </c>
      <c r="CI137" s="79" t="n">
        <f aca="false">CC137=L137</f>
        <v>1</v>
      </c>
      <c r="CJ137" s="79" t="n">
        <f aca="false">CD137=M137</f>
        <v>1</v>
      </c>
      <c r="CK137" s="79" t="n">
        <f aca="false">CE137=N137</f>
        <v>1</v>
      </c>
      <c r="CL137" s="79" t="n">
        <f aca="false">CF137=O137</f>
        <v>1</v>
      </c>
      <c r="CM137" s="79" t="n">
        <f aca="false">CG137=P137</f>
        <v>1</v>
      </c>
    </row>
    <row r="138" s="14" customFormat="true" ht="16.5" hidden="false" customHeight="true" outlineLevel="0" collapsed="false">
      <c r="E138" s="96" t="s">
        <v>160</v>
      </c>
      <c r="L138" s="82" t="n">
        <f aca="false">SUM(L136:L137)</f>
        <v>0</v>
      </c>
      <c r="M138" s="82" t="n">
        <f aca="false">SUM(M136:M137)</f>
        <v>0</v>
      </c>
      <c r="N138" s="82" t="n">
        <f aca="false">SUM(N136:N137)</f>
        <v>0</v>
      </c>
      <c r="O138" s="82" t="n">
        <f aca="false">SUM(O136:O137)</f>
        <v>0</v>
      </c>
      <c r="P138" s="82" t="n">
        <f aca="false">SUM(P136:P137)</f>
        <v>0</v>
      </c>
      <c r="Q138" s="16"/>
      <c r="R138" s="16"/>
      <c r="T138" s="131" t="n">
        <f aca="false">SUM(T136:T137)</f>
        <v>0</v>
      </c>
      <c r="U138" s="131" t="n">
        <f aca="false">SUM(U136:U137)</f>
        <v>0</v>
      </c>
      <c r="V138" s="131" t="n">
        <f aca="false">SUM(V136:V137)</f>
        <v>0</v>
      </c>
      <c r="W138" s="131" t="n">
        <f aca="false">SUM(W136:W137)</f>
        <v>0</v>
      </c>
      <c r="X138" s="131" t="n">
        <f aca="false">SUM(X136:X137)</f>
        <v>0</v>
      </c>
      <c r="Y138" s="131" t="n">
        <f aca="false">SUM(Y136:Y137)</f>
        <v>0</v>
      </c>
      <c r="Z138" s="131" t="n">
        <f aca="false">SUM(Z136:Z137)</f>
        <v>0</v>
      </c>
      <c r="AA138" s="131" t="n">
        <f aca="false">SUM(AA136:AA137)</f>
        <v>0</v>
      </c>
      <c r="AB138" s="131" t="n">
        <f aca="false">SUM(AB136:AB137)</f>
        <v>0</v>
      </c>
      <c r="AC138" s="131" t="n">
        <f aca="false">SUM(AC136:AC137)</f>
        <v>0</v>
      </c>
      <c r="AD138" s="131" t="n">
        <f aca="false">SUM(AD136:AD137)</f>
        <v>0</v>
      </c>
      <c r="AE138" s="131" t="n">
        <f aca="false">SUM(AE136:AE137)</f>
        <v>0</v>
      </c>
      <c r="AF138" s="131" t="n">
        <f aca="false">SUM(AF136:AF137)</f>
        <v>0</v>
      </c>
      <c r="AG138" s="131" t="n">
        <f aca="false">SUM(AG136:AG137)</f>
        <v>0</v>
      </c>
      <c r="AH138" s="131" t="n">
        <f aca="false">SUM(AH136:AH137)</f>
        <v>0</v>
      </c>
      <c r="AI138" s="131" t="n">
        <f aca="false">SUM(AI136:AI137)</f>
        <v>0</v>
      </c>
      <c r="AJ138" s="131" t="n">
        <f aca="false">SUM(AJ136:AJ137)</f>
        <v>0</v>
      </c>
      <c r="AK138" s="131" t="n">
        <f aca="false">SUM(AK136:AK137)</f>
        <v>0</v>
      </c>
      <c r="AL138" s="131" t="n">
        <f aca="false">SUM(AL136:AL137)</f>
        <v>0</v>
      </c>
      <c r="AM138" s="131" t="n">
        <f aca="false">SUM(AM136:AM137)</f>
        <v>0</v>
      </c>
      <c r="AN138" s="131" t="n">
        <f aca="false">SUM(AN136:AN137)</f>
        <v>0</v>
      </c>
      <c r="AO138" s="131" t="n">
        <f aca="false">SUM(AO136:AO137)</f>
        <v>0</v>
      </c>
      <c r="AP138" s="131" t="n">
        <f aca="false">SUM(AP136:AP137)</f>
        <v>0</v>
      </c>
      <c r="AQ138" s="131" t="n">
        <f aca="false">SUM(AQ136:AQ137)</f>
        <v>0</v>
      </c>
      <c r="AR138" s="131" t="n">
        <f aca="false">SUM(AR136:AR137)</f>
        <v>0</v>
      </c>
      <c r="AS138" s="131" t="n">
        <f aca="false">SUM(AS136:AS137)</f>
        <v>0</v>
      </c>
      <c r="AT138" s="131" t="n">
        <f aca="false">SUM(AT136:AT137)</f>
        <v>0</v>
      </c>
      <c r="AU138" s="131" t="n">
        <f aca="false">SUM(AU136:AU137)</f>
        <v>0</v>
      </c>
      <c r="AV138" s="131" t="n">
        <f aca="false">SUM(AV136:AV137)</f>
        <v>0</v>
      </c>
      <c r="AW138" s="131" t="n">
        <f aca="false">SUM(AW136:AW137)</f>
        <v>0</v>
      </c>
      <c r="AX138" s="131" t="n">
        <f aca="false">SUM(AX136:AX137)</f>
        <v>0</v>
      </c>
      <c r="AY138" s="131" t="n">
        <f aca="false">SUM(AY136:AY137)</f>
        <v>0</v>
      </c>
      <c r="AZ138" s="131" t="n">
        <f aca="false">SUM(AZ136:AZ137)</f>
        <v>0</v>
      </c>
      <c r="BA138" s="131" t="n">
        <f aca="false">SUM(BA136:BA137)</f>
        <v>0</v>
      </c>
      <c r="BB138" s="131" t="n">
        <f aca="false">SUM(BB136:BB137)</f>
        <v>0</v>
      </c>
      <c r="BC138" s="131" t="n">
        <f aca="false">SUM(BC136:BC137)</f>
        <v>0</v>
      </c>
      <c r="BD138" s="131" t="n">
        <f aca="false">SUM(BD136:BD137)</f>
        <v>0</v>
      </c>
      <c r="BE138" s="131" t="n">
        <f aca="false">SUM(BE136:BE137)</f>
        <v>0</v>
      </c>
      <c r="BF138" s="131" t="n">
        <f aca="false">SUM(BF136:BF137)</f>
        <v>0</v>
      </c>
      <c r="BG138" s="131" t="n">
        <f aca="false">SUM(BG136:BG137)</f>
        <v>0</v>
      </c>
      <c r="BH138" s="131" t="n">
        <f aca="false">SUM(BH136:BH137)</f>
        <v>0</v>
      </c>
      <c r="BI138" s="131" t="n">
        <f aca="false">SUM(BI136:BI137)</f>
        <v>0</v>
      </c>
      <c r="BJ138" s="131" t="n">
        <f aca="false">SUM(BJ136:BJ137)</f>
        <v>0</v>
      </c>
      <c r="BK138" s="131" t="n">
        <f aca="false">SUM(BK136:BK137)</f>
        <v>0</v>
      </c>
      <c r="BL138" s="131" t="n">
        <f aca="false">SUM(BL136:BL137)</f>
        <v>0</v>
      </c>
      <c r="BM138" s="131" t="n">
        <f aca="false">SUM(BM136:BM137)</f>
        <v>0</v>
      </c>
      <c r="BN138" s="131" t="n">
        <f aca="false">SUM(BN136:BN137)</f>
        <v>0</v>
      </c>
      <c r="BO138" s="131" t="n">
        <f aca="false">SUM(BO136:BO137)</f>
        <v>0</v>
      </c>
      <c r="BP138" s="131" t="n">
        <f aca="false">SUM(BP136:BP137)</f>
        <v>0</v>
      </c>
      <c r="BQ138" s="131" t="n">
        <f aca="false">SUM(BQ136:BQ137)</f>
        <v>0</v>
      </c>
      <c r="BR138" s="131" t="n">
        <f aca="false">SUM(BR136:BR137)</f>
        <v>0</v>
      </c>
      <c r="BS138" s="131" t="n">
        <f aca="false">SUM(BS136:BS137)</f>
        <v>0</v>
      </c>
      <c r="BT138" s="131" t="n">
        <f aca="false">SUM(BT136:BT137)</f>
        <v>0</v>
      </c>
      <c r="BU138" s="131" t="n">
        <f aca="false">SUM(BU136:BU137)</f>
        <v>0</v>
      </c>
      <c r="BV138" s="131" t="n">
        <f aca="false">SUM(BV136:BV137)</f>
        <v>0</v>
      </c>
      <c r="BW138" s="131" t="n">
        <f aca="false">SUM(BW136:BW137)</f>
        <v>0</v>
      </c>
      <c r="BX138" s="131" t="n">
        <f aca="false">SUM(BX136:BX137)</f>
        <v>0</v>
      </c>
      <c r="BY138" s="131" t="n">
        <f aca="false">SUM(BY136:BY137)</f>
        <v>0</v>
      </c>
      <c r="BZ138" s="136" t="n">
        <f aca="false">SUM(BZ136:BZ137)</f>
        <v>0</v>
      </c>
      <c r="CA138" s="136" t="n">
        <f aca="false">SUM(CA136:CA137)</f>
        <v>0</v>
      </c>
      <c r="CC138" s="136" t="n">
        <f aca="false">SUM(CC136:CC137)</f>
        <v>0</v>
      </c>
      <c r="CD138" s="136" t="n">
        <f aca="false">SUM(CD136:CD137)</f>
        <v>0</v>
      </c>
      <c r="CE138" s="136" t="n">
        <f aca="false">SUM(CE136:CE137)</f>
        <v>0</v>
      </c>
      <c r="CF138" s="136" t="n">
        <f aca="false">SUM(CF136:CF137)</f>
        <v>0</v>
      </c>
      <c r="CG138" s="136" t="n">
        <f aca="false">SUM(CG136:CG137)</f>
        <v>0</v>
      </c>
      <c r="CI138" s="136" t="n">
        <f aca="false">CC138=L138</f>
        <v>1</v>
      </c>
      <c r="CJ138" s="136" t="n">
        <f aca="false">CD138=M138</f>
        <v>1</v>
      </c>
      <c r="CK138" s="136" t="n">
        <f aca="false">CE138=N138</f>
        <v>1</v>
      </c>
      <c r="CL138" s="136" t="n">
        <f aca="false">CF138=O138</f>
        <v>1</v>
      </c>
      <c r="CM138" s="136" t="n">
        <f aca="false">CG138=P138</f>
        <v>1</v>
      </c>
    </row>
    <row r="139" s="14" customFormat="true" ht="16.5" hidden="false" customHeight="true" outlineLevel="0" collapsed="false">
      <c r="L139" s="88"/>
      <c r="M139" s="88"/>
      <c r="N139" s="88"/>
      <c r="O139" s="88"/>
      <c r="P139" s="88"/>
      <c r="Q139" s="16"/>
      <c r="R139" s="16"/>
      <c r="T139" s="137"/>
      <c r="U139" s="137"/>
      <c r="V139" s="137"/>
      <c r="W139" s="137"/>
      <c r="X139" s="137"/>
      <c r="Y139" s="137"/>
      <c r="Z139" s="137"/>
      <c r="AA139" s="137"/>
      <c r="AB139" s="137"/>
      <c r="AC139" s="137"/>
      <c r="AD139" s="137"/>
      <c r="AE139" s="137"/>
      <c r="AF139" s="137"/>
      <c r="AG139" s="137"/>
      <c r="AH139" s="137"/>
      <c r="AI139" s="137"/>
      <c r="AJ139" s="137"/>
      <c r="AK139" s="137"/>
      <c r="AL139" s="137"/>
      <c r="AM139" s="137"/>
      <c r="AN139" s="137"/>
      <c r="AO139" s="137"/>
      <c r="AP139" s="137"/>
      <c r="AQ139" s="137"/>
      <c r="AR139" s="137"/>
      <c r="AS139" s="137"/>
      <c r="AT139" s="137"/>
      <c r="AU139" s="137"/>
      <c r="AV139" s="137"/>
      <c r="AW139" s="137"/>
      <c r="AX139" s="137"/>
      <c r="AY139" s="137"/>
      <c r="AZ139" s="137"/>
      <c r="BA139" s="137"/>
      <c r="BB139" s="137"/>
      <c r="BC139" s="137"/>
      <c r="BD139" s="137"/>
      <c r="BE139" s="137"/>
      <c r="BF139" s="137"/>
      <c r="BG139" s="137"/>
      <c r="BH139" s="137"/>
      <c r="BI139" s="137"/>
      <c r="BJ139" s="137"/>
      <c r="BK139" s="137"/>
      <c r="BL139" s="137"/>
      <c r="BM139" s="137"/>
      <c r="BN139" s="137"/>
      <c r="BO139" s="137"/>
      <c r="BP139" s="137"/>
      <c r="BQ139" s="137"/>
      <c r="BR139" s="137"/>
      <c r="BS139" s="137"/>
      <c r="BT139" s="137"/>
      <c r="BU139" s="137"/>
      <c r="BV139" s="137"/>
      <c r="BW139" s="137"/>
      <c r="BX139" s="137"/>
      <c r="BY139" s="137"/>
      <c r="BZ139" s="121"/>
      <c r="CA139" s="121"/>
    </row>
    <row r="140" s="14" customFormat="true" ht="16.5" hidden="false" customHeight="true" outlineLevel="0" collapsed="false">
      <c r="E140" s="21" t="s">
        <v>161</v>
      </c>
      <c r="L140" s="88"/>
      <c r="M140" s="88"/>
      <c r="N140" s="88"/>
      <c r="O140" s="88"/>
      <c r="P140" s="88"/>
      <c r="Q140" s="16"/>
      <c r="R140" s="16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7"/>
      <c r="AH140" s="137"/>
      <c r="AI140" s="137"/>
      <c r="AJ140" s="137"/>
      <c r="AK140" s="137"/>
      <c r="AL140" s="137"/>
      <c r="AM140" s="137"/>
      <c r="AN140" s="137"/>
      <c r="AO140" s="137"/>
      <c r="AP140" s="137"/>
      <c r="AQ140" s="137"/>
      <c r="AR140" s="137"/>
      <c r="AS140" s="137"/>
      <c r="AT140" s="137"/>
      <c r="AU140" s="137"/>
      <c r="AV140" s="137"/>
      <c r="AW140" s="137"/>
      <c r="AX140" s="137"/>
      <c r="AY140" s="137"/>
      <c r="AZ140" s="137"/>
      <c r="BA140" s="137"/>
      <c r="BB140" s="137"/>
      <c r="BC140" s="137"/>
      <c r="BD140" s="137"/>
      <c r="BE140" s="137"/>
      <c r="BF140" s="137"/>
      <c r="BG140" s="137"/>
      <c r="BH140" s="137"/>
      <c r="BI140" s="137"/>
      <c r="BJ140" s="137"/>
      <c r="BK140" s="137"/>
      <c r="BL140" s="137"/>
      <c r="BM140" s="137"/>
      <c r="BN140" s="137"/>
      <c r="BO140" s="137"/>
      <c r="BP140" s="137"/>
      <c r="BQ140" s="137"/>
      <c r="BR140" s="137"/>
      <c r="BS140" s="137"/>
      <c r="BT140" s="137"/>
      <c r="BU140" s="137"/>
      <c r="BV140" s="137"/>
      <c r="BW140" s="137"/>
      <c r="BX140" s="137"/>
      <c r="BY140" s="137"/>
      <c r="BZ140" s="121"/>
      <c r="CA140" s="121"/>
    </row>
    <row r="141" s="14" customFormat="true" ht="16.5" hidden="false" customHeight="true" outlineLevel="0" collapsed="false">
      <c r="E141" s="91" t="s">
        <v>379</v>
      </c>
      <c r="K141" s="29"/>
      <c r="L141" s="213" t="n">
        <f aca="false">'SVC-2 Model'!L97</f>
        <v>0</v>
      </c>
      <c r="M141" s="213" t="n">
        <f aca="false">'SVC-2 Model'!M97</f>
        <v>1.39333333333333</v>
      </c>
      <c r="N141" s="213" t="n">
        <f aca="false">'SVC-2 Model'!N97</f>
        <v>0.275</v>
      </c>
      <c r="O141" s="213" t="n">
        <f aca="false">'SVC-2 Model'!O97</f>
        <v>0</v>
      </c>
      <c r="P141" s="213" t="n">
        <f aca="false">'SVC-2 Model'!P97</f>
        <v>0</v>
      </c>
      <c r="Q141" s="93" t="s">
        <v>266</v>
      </c>
      <c r="R141" s="16"/>
      <c r="T141" s="225" t="n">
        <f aca="false">'SVC-2 Model'!T97</f>
        <v>0</v>
      </c>
      <c r="U141" s="225" t="n">
        <f aca="false">'SVC-2 Model'!U97</f>
        <v>0</v>
      </c>
      <c r="V141" s="225" t="n">
        <f aca="false">'SVC-2 Model'!V97</f>
        <v>0</v>
      </c>
      <c r="W141" s="225" t="n">
        <f aca="false">'SVC-2 Model'!W97</f>
        <v>0</v>
      </c>
      <c r="X141" s="225" t="n">
        <f aca="false">'SVC-2 Model'!X97</f>
        <v>0</v>
      </c>
      <c r="Y141" s="225" t="n">
        <f aca="false">'SVC-2 Model'!Y97</f>
        <v>0</v>
      </c>
      <c r="Z141" s="225" t="n">
        <f aca="false">'SVC-2 Model'!Z97</f>
        <v>0</v>
      </c>
      <c r="AA141" s="225" t="n">
        <f aca="false">'SVC-2 Model'!AA97</f>
        <v>0</v>
      </c>
      <c r="AB141" s="225" t="n">
        <f aca="false">'SVC-2 Model'!AB97</f>
        <v>0</v>
      </c>
      <c r="AC141" s="225" t="n">
        <f aca="false">'SVC-2 Model'!AC97</f>
        <v>0</v>
      </c>
      <c r="AD141" s="225" t="n">
        <f aca="false">'SVC-2 Model'!AD97</f>
        <v>0</v>
      </c>
      <c r="AE141" s="225" t="n">
        <f aca="false">'SVC-2 Model'!AE97</f>
        <v>0</v>
      </c>
      <c r="AF141" s="225" t="n">
        <f aca="false">'SVC-2 Model'!AF97</f>
        <v>0.0733333333333334</v>
      </c>
      <c r="AG141" s="225" t="n">
        <f aca="false">'SVC-2 Model'!AG97</f>
        <v>0.0733333333333334</v>
      </c>
      <c r="AH141" s="225" t="n">
        <f aca="false">'SVC-2 Model'!AH97</f>
        <v>0.146666666666667</v>
      </c>
      <c r="AI141" s="225" t="n">
        <f aca="false">'SVC-2 Model'!AI97</f>
        <v>0.146666666666667</v>
      </c>
      <c r="AJ141" s="225" t="n">
        <f aca="false">'SVC-2 Model'!AJ97</f>
        <v>0.146666666666667</v>
      </c>
      <c r="AK141" s="225" t="n">
        <f aca="false">'SVC-2 Model'!AK97</f>
        <v>0.146666666666667</v>
      </c>
      <c r="AL141" s="225" t="n">
        <f aca="false">'SVC-2 Model'!AL97</f>
        <v>0.146666666666667</v>
      </c>
      <c r="AM141" s="225" t="n">
        <f aca="false">'SVC-2 Model'!AM97</f>
        <v>0.146666666666667</v>
      </c>
      <c r="AN141" s="225" t="n">
        <f aca="false">'SVC-2 Model'!AN97</f>
        <v>0.0916666666666667</v>
      </c>
      <c r="AO141" s="225" t="n">
        <f aca="false">'SVC-2 Model'!AO97</f>
        <v>0.0916666666666667</v>
      </c>
      <c r="AP141" s="225" t="n">
        <f aca="false">'SVC-2 Model'!AP97</f>
        <v>0.0916666666666667</v>
      </c>
      <c r="AQ141" s="225" t="n">
        <f aca="false">'SVC-2 Model'!AQ97</f>
        <v>0.0916666666666667</v>
      </c>
      <c r="AR141" s="225" t="n">
        <f aca="false">'SVC-2 Model'!AR97</f>
        <v>0.0916666666666667</v>
      </c>
      <c r="AS141" s="225" t="n">
        <f aca="false">'SVC-2 Model'!AS97</f>
        <v>0.0916666666666667</v>
      </c>
      <c r="AT141" s="225" t="n">
        <f aca="false">'SVC-2 Model'!AT97</f>
        <v>0.0916666666666667</v>
      </c>
      <c r="AU141" s="225" t="n">
        <f aca="false">'SVC-2 Model'!AU97</f>
        <v>0</v>
      </c>
      <c r="AV141" s="225" t="n">
        <f aca="false">'SVC-2 Model'!AV97</f>
        <v>0</v>
      </c>
      <c r="AW141" s="225" t="n">
        <f aca="false">'SVC-2 Model'!AW97</f>
        <v>0</v>
      </c>
      <c r="AX141" s="225" t="n">
        <f aca="false">'SVC-2 Model'!AX97</f>
        <v>0</v>
      </c>
      <c r="AY141" s="225" t="n">
        <f aca="false">'SVC-2 Model'!AY97</f>
        <v>0</v>
      </c>
      <c r="AZ141" s="225" t="n">
        <f aca="false">'SVC-2 Model'!AZ97</f>
        <v>0</v>
      </c>
      <c r="BA141" s="225" t="n">
        <f aca="false">'SVC-2 Model'!BA97</f>
        <v>0</v>
      </c>
      <c r="BB141" s="225" t="n">
        <f aca="false">'SVC-2 Model'!BB97</f>
        <v>0</v>
      </c>
      <c r="BC141" s="225" t="n">
        <f aca="false">'SVC-2 Model'!BC97</f>
        <v>0</v>
      </c>
      <c r="BD141" s="225" t="n">
        <f aca="false">'SVC-2 Model'!BD97</f>
        <v>0</v>
      </c>
      <c r="BE141" s="225" t="n">
        <f aca="false">'SVC-2 Model'!BE97</f>
        <v>0</v>
      </c>
      <c r="BF141" s="225" t="n">
        <f aca="false">'SVC-2 Model'!BF97</f>
        <v>0</v>
      </c>
      <c r="BG141" s="225" t="n">
        <f aca="false">'SVC-2 Model'!BG97</f>
        <v>0</v>
      </c>
      <c r="BH141" s="225" t="n">
        <f aca="false">'SVC-2 Model'!BH97</f>
        <v>0</v>
      </c>
      <c r="BI141" s="225" t="n">
        <f aca="false">'SVC-2 Model'!BI97</f>
        <v>0</v>
      </c>
      <c r="BJ141" s="225" t="n">
        <f aca="false">'SVC-2 Model'!BJ97</f>
        <v>0</v>
      </c>
      <c r="BK141" s="225" t="n">
        <f aca="false">'SVC-2 Model'!BK97</f>
        <v>0</v>
      </c>
      <c r="BL141" s="225" t="n">
        <f aca="false">'SVC-2 Model'!BL97</f>
        <v>0</v>
      </c>
      <c r="BM141" s="225" t="n">
        <f aca="false">'SVC-2 Model'!BM97</f>
        <v>0</v>
      </c>
      <c r="BN141" s="225" t="n">
        <f aca="false">'SVC-2 Model'!BN97</f>
        <v>0</v>
      </c>
      <c r="BO141" s="225" t="n">
        <f aca="false">'SVC-2 Model'!BO97</f>
        <v>0</v>
      </c>
      <c r="BP141" s="225" t="n">
        <f aca="false">'SVC-2 Model'!BP97</f>
        <v>0</v>
      </c>
      <c r="BQ141" s="225" t="n">
        <f aca="false">'SVC-2 Model'!BQ97</f>
        <v>0</v>
      </c>
      <c r="BR141" s="225" t="n">
        <f aca="false">'SVC-2 Model'!BR97</f>
        <v>0</v>
      </c>
      <c r="BS141" s="225" t="n">
        <f aca="false">'SVC-2 Model'!BS97</f>
        <v>0</v>
      </c>
      <c r="BT141" s="225" t="n">
        <f aca="false">'SVC-2 Model'!BT97</f>
        <v>0</v>
      </c>
      <c r="BU141" s="225" t="n">
        <f aca="false">'SVC-2 Model'!BU97</f>
        <v>0</v>
      </c>
      <c r="BV141" s="225" t="n">
        <f aca="false">'SVC-2 Model'!BV97</f>
        <v>0</v>
      </c>
      <c r="BW141" s="225" t="n">
        <f aca="false">'SVC-2 Model'!BW97</f>
        <v>0</v>
      </c>
      <c r="BX141" s="225" t="n">
        <f aca="false">'SVC-2 Model'!BX97</f>
        <v>0</v>
      </c>
      <c r="BY141" s="225" t="n">
        <f aca="false">'SVC-2 Model'!BY97</f>
        <v>0</v>
      </c>
      <c r="BZ141" s="227" t="n">
        <f aca="false">'SVC-2 Model'!BZ97</f>
        <v>0</v>
      </c>
      <c r="CA141" s="227" t="n">
        <f aca="false">'SVC-2 Model'!CA97</f>
        <v>0</v>
      </c>
      <c r="CC141" s="79" t="n">
        <f aca="false">SUMIFS($T141:$CA141, $T$1:$CA$1, CC$63)</f>
        <v>0</v>
      </c>
      <c r="CD141" s="79" t="n">
        <f aca="false">SUMIFS($T141:$CA141, $T$1:$CA$1, CD$63)</f>
        <v>1.39333333333333</v>
      </c>
      <c r="CE141" s="79" t="n">
        <f aca="false">SUMIFS($T141:$CA141, $T$1:$CA$1, CE$63)</f>
        <v>0.275</v>
      </c>
      <c r="CF141" s="79" t="n">
        <f aca="false">SUMIFS($T141:$CA141, $T$1:$CA$1, CF$63)</f>
        <v>0</v>
      </c>
      <c r="CG141" s="79" t="n">
        <f aca="false">SUMIFS($T141:$CA141, $T$1:$CA$1, CG$63)</f>
        <v>0</v>
      </c>
      <c r="CI141" s="79" t="n">
        <f aca="false">CC141=L141</f>
        <v>1</v>
      </c>
      <c r="CJ141" s="79" t="n">
        <f aca="false">CD141=M141</f>
        <v>1</v>
      </c>
      <c r="CK141" s="79" t="n">
        <f aca="false">CE141=N141</f>
        <v>1</v>
      </c>
      <c r="CL141" s="79" t="n">
        <f aca="false">CF141=O141</f>
        <v>1</v>
      </c>
      <c r="CM141" s="79" t="n">
        <f aca="false">CG141=P141</f>
        <v>1</v>
      </c>
    </row>
    <row r="142" s="14" customFormat="true" ht="16.5" hidden="false" customHeight="true" outlineLevel="0" collapsed="false">
      <c r="E142" s="91" t="s">
        <v>380</v>
      </c>
      <c r="L142" s="213" t="n">
        <f aca="false">'SVC-2 Model'!L98</f>
        <v>0</v>
      </c>
      <c r="M142" s="213" t="n">
        <f aca="false">'SVC-2 Model'!M98</f>
        <v>0.757093333333333</v>
      </c>
      <c r="N142" s="213" t="n">
        <f aca="false">'SVC-2 Model'!N98</f>
        <v>0.0792733333333333</v>
      </c>
      <c r="O142" s="213" t="n">
        <f aca="false">'SVC-2 Model'!O98</f>
        <v>0</v>
      </c>
      <c r="P142" s="213" t="n">
        <f aca="false">'SVC-2 Model'!P98</f>
        <v>0</v>
      </c>
      <c r="Q142" s="93" t="s">
        <v>266</v>
      </c>
      <c r="R142" s="16"/>
      <c r="T142" s="225" t="n">
        <f aca="false">'SVC-2 Model'!T98</f>
        <v>0</v>
      </c>
      <c r="U142" s="225" t="n">
        <f aca="false">'SVC-2 Model'!U98</f>
        <v>0</v>
      </c>
      <c r="V142" s="225" t="n">
        <f aca="false">'SVC-2 Model'!V98</f>
        <v>0</v>
      </c>
      <c r="W142" s="225" t="n">
        <f aca="false">'SVC-2 Model'!W98</f>
        <v>0</v>
      </c>
      <c r="X142" s="225" t="n">
        <f aca="false">'SVC-2 Model'!X98</f>
        <v>0</v>
      </c>
      <c r="Y142" s="225" t="n">
        <f aca="false">'SVC-2 Model'!Y98</f>
        <v>0</v>
      </c>
      <c r="Z142" s="225" t="n">
        <f aca="false">'SVC-2 Model'!Z98</f>
        <v>0</v>
      </c>
      <c r="AA142" s="225" t="n">
        <f aca="false">'SVC-2 Model'!AA98</f>
        <v>0</v>
      </c>
      <c r="AB142" s="225" t="n">
        <f aca="false">'SVC-2 Model'!AB98</f>
        <v>0</v>
      </c>
      <c r="AC142" s="225" t="n">
        <f aca="false">'SVC-2 Model'!AC98</f>
        <v>0</v>
      </c>
      <c r="AD142" s="225" t="n">
        <f aca="false">'SVC-2 Model'!AD98</f>
        <v>0</v>
      </c>
      <c r="AE142" s="225" t="n">
        <f aca="false">'SVC-2 Model'!AE98</f>
        <v>0</v>
      </c>
      <c r="AF142" s="225" t="n">
        <f aca="false">'SVC-2 Model'!AF98</f>
        <v>0.0264244444444444</v>
      </c>
      <c r="AG142" s="225" t="n">
        <f aca="false">'SVC-2 Model'!AG98</f>
        <v>0.0264244444444444</v>
      </c>
      <c r="AH142" s="225" t="n">
        <f aca="false">'SVC-2 Model'!AH98</f>
        <v>0.126424444444444</v>
      </c>
      <c r="AI142" s="225" t="n">
        <f aca="false">'SVC-2 Model'!AI98</f>
        <v>0.126424444444444</v>
      </c>
      <c r="AJ142" s="225" t="n">
        <f aca="false">'SVC-2 Model'!AJ98</f>
        <v>0.0864244444444444</v>
      </c>
      <c r="AK142" s="225" t="n">
        <f aca="false">'SVC-2 Model'!AK98</f>
        <v>0.0864244444444444</v>
      </c>
      <c r="AL142" s="225" t="n">
        <f aca="false">'SVC-2 Model'!AL98</f>
        <v>0.0864244444444444</v>
      </c>
      <c r="AM142" s="225" t="n">
        <f aca="false">'SVC-2 Model'!AM98</f>
        <v>0.0864244444444444</v>
      </c>
      <c r="AN142" s="225" t="n">
        <f aca="false">'SVC-2 Model'!AN98</f>
        <v>0.0264244444444444</v>
      </c>
      <c r="AO142" s="225" t="n">
        <f aca="false">'SVC-2 Model'!AO98</f>
        <v>0.0264244444444444</v>
      </c>
      <c r="AP142" s="225" t="n">
        <f aca="false">'SVC-2 Model'!AP98</f>
        <v>0.0264244444444444</v>
      </c>
      <c r="AQ142" s="225" t="n">
        <f aca="false">'SVC-2 Model'!AQ98</f>
        <v>0.0264244444444444</v>
      </c>
      <c r="AR142" s="225" t="n">
        <f aca="false">'SVC-2 Model'!AR98</f>
        <v>0.0264244444444444</v>
      </c>
      <c r="AS142" s="225" t="n">
        <f aca="false">'SVC-2 Model'!AS98</f>
        <v>0.0264244444444444</v>
      </c>
      <c r="AT142" s="225" t="n">
        <f aca="false">'SVC-2 Model'!AT98</f>
        <v>0.0264244444444444</v>
      </c>
      <c r="AU142" s="225" t="n">
        <f aca="false">'SVC-2 Model'!AU98</f>
        <v>0</v>
      </c>
      <c r="AV142" s="225" t="n">
        <f aca="false">'SVC-2 Model'!AV98</f>
        <v>0</v>
      </c>
      <c r="AW142" s="225" t="n">
        <f aca="false">'SVC-2 Model'!AW98</f>
        <v>0</v>
      </c>
      <c r="AX142" s="225" t="n">
        <f aca="false">'SVC-2 Model'!AX98</f>
        <v>0</v>
      </c>
      <c r="AY142" s="225" t="n">
        <f aca="false">'SVC-2 Model'!AY98</f>
        <v>0</v>
      </c>
      <c r="AZ142" s="225" t="n">
        <f aca="false">'SVC-2 Model'!AZ98</f>
        <v>0</v>
      </c>
      <c r="BA142" s="225" t="n">
        <f aca="false">'SVC-2 Model'!BA98</f>
        <v>0</v>
      </c>
      <c r="BB142" s="225" t="n">
        <f aca="false">'SVC-2 Model'!BB98</f>
        <v>0</v>
      </c>
      <c r="BC142" s="225" t="n">
        <f aca="false">'SVC-2 Model'!BC98</f>
        <v>0</v>
      </c>
      <c r="BD142" s="225" t="n">
        <f aca="false">'SVC-2 Model'!BD98</f>
        <v>0</v>
      </c>
      <c r="BE142" s="225" t="n">
        <f aca="false">'SVC-2 Model'!BE98</f>
        <v>0</v>
      </c>
      <c r="BF142" s="225" t="n">
        <f aca="false">'SVC-2 Model'!BF98</f>
        <v>0</v>
      </c>
      <c r="BG142" s="225" t="n">
        <f aca="false">'SVC-2 Model'!BG98</f>
        <v>0</v>
      </c>
      <c r="BH142" s="225" t="n">
        <f aca="false">'SVC-2 Model'!BH98</f>
        <v>0</v>
      </c>
      <c r="BI142" s="225" t="n">
        <f aca="false">'SVC-2 Model'!BI98</f>
        <v>0</v>
      </c>
      <c r="BJ142" s="225" t="n">
        <f aca="false">'SVC-2 Model'!BJ98</f>
        <v>0</v>
      </c>
      <c r="BK142" s="225" t="n">
        <f aca="false">'SVC-2 Model'!BK98</f>
        <v>0</v>
      </c>
      <c r="BL142" s="225" t="n">
        <f aca="false">'SVC-2 Model'!BL98</f>
        <v>0</v>
      </c>
      <c r="BM142" s="225" t="n">
        <f aca="false">'SVC-2 Model'!BM98</f>
        <v>0</v>
      </c>
      <c r="BN142" s="225" t="n">
        <f aca="false">'SVC-2 Model'!BN98</f>
        <v>0</v>
      </c>
      <c r="BO142" s="225" t="n">
        <f aca="false">'SVC-2 Model'!BO98</f>
        <v>0</v>
      </c>
      <c r="BP142" s="225" t="n">
        <f aca="false">'SVC-2 Model'!BP98</f>
        <v>0</v>
      </c>
      <c r="BQ142" s="225" t="n">
        <f aca="false">'SVC-2 Model'!BQ98</f>
        <v>0</v>
      </c>
      <c r="BR142" s="225" t="n">
        <f aca="false">'SVC-2 Model'!BR98</f>
        <v>0</v>
      </c>
      <c r="BS142" s="225" t="n">
        <f aca="false">'SVC-2 Model'!BS98</f>
        <v>0</v>
      </c>
      <c r="BT142" s="225" t="n">
        <f aca="false">'SVC-2 Model'!BT98</f>
        <v>0</v>
      </c>
      <c r="BU142" s="225" t="n">
        <f aca="false">'SVC-2 Model'!BU98</f>
        <v>0</v>
      </c>
      <c r="BV142" s="225" t="n">
        <f aca="false">'SVC-2 Model'!BV98</f>
        <v>0</v>
      </c>
      <c r="BW142" s="225" t="n">
        <f aca="false">'SVC-2 Model'!BW98</f>
        <v>0</v>
      </c>
      <c r="BX142" s="225" t="n">
        <f aca="false">'SVC-2 Model'!BX98</f>
        <v>0</v>
      </c>
      <c r="BY142" s="225" t="n">
        <f aca="false">'SVC-2 Model'!BY98</f>
        <v>0</v>
      </c>
      <c r="BZ142" s="227" t="n">
        <f aca="false">'SVC-2 Model'!BZ98</f>
        <v>0</v>
      </c>
      <c r="CA142" s="227" t="n">
        <f aca="false">'SVC-2 Model'!CA98</f>
        <v>0</v>
      </c>
      <c r="CC142" s="79" t="n">
        <f aca="false">SUMIFS($T142:$CA142, $T$1:$CA$1, CC$63)</f>
        <v>0</v>
      </c>
      <c r="CD142" s="79" t="n">
        <f aca="false">SUMIFS($T142:$CA142, $T$1:$CA$1, CD$63)</f>
        <v>0.757093333333333</v>
      </c>
      <c r="CE142" s="79" t="n">
        <f aca="false">SUMIFS($T142:$CA142, $T$1:$CA$1, CE$63)</f>
        <v>0.0792733333333333</v>
      </c>
      <c r="CF142" s="79" t="n">
        <f aca="false">SUMIFS($T142:$CA142, $T$1:$CA$1, CF$63)</f>
        <v>0</v>
      </c>
      <c r="CG142" s="79" t="n">
        <f aca="false">SUMIFS($T142:$CA142, $T$1:$CA$1, CG$63)</f>
        <v>0</v>
      </c>
      <c r="CI142" s="79" t="n">
        <f aca="false">CC142=L142</f>
        <v>1</v>
      </c>
      <c r="CJ142" s="79" t="n">
        <f aca="false">CD142=M142</f>
        <v>1</v>
      </c>
      <c r="CK142" s="79" t="n">
        <f aca="false">CE142=N142</f>
        <v>1</v>
      </c>
      <c r="CL142" s="79" t="n">
        <f aca="false">CF142=O142</f>
        <v>1</v>
      </c>
      <c r="CM142" s="79" t="n">
        <f aca="false">CG142=P142</f>
        <v>1</v>
      </c>
    </row>
    <row r="143" s="14" customFormat="true" ht="16.5" hidden="false" customHeight="true" outlineLevel="0" collapsed="false">
      <c r="E143" s="91"/>
      <c r="L143" s="91"/>
      <c r="M143" s="91"/>
      <c r="N143" s="91"/>
      <c r="O143" s="91"/>
      <c r="P143" s="91"/>
      <c r="Q143" s="93"/>
      <c r="R143" s="16"/>
      <c r="T143" s="135"/>
      <c r="U143" s="135"/>
      <c r="V143" s="135"/>
      <c r="W143" s="135"/>
      <c r="X143" s="135"/>
      <c r="Y143" s="135"/>
      <c r="Z143" s="135"/>
      <c r="AA143" s="135"/>
      <c r="AB143" s="135"/>
      <c r="AC143" s="135"/>
      <c r="AD143" s="135"/>
      <c r="AE143" s="135"/>
      <c r="AF143" s="135"/>
      <c r="AG143" s="135"/>
      <c r="AH143" s="135"/>
      <c r="AI143" s="135"/>
      <c r="AJ143" s="135"/>
      <c r="AK143" s="135"/>
      <c r="AL143" s="135"/>
      <c r="AM143" s="135"/>
      <c r="AN143" s="135"/>
      <c r="AO143" s="135"/>
      <c r="AP143" s="135"/>
      <c r="AQ143" s="135"/>
      <c r="AR143" s="135"/>
      <c r="AS143" s="135"/>
      <c r="AT143" s="135"/>
      <c r="AU143" s="135"/>
      <c r="AV143" s="135"/>
      <c r="AW143" s="135"/>
      <c r="AX143" s="135"/>
      <c r="AY143" s="135"/>
      <c r="AZ143" s="135"/>
      <c r="BA143" s="135"/>
      <c r="BB143" s="135"/>
      <c r="BC143" s="135"/>
      <c r="BD143" s="135"/>
      <c r="BE143" s="135"/>
      <c r="BF143" s="135"/>
      <c r="BG143" s="135"/>
      <c r="BH143" s="135"/>
      <c r="BI143" s="135"/>
      <c r="BJ143" s="135"/>
      <c r="BK143" s="135"/>
      <c r="BL143" s="135"/>
      <c r="BM143" s="135"/>
      <c r="BN143" s="135"/>
      <c r="BO143" s="135"/>
      <c r="BP143" s="135"/>
      <c r="BQ143" s="135"/>
      <c r="BR143" s="135"/>
      <c r="BS143" s="135"/>
      <c r="BT143" s="135"/>
      <c r="BU143" s="135"/>
      <c r="BV143" s="135"/>
      <c r="BW143" s="135"/>
      <c r="BX143" s="135"/>
      <c r="BY143" s="135"/>
      <c r="BZ143" s="138"/>
      <c r="CA143" s="138"/>
      <c r="CC143" s="79" t="n">
        <f aca="false">SUMIFS($T143:$CA143, $T$1:$CA$1, CC$63)</f>
        <v>0</v>
      </c>
      <c r="CD143" s="79" t="n">
        <f aca="false">SUMIFS($T143:$CA143, $T$1:$CA$1, CD$63)</f>
        <v>0</v>
      </c>
      <c r="CE143" s="79" t="n">
        <f aca="false">SUMIFS($T143:$CA143, $T$1:$CA$1, CE$63)</f>
        <v>0</v>
      </c>
      <c r="CF143" s="79" t="n">
        <f aca="false">SUMIFS($T143:$CA143, $T$1:$CA$1, CF$63)</f>
        <v>0</v>
      </c>
      <c r="CG143" s="79" t="n">
        <f aca="false">SUMIFS($T143:$CA143, $T$1:$CA$1, CG$63)</f>
        <v>0</v>
      </c>
      <c r="CI143" s="79" t="n">
        <f aca="false">CC143=L143</f>
        <v>1</v>
      </c>
      <c r="CJ143" s="79" t="n">
        <f aca="false">CD143=M143</f>
        <v>1</v>
      </c>
      <c r="CK143" s="79" t="n">
        <f aca="false">CE143=N143</f>
        <v>1</v>
      </c>
      <c r="CL143" s="79" t="n">
        <f aca="false">CF143=O143</f>
        <v>1</v>
      </c>
      <c r="CM143" s="79" t="n">
        <f aca="false">CG143=P143</f>
        <v>1</v>
      </c>
    </row>
    <row r="144" s="14" customFormat="true" ht="16.5" hidden="false" customHeight="true" outlineLevel="0" collapsed="false">
      <c r="E144" s="96" t="s">
        <v>162</v>
      </c>
      <c r="L144" s="82" t="n">
        <f aca="false">SUM(L141:L143)</f>
        <v>0</v>
      </c>
      <c r="M144" s="82" t="n">
        <f aca="false">SUM(M141:M143)</f>
        <v>2.15042666666667</v>
      </c>
      <c r="N144" s="82" t="n">
        <f aca="false">SUM(N141:N143)</f>
        <v>0.354273333333333</v>
      </c>
      <c r="O144" s="82" t="n">
        <f aca="false">SUM(O141:O143)</f>
        <v>0</v>
      </c>
      <c r="P144" s="82" t="n">
        <f aca="false">SUM(P141:P143)</f>
        <v>0</v>
      </c>
      <c r="Q144" s="16"/>
      <c r="R144" s="16"/>
      <c r="T144" s="131" t="n">
        <f aca="false">SUM(T141:T143)</f>
        <v>0</v>
      </c>
      <c r="U144" s="131" t="n">
        <f aca="false">SUM(U141:U143)</f>
        <v>0</v>
      </c>
      <c r="V144" s="131" t="n">
        <f aca="false">SUM(V141:V143)</f>
        <v>0</v>
      </c>
      <c r="W144" s="131" t="n">
        <f aca="false">SUM(W141:W143)</f>
        <v>0</v>
      </c>
      <c r="X144" s="131" t="n">
        <f aca="false">SUM(X141:X143)</f>
        <v>0</v>
      </c>
      <c r="Y144" s="131" t="n">
        <f aca="false">SUM(Y141:Y143)</f>
        <v>0</v>
      </c>
      <c r="Z144" s="131" t="n">
        <f aca="false">SUM(Z141:Z143)</f>
        <v>0</v>
      </c>
      <c r="AA144" s="131" t="n">
        <f aca="false">SUM(AA141:AA143)</f>
        <v>0</v>
      </c>
      <c r="AB144" s="131" t="n">
        <f aca="false">SUM(AB141:AB143)</f>
        <v>0</v>
      </c>
      <c r="AC144" s="131" t="n">
        <f aca="false">SUM(AC141:AC143)</f>
        <v>0</v>
      </c>
      <c r="AD144" s="131" t="n">
        <f aca="false">SUM(AD141:AD143)</f>
        <v>0</v>
      </c>
      <c r="AE144" s="131" t="n">
        <f aca="false">SUM(AE141:AE143)</f>
        <v>0</v>
      </c>
      <c r="AF144" s="131" t="n">
        <f aca="false">SUM(AF141:AF143)</f>
        <v>0.0997577777777778</v>
      </c>
      <c r="AG144" s="131" t="n">
        <f aca="false">SUM(AG141:AG143)</f>
        <v>0.0997577777777778</v>
      </c>
      <c r="AH144" s="131" t="n">
        <f aca="false">SUM(AH141:AH143)</f>
        <v>0.273091111111111</v>
      </c>
      <c r="AI144" s="131" t="n">
        <f aca="false">SUM(AI141:AI143)</f>
        <v>0.273091111111111</v>
      </c>
      <c r="AJ144" s="131" t="n">
        <f aca="false">SUM(AJ141:AJ143)</f>
        <v>0.233091111111111</v>
      </c>
      <c r="AK144" s="131" t="n">
        <f aca="false">SUM(AK141:AK143)</f>
        <v>0.233091111111111</v>
      </c>
      <c r="AL144" s="131" t="n">
        <f aca="false">SUM(AL141:AL143)</f>
        <v>0.233091111111111</v>
      </c>
      <c r="AM144" s="131" t="n">
        <f aca="false">SUM(AM141:AM143)</f>
        <v>0.233091111111111</v>
      </c>
      <c r="AN144" s="131" t="n">
        <f aca="false">SUM(AN141:AN143)</f>
        <v>0.118091111111111</v>
      </c>
      <c r="AO144" s="131" t="n">
        <f aca="false">SUM(AO141:AO143)</f>
        <v>0.118091111111111</v>
      </c>
      <c r="AP144" s="131" t="n">
        <f aca="false">SUM(AP141:AP143)</f>
        <v>0.118091111111111</v>
      </c>
      <c r="AQ144" s="131" t="n">
        <f aca="false">SUM(AQ141:AQ143)</f>
        <v>0.118091111111111</v>
      </c>
      <c r="AR144" s="131" t="n">
        <f aca="false">SUM(AR141:AR143)</f>
        <v>0.118091111111111</v>
      </c>
      <c r="AS144" s="131" t="n">
        <f aca="false">SUM(AS141:AS143)</f>
        <v>0.118091111111111</v>
      </c>
      <c r="AT144" s="131" t="n">
        <f aca="false">SUM(AT141:AT143)</f>
        <v>0.118091111111111</v>
      </c>
      <c r="AU144" s="131" t="n">
        <f aca="false">SUM(AU141:AU143)</f>
        <v>0</v>
      </c>
      <c r="AV144" s="131" t="n">
        <f aca="false">SUM(AV141:AV143)</f>
        <v>0</v>
      </c>
      <c r="AW144" s="131" t="n">
        <f aca="false">SUM(AW141:AW143)</f>
        <v>0</v>
      </c>
      <c r="AX144" s="131" t="n">
        <f aca="false">SUM(AX141:AX143)</f>
        <v>0</v>
      </c>
      <c r="AY144" s="131" t="n">
        <f aca="false">SUM(AY141:AY143)</f>
        <v>0</v>
      </c>
      <c r="AZ144" s="131" t="n">
        <f aca="false">SUM(AZ141:AZ143)</f>
        <v>0</v>
      </c>
      <c r="BA144" s="131" t="n">
        <f aca="false">SUM(BA141:BA143)</f>
        <v>0</v>
      </c>
      <c r="BB144" s="131" t="n">
        <f aca="false">SUM(BB141:BB143)</f>
        <v>0</v>
      </c>
      <c r="BC144" s="131" t="n">
        <f aca="false">SUM(BC141:BC143)</f>
        <v>0</v>
      </c>
      <c r="BD144" s="131" t="n">
        <f aca="false">SUM(BD141:BD143)</f>
        <v>0</v>
      </c>
      <c r="BE144" s="131" t="n">
        <f aca="false">SUM(BE141:BE143)</f>
        <v>0</v>
      </c>
      <c r="BF144" s="131" t="n">
        <f aca="false">SUM(BF141:BF143)</f>
        <v>0</v>
      </c>
      <c r="BG144" s="131" t="n">
        <f aca="false">SUM(BG141:BG143)</f>
        <v>0</v>
      </c>
      <c r="BH144" s="131" t="n">
        <f aca="false">SUM(BH141:BH143)</f>
        <v>0</v>
      </c>
      <c r="BI144" s="131" t="n">
        <f aca="false">SUM(BI141:BI143)</f>
        <v>0</v>
      </c>
      <c r="BJ144" s="131" t="n">
        <f aca="false">SUM(BJ141:BJ143)</f>
        <v>0</v>
      </c>
      <c r="BK144" s="131" t="n">
        <f aca="false">SUM(BK141:BK143)</f>
        <v>0</v>
      </c>
      <c r="BL144" s="131" t="n">
        <f aca="false">SUM(BL141:BL143)</f>
        <v>0</v>
      </c>
      <c r="BM144" s="131" t="n">
        <f aca="false">SUM(BM141:BM143)</f>
        <v>0</v>
      </c>
      <c r="BN144" s="131" t="n">
        <f aca="false">SUM(BN141:BN143)</f>
        <v>0</v>
      </c>
      <c r="BO144" s="131" t="n">
        <f aca="false">SUM(BO141:BO143)</f>
        <v>0</v>
      </c>
      <c r="BP144" s="131" t="n">
        <f aca="false">SUM(BP141:BP143)</f>
        <v>0</v>
      </c>
      <c r="BQ144" s="131" t="n">
        <f aca="false">SUM(BQ141:BQ143)</f>
        <v>0</v>
      </c>
      <c r="BR144" s="131" t="n">
        <f aca="false">SUM(BR141:BR143)</f>
        <v>0</v>
      </c>
      <c r="BS144" s="131" t="n">
        <f aca="false">SUM(BS141:BS143)</f>
        <v>0</v>
      </c>
      <c r="BT144" s="131" t="n">
        <f aca="false">SUM(BT141:BT143)</f>
        <v>0</v>
      </c>
      <c r="BU144" s="131" t="n">
        <f aca="false">SUM(BU141:BU143)</f>
        <v>0</v>
      </c>
      <c r="BV144" s="131" t="n">
        <f aca="false">SUM(BV141:BV143)</f>
        <v>0</v>
      </c>
      <c r="BW144" s="131" t="n">
        <f aca="false">SUM(BW141:BW143)</f>
        <v>0</v>
      </c>
      <c r="BX144" s="131" t="n">
        <f aca="false">SUM(BX141:BX143)</f>
        <v>0</v>
      </c>
      <c r="BY144" s="131" t="n">
        <f aca="false">SUM(BY141:BY143)</f>
        <v>0</v>
      </c>
      <c r="BZ144" s="136" t="n">
        <f aca="false">SUM(BZ141:BZ143)</f>
        <v>0</v>
      </c>
      <c r="CA144" s="136" t="n">
        <f aca="false">SUM(CA141:CA143)</f>
        <v>0</v>
      </c>
      <c r="CC144" s="136" t="n">
        <f aca="false">SUM(CC141:CC143)</f>
        <v>0</v>
      </c>
      <c r="CD144" s="136" t="n">
        <f aca="false">SUM(CD141:CD143)</f>
        <v>2.15042666666667</v>
      </c>
      <c r="CE144" s="136" t="n">
        <f aca="false">SUM(CE141:CE143)</f>
        <v>0.354273333333333</v>
      </c>
      <c r="CF144" s="136" t="n">
        <f aca="false">SUM(CF141:CF143)</f>
        <v>0</v>
      </c>
      <c r="CG144" s="136" t="n">
        <f aca="false">SUM(CG141:CG143)</f>
        <v>0</v>
      </c>
      <c r="CI144" s="136" t="n">
        <f aca="false">CC144=L144</f>
        <v>1</v>
      </c>
      <c r="CJ144" s="136" t="n">
        <f aca="false">CD144=M144</f>
        <v>1</v>
      </c>
      <c r="CK144" s="136" t="n">
        <f aca="false">CE144=N144</f>
        <v>1</v>
      </c>
      <c r="CL144" s="136" t="n">
        <f aca="false">CF144=O144</f>
        <v>1</v>
      </c>
      <c r="CM144" s="136" t="n">
        <f aca="false">CG144=P144</f>
        <v>1</v>
      </c>
    </row>
    <row r="145" s="14" customFormat="true" ht="16.5" hidden="false" customHeight="true" outlineLevel="0" collapsed="false">
      <c r="E145" s="96"/>
      <c r="L145" s="82"/>
      <c r="M145" s="82"/>
      <c r="N145" s="82"/>
      <c r="O145" s="82"/>
      <c r="P145" s="82"/>
      <c r="Q145" s="16"/>
      <c r="R145" s="16"/>
      <c r="T145" s="131"/>
      <c r="U145" s="131"/>
      <c r="V145" s="131"/>
      <c r="W145" s="131"/>
      <c r="X145" s="131"/>
      <c r="Y145" s="131"/>
      <c r="Z145" s="131"/>
      <c r="AA145" s="131"/>
      <c r="AB145" s="131"/>
      <c r="AC145" s="131"/>
      <c r="AD145" s="131"/>
      <c r="AE145" s="131"/>
      <c r="AF145" s="131"/>
      <c r="AG145" s="131"/>
      <c r="AH145" s="131"/>
      <c r="AI145" s="131"/>
      <c r="AJ145" s="131"/>
      <c r="AK145" s="131"/>
      <c r="AL145" s="131"/>
      <c r="AM145" s="131"/>
      <c r="AN145" s="131"/>
      <c r="AO145" s="131"/>
      <c r="AP145" s="131"/>
      <c r="AQ145" s="131"/>
      <c r="AR145" s="131"/>
      <c r="AS145" s="131"/>
      <c r="AT145" s="131"/>
      <c r="AU145" s="131"/>
      <c r="AV145" s="131"/>
      <c r="AW145" s="131"/>
      <c r="AX145" s="131"/>
      <c r="AY145" s="131"/>
      <c r="AZ145" s="131"/>
      <c r="BA145" s="131"/>
      <c r="BB145" s="131"/>
      <c r="BC145" s="131"/>
      <c r="BD145" s="131"/>
      <c r="BE145" s="131"/>
      <c r="BF145" s="131"/>
      <c r="BG145" s="131"/>
      <c r="BH145" s="131"/>
      <c r="BI145" s="131"/>
      <c r="BJ145" s="131"/>
      <c r="BK145" s="131"/>
      <c r="BL145" s="131"/>
      <c r="BM145" s="131"/>
      <c r="BN145" s="131"/>
      <c r="BO145" s="131"/>
      <c r="BP145" s="131"/>
      <c r="BQ145" s="131"/>
      <c r="BR145" s="131"/>
      <c r="BS145" s="131"/>
      <c r="BT145" s="131"/>
      <c r="BU145" s="131"/>
      <c r="BV145" s="131"/>
      <c r="BW145" s="131"/>
      <c r="BX145" s="131"/>
      <c r="BY145" s="131"/>
      <c r="BZ145" s="136"/>
      <c r="CA145" s="136"/>
    </row>
    <row r="146" s="14" customFormat="true" ht="16.5" hidden="false" customHeight="true" outlineLevel="0" collapsed="false">
      <c r="E146" s="96"/>
      <c r="L146" s="82"/>
      <c r="M146" s="82"/>
      <c r="N146" s="82"/>
      <c r="O146" s="82"/>
      <c r="P146" s="82"/>
      <c r="Q146" s="16"/>
      <c r="R146" s="16"/>
      <c r="T146" s="131"/>
      <c r="U146" s="131"/>
      <c r="V146" s="131"/>
      <c r="W146" s="131"/>
      <c r="X146" s="131"/>
      <c r="Y146" s="131"/>
      <c r="Z146" s="131"/>
      <c r="AA146" s="131"/>
      <c r="AB146" s="131"/>
      <c r="AC146" s="131"/>
      <c r="AD146" s="131"/>
      <c r="AE146" s="131"/>
      <c r="AF146" s="131"/>
      <c r="AG146" s="131"/>
      <c r="AH146" s="131"/>
      <c r="AI146" s="131"/>
      <c r="AJ146" s="131"/>
      <c r="AK146" s="131"/>
      <c r="AL146" s="131"/>
      <c r="AM146" s="131"/>
      <c r="AN146" s="131"/>
      <c r="AO146" s="131"/>
      <c r="AP146" s="131"/>
      <c r="AQ146" s="131"/>
      <c r="AR146" s="131"/>
      <c r="AS146" s="131"/>
      <c r="AT146" s="131"/>
      <c r="AU146" s="131"/>
      <c r="AV146" s="131"/>
      <c r="AW146" s="131"/>
      <c r="AX146" s="131"/>
      <c r="AY146" s="131"/>
      <c r="AZ146" s="131"/>
      <c r="BA146" s="131"/>
      <c r="BB146" s="131"/>
      <c r="BC146" s="131"/>
      <c r="BD146" s="131"/>
      <c r="BE146" s="131"/>
      <c r="BF146" s="131"/>
      <c r="BG146" s="131"/>
      <c r="BH146" s="131"/>
      <c r="BI146" s="131"/>
      <c r="BJ146" s="131"/>
      <c r="BK146" s="131"/>
      <c r="BL146" s="131"/>
      <c r="BM146" s="131"/>
      <c r="BN146" s="131"/>
      <c r="BO146" s="131"/>
      <c r="BP146" s="131"/>
      <c r="BQ146" s="131"/>
      <c r="BR146" s="131"/>
      <c r="BS146" s="131"/>
      <c r="BT146" s="131"/>
      <c r="BU146" s="131"/>
      <c r="BV146" s="131"/>
      <c r="BW146" s="131"/>
      <c r="BX146" s="131"/>
      <c r="BY146" s="131"/>
      <c r="BZ146" s="136"/>
      <c r="CA146" s="136"/>
    </row>
    <row r="147" s="14" customFormat="true" ht="16.5" hidden="false" customHeight="true" outlineLevel="0" collapsed="false">
      <c r="E147" s="109" t="s">
        <v>163</v>
      </c>
      <c r="F147" s="109"/>
      <c r="G147" s="109"/>
      <c r="H147" s="109"/>
      <c r="I147" s="132"/>
      <c r="J147" s="132"/>
      <c r="K147" s="132"/>
      <c r="L147" s="120" t="n">
        <f aca="false">SUM(L138, L144)</f>
        <v>0</v>
      </c>
      <c r="M147" s="120" t="n">
        <f aca="false">SUM(M138, M144)</f>
        <v>2.15042666666667</v>
      </c>
      <c r="N147" s="120" t="n">
        <f aca="false">SUM(N138, N144)</f>
        <v>0.354273333333333</v>
      </c>
      <c r="O147" s="120" t="n">
        <f aca="false">SUM(O138, O144)</f>
        <v>0</v>
      </c>
      <c r="P147" s="120" t="n">
        <f aca="false">SUM(P138, P144)</f>
        <v>0</v>
      </c>
      <c r="Q147" s="139"/>
      <c r="R147" s="139"/>
      <c r="T147" s="120" t="n">
        <f aca="false">SUM(T138, T144)</f>
        <v>0</v>
      </c>
      <c r="U147" s="120" t="n">
        <f aca="false">SUM(U138, U144)</f>
        <v>0</v>
      </c>
      <c r="V147" s="120" t="n">
        <f aca="false">SUM(V138, V144)</f>
        <v>0</v>
      </c>
      <c r="W147" s="120" t="n">
        <f aca="false">SUM(W138, W144)</f>
        <v>0</v>
      </c>
      <c r="X147" s="120" t="n">
        <f aca="false">SUM(X138, X144)</f>
        <v>0</v>
      </c>
      <c r="Y147" s="120" t="n">
        <f aca="false">SUM(Y138, Y144)</f>
        <v>0</v>
      </c>
      <c r="Z147" s="120" t="n">
        <f aca="false">SUM(Z138, Z144)</f>
        <v>0</v>
      </c>
      <c r="AA147" s="120" t="n">
        <f aca="false">SUM(AA138, AA144)</f>
        <v>0</v>
      </c>
      <c r="AB147" s="120" t="n">
        <f aca="false">SUM(AB138, AB144)</f>
        <v>0</v>
      </c>
      <c r="AC147" s="120" t="n">
        <f aca="false">SUM(AC138, AC144)</f>
        <v>0</v>
      </c>
      <c r="AD147" s="120" t="n">
        <f aca="false">SUM(AD138, AD144)</f>
        <v>0</v>
      </c>
      <c r="AE147" s="120" t="n">
        <f aca="false">SUM(AE138, AE144)</f>
        <v>0</v>
      </c>
      <c r="AF147" s="120" t="n">
        <f aca="false">SUM(AF138, AF144)</f>
        <v>0.0997577777777778</v>
      </c>
      <c r="AG147" s="120" t="n">
        <f aca="false">SUM(AG138, AG144)</f>
        <v>0.0997577777777778</v>
      </c>
      <c r="AH147" s="120" t="n">
        <f aca="false">SUM(AH138, AH144)</f>
        <v>0.273091111111111</v>
      </c>
      <c r="AI147" s="120" t="n">
        <f aca="false">SUM(AI138, AI144)</f>
        <v>0.273091111111111</v>
      </c>
      <c r="AJ147" s="120" t="n">
        <f aca="false">SUM(AJ138, AJ144)</f>
        <v>0.233091111111111</v>
      </c>
      <c r="AK147" s="120" t="n">
        <f aca="false">SUM(AK138, AK144)</f>
        <v>0.233091111111111</v>
      </c>
      <c r="AL147" s="120" t="n">
        <f aca="false">SUM(AL138, AL144)</f>
        <v>0.233091111111111</v>
      </c>
      <c r="AM147" s="120" t="n">
        <f aca="false">SUM(AM138, AM144)</f>
        <v>0.233091111111111</v>
      </c>
      <c r="AN147" s="120" t="n">
        <f aca="false">SUM(AN138, AN144)</f>
        <v>0.118091111111111</v>
      </c>
      <c r="AO147" s="120" t="n">
        <f aca="false">SUM(AO138, AO144)</f>
        <v>0.118091111111111</v>
      </c>
      <c r="AP147" s="120" t="n">
        <f aca="false">SUM(AP138, AP144)</f>
        <v>0.118091111111111</v>
      </c>
      <c r="AQ147" s="120" t="n">
        <f aca="false">SUM(AQ138, AQ144)</f>
        <v>0.118091111111111</v>
      </c>
      <c r="AR147" s="120" t="n">
        <f aca="false">SUM(AR138, AR144)</f>
        <v>0.118091111111111</v>
      </c>
      <c r="AS147" s="120" t="n">
        <f aca="false">SUM(AS138, AS144)</f>
        <v>0.118091111111111</v>
      </c>
      <c r="AT147" s="120" t="n">
        <f aca="false">SUM(AT138, AT144)</f>
        <v>0.118091111111111</v>
      </c>
      <c r="AU147" s="120" t="n">
        <f aca="false">SUM(AU138, AU144)</f>
        <v>0</v>
      </c>
      <c r="AV147" s="120" t="n">
        <f aca="false">SUM(AV138, AV144)</f>
        <v>0</v>
      </c>
      <c r="AW147" s="120" t="n">
        <f aca="false">SUM(AW138, AW144)</f>
        <v>0</v>
      </c>
      <c r="AX147" s="120" t="n">
        <f aca="false">SUM(AX138, AX144)</f>
        <v>0</v>
      </c>
      <c r="AY147" s="120" t="n">
        <f aca="false">SUM(AY138, AY144)</f>
        <v>0</v>
      </c>
      <c r="AZ147" s="120" t="n">
        <f aca="false">SUM(AZ138, AZ144)</f>
        <v>0</v>
      </c>
      <c r="BA147" s="120" t="n">
        <f aca="false">SUM(BA138, BA144)</f>
        <v>0</v>
      </c>
      <c r="BB147" s="120" t="n">
        <f aca="false">SUM(BB138, BB144)</f>
        <v>0</v>
      </c>
      <c r="BC147" s="120" t="n">
        <f aca="false">SUM(BC138, BC144)</f>
        <v>0</v>
      </c>
      <c r="BD147" s="120" t="n">
        <f aca="false">SUM(BD138, BD144)</f>
        <v>0</v>
      </c>
      <c r="BE147" s="120" t="n">
        <f aca="false">SUM(BE138, BE144)</f>
        <v>0</v>
      </c>
      <c r="BF147" s="120" t="n">
        <f aca="false">SUM(BF138, BF144)</f>
        <v>0</v>
      </c>
      <c r="BG147" s="120" t="n">
        <f aca="false">SUM(BG138, BG144)</f>
        <v>0</v>
      </c>
      <c r="BH147" s="120" t="n">
        <f aca="false">SUM(BH138, BH144)</f>
        <v>0</v>
      </c>
      <c r="BI147" s="120" t="n">
        <f aca="false">SUM(BI138, BI144)</f>
        <v>0</v>
      </c>
      <c r="BJ147" s="120" t="n">
        <f aca="false">SUM(BJ138, BJ144)</f>
        <v>0</v>
      </c>
      <c r="BK147" s="120" t="n">
        <f aca="false">SUM(BK138, BK144)</f>
        <v>0</v>
      </c>
      <c r="BL147" s="120" t="n">
        <f aca="false">SUM(BL138, BL144)</f>
        <v>0</v>
      </c>
      <c r="BM147" s="120" t="n">
        <f aca="false">SUM(BM138, BM144)</f>
        <v>0</v>
      </c>
      <c r="BN147" s="120" t="n">
        <f aca="false">SUM(BN138, BN144)</f>
        <v>0</v>
      </c>
      <c r="BO147" s="120" t="n">
        <f aca="false">SUM(BO138, BO144)</f>
        <v>0</v>
      </c>
      <c r="BP147" s="120" t="n">
        <f aca="false">SUM(BP138, BP144)</f>
        <v>0</v>
      </c>
      <c r="BQ147" s="120" t="n">
        <f aca="false">SUM(BQ138, BQ144)</f>
        <v>0</v>
      </c>
      <c r="BR147" s="120" t="n">
        <f aca="false">SUM(BR138, BR144)</f>
        <v>0</v>
      </c>
      <c r="BS147" s="120" t="n">
        <f aca="false">SUM(BS138, BS144)</f>
        <v>0</v>
      </c>
      <c r="BT147" s="120" t="n">
        <f aca="false">SUM(BT138, BT144)</f>
        <v>0</v>
      </c>
      <c r="BU147" s="120" t="n">
        <f aca="false">SUM(BU138, BU144)</f>
        <v>0</v>
      </c>
      <c r="BV147" s="120" t="n">
        <f aca="false">SUM(BV138, BV144)</f>
        <v>0</v>
      </c>
      <c r="BW147" s="120" t="n">
        <f aca="false">SUM(BW138, BW144)</f>
        <v>0</v>
      </c>
      <c r="BX147" s="120" t="n">
        <f aca="false">SUM(BX138, BX144)</f>
        <v>0</v>
      </c>
      <c r="BY147" s="120" t="n">
        <f aca="false">SUM(BY138, BY144)</f>
        <v>0</v>
      </c>
      <c r="BZ147" s="120" t="n">
        <f aca="false">SUM(BZ138, BZ144)</f>
        <v>0</v>
      </c>
      <c r="CA147" s="120" t="n">
        <f aca="false">SUM(CA138, CA144)</f>
        <v>0</v>
      </c>
      <c r="CC147" s="120" t="n">
        <f aca="false">SUM(CC138, CC144)</f>
        <v>0</v>
      </c>
      <c r="CD147" s="120" t="n">
        <f aca="false">SUM(CD138, CD144)</f>
        <v>2.15042666666667</v>
      </c>
      <c r="CE147" s="120" t="n">
        <f aca="false">SUM(CE138, CE144)</f>
        <v>0.354273333333333</v>
      </c>
      <c r="CF147" s="120" t="n">
        <f aca="false">SUM(CF138, CF144)</f>
        <v>0</v>
      </c>
      <c r="CG147" s="120" t="n">
        <f aca="false">SUM(CG138, CG144)</f>
        <v>0</v>
      </c>
      <c r="CI147" s="140" t="n">
        <f aca="false">CC147=L147</f>
        <v>1</v>
      </c>
      <c r="CJ147" s="140" t="n">
        <f aca="false">CD147=M147</f>
        <v>1</v>
      </c>
      <c r="CK147" s="140" t="n">
        <f aca="false">CE147=N147</f>
        <v>1</v>
      </c>
      <c r="CL147" s="140" t="n">
        <f aca="false">CF147=O147</f>
        <v>1</v>
      </c>
      <c r="CM147" s="140" t="n">
        <f aca="false">CG147=P147</f>
        <v>1</v>
      </c>
    </row>
    <row r="148" s="14" customFormat="true" ht="16.5" hidden="false" customHeight="true" outlineLevel="0" collapsed="false">
      <c r="E148" s="21"/>
      <c r="L148" s="88"/>
      <c r="M148" s="88"/>
      <c r="N148" s="88"/>
      <c r="O148" s="88"/>
      <c r="P148" s="88"/>
      <c r="Q148" s="121"/>
      <c r="R148" s="121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7"/>
      <c r="AH148" s="137"/>
      <c r="AI148" s="137"/>
      <c r="AJ148" s="137"/>
      <c r="AK148" s="137"/>
      <c r="AL148" s="137"/>
      <c r="AM148" s="137"/>
      <c r="AN148" s="137"/>
      <c r="AO148" s="137"/>
      <c r="AP148" s="137"/>
      <c r="AQ148" s="137"/>
      <c r="AR148" s="137"/>
      <c r="AS148" s="137"/>
      <c r="AT148" s="137"/>
      <c r="AU148" s="137"/>
      <c r="AV148" s="137"/>
      <c r="AW148" s="137"/>
      <c r="AX148" s="137"/>
      <c r="AY148" s="137"/>
      <c r="AZ148" s="137"/>
      <c r="BA148" s="137"/>
      <c r="BB148" s="137"/>
      <c r="BC148" s="137"/>
      <c r="BD148" s="137"/>
      <c r="BE148" s="137"/>
      <c r="BF148" s="137"/>
      <c r="BG148" s="137"/>
      <c r="BH148" s="137"/>
      <c r="BI148" s="137"/>
      <c r="BJ148" s="137"/>
      <c r="BK148" s="137"/>
      <c r="BL148" s="137"/>
      <c r="BM148" s="137"/>
      <c r="BN148" s="137"/>
      <c r="BO148" s="137"/>
      <c r="BP148" s="137"/>
      <c r="BQ148" s="137"/>
      <c r="BR148" s="137"/>
      <c r="BS148" s="137"/>
      <c r="BT148" s="137"/>
      <c r="BU148" s="137"/>
      <c r="BV148" s="137"/>
      <c r="BW148" s="137"/>
      <c r="BX148" s="137"/>
      <c r="BY148" s="137"/>
      <c r="BZ148" s="121"/>
      <c r="CA148" s="121"/>
    </row>
    <row r="149" s="14" customFormat="true" ht="16.5" hidden="false" customHeight="true" outlineLevel="0" collapsed="false">
      <c r="E149" s="141" t="s">
        <v>429</v>
      </c>
      <c r="F149" s="123"/>
      <c r="G149" s="123"/>
      <c r="H149" s="123"/>
      <c r="I149" s="126"/>
      <c r="J149" s="126"/>
      <c r="K149" s="142"/>
      <c r="L149" s="125" t="n">
        <f aca="false">SUM(L130, -L147)</f>
        <v>0</v>
      </c>
      <c r="M149" s="125" t="n">
        <f aca="false">SUM(M130, -M147)</f>
        <v>-2.15042666666667</v>
      </c>
      <c r="N149" s="125" t="n">
        <f aca="false">SUM(N130, -N147)</f>
        <v>-0.354273333333333</v>
      </c>
      <c r="O149" s="125" t="n">
        <f aca="false">SUM(O130, -O147)</f>
        <v>0</v>
      </c>
      <c r="P149" s="125" t="n">
        <f aca="false">SUM(P130, -P147)</f>
        <v>0</v>
      </c>
      <c r="Q149" s="143"/>
      <c r="R149" s="143"/>
      <c r="T149" s="144" t="n">
        <f aca="false">SUM(T130, -T147)</f>
        <v>0</v>
      </c>
      <c r="U149" s="144" t="n">
        <f aca="false">SUM(U130, -U147)</f>
        <v>0</v>
      </c>
      <c r="V149" s="144" t="n">
        <f aca="false">SUM(V130, -V147)</f>
        <v>0</v>
      </c>
      <c r="W149" s="144" t="n">
        <f aca="false">SUM(W130, -W147)</f>
        <v>0</v>
      </c>
      <c r="X149" s="144" t="n">
        <f aca="false">SUM(X130, -X147)</f>
        <v>0</v>
      </c>
      <c r="Y149" s="144" t="n">
        <f aca="false">SUM(Y130, -Y147)</f>
        <v>0</v>
      </c>
      <c r="Z149" s="144" t="n">
        <f aca="false">SUM(Z130, -Z147)</f>
        <v>0</v>
      </c>
      <c r="AA149" s="144" t="n">
        <f aca="false">SUM(AA130, -AA147)</f>
        <v>0</v>
      </c>
      <c r="AB149" s="144" t="n">
        <f aca="false">SUM(AB130, -AB147)</f>
        <v>0</v>
      </c>
      <c r="AC149" s="144" t="n">
        <f aca="false">SUM(AC130, -AC147)</f>
        <v>0</v>
      </c>
      <c r="AD149" s="144" t="n">
        <f aca="false">SUM(AD130, -AD147)</f>
        <v>0</v>
      </c>
      <c r="AE149" s="144" t="n">
        <f aca="false">SUM(AE130, -AE147)</f>
        <v>0</v>
      </c>
      <c r="AF149" s="144" t="n">
        <f aca="false">SUM(AF130, -AF147)</f>
        <v>-0.0997577777777778</v>
      </c>
      <c r="AG149" s="144" t="n">
        <f aca="false">SUM(AG130, -AG147)</f>
        <v>-0.0997577777777778</v>
      </c>
      <c r="AH149" s="144" t="n">
        <f aca="false">SUM(AH130, -AH147)</f>
        <v>-0.273091111111111</v>
      </c>
      <c r="AI149" s="144" t="n">
        <f aca="false">SUM(AI130, -AI147)</f>
        <v>-0.273091111111111</v>
      </c>
      <c r="AJ149" s="144" t="n">
        <f aca="false">SUM(AJ130, -AJ147)</f>
        <v>-0.233091111111111</v>
      </c>
      <c r="AK149" s="144" t="n">
        <f aca="false">SUM(AK130, -AK147)</f>
        <v>-0.233091111111111</v>
      </c>
      <c r="AL149" s="144" t="n">
        <f aca="false">SUM(AL130, -AL147)</f>
        <v>-0.233091111111111</v>
      </c>
      <c r="AM149" s="144" t="n">
        <f aca="false">SUM(AM130, -AM147)</f>
        <v>-0.233091111111111</v>
      </c>
      <c r="AN149" s="144" t="n">
        <f aca="false">SUM(AN130, -AN147)</f>
        <v>-0.118091111111111</v>
      </c>
      <c r="AO149" s="144" t="n">
        <f aca="false">SUM(AO130, -AO147)</f>
        <v>-0.118091111111111</v>
      </c>
      <c r="AP149" s="144" t="n">
        <f aca="false">SUM(AP130, -AP147)</f>
        <v>-0.118091111111111</v>
      </c>
      <c r="AQ149" s="144" t="n">
        <f aca="false">SUM(AQ130, -AQ147)</f>
        <v>-0.118091111111111</v>
      </c>
      <c r="AR149" s="144" t="n">
        <f aca="false">SUM(AR130, -AR147)</f>
        <v>-0.118091111111111</v>
      </c>
      <c r="AS149" s="144" t="n">
        <f aca="false">SUM(AS130, -AS147)</f>
        <v>-0.118091111111111</v>
      </c>
      <c r="AT149" s="144" t="n">
        <f aca="false">SUM(AT130, -AT147)</f>
        <v>-0.118091111111111</v>
      </c>
      <c r="AU149" s="144" t="n">
        <f aca="false">SUM(AU130, -AU147)</f>
        <v>0</v>
      </c>
      <c r="AV149" s="144" t="n">
        <f aca="false">SUM(AV130, -AV147)</f>
        <v>0</v>
      </c>
      <c r="AW149" s="144" t="n">
        <f aca="false">SUM(AW130, -AW147)</f>
        <v>0</v>
      </c>
      <c r="AX149" s="144" t="n">
        <f aca="false">SUM(AX130, -AX147)</f>
        <v>0</v>
      </c>
      <c r="AY149" s="144" t="n">
        <f aca="false">SUM(AY130, -AY147)</f>
        <v>0</v>
      </c>
      <c r="AZ149" s="144" t="n">
        <f aca="false">SUM(AZ130, -AZ147)</f>
        <v>0</v>
      </c>
      <c r="BA149" s="144" t="n">
        <f aca="false">SUM(BA130, -BA147)</f>
        <v>0</v>
      </c>
      <c r="BB149" s="144" t="n">
        <f aca="false">SUM(BB130, -BB147)</f>
        <v>0</v>
      </c>
      <c r="BC149" s="144" t="n">
        <f aca="false">SUM(BC130, -BC147)</f>
        <v>0</v>
      </c>
      <c r="BD149" s="144" t="n">
        <f aca="false">SUM(BD130, -BD147)</f>
        <v>0</v>
      </c>
      <c r="BE149" s="144" t="n">
        <f aca="false">SUM(BE130, -BE147)</f>
        <v>0</v>
      </c>
      <c r="BF149" s="144" t="n">
        <f aca="false">SUM(BF130, -BF147)</f>
        <v>0</v>
      </c>
      <c r="BG149" s="144" t="n">
        <f aca="false">SUM(BG130, -BG147)</f>
        <v>0</v>
      </c>
      <c r="BH149" s="144" t="n">
        <f aca="false">SUM(BH130, -BH147)</f>
        <v>0</v>
      </c>
      <c r="BI149" s="144" t="n">
        <f aca="false">SUM(BI130, -BI147)</f>
        <v>0</v>
      </c>
      <c r="BJ149" s="144" t="n">
        <f aca="false">SUM(BJ130, -BJ147)</f>
        <v>0</v>
      </c>
      <c r="BK149" s="144" t="n">
        <f aca="false">SUM(BK130, -BK147)</f>
        <v>0</v>
      </c>
      <c r="BL149" s="144" t="n">
        <f aca="false">SUM(BL130, -BL147)</f>
        <v>0</v>
      </c>
      <c r="BM149" s="144" t="n">
        <f aca="false">SUM(BM130, -BM147)</f>
        <v>0</v>
      </c>
      <c r="BN149" s="144" t="n">
        <f aca="false">SUM(BN130, -BN147)</f>
        <v>0</v>
      </c>
      <c r="BO149" s="144" t="n">
        <f aca="false">SUM(BO130, -BO147)</f>
        <v>0</v>
      </c>
      <c r="BP149" s="144" t="n">
        <f aca="false">SUM(BP130, -BP147)</f>
        <v>0</v>
      </c>
      <c r="BQ149" s="144" t="n">
        <f aca="false">SUM(BQ130, -BQ147)</f>
        <v>0</v>
      </c>
      <c r="BR149" s="144" t="n">
        <f aca="false">SUM(BR130, -BR147)</f>
        <v>0</v>
      </c>
      <c r="BS149" s="144" t="n">
        <f aca="false">SUM(BS130, -BS147)</f>
        <v>0</v>
      </c>
      <c r="BT149" s="144" t="n">
        <f aca="false">SUM(BT130, -BT147)</f>
        <v>0</v>
      </c>
      <c r="BU149" s="144" t="n">
        <f aca="false">SUM(BU130, -BU147)</f>
        <v>0</v>
      </c>
      <c r="BV149" s="144" t="n">
        <f aca="false">SUM(BV130, -BV147)</f>
        <v>0</v>
      </c>
      <c r="BW149" s="144" t="n">
        <f aca="false">SUM(BW130, -BW147)</f>
        <v>0</v>
      </c>
      <c r="BX149" s="144" t="n">
        <f aca="false">SUM(BX130, -BX147)</f>
        <v>0</v>
      </c>
      <c r="BY149" s="144" t="n">
        <f aca="false">SUM(BY130, -BY147)</f>
        <v>0</v>
      </c>
      <c r="BZ149" s="143" t="n">
        <f aca="false">SUM(BZ130, -BZ147)</f>
        <v>0</v>
      </c>
      <c r="CA149" s="143" t="n">
        <f aca="false">SUM(CA130, -CA147)</f>
        <v>0</v>
      </c>
      <c r="CC149" s="143" t="n">
        <f aca="false">SUM(CC130, -CC147)</f>
        <v>0</v>
      </c>
      <c r="CD149" s="143" t="n">
        <f aca="false">SUM(CD130, -CD147)</f>
        <v>-2.15042666666667</v>
      </c>
      <c r="CE149" s="143" t="n">
        <f aca="false">SUM(CE130, -CE147)</f>
        <v>-0.354273333333333</v>
      </c>
      <c r="CF149" s="143" t="n">
        <f aca="false">SUM(CF130, -CF147)</f>
        <v>0</v>
      </c>
      <c r="CG149" s="143" t="n">
        <f aca="false">SUM(CG130, -CG147)</f>
        <v>0</v>
      </c>
      <c r="CI149" s="143" t="n">
        <f aca="false">CC149=L149</f>
        <v>1</v>
      </c>
      <c r="CJ149" s="143" t="n">
        <f aca="false">CD149=M149</f>
        <v>1</v>
      </c>
      <c r="CK149" s="143" t="n">
        <f aca="false">CE149=N149</f>
        <v>1</v>
      </c>
      <c r="CL149" s="143" t="n">
        <f aca="false">CF149=O149</f>
        <v>1</v>
      </c>
      <c r="CM149" s="143" t="n">
        <f aca="false">CG149=P149</f>
        <v>1</v>
      </c>
    </row>
    <row r="150" s="14" customFormat="true" ht="16.5" hidden="false" customHeight="true" outlineLevel="0" collapsed="false">
      <c r="E150" s="21"/>
      <c r="H150" s="21"/>
      <c r="I150" s="21"/>
      <c r="J150" s="21"/>
      <c r="K150" s="21"/>
      <c r="L150" s="21"/>
      <c r="M150" s="21"/>
      <c r="N150" s="21"/>
      <c r="O150" s="21"/>
      <c r="P150" s="21"/>
      <c r="Q150" s="145"/>
      <c r="R150" s="145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</row>
    <row r="151" s="14" customFormat="true" ht="16.5" hidden="false" customHeight="true" outlineLevel="0" collapsed="false">
      <c r="E151" s="21"/>
      <c r="H151" s="21"/>
      <c r="I151" s="21"/>
      <c r="J151" s="21"/>
      <c r="K151" s="21"/>
      <c r="L151" s="21"/>
      <c r="M151" s="21"/>
      <c r="N151" s="21"/>
      <c r="O151" s="21"/>
      <c r="P151" s="21"/>
      <c r="Q151" s="145"/>
      <c r="R151" s="145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</row>
    <row r="152" s="14" customFormat="true" ht="16.5" hidden="true" customHeight="true" outlineLevel="1" collapsed="false">
      <c r="C152" s="19" t="s">
        <v>165</v>
      </c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20"/>
      <c r="R152" s="20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C152" s="19" t="s">
        <v>127</v>
      </c>
      <c r="CD152" s="19"/>
      <c r="CE152" s="19"/>
      <c r="CF152" s="19"/>
      <c r="CG152" s="19"/>
      <c r="CI152" s="19" t="s">
        <v>128</v>
      </c>
      <c r="CJ152" s="19"/>
      <c r="CK152" s="19"/>
      <c r="CL152" s="19"/>
      <c r="CM152" s="19"/>
    </row>
    <row r="153" s="14" customFormat="true" ht="16.5" hidden="true" customHeight="true" outlineLevel="1" collapsed="false">
      <c r="E153" s="21"/>
      <c r="H153" s="21"/>
      <c r="I153" s="21"/>
      <c r="J153" s="21"/>
      <c r="K153" s="21"/>
      <c r="L153" s="21"/>
      <c r="M153" s="21"/>
      <c r="N153" s="21"/>
      <c r="O153" s="21"/>
      <c r="P153" s="21"/>
      <c r="Q153" s="145"/>
      <c r="R153" s="145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</row>
    <row r="154" s="14" customFormat="true" ht="16.5" hidden="true" customHeight="true" outlineLevel="1" collapsed="false">
      <c r="E154" s="21"/>
      <c r="H154" s="21"/>
      <c r="I154" s="21"/>
      <c r="J154" s="21"/>
      <c r="K154" s="21"/>
      <c r="Q154" s="145"/>
      <c r="R154" s="145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</row>
    <row r="155" s="14" customFormat="true" ht="16.5" hidden="true" customHeight="true" outlineLevel="1" collapsed="false">
      <c r="E155" s="30" t="s">
        <v>166</v>
      </c>
      <c r="F155" s="31"/>
      <c r="G155" s="31"/>
      <c r="H155" s="31"/>
      <c r="I155" s="31"/>
      <c r="J155" s="31"/>
      <c r="K155" s="31"/>
      <c r="L155" s="31" t="n">
        <v>2026</v>
      </c>
      <c r="M155" s="31" t="n">
        <f aca="false">L155+1</f>
        <v>2027</v>
      </c>
      <c r="N155" s="31" t="n">
        <f aca="false">M155+1</f>
        <v>2028</v>
      </c>
      <c r="O155" s="31" t="n">
        <f aca="false">N155+1</f>
        <v>2029</v>
      </c>
      <c r="P155" s="31" t="n">
        <f aca="false">O155+1</f>
        <v>2030</v>
      </c>
      <c r="Q155" s="31" t="s">
        <v>167</v>
      </c>
      <c r="R155" s="145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</row>
    <row r="156" s="14" customFormat="true" ht="16.5" hidden="true" customHeight="true" outlineLevel="1" collapsed="false">
      <c r="E156" s="14" t="s">
        <v>168</v>
      </c>
      <c r="H156" s="21"/>
      <c r="I156" s="21"/>
      <c r="J156" s="21"/>
      <c r="K156" s="21"/>
      <c r="L156" s="90" t="n">
        <f aca="false">L117</f>
        <v>0</v>
      </c>
      <c r="M156" s="90" t="n">
        <f aca="false">M117</f>
        <v>0.912498072240113</v>
      </c>
      <c r="N156" s="90" t="n">
        <f aca="false">N117</f>
        <v>11.7041995928861</v>
      </c>
      <c r="O156" s="90" t="n">
        <f aca="false">O117</f>
        <v>12.4312297585212</v>
      </c>
      <c r="P156" s="90" t="n">
        <f aca="false">P117</f>
        <v>12.4312297585212</v>
      </c>
      <c r="Q156" s="146" t="n">
        <f aca="false">SUM(L156:P156)</f>
        <v>37.4791571821686</v>
      </c>
      <c r="R156" s="145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</row>
    <row r="157" s="14" customFormat="true" ht="16.5" hidden="true" customHeight="true" outlineLevel="1" collapsed="false">
      <c r="E157" s="14" t="s">
        <v>169</v>
      </c>
      <c r="L157" s="90" t="n">
        <f aca="false">L130</f>
        <v>0</v>
      </c>
      <c r="M157" s="90" t="n">
        <f aca="false">M130</f>
        <v>0</v>
      </c>
      <c r="N157" s="90" t="n">
        <f aca="false">N130</f>
        <v>0</v>
      </c>
      <c r="O157" s="90" t="n">
        <f aca="false">O130</f>
        <v>0</v>
      </c>
      <c r="P157" s="90" t="n">
        <f aca="false">P130</f>
        <v>0</v>
      </c>
      <c r="Q157" s="146" t="n">
        <f aca="false">SUM(L157:P157)</f>
        <v>0</v>
      </c>
      <c r="R157" s="145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</row>
    <row r="158" s="14" customFormat="true" ht="16.5" hidden="true" customHeight="true" outlineLevel="1" collapsed="false">
      <c r="E158" s="14" t="s">
        <v>170</v>
      </c>
      <c r="L158" s="90" t="n">
        <f aca="false">-L147</f>
        <v>-0</v>
      </c>
      <c r="M158" s="90" t="n">
        <f aca="false">-M147</f>
        <v>-2.15042666666667</v>
      </c>
      <c r="N158" s="90" t="n">
        <f aca="false">-N147</f>
        <v>-0.354273333333333</v>
      </c>
      <c r="O158" s="90" t="n">
        <f aca="false">-O147</f>
        <v>-0</v>
      </c>
      <c r="P158" s="90" t="n">
        <f aca="false">-P147</f>
        <v>-0</v>
      </c>
      <c r="Q158" s="146" t="n">
        <f aca="false">SUM(L158:P158)</f>
        <v>-2.5047</v>
      </c>
      <c r="R158" s="145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</row>
    <row r="159" s="14" customFormat="true" ht="16.5" hidden="true" customHeight="true" outlineLevel="1" collapsed="false">
      <c r="E159" s="228" t="s">
        <v>166</v>
      </c>
      <c r="F159" s="228"/>
      <c r="G159" s="228"/>
      <c r="H159" s="228"/>
      <c r="I159" s="228"/>
      <c r="J159" s="228"/>
      <c r="K159" s="228"/>
      <c r="L159" s="229" t="n">
        <f aca="false">SUM(L156:L158)</f>
        <v>0</v>
      </c>
      <c r="M159" s="229" t="n">
        <f aca="false">SUM(M156:M158)</f>
        <v>-1.23792859442655</v>
      </c>
      <c r="N159" s="229" t="n">
        <f aca="false">SUM(N156:N158)</f>
        <v>11.3499262595528</v>
      </c>
      <c r="O159" s="229" t="n">
        <f aca="false">SUM(O156:O158)</f>
        <v>12.4312297585212</v>
      </c>
      <c r="P159" s="229" t="n">
        <f aca="false">SUM(P156:P158)</f>
        <v>12.4312297585212</v>
      </c>
      <c r="Q159" s="230" t="n">
        <f aca="false">SUM(L159:P159)</f>
        <v>34.9744571821686</v>
      </c>
      <c r="R159" s="145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</row>
    <row r="160" s="14" customFormat="true" ht="16.5" hidden="true" customHeight="true" outlineLevel="1" collapsed="false">
      <c r="E160" s="14" t="s">
        <v>171</v>
      </c>
      <c r="H160" s="21"/>
      <c r="I160" s="21"/>
      <c r="J160" s="21"/>
      <c r="K160" s="21"/>
      <c r="L160" s="90" t="n">
        <f aca="false">L159</f>
        <v>0</v>
      </c>
      <c r="M160" s="90" t="n">
        <f aca="false">L160+M159</f>
        <v>-1.23792859442655</v>
      </c>
      <c r="N160" s="90" t="n">
        <f aca="false">M160+N159</f>
        <v>10.1119976651262</v>
      </c>
      <c r="O160" s="90" t="n">
        <f aca="false">N160+O159</f>
        <v>22.5432274236474</v>
      </c>
      <c r="P160" s="90" t="n">
        <f aca="false">O160+P159</f>
        <v>34.9744571821686</v>
      </c>
      <c r="Q160" s="146" t="n">
        <f aca="false">P160</f>
        <v>34.9744571821686</v>
      </c>
      <c r="R160" s="145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</row>
    <row r="161" s="14" customFormat="true" ht="16.5" hidden="true" customHeight="true" outlineLevel="1" collapsed="false">
      <c r="E161" s="14" t="s">
        <v>172</v>
      </c>
      <c r="H161" s="21"/>
      <c r="I161" s="21"/>
      <c r="J161" s="21"/>
      <c r="K161" s="21"/>
      <c r="L161" s="148" t="n">
        <f aca="false">IF(L160&lt;0,1,0)</f>
        <v>0</v>
      </c>
      <c r="M161" s="148" t="n">
        <f aca="false">IF(M160&lt;0,1,IF(AND(L160&lt;0,M159&gt;0),-L160/M159,0))</f>
        <v>1</v>
      </c>
      <c r="N161" s="148" t="n">
        <f aca="false">IF(N160&lt;0,1,IF(AND(M160&lt;0,N159&gt;0),-M160/N159,0))</f>
        <v>0.109069307246348</v>
      </c>
      <c r="O161" s="148" t="n">
        <f aca="false">IF(O160&lt;0,1,IF(AND(N160&lt;0,O159&gt;0),-N160/O159,0))</f>
        <v>0</v>
      </c>
      <c r="P161" s="148" t="n">
        <f aca="false">IF(P160&lt;0,1,IF(AND(O160&lt;0,P159&gt;0),-O160/P159,0))</f>
        <v>0</v>
      </c>
      <c r="Q161" s="90"/>
      <c r="R161" s="145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</row>
    <row r="162" s="14" customFormat="true" ht="16.5" hidden="true" customHeight="true" outlineLevel="1" collapsed="false">
      <c r="H162" s="21"/>
      <c r="I162" s="21"/>
      <c r="J162" s="21"/>
      <c r="K162" s="21"/>
      <c r="R162" s="145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</row>
    <row r="163" s="14" customFormat="true" ht="16.5" hidden="true" customHeight="true" outlineLevel="1" collapsed="false">
      <c r="E163" s="21" t="s">
        <v>430</v>
      </c>
      <c r="F163" s="150" t="s">
        <v>431</v>
      </c>
      <c r="G163" s="148" t="n">
        <f aca="false">IFERROR(K117/-SUM(L149:P149),"n/a")</f>
        <v>4.96316116042687</v>
      </c>
      <c r="H163" s="21"/>
      <c r="I163" s="21"/>
      <c r="J163" s="21"/>
      <c r="K163" s="21"/>
      <c r="R163" s="145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</row>
    <row r="164" s="14" customFormat="true" ht="16.5" hidden="true" customHeight="true" outlineLevel="1" collapsed="false">
      <c r="E164" s="21" t="s">
        <v>432</v>
      </c>
      <c r="F164" s="150" t="s">
        <v>433</v>
      </c>
      <c r="G164" s="231" t="n">
        <f aca="false">IFERROR(IRR($L$159:$P$159, 0.2),"n/a")</f>
        <v>9.24440584700966</v>
      </c>
      <c r="H164" s="21"/>
      <c r="I164" s="21"/>
      <c r="J164" s="21"/>
      <c r="K164" s="21"/>
      <c r="R164" s="145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</row>
    <row r="165" s="14" customFormat="true" ht="16.5" hidden="true" customHeight="true" outlineLevel="1" collapsed="false">
      <c r="E165" s="21" t="s">
        <v>434</v>
      </c>
      <c r="F165" s="150" t="s">
        <v>176</v>
      </c>
      <c r="G165" s="148" t="n">
        <f aca="false">IF(SUM(L161:P161)=5,"&gt;5",SUM(L161:P161))</f>
        <v>1.10906930724635</v>
      </c>
      <c r="H165" s="21"/>
      <c r="I165" s="21"/>
      <c r="J165" s="21"/>
      <c r="K165" s="21"/>
      <c r="R165" s="145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</row>
    <row r="166" s="14" customFormat="true" ht="16.5" hidden="true" customHeight="true" outlineLevel="1" collapsed="false">
      <c r="E166" s="21"/>
      <c r="F166" s="150"/>
      <c r="G166" s="148"/>
      <c r="H166" s="21"/>
      <c r="I166" s="21"/>
      <c r="J166" s="21"/>
      <c r="K166" s="21"/>
      <c r="R166" s="145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</row>
    <row r="167" s="14" customFormat="true" ht="16.5" hidden="true" customHeight="true" outlineLevel="1" collapsed="false">
      <c r="E167" s="21" t="s">
        <v>173</v>
      </c>
      <c r="G167" s="149" t="n">
        <v>0.095</v>
      </c>
      <c r="H167" s="21"/>
      <c r="I167" s="21"/>
      <c r="J167" s="21"/>
      <c r="K167" s="21"/>
      <c r="R167" s="145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</row>
    <row r="168" s="14" customFormat="true" ht="16.5" hidden="true" customHeight="true" outlineLevel="1" collapsed="false">
      <c r="E168" s="21" t="s">
        <v>174</v>
      </c>
      <c r="F168" s="150" t="s">
        <v>175</v>
      </c>
      <c r="G168" s="90" t="n">
        <f aca="false">SUM(L168:P168)</f>
        <v>24.1557739363794</v>
      </c>
      <c r="H168" s="21"/>
      <c r="I168" s="21"/>
      <c r="J168" s="21"/>
      <c r="K168" s="21"/>
      <c r="L168" s="90" t="n">
        <f aca="false">L159/(1+$G$167)^L$1</f>
        <v>0</v>
      </c>
      <c r="M168" s="90" t="n">
        <f aca="false">M159/(1+$G$167)^M$1</f>
        <v>-1.03244602441697</v>
      </c>
      <c r="N168" s="90" t="n">
        <f aca="false">N159/(1+$G$167)^N$1</f>
        <v>8.6447150482924</v>
      </c>
      <c r="O168" s="90" t="n">
        <f aca="false">O159/(1+$G$167)^O$1</f>
        <v>8.64684385641615</v>
      </c>
      <c r="P168" s="90" t="n">
        <f aca="false">P159/(1+$G$167)^P$1</f>
        <v>7.89666105608781</v>
      </c>
      <c r="Q168" s="90" t="n">
        <f aca="false">SUM(L168:P168)</f>
        <v>24.1557739363794</v>
      </c>
      <c r="R168" s="145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</row>
    <row r="169" s="14" customFormat="true" ht="16.5" hidden="true" customHeight="true" outlineLevel="1" collapsed="false">
      <c r="Q169" s="16"/>
      <c r="R169" s="16"/>
    </row>
    <row r="170" s="14" customFormat="true" ht="16.5" hidden="false" customHeight="true" outlineLevel="0" collapsed="false">
      <c r="Q170" s="16"/>
      <c r="R170" s="16"/>
    </row>
    <row r="171" s="14" customFormat="true" ht="16.5" hidden="false" customHeight="true" outlineLevel="0" collapsed="false">
      <c r="C171" s="19" t="s">
        <v>178</v>
      </c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20"/>
      <c r="R171" s="20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</row>
  </sheetData>
  <mergeCells count="3">
    <mergeCell ref="F8:J10"/>
    <mergeCell ref="CI62:CM62"/>
    <mergeCell ref="CI90:CM90"/>
  </mergeCells>
  <conditionalFormatting sqref="J26">
    <cfRule type="expression" priority="2" aboveAverage="0" equalAverage="0" bottom="0" percent="0" rank="0" text="" dxfId="0">
      <formula>AND($F26="Yes")</formula>
    </cfRule>
    <cfRule type="expression" priority="3" aboveAverage="0" equalAverage="0" bottom="0" percent="0" rank="0" text="" dxfId="1">
      <formula>AND($F26="No")</formula>
    </cfRule>
  </conditionalFormatting>
  <conditionalFormatting sqref="T79:CA86">
    <cfRule type="expression" priority="4" aboveAverage="0" equalAverage="0" bottom="0" percent="0" rank="0" text="" dxfId="0">
      <formula>AND($F79="Yes")</formula>
    </cfRule>
    <cfRule type="expression" priority="5" aboveAverage="0" equalAverage="0" bottom="0" percent="0" rank="0" text="" dxfId="1">
      <formula>AND($F79="No")</formula>
    </cfRule>
  </conditionalFormatting>
  <conditionalFormatting sqref="I84:P86">
    <cfRule type="expression" priority="6" aboveAverage="0" equalAverage="0" bottom="0" percent="0" rank="0" text="" dxfId="0">
      <formula>AND($F84="Yes")</formula>
    </cfRule>
    <cfRule type="expression" priority="7" aboveAverage="0" equalAverage="0" bottom="0" percent="0" rank="0" text="" dxfId="1">
      <formula>AND($F84="No")</formula>
    </cfRule>
  </conditionalFormatting>
  <conditionalFormatting sqref="I112:K113">
    <cfRule type="expression" priority="8" aboveAverage="0" equalAverage="0" bottom="0" percent="0" rank="0" text="" dxfId="0">
      <formula>AND($F112="Yes")</formula>
    </cfRule>
    <cfRule type="expression" priority="9" aboveAverage="0" equalAverage="0" bottom="0" percent="0" rank="0" text="" dxfId="1">
      <formula>AND($F112="No")</formula>
    </cfRule>
  </conditionalFormatting>
  <conditionalFormatting sqref="E94:E95">
    <cfRule type="expression" priority="10" aboveAverage="0" equalAverage="0" bottom="0" percent="0" rank="0" text="" dxfId="0">
      <formula>AND($F94="Yes")</formula>
    </cfRule>
    <cfRule type="expression" priority="11" aboveAverage="0" equalAverage="0" bottom="0" percent="0" rank="0" text="" dxfId="1">
      <formula>AND($F94="No")</formula>
    </cfRule>
  </conditionalFormatting>
  <conditionalFormatting sqref="E107:E111">
    <cfRule type="expression" priority="12" aboveAverage="0" equalAverage="0" bottom="0" percent="0" rank="0" text="" dxfId="0">
      <formula>AND($F107="Yes")</formula>
    </cfRule>
    <cfRule type="expression" priority="13" aboveAverage="0" equalAverage="0" bottom="0" percent="0" rank="0" text="" dxfId="1">
      <formula>AND($F107="No")</formula>
    </cfRule>
  </conditionalFormatting>
  <conditionalFormatting sqref="E141:E143">
    <cfRule type="expression" priority="14" aboveAverage="0" equalAverage="0" bottom="0" percent="0" rank="0" text="" dxfId="0">
      <formula>AND($F141="Yes")</formula>
    </cfRule>
    <cfRule type="expression" priority="15" aboveAverage="0" equalAverage="0" bottom="0" percent="0" rank="0" text="" dxfId="1">
      <formula>AND($F141="No")</formula>
    </cfRule>
  </conditionalFormatting>
  <conditionalFormatting sqref="E136:E137">
    <cfRule type="expression" priority="16" aboveAverage="0" equalAverage="0" bottom="0" percent="0" rank="0" text="" dxfId="0">
      <formula>AND($F136="Yes")</formula>
    </cfRule>
    <cfRule type="expression" priority="17" aboveAverage="0" equalAverage="0" bottom="0" percent="0" rank="0" text="" dxfId="1">
      <formula>AND($F136="No")</formula>
    </cfRule>
  </conditionalFormatting>
  <conditionalFormatting sqref="E126:E127">
    <cfRule type="expression" priority="18" aboveAverage="0" equalAverage="0" bottom="0" percent="0" rank="0" text="" dxfId="0">
      <formula>AND($F126="Yes")</formula>
    </cfRule>
    <cfRule type="expression" priority="19" aboveAverage="0" equalAverage="0" bottom="0" percent="0" rank="0" text="" dxfId="1">
      <formula>AND($F126="No")</formula>
    </cfRule>
  </conditionalFormatting>
  <conditionalFormatting sqref="E66:E67">
    <cfRule type="expression" priority="20" aboveAverage="0" equalAverage="0" bottom="0" percent="0" rank="0" text="" dxfId="0">
      <formula>AND($F66="Yes")</formula>
    </cfRule>
    <cfRule type="expression" priority="21" aboveAverage="0" equalAverage="0" bottom="0" percent="0" rank="0" text="" dxfId="1">
      <formula>AND($F66="No")</formula>
    </cfRule>
  </conditionalFormatting>
  <conditionalFormatting sqref="CJ152:CM152">
    <cfRule type="containsText" priority="22" operator="containsText" aboveAverage="0" equalAverage="0" bottom="0" percent="0" rank="0" text="FALSE" dxfId="2">
      <formula>NOT(ISERROR(SEARCH("FALSE",CJ152)))</formula>
    </cfRule>
  </conditionalFormatting>
  <conditionalFormatting sqref="Q141:Q143">
    <cfRule type="containsText" priority="23" operator="containsText" aboveAverage="0" equalAverage="0" bottom="0" percent="0" rank="0" text="Error" dxfId="2">
      <formula>NOT(ISERROR(SEARCH("Error",Q141)))</formula>
    </cfRule>
    <cfRule type="containsText" priority="24" operator="containsText" aboveAverage="0" equalAverage="0" bottom="0" percent="0" rank="0" text="FALSE" dxfId="2">
      <formula>NOT(ISERROR(SEARCH("FALSE",Q141)))</formula>
    </cfRule>
  </conditionalFormatting>
  <conditionalFormatting sqref="Q136:Q137">
    <cfRule type="containsText" priority="25" operator="containsText" aboveAverage="0" equalAverage="0" bottom="0" percent="0" rank="0" text="Error" dxfId="2">
      <formula>NOT(ISERROR(SEARCH("Error",Q136)))</formula>
    </cfRule>
    <cfRule type="containsText" priority="26" operator="containsText" aboveAverage="0" equalAverage="0" bottom="0" percent="0" rank="0" text="FALSE" dxfId="2">
      <formula>NOT(ISERROR(SEARCH("FALSE",Q136)))</formula>
    </cfRule>
  </conditionalFormatting>
  <conditionalFormatting sqref="Q126:Q127">
    <cfRule type="containsText" priority="27" operator="containsText" aboveAverage="0" equalAverage="0" bottom="0" percent="0" rank="0" text="Error" dxfId="2">
      <formula>NOT(ISERROR(SEARCH("Error",Q126)))</formula>
    </cfRule>
    <cfRule type="containsText" priority="28" operator="containsText" aboveAverage="0" equalAverage="0" bottom="0" percent="0" rank="0" text="FALSE" dxfId="2">
      <formula>NOT(ISERROR(SEARCH("FALSE",Q126)))</formula>
    </cfRule>
  </conditionalFormatting>
  <conditionalFormatting sqref="J56:J57">
    <cfRule type="expression" priority="29" aboveAverage="0" equalAverage="0" bottom="0" percent="0" rank="0" text="" dxfId="0">
      <formula>AND($F56="Yes")</formula>
    </cfRule>
    <cfRule type="expression" priority="30" aboveAverage="0" equalAverage="0" bottom="0" percent="0" rank="0" text="" dxfId="1">
      <formula>AND($F56="No")</formula>
    </cfRule>
  </conditionalFormatting>
  <conditionalFormatting sqref="J46:J47 J51">
    <cfRule type="expression" priority="31" aboveAverage="0" equalAverage="0" bottom="0" percent="0" rank="0" text="" dxfId="0">
      <formula>AND($F46="Yes")</formula>
    </cfRule>
    <cfRule type="expression" priority="32" aboveAverage="0" equalAverage="0" bottom="0" percent="0" rank="0" text="" dxfId="1">
      <formula>AND($F46="No")</formula>
    </cfRule>
  </conditionalFormatting>
  <conditionalFormatting sqref="J52">
    <cfRule type="expression" priority="33" aboveAverage="0" equalAverage="0" bottom="0" percent="0" rank="0" text="" dxfId="0">
      <formula>AND(#ref!="Yes")</formula>
    </cfRule>
    <cfRule type="expression" priority="34" aboveAverage="0" equalAverage="0" bottom="0" percent="0" rank="0" text="" dxfId="1">
      <formula>AND(#ref!="No")</formula>
    </cfRule>
  </conditionalFormatting>
  <conditionalFormatting sqref="J42:J43">
    <cfRule type="expression" priority="35" aboveAverage="0" equalAverage="0" bottom="0" percent="0" rank="0" text="" dxfId="0">
      <formula>AND($F42="Yes")</formula>
    </cfRule>
    <cfRule type="expression" priority="36" aboveAverage="0" equalAverage="0" bottom="0" percent="0" rank="0" text="" dxfId="1">
      <formula>AND($F42="No")</formula>
    </cfRule>
  </conditionalFormatting>
  <conditionalFormatting sqref="J32:J33 J37">
    <cfRule type="expression" priority="37" aboveAverage="0" equalAverage="0" bottom="0" percent="0" rank="0" text="" dxfId="0">
      <formula>AND($F32="Yes")</formula>
    </cfRule>
    <cfRule type="expression" priority="38" aboveAverage="0" equalAverage="0" bottom="0" percent="0" rank="0" text="" dxfId="1">
      <formula>AND($F32="No")</formula>
    </cfRule>
  </conditionalFormatting>
  <conditionalFormatting sqref="J38">
    <cfRule type="expression" priority="39" aboveAverage="0" equalAverage="0" bottom="0" percent="0" rank="0" text="" dxfId="0">
      <formula>AND(#ref!="Yes")</formula>
    </cfRule>
    <cfRule type="expression" priority="40" aboveAverage="0" equalAverage="0" bottom="0" percent="0" rank="0" text="" dxfId="1">
      <formula>AND(#ref!="No")</formula>
    </cfRule>
  </conditionalFormatting>
  <conditionalFormatting sqref="CJ171:CM171">
    <cfRule type="containsText" priority="41" operator="containsText" aboveAverage="0" equalAverage="0" bottom="0" percent="0" rank="0" text="FALSE" dxfId="2">
      <formula>NOT(ISERROR(SEARCH("FALSE",CJ171)))</formula>
    </cfRule>
  </conditionalFormatting>
  <conditionalFormatting sqref="CJ120:CM120">
    <cfRule type="containsText" priority="42" operator="containsText" aboveAverage="0" equalAverage="0" bottom="0" percent="0" rank="0" text="FALSE" dxfId="2">
      <formula>NOT(ISERROR(SEARCH("FALSE",CJ120)))</formula>
    </cfRule>
  </conditionalFormatting>
  <conditionalFormatting sqref="P18:P21">
    <cfRule type="containsText" priority="43" operator="containsText" aboveAverage="0" equalAverage="0" bottom="0" percent="0" rank="0" text="PASS" dxfId="3">
      <formula>NOT(ISERROR(SEARCH("PASS",P18)))</formula>
    </cfRule>
  </conditionalFormatting>
  <conditionalFormatting sqref="CI141:CM144">
    <cfRule type="expression" priority="44" aboveAverage="0" equalAverage="0" bottom="0" percent="0" rank="0" text="" dxfId="0">
      <formula>AND($F141="Yes")</formula>
    </cfRule>
    <cfRule type="expression" priority="45" aboveAverage="0" equalAverage="0" bottom="0" percent="0" rank="0" text="" dxfId="1">
      <formula>AND($F141="No")</formula>
    </cfRule>
  </conditionalFormatting>
  <conditionalFormatting sqref="CI136:CM138">
    <cfRule type="expression" priority="46" aboveAverage="0" equalAverage="0" bottom="0" percent="0" rank="0" text="" dxfId="0">
      <formula>AND($F136="Yes")</formula>
    </cfRule>
    <cfRule type="expression" priority="47" aboveAverage="0" equalAverage="0" bottom="0" percent="0" rank="0" text="" dxfId="1">
      <formula>AND($F136="No")</formula>
    </cfRule>
  </conditionalFormatting>
  <conditionalFormatting sqref="CC141:CG144">
    <cfRule type="expression" priority="48" aboveAverage="0" equalAverage="0" bottom="0" percent="0" rank="0" text="" dxfId="0">
      <formula>AND($F141="Yes")</formula>
    </cfRule>
    <cfRule type="expression" priority="49" aboveAverage="0" equalAverage="0" bottom="0" percent="0" rank="0" text="" dxfId="1">
      <formula>AND($F141="No")</formula>
    </cfRule>
  </conditionalFormatting>
  <conditionalFormatting sqref="CC136:CG138">
    <cfRule type="expression" priority="50" aboveAverage="0" equalAverage="0" bottom="0" percent="0" rank="0" text="" dxfId="0">
      <formula>AND($F136="Yes")</formula>
    </cfRule>
    <cfRule type="expression" priority="51" aboveAverage="0" equalAverage="0" bottom="0" percent="0" rank="0" text="" dxfId="1">
      <formula>AND($F136="No")</formula>
    </cfRule>
  </conditionalFormatting>
  <conditionalFormatting sqref="V112:CA113">
    <cfRule type="expression" priority="52" aboveAverage="0" equalAverage="0" bottom="0" percent="0" rank="0" text="" dxfId="0">
      <formula>AND($F112="Yes")</formula>
    </cfRule>
    <cfRule type="expression" priority="53" aboveAverage="0" equalAverage="0" bottom="0" percent="0" rank="0" text="" dxfId="1">
      <formula>AND($F112="No")</formula>
    </cfRule>
  </conditionalFormatting>
  <conditionalFormatting sqref="T136:CA138">
    <cfRule type="expression" priority="54" aboveAverage="0" equalAverage="0" bottom="0" percent="0" rank="0" text="" dxfId="0">
      <formula>AND($F136="Yes")</formula>
    </cfRule>
    <cfRule type="expression" priority="55" aboveAverage="0" equalAverage="0" bottom="0" percent="0" rank="0" text="" dxfId="1">
      <formula>AND($F136="No")</formula>
    </cfRule>
  </conditionalFormatting>
  <conditionalFormatting sqref="V85:CA85">
    <cfRule type="expression" priority="56" aboveAverage="0" equalAverage="0" bottom="0" percent="0" rank="0" text="" dxfId="0">
      <formula>AND($F85="Yes")</formula>
    </cfRule>
    <cfRule type="expression" priority="57" aboveAverage="0" equalAverage="0" bottom="0" percent="0" rank="0" text="" dxfId="1">
      <formula>AND($F85="No")</formula>
    </cfRule>
  </conditionalFormatting>
  <conditionalFormatting sqref="T141:CA146">
    <cfRule type="expression" priority="58" aboveAverage="0" equalAverage="0" bottom="0" percent="0" rank="0" text="" dxfId="0">
      <formula>AND($F141="Yes")</formula>
    </cfRule>
    <cfRule type="expression" priority="59" aboveAverage="0" equalAverage="0" bottom="0" percent="0" rank="0" text="" dxfId="1">
      <formula>AND($F141="No")</formula>
    </cfRule>
  </conditionalFormatting>
  <conditionalFormatting sqref="Q63:R113 Q123">
    <cfRule type="containsText" priority="60" operator="containsText" aboveAverage="0" equalAverage="0" bottom="0" percent="0" rank="0" text="Error" dxfId="2">
      <formula>NOT(ISERROR(SEARCH("Error",Q63)))</formula>
    </cfRule>
  </conditionalFormatting>
  <conditionalFormatting sqref="Q66:R90 Q92:R113 CI66:CM119 CI121:CM149">
    <cfRule type="containsText" priority="61" operator="containsText" aboveAverage="0" equalAverage="0" bottom="0" percent="0" rank="0" text="FALSE" dxfId="2">
      <formula>NOT(ISERROR(SEARCH("FALSE",Q66)))</formula>
    </cfRule>
  </conditionalFormatting>
  <conditionalFormatting sqref="L136:P138">
    <cfRule type="expression" priority="62" aboveAverage="0" equalAverage="0" bottom="0" percent="0" rank="0" text="" dxfId="0">
      <formula>AND($F136="Yes")</formula>
    </cfRule>
    <cfRule type="expression" priority="63" aboveAverage="0" equalAverage="0" bottom="0" percent="0" rank="0" text="" dxfId="1">
      <formula>AND($F136="No")</formula>
    </cfRule>
  </conditionalFormatting>
  <conditionalFormatting sqref="Q117:R117">
    <cfRule type="containsText" priority="64" operator="containsText" aboveAverage="0" equalAverage="0" bottom="0" percent="0" rank="0" text="Error" dxfId="2">
      <formula>NOT(ISERROR(SEARCH("Error",Q117)))</formula>
    </cfRule>
    <cfRule type="containsText" priority="65" operator="containsText" aboveAverage="0" equalAverage="0" bottom="0" percent="0" rank="0" text="FALSE" dxfId="2">
      <formula>NOT(ISERROR(SEARCH("FALSE",Q117)))</formula>
    </cfRule>
  </conditionalFormatting>
  <conditionalFormatting sqref="I96:K96">
    <cfRule type="expression" priority="66" aboveAverage="0" equalAverage="0" bottom="0" percent="0" rank="0" text="" dxfId="0">
      <formula>AND($F96="Yes")</formula>
    </cfRule>
    <cfRule type="expression" priority="67" aboveAverage="0" equalAverage="0" bottom="0" percent="0" rank="0" text="" dxfId="1">
      <formula>AND($F96="No")</formula>
    </cfRule>
  </conditionalFormatting>
  <conditionalFormatting sqref="I104:K104">
    <cfRule type="expression" priority="68" aboveAverage="0" equalAverage="0" bottom="0" percent="0" rank="0" text="" dxfId="0">
      <formula>AND($F104="Yes")</formula>
    </cfRule>
    <cfRule type="expression" priority="69" aboveAverage="0" equalAverage="0" bottom="0" percent="0" rank="0" text="" dxfId="1">
      <formula>AND($F104="No")</formula>
    </cfRule>
  </conditionalFormatting>
  <conditionalFormatting sqref="E71:E75 E79:E83 E99:E103 F6:G6 I66:J67 I71:J75 I79:J83 I94:J95 I99:J103 I107:J111 J18:J21 J29 L66:P67 L71:P75 L79:P83 L94:P96 L99:P104 L107:P113 L126:P129 L141:P146 T66:CA68 T71:CA76 T94:CA96 T99:CA104 T107:CA113 T126:CA129 CC66:CG68 CC71:CG76 CC79:CG86 CC94:CG96 CC99:CG104 CC107:CG113 CC126:CG128 CI66:CM68 CI71:CM76 CI79:CM86 CI94:CM96 CI99:CM104 CI107:CM113 CI126:CM128">
    <cfRule type="expression" priority="70" aboveAverage="0" equalAverage="0" bottom="0" percent="0" rank="0" text="" dxfId="0">
      <formula>AND($F6="Yes")</formula>
    </cfRule>
    <cfRule type="expression" priority="71" aboveAverage="0" equalAverage="0" bottom="0" percent="0" rank="0" text="" dxfId="1">
      <formula>AND($F6="No")</formula>
    </cfRule>
  </conditionalFormatting>
  <conditionalFormatting sqref="E97">
    <cfRule type="expression" priority="72" aboveAverage="0" equalAverage="0" bottom="0" percent="0" rank="0" text="" dxfId="4">
      <formula>AND($F97="Yes")</formula>
    </cfRule>
    <cfRule type="expression" priority="73" aboveAverage="0" equalAverage="0" bottom="0" percent="0" rank="0" text="" dxfId="5">
      <formula>AND($F97="No")</formula>
    </cfRule>
  </conditionalFormatting>
  <conditionalFormatting sqref="E114">
    <cfRule type="expression" priority="74" aboveAverage="0" equalAverage="0" bottom="0" percent="0" rank="0" text="" dxfId="4">
      <formula>AND($F114="Yes")</formula>
    </cfRule>
    <cfRule type="expression" priority="75" aboveAverage="0" equalAverage="0" bottom="0" percent="0" rank="0" text="" dxfId="5">
      <formula>AND($F114="No")</formula>
    </cfRule>
  </conditionalFormatting>
  <conditionalFormatting sqref="I68:P68">
    <cfRule type="expression" priority="76" aboveAverage="0" equalAverage="0" bottom="0" percent="0" rank="0" text="" dxfId="0">
      <formula>AND($F68="Yes")</formula>
    </cfRule>
    <cfRule type="expression" priority="77" aboveAverage="0" equalAverage="0" bottom="0" percent="0" rank="0" text="" dxfId="1">
      <formula>AND($F68="No")</formula>
    </cfRule>
  </conditionalFormatting>
  <conditionalFormatting sqref="D136:D137 E69 E132">
    <cfRule type="expression" priority="78" aboveAverage="0" equalAverage="0" bottom="0" percent="0" rank="0" text="" dxfId="4">
      <formula>AND($F69="Yes")</formula>
    </cfRule>
    <cfRule type="expression" priority="79" aboveAverage="0" equalAverage="0" bottom="0" percent="0" rank="0" text="" dxfId="5">
      <formula>AND($F69="No")</formula>
    </cfRule>
  </conditionalFormatting>
  <conditionalFormatting sqref="I76:P76">
    <cfRule type="expression" priority="80" aboveAverage="0" equalAverage="0" bottom="0" percent="0" rank="0" text="" dxfId="0">
      <formula>AND($F76="Yes")</formula>
    </cfRule>
    <cfRule type="expression" priority="81" aboveAverage="0" equalAverage="0" bottom="0" percent="0" rank="0" text="" dxfId="1">
      <formula>AND($F76="No")</formula>
    </cfRule>
  </conditionalFormatting>
  <conditionalFormatting sqref="E87">
    <cfRule type="expression" priority="82" aboveAverage="0" equalAverage="0" bottom="0" percent="0" rank="0" text="" dxfId="4">
      <formula>AND($F87="Yes")</formula>
    </cfRule>
    <cfRule type="expression" priority="83" aboveAverage="0" equalAverage="0" bottom="0" percent="0" rank="0" text="" dxfId="5">
      <formula>AND($F87="No")</formula>
    </cfRule>
  </conditionalFormatting>
  <conditionalFormatting sqref="G167 J24:J25">
    <cfRule type="expression" priority="84" aboveAverage="0" equalAverage="0" bottom="0" percent="0" rank="0" text="" dxfId="0">
      <formula>AND(#ref!="Yes")</formula>
    </cfRule>
    <cfRule type="expression" priority="85" aboveAverage="0" equalAverage="0" bottom="0" percent="0" rank="0" text="" dxfId="1">
      <formula>AND(#ref!="No")</formula>
    </cfRule>
  </conditionalFormatting>
  <printOptions headings="false" gridLines="false" gridLinesSet="true" horizontalCentered="true" verticalCentered="false"/>
  <pageMargins left="0.25" right="0.25" top="0.75" bottom="0.75" header="0.511811023622047" footer="0.511811023622047"/>
  <pageSetup paperSize="1" scale="2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B2:CA1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6" topLeftCell="G7" activePane="bottomRight" state="frozen"/>
      <selection pane="topLeft" activeCell="A1" activeCellId="0" sqref="A1"/>
      <selection pane="topRight" activeCell="G1" activeCellId="0" sqref="G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4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8" min="6" style="0" width="15"/>
    <col collapsed="false" customWidth="true" hidden="false" outlineLevel="0" max="9" min="9" style="0" width="13"/>
    <col collapsed="false" customWidth="true" hidden="false" outlineLevel="0" max="10" min="10" style="0" width="2"/>
    <col collapsed="false" customWidth="true" hidden="false" outlineLevel="0" max="11" min="11" style="0" width="12"/>
    <col collapsed="false" customWidth="true" hidden="false" outlineLevel="0" max="16" min="12" style="0" width="11"/>
    <col collapsed="false" customWidth="true" hidden="false" outlineLevel="0" max="17" min="17" style="0" width="2"/>
    <col collapsed="false" customWidth="true" hidden="false" outlineLevel="0" max="18" min="18" style="0" width="60"/>
    <col collapsed="false" customWidth="true" hidden="false" outlineLevel="0" max="19" min="19" style="0" width="2"/>
    <col collapsed="false" customWidth="true" hidden="false" outlineLevel="0" max="79" min="20" style="0" width="9"/>
  </cols>
  <sheetData>
    <row r="2" customFormat="false" ht="24" hidden="false" customHeight="true" outlineLevel="0" collapsed="false">
      <c r="B2" s="153" t="s">
        <v>492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B3" s="154" t="s">
        <v>493</v>
      </c>
    </row>
    <row r="5" customFormat="false" ht="15" hidden="false" customHeight="false" outlineLevel="0" collapsed="false">
      <c r="T5" s="175" t="n">
        <v>2026</v>
      </c>
      <c r="U5" s="175" t="n">
        <v>2026</v>
      </c>
      <c r="V5" s="175" t="n">
        <v>2026</v>
      </c>
      <c r="W5" s="175" t="n">
        <v>2026</v>
      </c>
      <c r="X5" s="175" t="n">
        <v>2026</v>
      </c>
      <c r="Y5" s="175" t="n">
        <v>2026</v>
      </c>
      <c r="Z5" s="175" t="n">
        <v>2026</v>
      </c>
      <c r="AA5" s="175" t="n">
        <v>2026</v>
      </c>
      <c r="AB5" s="175" t="n">
        <v>2026</v>
      </c>
      <c r="AC5" s="175" t="n">
        <v>2026</v>
      </c>
      <c r="AD5" s="175" t="n">
        <v>2026</v>
      </c>
      <c r="AE5" s="175" t="n">
        <v>2026</v>
      </c>
      <c r="AF5" s="175" t="n">
        <v>2027</v>
      </c>
      <c r="AG5" s="175" t="n">
        <v>2027</v>
      </c>
      <c r="AH5" s="175" t="n">
        <v>2027</v>
      </c>
      <c r="AI5" s="175" t="n">
        <v>2027</v>
      </c>
      <c r="AJ5" s="175" t="n">
        <v>2027</v>
      </c>
      <c r="AK5" s="175" t="n">
        <v>2027</v>
      </c>
      <c r="AL5" s="175" t="n">
        <v>2027</v>
      </c>
      <c r="AM5" s="175" t="n">
        <v>2027</v>
      </c>
      <c r="AN5" s="175" t="n">
        <v>2027</v>
      </c>
      <c r="AO5" s="175" t="n">
        <v>2027</v>
      </c>
      <c r="AP5" s="175" t="n">
        <v>2027</v>
      </c>
      <c r="AQ5" s="175" t="n">
        <v>2027</v>
      </c>
      <c r="AR5" s="175" t="n">
        <v>2028</v>
      </c>
      <c r="AS5" s="175" t="n">
        <v>2028</v>
      </c>
      <c r="AT5" s="175" t="n">
        <v>2028</v>
      </c>
      <c r="AU5" s="175" t="n">
        <v>2028</v>
      </c>
      <c r="AV5" s="175" t="n">
        <v>2028</v>
      </c>
      <c r="AW5" s="175" t="n">
        <v>2028</v>
      </c>
      <c r="AX5" s="175" t="n">
        <v>2028</v>
      </c>
      <c r="AY5" s="175" t="n">
        <v>2028</v>
      </c>
      <c r="AZ5" s="175" t="n">
        <v>2028</v>
      </c>
      <c r="BA5" s="175" t="n">
        <v>2028</v>
      </c>
      <c r="BB5" s="175" t="n">
        <v>2028</v>
      </c>
      <c r="BC5" s="175" t="n">
        <v>2028</v>
      </c>
      <c r="BD5" s="175" t="n">
        <v>2029</v>
      </c>
      <c r="BE5" s="175" t="n">
        <v>2029</v>
      </c>
      <c r="BF5" s="175" t="n">
        <v>2029</v>
      </c>
      <c r="BG5" s="175" t="n">
        <v>2029</v>
      </c>
      <c r="BH5" s="175" t="n">
        <v>2029</v>
      </c>
      <c r="BI5" s="175" t="n">
        <v>2029</v>
      </c>
      <c r="BJ5" s="175" t="n">
        <v>2029</v>
      </c>
      <c r="BK5" s="175" t="n">
        <v>2029</v>
      </c>
      <c r="BL5" s="175" t="n">
        <v>2029</v>
      </c>
      <c r="BM5" s="175" t="n">
        <v>2029</v>
      </c>
      <c r="BN5" s="175" t="n">
        <v>2029</v>
      </c>
      <c r="BO5" s="175" t="n">
        <v>2029</v>
      </c>
      <c r="BP5" s="175" t="n">
        <v>2030</v>
      </c>
      <c r="BQ5" s="175" t="n">
        <v>2030</v>
      </c>
      <c r="BR5" s="175" t="n">
        <v>2030</v>
      </c>
      <c r="BS5" s="175" t="n">
        <v>2030</v>
      </c>
      <c r="BT5" s="175" t="n">
        <v>2030</v>
      </c>
      <c r="BU5" s="175" t="n">
        <v>2030</v>
      </c>
      <c r="BV5" s="175" t="n">
        <v>2030</v>
      </c>
      <c r="BW5" s="175" t="n">
        <v>2030</v>
      </c>
      <c r="BX5" s="175" t="n">
        <v>2030</v>
      </c>
      <c r="BY5" s="175" t="n">
        <v>2030</v>
      </c>
      <c r="BZ5" s="175" t="n">
        <v>2030</v>
      </c>
      <c r="CA5" s="175" t="n">
        <v>2030</v>
      </c>
    </row>
    <row r="6" customFormat="false" ht="15" hidden="false" customHeight="false" outlineLevel="0" collapsed="false">
      <c r="B6" s="161" t="s">
        <v>258</v>
      </c>
      <c r="K6" s="176" t="s">
        <v>259</v>
      </c>
      <c r="L6" s="176" t="n">
        <v>2026</v>
      </c>
      <c r="M6" s="176" t="n">
        <v>2027</v>
      </c>
      <c r="N6" s="176" t="n">
        <v>2028</v>
      </c>
      <c r="O6" s="176" t="n">
        <v>2029</v>
      </c>
      <c r="P6" s="176" t="n">
        <v>2030</v>
      </c>
      <c r="T6" s="177" t="n">
        <f aca="false">DATE(2026,1,31)</f>
        <v>46053</v>
      </c>
      <c r="U6" s="177" t="n">
        <f aca="false">EOMONTH(T6,1)</f>
        <v>46081</v>
      </c>
      <c r="V6" s="177" t="n">
        <f aca="false">EOMONTH(U6,1)</f>
        <v>46112</v>
      </c>
      <c r="W6" s="177" t="n">
        <f aca="false">EOMONTH(V6,1)</f>
        <v>46142</v>
      </c>
      <c r="X6" s="177" t="n">
        <f aca="false">EOMONTH(W6,1)</f>
        <v>46173</v>
      </c>
      <c r="Y6" s="177" t="n">
        <f aca="false">EOMONTH(X6,1)</f>
        <v>46203</v>
      </c>
      <c r="Z6" s="177" t="n">
        <f aca="false">EOMONTH(Y6,1)</f>
        <v>46234</v>
      </c>
      <c r="AA6" s="177" t="n">
        <f aca="false">EOMONTH(Z6,1)</f>
        <v>46265</v>
      </c>
      <c r="AB6" s="177" t="n">
        <f aca="false">EOMONTH(AA6,1)</f>
        <v>46295</v>
      </c>
      <c r="AC6" s="177" t="n">
        <f aca="false">EOMONTH(AB6,1)</f>
        <v>46326</v>
      </c>
      <c r="AD6" s="177" t="n">
        <f aca="false">EOMONTH(AC6,1)</f>
        <v>46356</v>
      </c>
      <c r="AE6" s="177" t="n">
        <f aca="false">EOMONTH(AD6,1)</f>
        <v>46387</v>
      </c>
      <c r="AF6" s="177" t="n">
        <f aca="false">EOMONTH(AE6,1)</f>
        <v>46418</v>
      </c>
      <c r="AG6" s="177" t="n">
        <f aca="false">EOMONTH(AF6,1)</f>
        <v>46446</v>
      </c>
      <c r="AH6" s="177" t="n">
        <f aca="false">EOMONTH(AG6,1)</f>
        <v>46477</v>
      </c>
      <c r="AI6" s="177" t="n">
        <f aca="false">EOMONTH(AH6,1)</f>
        <v>46507</v>
      </c>
      <c r="AJ6" s="177" t="n">
        <f aca="false">EOMONTH(AI6,1)</f>
        <v>46538</v>
      </c>
      <c r="AK6" s="177" t="n">
        <f aca="false">EOMONTH(AJ6,1)</f>
        <v>46568</v>
      </c>
      <c r="AL6" s="177" t="n">
        <f aca="false">EOMONTH(AK6,1)</f>
        <v>46599</v>
      </c>
      <c r="AM6" s="177" t="n">
        <f aca="false">EOMONTH(AL6,1)</f>
        <v>46630</v>
      </c>
      <c r="AN6" s="177" t="n">
        <f aca="false">EOMONTH(AM6,1)</f>
        <v>46660</v>
      </c>
      <c r="AO6" s="177" t="n">
        <f aca="false">EOMONTH(AN6,1)</f>
        <v>46691</v>
      </c>
      <c r="AP6" s="177" t="n">
        <f aca="false">EOMONTH(AO6,1)</f>
        <v>46721</v>
      </c>
      <c r="AQ6" s="177" t="n">
        <f aca="false">EOMONTH(AP6,1)</f>
        <v>46752</v>
      </c>
      <c r="AR6" s="177" t="n">
        <f aca="false">EOMONTH(AQ6,1)</f>
        <v>46783</v>
      </c>
      <c r="AS6" s="177" t="n">
        <f aca="false">EOMONTH(AR6,1)</f>
        <v>46812</v>
      </c>
      <c r="AT6" s="177" t="n">
        <f aca="false">EOMONTH(AS6,1)</f>
        <v>46843</v>
      </c>
      <c r="AU6" s="177" t="n">
        <f aca="false">EOMONTH(AT6,1)</f>
        <v>46873</v>
      </c>
      <c r="AV6" s="177" t="n">
        <f aca="false">EOMONTH(AU6,1)</f>
        <v>46904</v>
      </c>
      <c r="AW6" s="177" t="n">
        <f aca="false">EOMONTH(AV6,1)</f>
        <v>46934</v>
      </c>
      <c r="AX6" s="177" t="n">
        <f aca="false">EOMONTH(AW6,1)</f>
        <v>46965</v>
      </c>
      <c r="AY6" s="177" t="n">
        <f aca="false">EOMONTH(AX6,1)</f>
        <v>46996</v>
      </c>
      <c r="AZ6" s="177" t="n">
        <f aca="false">EOMONTH(AY6,1)</f>
        <v>47026</v>
      </c>
      <c r="BA6" s="177" t="n">
        <f aca="false">EOMONTH(AZ6,1)</f>
        <v>47057</v>
      </c>
      <c r="BB6" s="177" t="n">
        <f aca="false">EOMONTH(BA6,1)</f>
        <v>47087</v>
      </c>
      <c r="BC6" s="177" t="n">
        <f aca="false">EOMONTH(BB6,1)</f>
        <v>47118</v>
      </c>
      <c r="BD6" s="177" t="n">
        <f aca="false">EOMONTH(BC6,1)</f>
        <v>47149</v>
      </c>
      <c r="BE6" s="177" t="n">
        <f aca="false">EOMONTH(BD6,1)</f>
        <v>47177</v>
      </c>
      <c r="BF6" s="177" t="n">
        <f aca="false">EOMONTH(BE6,1)</f>
        <v>47208</v>
      </c>
      <c r="BG6" s="177" t="n">
        <f aca="false">EOMONTH(BF6,1)</f>
        <v>47238</v>
      </c>
      <c r="BH6" s="177" t="n">
        <f aca="false">EOMONTH(BG6,1)</f>
        <v>47269</v>
      </c>
      <c r="BI6" s="177" t="n">
        <f aca="false">EOMONTH(BH6,1)</f>
        <v>47299</v>
      </c>
      <c r="BJ6" s="177" t="n">
        <f aca="false">EOMONTH(BI6,1)</f>
        <v>47330</v>
      </c>
      <c r="BK6" s="177" t="n">
        <f aca="false">EOMONTH(BJ6,1)</f>
        <v>47361</v>
      </c>
      <c r="BL6" s="177" t="n">
        <f aca="false">EOMONTH(BK6,1)</f>
        <v>47391</v>
      </c>
      <c r="BM6" s="177" t="n">
        <f aca="false">EOMONTH(BL6,1)</f>
        <v>47422</v>
      </c>
      <c r="BN6" s="177" t="n">
        <f aca="false">EOMONTH(BM6,1)</f>
        <v>47452</v>
      </c>
      <c r="BO6" s="177" t="n">
        <f aca="false">EOMONTH(BN6,1)</f>
        <v>47483</v>
      </c>
      <c r="BP6" s="177" t="n">
        <f aca="false">EOMONTH(BO6,1)</f>
        <v>47514</v>
      </c>
      <c r="BQ6" s="177" t="n">
        <f aca="false">EOMONTH(BP6,1)</f>
        <v>47542</v>
      </c>
      <c r="BR6" s="177" t="n">
        <f aca="false">EOMONTH(BQ6,1)</f>
        <v>47573</v>
      </c>
      <c r="BS6" s="177" t="n">
        <f aca="false">EOMONTH(BR6,1)</f>
        <v>47603</v>
      </c>
      <c r="BT6" s="177" t="n">
        <f aca="false">EOMONTH(BS6,1)</f>
        <v>47634</v>
      </c>
      <c r="BU6" s="177" t="n">
        <f aca="false">EOMONTH(BT6,1)</f>
        <v>47664</v>
      </c>
      <c r="BV6" s="177" t="n">
        <f aca="false">EOMONTH(BU6,1)</f>
        <v>47695</v>
      </c>
      <c r="BW6" s="177" t="n">
        <f aca="false">EOMONTH(BV6,1)</f>
        <v>47726</v>
      </c>
      <c r="BX6" s="177" t="n">
        <f aca="false">EOMONTH(BW6,1)</f>
        <v>47756</v>
      </c>
      <c r="BY6" s="177" t="n">
        <f aca="false">EOMONTH(BX6,1)</f>
        <v>47787</v>
      </c>
      <c r="BZ6" s="177" t="n">
        <f aca="false">EOMONTH(BY6,1)</f>
        <v>47817</v>
      </c>
      <c r="CA6" s="177" t="n">
        <f aca="false">EOMONTH(BZ6,1)</f>
        <v>47848</v>
      </c>
    </row>
    <row r="8" customFormat="false" ht="18" hidden="false" customHeight="true" outlineLevel="0" collapsed="false">
      <c r="B8" s="5" t="s">
        <v>260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10" customFormat="false" ht="15" hidden="false" customHeight="false" outlineLevel="0" collapsed="false">
      <c r="B10" s="10" t="s">
        <v>261</v>
      </c>
      <c r="D10" s="9" t="s">
        <v>494</v>
      </c>
      <c r="E10" s="9"/>
      <c r="F10" s="9"/>
      <c r="G10" s="9"/>
      <c r="H10" s="9"/>
    </row>
    <row r="11" customFormat="false" ht="22.35" hidden="false" customHeight="false" outlineLevel="0" collapsed="false">
      <c r="B11" s="10" t="s">
        <v>263</v>
      </c>
      <c r="D11" s="9" t="s">
        <v>264</v>
      </c>
      <c r="E11" s="9"/>
      <c r="F11" s="9"/>
      <c r="G11" s="9"/>
      <c r="H11" s="9"/>
      <c r="I11" s="155" t="s">
        <v>265</v>
      </c>
    </row>
    <row r="12" customFormat="false" ht="15" hidden="false" customHeight="false" outlineLevel="0" collapsed="false">
      <c r="B12" s="10" t="s">
        <v>132</v>
      </c>
      <c r="D12" s="9" t="s">
        <v>266</v>
      </c>
      <c r="E12" s="9"/>
      <c r="F12" s="9"/>
      <c r="G12" s="9"/>
      <c r="H12" s="9"/>
    </row>
    <row r="13" customFormat="false" ht="22.35" hidden="false" customHeight="false" outlineLevel="0" collapsed="false">
      <c r="B13" s="3" t="s">
        <v>267</v>
      </c>
      <c r="D13" s="178" t="n">
        <f aca="false">DATE(2027,9,1)</f>
        <v>46631</v>
      </c>
      <c r="I13" s="155" t="s">
        <v>268</v>
      </c>
    </row>
    <row r="15" customFormat="false" ht="15" hidden="false" customHeight="false" outlineLevel="0" collapsed="false">
      <c r="B15" s="167" t="s">
        <v>269</v>
      </c>
    </row>
    <row r="16" customFormat="false" ht="15" hidden="false" customHeight="false" outlineLevel="0" collapsed="false">
      <c r="B16" s="167" t="s">
        <v>270</v>
      </c>
    </row>
    <row r="17" customFormat="false" ht="15" hidden="false" customHeight="false" outlineLevel="0" collapsed="false">
      <c r="B17" s="179" t="s">
        <v>271</v>
      </c>
    </row>
    <row r="18" customFormat="false" ht="15" hidden="false" customHeight="false" outlineLevel="0" collapsed="false">
      <c r="B18" s="180" t="s">
        <v>495</v>
      </c>
    </row>
    <row r="19" customFormat="false" ht="15" hidden="false" customHeight="false" outlineLevel="0" collapsed="false">
      <c r="B19" s="180" t="s">
        <v>496</v>
      </c>
    </row>
    <row r="20" customFormat="false" ht="15" hidden="false" customHeight="false" outlineLevel="0" collapsed="false">
      <c r="B20" s="180" t="s">
        <v>497</v>
      </c>
    </row>
    <row r="22" customFormat="false" ht="18" hidden="false" customHeight="true" outlineLevel="0" collapsed="false">
      <c r="B22" s="5" t="s">
        <v>275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4" customFormat="false" ht="15" hidden="false" customHeight="false" outlineLevel="0" collapsed="false">
      <c r="B24" s="181" t="s">
        <v>498</v>
      </c>
    </row>
    <row r="25" customFormat="false" ht="210.4" hidden="false" customHeight="false" outlineLevel="0" collapsed="false">
      <c r="B25" s="182" t="s">
        <v>499</v>
      </c>
      <c r="D25" s="158" t="n">
        <v>128414690.45</v>
      </c>
      <c r="E25" s="167" t="s">
        <v>278</v>
      </c>
      <c r="F25" s="155" t="s">
        <v>443</v>
      </c>
    </row>
    <row r="26" customFormat="false" ht="22.35" hidden="false" customHeight="false" outlineLevel="0" collapsed="false">
      <c r="B26" s="182" t="s">
        <v>500</v>
      </c>
      <c r="D26" s="158" t="n">
        <v>101465631.88</v>
      </c>
      <c r="E26" s="167" t="s">
        <v>278</v>
      </c>
      <c r="F26" s="155" t="s">
        <v>501</v>
      </c>
    </row>
    <row r="27" customFormat="false" ht="15" hidden="false" customHeight="false" outlineLevel="0" collapsed="false">
      <c r="B27" s="181" t="s">
        <v>280</v>
      </c>
    </row>
    <row r="28" customFormat="false" ht="15" hidden="false" customHeight="false" outlineLevel="0" collapsed="false">
      <c r="B28" s="182" t="s">
        <v>281</v>
      </c>
      <c r="D28" s="168" t="n">
        <v>0.08</v>
      </c>
      <c r="E28" s="167" t="s">
        <v>282</v>
      </c>
    </row>
    <row r="29" customFormat="false" ht="15" hidden="false" customHeight="false" outlineLevel="0" collapsed="false">
      <c r="B29" s="182" t="s">
        <v>284</v>
      </c>
      <c r="D29" s="168" t="n">
        <v>0.1</v>
      </c>
      <c r="E29" s="167" t="s">
        <v>282</v>
      </c>
    </row>
    <row r="30" customFormat="false" ht="22.35" hidden="false" customHeight="false" outlineLevel="0" collapsed="false">
      <c r="B30" s="182" t="s">
        <v>502</v>
      </c>
      <c r="D30" s="183" t="n">
        <v>5.5</v>
      </c>
      <c r="E30" s="167" t="s">
        <v>287</v>
      </c>
      <c r="F30" s="155" t="s">
        <v>503</v>
      </c>
    </row>
    <row r="31" customFormat="false" ht="15" hidden="false" customHeight="false" outlineLevel="0" collapsed="false">
      <c r="B31" s="182" t="s">
        <v>289</v>
      </c>
      <c r="D31" s="158" t="n">
        <v>180000</v>
      </c>
      <c r="E31" s="167" t="s">
        <v>290</v>
      </c>
    </row>
    <row r="32" customFormat="false" ht="15" hidden="false" customHeight="false" outlineLevel="0" collapsed="false">
      <c r="B32" s="182" t="s">
        <v>504</v>
      </c>
      <c r="D32" s="183" t="n">
        <v>1017.2846</v>
      </c>
      <c r="E32" s="167" t="s">
        <v>287</v>
      </c>
      <c r="F32" s="155" t="s">
        <v>505</v>
      </c>
    </row>
    <row r="33" customFormat="false" ht="15" hidden="false" customHeight="false" outlineLevel="0" collapsed="false">
      <c r="B33" s="182" t="s">
        <v>506</v>
      </c>
      <c r="D33" s="183" t="n">
        <v>528.2645</v>
      </c>
      <c r="E33" s="167" t="s">
        <v>287</v>
      </c>
      <c r="F33" s="155" t="s">
        <v>507</v>
      </c>
    </row>
    <row r="34" customFormat="false" ht="15" hidden="false" customHeight="false" outlineLevel="0" collapsed="false">
      <c r="B34" s="182" t="s">
        <v>292</v>
      </c>
      <c r="D34" s="9"/>
    </row>
    <row r="35" customFormat="false" ht="15" hidden="false" customHeight="false" outlineLevel="0" collapsed="false">
      <c r="B35" s="182" t="s">
        <v>292</v>
      </c>
      <c r="D35" s="9"/>
    </row>
    <row r="37" customFormat="false" ht="15" hidden="false" customHeight="false" outlineLevel="0" collapsed="false">
      <c r="B37" s="184" t="s">
        <v>508</v>
      </c>
    </row>
    <row r="38" customFormat="false" ht="25.5" hidden="false" customHeight="true" outlineLevel="0" collapsed="false">
      <c r="B38" s="169" t="s">
        <v>294</v>
      </c>
      <c r="D38" s="169" t="s">
        <v>295</v>
      </c>
      <c r="F38" s="169" t="s">
        <v>296</v>
      </c>
      <c r="H38" s="169" t="s">
        <v>297</v>
      </c>
      <c r="M38" s="185" t="s">
        <v>509</v>
      </c>
    </row>
    <row r="39" customFormat="false" ht="15" hidden="false" customHeight="false" outlineLevel="0" collapsed="false">
      <c r="B39" s="186" t="s">
        <v>510</v>
      </c>
      <c r="D39" s="158" t="n">
        <v>22606259.48</v>
      </c>
      <c r="F39" s="187" t="n">
        <v>0.3594869467</v>
      </c>
      <c r="H39" s="159" t="n">
        <f aca="false">D39*F39</f>
        <v>8126655.19677313</v>
      </c>
      <c r="M39" s="189" t="s">
        <v>511</v>
      </c>
    </row>
    <row r="40" customFormat="false" ht="15" hidden="false" customHeight="false" outlineLevel="0" collapsed="false">
      <c r="B40" s="186" t="s">
        <v>512</v>
      </c>
      <c r="D40" s="158" t="n">
        <v>51560921.72</v>
      </c>
      <c r="F40" s="187" t="n">
        <v>0.280110124</v>
      </c>
      <c r="H40" s="159" t="n">
        <f aca="false">D40*F40</f>
        <v>14442736.1765435</v>
      </c>
      <c r="M40" s="189" t="s">
        <v>513</v>
      </c>
    </row>
    <row r="41" customFormat="false" ht="15" hidden="false" customHeight="false" outlineLevel="0" collapsed="false">
      <c r="B41" s="186" t="s">
        <v>514</v>
      </c>
      <c r="D41" s="158" t="n">
        <v>30019867.43</v>
      </c>
      <c r="F41" s="187" t="n">
        <v>0.1458922896</v>
      </c>
      <c r="H41" s="159" t="n">
        <f aca="false">D41*F41</f>
        <v>4379667.19285117</v>
      </c>
      <c r="M41" s="189" t="s">
        <v>515</v>
      </c>
    </row>
    <row r="42" customFormat="false" ht="15" hidden="false" customHeight="false" outlineLevel="0" collapsed="false">
      <c r="B42" s="3" t="s">
        <v>516</v>
      </c>
      <c r="D42" s="159" t="n">
        <f aca="false">SUM(D39:D41)</f>
        <v>104187048.63</v>
      </c>
      <c r="H42" s="159" t="n">
        <f aca="false">SUM(H39:H41)</f>
        <v>26949058.5661678</v>
      </c>
    </row>
    <row r="44" customFormat="false" ht="15" hidden="false" customHeight="false" outlineLevel="0" collapsed="false">
      <c r="B44" s="184" t="s">
        <v>517</v>
      </c>
    </row>
    <row r="45" customFormat="false" ht="25.5" hidden="false" customHeight="true" outlineLevel="0" collapsed="false">
      <c r="B45" s="169" t="s">
        <v>294</v>
      </c>
      <c r="D45" s="169" t="s">
        <v>295</v>
      </c>
      <c r="F45" s="169" t="s">
        <v>296</v>
      </c>
      <c r="H45" s="169" t="s">
        <v>297</v>
      </c>
      <c r="M45" s="185" t="s">
        <v>518</v>
      </c>
    </row>
    <row r="46" customFormat="false" ht="15" hidden="false" customHeight="false" outlineLevel="0" collapsed="false">
      <c r="B46" s="186" t="s">
        <v>519</v>
      </c>
      <c r="D46" s="158" t="n">
        <v>14479604.28</v>
      </c>
      <c r="F46" s="187" t="n">
        <v>0.1003572774</v>
      </c>
      <c r="H46" s="159" t="n">
        <f aca="false">D46*F46</f>
        <v>1453133.66337019</v>
      </c>
      <c r="M46" s="189" t="s">
        <v>520</v>
      </c>
    </row>
    <row r="47" customFormat="false" ht="15" hidden="false" customHeight="false" outlineLevel="0" collapsed="false">
      <c r="B47" s="186" t="s">
        <v>217</v>
      </c>
      <c r="D47" s="158" t="n">
        <v>37118185.55</v>
      </c>
      <c r="F47" s="187" t="n">
        <v>0.0777708163</v>
      </c>
      <c r="H47" s="159" t="n">
        <f aca="false">D47*F47</f>
        <v>2886711.58979836</v>
      </c>
      <c r="M47" s="189" t="s">
        <v>521</v>
      </c>
    </row>
    <row r="48" customFormat="false" ht="15" hidden="false" customHeight="false" outlineLevel="0" collapsed="false">
      <c r="B48" s="186" t="s">
        <v>522</v>
      </c>
      <c r="D48" s="158" t="n">
        <v>25640200.24</v>
      </c>
      <c r="F48" s="187" t="n">
        <v>0.0615047249</v>
      </c>
      <c r="H48" s="159" t="n">
        <f aca="false">D48*F48</f>
        <v>1576993.46214211</v>
      </c>
      <c r="M48" s="189" t="s">
        <v>523</v>
      </c>
    </row>
    <row r="49" customFormat="false" ht="15" hidden="false" customHeight="false" outlineLevel="0" collapsed="false">
      <c r="B49" s="3" t="s">
        <v>524</v>
      </c>
      <c r="D49" s="159" t="n">
        <f aca="false">SUM(D46:D48)</f>
        <v>77237990.07</v>
      </c>
      <c r="H49" s="159" t="n">
        <f aca="false">SUM(H46:H48)</f>
        <v>5916838.71531067</v>
      </c>
    </row>
    <row r="51" customFormat="false" ht="15" hidden="false" customHeight="false" outlineLevel="0" collapsed="false">
      <c r="B51" s="184" t="s">
        <v>525</v>
      </c>
    </row>
    <row r="52" customFormat="false" ht="25.5" hidden="false" customHeight="true" outlineLevel="0" collapsed="false">
      <c r="B52" s="169" t="s">
        <v>294</v>
      </c>
      <c r="D52" s="169" t="s">
        <v>295</v>
      </c>
      <c r="F52" s="169" t="s">
        <v>296</v>
      </c>
      <c r="H52" s="169" t="s">
        <v>297</v>
      </c>
      <c r="M52" s="185" t="s">
        <v>526</v>
      </c>
    </row>
    <row r="53" customFormat="false" ht="15" hidden="false" customHeight="false" outlineLevel="0" collapsed="false">
      <c r="B53" s="186" t="s">
        <v>519</v>
      </c>
      <c r="D53" s="158" t="n">
        <v>3311158.85</v>
      </c>
      <c r="F53" s="187" t="n">
        <v>0.1286418213</v>
      </c>
      <c r="H53" s="159" t="n">
        <f aca="false">D53*F53</f>
        <v>425953.505077613</v>
      </c>
      <c r="M53" s="189" t="s">
        <v>527</v>
      </c>
    </row>
    <row r="54" customFormat="false" ht="15" hidden="false" customHeight="false" outlineLevel="0" collapsed="false">
      <c r="B54" s="186" t="s">
        <v>217</v>
      </c>
      <c r="D54" s="158" t="n">
        <v>12792360.67</v>
      </c>
      <c r="F54" s="187" t="n">
        <v>0.1052458323</v>
      </c>
      <c r="H54" s="159" t="n">
        <f aca="false">D54*F54</f>
        <v>1346342.64579594</v>
      </c>
      <c r="M54" s="189" t="s">
        <v>528</v>
      </c>
    </row>
    <row r="55" customFormat="false" ht="15" hidden="false" customHeight="false" outlineLevel="0" collapsed="false">
      <c r="B55" s="186" t="s">
        <v>522</v>
      </c>
      <c r="D55" s="158" t="n">
        <v>8124122.3</v>
      </c>
      <c r="F55" s="187" t="n">
        <v>0.0753984194</v>
      </c>
      <c r="H55" s="159" t="n">
        <f aca="false">D55*F55</f>
        <v>612545.980432293</v>
      </c>
      <c r="M55" s="189" t="s">
        <v>529</v>
      </c>
    </row>
    <row r="56" customFormat="false" ht="15" hidden="false" customHeight="false" outlineLevel="0" collapsed="false">
      <c r="B56" s="3" t="s">
        <v>530</v>
      </c>
      <c r="D56" s="159" t="n">
        <f aca="false">SUM(D53:D55)</f>
        <v>24227641.82</v>
      </c>
      <c r="H56" s="159" t="n">
        <f aca="false">SUM(H53:H55)</f>
        <v>2384842.13130584</v>
      </c>
    </row>
    <row r="58" customFormat="false" ht="18" hidden="false" customHeight="true" outlineLevel="0" collapsed="false">
      <c r="B58" s="5" t="s">
        <v>310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60" customFormat="false" ht="22.35" hidden="false" customHeight="false" outlineLevel="0" collapsed="false">
      <c r="B60" s="182" t="s">
        <v>531</v>
      </c>
      <c r="D60" s="159" t="n">
        <f aca="false">$H$42</f>
        <v>26949058.5661678</v>
      </c>
      <c r="E60" s="167" t="s">
        <v>278</v>
      </c>
      <c r="F60" s="155" t="s">
        <v>532</v>
      </c>
    </row>
    <row r="61" customFormat="false" ht="22.35" hidden="false" customHeight="false" outlineLevel="0" collapsed="false">
      <c r="B61" s="182" t="s">
        <v>533</v>
      </c>
      <c r="D61" s="159" t="n">
        <f aca="false">$H$49+$H$56</f>
        <v>8301680.84661651</v>
      </c>
      <c r="E61" s="167" t="s">
        <v>278</v>
      </c>
      <c r="F61" s="155" t="s">
        <v>534</v>
      </c>
    </row>
    <row r="62" customFormat="false" ht="22.35" hidden="false" customHeight="false" outlineLevel="0" collapsed="false">
      <c r="B62" s="182" t="s">
        <v>311</v>
      </c>
      <c r="D62" s="159" t="n">
        <f aca="false">$D$60+$D$61</f>
        <v>35250739.4127843</v>
      </c>
      <c r="E62" s="167" t="s">
        <v>278</v>
      </c>
      <c r="F62" s="155" t="s">
        <v>535</v>
      </c>
    </row>
    <row r="63" customFormat="false" ht="15" hidden="false" customHeight="false" outlineLevel="0" collapsed="false">
      <c r="B63" s="182" t="s">
        <v>536</v>
      </c>
      <c r="D63" s="188" t="n">
        <f aca="false">$D$32+$D$33</f>
        <v>1545.5491</v>
      </c>
      <c r="E63" s="167" t="s">
        <v>287</v>
      </c>
    </row>
    <row r="64" customFormat="false" ht="15" hidden="false" customHeight="false" outlineLevel="0" collapsed="false">
      <c r="B64" s="182" t="s">
        <v>537</v>
      </c>
      <c r="D64" s="159" t="n">
        <f aca="false">$D$26-$D$61</f>
        <v>93163951.0333835</v>
      </c>
      <c r="E64" s="167" t="s">
        <v>278</v>
      </c>
      <c r="F64" s="155" t="s">
        <v>538</v>
      </c>
    </row>
    <row r="66" customFormat="false" ht="18" hidden="false" customHeight="true" outlineLevel="0" collapsed="false">
      <c r="B66" s="5" t="s">
        <v>317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8" customFormat="false" ht="53.7" hidden="false" customHeight="false" outlineLevel="0" collapsed="false">
      <c r="B68" s="3" t="s">
        <v>318</v>
      </c>
      <c r="D68" s="156" t="n">
        <v>8</v>
      </c>
      <c r="F68" s="155" t="s">
        <v>319</v>
      </c>
    </row>
    <row r="69" customFormat="false" ht="15" hidden="false" customHeight="false" outlineLevel="0" collapsed="false">
      <c r="B69" s="10" t="s">
        <v>320</v>
      </c>
      <c r="T69" s="190" t="n">
        <f aca="false">MIN(1,MAX(0,((YEAR(T$6)-YEAR($D$13))*12+MONTH(T$6)-MONTH($D$13)+0.5)/MAX($D$68,0.5)))</f>
        <v>0</v>
      </c>
      <c r="U69" s="190" t="n">
        <f aca="false">MIN(1,MAX(0,((YEAR(U$6)-YEAR($D$13))*12+MONTH(U$6)-MONTH($D$13)+0.5)/MAX($D$68,0.5)))</f>
        <v>0</v>
      </c>
      <c r="V69" s="190" t="n">
        <f aca="false">MIN(1,MAX(0,((YEAR(V$6)-YEAR($D$13))*12+MONTH(V$6)-MONTH($D$13)+0.5)/MAX($D$68,0.5)))</f>
        <v>0</v>
      </c>
      <c r="W69" s="190" t="n">
        <f aca="false">MIN(1,MAX(0,((YEAR(W$6)-YEAR($D$13))*12+MONTH(W$6)-MONTH($D$13)+0.5)/MAX($D$68,0.5)))</f>
        <v>0</v>
      </c>
      <c r="X69" s="190" t="n">
        <f aca="false">MIN(1,MAX(0,((YEAR(X$6)-YEAR($D$13))*12+MONTH(X$6)-MONTH($D$13)+0.5)/MAX($D$68,0.5)))</f>
        <v>0</v>
      </c>
      <c r="Y69" s="190" t="n">
        <f aca="false">MIN(1,MAX(0,((YEAR(Y$6)-YEAR($D$13))*12+MONTH(Y$6)-MONTH($D$13)+0.5)/MAX($D$68,0.5)))</f>
        <v>0</v>
      </c>
      <c r="Z69" s="190" t="n">
        <f aca="false">MIN(1,MAX(0,((YEAR(Z$6)-YEAR($D$13))*12+MONTH(Z$6)-MONTH($D$13)+0.5)/MAX($D$68,0.5)))</f>
        <v>0</v>
      </c>
      <c r="AA69" s="190" t="n">
        <f aca="false">MIN(1,MAX(0,((YEAR(AA$6)-YEAR($D$13))*12+MONTH(AA$6)-MONTH($D$13)+0.5)/MAX($D$68,0.5)))</f>
        <v>0</v>
      </c>
      <c r="AB69" s="190" t="n">
        <f aca="false">MIN(1,MAX(0,((YEAR(AB$6)-YEAR($D$13))*12+MONTH(AB$6)-MONTH($D$13)+0.5)/MAX($D$68,0.5)))</f>
        <v>0</v>
      </c>
      <c r="AC69" s="190" t="n">
        <f aca="false">MIN(1,MAX(0,((YEAR(AC$6)-YEAR($D$13))*12+MONTH(AC$6)-MONTH($D$13)+0.5)/MAX($D$68,0.5)))</f>
        <v>0</v>
      </c>
      <c r="AD69" s="190" t="n">
        <f aca="false">MIN(1,MAX(0,((YEAR(AD$6)-YEAR($D$13))*12+MONTH(AD$6)-MONTH($D$13)+0.5)/MAX($D$68,0.5)))</f>
        <v>0</v>
      </c>
      <c r="AE69" s="190" t="n">
        <f aca="false">MIN(1,MAX(0,((YEAR(AE$6)-YEAR($D$13))*12+MONTH(AE$6)-MONTH($D$13)+0.5)/MAX($D$68,0.5)))</f>
        <v>0</v>
      </c>
      <c r="AF69" s="190" t="n">
        <f aca="false">MIN(1,MAX(0,((YEAR(AF$6)-YEAR($D$13))*12+MONTH(AF$6)-MONTH($D$13)+0.5)/MAX($D$68,0.5)))</f>
        <v>0</v>
      </c>
      <c r="AG69" s="190" t="n">
        <f aca="false">MIN(1,MAX(0,((YEAR(AG$6)-YEAR($D$13))*12+MONTH(AG$6)-MONTH($D$13)+0.5)/MAX($D$68,0.5)))</f>
        <v>0</v>
      </c>
      <c r="AH69" s="190" t="n">
        <f aca="false">MIN(1,MAX(0,((YEAR(AH$6)-YEAR($D$13))*12+MONTH(AH$6)-MONTH($D$13)+0.5)/MAX($D$68,0.5)))</f>
        <v>0</v>
      </c>
      <c r="AI69" s="190" t="n">
        <f aca="false">MIN(1,MAX(0,((YEAR(AI$6)-YEAR($D$13))*12+MONTH(AI$6)-MONTH($D$13)+0.5)/MAX($D$68,0.5)))</f>
        <v>0</v>
      </c>
      <c r="AJ69" s="190" t="n">
        <f aca="false">MIN(1,MAX(0,((YEAR(AJ$6)-YEAR($D$13))*12+MONTH(AJ$6)-MONTH($D$13)+0.5)/MAX($D$68,0.5)))</f>
        <v>0</v>
      </c>
      <c r="AK69" s="190" t="n">
        <f aca="false">MIN(1,MAX(0,((YEAR(AK$6)-YEAR($D$13))*12+MONTH(AK$6)-MONTH($D$13)+0.5)/MAX($D$68,0.5)))</f>
        <v>0</v>
      </c>
      <c r="AL69" s="190" t="n">
        <f aca="false">MIN(1,MAX(0,((YEAR(AL$6)-YEAR($D$13))*12+MONTH(AL$6)-MONTH($D$13)+0.5)/MAX($D$68,0.5)))</f>
        <v>0</v>
      </c>
      <c r="AM69" s="190" t="n">
        <f aca="false">MIN(1,MAX(0,((YEAR(AM$6)-YEAR($D$13))*12+MONTH(AM$6)-MONTH($D$13)+0.5)/MAX($D$68,0.5)))</f>
        <v>0</v>
      </c>
      <c r="AN69" s="190" t="n">
        <f aca="false">MIN(1,MAX(0,((YEAR(AN$6)-YEAR($D$13))*12+MONTH(AN$6)-MONTH($D$13)+0.5)/MAX($D$68,0.5)))</f>
        <v>0.0625</v>
      </c>
      <c r="AO69" s="190" t="n">
        <f aca="false">MIN(1,MAX(0,((YEAR(AO$6)-YEAR($D$13))*12+MONTH(AO$6)-MONTH($D$13)+0.5)/MAX($D$68,0.5)))</f>
        <v>0.1875</v>
      </c>
      <c r="AP69" s="190" t="n">
        <f aca="false">MIN(1,MAX(0,((YEAR(AP$6)-YEAR($D$13))*12+MONTH(AP$6)-MONTH($D$13)+0.5)/MAX($D$68,0.5)))</f>
        <v>0.3125</v>
      </c>
      <c r="AQ69" s="190" t="n">
        <f aca="false">MIN(1,MAX(0,((YEAR(AQ$6)-YEAR($D$13))*12+MONTH(AQ$6)-MONTH($D$13)+0.5)/MAX($D$68,0.5)))</f>
        <v>0.4375</v>
      </c>
      <c r="AR69" s="190" t="n">
        <f aca="false">MIN(1,MAX(0,((YEAR(AR$6)-YEAR($D$13))*12+MONTH(AR$6)-MONTH($D$13)+0.5)/MAX($D$68,0.5)))</f>
        <v>0.5625</v>
      </c>
      <c r="AS69" s="190" t="n">
        <f aca="false">MIN(1,MAX(0,((YEAR(AS$6)-YEAR($D$13))*12+MONTH(AS$6)-MONTH($D$13)+0.5)/MAX($D$68,0.5)))</f>
        <v>0.6875</v>
      </c>
      <c r="AT69" s="190" t="n">
        <f aca="false">MIN(1,MAX(0,((YEAR(AT$6)-YEAR($D$13))*12+MONTH(AT$6)-MONTH($D$13)+0.5)/MAX($D$68,0.5)))</f>
        <v>0.8125</v>
      </c>
      <c r="AU69" s="190" t="n">
        <f aca="false">MIN(1,MAX(0,((YEAR(AU$6)-YEAR($D$13))*12+MONTH(AU$6)-MONTH($D$13)+0.5)/MAX($D$68,0.5)))</f>
        <v>0.9375</v>
      </c>
      <c r="AV69" s="190" t="n">
        <f aca="false">MIN(1,MAX(0,((YEAR(AV$6)-YEAR($D$13))*12+MONTH(AV$6)-MONTH($D$13)+0.5)/MAX($D$68,0.5)))</f>
        <v>1</v>
      </c>
      <c r="AW69" s="190" t="n">
        <f aca="false">MIN(1,MAX(0,((YEAR(AW$6)-YEAR($D$13))*12+MONTH(AW$6)-MONTH($D$13)+0.5)/MAX($D$68,0.5)))</f>
        <v>1</v>
      </c>
      <c r="AX69" s="190" t="n">
        <f aca="false">MIN(1,MAX(0,((YEAR(AX$6)-YEAR($D$13))*12+MONTH(AX$6)-MONTH($D$13)+0.5)/MAX($D$68,0.5)))</f>
        <v>1</v>
      </c>
      <c r="AY69" s="190" t="n">
        <f aca="false">MIN(1,MAX(0,((YEAR(AY$6)-YEAR($D$13))*12+MONTH(AY$6)-MONTH($D$13)+0.5)/MAX($D$68,0.5)))</f>
        <v>1</v>
      </c>
      <c r="AZ69" s="190" t="n">
        <f aca="false">MIN(1,MAX(0,((YEAR(AZ$6)-YEAR($D$13))*12+MONTH(AZ$6)-MONTH($D$13)+0.5)/MAX($D$68,0.5)))</f>
        <v>1</v>
      </c>
      <c r="BA69" s="190" t="n">
        <f aca="false">MIN(1,MAX(0,((YEAR(BA$6)-YEAR($D$13))*12+MONTH(BA$6)-MONTH($D$13)+0.5)/MAX($D$68,0.5)))</f>
        <v>1</v>
      </c>
      <c r="BB69" s="190" t="n">
        <f aca="false">MIN(1,MAX(0,((YEAR(BB$6)-YEAR($D$13))*12+MONTH(BB$6)-MONTH($D$13)+0.5)/MAX($D$68,0.5)))</f>
        <v>1</v>
      </c>
      <c r="BC69" s="190" t="n">
        <f aca="false">MIN(1,MAX(0,((YEAR(BC$6)-YEAR($D$13))*12+MONTH(BC$6)-MONTH($D$13)+0.5)/MAX($D$68,0.5)))</f>
        <v>1</v>
      </c>
      <c r="BD69" s="190" t="n">
        <f aca="false">MIN(1,MAX(0,((YEAR(BD$6)-YEAR($D$13))*12+MONTH(BD$6)-MONTH($D$13)+0.5)/MAX($D$68,0.5)))</f>
        <v>1</v>
      </c>
      <c r="BE69" s="190" t="n">
        <f aca="false">MIN(1,MAX(0,((YEAR(BE$6)-YEAR($D$13))*12+MONTH(BE$6)-MONTH($D$13)+0.5)/MAX($D$68,0.5)))</f>
        <v>1</v>
      </c>
      <c r="BF69" s="190" t="n">
        <f aca="false">MIN(1,MAX(0,((YEAR(BF$6)-YEAR($D$13))*12+MONTH(BF$6)-MONTH($D$13)+0.5)/MAX($D$68,0.5)))</f>
        <v>1</v>
      </c>
      <c r="BG69" s="190" t="n">
        <f aca="false">MIN(1,MAX(0,((YEAR(BG$6)-YEAR($D$13))*12+MONTH(BG$6)-MONTH($D$13)+0.5)/MAX($D$68,0.5)))</f>
        <v>1</v>
      </c>
      <c r="BH69" s="190" t="n">
        <f aca="false">MIN(1,MAX(0,((YEAR(BH$6)-YEAR($D$13))*12+MONTH(BH$6)-MONTH($D$13)+0.5)/MAX($D$68,0.5)))</f>
        <v>1</v>
      </c>
      <c r="BI69" s="190" t="n">
        <f aca="false">MIN(1,MAX(0,((YEAR(BI$6)-YEAR($D$13))*12+MONTH(BI$6)-MONTH($D$13)+0.5)/MAX($D$68,0.5)))</f>
        <v>1</v>
      </c>
      <c r="BJ69" s="190" t="n">
        <f aca="false">MIN(1,MAX(0,((YEAR(BJ$6)-YEAR($D$13))*12+MONTH(BJ$6)-MONTH($D$13)+0.5)/MAX($D$68,0.5)))</f>
        <v>1</v>
      </c>
      <c r="BK69" s="190" t="n">
        <f aca="false">MIN(1,MAX(0,((YEAR(BK$6)-YEAR($D$13))*12+MONTH(BK$6)-MONTH($D$13)+0.5)/MAX($D$68,0.5)))</f>
        <v>1</v>
      </c>
      <c r="BL69" s="190" t="n">
        <f aca="false">MIN(1,MAX(0,((YEAR(BL$6)-YEAR($D$13))*12+MONTH(BL$6)-MONTH($D$13)+0.5)/MAX($D$68,0.5)))</f>
        <v>1</v>
      </c>
      <c r="BM69" s="190" t="n">
        <f aca="false">MIN(1,MAX(0,((YEAR(BM$6)-YEAR($D$13))*12+MONTH(BM$6)-MONTH($D$13)+0.5)/MAX($D$68,0.5)))</f>
        <v>1</v>
      </c>
      <c r="BN69" s="190" t="n">
        <f aca="false">MIN(1,MAX(0,((YEAR(BN$6)-YEAR($D$13))*12+MONTH(BN$6)-MONTH($D$13)+0.5)/MAX($D$68,0.5)))</f>
        <v>1</v>
      </c>
      <c r="BO69" s="190" t="n">
        <f aca="false">MIN(1,MAX(0,((YEAR(BO$6)-YEAR($D$13))*12+MONTH(BO$6)-MONTH($D$13)+0.5)/MAX($D$68,0.5)))</f>
        <v>1</v>
      </c>
      <c r="BP69" s="190" t="n">
        <f aca="false">MIN(1,MAX(0,((YEAR(BP$6)-YEAR($D$13))*12+MONTH(BP$6)-MONTH($D$13)+0.5)/MAX($D$68,0.5)))</f>
        <v>1</v>
      </c>
      <c r="BQ69" s="190" t="n">
        <f aca="false">MIN(1,MAX(0,((YEAR(BQ$6)-YEAR($D$13))*12+MONTH(BQ$6)-MONTH($D$13)+0.5)/MAX($D$68,0.5)))</f>
        <v>1</v>
      </c>
      <c r="BR69" s="190" t="n">
        <f aca="false">MIN(1,MAX(0,((YEAR(BR$6)-YEAR($D$13))*12+MONTH(BR$6)-MONTH($D$13)+0.5)/MAX($D$68,0.5)))</f>
        <v>1</v>
      </c>
      <c r="BS69" s="190" t="n">
        <f aca="false">MIN(1,MAX(0,((YEAR(BS$6)-YEAR($D$13))*12+MONTH(BS$6)-MONTH($D$13)+0.5)/MAX($D$68,0.5)))</f>
        <v>1</v>
      </c>
      <c r="BT69" s="190" t="n">
        <f aca="false">MIN(1,MAX(0,((YEAR(BT$6)-YEAR($D$13))*12+MONTH(BT$6)-MONTH($D$13)+0.5)/MAX($D$68,0.5)))</f>
        <v>1</v>
      </c>
      <c r="BU69" s="190" t="n">
        <f aca="false">MIN(1,MAX(0,((YEAR(BU$6)-YEAR($D$13))*12+MONTH(BU$6)-MONTH($D$13)+0.5)/MAX($D$68,0.5)))</f>
        <v>1</v>
      </c>
      <c r="BV69" s="190" t="n">
        <f aca="false">MIN(1,MAX(0,((YEAR(BV$6)-YEAR($D$13))*12+MONTH(BV$6)-MONTH($D$13)+0.5)/MAX($D$68,0.5)))</f>
        <v>1</v>
      </c>
      <c r="BW69" s="190" t="n">
        <f aca="false">MIN(1,MAX(0,((YEAR(BW$6)-YEAR($D$13))*12+MONTH(BW$6)-MONTH($D$13)+0.5)/MAX($D$68,0.5)))</f>
        <v>1</v>
      </c>
      <c r="BX69" s="190" t="n">
        <f aca="false">MIN(1,MAX(0,((YEAR(BX$6)-YEAR($D$13))*12+MONTH(BX$6)-MONTH($D$13)+0.5)/MAX($D$68,0.5)))</f>
        <v>1</v>
      </c>
      <c r="BY69" s="190" t="n">
        <f aca="false">MIN(1,MAX(0,((YEAR(BY$6)-YEAR($D$13))*12+MONTH(BY$6)-MONTH($D$13)+0.5)/MAX($D$68,0.5)))</f>
        <v>1</v>
      </c>
      <c r="BZ69" s="190" t="n">
        <f aca="false">MIN(1,MAX(0,((YEAR(BZ$6)-YEAR($D$13))*12+MONTH(BZ$6)-MONTH($D$13)+0.5)/MAX($D$68,0.5)))</f>
        <v>1</v>
      </c>
      <c r="CA69" s="190" t="n">
        <f aca="false">MIN(1,MAX(0,((YEAR(CA$6)-YEAR($D$13))*12+MONTH(CA$6)-MONTH($D$13)+0.5)/MAX($D$68,0.5)))</f>
        <v>1</v>
      </c>
    </row>
    <row r="70" customFormat="false" ht="15" hidden="false" customHeight="false" outlineLevel="0" collapsed="false">
      <c r="B70" s="10" t="s">
        <v>321</v>
      </c>
      <c r="L70" s="190" t="n">
        <f aca="false">SUMIFS($T69:$CA69,$T$5:$CA$5,2026)/12</f>
        <v>0</v>
      </c>
      <c r="M70" s="190" t="n">
        <f aca="false">SUMIFS($T69:$CA69,$T$5:$CA$5,2027)/12</f>
        <v>0.0833333333333333</v>
      </c>
      <c r="N70" s="190" t="n">
        <f aca="false">SUMIFS($T69:$CA69,$T$5:$CA$5,2028)/12</f>
        <v>0.916666666666667</v>
      </c>
      <c r="O70" s="190" t="n">
        <f aca="false">SUMIFS($T69:$CA69,$T$5:$CA$5,2029)/12</f>
        <v>1</v>
      </c>
      <c r="P70" s="190" t="n">
        <f aca="false">SUMIFS($T69:$CA69,$T$5:$CA$5,2030)/12</f>
        <v>1</v>
      </c>
    </row>
    <row r="72" customFormat="false" ht="18" hidden="false" customHeight="true" outlineLevel="0" collapsed="false">
      <c r="B72" s="5" t="s">
        <v>322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4" customFormat="false" ht="15" hidden="false" customHeight="false" outlineLevel="0" collapsed="false">
      <c r="B74" s="191" t="s">
        <v>323</v>
      </c>
      <c r="D74" s="169" t="s">
        <v>324</v>
      </c>
      <c r="K74" s="192" t="s">
        <v>259</v>
      </c>
    </row>
    <row r="75" customFormat="false" ht="15" hidden="false" customHeight="false" outlineLevel="0" collapsed="false">
      <c r="B75" s="10" t="s">
        <v>539</v>
      </c>
      <c r="D75" s="193" t="n">
        <f aca="false">$D$25/1000000</f>
        <v>128.41469045</v>
      </c>
      <c r="K75" s="193" t="n">
        <f aca="false">SUMIFS($T75:$CA75,$T$5:$CA$5,2030)</f>
        <v>26.9490585661678</v>
      </c>
      <c r="L75" s="193" t="n">
        <f aca="false">SUMIFS($T75:$CA75,$T$5:$CA$5,2026)</f>
        <v>0</v>
      </c>
      <c r="M75" s="193" t="n">
        <f aca="false">SUMIFS($T75:$CA75,$T$5:$CA$5,2027)</f>
        <v>2.24575488051398</v>
      </c>
      <c r="N75" s="193" t="n">
        <f aca="false">SUMIFS($T75:$CA75,$T$5:$CA$5,2028)</f>
        <v>24.7033036856538</v>
      </c>
      <c r="O75" s="193" t="n">
        <f aca="false">SUMIFS($T75:$CA75,$T$5:$CA$5,2029)</f>
        <v>26.9490585661678</v>
      </c>
      <c r="P75" s="193" t="n">
        <f aca="false">SUMIFS($T75:$CA75,$T$5:$CA$5,2030)</f>
        <v>26.9490585661678</v>
      </c>
      <c r="R75" s="10"/>
      <c r="T75" s="193" t="n">
        <f aca="false">($D$60)/1000000/12*T$69</f>
        <v>0</v>
      </c>
      <c r="U75" s="193" t="n">
        <f aca="false">($D$60)/1000000/12*U$69</f>
        <v>0</v>
      </c>
      <c r="V75" s="193" t="n">
        <f aca="false">($D$60)/1000000/12*V$69</f>
        <v>0</v>
      </c>
      <c r="W75" s="193" t="n">
        <f aca="false">($D$60)/1000000/12*W$69</f>
        <v>0</v>
      </c>
      <c r="X75" s="193" t="n">
        <f aca="false">($D$60)/1000000/12*X$69</f>
        <v>0</v>
      </c>
      <c r="Y75" s="193" t="n">
        <f aca="false">($D$60)/1000000/12*Y$69</f>
        <v>0</v>
      </c>
      <c r="Z75" s="193" t="n">
        <f aca="false">($D$60)/1000000/12*Z$69</f>
        <v>0</v>
      </c>
      <c r="AA75" s="193" t="n">
        <f aca="false">($D$60)/1000000/12*AA$69</f>
        <v>0</v>
      </c>
      <c r="AB75" s="193" t="n">
        <f aca="false">($D$60)/1000000/12*AB$69</f>
        <v>0</v>
      </c>
      <c r="AC75" s="193" t="n">
        <f aca="false">($D$60)/1000000/12*AC$69</f>
        <v>0</v>
      </c>
      <c r="AD75" s="193" t="n">
        <f aca="false">($D$60)/1000000/12*AD$69</f>
        <v>0</v>
      </c>
      <c r="AE75" s="193" t="n">
        <f aca="false">($D$60)/1000000/12*AE$69</f>
        <v>0</v>
      </c>
      <c r="AF75" s="193" t="n">
        <f aca="false">($D$60)/1000000/12*AF$69</f>
        <v>0</v>
      </c>
      <c r="AG75" s="193" t="n">
        <f aca="false">($D$60)/1000000/12*AG$69</f>
        <v>0</v>
      </c>
      <c r="AH75" s="193" t="n">
        <f aca="false">($D$60)/1000000/12*AH$69</f>
        <v>0</v>
      </c>
      <c r="AI75" s="193" t="n">
        <f aca="false">($D$60)/1000000/12*AI$69</f>
        <v>0</v>
      </c>
      <c r="AJ75" s="193" t="n">
        <f aca="false">($D$60)/1000000/12*AJ$69</f>
        <v>0</v>
      </c>
      <c r="AK75" s="193" t="n">
        <f aca="false">($D$60)/1000000/12*AK$69</f>
        <v>0</v>
      </c>
      <c r="AL75" s="193" t="n">
        <f aca="false">($D$60)/1000000/12*AL$69</f>
        <v>0</v>
      </c>
      <c r="AM75" s="193" t="n">
        <f aca="false">($D$60)/1000000/12*AM$69</f>
        <v>0</v>
      </c>
      <c r="AN75" s="193" t="n">
        <f aca="false">($D$60)/1000000/12*AN$69</f>
        <v>0.140359680032124</v>
      </c>
      <c r="AO75" s="193" t="n">
        <f aca="false">($D$60)/1000000/12*AO$69</f>
        <v>0.421079040096372</v>
      </c>
      <c r="AP75" s="193" t="n">
        <f aca="false">($D$60)/1000000/12*AP$69</f>
        <v>0.70179840016062</v>
      </c>
      <c r="AQ75" s="193" t="n">
        <f aca="false">($D$60)/1000000/12*AQ$69</f>
        <v>0.982517760224867</v>
      </c>
      <c r="AR75" s="193" t="n">
        <f aca="false">($D$60)/1000000/12*AR$69</f>
        <v>1.26323712028912</v>
      </c>
      <c r="AS75" s="193" t="n">
        <f aca="false">($D$60)/1000000/12*AS$69</f>
        <v>1.54395648035336</v>
      </c>
      <c r="AT75" s="193" t="n">
        <f aca="false">($D$60)/1000000/12*AT$69</f>
        <v>1.82467584041761</v>
      </c>
      <c r="AU75" s="193" t="n">
        <f aca="false">($D$60)/1000000/12*AU$69</f>
        <v>2.10539520048186</v>
      </c>
      <c r="AV75" s="193" t="n">
        <f aca="false">($D$60)/1000000/12*AV$69</f>
        <v>2.24575488051398</v>
      </c>
      <c r="AW75" s="193" t="n">
        <f aca="false">($D$60)/1000000/12*AW$69</f>
        <v>2.24575488051398</v>
      </c>
      <c r="AX75" s="193" t="n">
        <f aca="false">($D$60)/1000000/12*AX$69</f>
        <v>2.24575488051398</v>
      </c>
      <c r="AY75" s="193" t="n">
        <f aca="false">($D$60)/1000000/12*AY$69</f>
        <v>2.24575488051398</v>
      </c>
      <c r="AZ75" s="193" t="n">
        <f aca="false">($D$60)/1000000/12*AZ$69</f>
        <v>2.24575488051398</v>
      </c>
      <c r="BA75" s="193" t="n">
        <f aca="false">($D$60)/1000000/12*BA$69</f>
        <v>2.24575488051398</v>
      </c>
      <c r="BB75" s="193" t="n">
        <f aca="false">($D$60)/1000000/12*BB$69</f>
        <v>2.24575488051398</v>
      </c>
      <c r="BC75" s="193" t="n">
        <f aca="false">($D$60)/1000000/12*BC$69</f>
        <v>2.24575488051398</v>
      </c>
      <c r="BD75" s="193" t="n">
        <f aca="false">($D$60)/1000000/12*BD$69</f>
        <v>2.24575488051398</v>
      </c>
      <c r="BE75" s="193" t="n">
        <f aca="false">($D$60)/1000000/12*BE$69</f>
        <v>2.24575488051398</v>
      </c>
      <c r="BF75" s="193" t="n">
        <f aca="false">($D$60)/1000000/12*BF$69</f>
        <v>2.24575488051398</v>
      </c>
      <c r="BG75" s="193" t="n">
        <f aca="false">($D$60)/1000000/12*BG$69</f>
        <v>2.24575488051398</v>
      </c>
      <c r="BH75" s="193" t="n">
        <f aca="false">($D$60)/1000000/12*BH$69</f>
        <v>2.24575488051398</v>
      </c>
      <c r="BI75" s="193" t="n">
        <f aca="false">($D$60)/1000000/12*BI$69</f>
        <v>2.24575488051398</v>
      </c>
      <c r="BJ75" s="193" t="n">
        <f aca="false">($D$60)/1000000/12*BJ$69</f>
        <v>2.24575488051398</v>
      </c>
      <c r="BK75" s="193" t="n">
        <f aca="false">($D$60)/1000000/12*BK$69</f>
        <v>2.24575488051398</v>
      </c>
      <c r="BL75" s="193" t="n">
        <f aca="false">($D$60)/1000000/12*BL$69</f>
        <v>2.24575488051398</v>
      </c>
      <c r="BM75" s="193" t="n">
        <f aca="false">($D$60)/1000000/12*BM$69</f>
        <v>2.24575488051398</v>
      </c>
      <c r="BN75" s="193" t="n">
        <f aca="false">($D$60)/1000000/12*BN$69</f>
        <v>2.24575488051398</v>
      </c>
      <c r="BO75" s="193" t="n">
        <f aca="false">($D$60)/1000000/12*BO$69</f>
        <v>2.24575488051398</v>
      </c>
      <c r="BP75" s="193" t="n">
        <f aca="false">($D$60)/1000000/12*BP$69</f>
        <v>2.24575488051398</v>
      </c>
      <c r="BQ75" s="193" t="n">
        <f aca="false">($D$60)/1000000/12*BQ$69</f>
        <v>2.24575488051398</v>
      </c>
      <c r="BR75" s="193" t="n">
        <f aca="false">($D$60)/1000000/12*BR$69</f>
        <v>2.24575488051398</v>
      </c>
      <c r="BS75" s="193" t="n">
        <f aca="false">($D$60)/1000000/12*BS$69</f>
        <v>2.24575488051398</v>
      </c>
      <c r="BT75" s="193" t="n">
        <f aca="false">($D$60)/1000000/12*BT$69</f>
        <v>2.24575488051398</v>
      </c>
      <c r="BU75" s="193" t="n">
        <f aca="false">($D$60)/1000000/12*BU$69</f>
        <v>2.24575488051398</v>
      </c>
      <c r="BV75" s="193" t="n">
        <f aca="false">($D$60)/1000000/12*BV$69</f>
        <v>2.24575488051398</v>
      </c>
      <c r="BW75" s="193" t="n">
        <f aca="false">($D$60)/1000000/12*BW$69</f>
        <v>2.24575488051398</v>
      </c>
      <c r="BX75" s="193" t="n">
        <f aca="false">($D$60)/1000000/12*BX$69</f>
        <v>2.24575488051398</v>
      </c>
      <c r="BY75" s="193" t="n">
        <f aca="false">($D$60)/1000000/12*BY$69</f>
        <v>2.24575488051398</v>
      </c>
      <c r="BZ75" s="193" t="n">
        <f aca="false">($D$60)/1000000/12*BZ$69</f>
        <v>2.24575488051398</v>
      </c>
      <c r="CA75" s="193" t="n">
        <f aca="false">($D$60)/1000000/12*CA$69</f>
        <v>2.24575488051398</v>
      </c>
    </row>
    <row r="76" customFormat="false" ht="15" hidden="false" customHeight="false" outlineLevel="0" collapsed="false">
      <c r="B76" s="10" t="s">
        <v>540</v>
      </c>
      <c r="D76" s="193" t="n">
        <f aca="false">$D$26/1000000</f>
        <v>101.46563188</v>
      </c>
      <c r="K76" s="193" t="n">
        <f aca="false">SUMIFS($T76:$CA76,$T$5:$CA$5,2030)</f>
        <v>8.30168084661651</v>
      </c>
      <c r="L76" s="193" t="n">
        <f aca="false">SUMIFS($T76:$CA76,$T$5:$CA$5,2026)</f>
        <v>0</v>
      </c>
      <c r="M76" s="193" t="n">
        <f aca="false">SUMIFS($T76:$CA76,$T$5:$CA$5,2027)</f>
        <v>0.691806737218042</v>
      </c>
      <c r="N76" s="193" t="n">
        <f aca="false">SUMIFS($T76:$CA76,$T$5:$CA$5,2028)</f>
        <v>7.60987410939846</v>
      </c>
      <c r="O76" s="193" t="n">
        <f aca="false">SUMIFS($T76:$CA76,$T$5:$CA$5,2029)</f>
        <v>8.30168084661651</v>
      </c>
      <c r="P76" s="193" t="n">
        <f aca="false">SUMIFS($T76:$CA76,$T$5:$CA$5,2030)</f>
        <v>8.30168084661651</v>
      </c>
      <c r="R76" s="10"/>
      <c r="T76" s="193" t="n">
        <f aca="false">($D$61)/1000000/12*T$69</f>
        <v>0</v>
      </c>
      <c r="U76" s="193" t="n">
        <f aca="false">($D$61)/1000000/12*U$69</f>
        <v>0</v>
      </c>
      <c r="V76" s="193" t="n">
        <f aca="false">($D$61)/1000000/12*V$69</f>
        <v>0</v>
      </c>
      <c r="W76" s="193" t="n">
        <f aca="false">($D$61)/1000000/12*W$69</f>
        <v>0</v>
      </c>
      <c r="X76" s="193" t="n">
        <f aca="false">($D$61)/1000000/12*X$69</f>
        <v>0</v>
      </c>
      <c r="Y76" s="193" t="n">
        <f aca="false">($D$61)/1000000/12*Y$69</f>
        <v>0</v>
      </c>
      <c r="Z76" s="193" t="n">
        <f aca="false">($D$61)/1000000/12*Z$69</f>
        <v>0</v>
      </c>
      <c r="AA76" s="193" t="n">
        <f aca="false">($D$61)/1000000/12*AA$69</f>
        <v>0</v>
      </c>
      <c r="AB76" s="193" t="n">
        <f aca="false">($D$61)/1000000/12*AB$69</f>
        <v>0</v>
      </c>
      <c r="AC76" s="193" t="n">
        <f aca="false">($D$61)/1000000/12*AC$69</f>
        <v>0</v>
      </c>
      <c r="AD76" s="193" t="n">
        <f aca="false">($D$61)/1000000/12*AD$69</f>
        <v>0</v>
      </c>
      <c r="AE76" s="193" t="n">
        <f aca="false">($D$61)/1000000/12*AE$69</f>
        <v>0</v>
      </c>
      <c r="AF76" s="193" t="n">
        <f aca="false">($D$61)/1000000/12*AF$69</f>
        <v>0</v>
      </c>
      <c r="AG76" s="193" t="n">
        <f aca="false">($D$61)/1000000/12*AG$69</f>
        <v>0</v>
      </c>
      <c r="AH76" s="193" t="n">
        <f aca="false">($D$61)/1000000/12*AH$69</f>
        <v>0</v>
      </c>
      <c r="AI76" s="193" t="n">
        <f aca="false">($D$61)/1000000/12*AI$69</f>
        <v>0</v>
      </c>
      <c r="AJ76" s="193" t="n">
        <f aca="false">($D$61)/1000000/12*AJ$69</f>
        <v>0</v>
      </c>
      <c r="AK76" s="193" t="n">
        <f aca="false">($D$61)/1000000/12*AK$69</f>
        <v>0</v>
      </c>
      <c r="AL76" s="193" t="n">
        <f aca="false">($D$61)/1000000/12*AL$69</f>
        <v>0</v>
      </c>
      <c r="AM76" s="193" t="n">
        <f aca="false">($D$61)/1000000/12*AM$69</f>
        <v>0</v>
      </c>
      <c r="AN76" s="193" t="n">
        <f aca="false">($D$61)/1000000/12*AN$69</f>
        <v>0.0432379210761276</v>
      </c>
      <c r="AO76" s="193" t="n">
        <f aca="false">($D$61)/1000000/12*AO$69</f>
        <v>0.129713763228383</v>
      </c>
      <c r="AP76" s="193" t="n">
        <f aca="false">($D$61)/1000000/12*AP$69</f>
        <v>0.216189605380638</v>
      </c>
      <c r="AQ76" s="193" t="n">
        <f aca="false">($D$61)/1000000/12*AQ$69</f>
        <v>0.302665447532894</v>
      </c>
      <c r="AR76" s="193" t="n">
        <f aca="false">($D$61)/1000000/12*AR$69</f>
        <v>0.389141289685149</v>
      </c>
      <c r="AS76" s="193" t="n">
        <f aca="false">($D$61)/1000000/12*AS$69</f>
        <v>0.475617131837404</v>
      </c>
      <c r="AT76" s="193" t="n">
        <f aca="false">($D$61)/1000000/12*AT$69</f>
        <v>0.562092973989659</v>
      </c>
      <c r="AU76" s="193" t="n">
        <f aca="false">($D$61)/1000000/12*AU$69</f>
        <v>0.648568816141915</v>
      </c>
      <c r="AV76" s="193" t="n">
        <f aca="false">($D$61)/1000000/12*AV$69</f>
        <v>0.691806737218042</v>
      </c>
      <c r="AW76" s="193" t="n">
        <f aca="false">($D$61)/1000000/12*AW$69</f>
        <v>0.691806737218042</v>
      </c>
      <c r="AX76" s="193" t="n">
        <f aca="false">($D$61)/1000000/12*AX$69</f>
        <v>0.691806737218042</v>
      </c>
      <c r="AY76" s="193" t="n">
        <f aca="false">($D$61)/1000000/12*AY$69</f>
        <v>0.691806737218042</v>
      </c>
      <c r="AZ76" s="193" t="n">
        <f aca="false">($D$61)/1000000/12*AZ$69</f>
        <v>0.691806737218042</v>
      </c>
      <c r="BA76" s="193" t="n">
        <f aca="false">($D$61)/1000000/12*BA$69</f>
        <v>0.691806737218042</v>
      </c>
      <c r="BB76" s="193" t="n">
        <f aca="false">($D$61)/1000000/12*BB$69</f>
        <v>0.691806737218042</v>
      </c>
      <c r="BC76" s="193" t="n">
        <f aca="false">($D$61)/1000000/12*BC$69</f>
        <v>0.691806737218042</v>
      </c>
      <c r="BD76" s="193" t="n">
        <f aca="false">($D$61)/1000000/12*BD$69</f>
        <v>0.691806737218042</v>
      </c>
      <c r="BE76" s="193" t="n">
        <f aca="false">($D$61)/1000000/12*BE$69</f>
        <v>0.691806737218042</v>
      </c>
      <c r="BF76" s="193" t="n">
        <f aca="false">($D$61)/1000000/12*BF$69</f>
        <v>0.691806737218042</v>
      </c>
      <c r="BG76" s="193" t="n">
        <f aca="false">($D$61)/1000000/12*BG$69</f>
        <v>0.691806737218042</v>
      </c>
      <c r="BH76" s="193" t="n">
        <f aca="false">($D$61)/1000000/12*BH$69</f>
        <v>0.691806737218042</v>
      </c>
      <c r="BI76" s="193" t="n">
        <f aca="false">($D$61)/1000000/12*BI$69</f>
        <v>0.691806737218042</v>
      </c>
      <c r="BJ76" s="193" t="n">
        <f aca="false">($D$61)/1000000/12*BJ$69</f>
        <v>0.691806737218042</v>
      </c>
      <c r="BK76" s="193" t="n">
        <f aca="false">($D$61)/1000000/12*BK$69</f>
        <v>0.691806737218042</v>
      </c>
      <c r="BL76" s="193" t="n">
        <f aca="false">($D$61)/1000000/12*BL$69</f>
        <v>0.691806737218042</v>
      </c>
      <c r="BM76" s="193" t="n">
        <f aca="false">($D$61)/1000000/12*BM$69</f>
        <v>0.691806737218042</v>
      </c>
      <c r="BN76" s="193" t="n">
        <f aca="false">($D$61)/1000000/12*BN$69</f>
        <v>0.691806737218042</v>
      </c>
      <c r="BO76" s="193" t="n">
        <f aca="false">($D$61)/1000000/12*BO$69</f>
        <v>0.691806737218042</v>
      </c>
      <c r="BP76" s="193" t="n">
        <f aca="false">($D$61)/1000000/12*BP$69</f>
        <v>0.691806737218042</v>
      </c>
      <c r="BQ76" s="193" t="n">
        <f aca="false">($D$61)/1000000/12*BQ$69</f>
        <v>0.691806737218042</v>
      </c>
      <c r="BR76" s="193" t="n">
        <f aca="false">($D$61)/1000000/12*BR$69</f>
        <v>0.691806737218042</v>
      </c>
      <c r="BS76" s="193" t="n">
        <f aca="false">($D$61)/1000000/12*BS$69</f>
        <v>0.691806737218042</v>
      </c>
      <c r="BT76" s="193" t="n">
        <f aca="false">($D$61)/1000000/12*BT$69</f>
        <v>0.691806737218042</v>
      </c>
      <c r="BU76" s="193" t="n">
        <f aca="false">($D$61)/1000000/12*BU$69</f>
        <v>0.691806737218042</v>
      </c>
      <c r="BV76" s="193" t="n">
        <f aca="false">($D$61)/1000000/12*BV$69</f>
        <v>0.691806737218042</v>
      </c>
      <c r="BW76" s="193" t="n">
        <f aca="false">($D$61)/1000000/12*BW$69</f>
        <v>0.691806737218042</v>
      </c>
      <c r="BX76" s="193" t="n">
        <f aca="false">($D$61)/1000000/12*BX$69</f>
        <v>0.691806737218042</v>
      </c>
      <c r="BY76" s="193" t="n">
        <f aca="false">($D$61)/1000000/12*BY$69</f>
        <v>0.691806737218042</v>
      </c>
      <c r="BZ76" s="193" t="n">
        <f aca="false">($D$61)/1000000/12*BZ$69</f>
        <v>0.691806737218042</v>
      </c>
      <c r="CA76" s="193" t="n">
        <f aca="false">($D$61)/1000000/12*CA$69</f>
        <v>0.691806737218042</v>
      </c>
    </row>
    <row r="77" customFormat="false" ht="15" hidden="false" customHeight="false" outlineLevel="0" collapsed="false">
      <c r="B77" s="3" t="s">
        <v>326</v>
      </c>
      <c r="K77" s="193" t="n">
        <f aca="false">SUM(K75:K76)</f>
        <v>35.2507394127843</v>
      </c>
      <c r="L77" s="193" t="n">
        <f aca="false">SUM(L75:L76)</f>
        <v>0</v>
      </c>
      <c r="M77" s="193" t="n">
        <f aca="false">SUM(M75:M76)</f>
        <v>2.93756161773202</v>
      </c>
      <c r="N77" s="193" t="n">
        <f aca="false">SUM(N75:N76)</f>
        <v>32.3131777950523</v>
      </c>
      <c r="O77" s="193" t="n">
        <f aca="false">SUM(O75:O76)</f>
        <v>35.2507394127843</v>
      </c>
      <c r="P77" s="193" t="n">
        <f aca="false">SUM(P75:P76)</f>
        <v>35.2507394127843</v>
      </c>
    </row>
    <row r="79" customFormat="false" ht="18" hidden="false" customHeight="true" outlineLevel="0" collapsed="false">
      <c r="B79" s="5" t="s">
        <v>327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</row>
    <row r="81" customFormat="false" ht="15" hidden="false" customHeight="false" outlineLevel="0" collapsed="false">
      <c r="B81" s="184" t="s">
        <v>541</v>
      </c>
    </row>
    <row r="82" customFormat="false" ht="22.35" hidden="false" customHeight="false" outlineLevel="0" collapsed="false">
      <c r="B82" s="169" t="s">
        <v>221</v>
      </c>
      <c r="C82" s="169" t="s">
        <v>328</v>
      </c>
      <c r="D82" s="169" t="s">
        <v>329</v>
      </c>
      <c r="E82" s="169" t="s">
        <v>330</v>
      </c>
      <c r="F82" s="169" t="s">
        <v>331</v>
      </c>
      <c r="G82" s="169" t="s">
        <v>332</v>
      </c>
      <c r="H82" s="169" t="s">
        <v>333</v>
      </c>
      <c r="I82" s="169" t="s">
        <v>334</v>
      </c>
      <c r="K82" s="169" t="s">
        <v>335</v>
      </c>
    </row>
    <row r="83" customFormat="false" ht="30" hidden="false" customHeight="true" outlineLevel="0" collapsed="false">
      <c r="C83" s="185" t="s">
        <v>336</v>
      </c>
      <c r="E83" s="185" t="s">
        <v>337</v>
      </c>
      <c r="F83" s="185" t="s">
        <v>338</v>
      </c>
      <c r="G83" s="185" t="s">
        <v>339</v>
      </c>
      <c r="I83" s="185" t="s">
        <v>340</v>
      </c>
    </row>
    <row r="84" customFormat="false" ht="42" hidden="false" customHeight="true" outlineLevel="0" collapsed="false">
      <c r="B84" s="186" t="s">
        <v>224</v>
      </c>
      <c r="C84" s="194" t="s">
        <v>542</v>
      </c>
      <c r="D84" s="183" t="n">
        <v>4</v>
      </c>
      <c r="E84" s="183" t="n">
        <v>2</v>
      </c>
      <c r="F84" s="168" t="n">
        <v>0.1</v>
      </c>
      <c r="G84" s="159" t="n">
        <f aca="false">D84*E84*IF(K84="",'Rate Card'!$G$29,K84)*(1+F84)</f>
        <v>146666.666666667</v>
      </c>
      <c r="H84" s="178" t="n">
        <f aca="false">DATE(2027,1,1)</f>
        <v>46388</v>
      </c>
      <c r="I84" s="195" t="n">
        <f aca="false">'Rate Card'!$C$45</f>
        <v>0</v>
      </c>
      <c r="K84" s="158"/>
    </row>
    <row r="85" customFormat="false" ht="42" hidden="false" customHeight="true" outlineLevel="0" collapsed="false">
      <c r="B85" s="186" t="s">
        <v>225</v>
      </c>
      <c r="C85" s="194" t="s">
        <v>461</v>
      </c>
      <c r="D85" s="183" t="n">
        <v>8</v>
      </c>
      <c r="E85" s="183" t="n">
        <v>6</v>
      </c>
      <c r="F85" s="168" t="n">
        <v>0.1</v>
      </c>
      <c r="G85" s="159" t="n">
        <f aca="false">D85*E85*IF(K85="",'Rate Card'!$G$29,K85)*(1+F85)</f>
        <v>880000</v>
      </c>
      <c r="H85" s="178" t="n">
        <f aca="false">DATE(2027,3,1)</f>
        <v>46447</v>
      </c>
      <c r="I85" s="195" t="n">
        <f aca="false">'Rate Card'!$C$46</f>
        <v>0</v>
      </c>
      <c r="K85" s="158"/>
    </row>
    <row r="86" customFormat="false" ht="42" hidden="false" customHeight="true" outlineLevel="0" collapsed="false">
      <c r="B86" s="186" t="s">
        <v>226</v>
      </c>
      <c r="C86" s="194" t="s">
        <v>543</v>
      </c>
      <c r="D86" s="183" t="n">
        <v>5</v>
      </c>
      <c r="E86" s="183" t="n">
        <v>8</v>
      </c>
      <c r="F86" s="168" t="n">
        <v>0.1</v>
      </c>
      <c r="G86" s="159" t="n">
        <f aca="false">D86*E86*IF(K86="",'Rate Card'!$G$29,K86)*(1+F86)</f>
        <v>733333.333333334</v>
      </c>
      <c r="H86" s="178" t="n">
        <f aca="false">DATE(2027,9,1)</f>
        <v>46631</v>
      </c>
      <c r="I86" s="195" t="n">
        <f aca="false">'Rate Card'!$C$47</f>
        <v>0</v>
      </c>
      <c r="K86" s="158"/>
    </row>
    <row r="87" customFormat="false" ht="42" hidden="false" customHeight="true" outlineLevel="0" collapsed="false">
      <c r="B87" s="186" t="s">
        <v>227</v>
      </c>
      <c r="C87" s="194" t="s">
        <v>544</v>
      </c>
      <c r="D87" s="183" t="n">
        <v>0</v>
      </c>
      <c r="E87" s="183" t="n">
        <v>0</v>
      </c>
      <c r="F87" s="168" t="n">
        <v>0.1</v>
      </c>
      <c r="G87" s="159" t="n">
        <f aca="false">D87*E87*IF(K87="",'Rate Card'!$G$29,K87)*(1+F87)</f>
        <v>0</v>
      </c>
      <c r="H87" s="178" t="n">
        <f aca="false">DATE(2028,5,1)</f>
        <v>46874</v>
      </c>
      <c r="I87" s="195" t="n">
        <f aca="false">'Rate Card'!$C$48</f>
        <v>0</v>
      </c>
      <c r="K87" s="158"/>
    </row>
    <row r="89" customFormat="false" ht="15" hidden="false" customHeight="false" outlineLevel="0" collapsed="false">
      <c r="B89" s="184" t="s">
        <v>545</v>
      </c>
    </row>
    <row r="90" customFormat="false" ht="22.35" hidden="false" customHeight="false" outlineLevel="0" collapsed="false">
      <c r="B90" s="169" t="s">
        <v>221</v>
      </c>
      <c r="C90" s="169" t="s">
        <v>328</v>
      </c>
      <c r="D90" s="169" t="s">
        <v>329</v>
      </c>
      <c r="E90" s="169" t="s">
        <v>330</v>
      </c>
      <c r="F90" s="169" t="s">
        <v>331</v>
      </c>
      <c r="G90" s="169" t="s">
        <v>332</v>
      </c>
      <c r="H90" s="169" t="s">
        <v>333</v>
      </c>
      <c r="I90" s="169" t="s">
        <v>334</v>
      </c>
      <c r="K90" s="169" t="s">
        <v>335</v>
      </c>
    </row>
    <row r="91" customFormat="false" ht="42" hidden="false" customHeight="true" outlineLevel="0" collapsed="false">
      <c r="B91" s="186" t="s">
        <v>224</v>
      </c>
      <c r="C91" s="194" t="s">
        <v>542</v>
      </c>
      <c r="D91" s="183" t="n">
        <v>4</v>
      </c>
      <c r="E91" s="183" t="n">
        <v>2</v>
      </c>
      <c r="F91" s="168" t="n">
        <v>0.1</v>
      </c>
      <c r="G91" s="159" t="n">
        <f aca="false">D91*E91*IF(K91="",'Rate Card'!$G$29,K91)*(1+F91)</f>
        <v>146666.666666667</v>
      </c>
      <c r="H91" s="178" t="n">
        <f aca="false">DATE(2027,1,1)</f>
        <v>46388</v>
      </c>
      <c r="I91" s="195" t="n">
        <f aca="false">'Rate Card'!$C$45</f>
        <v>0</v>
      </c>
      <c r="K91" s="158"/>
    </row>
    <row r="92" customFormat="false" ht="42" hidden="false" customHeight="true" outlineLevel="0" collapsed="false">
      <c r="B92" s="186" t="s">
        <v>225</v>
      </c>
      <c r="C92" s="194" t="s">
        <v>546</v>
      </c>
      <c r="D92" s="183" t="n">
        <v>8</v>
      </c>
      <c r="E92" s="183" t="n">
        <v>5</v>
      </c>
      <c r="F92" s="168" t="n">
        <v>0.1</v>
      </c>
      <c r="G92" s="159" t="n">
        <f aca="false">D92*E92*IF(K92="",'Rate Card'!$G$29,K92)*(1+F92)</f>
        <v>733333.333333334</v>
      </c>
      <c r="H92" s="178" t="n">
        <f aca="false">DATE(2027,3,1)</f>
        <v>46447</v>
      </c>
      <c r="I92" s="195" t="n">
        <f aca="false">'Rate Card'!$C$46</f>
        <v>0</v>
      </c>
      <c r="K92" s="158"/>
    </row>
    <row r="93" customFormat="false" ht="42" hidden="false" customHeight="true" outlineLevel="0" collapsed="false">
      <c r="B93" s="186" t="s">
        <v>226</v>
      </c>
      <c r="C93" s="194" t="s">
        <v>547</v>
      </c>
      <c r="D93" s="183" t="n">
        <v>5</v>
      </c>
      <c r="E93" s="183" t="n">
        <v>6</v>
      </c>
      <c r="F93" s="168" t="n">
        <v>0.1</v>
      </c>
      <c r="G93" s="159" t="n">
        <f aca="false">D93*E93*IF(K93="",'Rate Card'!$G$29,K93)*(1+F93)</f>
        <v>550000</v>
      </c>
      <c r="H93" s="178" t="n">
        <f aca="false">DATE(2027,8,1)</f>
        <v>46600</v>
      </c>
      <c r="I93" s="195" t="n">
        <f aca="false">'Rate Card'!$C$47</f>
        <v>0</v>
      </c>
      <c r="K93" s="158"/>
    </row>
    <row r="94" customFormat="false" ht="42" hidden="false" customHeight="true" outlineLevel="0" collapsed="false">
      <c r="B94" s="186" t="s">
        <v>227</v>
      </c>
      <c r="C94" s="194" t="s">
        <v>544</v>
      </c>
      <c r="D94" s="183" t="n">
        <v>0</v>
      </c>
      <c r="E94" s="183" t="n">
        <v>0</v>
      </c>
      <c r="F94" s="168" t="n">
        <v>0.1</v>
      </c>
      <c r="G94" s="159" t="n">
        <f aca="false">D94*E94*IF(K94="",'Rate Card'!$G$29,K94)*(1+F94)</f>
        <v>0</v>
      </c>
      <c r="H94" s="178" t="n">
        <f aca="false">DATE(2028,2,1)</f>
        <v>46784</v>
      </c>
      <c r="I94" s="195" t="n">
        <f aca="false">'Rate Card'!$C$48</f>
        <v>0</v>
      </c>
      <c r="K94" s="158"/>
    </row>
    <row r="96" customFormat="false" ht="15" hidden="false" customHeight="false" outlineLevel="0" collapsed="false">
      <c r="B96" s="167" t="s">
        <v>345</v>
      </c>
    </row>
    <row r="97" customFormat="false" ht="15" hidden="false" customHeight="false" outlineLevel="0" collapsed="false">
      <c r="B97" s="196" t="s">
        <v>548</v>
      </c>
      <c r="T97" s="159" t="n">
        <f aca="false">IF(AND(T$6&gt;=EOMONTH($H$84,0),T$6&lt;=EOMONTH(EDATE($H$84,$E$84-1),0)),$G$84/MAX($E$84,1),0)</f>
        <v>0</v>
      </c>
      <c r="U97" s="159" t="n">
        <f aca="false">IF(AND(U$6&gt;=EOMONTH($H$84,0),U$6&lt;=EOMONTH(EDATE($H$84,$E$84-1),0)),$G$84/MAX($E$84,1),0)</f>
        <v>0</v>
      </c>
      <c r="V97" s="159" t="n">
        <f aca="false">IF(AND(V$6&gt;=EOMONTH($H$84,0),V$6&lt;=EOMONTH(EDATE($H$84,$E$84-1),0)),$G$84/MAX($E$84,1),0)</f>
        <v>0</v>
      </c>
      <c r="W97" s="159" t="n">
        <f aca="false">IF(AND(W$6&gt;=EOMONTH($H$84,0),W$6&lt;=EOMONTH(EDATE($H$84,$E$84-1),0)),$G$84/MAX($E$84,1),0)</f>
        <v>0</v>
      </c>
      <c r="X97" s="159" t="n">
        <f aca="false">IF(AND(X$6&gt;=EOMONTH($H$84,0),X$6&lt;=EOMONTH(EDATE($H$84,$E$84-1),0)),$G$84/MAX($E$84,1),0)</f>
        <v>0</v>
      </c>
      <c r="Y97" s="159" t="n">
        <f aca="false">IF(AND(Y$6&gt;=EOMONTH($H$84,0),Y$6&lt;=EOMONTH(EDATE($H$84,$E$84-1),0)),$G$84/MAX($E$84,1),0)</f>
        <v>0</v>
      </c>
      <c r="Z97" s="159" t="n">
        <f aca="false">IF(AND(Z$6&gt;=EOMONTH($H$84,0),Z$6&lt;=EOMONTH(EDATE($H$84,$E$84-1),0)),$G$84/MAX($E$84,1),0)</f>
        <v>0</v>
      </c>
      <c r="AA97" s="159" t="n">
        <f aca="false">IF(AND(AA$6&gt;=EOMONTH($H$84,0),AA$6&lt;=EOMONTH(EDATE($H$84,$E$84-1),0)),$G$84/MAX($E$84,1),0)</f>
        <v>0</v>
      </c>
      <c r="AB97" s="159" t="n">
        <f aca="false">IF(AND(AB$6&gt;=EOMONTH($H$84,0),AB$6&lt;=EOMONTH(EDATE($H$84,$E$84-1),0)),$G$84/MAX($E$84,1),0)</f>
        <v>0</v>
      </c>
      <c r="AC97" s="159" t="n">
        <f aca="false">IF(AND(AC$6&gt;=EOMONTH($H$84,0),AC$6&lt;=EOMONTH(EDATE($H$84,$E$84-1),0)),$G$84/MAX($E$84,1),0)</f>
        <v>0</v>
      </c>
      <c r="AD97" s="159" t="n">
        <f aca="false">IF(AND(AD$6&gt;=EOMONTH($H$84,0),AD$6&lt;=EOMONTH(EDATE($H$84,$E$84-1),0)),$G$84/MAX($E$84,1),0)</f>
        <v>0</v>
      </c>
      <c r="AE97" s="159" t="n">
        <f aca="false">IF(AND(AE$6&gt;=EOMONTH($H$84,0),AE$6&lt;=EOMONTH(EDATE($H$84,$E$84-1),0)),$G$84/MAX($E$84,1),0)</f>
        <v>0</v>
      </c>
      <c r="AF97" s="159" t="n">
        <f aca="false">IF(AND(AF$6&gt;=EOMONTH($H$84,0),AF$6&lt;=EOMONTH(EDATE($H$84,$E$84-1),0)),$G$84/MAX($E$84,1),0)</f>
        <v>73333.3333333333</v>
      </c>
      <c r="AG97" s="159" t="n">
        <f aca="false">IF(AND(AG$6&gt;=EOMONTH($H$84,0),AG$6&lt;=EOMONTH(EDATE($H$84,$E$84-1),0)),$G$84/MAX($E$84,1),0)</f>
        <v>73333.3333333333</v>
      </c>
      <c r="AH97" s="159" t="n">
        <f aca="false">IF(AND(AH$6&gt;=EOMONTH($H$84,0),AH$6&lt;=EOMONTH(EDATE($H$84,$E$84-1),0)),$G$84/MAX($E$84,1),0)</f>
        <v>0</v>
      </c>
      <c r="AI97" s="159" t="n">
        <f aca="false">IF(AND(AI$6&gt;=EOMONTH($H$84,0),AI$6&lt;=EOMONTH(EDATE($H$84,$E$84-1),0)),$G$84/MAX($E$84,1),0)</f>
        <v>0</v>
      </c>
      <c r="AJ97" s="159" t="n">
        <f aca="false">IF(AND(AJ$6&gt;=EOMONTH($H$84,0),AJ$6&lt;=EOMONTH(EDATE($H$84,$E$84-1),0)),$G$84/MAX($E$84,1),0)</f>
        <v>0</v>
      </c>
      <c r="AK97" s="159" t="n">
        <f aca="false">IF(AND(AK$6&gt;=EOMONTH($H$84,0),AK$6&lt;=EOMONTH(EDATE($H$84,$E$84-1),0)),$G$84/MAX($E$84,1),0)</f>
        <v>0</v>
      </c>
      <c r="AL97" s="159" t="n">
        <f aca="false">IF(AND(AL$6&gt;=EOMONTH($H$84,0),AL$6&lt;=EOMONTH(EDATE($H$84,$E$84-1),0)),$G$84/MAX($E$84,1),0)</f>
        <v>0</v>
      </c>
      <c r="AM97" s="159" t="n">
        <f aca="false">IF(AND(AM$6&gt;=EOMONTH($H$84,0),AM$6&lt;=EOMONTH(EDATE($H$84,$E$84-1),0)),$G$84/MAX($E$84,1),0)</f>
        <v>0</v>
      </c>
      <c r="AN97" s="159" t="n">
        <f aca="false">IF(AND(AN$6&gt;=EOMONTH($H$84,0),AN$6&lt;=EOMONTH(EDATE($H$84,$E$84-1),0)),$G$84/MAX($E$84,1),0)</f>
        <v>0</v>
      </c>
      <c r="AO97" s="159" t="n">
        <f aca="false">IF(AND(AO$6&gt;=EOMONTH($H$84,0),AO$6&lt;=EOMONTH(EDATE($H$84,$E$84-1),0)),$G$84/MAX($E$84,1),0)</f>
        <v>0</v>
      </c>
      <c r="AP97" s="159" t="n">
        <f aca="false">IF(AND(AP$6&gt;=EOMONTH($H$84,0),AP$6&lt;=EOMONTH(EDATE($H$84,$E$84-1),0)),$G$84/MAX($E$84,1),0)</f>
        <v>0</v>
      </c>
      <c r="AQ97" s="159" t="n">
        <f aca="false">IF(AND(AQ$6&gt;=EOMONTH($H$84,0),AQ$6&lt;=EOMONTH(EDATE($H$84,$E$84-1),0)),$G$84/MAX($E$84,1),0)</f>
        <v>0</v>
      </c>
      <c r="AR97" s="159" t="n">
        <f aca="false">IF(AND(AR$6&gt;=EOMONTH($H$84,0),AR$6&lt;=EOMONTH(EDATE($H$84,$E$84-1),0)),$G$84/MAX($E$84,1),0)</f>
        <v>0</v>
      </c>
      <c r="AS97" s="159" t="n">
        <f aca="false">IF(AND(AS$6&gt;=EOMONTH($H$84,0),AS$6&lt;=EOMONTH(EDATE($H$84,$E$84-1),0)),$G$84/MAX($E$84,1),0)</f>
        <v>0</v>
      </c>
      <c r="AT97" s="159" t="n">
        <f aca="false">IF(AND(AT$6&gt;=EOMONTH($H$84,0),AT$6&lt;=EOMONTH(EDATE($H$84,$E$84-1),0)),$G$84/MAX($E$84,1),0)</f>
        <v>0</v>
      </c>
      <c r="AU97" s="159" t="n">
        <f aca="false">IF(AND(AU$6&gt;=EOMONTH($H$84,0),AU$6&lt;=EOMONTH(EDATE($H$84,$E$84-1),0)),$G$84/MAX($E$84,1),0)</f>
        <v>0</v>
      </c>
      <c r="AV97" s="159" t="n">
        <f aca="false">IF(AND(AV$6&gt;=EOMONTH($H$84,0),AV$6&lt;=EOMONTH(EDATE($H$84,$E$84-1),0)),$G$84/MAX($E$84,1),0)</f>
        <v>0</v>
      </c>
      <c r="AW97" s="159" t="n">
        <f aca="false">IF(AND(AW$6&gt;=EOMONTH($H$84,0),AW$6&lt;=EOMONTH(EDATE($H$84,$E$84-1),0)),$G$84/MAX($E$84,1),0)</f>
        <v>0</v>
      </c>
      <c r="AX97" s="159" t="n">
        <f aca="false">IF(AND(AX$6&gt;=EOMONTH($H$84,0),AX$6&lt;=EOMONTH(EDATE($H$84,$E$84-1),0)),$G$84/MAX($E$84,1),0)</f>
        <v>0</v>
      </c>
      <c r="AY97" s="159" t="n">
        <f aca="false">IF(AND(AY$6&gt;=EOMONTH($H$84,0),AY$6&lt;=EOMONTH(EDATE($H$84,$E$84-1),0)),$G$84/MAX($E$84,1),0)</f>
        <v>0</v>
      </c>
      <c r="AZ97" s="159" t="n">
        <f aca="false">IF(AND(AZ$6&gt;=EOMONTH($H$84,0),AZ$6&lt;=EOMONTH(EDATE($H$84,$E$84-1),0)),$G$84/MAX($E$84,1),0)</f>
        <v>0</v>
      </c>
      <c r="BA97" s="159" t="n">
        <f aca="false">IF(AND(BA$6&gt;=EOMONTH($H$84,0),BA$6&lt;=EOMONTH(EDATE($H$84,$E$84-1),0)),$G$84/MAX($E$84,1),0)</f>
        <v>0</v>
      </c>
      <c r="BB97" s="159" t="n">
        <f aca="false">IF(AND(BB$6&gt;=EOMONTH($H$84,0),BB$6&lt;=EOMONTH(EDATE($H$84,$E$84-1),0)),$G$84/MAX($E$84,1),0)</f>
        <v>0</v>
      </c>
      <c r="BC97" s="159" t="n">
        <f aca="false">IF(AND(BC$6&gt;=EOMONTH($H$84,0),BC$6&lt;=EOMONTH(EDATE($H$84,$E$84-1),0)),$G$84/MAX($E$84,1),0)</f>
        <v>0</v>
      </c>
      <c r="BD97" s="159" t="n">
        <f aca="false">IF(AND(BD$6&gt;=EOMONTH($H$84,0),BD$6&lt;=EOMONTH(EDATE($H$84,$E$84-1),0)),$G$84/MAX($E$84,1),0)</f>
        <v>0</v>
      </c>
      <c r="BE97" s="159" t="n">
        <f aca="false">IF(AND(BE$6&gt;=EOMONTH($H$84,0),BE$6&lt;=EOMONTH(EDATE($H$84,$E$84-1),0)),$G$84/MAX($E$84,1),0)</f>
        <v>0</v>
      </c>
      <c r="BF97" s="159" t="n">
        <f aca="false">IF(AND(BF$6&gt;=EOMONTH($H$84,0),BF$6&lt;=EOMONTH(EDATE($H$84,$E$84-1),0)),$G$84/MAX($E$84,1),0)</f>
        <v>0</v>
      </c>
      <c r="BG97" s="159" t="n">
        <f aca="false">IF(AND(BG$6&gt;=EOMONTH($H$84,0),BG$6&lt;=EOMONTH(EDATE($H$84,$E$84-1),0)),$G$84/MAX($E$84,1),0)</f>
        <v>0</v>
      </c>
      <c r="BH97" s="159" t="n">
        <f aca="false">IF(AND(BH$6&gt;=EOMONTH($H$84,0),BH$6&lt;=EOMONTH(EDATE($H$84,$E$84-1),0)),$G$84/MAX($E$84,1),0)</f>
        <v>0</v>
      </c>
      <c r="BI97" s="159" t="n">
        <f aca="false">IF(AND(BI$6&gt;=EOMONTH($H$84,0),BI$6&lt;=EOMONTH(EDATE($H$84,$E$84-1),0)),$G$84/MAX($E$84,1),0)</f>
        <v>0</v>
      </c>
      <c r="BJ97" s="159" t="n">
        <f aca="false">IF(AND(BJ$6&gt;=EOMONTH($H$84,0),BJ$6&lt;=EOMONTH(EDATE($H$84,$E$84-1),0)),$G$84/MAX($E$84,1),0)</f>
        <v>0</v>
      </c>
      <c r="BK97" s="159" t="n">
        <f aca="false">IF(AND(BK$6&gt;=EOMONTH($H$84,0),BK$6&lt;=EOMONTH(EDATE($H$84,$E$84-1),0)),$G$84/MAX($E$84,1),0)</f>
        <v>0</v>
      </c>
      <c r="BL97" s="159" t="n">
        <f aca="false">IF(AND(BL$6&gt;=EOMONTH($H$84,0),BL$6&lt;=EOMONTH(EDATE($H$84,$E$84-1),0)),$G$84/MAX($E$84,1),0)</f>
        <v>0</v>
      </c>
      <c r="BM97" s="159" t="n">
        <f aca="false">IF(AND(BM$6&gt;=EOMONTH($H$84,0),BM$6&lt;=EOMONTH(EDATE($H$84,$E$84-1),0)),$G$84/MAX($E$84,1),0)</f>
        <v>0</v>
      </c>
      <c r="BN97" s="159" t="n">
        <f aca="false">IF(AND(BN$6&gt;=EOMONTH($H$84,0),BN$6&lt;=EOMONTH(EDATE($H$84,$E$84-1),0)),$G$84/MAX($E$84,1),0)</f>
        <v>0</v>
      </c>
      <c r="BO97" s="159" t="n">
        <f aca="false">IF(AND(BO$6&gt;=EOMONTH($H$84,0),BO$6&lt;=EOMONTH(EDATE($H$84,$E$84-1),0)),$G$84/MAX($E$84,1),0)</f>
        <v>0</v>
      </c>
      <c r="BP97" s="159" t="n">
        <f aca="false">IF(AND(BP$6&gt;=EOMONTH($H$84,0),BP$6&lt;=EOMONTH(EDATE($H$84,$E$84-1),0)),$G$84/MAX($E$84,1),0)</f>
        <v>0</v>
      </c>
      <c r="BQ97" s="159" t="n">
        <f aca="false">IF(AND(BQ$6&gt;=EOMONTH($H$84,0),BQ$6&lt;=EOMONTH(EDATE($H$84,$E$84-1),0)),$G$84/MAX($E$84,1),0)</f>
        <v>0</v>
      </c>
      <c r="BR97" s="159" t="n">
        <f aca="false">IF(AND(BR$6&gt;=EOMONTH($H$84,0),BR$6&lt;=EOMONTH(EDATE($H$84,$E$84-1),0)),$G$84/MAX($E$84,1),0)</f>
        <v>0</v>
      </c>
      <c r="BS97" s="159" t="n">
        <f aca="false">IF(AND(BS$6&gt;=EOMONTH($H$84,0),BS$6&lt;=EOMONTH(EDATE($H$84,$E$84-1),0)),$G$84/MAX($E$84,1),0)</f>
        <v>0</v>
      </c>
      <c r="BT97" s="159" t="n">
        <f aca="false">IF(AND(BT$6&gt;=EOMONTH($H$84,0),BT$6&lt;=EOMONTH(EDATE($H$84,$E$84-1),0)),$G$84/MAX($E$84,1),0)</f>
        <v>0</v>
      </c>
      <c r="BU97" s="159" t="n">
        <f aca="false">IF(AND(BU$6&gt;=EOMONTH($H$84,0),BU$6&lt;=EOMONTH(EDATE($H$84,$E$84-1),0)),$G$84/MAX($E$84,1),0)</f>
        <v>0</v>
      </c>
      <c r="BV97" s="159" t="n">
        <f aca="false">IF(AND(BV$6&gt;=EOMONTH($H$84,0),BV$6&lt;=EOMONTH(EDATE($H$84,$E$84-1),0)),$G$84/MAX($E$84,1),0)</f>
        <v>0</v>
      </c>
      <c r="BW97" s="159" t="n">
        <f aca="false">IF(AND(BW$6&gt;=EOMONTH($H$84,0),BW$6&lt;=EOMONTH(EDATE($H$84,$E$84-1),0)),$G$84/MAX($E$84,1),0)</f>
        <v>0</v>
      </c>
      <c r="BX97" s="159" t="n">
        <f aca="false">IF(AND(BX$6&gt;=EOMONTH($H$84,0),BX$6&lt;=EOMONTH(EDATE($H$84,$E$84-1),0)),$G$84/MAX($E$84,1),0)</f>
        <v>0</v>
      </c>
      <c r="BY97" s="159" t="n">
        <f aca="false">IF(AND(BY$6&gt;=EOMONTH($H$84,0),BY$6&lt;=EOMONTH(EDATE($H$84,$E$84-1),0)),$G$84/MAX($E$84,1),0)</f>
        <v>0</v>
      </c>
      <c r="BZ97" s="159" t="n">
        <f aca="false">IF(AND(BZ$6&gt;=EOMONTH($H$84,0),BZ$6&lt;=EOMONTH(EDATE($H$84,$E$84-1),0)),$G$84/MAX($E$84,1),0)</f>
        <v>0</v>
      </c>
      <c r="CA97" s="159" t="n">
        <f aca="false">IF(AND(CA$6&gt;=EOMONTH($H$84,0),CA$6&lt;=EOMONTH(EDATE($H$84,$E$84-1),0)),$G$84/MAX($E$84,1),0)</f>
        <v>0</v>
      </c>
    </row>
    <row r="98" customFormat="false" ht="15" hidden="false" customHeight="false" outlineLevel="0" collapsed="false">
      <c r="B98" s="196" t="s">
        <v>549</v>
      </c>
      <c r="T98" s="159" t="n">
        <f aca="false">IF(AND(T$6&gt;=EOMONTH($H$85,0),T$6&lt;=EOMONTH(EDATE($H$85,$E$85-1),0)),$G$85/MAX($E$85,1),0)</f>
        <v>0</v>
      </c>
      <c r="U98" s="159" t="n">
        <f aca="false">IF(AND(U$6&gt;=EOMONTH($H$85,0),U$6&lt;=EOMONTH(EDATE($H$85,$E$85-1),0)),$G$85/MAX($E$85,1),0)</f>
        <v>0</v>
      </c>
      <c r="V98" s="159" t="n">
        <f aca="false">IF(AND(V$6&gt;=EOMONTH($H$85,0),V$6&lt;=EOMONTH(EDATE($H$85,$E$85-1),0)),$G$85/MAX($E$85,1),0)</f>
        <v>0</v>
      </c>
      <c r="W98" s="159" t="n">
        <f aca="false">IF(AND(W$6&gt;=EOMONTH($H$85,0),W$6&lt;=EOMONTH(EDATE($H$85,$E$85-1),0)),$G$85/MAX($E$85,1),0)</f>
        <v>0</v>
      </c>
      <c r="X98" s="159" t="n">
        <f aca="false">IF(AND(X$6&gt;=EOMONTH($H$85,0),X$6&lt;=EOMONTH(EDATE($H$85,$E$85-1),0)),$G$85/MAX($E$85,1),0)</f>
        <v>0</v>
      </c>
      <c r="Y98" s="159" t="n">
        <f aca="false">IF(AND(Y$6&gt;=EOMONTH($H$85,0),Y$6&lt;=EOMONTH(EDATE($H$85,$E$85-1),0)),$G$85/MAX($E$85,1),0)</f>
        <v>0</v>
      </c>
      <c r="Z98" s="159" t="n">
        <f aca="false">IF(AND(Z$6&gt;=EOMONTH($H$85,0),Z$6&lt;=EOMONTH(EDATE($H$85,$E$85-1),0)),$G$85/MAX($E$85,1),0)</f>
        <v>0</v>
      </c>
      <c r="AA98" s="159" t="n">
        <f aca="false">IF(AND(AA$6&gt;=EOMONTH($H$85,0),AA$6&lt;=EOMONTH(EDATE($H$85,$E$85-1),0)),$G$85/MAX($E$85,1),0)</f>
        <v>0</v>
      </c>
      <c r="AB98" s="159" t="n">
        <f aca="false">IF(AND(AB$6&gt;=EOMONTH($H$85,0),AB$6&lt;=EOMONTH(EDATE($H$85,$E$85-1),0)),$G$85/MAX($E$85,1),0)</f>
        <v>0</v>
      </c>
      <c r="AC98" s="159" t="n">
        <f aca="false">IF(AND(AC$6&gt;=EOMONTH($H$85,0),AC$6&lt;=EOMONTH(EDATE($H$85,$E$85-1),0)),$G$85/MAX($E$85,1),0)</f>
        <v>0</v>
      </c>
      <c r="AD98" s="159" t="n">
        <f aca="false">IF(AND(AD$6&gt;=EOMONTH($H$85,0),AD$6&lt;=EOMONTH(EDATE($H$85,$E$85-1),0)),$G$85/MAX($E$85,1),0)</f>
        <v>0</v>
      </c>
      <c r="AE98" s="159" t="n">
        <f aca="false">IF(AND(AE$6&gt;=EOMONTH($H$85,0),AE$6&lt;=EOMONTH(EDATE($H$85,$E$85-1),0)),$G$85/MAX($E$85,1),0)</f>
        <v>0</v>
      </c>
      <c r="AF98" s="159" t="n">
        <f aca="false">IF(AND(AF$6&gt;=EOMONTH($H$85,0),AF$6&lt;=EOMONTH(EDATE($H$85,$E$85-1),0)),$G$85/MAX($E$85,1),0)</f>
        <v>0</v>
      </c>
      <c r="AG98" s="159" t="n">
        <f aca="false">IF(AND(AG$6&gt;=EOMONTH($H$85,0),AG$6&lt;=EOMONTH(EDATE($H$85,$E$85-1),0)),$G$85/MAX($E$85,1),0)</f>
        <v>0</v>
      </c>
      <c r="AH98" s="159" t="n">
        <f aca="false">IF(AND(AH$6&gt;=EOMONTH($H$85,0),AH$6&lt;=EOMONTH(EDATE($H$85,$E$85-1),0)),$G$85/MAX($E$85,1),0)</f>
        <v>146666.666666667</v>
      </c>
      <c r="AI98" s="159" t="n">
        <f aca="false">IF(AND(AI$6&gt;=EOMONTH($H$85,0),AI$6&lt;=EOMONTH(EDATE($H$85,$E$85-1),0)),$G$85/MAX($E$85,1),0)</f>
        <v>146666.666666667</v>
      </c>
      <c r="AJ98" s="159" t="n">
        <f aca="false">IF(AND(AJ$6&gt;=EOMONTH($H$85,0),AJ$6&lt;=EOMONTH(EDATE($H$85,$E$85-1),0)),$G$85/MAX($E$85,1),0)</f>
        <v>146666.666666667</v>
      </c>
      <c r="AK98" s="159" t="n">
        <f aca="false">IF(AND(AK$6&gt;=EOMONTH($H$85,0),AK$6&lt;=EOMONTH(EDATE($H$85,$E$85-1),0)),$G$85/MAX($E$85,1),0)</f>
        <v>146666.666666667</v>
      </c>
      <c r="AL98" s="159" t="n">
        <f aca="false">IF(AND(AL$6&gt;=EOMONTH($H$85,0),AL$6&lt;=EOMONTH(EDATE($H$85,$E$85-1),0)),$G$85/MAX($E$85,1),0)</f>
        <v>146666.666666667</v>
      </c>
      <c r="AM98" s="159" t="n">
        <f aca="false">IF(AND(AM$6&gt;=EOMONTH($H$85,0),AM$6&lt;=EOMONTH(EDATE($H$85,$E$85-1),0)),$G$85/MAX($E$85,1),0)</f>
        <v>146666.666666667</v>
      </c>
      <c r="AN98" s="159" t="n">
        <f aca="false">IF(AND(AN$6&gt;=EOMONTH($H$85,0),AN$6&lt;=EOMONTH(EDATE($H$85,$E$85-1),0)),$G$85/MAX($E$85,1),0)</f>
        <v>0</v>
      </c>
      <c r="AO98" s="159" t="n">
        <f aca="false">IF(AND(AO$6&gt;=EOMONTH($H$85,0),AO$6&lt;=EOMONTH(EDATE($H$85,$E$85-1),0)),$G$85/MAX($E$85,1),0)</f>
        <v>0</v>
      </c>
      <c r="AP98" s="159" t="n">
        <f aca="false">IF(AND(AP$6&gt;=EOMONTH($H$85,0),AP$6&lt;=EOMONTH(EDATE($H$85,$E$85-1),0)),$G$85/MAX($E$85,1),0)</f>
        <v>0</v>
      </c>
      <c r="AQ98" s="159" t="n">
        <f aca="false">IF(AND(AQ$6&gt;=EOMONTH($H$85,0),AQ$6&lt;=EOMONTH(EDATE($H$85,$E$85-1),0)),$G$85/MAX($E$85,1),0)</f>
        <v>0</v>
      </c>
      <c r="AR98" s="159" t="n">
        <f aca="false">IF(AND(AR$6&gt;=EOMONTH($H$85,0),AR$6&lt;=EOMONTH(EDATE($H$85,$E$85-1),0)),$G$85/MAX($E$85,1),0)</f>
        <v>0</v>
      </c>
      <c r="AS98" s="159" t="n">
        <f aca="false">IF(AND(AS$6&gt;=EOMONTH($H$85,0),AS$6&lt;=EOMONTH(EDATE($H$85,$E$85-1),0)),$G$85/MAX($E$85,1),0)</f>
        <v>0</v>
      </c>
      <c r="AT98" s="159" t="n">
        <f aca="false">IF(AND(AT$6&gt;=EOMONTH($H$85,0),AT$6&lt;=EOMONTH(EDATE($H$85,$E$85-1),0)),$G$85/MAX($E$85,1),0)</f>
        <v>0</v>
      </c>
      <c r="AU98" s="159" t="n">
        <f aca="false">IF(AND(AU$6&gt;=EOMONTH($H$85,0),AU$6&lt;=EOMONTH(EDATE($H$85,$E$85-1),0)),$G$85/MAX($E$85,1),0)</f>
        <v>0</v>
      </c>
      <c r="AV98" s="159" t="n">
        <f aca="false">IF(AND(AV$6&gt;=EOMONTH($H$85,0),AV$6&lt;=EOMONTH(EDATE($H$85,$E$85-1),0)),$G$85/MAX($E$85,1),0)</f>
        <v>0</v>
      </c>
      <c r="AW98" s="159" t="n">
        <f aca="false">IF(AND(AW$6&gt;=EOMONTH($H$85,0),AW$6&lt;=EOMONTH(EDATE($H$85,$E$85-1),0)),$G$85/MAX($E$85,1),0)</f>
        <v>0</v>
      </c>
      <c r="AX98" s="159" t="n">
        <f aca="false">IF(AND(AX$6&gt;=EOMONTH($H$85,0),AX$6&lt;=EOMONTH(EDATE($H$85,$E$85-1),0)),$G$85/MAX($E$85,1),0)</f>
        <v>0</v>
      </c>
      <c r="AY98" s="159" t="n">
        <f aca="false">IF(AND(AY$6&gt;=EOMONTH($H$85,0),AY$6&lt;=EOMONTH(EDATE($H$85,$E$85-1),0)),$G$85/MAX($E$85,1),0)</f>
        <v>0</v>
      </c>
      <c r="AZ98" s="159" t="n">
        <f aca="false">IF(AND(AZ$6&gt;=EOMONTH($H$85,0),AZ$6&lt;=EOMONTH(EDATE($H$85,$E$85-1),0)),$G$85/MAX($E$85,1),0)</f>
        <v>0</v>
      </c>
      <c r="BA98" s="159" t="n">
        <f aca="false">IF(AND(BA$6&gt;=EOMONTH($H$85,0),BA$6&lt;=EOMONTH(EDATE($H$85,$E$85-1),0)),$G$85/MAX($E$85,1),0)</f>
        <v>0</v>
      </c>
      <c r="BB98" s="159" t="n">
        <f aca="false">IF(AND(BB$6&gt;=EOMONTH($H$85,0),BB$6&lt;=EOMONTH(EDATE($H$85,$E$85-1),0)),$G$85/MAX($E$85,1),0)</f>
        <v>0</v>
      </c>
      <c r="BC98" s="159" t="n">
        <f aca="false">IF(AND(BC$6&gt;=EOMONTH($H$85,0),BC$6&lt;=EOMONTH(EDATE($H$85,$E$85-1),0)),$G$85/MAX($E$85,1),0)</f>
        <v>0</v>
      </c>
      <c r="BD98" s="159" t="n">
        <f aca="false">IF(AND(BD$6&gt;=EOMONTH($H$85,0),BD$6&lt;=EOMONTH(EDATE($H$85,$E$85-1),0)),$G$85/MAX($E$85,1),0)</f>
        <v>0</v>
      </c>
      <c r="BE98" s="159" t="n">
        <f aca="false">IF(AND(BE$6&gt;=EOMONTH($H$85,0),BE$6&lt;=EOMONTH(EDATE($H$85,$E$85-1),0)),$G$85/MAX($E$85,1),0)</f>
        <v>0</v>
      </c>
      <c r="BF98" s="159" t="n">
        <f aca="false">IF(AND(BF$6&gt;=EOMONTH($H$85,0),BF$6&lt;=EOMONTH(EDATE($H$85,$E$85-1),0)),$G$85/MAX($E$85,1),0)</f>
        <v>0</v>
      </c>
      <c r="BG98" s="159" t="n">
        <f aca="false">IF(AND(BG$6&gt;=EOMONTH($H$85,0),BG$6&lt;=EOMONTH(EDATE($H$85,$E$85-1),0)),$G$85/MAX($E$85,1),0)</f>
        <v>0</v>
      </c>
      <c r="BH98" s="159" t="n">
        <f aca="false">IF(AND(BH$6&gt;=EOMONTH($H$85,0),BH$6&lt;=EOMONTH(EDATE($H$85,$E$85-1),0)),$G$85/MAX($E$85,1),0)</f>
        <v>0</v>
      </c>
      <c r="BI98" s="159" t="n">
        <f aca="false">IF(AND(BI$6&gt;=EOMONTH($H$85,0),BI$6&lt;=EOMONTH(EDATE($H$85,$E$85-1),0)),$G$85/MAX($E$85,1),0)</f>
        <v>0</v>
      </c>
      <c r="BJ98" s="159" t="n">
        <f aca="false">IF(AND(BJ$6&gt;=EOMONTH($H$85,0),BJ$6&lt;=EOMONTH(EDATE($H$85,$E$85-1),0)),$G$85/MAX($E$85,1),0)</f>
        <v>0</v>
      </c>
      <c r="BK98" s="159" t="n">
        <f aca="false">IF(AND(BK$6&gt;=EOMONTH($H$85,0),BK$6&lt;=EOMONTH(EDATE($H$85,$E$85-1),0)),$G$85/MAX($E$85,1),0)</f>
        <v>0</v>
      </c>
      <c r="BL98" s="159" t="n">
        <f aca="false">IF(AND(BL$6&gt;=EOMONTH($H$85,0),BL$6&lt;=EOMONTH(EDATE($H$85,$E$85-1),0)),$G$85/MAX($E$85,1),0)</f>
        <v>0</v>
      </c>
      <c r="BM98" s="159" t="n">
        <f aca="false">IF(AND(BM$6&gt;=EOMONTH($H$85,0),BM$6&lt;=EOMONTH(EDATE($H$85,$E$85-1),0)),$G$85/MAX($E$85,1),0)</f>
        <v>0</v>
      </c>
      <c r="BN98" s="159" t="n">
        <f aca="false">IF(AND(BN$6&gt;=EOMONTH($H$85,0),BN$6&lt;=EOMONTH(EDATE($H$85,$E$85-1),0)),$G$85/MAX($E$85,1),0)</f>
        <v>0</v>
      </c>
      <c r="BO98" s="159" t="n">
        <f aca="false">IF(AND(BO$6&gt;=EOMONTH($H$85,0),BO$6&lt;=EOMONTH(EDATE($H$85,$E$85-1),0)),$G$85/MAX($E$85,1),0)</f>
        <v>0</v>
      </c>
      <c r="BP98" s="159" t="n">
        <f aca="false">IF(AND(BP$6&gt;=EOMONTH($H$85,0),BP$6&lt;=EOMONTH(EDATE($H$85,$E$85-1),0)),$G$85/MAX($E$85,1),0)</f>
        <v>0</v>
      </c>
      <c r="BQ98" s="159" t="n">
        <f aca="false">IF(AND(BQ$6&gt;=EOMONTH($H$85,0),BQ$6&lt;=EOMONTH(EDATE($H$85,$E$85-1),0)),$G$85/MAX($E$85,1),0)</f>
        <v>0</v>
      </c>
      <c r="BR98" s="159" t="n">
        <f aca="false">IF(AND(BR$6&gt;=EOMONTH($H$85,0),BR$6&lt;=EOMONTH(EDATE($H$85,$E$85-1),0)),$G$85/MAX($E$85,1),0)</f>
        <v>0</v>
      </c>
      <c r="BS98" s="159" t="n">
        <f aca="false">IF(AND(BS$6&gt;=EOMONTH($H$85,0),BS$6&lt;=EOMONTH(EDATE($H$85,$E$85-1),0)),$G$85/MAX($E$85,1),0)</f>
        <v>0</v>
      </c>
      <c r="BT98" s="159" t="n">
        <f aca="false">IF(AND(BT$6&gt;=EOMONTH($H$85,0),BT$6&lt;=EOMONTH(EDATE($H$85,$E$85-1),0)),$G$85/MAX($E$85,1),0)</f>
        <v>0</v>
      </c>
      <c r="BU98" s="159" t="n">
        <f aca="false">IF(AND(BU$6&gt;=EOMONTH($H$85,0),BU$6&lt;=EOMONTH(EDATE($H$85,$E$85-1),0)),$G$85/MAX($E$85,1),0)</f>
        <v>0</v>
      </c>
      <c r="BV98" s="159" t="n">
        <f aca="false">IF(AND(BV$6&gt;=EOMONTH($H$85,0),BV$6&lt;=EOMONTH(EDATE($H$85,$E$85-1),0)),$G$85/MAX($E$85,1),0)</f>
        <v>0</v>
      </c>
      <c r="BW98" s="159" t="n">
        <f aca="false">IF(AND(BW$6&gt;=EOMONTH($H$85,0),BW$6&lt;=EOMONTH(EDATE($H$85,$E$85-1),0)),$G$85/MAX($E$85,1),0)</f>
        <v>0</v>
      </c>
      <c r="BX98" s="159" t="n">
        <f aca="false">IF(AND(BX$6&gt;=EOMONTH($H$85,0),BX$6&lt;=EOMONTH(EDATE($H$85,$E$85-1),0)),$G$85/MAX($E$85,1),0)</f>
        <v>0</v>
      </c>
      <c r="BY98" s="159" t="n">
        <f aca="false">IF(AND(BY$6&gt;=EOMONTH($H$85,0),BY$6&lt;=EOMONTH(EDATE($H$85,$E$85-1),0)),$G$85/MAX($E$85,1),0)</f>
        <v>0</v>
      </c>
      <c r="BZ98" s="159" t="n">
        <f aca="false">IF(AND(BZ$6&gt;=EOMONTH($H$85,0),BZ$6&lt;=EOMONTH(EDATE($H$85,$E$85-1),0)),$G$85/MAX($E$85,1),0)</f>
        <v>0</v>
      </c>
      <c r="CA98" s="159" t="n">
        <f aca="false">IF(AND(CA$6&gt;=EOMONTH($H$85,0),CA$6&lt;=EOMONTH(EDATE($H$85,$E$85-1),0)),$G$85/MAX($E$85,1),0)</f>
        <v>0</v>
      </c>
    </row>
    <row r="99" customFormat="false" ht="15" hidden="false" customHeight="false" outlineLevel="0" collapsed="false">
      <c r="B99" s="196" t="s">
        <v>550</v>
      </c>
      <c r="T99" s="159" t="n">
        <f aca="false">IF(AND(T$6&gt;=EOMONTH($H$86,0),T$6&lt;=EOMONTH(EDATE($H$86,$E$86-1),0)),$G$86/MAX($E$86,1),0)</f>
        <v>0</v>
      </c>
      <c r="U99" s="159" t="n">
        <f aca="false">IF(AND(U$6&gt;=EOMONTH($H$86,0),U$6&lt;=EOMONTH(EDATE($H$86,$E$86-1),0)),$G$86/MAX($E$86,1),0)</f>
        <v>0</v>
      </c>
      <c r="V99" s="159" t="n">
        <f aca="false">IF(AND(V$6&gt;=EOMONTH($H$86,0),V$6&lt;=EOMONTH(EDATE($H$86,$E$86-1),0)),$G$86/MAX($E$86,1),0)</f>
        <v>0</v>
      </c>
      <c r="W99" s="159" t="n">
        <f aca="false">IF(AND(W$6&gt;=EOMONTH($H$86,0),W$6&lt;=EOMONTH(EDATE($H$86,$E$86-1),0)),$G$86/MAX($E$86,1),0)</f>
        <v>0</v>
      </c>
      <c r="X99" s="159" t="n">
        <f aca="false">IF(AND(X$6&gt;=EOMONTH($H$86,0),X$6&lt;=EOMONTH(EDATE($H$86,$E$86-1),0)),$G$86/MAX($E$86,1),0)</f>
        <v>0</v>
      </c>
      <c r="Y99" s="159" t="n">
        <f aca="false">IF(AND(Y$6&gt;=EOMONTH($H$86,0),Y$6&lt;=EOMONTH(EDATE($H$86,$E$86-1),0)),$G$86/MAX($E$86,1),0)</f>
        <v>0</v>
      </c>
      <c r="Z99" s="159" t="n">
        <f aca="false">IF(AND(Z$6&gt;=EOMONTH($H$86,0),Z$6&lt;=EOMONTH(EDATE($H$86,$E$86-1),0)),$G$86/MAX($E$86,1),0)</f>
        <v>0</v>
      </c>
      <c r="AA99" s="159" t="n">
        <f aca="false">IF(AND(AA$6&gt;=EOMONTH($H$86,0),AA$6&lt;=EOMONTH(EDATE($H$86,$E$86-1),0)),$G$86/MAX($E$86,1),0)</f>
        <v>0</v>
      </c>
      <c r="AB99" s="159" t="n">
        <f aca="false">IF(AND(AB$6&gt;=EOMONTH($H$86,0),AB$6&lt;=EOMONTH(EDATE($H$86,$E$86-1),0)),$G$86/MAX($E$86,1),0)</f>
        <v>0</v>
      </c>
      <c r="AC99" s="159" t="n">
        <f aca="false">IF(AND(AC$6&gt;=EOMONTH($H$86,0),AC$6&lt;=EOMONTH(EDATE($H$86,$E$86-1),0)),$G$86/MAX($E$86,1),0)</f>
        <v>0</v>
      </c>
      <c r="AD99" s="159" t="n">
        <f aca="false">IF(AND(AD$6&gt;=EOMONTH($H$86,0),AD$6&lt;=EOMONTH(EDATE($H$86,$E$86-1),0)),$G$86/MAX($E$86,1),0)</f>
        <v>0</v>
      </c>
      <c r="AE99" s="159" t="n">
        <f aca="false">IF(AND(AE$6&gt;=EOMONTH($H$86,0),AE$6&lt;=EOMONTH(EDATE($H$86,$E$86-1),0)),$G$86/MAX($E$86,1),0)</f>
        <v>0</v>
      </c>
      <c r="AF99" s="159" t="n">
        <f aca="false">IF(AND(AF$6&gt;=EOMONTH($H$86,0),AF$6&lt;=EOMONTH(EDATE($H$86,$E$86-1),0)),$G$86/MAX($E$86,1),0)</f>
        <v>0</v>
      </c>
      <c r="AG99" s="159" t="n">
        <f aca="false">IF(AND(AG$6&gt;=EOMONTH($H$86,0),AG$6&lt;=EOMONTH(EDATE($H$86,$E$86-1),0)),$G$86/MAX($E$86,1),0)</f>
        <v>0</v>
      </c>
      <c r="AH99" s="159" t="n">
        <f aca="false">IF(AND(AH$6&gt;=EOMONTH($H$86,0),AH$6&lt;=EOMONTH(EDATE($H$86,$E$86-1),0)),$G$86/MAX($E$86,1),0)</f>
        <v>0</v>
      </c>
      <c r="AI99" s="159" t="n">
        <f aca="false">IF(AND(AI$6&gt;=EOMONTH($H$86,0),AI$6&lt;=EOMONTH(EDATE($H$86,$E$86-1),0)),$G$86/MAX($E$86,1),0)</f>
        <v>0</v>
      </c>
      <c r="AJ99" s="159" t="n">
        <f aca="false">IF(AND(AJ$6&gt;=EOMONTH($H$86,0),AJ$6&lt;=EOMONTH(EDATE($H$86,$E$86-1),0)),$G$86/MAX($E$86,1),0)</f>
        <v>0</v>
      </c>
      <c r="AK99" s="159" t="n">
        <f aca="false">IF(AND(AK$6&gt;=EOMONTH($H$86,0),AK$6&lt;=EOMONTH(EDATE($H$86,$E$86-1),0)),$G$86/MAX($E$86,1),0)</f>
        <v>0</v>
      </c>
      <c r="AL99" s="159" t="n">
        <f aca="false">IF(AND(AL$6&gt;=EOMONTH($H$86,0),AL$6&lt;=EOMONTH(EDATE($H$86,$E$86-1),0)),$G$86/MAX($E$86,1),0)</f>
        <v>0</v>
      </c>
      <c r="AM99" s="159" t="n">
        <f aca="false">IF(AND(AM$6&gt;=EOMONTH($H$86,0),AM$6&lt;=EOMONTH(EDATE($H$86,$E$86-1),0)),$G$86/MAX($E$86,1),0)</f>
        <v>0</v>
      </c>
      <c r="AN99" s="159" t="n">
        <f aca="false">IF(AND(AN$6&gt;=EOMONTH($H$86,0),AN$6&lt;=EOMONTH(EDATE($H$86,$E$86-1),0)),$G$86/MAX($E$86,1),0)</f>
        <v>91666.6666666667</v>
      </c>
      <c r="AO99" s="159" t="n">
        <f aca="false">IF(AND(AO$6&gt;=EOMONTH($H$86,0),AO$6&lt;=EOMONTH(EDATE($H$86,$E$86-1),0)),$G$86/MAX($E$86,1),0)</f>
        <v>91666.6666666667</v>
      </c>
      <c r="AP99" s="159" t="n">
        <f aca="false">IF(AND(AP$6&gt;=EOMONTH($H$86,0),AP$6&lt;=EOMONTH(EDATE($H$86,$E$86-1),0)),$G$86/MAX($E$86,1),0)</f>
        <v>91666.6666666667</v>
      </c>
      <c r="AQ99" s="159" t="n">
        <f aca="false">IF(AND(AQ$6&gt;=EOMONTH($H$86,0),AQ$6&lt;=EOMONTH(EDATE($H$86,$E$86-1),0)),$G$86/MAX($E$86,1),0)</f>
        <v>91666.6666666667</v>
      </c>
      <c r="AR99" s="159" t="n">
        <f aca="false">IF(AND(AR$6&gt;=EOMONTH($H$86,0),AR$6&lt;=EOMONTH(EDATE($H$86,$E$86-1),0)),$G$86/MAX($E$86,1),0)</f>
        <v>91666.6666666667</v>
      </c>
      <c r="AS99" s="159" t="n">
        <f aca="false">IF(AND(AS$6&gt;=EOMONTH($H$86,0),AS$6&lt;=EOMONTH(EDATE($H$86,$E$86-1),0)),$G$86/MAX($E$86,1),0)</f>
        <v>91666.6666666667</v>
      </c>
      <c r="AT99" s="159" t="n">
        <f aca="false">IF(AND(AT$6&gt;=EOMONTH($H$86,0),AT$6&lt;=EOMONTH(EDATE($H$86,$E$86-1),0)),$G$86/MAX($E$86,1),0)</f>
        <v>91666.6666666667</v>
      </c>
      <c r="AU99" s="159" t="n">
        <f aca="false">IF(AND(AU$6&gt;=EOMONTH($H$86,0),AU$6&lt;=EOMONTH(EDATE($H$86,$E$86-1),0)),$G$86/MAX($E$86,1),0)</f>
        <v>91666.6666666667</v>
      </c>
      <c r="AV99" s="159" t="n">
        <f aca="false">IF(AND(AV$6&gt;=EOMONTH($H$86,0),AV$6&lt;=EOMONTH(EDATE($H$86,$E$86-1),0)),$G$86/MAX($E$86,1),0)</f>
        <v>0</v>
      </c>
      <c r="AW99" s="159" t="n">
        <f aca="false">IF(AND(AW$6&gt;=EOMONTH($H$86,0),AW$6&lt;=EOMONTH(EDATE($H$86,$E$86-1),0)),$G$86/MAX($E$86,1),0)</f>
        <v>0</v>
      </c>
      <c r="AX99" s="159" t="n">
        <f aca="false">IF(AND(AX$6&gt;=EOMONTH($H$86,0),AX$6&lt;=EOMONTH(EDATE($H$86,$E$86-1),0)),$G$86/MAX($E$86,1),0)</f>
        <v>0</v>
      </c>
      <c r="AY99" s="159" t="n">
        <f aca="false">IF(AND(AY$6&gt;=EOMONTH($H$86,0),AY$6&lt;=EOMONTH(EDATE($H$86,$E$86-1),0)),$G$86/MAX($E$86,1),0)</f>
        <v>0</v>
      </c>
      <c r="AZ99" s="159" t="n">
        <f aca="false">IF(AND(AZ$6&gt;=EOMONTH($H$86,0),AZ$6&lt;=EOMONTH(EDATE($H$86,$E$86-1),0)),$G$86/MAX($E$86,1),0)</f>
        <v>0</v>
      </c>
      <c r="BA99" s="159" t="n">
        <f aca="false">IF(AND(BA$6&gt;=EOMONTH($H$86,0),BA$6&lt;=EOMONTH(EDATE($H$86,$E$86-1),0)),$G$86/MAX($E$86,1),0)</f>
        <v>0</v>
      </c>
      <c r="BB99" s="159" t="n">
        <f aca="false">IF(AND(BB$6&gt;=EOMONTH($H$86,0),BB$6&lt;=EOMONTH(EDATE($H$86,$E$86-1),0)),$G$86/MAX($E$86,1),0)</f>
        <v>0</v>
      </c>
      <c r="BC99" s="159" t="n">
        <f aca="false">IF(AND(BC$6&gt;=EOMONTH($H$86,0),BC$6&lt;=EOMONTH(EDATE($H$86,$E$86-1),0)),$G$86/MAX($E$86,1),0)</f>
        <v>0</v>
      </c>
      <c r="BD99" s="159" t="n">
        <f aca="false">IF(AND(BD$6&gt;=EOMONTH($H$86,0),BD$6&lt;=EOMONTH(EDATE($H$86,$E$86-1),0)),$G$86/MAX($E$86,1),0)</f>
        <v>0</v>
      </c>
      <c r="BE99" s="159" t="n">
        <f aca="false">IF(AND(BE$6&gt;=EOMONTH($H$86,0),BE$6&lt;=EOMONTH(EDATE($H$86,$E$86-1),0)),$G$86/MAX($E$86,1),0)</f>
        <v>0</v>
      </c>
      <c r="BF99" s="159" t="n">
        <f aca="false">IF(AND(BF$6&gt;=EOMONTH($H$86,0),BF$6&lt;=EOMONTH(EDATE($H$86,$E$86-1),0)),$G$86/MAX($E$86,1),0)</f>
        <v>0</v>
      </c>
      <c r="BG99" s="159" t="n">
        <f aca="false">IF(AND(BG$6&gt;=EOMONTH($H$86,0),BG$6&lt;=EOMONTH(EDATE($H$86,$E$86-1),0)),$G$86/MAX($E$86,1),0)</f>
        <v>0</v>
      </c>
      <c r="BH99" s="159" t="n">
        <f aca="false">IF(AND(BH$6&gt;=EOMONTH($H$86,0),BH$6&lt;=EOMONTH(EDATE($H$86,$E$86-1),0)),$G$86/MAX($E$86,1),0)</f>
        <v>0</v>
      </c>
      <c r="BI99" s="159" t="n">
        <f aca="false">IF(AND(BI$6&gt;=EOMONTH($H$86,0),BI$6&lt;=EOMONTH(EDATE($H$86,$E$86-1),0)),$G$86/MAX($E$86,1),0)</f>
        <v>0</v>
      </c>
      <c r="BJ99" s="159" t="n">
        <f aca="false">IF(AND(BJ$6&gt;=EOMONTH($H$86,0),BJ$6&lt;=EOMONTH(EDATE($H$86,$E$86-1),0)),$G$86/MAX($E$86,1),0)</f>
        <v>0</v>
      </c>
      <c r="BK99" s="159" t="n">
        <f aca="false">IF(AND(BK$6&gt;=EOMONTH($H$86,0),BK$6&lt;=EOMONTH(EDATE($H$86,$E$86-1),0)),$G$86/MAX($E$86,1),0)</f>
        <v>0</v>
      </c>
      <c r="BL99" s="159" t="n">
        <f aca="false">IF(AND(BL$6&gt;=EOMONTH($H$86,0),BL$6&lt;=EOMONTH(EDATE($H$86,$E$86-1),0)),$G$86/MAX($E$86,1),0)</f>
        <v>0</v>
      </c>
      <c r="BM99" s="159" t="n">
        <f aca="false">IF(AND(BM$6&gt;=EOMONTH($H$86,0),BM$6&lt;=EOMONTH(EDATE($H$86,$E$86-1),0)),$G$86/MAX($E$86,1),0)</f>
        <v>0</v>
      </c>
      <c r="BN99" s="159" t="n">
        <f aca="false">IF(AND(BN$6&gt;=EOMONTH($H$86,0),BN$6&lt;=EOMONTH(EDATE($H$86,$E$86-1),0)),$G$86/MAX($E$86,1),0)</f>
        <v>0</v>
      </c>
      <c r="BO99" s="159" t="n">
        <f aca="false">IF(AND(BO$6&gt;=EOMONTH($H$86,0),BO$6&lt;=EOMONTH(EDATE($H$86,$E$86-1),0)),$G$86/MAX($E$86,1),0)</f>
        <v>0</v>
      </c>
      <c r="BP99" s="159" t="n">
        <f aca="false">IF(AND(BP$6&gt;=EOMONTH($H$86,0),BP$6&lt;=EOMONTH(EDATE($H$86,$E$86-1),0)),$G$86/MAX($E$86,1),0)</f>
        <v>0</v>
      </c>
      <c r="BQ99" s="159" t="n">
        <f aca="false">IF(AND(BQ$6&gt;=EOMONTH($H$86,0),BQ$6&lt;=EOMONTH(EDATE($H$86,$E$86-1),0)),$G$86/MAX($E$86,1),0)</f>
        <v>0</v>
      </c>
      <c r="BR99" s="159" t="n">
        <f aca="false">IF(AND(BR$6&gt;=EOMONTH($H$86,0),BR$6&lt;=EOMONTH(EDATE($H$86,$E$86-1),0)),$G$86/MAX($E$86,1),0)</f>
        <v>0</v>
      </c>
      <c r="BS99" s="159" t="n">
        <f aca="false">IF(AND(BS$6&gt;=EOMONTH($H$86,0),BS$6&lt;=EOMONTH(EDATE($H$86,$E$86-1),0)),$G$86/MAX($E$86,1),0)</f>
        <v>0</v>
      </c>
      <c r="BT99" s="159" t="n">
        <f aca="false">IF(AND(BT$6&gt;=EOMONTH($H$86,0),BT$6&lt;=EOMONTH(EDATE($H$86,$E$86-1),0)),$G$86/MAX($E$86,1),0)</f>
        <v>0</v>
      </c>
      <c r="BU99" s="159" t="n">
        <f aca="false">IF(AND(BU$6&gt;=EOMONTH($H$86,0),BU$6&lt;=EOMONTH(EDATE($H$86,$E$86-1),0)),$G$86/MAX($E$86,1),0)</f>
        <v>0</v>
      </c>
      <c r="BV99" s="159" t="n">
        <f aca="false">IF(AND(BV$6&gt;=EOMONTH($H$86,0),BV$6&lt;=EOMONTH(EDATE($H$86,$E$86-1),0)),$G$86/MAX($E$86,1),0)</f>
        <v>0</v>
      </c>
      <c r="BW99" s="159" t="n">
        <f aca="false">IF(AND(BW$6&gt;=EOMONTH($H$86,0),BW$6&lt;=EOMONTH(EDATE($H$86,$E$86-1),0)),$G$86/MAX($E$86,1),0)</f>
        <v>0</v>
      </c>
      <c r="BX99" s="159" t="n">
        <f aca="false">IF(AND(BX$6&gt;=EOMONTH($H$86,0),BX$6&lt;=EOMONTH(EDATE($H$86,$E$86-1),0)),$G$86/MAX($E$86,1),0)</f>
        <v>0</v>
      </c>
      <c r="BY99" s="159" t="n">
        <f aca="false">IF(AND(BY$6&gt;=EOMONTH($H$86,0),BY$6&lt;=EOMONTH(EDATE($H$86,$E$86-1),0)),$G$86/MAX($E$86,1),0)</f>
        <v>0</v>
      </c>
      <c r="BZ99" s="159" t="n">
        <f aca="false">IF(AND(BZ$6&gt;=EOMONTH($H$86,0),BZ$6&lt;=EOMONTH(EDATE($H$86,$E$86-1),0)),$G$86/MAX($E$86,1),0)</f>
        <v>0</v>
      </c>
      <c r="CA99" s="159" t="n">
        <f aca="false">IF(AND(CA$6&gt;=EOMONTH($H$86,0),CA$6&lt;=EOMONTH(EDATE($H$86,$E$86-1),0)),$G$86/MAX($E$86,1),0)</f>
        <v>0</v>
      </c>
    </row>
    <row r="100" customFormat="false" ht="15" hidden="false" customHeight="false" outlineLevel="0" collapsed="false">
      <c r="B100" s="196" t="s">
        <v>551</v>
      </c>
      <c r="T100" s="159" t="n">
        <f aca="false">IF(AND(T$6&gt;=EOMONTH($H$87,0),T$6&lt;=EOMONTH(EDATE($H$87,$E$87-1),0)),$G$87/MAX($E$87,1),0)</f>
        <v>0</v>
      </c>
      <c r="U100" s="159" t="n">
        <f aca="false">IF(AND(U$6&gt;=EOMONTH($H$87,0),U$6&lt;=EOMONTH(EDATE($H$87,$E$87-1),0)),$G$87/MAX($E$87,1),0)</f>
        <v>0</v>
      </c>
      <c r="V100" s="159" t="n">
        <f aca="false">IF(AND(V$6&gt;=EOMONTH($H$87,0),V$6&lt;=EOMONTH(EDATE($H$87,$E$87-1),0)),$G$87/MAX($E$87,1),0)</f>
        <v>0</v>
      </c>
      <c r="W100" s="159" t="n">
        <f aca="false">IF(AND(W$6&gt;=EOMONTH($H$87,0),W$6&lt;=EOMONTH(EDATE($H$87,$E$87-1),0)),$G$87/MAX($E$87,1),0)</f>
        <v>0</v>
      </c>
      <c r="X100" s="159" t="n">
        <f aca="false">IF(AND(X$6&gt;=EOMONTH($H$87,0),X$6&lt;=EOMONTH(EDATE($H$87,$E$87-1),0)),$G$87/MAX($E$87,1),0)</f>
        <v>0</v>
      </c>
      <c r="Y100" s="159" t="n">
        <f aca="false">IF(AND(Y$6&gt;=EOMONTH($H$87,0),Y$6&lt;=EOMONTH(EDATE($H$87,$E$87-1),0)),$G$87/MAX($E$87,1),0)</f>
        <v>0</v>
      </c>
      <c r="Z100" s="159" t="n">
        <f aca="false">IF(AND(Z$6&gt;=EOMONTH($H$87,0),Z$6&lt;=EOMONTH(EDATE($H$87,$E$87-1),0)),$G$87/MAX($E$87,1),0)</f>
        <v>0</v>
      </c>
      <c r="AA100" s="159" t="n">
        <f aca="false">IF(AND(AA$6&gt;=EOMONTH($H$87,0),AA$6&lt;=EOMONTH(EDATE($H$87,$E$87-1),0)),$G$87/MAX($E$87,1),0)</f>
        <v>0</v>
      </c>
      <c r="AB100" s="159" t="n">
        <f aca="false">IF(AND(AB$6&gt;=EOMONTH($H$87,0),AB$6&lt;=EOMONTH(EDATE($H$87,$E$87-1),0)),$G$87/MAX($E$87,1),0)</f>
        <v>0</v>
      </c>
      <c r="AC100" s="159" t="n">
        <f aca="false">IF(AND(AC$6&gt;=EOMONTH($H$87,0),AC$6&lt;=EOMONTH(EDATE($H$87,$E$87-1),0)),$G$87/MAX($E$87,1),0)</f>
        <v>0</v>
      </c>
      <c r="AD100" s="159" t="n">
        <f aca="false">IF(AND(AD$6&gt;=EOMONTH($H$87,0),AD$6&lt;=EOMONTH(EDATE($H$87,$E$87-1),0)),$G$87/MAX($E$87,1),0)</f>
        <v>0</v>
      </c>
      <c r="AE100" s="159" t="n">
        <f aca="false">IF(AND(AE$6&gt;=EOMONTH($H$87,0),AE$6&lt;=EOMONTH(EDATE($H$87,$E$87-1),0)),$G$87/MAX($E$87,1),0)</f>
        <v>0</v>
      </c>
      <c r="AF100" s="159" t="n">
        <f aca="false">IF(AND(AF$6&gt;=EOMONTH($H$87,0),AF$6&lt;=EOMONTH(EDATE($H$87,$E$87-1),0)),$G$87/MAX($E$87,1),0)</f>
        <v>0</v>
      </c>
      <c r="AG100" s="159" t="n">
        <f aca="false">IF(AND(AG$6&gt;=EOMONTH($H$87,0),AG$6&lt;=EOMONTH(EDATE($H$87,$E$87-1),0)),$G$87/MAX($E$87,1),0)</f>
        <v>0</v>
      </c>
      <c r="AH100" s="159" t="n">
        <f aca="false">IF(AND(AH$6&gt;=EOMONTH($H$87,0),AH$6&lt;=EOMONTH(EDATE($H$87,$E$87-1),0)),$G$87/MAX($E$87,1),0)</f>
        <v>0</v>
      </c>
      <c r="AI100" s="159" t="n">
        <f aca="false">IF(AND(AI$6&gt;=EOMONTH($H$87,0),AI$6&lt;=EOMONTH(EDATE($H$87,$E$87-1),0)),$G$87/MAX($E$87,1),0)</f>
        <v>0</v>
      </c>
      <c r="AJ100" s="159" t="n">
        <f aca="false">IF(AND(AJ$6&gt;=EOMONTH($H$87,0),AJ$6&lt;=EOMONTH(EDATE($H$87,$E$87-1),0)),$G$87/MAX($E$87,1),0)</f>
        <v>0</v>
      </c>
      <c r="AK100" s="159" t="n">
        <f aca="false">IF(AND(AK$6&gt;=EOMONTH($H$87,0),AK$6&lt;=EOMONTH(EDATE($H$87,$E$87-1),0)),$G$87/MAX($E$87,1),0)</f>
        <v>0</v>
      </c>
      <c r="AL100" s="159" t="n">
        <f aca="false">IF(AND(AL$6&gt;=EOMONTH($H$87,0),AL$6&lt;=EOMONTH(EDATE($H$87,$E$87-1),0)),$G$87/MAX($E$87,1),0)</f>
        <v>0</v>
      </c>
      <c r="AM100" s="159" t="n">
        <f aca="false">IF(AND(AM$6&gt;=EOMONTH($H$87,0),AM$6&lt;=EOMONTH(EDATE($H$87,$E$87-1),0)),$G$87/MAX($E$87,1),0)</f>
        <v>0</v>
      </c>
      <c r="AN100" s="159" t="n">
        <f aca="false">IF(AND(AN$6&gt;=EOMONTH($H$87,0),AN$6&lt;=EOMONTH(EDATE($H$87,$E$87-1),0)),$G$87/MAX($E$87,1),0)</f>
        <v>0</v>
      </c>
      <c r="AO100" s="159" t="n">
        <f aca="false">IF(AND(AO$6&gt;=EOMONTH($H$87,0),AO$6&lt;=EOMONTH(EDATE($H$87,$E$87-1),0)),$G$87/MAX($E$87,1),0)</f>
        <v>0</v>
      </c>
      <c r="AP100" s="159" t="n">
        <f aca="false">IF(AND(AP$6&gt;=EOMONTH($H$87,0),AP$6&lt;=EOMONTH(EDATE($H$87,$E$87-1),0)),$G$87/MAX($E$87,1),0)</f>
        <v>0</v>
      </c>
      <c r="AQ100" s="159" t="n">
        <f aca="false">IF(AND(AQ$6&gt;=EOMONTH($H$87,0),AQ$6&lt;=EOMONTH(EDATE($H$87,$E$87-1),0)),$G$87/MAX($E$87,1),0)</f>
        <v>0</v>
      </c>
      <c r="AR100" s="159" t="n">
        <f aca="false">IF(AND(AR$6&gt;=EOMONTH($H$87,0),AR$6&lt;=EOMONTH(EDATE($H$87,$E$87-1),0)),$G$87/MAX($E$87,1),0)</f>
        <v>0</v>
      </c>
      <c r="AS100" s="159" t="n">
        <f aca="false">IF(AND(AS$6&gt;=EOMONTH($H$87,0),AS$6&lt;=EOMONTH(EDATE($H$87,$E$87-1),0)),$G$87/MAX($E$87,1),0)</f>
        <v>0</v>
      </c>
      <c r="AT100" s="159" t="n">
        <f aca="false">IF(AND(AT$6&gt;=EOMONTH($H$87,0),AT$6&lt;=EOMONTH(EDATE($H$87,$E$87-1),0)),$G$87/MAX($E$87,1),0)</f>
        <v>0</v>
      </c>
      <c r="AU100" s="159" t="n">
        <f aca="false">IF(AND(AU$6&gt;=EOMONTH($H$87,0),AU$6&lt;=EOMONTH(EDATE($H$87,$E$87-1),0)),$G$87/MAX($E$87,1),0)</f>
        <v>0</v>
      </c>
      <c r="AV100" s="159" t="n">
        <f aca="false">IF(AND(AV$6&gt;=EOMONTH($H$87,0),AV$6&lt;=EOMONTH(EDATE($H$87,$E$87-1),0)),$G$87/MAX($E$87,1),0)</f>
        <v>0</v>
      </c>
      <c r="AW100" s="159" t="n">
        <f aca="false">IF(AND(AW$6&gt;=EOMONTH($H$87,0),AW$6&lt;=EOMONTH(EDATE($H$87,$E$87-1),0)),$G$87/MAX($E$87,1),0)</f>
        <v>0</v>
      </c>
      <c r="AX100" s="159" t="n">
        <f aca="false">IF(AND(AX$6&gt;=EOMONTH($H$87,0),AX$6&lt;=EOMONTH(EDATE($H$87,$E$87-1),0)),$G$87/MAX($E$87,1),0)</f>
        <v>0</v>
      </c>
      <c r="AY100" s="159" t="n">
        <f aca="false">IF(AND(AY$6&gt;=EOMONTH($H$87,0),AY$6&lt;=EOMONTH(EDATE($H$87,$E$87-1),0)),$G$87/MAX($E$87,1),0)</f>
        <v>0</v>
      </c>
      <c r="AZ100" s="159" t="n">
        <f aca="false">IF(AND(AZ$6&gt;=EOMONTH($H$87,0),AZ$6&lt;=EOMONTH(EDATE($H$87,$E$87-1),0)),$G$87/MAX($E$87,1),0)</f>
        <v>0</v>
      </c>
      <c r="BA100" s="159" t="n">
        <f aca="false">IF(AND(BA$6&gt;=EOMONTH($H$87,0),BA$6&lt;=EOMONTH(EDATE($H$87,$E$87-1),0)),$G$87/MAX($E$87,1),0)</f>
        <v>0</v>
      </c>
      <c r="BB100" s="159" t="n">
        <f aca="false">IF(AND(BB$6&gt;=EOMONTH($H$87,0),BB$6&lt;=EOMONTH(EDATE($H$87,$E$87-1),0)),$G$87/MAX($E$87,1),0)</f>
        <v>0</v>
      </c>
      <c r="BC100" s="159" t="n">
        <f aca="false">IF(AND(BC$6&gt;=EOMONTH($H$87,0),BC$6&lt;=EOMONTH(EDATE($H$87,$E$87-1),0)),$G$87/MAX($E$87,1),0)</f>
        <v>0</v>
      </c>
      <c r="BD100" s="159" t="n">
        <f aca="false">IF(AND(BD$6&gt;=EOMONTH($H$87,0),BD$6&lt;=EOMONTH(EDATE($H$87,$E$87-1),0)),$G$87/MAX($E$87,1),0)</f>
        <v>0</v>
      </c>
      <c r="BE100" s="159" t="n">
        <f aca="false">IF(AND(BE$6&gt;=EOMONTH($H$87,0),BE$6&lt;=EOMONTH(EDATE($H$87,$E$87-1),0)),$G$87/MAX($E$87,1),0)</f>
        <v>0</v>
      </c>
      <c r="BF100" s="159" t="n">
        <f aca="false">IF(AND(BF$6&gt;=EOMONTH($H$87,0),BF$6&lt;=EOMONTH(EDATE($H$87,$E$87-1),0)),$G$87/MAX($E$87,1),0)</f>
        <v>0</v>
      </c>
      <c r="BG100" s="159" t="n">
        <f aca="false">IF(AND(BG$6&gt;=EOMONTH($H$87,0),BG$6&lt;=EOMONTH(EDATE($H$87,$E$87-1),0)),$G$87/MAX($E$87,1),0)</f>
        <v>0</v>
      </c>
      <c r="BH100" s="159" t="n">
        <f aca="false">IF(AND(BH$6&gt;=EOMONTH($H$87,0),BH$6&lt;=EOMONTH(EDATE($H$87,$E$87-1),0)),$G$87/MAX($E$87,1),0)</f>
        <v>0</v>
      </c>
      <c r="BI100" s="159" t="n">
        <f aca="false">IF(AND(BI$6&gt;=EOMONTH($H$87,0),BI$6&lt;=EOMONTH(EDATE($H$87,$E$87-1),0)),$G$87/MAX($E$87,1),0)</f>
        <v>0</v>
      </c>
      <c r="BJ100" s="159" t="n">
        <f aca="false">IF(AND(BJ$6&gt;=EOMONTH($H$87,0),BJ$6&lt;=EOMONTH(EDATE($H$87,$E$87-1),0)),$G$87/MAX($E$87,1),0)</f>
        <v>0</v>
      </c>
      <c r="BK100" s="159" t="n">
        <f aca="false">IF(AND(BK$6&gt;=EOMONTH($H$87,0),BK$6&lt;=EOMONTH(EDATE($H$87,$E$87-1),0)),$G$87/MAX($E$87,1),0)</f>
        <v>0</v>
      </c>
      <c r="BL100" s="159" t="n">
        <f aca="false">IF(AND(BL$6&gt;=EOMONTH($H$87,0),BL$6&lt;=EOMONTH(EDATE($H$87,$E$87-1),0)),$G$87/MAX($E$87,1),0)</f>
        <v>0</v>
      </c>
      <c r="BM100" s="159" t="n">
        <f aca="false">IF(AND(BM$6&gt;=EOMONTH($H$87,0),BM$6&lt;=EOMONTH(EDATE($H$87,$E$87-1),0)),$G$87/MAX($E$87,1),0)</f>
        <v>0</v>
      </c>
      <c r="BN100" s="159" t="n">
        <f aca="false">IF(AND(BN$6&gt;=EOMONTH($H$87,0),BN$6&lt;=EOMONTH(EDATE($H$87,$E$87-1),0)),$G$87/MAX($E$87,1),0)</f>
        <v>0</v>
      </c>
      <c r="BO100" s="159" t="n">
        <f aca="false">IF(AND(BO$6&gt;=EOMONTH($H$87,0),BO$6&lt;=EOMONTH(EDATE($H$87,$E$87-1),0)),$G$87/MAX($E$87,1),0)</f>
        <v>0</v>
      </c>
      <c r="BP100" s="159" t="n">
        <f aca="false">IF(AND(BP$6&gt;=EOMONTH($H$87,0),BP$6&lt;=EOMONTH(EDATE($H$87,$E$87-1),0)),$G$87/MAX($E$87,1),0)</f>
        <v>0</v>
      </c>
      <c r="BQ100" s="159" t="n">
        <f aca="false">IF(AND(BQ$6&gt;=EOMONTH($H$87,0),BQ$6&lt;=EOMONTH(EDATE($H$87,$E$87-1),0)),$G$87/MAX($E$87,1),0)</f>
        <v>0</v>
      </c>
      <c r="BR100" s="159" t="n">
        <f aca="false">IF(AND(BR$6&gt;=EOMONTH($H$87,0),BR$6&lt;=EOMONTH(EDATE($H$87,$E$87-1),0)),$G$87/MAX($E$87,1),0)</f>
        <v>0</v>
      </c>
      <c r="BS100" s="159" t="n">
        <f aca="false">IF(AND(BS$6&gt;=EOMONTH($H$87,0),BS$6&lt;=EOMONTH(EDATE($H$87,$E$87-1),0)),$G$87/MAX($E$87,1),0)</f>
        <v>0</v>
      </c>
      <c r="BT100" s="159" t="n">
        <f aca="false">IF(AND(BT$6&gt;=EOMONTH($H$87,0),BT$6&lt;=EOMONTH(EDATE($H$87,$E$87-1),0)),$G$87/MAX($E$87,1),0)</f>
        <v>0</v>
      </c>
      <c r="BU100" s="159" t="n">
        <f aca="false">IF(AND(BU$6&gt;=EOMONTH($H$87,0),BU$6&lt;=EOMONTH(EDATE($H$87,$E$87-1),0)),$G$87/MAX($E$87,1),0)</f>
        <v>0</v>
      </c>
      <c r="BV100" s="159" t="n">
        <f aca="false">IF(AND(BV$6&gt;=EOMONTH($H$87,0),BV$6&lt;=EOMONTH(EDATE($H$87,$E$87-1),0)),$G$87/MAX($E$87,1),0)</f>
        <v>0</v>
      </c>
      <c r="BW100" s="159" t="n">
        <f aca="false">IF(AND(BW$6&gt;=EOMONTH($H$87,0),BW$6&lt;=EOMONTH(EDATE($H$87,$E$87-1),0)),$G$87/MAX($E$87,1),0)</f>
        <v>0</v>
      </c>
      <c r="BX100" s="159" t="n">
        <f aca="false">IF(AND(BX$6&gt;=EOMONTH($H$87,0),BX$6&lt;=EOMONTH(EDATE($H$87,$E$87-1),0)),$G$87/MAX($E$87,1),0)</f>
        <v>0</v>
      </c>
      <c r="BY100" s="159" t="n">
        <f aca="false">IF(AND(BY$6&gt;=EOMONTH($H$87,0),BY$6&lt;=EOMONTH(EDATE($H$87,$E$87-1),0)),$G$87/MAX($E$87,1),0)</f>
        <v>0</v>
      </c>
      <c r="BZ100" s="159" t="n">
        <f aca="false">IF(AND(BZ$6&gt;=EOMONTH($H$87,0),BZ$6&lt;=EOMONTH(EDATE($H$87,$E$87-1),0)),$G$87/MAX($E$87,1),0)</f>
        <v>0</v>
      </c>
      <c r="CA100" s="159" t="n">
        <f aca="false">IF(AND(CA$6&gt;=EOMONTH($H$87,0),CA$6&lt;=EOMONTH(EDATE($H$87,$E$87-1),0)),$G$87/MAX($E$87,1),0)</f>
        <v>0</v>
      </c>
    </row>
    <row r="101" customFormat="false" ht="15" hidden="false" customHeight="false" outlineLevel="0" collapsed="false">
      <c r="B101" s="196" t="s">
        <v>552</v>
      </c>
      <c r="T101" s="159" t="n">
        <f aca="false">IF(AND(T$6&gt;=EOMONTH($H$91,0),T$6&lt;=EOMONTH(EDATE($H$91,$E$91-1),0)),$G$91/MAX($E$91,1),0)</f>
        <v>0</v>
      </c>
      <c r="U101" s="159" t="n">
        <f aca="false">IF(AND(U$6&gt;=EOMONTH($H$91,0),U$6&lt;=EOMONTH(EDATE($H$91,$E$91-1),0)),$G$91/MAX($E$91,1),0)</f>
        <v>0</v>
      </c>
      <c r="V101" s="159" t="n">
        <f aca="false">IF(AND(V$6&gt;=EOMONTH($H$91,0),V$6&lt;=EOMONTH(EDATE($H$91,$E$91-1),0)),$G$91/MAX($E$91,1),0)</f>
        <v>0</v>
      </c>
      <c r="W101" s="159" t="n">
        <f aca="false">IF(AND(W$6&gt;=EOMONTH($H$91,0),W$6&lt;=EOMONTH(EDATE($H$91,$E$91-1),0)),$G$91/MAX($E$91,1),0)</f>
        <v>0</v>
      </c>
      <c r="X101" s="159" t="n">
        <f aca="false">IF(AND(X$6&gt;=EOMONTH($H$91,0),X$6&lt;=EOMONTH(EDATE($H$91,$E$91-1),0)),$G$91/MAX($E$91,1),0)</f>
        <v>0</v>
      </c>
      <c r="Y101" s="159" t="n">
        <f aca="false">IF(AND(Y$6&gt;=EOMONTH($H$91,0),Y$6&lt;=EOMONTH(EDATE($H$91,$E$91-1),0)),$G$91/MAX($E$91,1),0)</f>
        <v>0</v>
      </c>
      <c r="Z101" s="159" t="n">
        <f aca="false">IF(AND(Z$6&gt;=EOMONTH($H$91,0),Z$6&lt;=EOMONTH(EDATE($H$91,$E$91-1),0)),$G$91/MAX($E$91,1),0)</f>
        <v>0</v>
      </c>
      <c r="AA101" s="159" t="n">
        <f aca="false">IF(AND(AA$6&gt;=EOMONTH($H$91,0),AA$6&lt;=EOMONTH(EDATE($H$91,$E$91-1),0)),$G$91/MAX($E$91,1),0)</f>
        <v>0</v>
      </c>
      <c r="AB101" s="159" t="n">
        <f aca="false">IF(AND(AB$6&gt;=EOMONTH($H$91,0),AB$6&lt;=EOMONTH(EDATE($H$91,$E$91-1),0)),$G$91/MAX($E$91,1),0)</f>
        <v>0</v>
      </c>
      <c r="AC101" s="159" t="n">
        <f aca="false">IF(AND(AC$6&gt;=EOMONTH($H$91,0),AC$6&lt;=EOMONTH(EDATE($H$91,$E$91-1),0)),$G$91/MAX($E$91,1),0)</f>
        <v>0</v>
      </c>
      <c r="AD101" s="159" t="n">
        <f aca="false">IF(AND(AD$6&gt;=EOMONTH($H$91,0),AD$6&lt;=EOMONTH(EDATE($H$91,$E$91-1),0)),$G$91/MAX($E$91,1),0)</f>
        <v>0</v>
      </c>
      <c r="AE101" s="159" t="n">
        <f aca="false">IF(AND(AE$6&gt;=EOMONTH($H$91,0),AE$6&lt;=EOMONTH(EDATE($H$91,$E$91-1),0)),$G$91/MAX($E$91,1),0)</f>
        <v>0</v>
      </c>
      <c r="AF101" s="159" t="n">
        <f aca="false">IF(AND(AF$6&gt;=EOMONTH($H$91,0),AF$6&lt;=EOMONTH(EDATE($H$91,$E$91-1),0)),$G$91/MAX($E$91,1),0)</f>
        <v>73333.3333333333</v>
      </c>
      <c r="AG101" s="159" t="n">
        <f aca="false">IF(AND(AG$6&gt;=EOMONTH($H$91,0),AG$6&lt;=EOMONTH(EDATE($H$91,$E$91-1),0)),$G$91/MAX($E$91,1),0)</f>
        <v>73333.3333333333</v>
      </c>
      <c r="AH101" s="159" t="n">
        <f aca="false">IF(AND(AH$6&gt;=EOMONTH($H$91,0),AH$6&lt;=EOMONTH(EDATE($H$91,$E$91-1),0)),$G$91/MAX($E$91,1),0)</f>
        <v>0</v>
      </c>
      <c r="AI101" s="159" t="n">
        <f aca="false">IF(AND(AI$6&gt;=EOMONTH($H$91,0),AI$6&lt;=EOMONTH(EDATE($H$91,$E$91-1),0)),$G$91/MAX($E$91,1),0)</f>
        <v>0</v>
      </c>
      <c r="AJ101" s="159" t="n">
        <f aca="false">IF(AND(AJ$6&gt;=EOMONTH($H$91,0),AJ$6&lt;=EOMONTH(EDATE($H$91,$E$91-1),0)),$G$91/MAX($E$91,1),0)</f>
        <v>0</v>
      </c>
      <c r="AK101" s="159" t="n">
        <f aca="false">IF(AND(AK$6&gt;=EOMONTH($H$91,0),AK$6&lt;=EOMONTH(EDATE($H$91,$E$91-1),0)),$G$91/MAX($E$91,1),0)</f>
        <v>0</v>
      </c>
      <c r="AL101" s="159" t="n">
        <f aca="false">IF(AND(AL$6&gt;=EOMONTH($H$91,0),AL$6&lt;=EOMONTH(EDATE($H$91,$E$91-1),0)),$G$91/MAX($E$91,1),0)</f>
        <v>0</v>
      </c>
      <c r="AM101" s="159" t="n">
        <f aca="false">IF(AND(AM$6&gt;=EOMONTH($H$91,0),AM$6&lt;=EOMONTH(EDATE($H$91,$E$91-1),0)),$G$91/MAX($E$91,1),0)</f>
        <v>0</v>
      </c>
      <c r="AN101" s="159" t="n">
        <f aca="false">IF(AND(AN$6&gt;=EOMONTH($H$91,0),AN$6&lt;=EOMONTH(EDATE($H$91,$E$91-1),0)),$G$91/MAX($E$91,1),0)</f>
        <v>0</v>
      </c>
      <c r="AO101" s="159" t="n">
        <f aca="false">IF(AND(AO$6&gt;=EOMONTH($H$91,0),AO$6&lt;=EOMONTH(EDATE($H$91,$E$91-1),0)),$G$91/MAX($E$91,1),0)</f>
        <v>0</v>
      </c>
      <c r="AP101" s="159" t="n">
        <f aca="false">IF(AND(AP$6&gt;=EOMONTH($H$91,0),AP$6&lt;=EOMONTH(EDATE($H$91,$E$91-1),0)),$G$91/MAX($E$91,1),0)</f>
        <v>0</v>
      </c>
      <c r="AQ101" s="159" t="n">
        <f aca="false">IF(AND(AQ$6&gt;=EOMONTH($H$91,0),AQ$6&lt;=EOMONTH(EDATE($H$91,$E$91-1),0)),$G$91/MAX($E$91,1),0)</f>
        <v>0</v>
      </c>
      <c r="AR101" s="159" t="n">
        <f aca="false">IF(AND(AR$6&gt;=EOMONTH($H$91,0),AR$6&lt;=EOMONTH(EDATE($H$91,$E$91-1),0)),$G$91/MAX($E$91,1),0)</f>
        <v>0</v>
      </c>
      <c r="AS101" s="159" t="n">
        <f aca="false">IF(AND(AS$6&gt;=EOMONTH($H$91,0),AS$6&lt;=EOMONTH(EDATE($H$91,$E$91-1),0)),$G$91/MAX($E$91,1),0)</f>
        <v>0</v>
      </c>
      <c r="AT101" s="159" t="n">
        <f aca="false">IF(AND(AT$6&gt;=EOMONTH($H$91,0),AT$6&lt;=EOMONTH(EDATE($H$91,$E$91-1),0)),$G$91/MAX($E$91,1),0)</f>
        <v>0</v>
      </c>
      <c r="AU101" s="159" t="n">
        <f aca="false">IF(AND(AU$6&gt;=EOMONTH($H$91,0),AU$6&lt;=EOMONTH(EDATE($H$91,$E$91-1),0)),$G$91/MAX($E$91,1),0)</f>
        <v>0</v>
      </c>
      <c r="AV101" s="159" t="n">
        <f aca="false">IF(AND(AV$6&gt;=EOMONTH($H$91,0),AV$6&lt;=EOMONTH(EDATE($H$91,$E$91-1),0)),$G$91/MAX($E$91,1),0)</f>
        <v>0</v>
      </c>
      <c r="AW101" s="159" t="n">
        <f aca="false">IF(AND(AW$6&gt;=EOMONTH($H$91,0),AW$6&lt;=EOMONTH(EDATE($H$91,$E$91-1),0)),$G$91/MAX($E$91,1),0)</f>
        <v>0</v>
      </c>
      <c r="AX101" s="159" t="n">
        <f aca="false">IF(AND(AX$6&gt;=EOMONTH($H$91,0),AX$6&lt;=EOMONTH(EDATE($H$91,$E$91-1),0)),$G$91/MAX($E$91,1),0)</f>
        <v>0</v>
      </c>
      <c r="AY101" s="159" t="n">
        <f aca="false">IF(AND(AY$6&gt;=EOMONTH($H$91,0),AY$6&lt;=EOMONTH(EDATE($H$91,$E$91-1),0)),$G$91/MAX($E$91,1),0)</f>
        <v>0</v>
      </c>
      <c r="AZ101" s="159" t="n">
        <f aca="false">IF(AND(AZ$6&gt;=EOMONTH($H$91,0),AZ$6&lt;=EOMONTH(EDATE($H$91,$E$91-1),0)),$G$91/MAX($E$91,1),0)</f>
        <v>0</v>
      </c>
      <c r="BA101" s="159" t="n">
        <f aca="false">IF(AND(BA$6&gt;=EOMONTH($H$91,0),BA$6&lt;=EOMONTH(EDATE($H$91,$E$91-1),0)),$G$91/MAX($E$91,1),0)</f>
        <v>0</v>
      </c>
      <c r="BB101" s="159" t="n">
        <f aca="false">IF(AND(BB$6&gt;=EOMONTH($H$91,0),BB$6&lt;=EOMONTH(EDATE($H$91,$E$91-1),0)),$G$91/MAX($E$91,1),0)</f>
        <v>0</v>
      </c>
      <c r="BC101" s="159" t="n">
        <f aca="false">IF(AND(BC$6&gt;=EOMONTH($H$91,0),BC$6&lt;=EOMONTH(EDATE($H$91,$E$91-1),0)),$G$91/MAX($E$91,1),0)</f>
        <v>0</v>
      </c>
      <c r="BD101" s="159" t="n">
        <f aca="false">IF(AND(BD$6&gt;=EOMONTH($H$91,0),BD$6&lt;=EOMONTH(EDATE($H$91,$E$91-1),0)),$G$91/MAX($E$91,1),0)</f>
        <v>0</v>
      </c>
      <c r="BE101" s="159" t="n">
        <f aca="false">IF(AND(BE$6&gt;=EOMONTH($H$91,0),BE$6&lt;=EOMONTH(EDATE($H$91,$E$91-1),0)),$G$91/MAX($E$91,1),0)</f>
        <v>0</v>
      </c>
      <c r="BF101" s="159" t="n">
        <f aca="false">IF(AND(BF$6&gt;=EOMONTH($H$91,0),BF$6&lt;=EOMONTH(EDATE($H$91,$E$91-1),0)),$G$91/MAX($E$91,1),0)</f>
        <v>0</v>
      </c>
      <c r="BG101" s="159" t="n">
        <f aca="false">IF(AND(BG$6&gt;=EOMONTH($H$91,0),BG$6&lt;=EOMONTH(EDATE($H$91,$E$91-1),0)),$G$91/MAX($E$91,1),0)</f>
        <v>0</v>
      </c>
      <c r="BH101" s="159" t="n">
        <f aca="false">IF(AND(BH$6&gt;=EOMONTH($H$91,0),BH$6&lt;=EOMONTH(EDATE($H$91,$E$91-1),0)),$G$91/MAX($E$91,1),0)</f>
        <v>0</v>
      </c>
      <c r="BI101" s="159" t="n">
        <f aca="false">IF(AND(BI$6&gt;=EOMONTH($H$91,0),BI$6&lt;=EOMONTH(EDATE($H$91,$E$91-1),0)),$G$91/MAX($E$91,1),0)</f>
        <v>0</v>
      </c>
      <c r="BJ101" s="159" t="n">
        <f aca="false">IF(AND(BJ$6&gt;=EOMONTH($H$91,0),BJ$6&lt;=EOMONTH(EDATE($H$91,$E$91-1),0)),$G$91/MAX($E$91,1),0)</f>
        <v>0</v>
      </c>
      <c r="BK101" s="159" t="n">
        <f aca="false">IF(AND(BK$6&gt;=EOMONTH($H$91,0),BK$6&lt;=EOMONTH(EDATE($H$91,$E$91-1),0)),$G$91/MAX($E$91,1),0)</f>
        <v>0</v>
      </c>
      <c r="BL101" s="159" t="n">
        <f aca="false">IF(AND(BL$6&gt;=EOMONTH($H$91,0),BL$6&lt;=EOMONTH(EDATE($H$91,$E$91-1),0)),$G$91/MAX($E$91,1),0)</f>
        <v>0</v>
      </c>
      <c r="BM101" s="159" t="n">
        <f aca="false">IF(AND(BM$6&gt;=EOMONTH($H$91,0),BM$6&lt;=EOMONTH(EDATE($H$91,$E$91-1),0)),$G$91/MAX($E$91,1),0)</f>
        <v>0</v>
      </c>
      <c r="BN101" s="159" t="n">
        <f aca="false">IF(AND(BN$6&gt;=EOMONTH($H$91,0),BN$6&lt;=EOMONTH(EDATE($H$91,$E$91-1),0)),$G$91/MAX($E$91,1),0)</f>
        <v>0</v>
      </c>
      <c r="BO101" s="159" t="n">
        <f aca="false">IF(AND(BO$6&gt;=EOMONTH($H$91,0),BO$6&lt;=EOMONTH(EDATE($H$91,$E$91-1),0)),$G$91/MAX($E$91,1),0)</f>
        <v>0</v>
      </c>
      <c r="BP101" s="159" t="n">
        <f aca="false">IF(AND(BP$6&gt;=EOMONTH($H$91,0),BP$6&lt;=EOMONTH(EDATE($H$91,$E$91-1),0)),$G$91/MAX($E$91,1),0)</f>
        <v>0</v>
      </c>
      <c r="BQ101" s="159" t="n">
        <f aca="false">IF(AND(BQ$6&gt;=EOMONTH($H$91,0),BQ$6&lt;=EOMONTH(EDATE($H$91,$E$91-1),0)),$G$91/MAX($E$91,1),0)</f>
        <v>0</v>
      </c>
      <c r="BR101" s="159" t="n">
        <f aca="false">IF(AND(BR$6&gt;=EOMONTH($H$91,0),BR$6&lt;=EOMONTH(EDATE($H$91,$E$91-1),0)),$G$91/MAX($E$91,1),0)</f>
        <v>0</v>
      </c>
      <c r="BS101" s="159" t="n">
        <f aca="false">IF(AND(BS$6&gt;=EOMONTH($H$91,0),BS$6&lt;=EOMONTH(EDATE($H$91,$E$91-1),0)),$G$91/MAX($E$91,1),0)</f>
        <v>0</v>
      </c>
      <c r="BT101" s="159" t="n">
        <f aca="false">IF(AND(BT$6&gt;=EOMONTH($H$91,0),BT$6&lt;=EOMONTH(EDATE($H$91,$E$91-1),0)),$G$91/MAX($E$91,1),0)</f>
        <v>0</v>
      </c>
      <c r="BU101" s="159" t="n">
        <f aca="false">IF(AND(BU$6&gt;=EOMONTH($H$91,0),BU$6&lt;=EOMONTH(EDATE($H$91,$E$91-1),0)),$G$91/MAX($E$91,1),0)</f>
        <v>0</v>
      </c>
      <c r="BV101" s="159" t="n">
        <f aca="false">IF(AND(BV$6&gt;=EOMONTH($H$91,0),BV$6&lt;=EOMONTH(EDATE($H$91,$E$91-1),0)),$G$91/MAX($E$91,1),0)</f>
        <v>0</v>
      </c>
      <c r="BW101" s="159" t="n">
        <f aca="false">IF(AND(BW$6&gt;=EOMONTH($H$91,0),BW$6&lt;=EOMONTH(EDATE($H$91,$E$91-1),0)),$G$91/MAX($E$91,1),0)</f>
        <v>0</v>
      </c>
      <c r="BX101" s="159" t="n">
        <f aca="false">IF(AND(BX$6&gt;=EOMONTH($H$91,0),BX$6&lt;=EOMONTH(EDATE($H$91,$E$91-1),0)),$G$91/MAX($E$91,1),0)</f>
        <v>0</v>
      </c>
      <c r="BY101" s="159" t="n">
        <f aca="false">IF(AND(BY$6&gt;=EOMONTH($H$91,0),BY$6&lt;=EOMONTH(EDATE($H$91,$E$91-1),0)),$G$91/MAX($E$91,1),0)</f>
        <v>0</v>
      </c>
      <c r="BZ101" s="159" t="n">
        <f aca="false">IF(AND(BZ$6&gt;=EOMONTH($H$91,0),BZ$6&lt;=EOMONTH(EDATE($H$91,$E$91-1),0)),$G$91/MAX($E$91,1),0)</f>
        <v>0</v>
      </c>
      <c r="CA101" s="159" t="n">
        <f aca="false">IF(AND(CA$6&gt;=EOMONTH($H$91,0),CA$6&lt;=EOMONTH(EDATE($H$91,$E$91-1),0)),$G$91/MAX($E$91,1),0)</f>
        <v>0</v>
      </c>
    </row>
    <row r="102" customFormat="false" ht="15" hidden="false" customHeight="false" outlineLevel="0" collapsed="false">
      <c r="B102" s="196" t="s">
        <v>553</v>
      </c>
      <c r="T102" s="159" t="n">
        <f aca="false">IF(AND(T$6&gt;=EOMONTH($H$92,0),T$6&lt;=EOMONTH(EDATE($H$92,$E$92-1),0)),$G$92/MAX($E$92,1),0)</f>
        <v>0</v>
      </c>
      <c r="U102" s="159" t="n">
        <f aca="false">IF(AND(U$6&gt;=EOMONTH($H$92,0),U$6&lt;=EOMONTH(EDATE($H$92,$E$92-1),0)),$G$92/MAX($E$92,1),0)</f>
        <v>0</v>
      </c>
      <c r="V102" s="159" t="n">
        <f aca="false">IF(AND(V$6&gt;=EOMONTH($H$92,0),V$6&lt;=EOMONTH(EDATE($H$92,$E$92-1),0)),$G$92/MAX($E$92,1),0)</f>
        <v>0</v>
      </c>
      <c r="W102" s="159" t="n">
        <f aca="false">IF(AND(W$6&gt;=EOMONTH($H$92,0),W$6&lt;=EOMONTH(EDATE($H$92,$E$92-1),0)),$G$92/MAX($E$92,1),0)</f>
        <v>0</v>
      </c>
      <c r="X102" s="159" t="n">
        <f aca="false">IF(AND(X$6&gt;=EOMONTH($H$92,0),X$6&lt;=EOMONTH(EDATE($H$92,$E$92-1),0)),$G$92/MAX($E$92,1),0)</f>
        <v>0</v>
      </c>
      <c r="Y102" s="159" t="n">
        <f aca="false">IF(AND(Y$6&gt;=EOMONTH($H$92,0),Y$6&lt;=EOMONTH(EDATE($H$92,$E$92-1),0)),$G$92/MAX($E$92,1),0)</f>
        <v>0</v>
      </c>
      <c r="Z102" s="159" t="n">
        <f aca="false">IF(AND(Z$6&gt;=EOMONTH($H$92,0),Z$6&lt;=EOMONTH(EDATE($H$92,$E$92-1),0)),$G$92/MAX($E$92,1),0)</f>
        <v>0</v>
      </c>
      <c r="AA102" s="159" t="n">
        <f aca="false">IF(AND(AA$6&gt;=EOMONTH($H$92,0),AA$6&lt;=EOMONTH(EDATE($H$92,$E$92-1),0)),$G$92/MAX($E$92,1),0)</f>
        <v>0</v>
      </c>
      <c r="AB102" s="159" t="n">
        <f aca="false">IF(AND(AB$6&gt;=EOMONTH($H$92,0),AB$6&lt;=EOMONTH(EDATE($H$92,$E$92-1),0)),$G$92/MAX($E$92,1),0)</f>
        <v>0</v>
      </c>
      <c r="AC102" s="159" t="n">
        <f aca="false">IF(AND(AC$6&gt;=EOMONTH($H$92,0),AC$6&lt;=EOMONTH(EDATE($H$92,$E$92-1),0)),$G$92/MAX($E$92,1),0)</f>
        <v>0</v>
      </c>
      <c r="AD102" s="159" t="n">
        <f aca="false">IF(AND(AD$6&gt;=EOMONTH($H$92,0),AD$6&lt;=EOMONTH(EDATE($H$92,$E$92-1),0)),$G$92/MAX($E$92,1),0)</f>
        <v>0</v>
      </c>
      <c r="AE102" s="159" t="n">
        <f aca="false">IF(AND(AE$6&gt;=EOMONTH($H$92,0),AE$6&lt;=EOMONTH(EDATE($H$92,$E$92-1),0)),$G$92/MAX($E$92,1),0)</f>
        <v>0</v>
      </c>
      <c r="AF102" s="159" t="n">
        <f aca="false">IF(AND(AF$6&gt;=EOMONTH($H$92,0),AF$6&lt;=EOMONTH(EDATE($H$92,$E$92-1),0)),$G$92/MAX($E$92,1),0)</f>
        <v>0</v>
      </c>
      <c r="AG102" s="159" t="n">
        <f aca="false">IF(AND(AG$6&gt;=EOMONTH($H$92,0),AG$6&lt;=EOMONTH(EDATE($H$92,$E$92-1),0)),$G$92/MAX($E$92,1),0)</f>
        <v>0</v>
      </c>
      <c r="AH102" s="159" t="n">
        <f aca="false">IF(AND(AH$6&gt;=EOMONTH($H$92,0),AH$6&lt;=EOMONTH(EDATE($H$92,$E$92-1),0)),$G$92/MAX($E$92,1),0)</f>
        <v>146666.666666667</v>
      </c>
      <c r="AI102" s="159" t="n">
        <f aca="false">IF(AND(AI$6&gt;=EOMONTH($H$92,0),AI$6&lt;=EOMONTH(EDATE($H$92,$E$92-1),0)),$G$92/MAX($E$92,1),0)</f>
        <v>146666.666666667</v>
      </c>
      <c r="AJ102" s="159" t="n">
        <f aca="false">IF(AND(AJ$6&gt;=EOMONTH($H$92,0),AJ$6&lt;=EOMONTH(EDATE($H$92,$E$92-1),0)),$G$92/MAX($E$92,1),0)</f>
        <v>146666.666666667</v>
      </c>
      <c r="AK102" s="159" t="n">
        <f aca="false">IF(AND(AK$6&gt;=EOMONTH($H$92,0),AK$6&lt;=EOMONTH(EDATE($H$92,$E$92-1),0)),$G$92/MAX($E$92,1),0)</f>
        <v>146666.666666667</v>
      </c>
      <c r="AL102" s="159" t="n">
        <f aca="false">IF(AND(AL$6&gt;=EOMONTH($H$92,0),AL$6&lt;=EOMONTH(EDATE($H$92,$E$92-1),0)),$G$92/MAX($E$92,1),0)</f>
        <v>146666.666666667</v>
      </c>
      <c r="AM102" s="159" t="n">
        <f aca="false">IF(AND(AM$6&gt;=EOMONTH($H$92,0),AM$6&lt;=EOMONTH(EDATE($H$92,$E$92-1),0)),$G$92/MAX($E$92,1),0)</f>
        <v>0</v>
      </c>
      <c r="AN102" s="159" t="n">
        <f aca="false">IF(AND(AN$6&gt;=EOMONTH($H$92,0),AN$6&lt;=EOMONTH(EDATE($H$92,$E$92-1),0)),$G$92/MAX($E$92,1),0)</f>
        <v>0</v>
      </c>
      <c r="AO102" s="159" t="n">
        <f aca="false">IF(AND(AO$6&gt;=EOMONTH($H$92,0),AO$6&lt;=EOMONTH(EDATE($H$92,$E$92-1),0)),$G$92/MAX($E$92,1),0)</f>
        <v>0</v>
      </c>
      <c r="AP102" s="159" t="n">
        <f aca="false">IF(AND(AP$6&gt;=EOMONTH($H$92,0),AP$6&lt;=EOMONTH(EDATE($H$92,$E$92-1),0)),$G$92/MAX($E$92,1),0)</f>
        <v>0</v>
      </c>
      <c r="AQ102" s="159" t="n">
        <f aca="false">IF(AND(AQ$6&gt;=EOMONTH($H$92,0),AQ$6&lt;=EOMONTH(EDATE($H$92,$E$92-1),0)),$G$92/MAX($E$92,1),0)</f>
        <v>0</v>
      </c>
      <c r="AR102" s="159" t="n">
        <f aca="false">IF(AND(AR$6&gt;=EOMONTH($H$92,0),AR$6&lt;=EOMONTH(EDATE($H$92,$E$92-1),0)),$G$92/MAX($E$92,1),0)</f>
        <v>0</v>
      </c>
      <c r="AS102" s="159" t="n">
        <f aca="false">IF(AND(AS$6&gt;=EOMONTH($H$92,0),AS$6&lt;=EOMONTH(EDATE($H$92,$E$92-1),0)),$G$92/MAX($E$92,1),0)</f>
        <v>0</v>
      </c>
      <c r="AT102" s="159" t="n">
        <f aca="false">IF(AND(AT$6&gt;=EOMONTH($H$92,0),AT$6&lt;=EOMONTH(EDATE($H$92,$E$92-1),0)),$G$92/MAX($E$92,1),0)</f>
        <v>0</v>
      </c>
      <c r="AU102" s="159" t="n">
        <f aca="false">IF(AND(AU$6&gt;=EOMONTH($H$92,0),AU$6&lt;=EOMONTH(EDATE($H$92,$E$92-1),0)),$G$92/MAX($E$92,1),0)</f>
        <v>0</v>
      </c>
      <c r="AV102" s="159" t="n">
        <f aca="false">IF(AND(AV$6&gt;=EOMONTH($H$92,0),AV$6&lt;=EOMONTH(EDATE($H$92,$E$92-1),0)),$G$92/MAX($E$92,1),0)</f>
        <v>0</v>
      </c>
      <c r="AW102" s="159" t="n">
        <f aca="false">IF(AND(AW$6&gt;=EOMONTH($H$92,0),AW$6&lt;=EOMONTH(EDATE($H$92,$E$92-1),0)),$G$92/MAX($E$92,1),0)</f>
        <v>0</v>
      </c>
      <c r="AX102" s="159" t="n">
        <f aca="false">IF(AND(AX$6&gt;=EOMONTH($H$92,0),AX$6&lt;=EOMONTH(EDATE($H$92,$E$92-1),0)),$G$92/MAX($E$92,1),0)</f>
        <v>0</v>
      </c>
      <c r="AY102" s="159" t="n">
        <f aca="false">IF(AND(AY$6&gt;=EOMONTH($H$92,0),AY$6&lt;=EOMONTH(EDATE($H$92,$E$92-1),0)),$G$92/MAX($E$92,1),0)</f>
        <v>0</v>
      </c>
      <c r="AZ102" s="159" t="n">
        <f aca="false">IF(AND(AZ$6&gt;=EOMONTH($H$92,0),AZ$6&lt;=EOMONTH(EDATE($H$92,$E$92-1),0)),$G$92/MAX($E$92,1),0)</f>
        <v>0</v>
      </c>
      <c r="BA102" s="159" t="n">
        <f aca="false">IF(AND(BA$6&gt;=EOMONTH($H$92,0),BA$6&lt;=EOMONTH(EDATE($H$92,$E$92-1),0)),$G$92/MAX($E$92,1),0)</f>
        <v>0</v>
      </c>
      <c r="BB102" s="159" t="n">
        <f aca="false">IF(AND(BB$6&gt;=EOMONTH($H$92,0),BB$6&lt;=EOMONTH(EDATE($H$92,$E$92-1),0)),$G$92/MAX($E$92,1),0)</f>
        <v>0</v>
      </c>
      <c r="BC102" s="159" t="n">
        <f aca="false">IF(AND(BC$6&gt;=EOMONTH($H$92,0),BC$6&lt;=EOMONTH(EDATE($H$92,$E$92-1),0)),$G$92/MAX($E$92,1),0)</f>
        <v>0</v>
      </c>
      <c r="BD102" s="159" t="n">
        <f aca="false">IF(AND(BD$6&gt;=EOMONTH($H$92,0),BD$6&lt;=EOMONTH(EDATE($H$92,$E$92-1),0)),$G$92/MAX($E$92,1),0)</f>
        <v>0</v>
      </c>
      <c r="BE102" s="159" t="n">
        <f aca="false">IF(AND(BE$6&gt;=EOMONTH($H$92,0),BE$6&lt;=EOMONTH(EDATE($H$92,$E$92-1),0)),$G$92/MAX($E$92,1),0)</f>
        <v>0</v>
      </c>
      <c r="BF102" s="159" t="n">
        <f aca="false">IF(AND(BF$6&gt;=EOMONTH($H$92,0),BF$6&lt;=EOMONTH(EDATE($H$92,$E$92-1),0)),$G$92/MAX($E$92,1),0)</f>
        <v>0</v>
      </c>
      <c r="BG102" s="159" t="n">
        <f aca="false">IF(AND(BG$6&gt;=EOMONTH($H$92,0),BG$6&lt;=EOMONTH(EDATE($H$92,$E$92-1),0)),$G$92/MAX($E$92,1),0)</f>
        <v>0</v>
      </c>
      <c r="BH102" s="159" t="n">
        <f aca="false">IF(AND(BH$6&gt;=EOMONTH($H$92,0),BH$6&lt;=EOMONTH(EDATE($H$92,$E$92-1),0)),$G$92/MAX($E$92,1),0)</f>
        <v>0</v>
      </c>
      <c r="BI102" s="159" t="n">
        <f aca="false">IF(AND(BI$6&gt;=EOMONTH($H$92,0),BI$6&lt;=EOMONTH(EDATE($H$92,$E$92-1),0)),$G$92/MAX($E$92,1),0)</f>
        <v>0</v>
      </c>
      <c r="BJ102" s="159" t="n">
        <f aca="false">IF(AND(BJ$6&gt;=EOMONTH($H$92,0),BJ$6&lt;=EOMONTH(EDATE($H$92,$E$92-1),0)),$G$92/MAX($E$92,1),0)</f>
        <v>0</v>
      </c>
      <c r="BK102" s="159" t="n">
        <f aca="false">IF(AND(BK$6&gt;=EOMONTH($H$92,0),BK$6&lt;=EOMONTH(EDATE($H$92,$E$92-1),0)),$G$92/MAX($E$92,1),0)</f>
        <v>0</v>
      </c>
      <c r="BL102" s="159" t="n">
        <f aca="false">IF(AND(BL$6&gt;=EOMONTH($H$92,0),BL$6&lt;=EOMONTH(EDATE($H$92,$E$92-1),0)),$G$92/MAX($E$92,1),0)</f>
        <v>0</v>
      </c>
      <c r="BM102" s="159" t="n">
        <f aca="false">IF(AND(BM$6&gt;=EOMONTH($H$92,0),BM$6&lt;=EOMONTH(EDATE($H$92,$E$92-1),0)),$G$92/MAX($E$92,1),0)</f>
        <v>0</v>
      </c>
      <c r="BN102" s="159" t="n">
        <f aca="false">IF(AND(BN$6&gt;=EOMONTH($H$92,0),BN$6&lt;=EOMONTH(EDATE($H$92,$E$92-1),0)),$G$92/MAX($E$92,1),0)</f>
        <v>0</v>
      </c>
      <c r="BO102" s="159" t="n">
        <f aca="false">IF(AND(BO$6&gt;=EOMONTH($H$92,0),BO$6&lt;=EOMONTH(EDATE($H$92,$E$92-1),0)),$G$92/MAX($E$92,1),0)</f>
        <v>0</v>
      </c>
      <c r="BP102" s="159" t="n">
        <f aca="false">IF(AND(BP$6&gt;=EOMONTH($H$92,0),BP$6&lt;=EOMONTH(EDATE($H$92,$E$92-1),0)),$G$92/MAX($E$92,1),0)</f>
        <v>0</v>
      </c>
      <c r="BQ102" s="159" t="n">
        <f aca="false">IF(AND(BQ$6&gt;=EOMONTH($H$92,0),BQ$6&lt;=EOMONTH(EDATE($H$92,$E$92-1),0)),$G$92/MAX($E$92,1),0)</f>
        <v>0</v>
      </c>
      <c r="BR102" s="159" t="n">
        <f aca="false">IF(AND(BR$6&gt;=EOMONTH($H$92,0),BR$6&lt;=EOMONTH(EDATE($H$92,$E$92-1),0)),$G$92/MAX($E$92,1),0)</f>
        <v>0</v>
      </c>
      <c r="BS102" s="159" t="n">
        <f aca="false">IF(AND(BS$6&gt;=EOMONTH($H$92,0),BS$6&lt;=EOMONTH(EDATE($H$92,$E$92-1),0)),$G$92/MAX($E$92,1),0)</f>
        <v>0</v>
      </c>
      <c r="BT102" s="159" t="n">
        <f aca="false">IF(AND(BT$6&gt;=EOMONTH($H$92,0),BT$6&lt;=EOMONTH(EDATE($H$92,$E$92-1),0)),$G$92/MAX($E$92,1),0)</f>
        <v>0</v>
      </c>
      <c r="BU102" s="159" t="n">
        <f aca="false">IF(AND(BU$6&gt;=EOMONTH($H$92,0),BU$6&lt;=EOMONTH(EDATE($H$92,$E$92-1),0)),$G$92/MAX($E$92,1),0)</f>
        <v>0</v>
      </c>
      <c r="BV102" s="159" t="n">
        <f aca="false">IF(AND(BV$6&gt;=EOMONTH($H$92,0),BV$6&lt;=EOMONTH(EDATE($H$92,$E$92-1),0)),$G$92/MAX($E$92,1),0)</f>
        <v>0</v>
      </c>
      <c r="BW102" s="159" t="n">
        <f aca="false">IF(AND(BW$6&gt;=EOMONTH($H$92,0),BW$6&lt;=EOMONTH(EDATE($H$92,$E$92-1),0)),$G$92/MAX($E$92,1),0)</f>
        <v>0</v>
      </c>
      <c r="BX102" s="159" t="n">
        <f aca="false">IF(AND(BX$6&gt;=EOMONTH($H$92,0),BX$6&lt;=EOMONTH(EDATE($H$92,$E$92-1),0)),$G$92/MAX($E$92,1),0)</f>
        <v>0</v>
      </c>
      <c r="BY102" s="159" t="n">
        <f aca="false">IF(AND(BY$6&gt;=EOMONTH($H$92,0),BY$6&lt;=EOMONTH(EDATE($H$92,$E$92-1),0)),$G$92/MAX($E$92,1),0)</f>
        <v>0</v>
      </c>
      <c r="BZ102" s="159" t="n">
        <f aca="false">IF(AND(BZ$6&gt;=EOMONTH($H$92,0),BZ$6&lt;=EOMONTH(EDATE($H$92,$E$92-1),0)),$G$92/MAX($E$92,1),0)</f>
        <v>0</v>
      </c>
      <c r="CA102" s="159" t="n">
        <f aca="false">IF(AND(CA$6&gt;=EOMONTH($H$92,0),CA$6&lt;=EOMONTH(EDATE($H$92,$E$92-1),0)),$G$92/MAX($E$92,1),0)</f>
        <v>0</v>
      </c>
    </row>
    <row r="103" customFormat="false" ht="15" hidden="false" customHeight="false" outlineLevel="0" collapsed="false">
      <c r="B103" s="196" t="s">
        <v>554</v>
      </c>
      <c r="T103" s="159" t="n">
        <f aca="false">IF(AND(T$6&gt;=EOMONTH($H$93,0),T$6&lt;=EOMONTH(EDATE($H$93,$E$93-1),0)),$G$93/MAX($E$93,1),0)</f>
        <v>0</v>
      </c>
      <c r="U103" s="159" t="n">
        <f aca="false">IF(AND(U$6&gt;=EOMONTH($H$93,0),U$6&lt;=EOMONTH(EDATE($H$93,$E$93-1),0)),$G$93/MAX($E$93,1),0)</f>
        <v>0</v>
      </c>
      <c r="V103" s="159" t="n">
        <f aca="false">IF(AND(V$6&gt;=EOMONTH($H$93,0),V$6&lt;=EOMONTH(EDATE($H$93,$E$93-1),0)),$G$93/MAX($E$93,1),0)</f>
        <v>0</v>
      </c>
      <c r="W103" s="159" t="n">
        <f aca="false">IF(AND(W$6&gt;=EOMONTH($H$93,0),W$6&lt;=EOMONTH(EDATE($H$93,$E$93-1),0)),$G$93/MAX($E$93,1),0)</f>
        <v>0</v>
      </c>
      <c r="X103" s="159" t="n">
        <f aca="false">IF(AND(X$6&gt;=EOMONTH($H$93,0),X$6&lt;=EOMONTH(EDATE($H$93,$E$93-1),0)),$G$93/MAX($E$93,1),0)</f>
        <v>0</v>
      </c>
      <c r="Y103" s="159" t="n">
        <f aca="false">IF(AND(Y$6&gt;=EOMONTH($H$93,0),Y$6&lt;=EOMONTH(EDATE($H$93,$E$93-1),0)),$G$93/MAX($E$93,1),0)</f>
        <v>0</v>
      </c>
      <c r="Z103" s="159" t="n">
        <f aca="false">IF(AND(Z$6&gt;=EOMONTH($H$93,0),Z$6&lt;=EOMONTH(EDATE($H$93,$E$93-1),0)),$G$93/MAX($E$93,1),0)</f>
        <v>0</v>
      </c>
      <c r="AA103" s="159" t="n">
        <f aca="false">IF(AND(AA$6&gt;=EOMONTH($H$93,0),AA$6&lt;=EOMONTH(EDATE($H$93,$E$93-1),0)),$G$93/MAX($E$93,1),0)</f>
        <v>0</v>
      </c>
      <c r="AB103" s="159" t="n">
        <f aca="false">IF(AND(AB$6&gt;=EOMONTH($H$93,0),AB$6&lt;=EOMONTH(EDATE($H$93,$E$93-1),0)),$G$93/MAX($E$93,1),0)</f>
        <v>0</v>
      </c>
      <c r="AC103" s="159" t="n">
        <f aca="false">IF(AND(AC$6&gt;=EOMONTH($H$93,0),AC$6&lt;=EOMONTH(EDATE($H$93,$E$93-1),0)),$G$93/MAX($E$93,1),0)</f>
        <v>0</v>
      </c>
      <c r="AD103" s="159" t="n">
        <f aca="false">IF(AND(AD$6&gt;=EOMONTH($H$93,0),AD$6&lt;=EOMONTH(EDATE($H$93,$E$93-1),0)),$G$93/MAX($E$93,1),0)</f>
        <v>0</v>
      </c>
      <c r="AE103" s="159" t="n">
        <f aca="false">IF(AND(AE$6&gt;=EOMONTH($H$93,0),AE$6&lt;=EOMONTH(EDATE($H$93,$E$93-1),0)),$G$93/MAX($E$93,1),0)</f>
        <v>0</v>
      </c>
      <c r="AF103" s="159" t="n">
        <f aca="false">IF(AND(AF$6&gt;=EOMONTH($H$93,0),AF$6&lt;=EOMONTH(EDATE($H$93,$E$93-1),0)),$G$93/MAX($E$93,1),0)</f>
        <v>0</v>
      </c>
      <c r="AG103" s="159" t="n">
        <f aca="false">IF(AND(AG$6&gt;=EOMONTH($H$93,0),AG$6&lt;=EOMONTH(EDATE($H$93,$E$93-1),0)),$G$93/MAX($E$93,1),0)</f>
        <v>0</v>
      </c>
      <c r="AH103" s="159" t="n">
        <f aca="false">IF(AND(AH$6&gt;=EOMONTH($H$93,0),AH$6&lt;=EOMONTH(EDATE($H$93,$E$93-1),0)),$G$93/MAX($E$93,1),0)</f>
        <v>0</v>
      </c>
      <c r="AI103" s="159" t="n">
        <f aca="false">IF(AND(AI$6&gt;=EOMONTH($H$93,0),AI$6&lt;=EOMONTH(EDATE($H$93,$E$93-1),0)),$G$93/MAX($E$93,1),0)</f>
        <v>0</v>
      </c>
      <c r="AJ103" s="159" t="n">
        <f aca="false">IF(AND(AJ$6&gt;=EOMONTH($H$93,0),AJ$6&lt;=EOMONTH(EDATE($H$93,$E$93-1),0)),$G$93/MAX($E$93,1),0)</f>
        <v>0</v>
      </c>
      <c r="AK103" s="159" t="n">
        <f aca="false">IF(AND(AK$6&gt;=EOMONTH($H$93,0),AK$6&lt;=EOMONTH(EDATE($H$93,$E$93-1),0)),$G$93/MAX($E$93,1),0)</f>
        <v>0</v>
      </c>
      <c r="AL103" s="159" t="n">
        <f aca="false">IF(AND(AL$6&gt;=EOMONTH($H$93,0),AL$6&lt;=EOMONTH(EDATE($H$93,$E$93-1),0)),$G$93/MAX($E$93,1),0)</f>
        <v>0</v>
      </c>
      <c r="AM103" s="159" t="n">
        <f aca="false">IF(AND(AM$6&gt;=EOMONTH($H$93,0),AM$6&lt;=EOMONTH(EDATE($H$93,$E$93-1),0)),$G$93/MAX($E$93,1),0)</f>
        <v>91666.6666666667</v>
      </c>
      <c r="AN103" s="159" t="n">
        <f aca="false">IF(AND(AN$6&gt;=EOMONTH($H$93,0),AN$6&lt;=EOMONTH(EDATE($H$93,$E$93-1),0)),$G$93/MAX($E$93,1),0)</f>
        <v>91666.6666666667</v>
      </c>
      <c r="AO103" s="159" t="n">
        <f aca="false">IF(AND(AO$6&gt;=EOMONTH($H$93,0),AO$6&lt;=EOMONTH(EDATE($H$93,$E$93-1),0)),$G$93/MAX($E$93,1),0)</f>
        <v>91666.6666666667</v>
      </c>
      <c r="AP103" s="159" t="n">
        <f aca="false">IF(AND(AP$6&gt;=EOMONTH($H$93,0),AP$6&lt;=EOMONTH(EDATE($H$93,$E$93-1),0)),$G$93/MAX($E$93,1),0)</f>
        <v>91666.6666666667</v>
      </c>
      <c r="AQ103" s="159" t="n">
        <f aca="false">IF(AND(AQ$6&gt;=EOMONTH($H$93,0),AQ$6&lt;=EOMONTH(EDATE($H$93,$E$93-1),0)),$G$93/MAX($E$93,1),0)</f>
        <v>91666.6666666667</v>
      </c>
      <c r="AR103" s="159" t="n">
        <f aca="false">IF(AND(AR$6&gt;=EOMONTH($H$93,0),AR$6&lt;=EOMONTH(EDATE($H$93,$E$93-1),0)),$G$93/MAX($E$93,1),0)</f>
        <v>91666.6666666667</v>
      </c>
      <c r="AS103" s="159" t="n">
        <f aca="false">IF(AND(AS$6&gt;=EOMONTH($H$93,0),AS$6&lt;=EOMONTH(EDATE($H$93,$E$93-1),0)),$G$93/MAX($E$93,1),0)</f>
        <v>0</v>
      </c>
      <c r="AT103" s="159" t="n">
        <f aca="false">IF(AND(AT$6&gt;=EOMONTH($H$93,0),AT$6&lt;=EOMONTH(EDATE($H$93,$E$93-1),0)),$G$93/MAX($E$93,1),0)</f>
        <v>0</v>
      </c>
      <c r="AU103" s="159" t="n">
        <f aca="false">IF(AND(AU$6&gt;=EOMONTH($H$93,0),AU$6&lt;=EOMONTH(EDATE($H$93,$E$93-1),0)),$G$93/MAX($E$93,1),0)</f>
        <v>0</v>
      </c>
      <c r="AV103" s="159" t="n">
        <f aca="false">IF(AND(AV$6&gt;=EOMONTH($H$93,0),AV$6&lt;=EOMONTH(EDATE($H$93,$E$93-1),0)),$G$93/MAX($E$93,1),0)</f>
        <v>0</v>
      </c>
      <c r="AW103" s="159" t="n">
        <f aca="false">IF(AND(AW$6&gt;=EOMONTH($H$93,0),AW$6&lt;=EOMONTH(EDATE($H$93,$E$93-1),0)),$G$93/MAX($E$93,1),0)</f>
        <v>0</v>
      </c>
      <c r="AX103" s="159" t="n">
        <f aca="false">IF(AND(AX$6&gt;=EOMONTH($H$93,0),AX$6&lt;=EOMONTH(EDATE($H$93,$E$93-1),0)),$G$93/MAX($E$93,1),0)</f>
        <v>0</v>
      </c>
      <c r="AY103" s="159" t="n">
        <f aca="false">IF(AND(AY$6&gt;=EOMONTH($H$93,0),AY$6&lt;=EOMONTH(EDATE($H$93,$E$93-1),0)),$G$93/MAX($E$93,1),0)</f>
        <v>0</v>
      </c>
      <c r="AZ103" s="159" t="n">
        <f aca="false">IF(AND(AZ$6&gt;=EOMONTH($H$93,0),AZ$6&lt;=EOMONTH(EDATE($H$93,$E$93-1),0)),$G$93/MAX($E$93,1),0)</f>
        <v>0</v>
      </c>
      <c r="BA103" s="159" t="n">
        <f aca="false">IF(AND(BA$6&gt;=EOMONTH($H$93,0),BA$6&lt;=EOMONTH(EDATE($H$93,$E$93-1),0)),$G$93/MAX($E$93,1),0)</f>
        <v>0</v>
      </c>
      <c r="BB103" s="159" t="n">
        <f aca="false">IF(AND(BB$6&gt;=EOMONTH($H$93,0),BB$6&lt;=EOMONTH(EDATE($H$93,$E$93-1),0)),$G$93/MAX($E$93,1),0)</f>
        <v>0</v>
      </c>
      <c r="BC103" s="159" t="n">
        <f aca="false">IF(AND(BC$6&gt;=EOMONTH($H$93,0),BC$6&lt;=EOMONTH(EDATE($H$93,$E$93-1),0)),$G$93/MAX($E$93,1),0)</f>
        <v>0</v>
      </c>
      <c r="BD103" s="159" t="n">
        <f aca="false">IF(AND(BD$6&gt;=EOMONTH($H$93,0),BD$6&lt;=EOMONTH(EDATE($H$93,$E$93-1),0)),$G$93/MAX($E$93,1),0)</f>
        <v>0</v>
      </c>
      <c r="BE103" s="159" t="n">
        <f aca="false">IF(AND(BE$6&gt;=EOMONTH($H$93,0),BE$6&lt;=EOMONTH(EDATE($H$93,$E$93-1),0)),$G$93/MAX($E$93,1),0)</f>
        <v>0</v>
      </c>
      <c r="BF103" s="159" t="n">
        <f aca="false">IF(AND(BF$6&gt;=EOMONTH($H$93,0),BF$6&lt;=EOMONTH(EDATE($H$93,$E$93-1),0)),$G$93/MAX($E$93,1),0)</f>
        <v>0</v>
      </c>
      <c r="BG103" s="159" t="n">
        <f aca="false">IF(AND(BG$6&gt;=EOMONTH($H$93,0),BG$6&lt;=EOMONTH(EDATE($H$93,$E$93-1),0)),$G$93/MAX($E$93,1),0)</f>
        <v>0</v>
      </c>
      <c r="BH103" s="159" t="n">
        <f aca="false">IF(AND(BH$6&gt;=EOMONTH($H$93,0),BH$6&lt;=EOMONTH(EDATE($H$93,$E$93-1),0)),$G$93/MAX($E$93,1),0)</f>
        <v>0</v>
      </c>
      <c r="BI103" s="159" t="n">
        <f aca="false">IF(AND(BI$6&gt;=EOMONTH($H$93,0),BI$6&lt;=EOMONTH(EDATE($H$93,$E$93-1),0)),$G$93/MAX($E$93,1),0)</f>
        <v>0</v>
      </c>
      <c r="BJ103" s="159" t="n">
        <f aca="false">IF(AND(BJ$6&gt;=EOMONTH($H$93,0),BJ$6&lt;=EOMONTH(EDATE($H$93,$E$93-1),0)),$G$93/MAX($E$93,1),0)</f>
        <v>0</v>
      </c>
      <c r="BK103" s="159" t="n">
        <f aca="false">IF(AND(BK$6&gt;=EOMONTH($H$93,0),BK$6&lt;=EOMONTH(EDATE($H$93,$E$93-1),0)),$G$93/MAX($E$93,1),0)</f>
        <v>0</v>
      </c>
      <c r="BL103" s="159" t="n">
        <f aca="false">IF(AND(BL$6&gt;=EOMONTH($H$93,0),BL$6&lt;=EOMONTH(EDATE($H$93,$E$93-1),0)),$G$93/MAX($E$93,1),0)</f>
        <v>0</v>
      </c>
      <c r="BM103" s="159" t="n">
        <f aca="false">IF(AND(BM$6&gt;=EOMONTH($H$93,0),BM$6&lt;=EOMONTH(EDATE($H$93,$E$93-1),0)),$G$93/MAX($E$93,1),0)</f>
        <v>0</v>
      </c>
      <c r="BN103" s="159" t="n">
        <f aca="false">IF(AND(BN$6&gt;=EOMONTH($H$93,0),BN$6&lt;=EOMONTH(EDATE($H$93,$E$93-1),0)),$G$93/MAX($E$93,1),0)</f>
        <v>0</v>
      </c>
      <c r="BO103" s="159" t="n">
        <f aca="false">IF(AND(BO$6&gt;=EOMONTH($H$93,0),BO$6&lt;=EOMONTH(EDATE($H$93,$E$93-1),0)),$G$93/MAX($E$93,1),0)</f>
        <v>0</v>
      </c>
      <c r="BP103" s="159" t="n">
        <f aca="false">IF(AND(BP$6&gt;=EOMONTH($H$93,0),BP$6&lt;=EOMONTH(EDATE($H$93,$E$93-1),0)),$G$93/MAX($E$93,1),0)</f>
        <v>0</v>
      </c>
      <c r="BQ103" s="159" t="n">
        <f aca="false">IF(AND(BQ$6&gt;=EOMONTH($H$93,0),BQ$6&lt;=EOMONTH(EDATE($H$93,$E$93-1),0)),$G$93/MAX($E$93,1),0)</f>
        <v>0</v>
      </c>
      <c r="BR103" s="159" t="n">
        <f aca="false">IF(AND(BR$6&gt;=EOMONTH($H$93,0),BR$6&lt;=EOMONTH(EDATE($H$93,$E$93-1),0)),$G$93/MAX($E$93,1),0)</f>
        <v>0</v>
      </c>
      <c r="BS103" s="159" t="n">
        <f aca="false">IF(AND(BS$6&gt;=EOMONTH($H$93,0),BS$6&lt;=EOMONTH(EDATE($H$93,$E$93-1),0)),$G$93/MAX($E$93,1),0)</f>
        <v>0</v>
      </c>
      <c r="BT103" s="159" t="n">
        <f aca="false">IF(AND(BT$6&gt;=EOMONTH($H$93,0),BT$6&lt;=EOMONTH(EDATE($H$93,$E$93-1),0)),$G$93/MAX($E$93,1),0)</f>
        <v>0</v>
      </c>
      <c r="BU103" s="159" t="n">
        <f aca="false">IF(AND(BU$6&gt;=EOMONTH($H$93,0),BU$6&lt;=EOMONTH(EDATE($H$93,$E$93-1),0)),$G$93/MAX($E$93,1),0)</f>
        <v>0</v>
      </c>
      <c r="BV103" s="159" t="n">
        <f aca="false">IF(AND(BV$6&gt;=EOMONTH($H$93,0),BV$6&lt;=EOMONTH(EDATE($H$93,$E$93-1),0)),$G$93/MAX($E$93,1),0)</f>
        <v>0</v>
      </c>
      <c r="BW103" s="159" t="n">
        <f aca="false">IF(AND(BW$6&gt;=EOMONTH($H$93,0),BW$6&lt;=EOMONTH(EDATE($H$93,$E$93-1),0)),$G$93/MAX($E$93,1),0)</f>
        <v>0</v>
      </c>
      <c r="BX103" s="159" t="n">
        <f aca="false">IF(AND(BX$6&gt;=EOMONTH($H$93,0),BX$6&lt;=EOMONTH(EDATE($H$93,$E$93-1),0)),$G$93/MAX($E$93,1),0)</f>
        <v>0</v>
      </c>
      <c r="BY103" s="159" t="n">
        <f aca="false">IF(AND(BY$6&gt;=EOMONTH($H$93,0),BY$6&lt;=EOMONTH(EDATE($H$93,$E$93-1),0)),$G$93/MAX($E$93,1),0)</f>
        <v>0</v>
      </c>
      <c r="BZ103" s="159" t="n">
        <f aca="false">IF(AND(BZ$6&gt;=EOMONTH($H$93,0),BZ$6&lt;=EOMONTH(EDATE($H$93,$E$93-1),0)),$G$93/MAX($E$93,1),0)</f>
        <v>0</v>
      </c>
      <c r="CA103" s="159" t="n">
        <f aca="false">IF(AND(CA$6&gt;=EOMONTH($H$93,0),CA$6&lt;=EOMONTH(EDATE($H$93,$E$93-1),0)),$G$93/MAX($E$93,1),0)</f>
        <v>0</v>
      </c>
    </row>
    <row r="104" customFormat="false" ht="15" hidden="false" customHeight="false" outlineLevel="0" collapsed="false">
      <c r="B104" s="196" t="s">
        <v>555</v>
      </c>
      <c r="T104" s="159" t="n">
        <f aca="false">IF(AND(T$6&gt;=EOMONTH($H$94,0),T$6&lt;=EOMONTH(EDATE($H$94,$E$94-1),0)),$G$94/MAX($E$94,1),0)</f>
        <v>0</v>
      </c>
      <c r="U104" s="159" t="n">
        <f aca="false">IF(AND(U$6&gt;=EOMONTH($H$94,0),U$6&lt;=EOMONTH(EDATE($H$94,$E$94-1),0)),$G$94/MAX($E$94,1),0)</f>
        <v>0</v>
      </c>
      <c r="V104" s="159" t="n">
        <f aca="false">IF(AND(V$6&gt;=EOMONTH($H$94,0),V$6&lt;=EOMONTH(EDATE($H$94,$E$94-1),0)),$G$94/MAX($E$94,1),0)</f>
        <v>0</v>
      </c>
      <c r="W104" s="159" t="n">
        <f aca="false">IF(AND(W$6&gt;=EOMONTH($H$94,0),W$6&lt;=EOMONTH(EDATE($H$94,$E$94-1),0)),$G$94/MAX($E$94,1),0)</f>
        <v>0</v>
      </c>
      <c r="X104" s="159" t="n">
        <f aca="false">IF(AND(X$6&gt;=EOMONTH($H$94,0),X$6&lt;=EOMONTH(EDATE($H$94,$E$94-1),0)),$G$94/MAX($E$94,1),0)</f>
        <v>0</v>
      </c>
      <c r="Y104" s="159" t="n">
        <f aca="false">IF(AND(Y$6&gt;=EOMONTH($H$94,0),Y$6&lt;=EOMONTH(EDATE($H$94,$E$94-1),0)),$G$94/MAX($E$94,1),0)</f>
        <v>0</v>
      </c>
      <c r="Z104" s="159" t="n">
        <f aca="false">IF(AND(Z$6&gt;=EOMONTH($H$94,0),Z$6&lt;=EOMONTH(EDATE($H$94,$E$94-1),0)),$G$94/MAX($E$94,1),0)</f>
        <v>0</v>
      </c>
      <c r="AA104" s="159" t="n">
        <f aca="false">IF(AND(AA$6&gt;=EOMONTH($H$94,0),AA$6&lt;=EOMONTH(EDATE($H$94,$E$94-1),0)),$G$94/MAX($E$94,1),0)</f>
        <v>0</v>
      </c>
      <c r="AB104" s="159" t="n">
        <f aca="false">IF(AND(AB$6&gt;=EOMONTH($H$94,0),AB$6&lt;=EOMONTH(EDATE($H$94,$E$94-1),0)),$G$94/MAX($E$94,1),0)</f>
        <v>0</v>
      </c>
      <c r="AC104" s="159" t="n">
        <f aca="false">IF(AND(AC$6&gt;=EOMONTH($H$94,0),AC$6&lt;=EOMONTH(EDATE($H$94,$E$94-1),0)),$G$94/MAX($E$94,1),0)</f>
        <v>0</v>
      </c>
      <c r="AD104" s="159" t="n">
        <f aca="false">IF(AND(AD$6&gt;=EOMONTH($H$94,0),AD$6&lt;=EOMONTH(EDATE($H$94,$E$94-1),0)),$G$94/MAX($E$94,1),0)</f>
        <v>0</v>
      </c>
      <c r="AE104" s="159" t="n">
        <f aca="false">IF(AND(AE$6&gt;=EOMONTH($H$94,0),AE$6&lt;=EOMONTH(EDATE($H$94,$E$94-1),0)),$G$94/MAX($E$94,1),0)</f>
        <v>0</v>
      </c>
      <c r="AF104" s="159" t="n">
        <f aca="false">IF(AND(AF$6&gt;=EOMONTH($H$94,0),AF$6&lt;=EOMONTH(EDATE($H$94,$E$94-1),0)),$G$94/MAX($E$94,1),0)</f>
        <v>0</v>
      </c>
      <c r="AG104" s="159" t="n">
        <f aca="false">IF(AND(AG$6&gt;=EOMONTH($H$94,0),AG$6&lt;=EOMONTH(EDATE($H$94,$E$94-1),0)),$G$94/MAX($E$94,1),0)</f>
        <v>0</v>
      </c>
      <c r="AH104" s="159" t="n">
        <f aca="false">IF(AND(AH$6&gt;=EOMONTH($H$94,0),AH$6&lt;=EOMONTH(EDATE($H$94,$E$94-1),0)),$G$94/MAX($E$94,1),0)</f>
        <v>0</v>
      </c>
      <c r="AI104" s="159" t="n">
        <f aca="false">IF(AND(AI$6&gt;=EOMONTH($H$94,0),AI$6&lt;=EOMONTH(EDATE($H$94,$E$94-1),0)),$G$94/MAX($E$94,1),0)</f>
        <v>0</v>
      </c>
      <c r="AJ104" s="159" t="n">
        <f aca="false">IF(AND(AJ$6&gt;=EOMONTH($H$94,0),AJ$6&lt;=EOMONTH(EDATE($H$94,$E$94-1),0)),$G$94/MAX($E$94,1),0)</f>
        <v>0</v>
      </c>
      <c r="AK104" s="159" t="n">
        <f aca="false">IF(AND(AK$6&gt;=EOMONTH($H$94,0),AK$6&lt;=EOMONTH(EDATE($H$94,$E$94-1),0)),$G$94/MAX($E$94,1),0)</f>
        <v>0</v>
      </c>
      <c r="AL104" s="159" t="n">
        <f aca="false">IF(AND(AL$6&gt;=EOMONTH($H$94,0),AL$6&lt;=EOMONTH(EDATE($H$94,$E$94-1),0)),$G$94/MAX($E$94,1),0)</f>
        <v>0</v>
      </c>
      <c r="AM104" s="159" t="n">
        <f aca="false">IF(AND(AM$6&gt;=EOMONTH($H$94,0),AM$6&lt;=EOMONTH(EDATE($H$94,$E$94-1),0)),$G$94/MAX($E$94,1),0)</f>
        <v>0</v>
      </c>
      <c r="AN104" s="159" t="n">
        <f aca="false">IF(AND(AN$6&gt;=EOMONTH($H$94,0),AN$6&lt;=EOMONTH(EDATE($H$94,$E$94-1),0)),$G$94/MAX($E$94,1),0)</f>
        <v>0</v>
      </c>
      <c r="AO104" s="159" t="n">
        <f aca="false">IF(AND(AO$6&gt;=EOMONTH($H$94,0),AO$6&lt;=EOMONTH(EDATE($H$94,$E$94-1),0)),$G$94/MAX($E$94,1),0)</f>
        <v>0</v>
      </c>
      <c r="AP104" s="159" t="n">
        <f aca="false">IF(AND(AP$6&gt;=EOMONTH($H$94,0),AP$6&lt;=EOMONTH(EDATE($H$94,$E$94-1),0)),$G$94/MAX($E$94,1),0)</f>
        <v>0</v>
      </c>
      <c r="AQ104" s="159" t="n">
        <f aca="false">IF(AND(AQ$6&gt;=EOMONTH($H$94,0),AQ$6&lt;=EOMONTH(EDATE($H$94,$E$94-1),0)),$G$94/MAX($E$94,1),0)</f>
        <v>0</v>
      </c>
      <c r="AR104" s="159" t="n">
        <f aca="false">IF(AND(AR$6&gt;=EOMONTH($H$94,0),AR$6&lt;=EOMONTH(EDATE($H$94,$E$94-1),0)),$G$94/MAX($E$94,1),0)</f>
        <v>0</v>
      </c>
      <c r="AS104" s="159" t="n">
        <f aca="false">IF(AND(AS$6&gt;=EOMONTH($H$94,0),AS$6&lt;=EOMONTH(EDATE($H$94,$E$94-1),0)),$G$94/MAX($E$94,1),0)</f>
        <v>0</v>
      </c>
      <c r="AT104" s="159" t="n">
        <f aca="false">IF(AND(AT$6&gt;=EOMONTH($H$94,0),AT$6&lt;=EOMONTH(EDATE($H$94,$E$94-1),0)),$G$94/MAX($E$94,1),0)</f>
        <v>0</v>
      </c>
      <c r="AU104" s="159" t="n">
        <f aca="false">IF(AND(AU$6&gt;=EOMONTH($H$94,0),AU$6&lt;=EOMONTH(EDATE($H$94,$E$94-1),0)),$G$94/MAX($E$94,1),0)</f>
        <v>0</v>
      </c>
      <c r="AV104" s="159" t="n">
        <f aca="false">IF(AND(AV$6&gt;=EOMONTH($H$94,0),AV$6&lt;=EOMONTH(EDATE($H$94,$E$94-1),0)),$G$94/MAX($E$94,1),0)</f>
        <v>0</v>
      </c>
      <c r="AW104" s="159" t="n">
        <f aca="false">IF(AND(AW$6&gt;=EOMONTH($H$94,0),AW$6&lt;=EOMONTH(EDATE($H$94,$E$94-1),0)),$G$94/MAX($E$94,1),0)</f>
        <v>0</v>
      </c>
      <c r="AX104" s="159" t="n">
        <f aca="false">IF(AND(AX$6&gt;=EOMONTH($H$94,0),AX$6&lt;=EOMONTH(EDATE($H$94,$E$94-1),0)),$G$94/MAX($E$94,1),0)</f>
        <v>0</v>
      </c>
      <c r="AY104" s="159" t="n">
        <f aca="false">IF(AND(AY$6&gt;=EOMONTH($H$94,0),AY$6&lt;=EOMONTH(EDATE($H$94,$E$94-1),0)),$G$94/MAX($E$94,1),0)</f>
        <v>0</v>
      </c>
      <c r="AZ104" s="159" t="n">
        <f aca="false">IF(AND(AZ$6&gt;=EOMONTH($H$94,0),AZ$6&lt;=EOMONTH(EDATE($H$94,$E$94-1),0)),$G$94/MAX($E$94,1),0)</f>
        <v>0</v>
      </c>
      <c r="BA104" s="159" t="n">
        <f aca="false">IF(AND(BA$6&gt;=EOMONTH($H$94,0),BA$6&lt;=EOMONTH(EDATE($H$94,$E$94-1),0)),$G$94/MAX($E$94,1),0)</f>
        <v>0</v>
      </c>
      <c r="BB104" s="159" t="n">
        <f aca="false">IF(AND(BB$6&gt;=EOMONTH($H$94,0),BB$6&lt;=EOMONTH(EDATE($H$94,$E$94-1),0)),$G$94/MAX($E$94,1),0)</f>
        <v>0</v>
      </c>
      <c r="BC104" s="159" t="n">
        <f aca="false">IF(AND(BC$6&gt;=EOMONTH($H$94,0),BC$6&lt;=EOMONTH(EDATE($H$94,$E$94-1),0)),$G$94/MAX($E$94,1),0)</f>
        <v>0</v>
      </c>
      <c r="BD104" s="159" t="n">
        <f aca="false">IF(AND(BD$6&gt;=EOMONTH($H$94,0),BD$6&lt;=EOMONTH(EDATE($H$94,$E$94-1),0)),$G$94/MAX($E$94,1),0)</f>
        <v>0</v>
      </c>
      <c r="BE104" s="159" t="n">
        <f aca="false">IF(AND(BE$6&gt;=EOMONTH($H$94,0),BE$6&lt;=EOMONTH(EDATE($H$94,$E$94-1),0)),$G$94/MAX($E$94,1),0)</f>
        <v>0</v>
      </c>
      <c r="BF104" s="159" t="n">
        <f aca="false">IF(AND(BF$6&gt;=EOMONTH($H$94,0),BF$6&lt;=EOMONTH(EDATE($H$94,$E$94-1),0)),$G$94/MAX($E$94,1),0)</f>
        <v>0</v>
      </c>
      <c r="BG104" s="159" t="n">
        <f aca="false">IF(AND(BG$6&gt;=EOMONTH($H$94,0),BG$6&lt;=EOMONTH(EDATE($H$94,$E$94-1),0)),$G$94/MAX($E$94,1),0)</f>
        <v>0</v>
      </c>
      <c r="BH104" s="159" t="n">
        <f aca="false">IF(AND(BH$6&gt;=EOMONTH($H$94,0),BH$6&lt;=EOMONTH(EDATE($H$94,$E$94-1),0)),$G$94/MAX($E$94,1),0)</f>
        <v>0</v>
      </c>
      <c r="BI104" s="159" t="n">
        <f aca="false">IF(AND(BI$6&gt;=EOMONTH($H$94,0),BI$6&lt;=EOMONTH(EDATE($H$94,$E$94-1),0)),$G$94/MAX($E$94,1),0)</f>
        <v>0</v>
      </c>
      <c r="BJ104" s="159" t="n">
        <f aca="false">IF(AND(BJ$6&gt;=EOMONTH($H$94,0),BJ$6&lt;=EOMONTH(EDATE($H$94,$E$94-1),0)),$G$94/MAX($E$94,1),0)</f>
        <v>0</v>
      </c>
      <c r="BK104" s="159" t="n">
        <f aca="false">IF(AND(BK$6&gt;=EOMONTH($H$94,0),BK$6&lt;=EOMONTH(EDATE($H$94,$E$94-1),0)),$G$94/MAX($E$94,1),0)</f>
        <v>0</v>
      </c>
      <c r="BL104" s="159" t="n">
        <f aca="false">IF(AND(BL$6&gt;=EOMONTH($H$94,0),BL$6&lt;=EOMONTH(EDATE($H$94,$E$94-1),0)),$G$94/MAX($E$94,1),0)</f>
        <v>0</v>
      </c>
      <c r="BM104" s="159" t="n">
        <f aca="false">IF(AND(BM$6&gt;=EOMONTH($H$94,0),BM$6&lt;=EOMONTH(EDATE($H$94,$E$94-1),0)),$G$94/MAX($E$94,1),0)</f>
        <v>0</v>
      </c>
      <c r="BN104" s="159" t="n">
        <f aca="false">IF(AND(BN$6&gt;=EOMONTH($H$94,0),BN$6&lt;=EOMONTH(EDATE($H$94,$E$94-1),0)),$G$94/MAX($E$94,1),0)</f>
        <v>0</v>
      </c>
      <c r="BO104" s="159" t="n">
        <f aca="false">IF(AND(BO$6&gt;=EOMONTH($H$94,0),BO$6&lt;=EOMONTH(EDATE($H$94,$E$94-1),0)),$G$94/MAX($E$94,1),0)</f>
        <v>0</v>
      </c>
      <c r="BP104" s="159" t="n">
        <f aca="false">IF(AND(BP$6&gt;=EOMONTH($H$94,0),BP$6&lt;=EOMONTH(EDATE($H$94,$E$94-1),0)),$G$94/MAX($E$94,1),0)</f>
        <v>0</v>
      </c>
      <c r="BQ104" s="159" t="n">
        <f aca="false">IF(AND(BQ$6&gt;=EOMONTH($H$94,0),BQ$6&lt;=EOMONTH(EDATE($H$94,$E$94-1),0)),$G$94/MAX($E$94,1),0)</f>
        <v>0</v>
      </c>
      <c r="BR104" s="159" t="n">
        <f aca="false">IF(AND(BR$6&gt;=EOMONTH($H$94,0),BR$6&lt;=EOMONTH(EDATE($H$94,$E$94-1),0)),$G$94/MAX($E$94,1),0)</f>
        <v>0</v>
      </c>
      <c r="BS104" s="159" t="n">
        <f aca="false">IF(AND(BS$6&gt;=EOMONTH($H$94,0),BS$6&lt;=EOMONTH(EDATE($H$94,$E$94-1),0)),$G$94/MAX($E$94,1),0)</f>
        <v>0</v>
      </c>
      <c r="BT104" s="159" t="n">
        <f aca="false">IF(AND(BT$6&gt;=EOMONTH($H$94,0),BT$6&lt;=EOMONTH(EDATE($H$94,$E$94-1),0)),$G$94/MAX($E$94,1),0)</f>
        <v>0</v>
      </c>
      <c r="BU104" s="159" t="n">
        <f aca="false">IF(AND(BU$6&gt;=EOMONTH($H$94,0),BU$6&lt;=EOMONTH(EDATE($H$94,$E$94-1),0)),$G$94/MAX($E$94,1),0)</f>
        <v>0</v>
      </c>
      <c r="BV104" s="159" t="n">
        <f aca="false">IF(AND(BV$6&gt;=EOMONTH($H$94,0),BV$6&lt;=EOMONTH(EDATE($H$94,$E$94-1),0)),$G$94/MAX($E$94,1),0)</f>
        <v>0</v>
      </c>
      <c r="BW104" s="159" t="n">
        <f aca="false">IF(AND(BW$6&gt;=EOMONTH($H$94,0),BW$6&lt;=EOMONTH(EDATE($H$94,$E$94-1),0)),$G$94/MAX($E$94,1),0)</f>
        <v>0</v>
      </c>
      <c r="BX104" s="159" t="n">
        <f aca="false">IF(AND(BX$6&gt;=EOMONTH($H$94,0),BX$6&lt;=EOMONTH(EDATE($H$94,$E$94-1),0)),$G$94/MAX($E$94,1),0)</f>
        <v>0</v>
      </c>
      <c r="BY104" s="159" t="n">
        <f aca="false">IF(AND(BY$6&gt;=EOMONTH($H$94,0),BY$6&lt;=EOMONTH(EDATE($H$94,$E$94-1),0)),$G$94/MAX($E$94,1),0)</f>
        <v>0</v>
      </c>
      <c r="BZ104" s="159" t="n">
        <f aca="false">IF(AND(BZ$6&gt;=EOMONTH($H$94,0),BZ$6&lt;=EOMONTH(EDATE($H$94,$E$94-1),0)),$G$94/MAX($E$94,1),0)</f>
        <v>0</v>
      </c>
      <c r="CA104" s="159" t="n">
        <f aca="false">IF(AND(CA$6&gt;=EOMONTH($H$94,0),CA$6&lt;=EOMONTH(EDATE($H$94,$E$94-1),0)),$G$94/MAX($E$94,1),0)</f>
        <v>0</v>
      </c>
    </row>
    <row r="105" customFormat="false" ht="15" hidden="false" customHeight="false" outlineLevel="0" collapsed="false">
      <c r="B105" s="3" t="s">
        <v>350</v>
      </c>
      <c r="G105" s="159" t="n">
        <f aca="false">SUM(G84:G87)+SUM(G91:G94)</f>
        <v>3190000</v>
      </c>
    </row>
    <row r="107" customFormat="false" ht="15" hidden="false" customHeight="false" outlineLevel="0" collapsed="false">
      <c r="B107" s="197" t="s">
        <v>351</v>
      </c>
    </row>
    <row r="108" customFormat="false" ht="15" hidden="false" customHeight="false" outlineLevel="0" collapsed="false">
      <c r="B108" s="169" t="s">
        <v>352</v>
      </c>
      <c r="C108" s="169" t="s">
        <v>353</v>
      </c>
      <c r="D108" s="169" t="s">
        <v>354</v>
      </c>
      <c r="E108" s="169" t="s">
        <v>355</v>
      </c>
      <c r="H108" s="169" t="s">
        <v>333</v>
      </c>
      <c r="I108" s="169" t="s">
        <v>222</v>
      </c>
    </row>
    <row r="109" customFormat="false" ht="15" hidden="false" customHeight="false" outlineLevel="0" collapsed="false">
      <c r="B109" s="9" t="s">
        <v>356</v>
      </c>
      <c r="C109" s="194" t="s">
        <v>556</v>
      </c>
      <c r="D109" s="158" t="n">
        <v>180000</v>
      </c>
      <c r="E109" s="156" t="n">
        <v>2</v>
      </c>
      <c r="H109" s="178" t="n">
        <f aca="false">DATE(2027,3,1)</f>
        <v>46447</v>
      </c>
      <c r="I109" s="168" t="n">
        <v>0</v>
      </c>
    </row>
    <row r="110" customFormat="false" ht="15" hidden="false" customHeight="false" outlineLevel="0" collapsed="false">
      <c r="B110" s="9" t="s">
        <v>358</v>
      </c>
      <c r="C110" s="194" t="s">
        <v>557</v>
      </c>
      <c r="D110" s="158" t="n">
        <v>380000</v>
      </c>
      <c r="E110" s="156" t="n">
        <v>6</v>
      </c>
      <c r="H110" s="178" t="n">
        <f aca="false">DATE(2027,3,1)</f>
        <v>46447</v>
      </c>
      <c r="I110" s="168" t="n">
        <v>0</v>
      </c>
    </row>
    <row r="111" customFormat="false" ht="15" hidden="false" customHeight="false" outlineLevel="0" collapsed="false">
      <c r="B111" s="9" t="s">
        <v>360</v>
      </c>
      <c r="C111" s="194" t="s">
        <v>558</v>
      </c>
      <c r="D111" s="158" t="n">
        <v>260000</v>
      </c>
      <c r="E111" s="156" t="n">
        <v>6</v>
      </c>
      <c r="H111" s="178" t="n">
        <f aca="false">DATE(2027,3,1)</f>
        <v>46447</v>
      </c>
      <c r="I111" s="168" t="n">
        <v>0</v>
      </c>
    </row>
    <row r="112" customFormat="false" ht="15" hidden="false" customHeight="false" outlineLevel="0" collapsed="false">
      <c r="B112" s="9" t="s">
        <v>362</v>
      </c>
      <c r="C112" s="194" t="s">
        <v>559</v>
      </c>
      <c r="D112" s="158" t="n">
        <v>120000</v>
      </c>
      <c r="E112" s="156" t="n">
        <v>6</v>
      </c>
      <c r="H112" s="178" t="n">
        <f aca="false">DATE(2027,3,1)</f>
        <v>46447</v>
      </c>
      <c r="I112" s="168" t="n">
        <v>0</v>
      </c>
    </row>
    <row r="113" customFormat="false" ht="15" hidden="false" customHeight="false" outlineLevel="0" collapsed="false">
      <c r="B113" s="9" t="s">
        <v>363</v>
      </c>
      <c r="C113" s="194" t="s">
        <v>464</v>
      </c>
      <c r="D113" s="159" t="n">
        <f aca="false">$D$28*($G$105+$D$109+$D$110+$D$111+$D$112)</f>
        <v>330400</v>
      </c>
      <c r="E113" s="156" t="n">
        <v>16</v>
      </c>
      <c r="H113" s="178" t="n">
        <f aca="false">DATE(2027,1,1)</f>
        <v>46388</v>
      </c>
      <c r="I113" s="168" t="n">
        <v>0</v>
      </c>
    </row>
    <row r="114" customFormat="false" ht="28.35" hidden="false" customHeight="false" outlineLevel="0" collapsed="false">
      <c r="B114" s="9" t="s">
        <v>365</v>
      </c>
      <c r="C114" s="194" t="s">
        <v>560</v>
      </c>
      <c r="D114" s="159" t="n">
        <f aca="false">$D$29*($G$105+$D$109+$D$110+$D$111+$D$112+$D$113)</f>
        <v>446040</v>
      </c>
      <c r="E114" s="156" t="n">
        <v>16</v>
      </c>
      <c r="H114" s="178" t="n">
        <f aca="false">DATE(2027,1,1)</f>
        <v>46388</v>
      </c>
      <c r="I114" s="168" t="n">
        <v>0</v>
      </c>
    </row>
    <row r="115" customFormat="false" ht="15" hidden="false" customHeight="false" outlineLevel="0" collapsed="false">
      <c r="B115" s="9" t="s">
        <v>367</v>
      </c>
      <c r="C115" s="194"/>
      <c r="D115" s="158" t="n">
        <v>0</v>
      </c>
      <c r="E115" s="156" t="n">
        <v>1</v>
      </c>
      <c r="H115" s="178" t="n">
        <f aca="false">DATE(2027,9,1)</f>
        <v>46631</v>
      </c>
      <c r="I115" s="168" t="n">
        <v>0</v>
      </c>
    </row>
    <row r="117" customFormat="false" ht="15" hidden="false" customHeight="false" outlineLevel="0" collapsed="false">
      <c r="B117" s="167" t="s">
        <v>368</v>
      </c>
    </row>
    <row r="118" customFormat="false" ht="15" hidden="false" customHeight="false" outlineLevel="0" collapsed="false">
      <c r="B118" s="196" t="s">
        <v>369</v>
      </c>
      <c r="T118" s="159" t="n">
        <f aca="false">IF(AND(T$6&gt;=EOMONTH($H$109,0),T$6&lt;=EOMONTH(EDATE($H$109,$E$109-1),0)),$D$109/MAX($E$109,1),0)</f>
        <v>0</v>
      </c>
      <c r="U118" s="159" t="n">
        <f aca="false">IF(AND(U$6&gt;=EOMONTH($H$109,0),U$6&lt;=EOMONTH(EDATE($H$109,$E$109-1),0)),$D$109/MAX($E$109,1),0)</f>
        <v>0</v>
      </c>
      <c r="V118" s="159" t="n">
        <f aca="false">IF(AND(V$6&gt;=EOMONTH($H$109,0),V$6&lt;=EOMONTH(EDATE($H$109,$E$109-1),0)),$D$109/MAX($E$109,1),0)</f>
        <v>0</v>
      </c>
      <c r="W118" s="159" t="n">
        <f aca="false">IF(AND(W$6&gt;=EOMONTH($H$109,0),W$6&lt;=EOMONTH(EDATE($H$109,$E$109-1),0)),$D$109/MAX($E$109,1),0)</f>
        <v>0</v>
      </c>
      <c r="X118" s="159" t="n">
        <f aca="false">IF(AND(X$6&gt;=EOMONTH($H$109,0),X$6&lt;=EOMONTH(EDATE($H$109,$E$109-1),0)),$D$109/MAX($E$109,1),0)</f>
        <v>0</v>
      </c>
      <c r="Y118" s="159" t="n">
        <f aca="false">IF(AND(Y$6&gt;=EOMONTH($H$109,0),Y$6&lt;=EOMONTH(EDATE($H$109,$E$109-1),0)),$D$109/MAX($E$109,1),0)</f>
        <v>0</v>
      </c>
      <c r="Z118" s="159" t="n">
        <f aca="false">IF(AND(Z$6&gt;=EOMONTH($H$109,0),Z$6&lt;=EOMONTH(EDATE($H$109,$E$109-1),0)),$D$109/MAX($E$109,1),0)</f>
        <v>0</v>
      </c>
      <c r="AA118" s="159" t="n">
        <f aca="false">IF(AND(AA$6&gt;=EOMONTH($H$109,0),AA$6&lt;=EOMONTH(EDATE($H$109,$E$109-1),0)),$D$109/MAX($E$109,1),0)</f>
        <v>0</v>
      </c>
      <c r="AB118" s="159" t="n">
        <f aca="false">IF(AND(AB$6&gt;=EOMONTH($H$109,0),AB$6&lt;=EOMONTH(EDATE($H$109,$E$109-1),0)),$D$109/MAX($E$109,1),0)</f>
        <v>0</v>
      </c>
      <c r="AC118" s="159" t="n">
        <f aca="false">IF(AND(AC$6&gt;=EOMONTH($H$109,0),AC$6&lt;=EOMONTH(EDATE($H$109,$E$109-1),0)),$D$109/MAX($E$109,1),0)</f>
        <v>0</v>
      </c>
      <c r="AD118" s="159" t="n">
        <f aca="false">IF(AND(AD$6&gt;=EOMONTH($H$109,0),AD$6&lt;=EOMONTH(EDATE($H$109,$E$109-1),0)),$D$109/MAX($E$109,1),0)</f>
        <v>0</v>
      </c>
      <c r="AE118" s="159" t="n">
        <f aca="false">IF(AND(AE$6&gt;=EOMONTH($H$109,0),AE$6&lt;=EOMONTH(EDATE($H$109,$E$109-1),0)),$D$109/MAX($E$109,1),0)</f>
        <v>0</v>
      </c>
      <c r="AF118" s="159" t="n">
        <f aca="false">IF(AND(AF$6&gt;=EOMONTH($H$109,0),AF$6&lt;=EOMONTH(EDATE($H$109,$E$109-1),0)),$D$109/MAX($E$109,1),0)</f>
        <v>0</v>
      </c>
      <c r="AG118" s="159" t="n">
        <f aca="false">IF(AND(AG$6&gt;=EOMONTH($H$109,0),AG$6&lt;=EOMONTH(EDATE($H$109,$E$109-1),0)),$D$109/MAX($E$109,1),0)</f>
        <v>0</v>
      </c>
      <c r="AH118" s="159" t="n">
        <f aca="false">IF(AND(AH$6&gt;=EOMONTH($H$109,0),AH$6&lt;=EOMONTH(EDATE($H$109,$E$109-1),0)),$D$109/MAX($E$109,1),0)</f>
        <v>90000</v>
      </c>
      <c r="AI118" s="159" t="n">
        <f aca="false">IF(AND(AI$6&gt;=EOMONTH($H$109,0),AI$6&lt;=EOMONTH(EDATE($H$109,$E$109-1),0)),$D$109/MAX($E$109,1),0)</f>
        <v>90000</v>
      </c>
      <c r="AJ118" s="159" t="n">
        <f aca="false">IF(AND(AJ$6&gt;=EOMONTH($H$109,0),AJ$6&lt;=EOMONTH(EDATE($H$109,$E$109-1),0)),$D$109/MAX($E$109,1),0)</f>
        <v>0</v>
      </c>
      <c r="AK118" s="159" t="n">
        <f aca="false">IF(AND(AK$6&gt;=EOMONTH($H$109,0),AK$6&lt;=EOMONTH(EDATE($H$109,$E$109-1),0)),$D$109/MAX($E$109,1),0)</f>
        <v>0</v>
      </c>
      <c r="AL118" s="159" t="n">
        <f aca="false">IF(AND(AL$6&gt;=EOMONTH($H$109,0),AL$6&lt;=EOMONTH(EDATE($H$109,$E$109-1),0)),$D$109/MAX($E$109,1),0)</f>
        <v>0</v>
      </c>
      <c r="AM118" s="159" t="n">
        <f aca="false">IF(AND(AM$6&gt;=EOMONTH($H$109,0),AM$6&lt;=EOMONTH(EDATE($H$109,$E$109-1),0)),$D$109/MAX($E$109,1),0)</f>
        <v>0</v>
      </c>
      <c r="AN118" s="159" t="n">
        <f aca="false">IF(AND(AN$6&gt;=EOMONTH($H$109,0),AN$6&lt;=EOMONTH(EDATE($H$109,$E$109-1),0)),$D$109/MAX($E$109,1),0)</f>
        <v>0</v>
      </c>
      <c r="AO118" s="159" t="n">
        <f aca="false">IF(AND(AO$6&gt;=EOMONTH($H$109,0),AO$6&lt;=EOMONTH(EDATE($H$109,$E$109-1),0)),$D$109/MAX($E$109,1),0)</f>
        <v>0</v>
      </c>
      <c r="AP118" s="159" t="n">
        <f aca="false">IF(AND(AP$6&gt;=EOMONTH($H$109,0),AP$6&lt;=EOMONTH(EDATE($H$109,$E$109-1),0)),$D$109/MAX($E$109,1),0)</f>
        <v>0</v>
      </c>
      <c r="AQ118" s="159" t="n">
        <f aca="false">IF(AND(AQ$6&gt;=EOMONTH($H$109,0),AQ$6&lt;=EOMONTH(EDATE($H$109,$E$109-1),0)),$D$109/MAX($E$109,1),0)</f>
        <v>0</v>
      </c>
      <c r="AR118" s="159" t="n">
        <f aca="false">IF(AND(AR$6&gt;=EOMONTH($H$109,0),AR$6&lt;=EOMONTH(EDATE($H$109,$E$109-1),0)),$D$109/MAX($E$109,1),0)</f>
        <v>0</v>
      </c>
      <c r="AS118" s="159" t="n">
        <f aca="false">IF(AND(AS$6&gt;=EOMONTH($H$109,0),AS$6&lt;=EOMONTH(EDATE($H$109,$E$109-1),0)),$D$109/MAX($E$109,1),0)</f>
        <v>0</v>
      </c>
      <c r="AT118" s="159" t="n">
        <f aca="false">IF(AND(AT$6&gt;=EOMONTH($H$109,0),AT$6&lt;=EOMONTH(EDATE($H$109,$E$109-1),0)),$D$109/MAX($E$109,1),0)</f>
        <v>0</v>
      </c>
      <c r="AU118" s="159" t="n">
        <f aca="false">IF(AND(AU$6&gt;=EOMONTH($H$109,0),AU$6&lt;=EOMONTH(EDATE($H$109,$E$109-1),0)),$D$109/MAX($E$109,1),0)</f>
        <v>0</v>
      </c>
      <c r="AV118" s="159" t="n">
        <f aca="false">IF(AND(AV$6&gt;=EOMONTH($H$109,0),AV$6&lt;=EOMONTH(EDATE($H$109,$E$109-1),0)),$D$109/MAX($E$109,1),0)</f>
        <v>0</v>
      </c>
      <c r="AW118" s="159" t="n">
        <f aca="false">IF(AND(AW$6&gt;=EOMONTH($H$109,0),AW$6&lt;=EOMONTH(EDATE($H$109,$E$109-1),0)),$D$109/MAX($E$109,1),0)</f>
        <v>0</v>
      </c>
      <c r="AX118" s="159" t="n">
        <f aca="false">IF(AND(AX$6&gt;=EOMONTH($H$109,0),AX$6&lt;=EOMONTH(EDATE($H$109,$E$109-1),0)),$D$109/MAX($E$109,1),0)</f>
        <v>0</v>
      </c>
      <c r="AY118" s="159" t="n">
        <f aca="false">IF(AND(AY$6&gt;=EOMONTH($H$109,0),AY$6&lt;=EOMONTH(EDATE($H$109,$E$109-1),0)),$D$109/MAX($E$109,1),0)</f>
        <v>0</v>
      </c>
      <c r="AZ118" s="159" t="n">
        <f aca="false">IF(AND(AZ$6&gt;=EOMONTH($H$109,0),AZ$6&lt;=EOMONTH(EDATE($H$109,$E$109-1),0)),$D$109/MAX($E$109,1),0)</f>
        <v>0</v>
      </c>
      <c r="BA118" s="159" t="n">
        <f aca="false">IF(AND(BA$6&gt;=EOMONTH($H$109,0),BA$6&lt;=EOMONTH(EDATE($H$109,$E$109-1),0)),$D$109/MAX($E$109,1),0)</f>
        <v>0</v>
      </c>
      <c r="BB118" s="159" t="n">
        <f aca="false">IF(AND(BB$6&gt;=EOMONTH($H$109,0),BB$6&lt;=EOMONTH(EDATE($H$109,$E$109-1),0)),$D$109/MAX($E$109,1),0)</f>
        <v>0</v>
      </c>
      <c r="BC118" s="159" t="n">
        <f aca="false">IF(AND(BC$6&gt;=EOMONTH($H$109,0),BC$6&lt;=EOMONTH(EDATE($H$109,$E$109-1),0)),$D$109/MAX($E$109,1),0)</f>
        <v>0</v>
      </c>
      <c r="BD118" s="159" t="n">
        <f aca="false">IF(AND(BD$6&gt;=EOMONTH($H$109,0),BD$6&lt;=EOMONTH(EDATE($H$109,$E$109-1),0)),$D$109/MAX($E$109,1),0)</f>
        <v>0</v>
      </c>
      <c r="BE118" s="159" t="n">
        <f aca="false">IF(AND(BE$6&gt;=EOMONTH($H$109,0),BE$6&lt;=EOMONTH(EDATE($H$109,$E$109-1),0)),$D$109/MAX($E$109,1),0)</f>
        <v>0</v>
      </c>
      <c r="BF118" s="159" t="n">
        <f aca="false">IF(AND(BF$6&gt;=EOMONTH($H$109,0),BF$6&lt;=EOMONTH(EDATE($H$109,$E$109-1),0)),$D$109/MAX($E$109,1),0)</f>
        <v>0</v>
      </c>
      <c r="BG118" s="159" t="n">
        <f aca="false">IF(AND(BG$6&gt;=EOMONTH($H$109,0),BG$6&lt;=EOMONTH(EDATE($H$109,$E$109-1),0)),$D$109/MAX($E$109,1),0)</f>
        <v>0</v>
      </c>
      <c r="BH118" s="159" t="n">
        <f aca="false">IF(AND(BH$6&gt;=EOMONTH($H$109,0),BH$6&lt;=EOMONTH(EDATE($H$109,$E$109-1),0)),$D$109/MAX($E$109,1),0)</f>
        <v>0</v>
      </c>
      <c r="BI118" s="159" t="n">
        <f aca="false">IF(AND(BI$6&gt;=EOMONTH($H$109,0),BI$6&lt;=EOMONTH(EDATE($H$109,$E$109-1),0)),$D$109/MAX($E$109,1),0)</f>
        <v>0</v>
      </c>
      <c r="BJ118" s="159" t="n">
        <f aca="false">IF(AND(BJ$6&gt;=EOMONTH($H$109,0),BJ$6&lt;=EOMONTH(EDATE($H$109,$E$109-1),0)),$D$109/MAX($E$109,1),0)</f>
        <v>0</v>
      </c>
      <c r="BK118" s="159" t="n">
        <f aca="false">IF(AND(BK$6&gt;=EOMONTH($H$109,0),BK$6&lt;=EOMONTH(EDATE($H$109,$E$109-1),0)),$D$109/MAX($E$109,1),0)</f>
        <v>0</v>
      </c>
      <c r="BL118" s="159" t="n">
        <f aca="false">IF(AND(BL$6&gt;=EOMONTH($H$109,0),BL$6&lt;=EOMONTH(EDATE($H$109,$E$109-1),0)),$D$109/MAX($E$109,1),0)</f>
        <v>0</v>
      </c>
      <c r="BM118" s="159" t="n">
        <f aca="false">IF(AND(BM$6&gt;=EOMONTH($H$109,0),BM$6&lt;=EOMONTH(EDATE($H$109,$E$109-1),0)),$D$109/MAX($E$109,1),0)</f>
        <v>0</v>
      </c>
      <c r="BN118" s="159" t="n">
        <f aca="false">IF(AND(BN$6&gt;=EOMONTH($H$109,0),BN$6&lt;=EOMONTH(EDATE($H$109,$E$109-1),0)),$D$109/MAX($E$109,1),0)</f>
        <v>0</v>
      </c>
      <c r="BO118" s="159" t="n">
        <f aca="false">IF(AND(BO$6&gt;=EOMONTH($H$109,0),BO$6&lt;=EOMONTH(EDATE($H$109,$E$109-1),0)),$D$109/MAX($E$109,1),0)</f>
        <v>0</v>
      </c>
      <c r="BP118" s="159" t="n">
        <f aca="false">IF(AND(BP$6&gt;=EOMONTH($H$109,0),BP$6&lt;=EOMONTH(EDATE($H$109,$E$109-1),0)),$D$109/MAX($E$109,1),0)</f>
        <v>0</v>
      </c>
      <c r="BQ118" s="159" t="n">
        <f aca="false">IF(AND(BQ$6&gt;=EOMONTH($H$109,0),BQ$6&lt;=EOMONTH(EDATE($H$109,$E$109-1),0)),$D$109/MAX($E$109,1),0)</f>
        <v>0</v>
      </c>
      <c r="BR118" s="159" t="n">
        <f aca="false">IF(AND(BR$6&gt;=EOMONTH($H$109,0),BR$6&lt;=EOMONTH(EDATE($H$109,$E$109-1),0)),$D$109/MAX($E$109,1),0)</f>
        <v>0</v>
      </c>
      <c r="BS118" s="159" t="n">
        <f aca="false">IF(AND(BS$6&gt;=EOMONTH($H$109,0),BS$6&lt;=EOMONTH(EDATE($H$109,$E$109-1),0)),$D$109/MAX($E$109,1),0)</f>
        <v>0</v>
      </c>
      <c r="BT118" s="159" t="n">
        <f aca="false">IF(AND(BT$6&gt;=EOMONTH($H$109,0),BT$6&lt;=EOMONTH(EDATE($H$109,$E$109-1),0)),$D$109/MAX($E$109,1),0)</f>
        <v>0</v>
      </c>
      <c r="BU118" s="159" t="n">
        <f aca="false">IF(AND(BU$6&gt;=EOMONTH($H$109,0),BU$6&lt;=EOMONTH(EDATE($H$109,$E$109-1),0)),$D$109/MAX($E$109,1),0)</f>
        <v>0</v>
      </c>
      <c r="BV118" s="159" t="n">
        <f aca="false">IF(AND(BV$6&gt;=EOMONTH($H$109,0),BV$6&lt;=EOMONTH(EDATE($H$109,$E$109-1),0)),$D$109/MAX($E$109,1),0)</f>
        <v>0</v>
      </c>
      <c r="BW118" s="159" t="n">
        <f aca="false">IF(AND(BW$6&gt;=EOMONTH($H$109,0),BW$6&lt;=EOMONTH(EDATE($H$109,$E$109-1),0)),$D$109/MAX($E$109,1),0)</f>
        <v>0</v>
      </c>
      <c r="BX118" s="159" t="n">
        <f aca="false">IF(AND(BX$6&gt;=EOMONTH($H$109,0),BX$6&lt;=EOMONTH(EDATE($H$109,$E$109-1),0)),$D$109/MAX($E$109,1),0)</f>
        <v>0</v>
      </c>
      <c r="BY118" s="159" t="n">
        <f aca="false">IF(AND(BY$6&gt;=EOMONTH($H$109,0),BY$6&lt;=EOMONTH(EDATE($H$109,$E$109-1),0)),$D$109/MAX($E$109,1),0)</f>
        <v>0</v>
      </c>
      <c r="BZ118" s="159" t="n">
        <f aca="false">IF(AND(BZ$6&gt;=EOMONTH($H$109,0),BZ$6&lt;=EOMONTH(EDATE($H$109,$E$109-1),0)),$D$109/MAX($E$109,1),0)</f>
        <v>0</v>
      </c>
      <c r="CA118" s="159" t="n">
        <f aca="false">IF(AND(CA$6&gt;=EOMONTH($H$109,0),CA$6&lt;=EOMONTH(EDATE($H$109,$E$109-1),0)),$D$109/MAX($E$109,1),0)</f>
        <v>0</v>
      </c>
    </row>
    <row r="119" customFormat="false" ht="15" hidden="false" customHeight="false" outlineLevel="0" collapsed="false">
      <c r="B119" s="196" t="s">
        <v>370</v>
      </c>
      <c r="T119" s="159" t="n">
        <f aca="false">IF(AND(T$6&gt;=EOMONTH($H$110,0),T$6&lt;=EOMONTH(EDATE($H$110,$E$110-1),0)),$D$110/MAX($E$110,1),0)</f>
        <v>0</v>
      </c>
      <c r="U119" s="159" t="n">
        <f aca="false">IF(AND(U$6&gt;=EOMONTH($H$110,0),U$6&lt;=EOMONTH(EDATE($H$110,$E$110-1),0)),$D$110/MAX($E$110,1),0)</f>
        <v>0</v>
      </c>
      <c r="V119" s="159" t="n">
        <f aca="false">IF(AND(V$6&gt;=EOMONTH($H$110,0),V$6&lt;=EOMONTH(EDATE($H$110,$E$110-1),0)),$D$110/MAX($E$110,1),0)</f>
        <v>0</v>
      </c>
      <c r="W119" s="159" t="n">
        <f aca="false">IF(AND(W$6&gt;=EOMONTH($H$110,0),W$6&lt;=EOMONTH(EDATE($H$110,$E$110-1),0)),$D$110/MAX($E$110,1),0)</f>
        <v>0</v>
      </c>
      <c r="X119" s="159" t="n">
        <f aca="false">IF(AND(X$6&gt;=EOMONTH($H$110,0),X$6&lt;=EOMONTH(EDATE($H$110,$E$110-1),0)),$D$110/MAX($E$110,1),0)</f>
        <v>0</v>
      </c>
      <c r="Y119" s="159" t="n">
        <f aca="false">IF(AND(Y$6&gt;=EOMONTH($H$110,0),Y$6&lt;=EOMONTH(EDATE($H$110,$E$110-1),0)),$D$110/MAX($E$110,1),0)</f>
        <v>0</v>
      </c>
      <c r="Z119" s="159" t="n">
        <f aca="false">IF(AND(Z$6&gt;=EOMONTH($H$110,0),Z$6&lt;=EOMONTH(EDATE($H$110,$E$110-1),0)),$D$110/MAX($E$110,1),0)</f>
        <v>0</v>
      </c>
      <c r="AA119" s="159" t="n">
        <f aca="false">IF(AND(AA$6&gt;=EOMONTH($H$110,0),AA$6&lt;=EOMONTH(EDATE($H$110,$E$110-1),0)),$D$110/MAX($E$110,1),0)</f>
        <v>0</v>
      </c>
      <c r="AB119" s="159" t="n">
        <f aca="false">IF(AND(AB$6&gt;=EOMONTH($H$110,0),AB$6&lt;=EOMONTH(EDATE($H$110,$E$110-1),0)),$D$110/MAX($E$110,1),0)</f>
        <v>0</v>
      </c>
      <c r="AC119" s="159" t="n">
        <f aca="false">IF(AND(AC$6&gt;=EOMONTH($H$110,0),AC$6&lt;=EOMONTH(EDATE($H$110,$E$110-1),0)),$D$110/MAX($E$110,1),0)</f>
        <v>0</v>
      </c>
      <c r="AD119" s="159" t="n">
        <f aca="false">IF(AND(AD$6&gt;=EOMONTH($H$110,0),AD$6&lt;=EOMONTH(EDATE($H$110,$E$110-1),0)),$D$110/MAX($E$110,1),0)</f>
        <v>0</v>
      </c>
      <c r="AE119" s="159" t="n">
        <f aca="false">IF(AND(AE$6&gt;=EOMONTH($H$110,0),AE$6&lt;=EOMONTH(EDATE($H$110,$E$110-1),0)),$D$110/MAX($E$110,1),0)</f>
        <v>0</v>
      </c>
      <c r="AF119" s="159" t="n">
        <f aca="false">IF(AND(AF$6&gt;=EOMONTH($H$110,0),AF$6&lt;=EOMONTH(EDATE($H$110,$E$110-1),0)),$D$110/MAX($E$110,1),0)</f>
        <v>0</v>
      </c>
      <c r="AG119" s="159" t="n">
        <f aca="false">IF(AND(AG$6&gt;=EOMONTH($H$110,0),AG$6&lt;=EOMONTH(EDATE($H$110,$E$110-1),0)),$D$110/MAX($E$110,1),0)</f>
        <v>0</v>
      </c>
      <c r="AH119" s="159" t="n">
        <f aca="false">IF(AND(AH$6&gt;=EOMONTH($H$110,0),AH$6&lt;=EOMONTH(EDATE($H$110,$E$110-1),0)),$D$110/MAX($E$110,1),0)</f>
        <v>63333.3333333333</v>
      </c>
      <c r="AI119" s="159" t="n">
        <f aca="false">IF(AND(AI$6&gt;=EOMONTH($H$110,0),AI$6&lt;=EOMONTH(EDATE($H$110,$E$110-1),0)),$D$110/MAX($E$110,1),0)</f>
        <v>63333.3333333333</v>
      </c>
      <c r="AJ119" s="159" t="n">
        <f aca="false">IF(AND(AJ$6&gt;=EOMONTH($H$110,0),AJ$6&lt;=EOMONTH(EDATE($H$110,$E$110-1),0)),$D$110/MAX($E$110,1),0)</f>
        <v>63333.3333333333</v>
      </c>
      <c r="AK119" s="159" t="n">
        <f aca="false">IF(AND(AK$6&gt;=EOMONTH($H$110,0),AK$6&lt;=EOMONTH(EDATE($H$110,$E$110-1),0)),$D$110/MAX($E$110,1),0)</f>
        <v>63333.3333333333</v>
      </c>
      <c r="AL119" s="159" t="n">
        <f aca="false">IF(AND(AL$6&gt;=EOMONTH($H$110,0),AL$6&lt;=EOMONTH(EDATE($H$110,$E$110-1),0)),$D$110/MAX($E$110,1),0)</f>
        <v>63333.3333333333</v>
      </c>
      <c r="AM119" s="159" t="n">
        <f aca="false">IF(AND(AM$6&gt;=EOMONTH($H$110,0),AM$6&lt;=EOMONTH(EDATE($H$110,$E$110-1),0)),$D$110/MAX($E$110,1),0)</f>
        <v>63333.3333333333</v>
      </c>
      <c r="AN119" s="159" t="n">
        <f aca="false">IF(AND(AN$6&gt;=EOMONTH($H$110,0),AN$6&lt;=EOMONTH(EDATE($H$110,$E$110-1),0)),$D$110/MAX($E$110,1),0)</f>
        <v>0</v>
      </c>
      <c r="AO119" s="159" t="n">
        <f aca="false">IF(AND(AO$6&gt;=EOMONTH($H$110,0),AO$6&lt;=EOMONTH(EDATE($H$110,$E$110-1),0)),$D$110/MAX($E$110,1),0)</f>
        <v>0</v>
      </c>
      <c r="AP119" s="159" t="n">
        <f aca="false">IF(AND(AP$6&gt;=EOMONTH($H$110,0),AP$6&lt;=EOMONTH(EDATE($H$110,$E$110-1),0)),$D$110/MAX($E$110,1),0)</f>
        <v>0</v>
      </c>
      <c r="AQ119" s="159" t="n">
        <f aca="false">IF(AND(AQ$6&gt;=EOMONTH($H$110,0),AQ$6&lt;=EOMONTH(EDATE($H$110,$E$110-1),0)),$D$110/MAX($E$110,1),0)</f>
        <v>0</v>
      </c>
      <c r="AR119" s="159" t="n">
        <f aca="false">IF(AND(AR$6&gt;=EOMONTH($H$110,0),AR$6&lt;=EOMONTH(EDATE($H$110,$E$110-1),0)),$D$110/MAX($E$110,1),0)</f>
        <v>0</v>
      </c>
      <c r="AS119" s="159" t="n">
        <f aca="false">IF(AND(AS$6&gt;=EOMONTH($H$110,0),AS$6&lt;=EOMONTH(EDATE($H$110,$E$110-1),0)),$D$110/MAX($E$110,1),0)</f>
        <v>0</v>
      </c>
      <c r="AT119" s="159" t="n">
        <f aca="false">IF(AND(AT$6&gt;=EOMONTH($H$110,0),AT$6&lt;=EOMONTH(EDATE($H$110,$E$110-1),0)),$D$110/MAX($E$110,1),0)</f>
        <v>0</v>
      </c>
      <c r="AU119" s="159" t="n">
        <f aca="false">IF(AND(AU$6&gt;=EOMONTH($H$110,0),AU$6&lt;=EOMONTH(EDATE($H$110,$E$110-1),0)),$D$110/MAX($E$110,1),0)</f>
        <v>0</v>
      </c>
      <c r="AV119" s="159" t="n">
        <f aca="false">IF(AND(AV$6&gt;=EOMONTH($H$110,0),AV$6&lt;=EOMONTH(EDATE($H$110,$E$110-1),0)),$D$110/MAX($E$110,1),0)</f>
        <v>0</v>
      </c>
      <c r="AW119" s="159" t="n">
        <f aca="false">IF(AND(AW$6&gt;=EOMONTH($H$110,0),AW$6&lt;=EOMONTH(EDATE($H$110,$E$110-1),0)),$D$110/MAX($E$110,1),0)</f>
        <v>0</v>
      </c>
      <c r="AX119" s="159" t="n">
        <f aca="false">IF(AND(AX$6&gt;=EOMONTH($H$110,0),AX$6&lt;=EOMONTH(EDATE($H$110,$E$110-1),0)),$D$110/MAX($E$110,1),0)</f>
        <v>0</v>
      </c>
      <c r="AY119" s="159" t="n">
        <f aca="false">IF(AND(AY$6&gt;=EOMONTH($H$110,0),AY$6&lt;=EOMONTH(EDATE($H$110,$E$110-1),0)),$D$110/MAX($E$110,1),0)</f>
        <v>0</v>
      </c>
      <c r="AZ119" s="159" t="n">
        <f aca="false">IF(AND(AZ$6&gt;=EOMONTH($H$110,0),AZ$6&lt;=EOMONTH(EDATE($H$110,$E$110-1),0)),$D$110/MAX($E$110,1),0)</f>
        <v>0</v>
      </c>
      <c r="BA119" s="159" t="n">
        <f aca="false">IF(AND(BA$6&gt;=EOMONTH($H$110,0),BA$6&lt;=EOMONTH(EDATE($H$110,$E$110-1),0)),$D$110/MAX($E$110,1),0)</f>
        <v>0</v>
      </c>
      <c r="BB119" s="159" t="n">
        <f aca="false">IF(AND(BB$6&gt;=EOMONTH($H$110,0),BB$6&lt;=EOMONTH(EDATE($H$110,$E$110-1),0)),$D$110/MAX($E$110,1),0)</f>
        <v>0</v>
      </c>
      <c r="BC119" s="159" t="n">
        <f aca="false">IF(AND(BC$6&gt;=EOMONTH($H$110,0),BC$6&lt;=EOMONTH(EDATE($H$110,$E$110-1),0)),$D$110/MAX($E$110,1),0)</f>
        <v>0</v>
      </c>
      <c r="BD119" s="159" t="n">
        <f aca="false">IF(AND(BD$6&gt;=EOMONTH($H$110,0),BD$6&lt;=EOMONTH(EDATE($H$110,$E$110-1),0)),$D$110/MAX($E$110,1),0)</f>
        <v>0</v>
      </c>
      <c r="BE119" s="159" t="n">
        <f aca="false">IF(AND(BE$6&gt;=EOMONTH($H$110,0),BE$6&lt;=EOMONTH(EDATE($H$110,$E$110-1),0)),$D$110/MAX($E$110,1),0)</f>
        <v>0</v>
      </c>
      <c r="BF119" s="159" t="n">
        <f aca="false">IF(AND(BF$6&gt;=EOMONTH($H$110,0),BF$6&lt;=EOMONTH(EDATE($H$110,$E$110-1),0)),$D$110/MAX($E$110,1),0)</f>
        <v>0</v>
      </c>
      <c r="BG119" s="159" t="n">
        <f aca="false">IF(AND(BG$6&gt;=EOMONTH($H$110,0),BG$6&lt;=EOMONTH(EDATE($H$110,$E$110-1),0)),$D$110/MAX($E$110,1),0)</f>
        <v>0</v>
      </c>
      <c r="BH119" s="159" t="n">
        <f aca="false">IF(AND(BH$6&gt;=EOMONTH($H$110,0),BH$6&lt;=EOMONTH(EDATE($H$110,$E$110-1),0)),$D$110/MAX($E$110,1),0)</f>
        <v>0</v>
      </c>
      <c r="BI119" s="159" t="n">
        <f aca="false">IF(AND(BI$6&gt;=EOMONTH($H$110,0),BI$6&lt;=EOMONTH(EDATE($H$110,$E$110-1),0)),$D$110/MAX($E$110,1),0)</f>
        <v>0</v>
      </c>
      <c r="BJ119" s="159" t="n">
        <f aca="false">IF(AND(BJ$6&gt;=EOMONTH($H$110,0),BJ$6&lt;=EOMONTH(EDATE($H$110,$E$110-1),0)),$D$110/MAX($E$110,1),0)</f>
        <v>0</v>
      </c>
      <c r="BK119" s="159" t="n">
        <f aca="false">IF(AND(BK$6&gt;=EOMONTH($H$110,0),BK$6&lt;=EOMONTH(EDATE($H$110,$E$110-1),0)),$D$110/MAX($E$110,1),0)</f>
        <v>0</v>
      </c>
      <c r="BL119" s="159" t="n">
        <f aca="false">IF(AND(BL$6&gt;=EOMONTH($H$110,0),BL$6&lt;=EOMONTH(EDATE($H$110,$E$110-1),0)),$D$110/MAX($E$110,1),0)</f>
        <v>0</v>
      </c>
      <c r="BM119" s="159" t="n">
        <f aca="false">IF(AND(BM$6&gt;=EOMONTH($H$110,0),BM$6&lt;=EOMONTH(EDATE($H$110,$E$110-1),0)),$D$110/MAX($E$110,1),0)</f>
        <v>0</v>
      </c>
      <c r="BN119" s="159" t="n">
        <f aca="false">IF(AND(BN$6&gt;=EOMONTH($H$110,0),BN$6&lt;=EOMONTH(EDATE($H$110,$E$110-1),0)),$D$110/MAX($E$110,1),0)</f>
        <v>0</v>
      </c>
      <c r="BO119" s="159" t="n">
        <f aca="false">IF(AND(BO$6&gt;=EOMONTH($H$110,0),BO$6&lt;=EOMONTH(EDATE($H$110,$E$110-1),0)),$D$110/MAX($E$110,1),0)</f>
        <v>0</v>
      </c>
      <c r="BP119" s="159" t="n">
        <f aca="false">IF(AND(BP$6&gt;=EOMONTH($H$110,0),BP$6&lt;=EOMONTH(EDATE($H$110,$E$110-1),0)),$D$110/MAX($E$110,1),0)</f>
        <v>0</v>
      </c>
      <c r="BQ119" s="159" t="n">
        <f aca="false">IF(AND(BQ$6&gt;=EOMONTH($H$110,0),BQ$6&lt;=EOMONTH(EDATE($H$110,$E$110-1),0)),$D$110/MAX($E$110,1),0)</f>
        <v>0</v>
      </c>
      <c r="BR119" s="159" t="n">
        <f aca="false">IF(AND(BR$6&gt;=EOMONTH($H$110,0),BR$6&lt;=EOMONTH(EDATE($H$110,$E$110-1),0)),$D$110/MAX($E$110,1),0)</f>
        <v>0</v>
      </c>
      <c r="BS119" s="159" t="n">
        <f aca="false">IF(AND(BS$6&gt;=EOMONTH($H$110,0),BS$6&lt;=EOMONTH(EDATE($H$110,$E$110-1),0)),$D$110/MAX($E$110,1),0)</f>
        <v>0</v>
      </c>
      <c r="BT119" s="159" t="n">
        <f aca="false">IF(AND(BT$6&gt;=EOMONTH($H$110,0),BT$6&lt;=EOMONTH(EDATE($H$110,$E$110-1),0)),$D$110/MAX($E$110,1),0)</f>
        <v>0</v>
      </c>
      <c r="BU119" s="159" t="n">
        <f aca="false">IF(AND(BU$6&gt;=EOMONTH($H$110,0),BU$6&lt;=EOMONTH(EDATE($H$110,$E$110-1),0)),$D$110/MAX($E$110,1),0)</f>
        <v>0</v>
      </c>
      <c r="BV119" s="159" t="n">
        <f aca="false">IF(AND(BV$6&gt;=EOMONTH($H$110,0),BV$6&lt;=EOMONTH(EDATE($H$110,$E$110-1),0)),$D$110/MAX($E$110,1),0)</f>
        <v>0</v>
      </c>
      <c r="BW119" s="159" t="n">
        <f aca="false">IF(AND(BW$6&gt;=EOMONTH($H$110,0),BW$6&lt;=EOMONTH(EDATE($H$110,$E$110-1),0)),$D$110/MAX($E$110,1),0)</f>
        <v>0</v>
      </c>
      <c r="BX119" s="159" t="n">
        <f aca="false">IF(AND(BX$6&gt;=EOMONTH($H$110,0),BX$6&lt;=EOMONTH(EDATE($H$110,$E$110-1),0)),$D$110/MAX($E$110,1),0)</f>
        <v>0</v>
      </c>
      <c r="BY119" s="159" t="n">
        <f aca="false">IF(AND(BY$6&gt;=EOMONTH($H$110,0),BY$6&lt;=EOMONTH(EDATE($H$110,$E$110-1),0)),$D$110/MAX($E$110,1),0)</f>
        <v>0</v>
      </c>
      <c r="BZ119" s="159" t="n">
        <f aca="false">IF(AND(BZ$6&gt;=EOMONTH($H$110,0),BZ$6&lt;=EOMONTH(EDATE($H$110,$E$110-1),0)),$D$110/MAX($E$110,1),0)</f>
        <v>0</v>
      </c>
      <c r="CA119" s="159" t="n">
        <f aca="false">IF(AND(CA$6&gt;=EOMONTH($H$110,0),CA$6&lt;=EOMONTH(EDATE($H$110,$E$110-1),0)),$D$110/MAX($E$110,1),0)</f>
        <v>0</v>
      </c>
    </row>
    <row r="120" customFormat="false" ht="15" hidden="false" customHeight="false" outlineLevel="0" collapsed="false">
      <c r="B120" s="196" t="s">
        <v>371</v>
      </c>
      <c r="T120" s="159" t="n">
        <f aca="false">IF(AND(T$6&gt;=EOMONTH($H$111,0),T$6&lt;=EOMONTH(EDATE($H$111,$E$111-1),0)),$D$111/MAX($E$111,1),0)</f>
        <v>0</v>
      </c>
      <c r="U120" s="159" t="n">
        <f aca="false">IF(AND(U$6&gt;=EOMONTH($H$111,0),U$6&lt;=EOMONTH(EDATE($H$111,$E$111-1),0)),$D$111/MAX($E$111,1),0)</f>
        <v>0</v>
      </c>
      <c r="V120" s="159" t="n">
        <f aca="false">IF(AND(V$6&gt;=EOMONTH($H$111,0),V$6&lt;=EOMONTH(EDATE($H$111,$E$111-1),0)),$D$111/MAX($E$111,1),0)</f>
        <v>0</v>
      </c>
      <c r="W120" s="159" t="n">
        <f aca="false">IF(AND(W$6&gt;=EOMONTH($H$111,0),W$6&lt;=EOMONTH(EDATE($H$111,$E$111-1),0)),$D$111/MAX($E$111,1),0)</f>
        <v>0</v>
      </c>
      <c r="X120" s="159" t="n">
        <f aca="false">IF(AND(X$6&gt;=EOMONTH($H$111,0),X$6&lt;=EOMONTH(EDATE($H$111,$E$111-1),0)),$D$111/MAX($E$111,1),0)</f>
        <v>0</v>
      </c>
      <c r="Y120" s="159" t="n">
        <f aca="false">IF(AND(Y$6&gt;=EOMONTH($H$111,0),Y$6&lt;=EOMONTH(EDATE($H$111,$E$111-1),0)),$D$111/MAX($E$111,1),0)</f>
        <v>0</v>
      </c>
      <c r="Z120" s="159" t="n">
        <f aca="false">IF(AND(Z$6&gt;=EOMONTH($H$111,0),Z$6&lt;=EOMONTH(EDATE($H$111,$E$111-1),0)),$D$111/MAX($E$111,1),0)</f>
        <v>0</v>
      </c>
      <c r="AA120" s="159" t="n">
        <f aca="false">IF(AND(AA$6&gt;=EOMONTH($H$111,0),AA$6&lt;=EOMONTH(EDATE($H$111,$E$111-1),0)),$D$111/MAX($E$111,1),0)</f>
        <v>0</v>
      </c>
      <c r="AB120" s="159" t="n">
        <f aca="false">IF(AND(AB$6&gt;=EOMONTH($H$111,0),AB$6&lt;=EOMONTH(EDATE($H$111,$E$111-1),0)),$D$111/MAX($E$111,1),0)</f>
        <v>0</v>
      </c>
      <c r="AC120" s="159" t="n">
        <f aca="false">IF(AND(AC$6&gt;=EOMONTH($H$111,0),AC$6&lt;=EOMONTH(EDATE($H$111,$E$111-1),0)),$D$111/MAX($E$111,1),0)</f>
        <v>0</v>
      </c>
      <c r="AD120" s="159" t="n">
        <f aca="false">IF(AND(AD$6&gt;=EOMONTH($H$111,0),AD$6&lt;=EOMONTH(EDATE($H$111,$E$111-1),0)),$D$111/MAX($E$111,1),0)</f>
        <v>0</v>
      </c>
      <c r="AE120" s="159" t="n">
        <f aca="false">IF(AND(AE$6&gt;=EOMONTH($H$111,0),AE$6&lt;=EOMONTH(EDATE($H$111,$E$111-1),0)),$D$111/MAX($E$111,1),0)</f>
        <v>0</v>
      </c>
      <c r="AF120" s="159" t="n">
        <f aca="false">IF(AND(AF$6&gt;=EOMONTH($H$111,0),AF$6&lt;=EOMONTH(EDATE($H$111,$E$111-1),0)),$D$111/MAX($E$111,1),0)</f>
        <v>0</v>
      </c>
      <c r="AG120" s="159" t="n">
        <f aca="false">IF(AND(AG$6&gt;=EOMONTH($H$111,0),AG$6&lt;=EOMONTH(EDATE($H$111,$E$111-1),0)),$D$111/MAX($E$111,1),0)</f>
        <v>0</v>
      </c>
      <c r="AH120" s="159" t="n">
        <f aca="false">IF(AND(AH$6&gt;=EOMONTH($H$111,0),AH$6&lt;=EOMONTH(EDATE($H$111,$E$111-1),0)),$D$111/MAX($E$111,1),0)</f>
        <v>43333.3333333333</v>
      </c>
      <c r="AI120" s="159" t="n">
        <f aca="false">IF(AND(AI$6&gt;=EOMONTH($H$111,0),AI$6&lt;=EOMONTH(EDATE($H$111,$E$111-1),0)),$D$111/MAX($E$111,1),0)</f>
        <v>43333.3333333333</v>
      </c>
      <c r="AJ120" s="159" t="n">
        <f aca="false">IF(AND(AJ$6&gt;=EOMONTH($H$111,0),AJ$6&lt;=EOMONTH(EDATE($H$111,$E$111-1),0)),$D$111/MAX($E$111,1),0)</f>
        <v>43333.3333333333</v>
      </c>
      <c r="AK120" s="159" t="n">
        <f aca="false">IF(AND(AK$6&gt;=EOMONTH($H$111,0),AK$6&lt;=EOMONTH(EDATE($H$111,$E$111-1),0)),$D$111/MAX($E$111,1),0)</f>
        <v>43333.3333333333</v>
      </c>
      <c r="AL120" s="159" t="n">
        <f aca="false">IF(AND(AL$6&gt;=EOMONTH($H$111,0),AL$6&lt;=EOMONTH(EDATE($H$111,$E$111-1),0)),$D$111/MAX($E$111,1),0)</f>
        <v>43333.3333333333</v>
      </c>
      <c r="AM120" s="159" t="n">
        <f aca="false">IF(AND(AM$6&gt;=EOMONTH($H$111,0),AM$6&lt;=EOMONTH(EDATE($H$111,$E$111-1),0)),$D$111/MAX($E$111,1),0)</f>
        <v>43333.3333333333</v>
      </c>
      <c r="AN120" s="159" t="n">
        <f aca="false">IF(AND(AN$6&gt;=EOMONTH($H$111,0),AN$6&lt;=EOMONTH(EDATE($H$111,$E$111-1),0)),$D$111/MAX($E$111,1),0)</f>
        <v>0</v>
      </c>
      <c r="AO120" s="159" t="n">
        <f aca="false">IF(AND(AO$6&gt;=EOMONTH($H$111,0),AO$6&lt;=EOMONTH(EDATE($H$111,$E$111-1),0)),$D$111/MAX($E$111,1),0)</f>
        <v>0</v>
      </c>
      <c r="AP120" s="159" t="n">
        <f aca="false">IF(AND(AP$6&gt;=EOMONTH($H$111,0),AP$6&lt;=EOMONTH(EDATE($H$111,$E$111-1),0)),$D$111/MAX($E$111,1),0)</f>
        <v>0</v>
      </c>
      <c r="AQ120" s="159" t="n">
        <f aca="false">IF(AND(AQ$6&gt;=EOMONTH($H$111,0),AQ$6&lt;=EOMONTH(EDATE($H$111,$E$111-1),0)),$D$111/MAX($E$111,1),0)</f>
        <v>0</v>
      </c>
      <c r="AR120" s="159" t="n">
        <f aca="false">IF(AND(AR$6&gt;=EOMONTH($H$111,0),AR$6&lt;=EOMONTH(EDATE($H$111,$E$111-1),0)),$D$111/MAX($E$111,1),0)</f>
        <v>0</v>
      </c>
      <c r="AS120" s="159" t="n">
        <f aca="false">IF(AND(AS$6&gt;=EOMONTH($H$111,0),AS$6&lt;=EOMONTH(EDATE($H$111,$E$111-1),0)),$D$111/MAX($E$111,1),0)</f>
        <v>0</v>
      </c>
      <c r="AT120" s="159" t="n">
        <f aca="false">IF(AND(AT$6&gt;=EOMONTH($H$111,0),AT$6&lt;=EOMONTH(EDATE($H$111,$E$111-1),0)),$D$111/MAX($E$111,1),0)</f>
        <v>0</v>
      </c>
      <c r="AU120" s="159" t="n">
        <f aca="false">IF(AND(AU$6&gt;=EOMONTH($H$111,0),AU$6&lt;=EOMONTH(EDATE($H$111,$E$111-1),0)),$D$111/MAX($E$111,1),0)</f>
        <v>0</v>
      </c>
      <c r="AV120" s="159" t="n">
        <f aca="false">IF(AND(AV$6&gt;=EOMONTH($H$111,0),AV$6&lt;=EOMONTH(EDATE($H$111,$E$111-1),0)),$D$111/MAX($E$111,1),0)</f>
        <v>0</v>
      </c>
      <c r="AW120" s="159" t="n">
        <f aca="false">IF(AND(AW$6&gt;=EOMONTH($H$111,0),AW$6&lt;=EOMONTH(EDATE($H$111,$E$111-1),0)),$D$111/MAX($E$111,1),0)</f>
        <v>0</v>
      </c>
      <c r="AX120" s="159" t="n">
        <f aca="false">IF(AND(AX$6&gt;=EOMONTH($H$111,0),AX$6&lt;=EOMONTH(EDATE($H$111,$E$111-1),0)),$D$111/MAX($E$111,1),0)</f>
        <v>0</v>
      </c>
      <c r="AY120" s="159" t="n">
        <f aca="false">IF(AND(AY$6&gt;=EOMONTH($H$111,0),AY$6&lt;=EOMONTH(EDATE($H$111,$E$111-1),0)),$D$111/MAX($E$111,1),0)</f>
        <v>0</v>
      </c>
      <c r="AZ120" s="159" t="n">
        <f aca="false">IF(AND(AZ$6&gt;=EOMONTH($H$111,0),AZ$6&lt;=EOMONTH(EDATE($H$111,$E$111-1),0)),$D$111/MAX($E$111,1),0)</f>
        <v>0</v>
      </c>
      <c r="BA120" s="159" t="n">
        <f aca="false">IF(AND(BA$6&gt;=EOMONTH($H$111,0),BA$6&lt;=EOMONTH(EDATE($H$111,$E$111-1),0)),$D$111/MAX($E$111,1),0)</f>
        <v>0</v>
      </c>
      <c r="BB120" s="159" t="n">
        <f aca="false">IF(AND(BB$6&gt;=EOMONTH($H$111,0),BB$6&lt;=EOMONTH(EDATE($H$111,$E$111-1),0)),$D$111/MAX($E$111,1),0)</f>
        <v>0</v>
      </c>
      <c r="BC120" s="159" t="n">
        <f aca="false">IF(AND(BC$6&gt;=EOMONTH($H$111,0),BC$6&lt;=EOMONTH(EDATE($H$111,$E$111-1),0)),$D$111/MAX($E$111,1),0)</f>
        <v>0</v>
      </c>
      <c r="BD120" s="159" t="n">
        <f aca="false">IF(AND(BD$6&gt;=EOMONTH($H$111,0),BD$6&lt;=EOMONTH(EDATE($H$111,$E$111-1),0)),$D$111/MAX($E$111,1),0)</f>
        <v>0</v>
      </c>
      <c r="BE120" s="159" t="n">
        <f aca="false">IF(AND(BE$6&gt;=EOMONTH($H$111,0),BE$6&lt;=EOMONTH(EDATE($H$111,$E$111-1),0)),$D$111/MAX($E$111,1),0)</f>
        <v>0</v>
      </c>
      <c r="BF120" s="159" t="n">
        <f aca="false">IF(AND(BF$6&gt;=EOMONTH($H$111,0),BF$6&lt;=EOMONTH(EDATE($H$111,$E$111-1),0)),$D$111/MAX($E$111,1),0)</f>
        <v>0</v>
      </c>
      <c r="BG120" s="159" t="n">
        <f aca="false">IF(AND(BG$6&gt;=EOMONTH($H$111,0),BG$6&lt;=EOMONTH(EDATE($H$111,$E$111-1),0)),$D$111/MAX($E$111,1),0)</f>
        <v>0</v>
      </c>
      <c r="BH120" s="159" t="n">
        <f aca="false">IF(AND(BH$6&gt;=EOMONTH($H$111,0),BH$6&lt;=EOMONTH(EDATE($H$111,$E$111-1),0)),$D$111/MAX($E$111,1),0)</f>
        <v>0</v>
      </c>
      <c r="BI120" s="159" t="n">
        <f aca="false">IF(AND(BI$6&gt;=EOMONTH($H$111,0),BI$6&lt;=EOMONTH(EDATE($H$111,$E$111-1),0)),$D$111/MAX($E$111,1),0)</f>
        <v>0</v>
      </c>
      <c r="BJ120" s="159" t="n">
        <f aca="false">IF(AND(BJ$6&gt;=EOMONTH($H$111,0),BJ$6&lt;=EOMONTH(EDATE($H$111,$E$111-1),0)),$D$111/MAX($E$111,1),0)</f>
        <v>0</v>
      </c>
      <c r="BK120" s="159" t="n">
        <f aca="false">IF(AND(BK$6&gt;=EOMONTH($H$111,0),BK$6&lt;=EOMONTH(EDATE($H$111,$E$111-1),0)),$D$111/MAX($E$111,1),0)</f>
        <v>0</v>
      </c>
      <c r="BL120" s="159" t="n">
        <f aca="false">IF(AND(BL$6&gt;=EOMONTH($H$111,0),BL$6&lt;=EOMONTH(EDATE($H$111,$E$111-1),0)),$D$111/MAX($E$111,1),0)</f>
        <v>0</v>
      </c>
      <c r="BM120" s="159" t="n">
        <f aca="false">IF(AND(BM$6&gt;=EOMONTH($H$111,0),BM$6&lt;=EOMONTH(EDATE($H$111,$E$111-1),0)),$D$111/MAX($E$111,1),0)</f>
        <v>0</v>
      </c>
      <c r="BN120" s="159" t="n">
        <f aca="false">IF(AND(BN$6&gt;=EOMONTH($H$111,0),BN$6&lt;=EOMONTH(EDATE($H$111,$E$111-1),0)),$D$111/MAX($E$111,1),0)</f>
        <v>0</v>
      </c>
      <c r="BO120" s="159" t="n">
        <f aca="false">IF(AND(BO$6&gt;=EOMONTH($H$111,0),BO$6&lt;=EOMONTH(EDATE($H$111,$E$111-1),0)),$D$111/MAX($E$111,1),0)</f>
        <v>0</v>
      </c>
      <c r="BP120" s="159" t="n">
        <f aca="false">IF(AND(BP$6&gt;=EOMONTH($H$111,0),BP$6&lt;=EOMONTH(EDATE($H$111,$E$111-1),0)),$D$111/MAX($E$111,1),0)</f>
        <v>0</v>
      </c>
      <c r="BQ120" s="159" t="n">
        <f aca="false">IF(AND(BQ$6&gt;=EOMONTH($H$111,0),BQ$6&lt;=EOMONTH(EDATE($H$111,$E$111-1),0)),$D$111/MAX($E$111,1),0)</f>
        <v>0</v>
      </c>
      <c r="BR120" s="159" t="n">
        <f aca="false">IF(AND(BR$6&gt;=EOMONTH($H$111,0),BR$6&lt;=EOMONTH(EDATE($H$111,$E$111-1),0)),$D$111/MAX($E$111,1),0)</f>
        <v>0</v>
      </c>
      <c r="BS120" s="159" t="n">
        <f aca="false">IF(AND(BS$6&gt;=EOMONTH($H$111,0),BS$6&lt;=EOMONTH(EDATE($H$111,$E$111-1),0)),$D$111/MAX($E$111,1),0)</f>
        <v>0</v>
      </c>
      <c r="BT120" s="159" t="n">
        <f aca="false">IF(AND(BT$6&gt;=EOMONTH($H$111,0),BT$6&lt;=EOMONTH(EDATE($H$111,$E$111-1),0)),$D$111/MAX($E$111,1),0)</f>
        <v>0</v>
      </c>
      <c r="BU120" s="159" t="n">
        <f aca="false">IF(AND(BU$6&gt;=EOMONTH($H$111,0),BU$6&lt;=EOMONTH(EDATE($H$111,$E$111-1),0)),$D$111/MAX($E$111,1),0)</f>
        <v>0</v>
      </c>
      <c r="BV120" s="159" t="n">
        <f aca="false">IF(AND(BV$6&gt;=EOMONTH($H$111,0),BV$6&lt;=EOMONTH(EDATE($H$111,$E$111-1),0)),$D$111/MAX($E$111,1),0)</f>
        <v>0</v>
      </c>
      <c r="BW120" s="159" t="n">
        <f aca="false">IF(AND(BW$6&gt;=EOMONTH($H$111,0),BW$6&lt;=EOMONTH(EDATE($H$111,$E$111-1),0)),$D$111/MAX($E$111,1),0)</f>
        <v>0</v>
      </c>
      <c r="BX120" s="159" t="n">
        <f aca="false">IF(AND(BX$6&gt;=EOMONTH($H$111,0),BX$6&lt;=EOMONTH(EDATE($H$111,$E$111-1),0)),$D$111/MAX($E$111,1),0)</f>
        <v>0</v>
      </c>
      <c r="BY120" s="159" t="n">
        <f aca="false">IF(AND(BY$6&gt;=EOMONTH($H$111,0),BY$6&lt;=EOMONTH(EDATE($H$111,$E$111-1),0)),$D$111/MAX($E$111,1),0)</f>
        <v>0</v>
      </c>
      <c r="BZ120" s="159" t="n">
        <f aca="false">IF(AND(BZ$6&gt;=EOMONTH($H$111,0),BZ$6&lt;=EOMONTH(EDATE($H$111,$E$111-1),0)),$D$111/MAX($E$111,1),0)</f>
        <v>0</v>
      </c>
      <c r="CA120" s="159" t="n">
        <f aca="false">IF(AND(CA$6&gt;=EOMONTH($H$111,0),CA$6&lt;=EOMONTH(EDATE($H$111,$E$111-1),0)),$D$111/MAX($E$111,1),0)</f>
        <v>0</v>
      </c>
    </row>
    <row r="121" customFormat="false" ht="15" hidden="false" customHeight="false" outlineLevel="0" collapsed="false">
      <c r="B121" s="196" t="s">
        <v>372</v>
      </c>
      <c r="T121" s="159" t="n">
        <f aca="false">IF(AND(T$6&gt;=EOMONTH($H$112,0),T$6&lt;=EOMONTH(EDATE($H$112,$E$112-1),0)),$D$112/MAX($E$112,1),0)</f>
        <v>0</v>
      </c>
      <c r="U121" s="159" t="n">
        <f aca="false">IF(AND(U$6&gt;=EOMONTH($H$112,0),U$6&lt;=EOMONTH(EDATE($H$112,$E$112-1),0)),$D$112/MAX($E$112,1),0)</f>
        <v>0</v>
      </c>
      <c r="V121" s="159" t="n">
        <f aca="false">IF(AND(V$6&gt;=EOMONTH($H$112,0),V$6&lt;=EOMONTH(EDATE($H$112,$E$112-1),0)),$D$112/MAX($E$112,1),0)</f>
        <v>0</v>
      </c>
      <c r="W121" s="159" t="n">
        <f aca="false">IF(AND(W$6&gt;=EOMONTH($H$112,0),W$6&lt;=EOMONTH(EDATE($H$112,$E$112-1),0)),$D$112/MAX($E$112,1),0)</f>
        <v>0</v>
      </c>
      <c r="X121" s="159" t="n">
        <f aca="false">IF(AND(X$6&gt;=EOMONTH($H$112,0),X$6&lt;=EOMONTH(EDATE($H$112,$E$112-1),0)),$D$112/MAX($E$112,1),0)</f>
        <v>0</v>
      </c>
      <c r="Y121" s="159" t="n">
        <f aca="false">IF(AND(Y$6&gt;=EOMONTH($H$112,0),Y$6&lt;=EOMONTH(EDATE($H$112,$E$112-1),0)),$D$112/MAX($E$112,1),0)</f>
        <v>0</v>
      </c>
      <c r="Z121" s="159" t="n">
        <f aca="false">IF(AND(Z$6&gt;=EOMONTH($H$112,0),Z$6&lt;=EOMONTH(EDATE($H$112,$E$112-1),0)),$D$112/MAX($E$112,1),0)</f>
        <v>0</v>
      </c>
      <c r="AA121" s="159" t="n">
        <f aca="false">IF(AND(AA$6&gt;=EOMONTH($H$112,0),AA$6&lt;=EOMONTH(EDATE($H$112,$E$112-1),0)),$D$112/MAX($E$112,1),0)</f>
        <v>0</v>
      </c>
      <c r="AB121" s="159" t="n">
        <f aca="false">IF(AND(AB$6&gt;=EOMONTH($H$112,0),AB$6&lt;=EOMONTH(EDATE($H$112,$E$112-1),0)),$D$112/MAX($E$112,1),0)</f>
        <v>0</v>
      </c>
      <c r="AC121" s="159" t="n">
        <f aca="false">IF(AND(AC$6&gt;=EOMONTH($H$112,0),AC$6&lt;=EOMONTH(EDATE($H$112,$E$112-1),0)),$D$112/MAX($E$112,1),0)</f>
        <v>0</v>
      </c>
      <c r="AD121" s="159" t="n">
        <f aca="false">IF(AND(AD$6&gt;=EOMONTH($H$112,0),AD$6&lt;=EOMONTH(EDATE($H$112,$E$112-1),0)),$D$112/MAX($E$112,1),0)</f>
        <v>0</v>
      </c>
      <c r="AE121" s="159" t="n">
        <f aca="false">IF(AND(AE$6&gt;=EOMONTH($H$112,0),AE$6&lt;=EOMONTH(EDATE($H$112,$E$112-1),0)),$D$112/MAX($E$112,1),0)</f>
        <v>0</v>
      </c>
      <c r="AF121" s="159" t="n">
        <f aca="false">IF(AND(AF$6&gt;=EOMONTH($H$112,0),AF$6&lt;=EOMONTH(EDATE($H$112,$E$112-1),0)),$D$112/MAX($E$112,1),0)</f>
        <v>0</v>
      </c>
      <c r="AG121" s="159" t="n">
        <f aca="false">IF(AND(AG$6&gt;=EOMONTH($H$112,0),AG$6&lt;=EOMONTH(EDATE($H$112,$E$112-1),0)),$D$112/MAX($E$112,1),0)</f>
        <v>0</v>
      </c>
      <c r="AH121" s="159" t="n">
        <f aca="false">IF(AND(AH$6&gt;=EOMONTH($H$112,0),AH$6&lt;=EOMONTH(EDATE($H$112,$E$112-1),0)),$D$112/MAX($E$112,1),0)</f>
        <v>20000</v>
      </c>
      <c r="AI121" s="159" t="n">
        <f aca="false">IF(AND(AI$6&gt;=EOMONTH($H$112,0),AI$6&lt;=EOMONTH(EDATE($H$112,$E$112-1),0)),$D$112/MAX($E$112,1),0)</f>
        <v>20000</v>
      </c>
      <c r="AJ121" s="159" t="n">
        <f aca="false">IF(AND(AJ$6&gt;=EOMONTH($H$112,0),AJ$6&lt;=EOMONTH(EDATE($H$112,$E$112-1),0)),$D$112/MAX($E$112,1),0)</f>
        <v>20000</v>
      </c>
      <c r="AK121" s="159" t="n">
        <f aca="false">IF(AND(AK$6&gt;=EOMONTH($H$112,0),AK$6&lt;=EOMONTH(EDATE($H$112,$E$112-1),0)),$D$112/MAX($E$112,1),0)</f>
        <v>20000</v>
      </c>
      <c r="AL121" s="159" t="n">
        <f aca="false">IF(AND(AL$6&gt;=EOMONTH($H$112,0),AL$6&lt;=EOMONTH(EDATE($H$112,$E$112-1),0)),$D$112/MAX($E$112,1),0)</f>
        <v>20000</v>
      </c>
      <c r="AM121" s="159" t="n">
        <f aca="false">IF(AND(AM$6&gt;=EOMONTH($H$112,0),AM$6&lt;=EOMONTH(EDATE($H$112,$E$112-1),0)),$D$112/MAX($E$112,1),0)</f>
        <v>20000</v>
      </c>
      <c r="AN121" s="159" t="n">
        <f aca="false">IF(AND(AN$6&gt;=EOMONTH($H$112,0),AN$6&lt;=EOMONTH(EDATE($H$112,$E$112-1),0)),$D$112/MAX($E$112,1),0)</f>
        <v>0</v>
      </c>
      <c r="AO121" s="159" t="n">
        <f aca="false">IF(AND(AO$6&gt;=EOMONTH($H$112,0),AO$6&lt;=EOMONTH(EDATE($H$112,$E$112-1),0)),$D$112/MAX($E$112,1),0)</f>
        <v>0</v>
      </c>
      <c r="AP121" s="159" t="n">
        <f aca="false">IF(AND(AP$6&gt;=EOMONTH($H$112,0),AP$6&lt;=EOMONTH(EDATE($H$112,$E$112-1),0)),$D$112/MAX($E$112,1),0)</f>
        <v>0</v>
      </c>
      <c r="AQ121" s="159" t="n">
        <f aca="false">IF(AND(AQ$6&gt;=EOMONTH($H$112,0),AQ$6&lt;=EOMONTH(EDATE($H$112,$E$112-1),0)),$D$112/MAX($E$112,1),0)</f>
        <v>0</v>
      </c>
      <c r="AR121" s="159" t="n">
        <f aca="false">IF(AND(AR$6&gt;=EOMONTH($H$112,0),AR$6&lt;=EOMONTH(EDATE($H$112,$E$112-1),0)),$D$112/MAX($E$112,1),0)</f>
        <v>0</v>
      </c>
      <c r="AS121" s="159" t="n">
        <f aca="false">IF(AND(AS$6&gt;=EOMONTH($H$112,0),AS$6&lt;=EOMONTH(EDATE($H$112,$E$112-1),0)),$D$112/MAX($E$112,1),0)</f>
        <v>0</v>
      </c>
      <c r="AT121" s="159" t="n">
        <f aca="false">IF(AND(AT$6&gt;=EOMONTH($H$112,0),AT$6&lt;=EOMONTH(EDATE($H$112,$E$112-1),0)),$D$112/MAX($E$112,1),0)</f>
        <v>0</v>
      </c>
      <c r="AU121" s="159" t="n">
        <f aca="false">IF(AND(AU$6&gt;=EOMONTH($H$112,0),AU$6&lt;=EOMONTH(EDATE($H$112,$E$112-1),0)),$D$112/MAX($E$112,1),0)</f>
        <v>0</v>
      </c>
      <c r="AV121" s="159" t="n">
        <f aca="false">IF(AND(AV$6&gt;=EOMONTH($H$112,0),AV$6&lt;=EOMONTH(EDATE($H$112,$E$112-1),0)),$D$112/MAX($E$112,1),0)</f>
        <v>0</v>
      </c>
      <c r="AW121" s="159" t="n">
        <f aca="false">IF(AND(AW$6&gt;=EOMONTH($H$112,0),AW$6&lt;=EOMONTH(EDATE($H$112,$E$112-1),0)),$D$112/MAX($E$112,1),0)</f>
        <v>0</v>
      </c>
      <c r="AX121" s="159" t="n">
        <f aca="false">IF(AND(AX$6&gt;=EOMONTH($H$112,0),AX$6&lt;=EOMONTH(EDATE($H$112,$E$112-1),0)),$D$112/MAX($E$112,1),0)</f>
        <v>0</v>
      </c>
      <c r="AY121" s="159" t="n">
        <f aca="false">IF(AND(AY$6&gt;=EOMONTH($H$112,0),AY$6&lt;=EOMONTH(EDATE($H$112,$E$112-1),0)),$D$112/MAX($E$112,1),0)</f>
        <v>0</v>
      </c>
      <c r="AZ121" s="159" t="n">
        <f aca="false">IF(AND(AZ$6&gt;=EOMONTH($H$112,0),AZ$6&lt;=EOMONTH(EDATE($H$112,$E$112-1),0)),$D$112/MAX($E$112,1),0)</f>
        <v>0</v>
      </c>
      <c r="BA121" s="159" t="n">
        <f aca="false">IF(AND(BA$6&gt;=EOMONTH($H$112,0),BA$6&lt;=EOMONTH(EDATE($H$112,$E$112-1),0)),$D$112/MAX($E$112,1),0)</f>
        <v>0</v>
      </c>
      <c r="BB121" s="159" t="n">
        <f aca="false">IF(AND(BB$6&gt;=EOMONTH($H$112,0),BB$6&lt;=EOMONTH(EDATE($H$112,$E$112-1),0)),$D$112/MAX($E$112,1),0)</f>
        <v>0</v>
      </c>
      <c r="BC121" s="159" t="n">
        <f aca="false">IF(AND(BC$6&gt;=EOMONTH($H$112,0),BC$6&lt;=EOMONTH(EDATE($H$112,$E$112-1),0)),$D$112/MAX($E$112,1),0)</f>
        <v>0</v>
      </c>
      <c r="BD121" s="159" t="n">
        <f aca="false">IF(AND(BD$6&gt;=EOMONTH($H$112,0),BD$6&lt;=EOMONTH(EDATE($H$112,$E$112-1),0)),$D$112/MAX($E$112,1),0)</f>
        <v>0</v>
      </c>
      <c r="BE121" s="159" t="n">
        <f aca="false">IF(AND(BE$6&gt;=EOMONTH($H$112,0),BE$6&lt;=EOMONTH(EDATE($H$112,$E$112-1),0)),$D$112/MAX($E$112,1),0)</f>
        <v>0</v>
      </c>
      <c r="BF121" s="159" t="n">
        <f aca="false">IF(AND(BF$6&gt;=EOMONTH($H$112,0),BF$6&lt;=EOMONTH(EDATE($H$112,$E$112-1),0)),$D$112/MAX($E$112,1),0)</f>
        <v>0</v>
      </c>
      <c r="BG121" s="159" t="n">
        <f aca="false">IF(AND(BG$6&gt;=EOMONTH($H$112,0),BG$6&lt;=EOMONTH(EDATE($H$112,$E$112-1),0)),$D$112/MAX($E$112,1),0)</f>
        <v>0</v>
      </c>
      <c r="BH121" s="159" t="n">
        <f aca="false">IF(AND(BH$6&gt;=EOMONTH($H$112,0),BH$6&lt;=EOMONTH(EDATE($H$112,$E$112-1),0)),$D$112/MAX($E$112,1),0)</f>
        <v>0</v>
      </c>
      <c r="BI121" s="159" t="n">
        <f aca="false">IF(AND(BI$6&gt;=EOMONTH($H$112,0),BI$6&lt;=EOMONTH(EDATE($H$112,$E$112-1),0)),$D$112/MAX($E$112,1),0)</f>
        <v>0</v>
      </c>
      <c r="BJ121" s="159" t="n">
        <f aca="false">IF(AND(BJ$6&gt;=EOMONTH($H$112,0),BJ$6&lt;=EOMONTH(EDATE($H$112,$E$112-1),0)),$D$112/MAX($E$112,1),0)</f>
        <v>0</v>
      </c>
      <c r="BK121" s="159" t="n">
        <f aca="false">IF(AND(BK$6&gt;=EOMONTH($H$112,0),BK$6&lt;=EOMONTH(EDATE($H$112,$E$112-1),0)),$D$112/MAX($E$112,1),0)</f>
        <v>0</v>
      </c>
      <c r="BL121" s="159" t="n">
        <f aca="false">IF(AND(BL$6&gt;=EOMONTH($H$112,0),BL$6&lt;=EOMONTH(EDATE($H$112,$E$112-1),0)),$D$112/MAX($E$112,1),0)</f>
        <v>0</v>
      </c>
      <c r="BM121" s="159" t="n">
        <f aca="false">IF(AND(BM$6&gt;=EOMONTH($H$112,0),BM$6&lt;=EOMONTH(EDATE($H$112,$E$112-1),0)),$D$112/MAX($E$112,1),0)</f>
        <v>0</v>
      </c>
      <c r="BN121" s="159" t="n">
        <f aca="false">IF(AND(BN$6&gt;=EOMONTH($H$112,0),BN$6&lt;=EOMONTH(EDATE($H$112,$E$112-1),0)),$D$112/MAX($E$112,1),0)</f>
        <v>0</v>
      </c>
      <c r="BO121" s="159" t="n">
        <f aca="false">IF(AND(BO$6&gt;=EOMONTH($H$112,0),BO$6&lt;=EOMONTH(EDATE($H$112,$E$112-1),0)),$D$112/MAX($E$112,1),0)</f>
        <v>0</v>
      </c>
      <c r="BP121" s="159" t="n">
        <f aca="false">IF(AND(BP$6&gt;=EOMONTH($H$112,0),BP$6&lt;=EOMONTH(EDATE($H$112,$E$112-1),0)),$D$112/MAX($E$112,1),0)</f>
        <v>0</v>
      </c>
      <c r="BQ121" s="159" t="n">
        <f aca="false">IF(AND(BQ$6&gt;=EOMONTH($H$112,0),BQ$6&lt;=EOMONTH(EDATE($H$112,$E$112-1),0)),$D$112/MAX($E$112,1),0)</f>
        <v>0</v>
      </c>
      <c r="BR121" s="159" t="n">
        <f aca="false">IF(AND(BR$6&gt;=EOMONTH($H$112,0),BR$6&lt;=EOMONTH(EDATE($H$112,$E$112-1),0)),$D$112/MAX($E$112,1),0)</f>
        <v>0</v>
      </c>
      <c r="BS121" s="159" t="n">
        <f aca="false">IF(AND(BS$6&gt;=EOMONTH($H$112,0),BS$6&lt;=EOMONTH(EDATE($H$112,$E$112-1),0)),$D$112/MAX($E$112,1),0)</f>
        <v>0</v>
      </c>
      <c r="BT121" s="159" t="n">
        <f aca="false">IF(AND(BT$6&gt;=EOMONTH($H$112,0),BT$6&lt;=EOMONTH(EDATE($H$112,$E$112-1),0)),$D$112/MAX($E$112,1),0)</f>
        <v>0</v>
      </c>
      <c r="BU121" s="159" t="n">
        <f aca="false">IF(AND(BU$6&gt;=EOMONTH($H$112,0),BU$6&lt;=EOMONTH(EDATE($H$112,$E$112-1),0)),$D$112/MAX($E$112,1),0)</f>
        <v>0</v>
      </c>
      <c r="BV121" s="159" t="n">
        <f aca="false">IF(AND(BV$6&gt;=EOMONTH($H$112,0),BV$6&lt;=EOMONTH(EDATE($H$112,$E$112-1),0)),$D$112/MAX($E$112,1),0)</f>
        <v>0</v>
      </c>
      <c r="BW121" s="159" t="n">
        <f aca="false">IF(AND(BW$6&gt;=EOMONTH($H$112,0),BW$6&lt;=EOMONTH(EDATE($H$112,$E$112-1),0)),$D$112/MAX($E$112,1),0)</f>
        <v>0</v>
      </c>
      <c r="BX121" s="159" t="n">
        <f aca="false">IF(AND(BX$6&gt;=EOMONTH($H$112,0),BX$6&lt;=EOMONTH(EDATE($H$112,$E$112-1),0)),$D$112/MAX($E$112,1),0)</f>
        <v>0</v>
      </c>
      <c r="BY121" s="159" t="n">
        <f aca="false">IF(AND(BY$6&gt;=EOMONTH($H$112,0),BY$6&lt;=EOMONTH(EDATE($H$112,$E$112-1),0)),$D$112/MAX($E$112,1),0)</f>
        <v>0</v>
      </c>
      <c r="BZ121" s="159" t="n">
        <f aca="false">IF(AND(BZ$6&gt;=EOMONTH($H$112,0),BZ$6&lt;=EOMONTH(EDATE($H$112,$E$112-1),0)),$D$112/MAX($E$112,1),0)</f>
        <v>0</v>
      </c>
      <c r="CA121" s="159" t="n">
        <f aca="false">IF(AND(CA$6&gt;=EOMONTH($H$112,0),CA$6&lt;=EOMONTH(EDATE($H$112,$E$112-1),0)),$D$112/MAX($E$112,1),0)</f>
        <v>0</v>
      </c>
    </row>
    <row r="122" customFormat="false" ht="15" hidden="false" customHeight="false" outlineLevel="0" collapsed="false">
      <c r="B122" s="196" t="s">
        <v>373</v>
      </c>
      <c r="T122" s="159" t="n">
        <f aca="false">IF(AND(T$6&gt;=EOMONTH($H$113,0),T$6&lt;=EOMONTH(EDATE($H$113,$E$113-1),0)),$D$113/MAX($E$113,1),0)</f>
        <v>0</v>
      </c>
      <c r="U122" s="159" t="n">
        <f aca="false">IF(AND(U$6&gt;=EOMONTH($H$113,0),U$6&lt;=EOMONTH(EDATE($H$113,$E$113-1),0)),$D$113/MAX($E$113,1),0)</f>
        <v>0</v>
      </c>
      <c r="V122" s="159" t="n">
        <f aca="false">IF(AND(V$6&gt;=EOMONTH($H$113,0),V$6&lt;=EOMONTH(EDATE($H$113,$E$113-1),0)),$D$113/MAX($E$113,1),0)</f>
        <v>0</v>
      </c>
      <c r="W122" s="159" t="n">
        <f aca="false">IF(AND(W$6&gt;=EOMONTH($H$113,0),W$6&lt;=EOMONTH(EDATE($H$113,$E$113-1),0)),$D$113/MAX($E$113,1),0)</f>
        <v>0</v>
      </c>
      <c r="X122" s="159" t="n">
        <f aca="false">IF(AND(X$6&gt;=EOMONTH($H$113,0),X$6&lt;=EOMONTH(EDATE($H$113,$E$113-1),0)),$D$113/MAX($E$113,1),0)</f>
        <v>0</v>
      </c>
      <c r="Y122" s="159" t="n">
        <f aca="false">IF(AND(Y$6&gt;=EOMONTH($H$113,0),Y$6&lt;=EOMONTH(EDATE($H$113,$E$113-1),0)),$D$113/MAX($E$113,1),0)</f>
        <v>0</v>
      </c>
      <c r="Z122" s="159" t="n">
        <f aca="false">IF(AND(Z$6&gt;=EOMONTH($H$113,0),Z$6&lt;=EOMONTH(EDATE($H$113,$E$113-1),0)),$D$113/MAX($E$113,1),0)</f>
        <v>0</v>
      </c>
      <c r="AA122" s="159" t="n">
        <f aca="false">IF(AND(AA$6&gt;=EOMONTH($H$113,0),AA$6&lt;=EOMONTH(EDATE($H$113,$E$113-1),0)),$D$113/MAX($E$113,1),0)</f>
        <v>0</v>
      </c>
      <c r="AB122" s="159" t="n">
        <f aca="false">IF(AND(AB$6&gt;=EOMONTH($H$113,0),AB$6&lt;=EOMONTH(EDATE($H$113,$E$113-1),0)),$D$113/MAX($E$113,1),0)</f>
        <v>0</v>
      </c>
      <c r="AC122" s="159" t="n">
        <f aca="false">IF(AND(AC$6&gt;=EOMONTH($H$113,0),AC$6&lt;=EOMONTH(EDATE($H$113,$E$113-1),0)),$D$113/MAX($E$113,1),0)</f>
        <v>0</v>
      </c>
      <c r="AD122" s="159" t="n">
        <f aca="false">IF(AND(AD$6&gt;=EOMONTH($H$113,0),AD$6&lt;=EOMONTH(EDATE($H$113,$E$113-1),0)),$D$113/MAX($E$113,1),0)</f>
        <v>0</v>
      </c>
      <c r="AE122" s="159" t="n">
        <f aca="false">IF(AND(AE$6&gt;=EOMONTH($H$113,0),AE$6&lt;=EOMONTH(EDATE($H$113,$E$113-1),0)),$D$113/MAX($E$113,1),0)</f>
        <v>0</v>
      </c>
      <c r="AF122" s="159" t="n">
        <f aca="false">IF(AND(AF$6&gt;=EOMONTH($H$113,0),AF$6&lt;=EOMONTH(EDATE($H$113,$E$113-1),0)),$D$113/MAX($E$113,1),0)</f>
        <v>20650</v>
      </c>
      <c r="AG122" s="159" t="n">
        <f aca="false">IF(AND(AG$6&gt;=EOMONTH($H$113,0),AG$6&lt;=EOMONTH(EDATE($H$113,$E$113-1),0)),$D$113/MAX($E$113,1),0)</f>
        <v>20650</v>
      </c>
      <c r="AH122" s="159" t="n">
        <f aca="false">IF(AND(AH$6&gt;=EOMONTH($H$113,0),AH$6&lt;=EOMONTH(EDATE($H$113,$E$113-1),0)),$D$113/MAX($E$113,1),0)</f>
        <v>20650</v>
      </c>
      <c r="AI122" s="159" t="n">
        <f aca="false">IF(AND(AI$6&gt;=EOMONTH($H$113,0),AI$6&lt;=EOMONTH(EDATE($H$113,$E$113-1),0)),$D$113/MAX($E$113,1),0)</f>
        <v>20650</v>
      </c>
      <c r="AJ122" s="159" t="n">
        <f aca="false">IF(AND(AJ$6&gt;=EOMONTH($H$113,0),AJ$6&lt;=EOMONTH(EDATE($H$113,$E$113-1),0)),$D$113/MAX($E$113,1),0)</f>
        <v>20650</v>
      </c>
      <c r="AK122" s="159" t="n">
        <f aca="false">IF(AND(AK$6&gt;=EOMONTH($H$113,0),AK$6&lt;=EOMONTH(EDATE($H$113,$E$113-1),0)),$D$113/MAX($E$113,1),0)</f>
        <v>20650</v>
      </c>
      <c r="AL122" s="159" t="n">
        <f aca="false">IF(AND(AL$6&gt;=EOMONTH($H$113,0),AL$6&lt;=EOMONTH(EDATE($H$113,$E$113-1),0)),$D$113/MAX($E$113,1),0)</f>
        <v>20650</v>
      </c>
      <c r="AM122" s="159" t="n">
        <f aca="false">IF(AND(AM$6&gt;=EOMONTH($H$113,0),AM$6&lt;=EOMONTH(EDATE($H$113,$E$113-1),0)),$D$113/MAX($E$113,1),0)</f>
        <v>20650</v>
      </c>
      <c r="AN122" s="159" t="n">
        <f aca="false">IF(AND(AN$6&gt;=EOMONTH($H$113,0),AN$6&lt;=EOMONTH(EDATE($H$113,$E$113-1),0)),$D$113/MAX($E$113,1),0)</f>
        <v>20650</v>
      </c>
      <c r="AO122" s="159" t="n">
        <f aca="false">IF(AND(AO$6&gt;=EOMONTH($H$113,0),AO$6&lt;=EOMONTH(EDATE($H$113,$E$113-1),0)),$D$113/MAX($E$113,1),0)</f>
        <v>20650</v>
      </c>
      <c r="AP122" s="159" t="n">
        <f aca="false">IF(AND(AP$6&gt;=EOMONTH($H$113,0),AP$6&lt;=EOMONTH(EDATE($H$113,$E$113-1),0)),$D$113/MAX($E$113,1),0)</f>
        <v>20650</v>
      </c>
      <c r="AQ122" s="159" t="n">
        <f aca="false">IF(AND(AQ$6&gt;=EOMONTH($H$113,0),AQ$6&lt;=EOMONTH(EDATE($H$113,$E$113-1),0)),$D$113/MAX($E$113,1),0)</f>
        <v>20650</v>
      </c>
      <c r="AR122" s="159" t="n">
        <f aca="false">IF(AND(AR$6&gt;=EOMONTH($H$113,0),AR$6&lt;=EOMONTH(EDATE($H$113,$E$113-1),0)),$D$113/MAX($E$113,1),0)</f>
        <v>20650</v>
      </c>
      <c r="AS122" s="159" t="n">
        <f aca="false">IF(AND(AS$6&gt;=EOMONTH($H$113,0),AS$6&lt;=EOMONTH(EDATE($H$113,$E$113-1),0)),$D$113/MAX($E$113,1),0)</f>
        <v>20650</v>
      </c>
      <c r="AT122" s="159" t="n">
        <f aca="false">IF(AND(AT$6&gt;=EOMONTH($H$113,0),AT$6&lt;=EOMONTH(EDATE($H$113,$E$113-1),0)),$D$113/MAX($E$113,1),0)</f>
        <v>20650</v>
      </c>
      <c r="AU122" s="159" t="n">
        <f aca="false">IF(AND(AU$6&gt;=EOMONTH($H$113,0),AU$6&lt;=EOMONTH(EDATE($H$113,$E$113-1),0)),$D$113/MAX($E$113,1),0)</f>
        <v>20650</v>
      </c>
      <c r="AV122" s="159" t="n">
        <f aca="false">IF(AND(AV$6&gt;=EOMONTH($H$113,0),AV$6&lt;=EOMONTH(EDATE($H$113,$E$113-1),0)),$D$113/MAX($E$113,1),0)</f>
        <v>0</v>
      </c>
      <c r="AW122" s="159" t="n">
        <f aca="false">IF(AND(AW$6&gt;=EOMONTH($H$113,0),AW$6&lt;=EOMONTH(EDATE($H$113,$E$113-1),0)),$D$113/MAX($E$113,1),0)</f>
        <v>0</v>
      </c>
      <c r="AX122" s="159" t="n">
        <f aca="false">IF(AND(AX$6&gt;=EOMONTH($H$113,0),AX$6&lt;=EOMONTH(EDATE($H$113,$E$113-1),0)),$D$113/MAX($E$113,1),0)</f>
        <v>0</v>
      </c>
      <c r="AY122" s="159" t="n">
        <f aca="false">IF(AND(AY$6&gt;=EOMONTH($H$113,0),AY$6&lt;=EOMONTH(EDATE($H$113,$E$113-1),0)),$D$113/MAX($E$113,1),0)</f>
        <v>0</v>
      </c>
      <c r="AZ122" s="159" t="n">
        <f aca="false">IF(AND(AZ$6&gt;=EOMONTH($H$113,0),AZ$6&lt;=EOMONTH(EDATE($H$113,$E$113-1),0)),$D$113/MAX($E$113,1),0)</f>
        <v>0</v>
      </c>
      <c r="BA122" s="159" t="n">
        <f aca="false">IF(AND(BA$6&gt;=EOMONTH($H$113,0),BA$6&lt;=EOMONTH(EDATE($H$113,$E$113-1),0)),$D$113/MAX($E$113,1),0)</f>
        <v>0</v>
      </c>
      <c r="BB122" s="159" t="n">
        <f aca="false">IF(AND(BB$6&gt;=EOMONTH($H$113,0),BB$6&lt;=EOMONTH(EDATE($H$113,$E$113-1),0)),$D$113/MAX($E$113,1),0)</f>
        <v>0</v>
      </c>
      <c r="BC122" s="159" t="n">
        <f aca="false">IF(AND(BC$6&gt;=EOMONTH($H$113,0),BC$6&lt;=EOMONTH(EDATE($H$113,$E$113-1),0)),$D$113/MAX($E$113,1),0)</f>
        <v>0</v>
      </c>
      <c r="BD122" s="159" t="n">
        <f aca="false">IF(AND(BD$6&gt;=EOMONTH($H$113,0),BD$6&lt;=EOMONTH(EDATE($H$113,$E$113-1),0)),$D$113/MAX($E$113,1),0)</f>
        <v>0</v>
      </c>
      <c r="BE122" s="159" t="n">
        <f aca="false">IF(AND(BE$6&gt;=EOMONTH($H$113,0),BE$6&lt;=EOMONTH(EDATE($H$113,$E$113-1),0)),$D$113/MAX($E$113,1),0)</f>
        <v>0</v>
      </c>
      <c r="BF122" s="159" t="n">
        <f aca="false">IF(AND(BF$6&gt;=EOMONTH($H$113,0),BF$6&lt;=EOMONTH(EDATE($H$113,$E$113-1),0)),$D$113/MAX($E$113,1),0)</f>
        <v>0</v>
      </c>
      <c r="BG122" s="159" t="n">
        <f aca="false">IF(AND(BG$6&gt;=EOMONTH($H$113,0),BG$6&lt;=EOMONTH(EDATE($H$113,$E$113-1),0)),$D$113/MAX($E$113,1),0)</f>
        <v>0</v>
      </c>
      <c r="BH122" s="159" t="n">
        <f aca="false">IF(AND(BH$6&gt;=EOMONTH($H$113,0),BH$6&lt;=EOMONTH(EDATE($H$113,$E$113-1),0)),$D$113/MAX($E$113,1),0)</f>
        <v>0</v>
      </c>
      <c r="BI122" s="159" t="n">
        <f aca="false">IF(AND(BI$6&gt;=EOMONTH($H$113,0),BI$6&lt;=EOMONTH(EDATE($H$113,$E$113-1),0)),$D$113/MAX($E$113,1),0)</f>
        <v>0</v>
      </c>
      <c r="BJ122" s="159" t="n">
        <f aca="false">IF(AND(BJ$6&gt;=EOMONTH($H$113,0),BJ$6&lt;=EOMONTH(EDATE($H$113,$E$113-1),0)),$D$113/MAX($E$113,1),0)</f>
        <v>0</v>
      </c>
      <c r="BK122" s="159" t="n">
        <f aca="false">IF(AND(BK$6&gt;=EOMONTH($H$113,0),BK$6&lt;=EOMONTH(EDATE($H$113,$E$113-1),0)),$D$113/MAX($E$113,1),0)</f>
        <v>0</v>
      </c>
      <c r="BL122" s="159" t="n">
        <f aca="false">IF(AND(BL$6&gt;=EOMONTH($H$113,0),BL$6&lt;=EOMONTH(EDATE($H$113,$E$113-1),0)),$D$113/MAX($E$113,1),0)</f>
        <v>0</v>
      </c>
      <c r="BM122" s="159" t="n">
        <f aca="false">IF(AND(BM$6&gt;=EOMONTH($H$113,0),BM$6&lt;=EOMONTH(EDATE($H$113,$E$113-1),0)),$D$113/MAX($E$113,1),0)</f>
        <v>0</v>
      </c>
      <c r="BN122" s="159" t="n">
        <f aca="false">IF(AND(BN$6&gt;=EOMONTH($H$113,0),BN$6&lt;=EOMONTH(EDATE($H$113,$E$113-1),0)),$D$113/MAX($E$113,1),0)</f>
        <v>0</v>
      </c>
      <c r="BO122" s="159" t="n">
        <f aca="false">IF(AND(BO$6&gt;=EOMONTH($H$113,0),BO$6&lt;=EOMONTH(EDATE($H$113,$E$113-1),0)),$D$113/MAX($E$113,1),0)</f>
        <v>0</v>
      </c>
      <c r="BP122" s="159" t="n">
        <f aca="false">IF(AND(BP$6&gt;=EOMONTH($H$113,0),BP$6&lt;=EOMONTH(EDATE($H$113,$E$113-1),0)),$D$113/MAX($E$113,1),0)</f>
        <v>0</v>
      </c>
      <c r="BQ122" s="159" t="n">
        <f aca="false">IF(AND(BQ$6&gt;=EOMONTH($H$113,0),BQ$6&lt;=EOMONTH(EDATE($H$113,$E$113-1),0)),$D$113/MAX($E$113,1),0)</f>
        <v>0</v>
      </c>
      <c r="BR122" s="159" t="n">
        <f aca="false">IF(AND(BR$6&gt;=EOMONTH($H$113,0),BR$6&lt;=EOMONTH(EDATE($H$113,$E$113-1),0)),$D$113/MAX($E$113,1),0)</f>
        <v>0</v>
      </c>
      <c r="BS122" s="159" t="n">
        <f aca="false">IF(AND(BS$6&gt;=EOMONTH($H$113,0),BS$6&lt;=EOMONTH(EDATE($H$113,$E$113-1),0)),$D$113/MAX($E$113,1),0)</f>
        <v>0</v>
      </c>
      <c r="BT122" s="159" t="n">
        <f aca="false">IF(AND(BT$6&gt;=EOMONTH($H$113,0),BT$6&lt;=EOMONTH(EDATE($H$113,$E$113-1),0)),$D$113/MAX($E$113,1),0)</f>
        <v>0</v>
      </c>
      <c r="BU122" s="159" t="n">
        <f aca="false">IF(AND(BU$6&gt;=EOMONTH($H$113,0),BU$6&lt;=EOMONTH(EDATE($H$113,$E$113-1),0)),$D$113/MAX($E$113,1),0)</f>
        <v>0</v>
      </c>
      <c r="BV122" s="159" t="n">
        <f aca="false">IF(AND(BV$6&gt;=EOMONTH($H$113,0),BV$6&lt;=EOMONTH(EDATE($H$113,$E$113-1),0)),$D$113/MAX($E$113,1),0)</f>
        <v>0</v>
      </c>
      <c r="BW122" s="159" t="n">
        <f aca="false">IF(AND(BW$6&gt;=EOMONTH($H$113,0),BW$6&lt;=EOMONTH(EDATE($H$113,$E$113-1),0)),$D$113/MAX($E$113,1),0)</f>
        <v>0</v>
      </c>
      <c r="BX122" s="159" t="n">
        <f aca="false">IF(AND(BX$6&gt;=EOMONTH($H$113,0),BX$6&lt;=EOMONTH(EDATE($H$113,$E$113-1),0)),$D$113/MAX($E$113,1),0)</f>
        <v>0</v>
      </c>
      <c r="BY122" s="159" t="n">
        <f aca="false">IF(AND(BY$6&gt;=EOMONTH($H$113,0),BY$6&lt;=EOMONTH(EDATE($H$113,$E$113-1),0)),$D$113/MAX($E$113,1),0)</f>
        <v>0</v>
      </c>
      <c r="BZ122" s="159" t="n">
        <f aca="false">IF(AND(BZ$6&gt;=EOMONTH($H$113,0),BZ$6&lt;=EOMONTH(EDATE($H$113,$E$113-1),0)),$D$113/MAX($E$113,1),0)</f>
        <v>0</v>
      </c>
      <c r="CA122" s="159" t="n">
        <f aca="false">IF(AND(CA$6&gt;=EOMONTH($H$113,0),CA$6&lt;=EOMONTH(EDATE($H$113,$E$113-1),0)),$D$113/MAX($E$113,1),0)</f>
        <v>0</v>
      </c>
    </row>
    <row r="123" customFormat="false" ht="15" hidden="false" customHeight="false" outlineLevel="0" collapsed="false">
      <c r="B123" s="196" t="s">
        <v>374</v>
      </c>
      <c r="T123" s="159" t="n">
        <f aca="false">IF(AND(T$6&gt;=EOMONTH($H$114,0),T$6&lt;=EOMONTH(EDATE($H$114,$E$114-1),0)),$D$114/MAX($E$114,1),0)</f>
        <v>0</v>
      </c>
      <c r="U123" s="159" t="n">
        <f aca="false">IF(AND(U$6&gt;=EOMONTH($H$114,0),U$6&lt;=EOMONTH(EDATE($H$114,$E$114-1),0)),$D$114/MAX($E$114,1),0)</f>
        <v>0</v>
      </c>
      <c r="V123" s="159" t="n">
        <f aca="false">IF(AND(V$6&gt;=EOMONTH($H$114,0),V$6&lt;=EOMONTH(EDATE($H$114,$E$114-1),0)),$D$114/MAX($E$114,1),0)</f>
        <v>0</v>
      </c>
      <c r="W123" s="159" t="n">
        <f aca="false">IF(AND(W$6&gt;=EOMONTH($H$114,0),W$6&lt;=EOMONTH(EDATE($H$114,$E$114-1),0)),$D$114/MAX($E$114,1),0)</f>
        <v>0</v>
      </c>
      <c r="X123" s="159" t="n">
        <f aca="false">IF(AND(X$6&gt;=EOMONTH($H$114,0),X$6&lt;=EOMONTH(EDATE($H$114,$E$114-1),0)),$D$114/MAX($E$114,1),0)</f>
        <v>0</v>
      </c>
      <c r="Y123" s="159" t="n">
        <f aca="false">IF(AND(Y$6&gt;=EOMONTH($H$114,0),Y$6&lt;=EOMONTH(EDATE($H$114,$E$114-1),0)),$D$114/MAX($E$114,1),0)</f>
        <v>0</v>
      </c>
      <c r="Z123" s="159" t="n">
        <f aca="false">IF(AND(Z$6&gt;=EOMONTH($H$114,0),Z$6&lt;=EOMONTH(EDATE($H$114,$E$114-1),0)),$D$114/MAX($E$114,1),0)</f>
        <v>0</v>
      </c>
      <c r="AA123" s="159" t="n">
        <f aca="false">IF(AND(AA$6&gt;=EOMONTH($H$114,0),AA$6&lt;=EOMONTH(EDATE($H$114,$E$114-1),0)),$D$114/MAX($E$114,1),0)</f>
        <v>0</v>
      </c>
      <c r="AB123" s="159" t="n">
        <f aca="false">IF(AND(AB$6&gt;=EOMONTH($H$114,0),AB$6&lt;=EOMONTH(EDATE($H$114,$E$114-1),0)),$D$114/MAX($E$114,1),0)</f>
        <v>0</v>
      </c>
      <c r="AC123" s="159" t="n">
        <f aca="false">IF(AND(AC$6&gt;=EOMONTH($H$114,0),AC$6&lt;=EOMONTH(EDATE($H$114,$E$114-1),0)),$D$114/MAX($E$114,1),0)</f>
        <v>0</v>
      </c>
      <c r="AD123" s="159" t="n">
        <f aca="false">IF(AND(AD$6&gt;=EOMONTH($H$114,0),AD$6&lt;=EOMONTH(EDATE($H$114,$E$114-1),0)),$D$114/MAX($E$114,1),0)</f>
        <v>0</v>
      </c>
      <c r="AE123" s="159" t="n">
        <f aca="false">IF(AND(AE$6&gt;=EOMONTH($H$114,0),AE$6&lt;=EOMONTH(EDATE($H$114,$E$114-1),0)),$D$114/MAX($E$114,1),0)</f>
        <v>0</v>
      </c>
      <c r="AF123" s="159" t="n">
        <f aca="false">IF(AND(AF$6&gt;=EOMONTH($H$114,0),AF$6&lt;=EOMONTH(EDATE($H$114,$E$114-1),0)),$D$114/MAX($E$114,1),0)</f>
        <v>27877.5</v>
      </c>
      <c r="AG123" s="159" t="n">
        <f aca="false">IF(AND(AG$6&gt;=EOMONTH($H$114,0),AG$6&lt;=EOMONTH(EDATE($H$114,$E$114-1),0)),$D$114/MAX($E$114,1),0)</f>
        <v>27877.5</v>
      </c>
      <c r="AH123" s="159" t="n">
        <f aca="false">IF(AND(AH$6&gt;=EOMONTH($H$114,0),AH$6&lt;=EOMONTH(EDATE($H$114,$E$114-1),0)),$D$114/MAX($E$114,1),0)</f>
        <v>27877.5</v>
      </c>
      <c r="AI123" s="159" t="n">
        <f aca="false">IF(AND(AI$6&gt;=EOMONTH($H$114,0),AI$6&lt;=EOMONTH(EDATE($H$114,$E$114-1),0)),$D$114/MAX($E$114,1),0)</f>
        <v>27877.5</v>
      </c>
      <c r="AJ123" s="159" t="n">
        <f aca="false">IF(AND(AJ$6&gt;=EOMONTH($H$114,0),AJ$6&lt;=EOMONTH(EDATE($H$114,$E$114-1),0)),$D$114/MAX($E$114,1),0)</f>
        <v>27877.5</v>
      </c>
      <c r="AK123" s="159" t="n">
        <f aca="false">IF(AND(AK$6&gt;=EOMONTH($H$114,0),AK$6&lt;=EOMONTH(EDATE($H$114,$E$114-1),0)),$D$114/MAX($E$114,1),0)</f>
        <v>27877.5</v>
      </c>
      <c r="AL123" s="159" t="n">
        <f aca="false">IF(AND(AL$6&gt;=EOMONTH($H$114,0),AL$6&lt;=EOMONTH(EDATE($H$114,$E$114-1),0)),$D$114/MAX($E$114,1),0)</f>
        <v>27877.5</v>
      </c>
      <c r="AM123" s="159" t="n">
        <f aca="false">IF(AND(AM$6&gt;=EOMONTH($H$114,0),AM$6&lt;=EOMONTH(EDATE($H$114,$E$114-1),0)),$D$114/MAX($E$114,1),0)</f>
        <v>27877.5</v>
      </c>
      <c r="AN123" s="159" t="n">
        <f aca="false">IF(AND(AN$6&gt;=EOMONTH($H$114,0),AN$6&lt;=EOMONTH(EDATE($H$114,$E$114-1),0)),$D$114/MAX($E$114,1),0)</f>
        <v>27877.5</v>
      </c>
      <c r="AO123" s="159" t="n">
        <f aca="false">IF(AND(AO$6&gt;=EOMONTH($H$114,0),AO$6&lt;=EOMONTH(EDATE($H$114,$E$114-1),0)),$D$114/MAX($E$114,1),0)</f>
        <v>27877.5</v>
      </c>
      <c r="AP123" s="159" t="n">
        <f aca="false">IF(AND(AP$6&gt;=EOMONTH($H$114,0),AP$6&lt;=EOMONTH(EDATE($H$114,$E$114-1),0)),$D$114/MAX($E$114,1),0)</f>
        <v>27877.5</v>
      </c>
      <c r="AQ123" s="159" t="n">
        <f aca="false">IF(AND(AQ$6&gt;=EOMONTH($H$114,0),AQ$6&lt;=EOMONTH(EDATE($H$114,$E$114-1),0)),$D$114/MAX($E$114,1),0)</f>
        <v>27877.5</v>
      </c>
      <c r="AR123" s="159" t="n">
        <f aca="false">IF(AND(AR$6&gt;=EOMONTH($H$114,0),AR$6&lt;=EOMONTH(EDATE($H$114,$E$114-1),0)),$D$114/MAX($E$114,1),0)</f>
        <v>27877.5</v>
      </c>
      <c r="AS123" s="159" t="n">
        <f aca="false">IF(AND(AS$6&gt;=EOMONTH($H$114,0),AS$6&lt;=EOMONTH(EDATE($H$114,$E$114-1),0)),$D$114/MAX($E$114,1),0)</f>
        <v>27877.5</v>
      </c>
      <c r="AT123" s="159" t="n">
        <f aca="false">IF(AND(AT$6&gt;=EOMONTH($H$114,0),AT$6&lt;=EOMONTH(EDATE($H$114,$E$114-1),0)),$D$114/MAX($E$114,1),0)</f>
        <v>27877.5</v>
      </c>
      <c r="AU123" s="159" t="n">
        <f aca="false">IF(AND(AU$6&gt;=EOMONTH($H$114,0),AU$6&lt;=EOMONTH(EDATE($H$114,$E$114-1),0)),$D$114/MAX($E$114,1),0)</f>
        <v>27877.5</v>
      </c>
      <c r="AV123" s="159" t="n">
        <f aca="false">IF(AND(AV$6&gt;=EOMONTH($H$114,0),AV$6&lt;=EOMONTH(EDATE($H$114,$E$114-1),0)),$D$114/MAX($E$114,1),0)</f>
        <v>0</v>
      </c>
      <c r="AW123" s="159" t="n">
        <f aca="false">IF(AND(AW$6&gt;=EOMONTH($H$114,0),AW$6&lt;=EOMONTH(EDATE($H$114,$E$114-1),0)),$D$114/MAX($E$114,1),0)</f>
        <v>0</v>
      </c>
      <c r="AX123" s="159" t="n">
        <f aca="false">IF(AND(AX$6&gt;=EOMONTH($H$114,0),AX$6&lt;=EOMONTH(EDATE($H$114,$E$114-1),0)),$D$114/MAX($E$114,1),0)</f>
        <v>0</v>
      </c>
      <c r="AY123" s="159" t="n">
        <f aca="false">IF(AND(AY$6&gt;=EOMONTH($H$114,0),AY$6&lt;=EOMONTH(EDATE($H$114,$E$114-1),0)),$D$114/MAX($E$114,1),0)</f>
        <v>0</v>
      </c>
      <c r="AZ123" s="159" t="n">
        <f aca="false">IF(AND(AZ$6&gt;=EOMONTH($H$114,0),AZ$6&lt;=EOMONTH(EDATE($H$114,$E$114-1),0)),$D$114/MAX($E$114,1),0)</f>
        <v>0</v>
      </c>
      <c r="BA123" s="159" t="n">
        <f aca="false">IF(AND(BA$6&gt;=EOMONTH($H$114,0),BA$6&lt;=EOMONTH(EDATE($H$114,$E$114-1),0)),$D$114/MAX($E$114,1),0)</f>
        <v>0</v>
      </c>
      <c r="BB123" s="159" t="n">
        <f aca="false">IF(AND(BB$6&gt;=EOMONTH($H$114,0),BB$6&lt;=EOMONTH(EDATE($H$114,$E$114-1),0)),$D$114/MAX($E$114,1),0)</f>
        <v>0</v>
      </c>
      <c r="BC123" s="159" t="n">
        <f aca="false">IF(AND(BC$6&gt;=EOMONTH($H$114,0),BC$6&lt;=EOMONTH(EDATE($H$114,$E$114-1),0)),$D$114/MAX($E$114,1),0)</f>
        <v>0</v>
      </c>
      <c r="BD123" s="159" t="n">
        <f aca="false">IF(AND(BD$6&gt;=EOMONTH($H$114,0),BD$6&lt;=EOMONTH(EDATE($H$114,$E$114-1),0)),$D$114/MAX($E$114,1),0)</f>
        <v>0</v>
      </c>
      <c r="BE123" s="159" t="n">
        <f aca="false">IF(AND(BE$6&gt;=EOMONTH($H$114,0),BE$6&lt;=EOMONTH(EDATE($H$114,$E$114-1),0)),$D$114/MAX($E$114,1),0)</f>
        <v>0</v>
      </c>
      <c r="BF123" s="159" t="n">
        <f aca="false">IF(AND(BF$6&gt;=EOMONTH($H$114,0),BF$6&lt;=EOMONTH(EDATE($H$114,$E$114-1),0)),$D$114/MAX($E$114,1),0)</f>
        <v>0</v>
      </c>
      <c r="BG123" s="159" t="n">
        <f aca="false">IF(AND(BG$6&gt;=EOMONTH($H$114,0),BG$6&lt;=EOMONTH(EDATE($H$114,$E$114-1),0)),$D$114/MAX($E$114,1),0)</f>
        <v>0</v>
      </c>
      <c r="BH123" s="159" t="n">
        <f aca="false">IF(AND(BH$6&gt;=EOMONTH($H$114,0),BH$6&lt;=EOMONTH(EDATE($H$114,$E$114-1),0)),$D$114/MAX($E$114,1),0)</f>
        <v>0</v>
      </c>
      <c r="BI123" s="159" t="n">
        <f aca="false">IF(AND(BI$6&gt;=EOMONTH($H$114,0),BI$6&lt;=EOMONTH(EDATE($H$114,$E$114-1),0)),$D$114/MAX($E$114,1),0)</f>
        <v>0</v>
      </c>
      <c r="BJ123" s="159" t="n">
        <f aca="false">IF(AND(BJ$6&gt;=EOMONTH($H$114,0),BJ$6&lt;=EOMONTH(EDATE($H$114,$E$114-1),0)),$D$114/MAX($E$114,1),0)</f>
        <v>0</v>
      </c>
      <c r="BK123" s="159" t="n">
        <f aca="false">IF(AND(BK$6&gt;=EOMONTH($H$114,0),BK$6&lt;=EOMONTH(EDATE($H$114,$E$114-1),0)),$D$114/MAX($E$114,1),0)</f>
        <v>0</v>
      </c>
      <c r="BL123" s="159" t="n">
        <f aca="false">IF(AND(BL$6&gt;=EOMONTH($H$114,0),BL$6&lt;=EOMONTH(EDATE($H$114,$E$114-1),0)),$D$114/MAX($E$114,1),0)</f>
        <v>0</v>
      </c>
      <c r="BM123" s="159" t="n">
        <f aca="false">IF(AND(BM$6&gt;=EOMONTH($H$114,0),BM$6&lt;=EOMONTH(EDATE($H$114,$E$114-1),0)),$D$114/MAX($E$114,1),0)</f>
        <v>0</v>
      </c>
      <c r="BN123" s="159" t="n">
        <f aca="false">IF(AND(BN$6&gt;=EOMONTH($H$114,0),BN$6&lt;=EOMONTH(EDATE($H$114,$E$114-1),0)),$D$114/MAX($E$114,1),0)</f>
        <v>0</v>
      </c>
      <c r="BO123" s="159" t="n">
        <f aca="false">IF(AND(BO$6&gt;=EOMONTH($H$114,0),BO$6&lt;=EOMONTH(EDATE($H$114,$E$114-1),0)),$D$114/MAX($E$114,1),0)</f>
        <v>0</v>
      </c>
      <c r="BP123" s="159" t="n">
        <f aca="false">IF(AND(BP$6&gt;=EOMONTH($H$114,0),BP$6&lt;=EOMONTH(EDATE($H$114,$E$114-1),0)),$D$114/MAX($E$114,1),0)</f>
        <v>0</v>
      </c>
      <c r="BQ123" s="159" t="n">
        <f aca="false">IF(AND(BQ$6&gt;=EOMONTH($H$114,0),BQ$6&lt;=EOMONTH(EDATE($H$114,$E$114-1),0)),$D$114/MAX($E$114,1),0)</f>
        <v>0</v>
      </c>
      <c r="BR123" s="159" t="n">
        <f aca="false">IF(AND(BR$6&gt;=EOMONTH($H$114,0),BR$6&lt;=EOMONTH(EDATE($H$114,$E$114-1),0)),$D$114/MAX($E$114,1),0)</f>
        <v>0</v>
      </c>
      <c r="BS123" s="159" t="n">
        <f aca="false">IF(AND(BS$6&gt;=EOMONTH($H$114,0),BS$6&lt;=EOMONTH(EDATE($H$114,$E$114-1),0)),$D$114/MAX($E$114,1),0)</f>
        <v>0</v>
      </c>
      <c r="BT123" s="159" t="n">
        <f aca="false">IF(AND(BT$6&gt;=EOMONTH($H$114,0),BT$6&lt;=EOMONTH(EDATE($H$114,$E$114-1),0)),$D$114/MAX($E$114,1),0)</f>
        <v>0</v>
      </c>
      <c r="BU123" s="159" t="n">
        <f aca="false">IF(AND(BU$6&gt;=EOMONTH($H$114,0),BU$6&lt;=EOMONTH(EDATE($H$114,$E$114-1),0)),$D$114/MAX($E$114,1),0)</f>
        <v>0</v>
      </c>
      <c r="BV123" s="159" t="n">
        <f aca="false">IF(AND(BV$6&gt;=EOMONTH($H$114,0),BV$6&lt;=EOMONTH(EDATE($H$114,$E$114-1),0)),$D$114/MAX($E$114,1),0)</f>
        <v>0</v>
      </c>
      <c r="BW123" s="159" t="n">
        <f aca="false">IF(AND(BW$6&gt;=EOMONTH($H$114,0),BW$6&lt;=EOMONTH(EDATE($H$114,$E$114-1),0)),$D$114/MAX($E$114,1),0)</f>
        <v>0</v>
      </c>
      <c r="BX123" s="159" t="n">
        <f aca="false">IF(AND(BX$6&gt;=EOMONTH($H$114,0),BX$6&lt;=EOMONTH(EDATE($H$114,$E$114-1),0)),$D$114/MAX($E$114,1),0)</f>
        <v>0</v>
      </c>
      <c r="BY123" s="159" t="n">
        <f aca="false">IF(AND(BY$6&gt;=EOMONTH($H$114,0),BY$6&lt;=EOMONTH(EDATE($H$114,$E$114-1),0)),$D$114/MAX($E$114,1),0)</f>
        <v>0</v>
      </c>
      <c r="BZ123" s="159" t="n">
        <f aca="false">IF(AND(BZ$6&gt;=EOMONTH($H$114,0),BZ$6&lt;=EOMONTH(EDATE($H$114,$E$114-1),0)),$D$114/MAX($E$114,1),0)</f>
        <v>0</v>
      </c>
      <c r="CA123" s="159" t="n">
        <f aca="false">IF(AND(CA$6&gt;=EOMONTH($H$114,0),CA$6&lt;=EOMONTH(EDATE($H$114,$E$114-1),0)),$D$114/MAX($E$114,1),0)</f>
        <v>0</v>
      </c>
    </row>
    <row r="124" customFormat="false" ht="15" hidden="false" customHeight="false" outlineLevel="0" collapsed="false">
      <c r="B124" s="196" t="s">
        <v>375</v>
      </c>
      <c r="T124" s="159" t="n">
        <f aca="false">IF(AND(T$6&gt;=EOMONTH($H$115,0),T$6&lt;=EOMONTH(EDATE($H$115,$E$115-1),0)),$D$115/MAX($E$115,1),0)</f>
        <v>0</v>
      </c>
      <c r="U124" s="159" t="n">
        <f aca="false">IF(AND(U$6&gt;=EOMONTH($H$115,0),U$6&lt;=EOMONTH(EDATE($H$115,$E$115-1),0)),$D$115/MAX($E$115,1),0)</f>
        <v>0</v>
      </c>
      <c r="V124" s="159" t="n">
        <f aca="false">IF(AND(V$6&gt;=EOMONTH($H$115,0),V$6&lt;=EOMONTH(EDATE($H$115,$E$115-1),0)),$D$115/MAX($E$115,1),0)</f>
        <v>0</v>
      </c>
      <c r="W124" s="159" t="n">
        <f aca="false">IF(AND(W$6&gt;=EOMONTH($H$115,0),W$6&lt;=EOMONTH(EDATE($H$115,$E$115-1),0)),$D$115/MAX($E$115,1),0)</f>
        <v>0</v>
      </c>
      <c r="X124" s="159" t="n">
        <f aca="false">IF(AND(X$6&gt;=EOMONTH($H$115,0),X$6&lt;=EOMONTH(EDATE($H$115,$E$115-1),0)),$D$115/MAX($E$115,1),0)</f>
        <v>0</v>
      </c>
      <c r="Y124" s="159" t="n">
        <f aca="false">IF(AND(Y$6&gt;=EOMONTH($H$115,0),Y$6&lt;=EOMONTH(EDATE($H$115,$E$115-1),0)),$D$115/MAX($E$115,1),0)</f>
        <v>0</v>
      </c>
      <c r="Z124" s="159" t="n">
        <f aca="false">IF(AND(Z$6&gt;=EOMONTH($H$115,0),Z$6&lt;=EOMONTH(EDATE($H$115,$E$115-1),0)),$D$115/MAX($E$115,1),0)</f>
        <v>0</v>
      </c>
      <c r="AA124" s="159" t="n">
        <f aca="false">IF(AND(AA$6&gt;=EOMONTH($H$115,0),AA$6&lt;=EOMONTH(EDATE($H$115,$E$115-1),0)),$D$115/MAX($E$115,1),0)</f>
        <v>0</v>
      </c>
      <c r="AB124" s="159" t="n">
        <f aca="false">IF(AND(AB$6&gt;=EOMONTH($H$115,0),AB$6&lt;=EOMONTH(EDATE($H$115,$E$115-1),0)),$D$115/MAX($E$115,1),0)</f>
        <v>0</v>
      </c>
      <c r="AC124" s="159" t="n">
        <f aca="false">IF(AND(AC$6&gt;=EOMONTH($H$115,0),AC$6&lt;=EOMONTH(EDATE($H$115,$E$115-1),0)),$D$115/MAX($E$115,1),0)</f>
        <v>0</v>
      </c>
      <c r="AD124" s="159" t="n">
        <f aca="false">IF(AND(AD$6&gt;=EOMONTH($H$115,0),AD$6&lt;=EOMONTH(EDATE($H$115,$E$115-1),0)),$D$115/MAX($E$115,1),0)</f>
        <v>0</v>
      </c>
      <c r="AE124" s="159" t="n">
        <f aca="false">IF(AND(AE$6&gt;=EOMONTH($H$115,0),AE$6&lt;=EOMONTH(EDATE($H$115,$E$115-1),0)),$D$115/MAX($E$115,1),0)</f>
        <v>0</v>
      </c>
      <c r="AF124" s="159" t="n">
        <f aca="false">IF(AND(AF$6&gt;=EOMONTH($H$115,0),AF$6&lt;=EOMONTH(EDATE($H$115,$E$115-1),0)),$D$115/MAX($E$115,1),0)</f>
        <v>0</v>
      </c>
      <c r="AG124" s="159" t="n">
        <f aca="false">IF(AND(AG$6&gt;=EOMONTH($H$115,0),AG$6&lt;=EOMONTH(EDATE($H$115,$E$115-1),0)),$D$115/MAX($E$115,1),0)</f>
        <v>0</v>
      </c>
      <c r="AH124" s="159" t="n">
        <f aca="false">IF(AND(AH$6&gt;=EOMONTH($H$115,0),AH$6&lt;=EOMONTH(EDATE($H$115,$E$115-1),0)),$D$115/MAX($E$115,1),0)</f>
        <v>0</v>
      </c>
      <c r="AI124" s="159" t="n">
        <f aca="false">IF(AND(AI$6&gt;=EOMONTH($H$115,0),AI$6&lt;=EOMONTH(EDATE($H$115,$E$115-1),0)),$D$115/MAX($E$115,1),0)</f>
        <v>0</v>
      </c>
      <c r="AJ124" s="159" t="n">
        <f aca="false">IF(AND(AJ$6&gt;=EOMONTH($H$115,0),AJ$6&lt;=EOMONTH(EDATE($H$115,$E$115-1),0)),$D$115/MAX($E$115,1),0)</f>
        <v>0</v>
      </c>
      <c r="AK124" s="159" t="n">
        <f aca="false">IF(AND(AK$6&gt;=EOMONTH($H$115,0),AK$6&lt;=EOMONTH(EDATE($H$115,$E$115-1),0)),$D$115/MAX($E$115,1),0)</f>
        <v>0</v>
      </c>
      <c r="AL124" s="159" t="n">
        <f aca="false">IF(AND(AL$6&gt;=EOMONTH($H$115,0),AL$6&lt;=EOMONTH(EDATE($H$115,$E$115-1),0)),$D$115/MAX($E$115,1),0)</f>
        <v>0</v>
      </c>
      <c r="AM124" s="159" t="n">
        <f aca="false">IF(AND(AM$6&gt;=EOMONTH($H$115,0),AM$6&lt;=EOMONTH(EDATE($H$115,$E$115-1),0)),$D$115/MAX($E$115,1),0)</f>
        <v>0</v>
      </c>
      <c r="AN124" s="159" t="n">
        <f aca="false">IF(AND(AN$6&gt;=EOMONTH($H$115,0),AN$6&lt;=EOMONTH(EDATE($H$115,$E$115-1),0)),$D$115/MAX($E$115,1),0)</f>
        <v>0</v>
      </c>
      <c r="AO124" s="159" t="n">
        <f aca="false">IF(AND(AO$6&gt;=EOMONTH($H$115,0),AO$6&lt;=EOMONTH(EDATE($H$115,$E$115-1),0)),$D$115/MAX($E$115,1),0)</f>
        <v>0</v>
      </c>
      <c r="AP124" s="159" t="n">
        <f aca="false">IF(AND(AP$6&gt;=EOMONTH($H$115,0),AP$6&lt;=EOMONTH(EDATE($H$115,$E$115-1),0)),$D$115/MAX($E$115,1),0)</f>
        <v>0</v>
      </c>
      <c r="AQ124" s="159" t="n">
        <f aca="false">IF(AND(AQ$6&gt;=EOMONTH($H$115,0),AQ$6&lt;=EOMONTH(EDATE($H$115,$E$115-1),0)),$D$115/MAX($E$115,1),0)</f>
        <v>0</v>
      </c>
      <c r="AR124" s="159" t="n">
        <f aca="false">IF(AND(AR$6&gt;=EOMONTH($H$115,0),AR$6&lt;=EOMONTH(EDATE($H$115,$E$115-1),0)),$D$115/MAX($E$115,1),0)</f>
        <v>0</v>
      </c>
      <c r="AS124" s="159" t="n">
        <f aca="false">IF(AND(AS$6&gt;=EOMONTH($H$115,0),AS$6&lt;=EOMONTH(EDATE($H$115,$E$115-1),0)),$D$115/MAX($E$115,1),0)</f>
        <v>0</v>
      </c>
      <c r="AT124" s="159" t="n">
        <f aca="false">IF(AND(AT$6&gt;=EOMONTH($H$115,0),AT$6&lt;=EOMONTH(EDATE($H$115,$E$115-1),0)),$D$115/MAX($E$115,1),0)</f>
        <v>0</v>
      </c>
      <c r="AU124" s="159" t="n">
        <f aca="false">IF(AND(AU$6&gt;=EOMONTH($H$115,0),AU$6&lt;=EOMONTH(EDATE($H$115,$E$115-1),0)),$D$115/MAX($E$115,1),0)</f>
        <v>0</v>
      </c>
      <c r="AV124" s="159" t="n">
        <f aca="false">IF(AND(AV$6&gt;=EOMONTH($H$115,0),AV$6&lt;=EOMONTH(EDATE($H$115,$E$115-1),0)),$D$115/MAX($E$115,1),0)</f>
        <v>0</v>
      </c>
      <c r="AW124" s="159" t="n">
        <f aca="false">IF(AND(AW$6&gt;=EOMONTH($H$115,0),AW$6&lt;=EOMONTH(EDATE($H$115,$E$115-1),0)),$D$115/MAX($E$115,1),0)</f>
        <v>0</v>
      </c>
      <c r="AX124" s="159" t="n">
        <f aca="false">IF(AND(AX$6&gt;=EOMONTH($H$115,0),AX$6&lt;=EOMONTH(EDATE($H$115,$E$115-1),0)),$D$115/MAX($E$115,1),0)</f>
        <v>0</v>
      </c>
      <c r="AY124" s="159" t="n">
        <f aca="false">IF(AND(AY$6&gt;=EOMONTH($H$115,0),AY$6&lt;=EOMONTH(EDATE($H$115,$E$115-1),0)),$D$115/MAX($E$115,1),0)</f>
        <v>0</v>
      </c>
      <c r="AZ124" s="159" t="n">
        <f aca="false">IF(AND(AZ$6&gt;=EOMONTH($H$115,0),AZ$6&lt;=EOMONTH(EDATE($H$115,$E$115-1),0)),$D$115/MAX($E$115,1),0)</f>
        <v>0</v>
      </c>
      <c r="BA124" s="159" t="n">
        <f aca="false">IF(AND(BA$6&gt;=EOMONTH($H$115,0),BA$6&lt;=EOMONTH(EDATE($H$115,$E$115-1),0)),$D$115/MAX($E$115,1),0)</f>
        <v>0</v>
      </c>
      <c r="BB124" s="159" t="n">
        <f aca="false">IF(AND(BB$6&gt;=EOMONTH($H$115,0),BB$6&lt;=EOMONTH(EDATE($H$115,$E$115-1),0)),$D$115/MAX($E$115,1),0)</f>
        <v>0</v>
      </c>
      <c r="BC124" s="159" t="n">
        <f aca="false">IF(AND(BC$6&gt;=EOMONTH($H$115,0),BC$6&lt;=EOMONTH(EDATE($H$115,$E$115-1),0)),$D$115/MAX($E$115,1),0)</f>
        <v>0</v>
      </c>
      <c r="BD124" s="159" t="n">
        <f aca="false">IF(AND(BD$6&gt;=EOMONTH($H$115,0),BD$6&lt;=EOMONTH(EDATE($H$115,$E$115-1),0)),$D$115/MAX($E$115,1),0)</f>
        <v>0</v>
      </c>
      <c r="BE124" s="159" t="n">
        <f aca="false">IF(AND(BE$6&gt;=EOMONTH($H$115,0),BE$6&lt;=EOMONTH(EDATE($H$115,$E$115-1),0)),$D$115/MAX($E$115,1),0)</f>
        <v>0</v>
      </c>
      <c r="BF124" s="159" t="n">
        <f aca="false">IF(AND(BF$6&gt;=EOMONTH($H$115,0),BF$6&lt;=EOMONTH(EDATE($H$115,$E$115-1),0)),$D$115/MAX($E$115,1),0)</f>
        <v>0</v>
      </c>
      <c r="BG124" s="159" t="n">
        <f aca="false">IF(AND(BG$6&gt;=EOMONTH($H$115,0),BG$6&lt;=EOMONTH(EDATE($H$115,$E$115-1),0)),$D$115/MAX($E$115,1),0)</f>
        <v>0</v>
      </c>
      <c r="BH124" s="159" t="n">
        <f aca="false">IF(AND(BH$6&gt;=EOMONTH($H$115,0),BH$6&lt;=EOMONTH(EDATE($H$115,$E$115-1),0)),$D$115/MAX($E$115,1),0)</f>
        <v>0</v>
      </c>
      <c r="BI124" s="159" t="n">
        <f aca="false">IF(AND(BI$6&gt;=EOMONTH($H$115,0),BI$6&lt;=EOMONTH(EDATE($H$115,$E$115-1),0)),$D$115/MAX($E$115,1),0)</f>
        <v>0</v>
      </c>
      <c r="BJ124" s="159" t="n">
        <f aca="false">IF(AND(BJ$6&gt;=EOMONTH($H$115,0),BJ$6&lt;=EOMONTH(EDATE($H$115,$E$115-1),0)),$D$115/MAX($E$115,1),0)</f>
        <v>0</v>
      </c>
      <c r="BK124" s="159" t="n">
        <f aca="false">IF(AND(BK$6&gt;=EOMONTH($H$115,0),BK$6&lt;=EOMONTH(EDATE($H$115,$E$115-1),0)),$D$115/MAX($E$115,1),0)</f>
        <v>0</v>
      </c>
      <c r="BL124" s="159" t="n">
        <f aca="false">IF(AND(BL$6&gt;=EOMONTH($H$115,0),BL$6&lt;=EOMONTH(EDATE($H$115,$E$115-1),0)),$D$115/MAX($E$115,1),0)</f>
        <v>0</v>
      </c>
      <c r="BM124" s="159" t="n">
        <f aca="false">IF(AND(BM$6&gt;=EOMONTH($H$115,0),BM$6&lt;=EOMONTH(EDATE($H$115,$E$115-1),0)),$D$115/MAX($E$115,1),0)</f>
        <v>0</v>
      </c>
      <c r="BN124" s="159" t="n">
        <f aca="false">IF(AND(BN$6&gt;=EOMONTH($H$115,0),BN$6&lt;=EOMONTH(EDATE($H$115,$E$115-1),0)),$D$115/MAX($E$115,1),0)</f>
        <v>0</v>
      </c>
      <c r="BO124" s="159" t="n">
        <f aca="false">IF(AND(BO$6&gt;=EOMONTH($H$115,0),BO$6&lt;=EOMONTH(EDATE($H$115,$E$115-1),0)),$D$115/MAX($E$115,1),0)</f>
        <v>0</v>
      </c>
      <c r="BP124" s="159" t="n">
        <f aca="false">IF(AND(BP$6&gt;=EOMONTH($H$115,0),BP$6&lt;=EOMONTH(EDATE($H$115,$E$115-1),0)),$D$115/MAX($E$115,1),0)</f>
        <v>0</v>
      </c>
      <c r="BQ124" s="159" t="n">
        <f aca="false">IF(AND(BQ$6&gt;=EOMONTH($H$115,0),BQ$6&lt;=EOMONTH(EDATE($H$115,$E$115-1),0)),$D$115/MAX($E$115,1),0)</f>
        <v>0</v>
      </c>
      <c r="BR124" s="159" t="n">
        <f aca="false">IF(AND(BR$6&gt;=EOMONTH($H$115,0),BR$6&lt;=EOMONTH(EDATE($H$115,$E$115-1),0)),$D$115/MAX($E$115,1),0)</f>
        <v>0</v>
      </c>
      <c r="BS124" s="159" t="n">
        <f aca="false">IF(AND(BS$6&gt;=EOMONTH($H$115,0),BS$6&lt;=EOMONTH(EDATE($H$115,$E$115-1),0)),$D$115/MAX($E$115,1),0)</f>
        <v>0</v>
      </c>
      <c r="BT124" s="159" t="n">
        <f aca="false">IF(AND(BT$6&gt;=EOMONTH($H$115,0),BT$6&lt;=EOMONTH(EDATE($H$115,$E$115-1),0)),$D$115/MAX($E$115,1),0)</f>
        <v>0</v>
      </c>
      <c r="BU124" s="159" t="n">
        <f aca="false">IF(AND(BU$6&gt;=EOMONTH($H$115,0),BU$6&lt;=EOMONTH(EDATE($H$115,$E$115-1),0)),$D$115/MAX($E$115,1),0)</f>
        <v>0</v>
      </c>
      <c r="BV124" s="159" t="n">
        <f aca="false">IF(AND(BV$6&gt;=EOMONTH($H$115,0),BV$6&lt;=EOMONTH(EDATE($H$115,$E$115-1),0)),$D$115/MAX($E$115,1),0)</f>
        <v>0</v>
      </c>
      <c r="BW124" s="159" t="n">
        <f aca="false">IF(AND(BW$6&gt;=EOMONTH($H$115,0),BW$6&lt;=EOMONTH(EDATE($H$115,$E$115-1),0)),$D$115/MAX($E$115,1),0)</f>
        <v>0</v>
      </c>
      <c r="BX124" s="159" t="n">
        <f aca="false">IF(AND(BX$6&gt;=EOMONTH($H$115,0),BX$6&lt;=EOMONTH(EDATE($H$115,$E$115-1),0)),$D$115/MAX($E$115,1),0)</f>
        <v>0</v>
      </c>
      <c r="BY124" s="159" t="n">
        <f aca="false">IF(AND(BY$6&gt;=EOMONTH($H$115,0),BY$6&lt;=EOMONTH(EDATE($H$115,$E$115-1),0)),$D$115/MAX($E$115,1),0)</f>
        <v>0</v>
      </c>
      <c r="BZ124" s="159" t="n">
        <f aca="false">IF(AND(BZ$6&gt;=EOMONTH($H$115,0),BZ$6&lt;=EOMONTH(EDATE($H$115,$E$115-1),0)),$D$115/MAX($E$115,1),0)</f>
        <v>0</v>
      </c>
      <c r="CA124" s="159" t="n">
        <f aca="false">IF(AND(CA$6&gt;=EOMONTH($H$115,0),CA$6&lt;=EOMONTH(EDATE($H$115,$E$115-1),0)),$D$115/MAX($E$115,1),0)</f>
        <v>0</v>
      </c>
    </row>
    <row r="126" customFormat="false" ht="15" hidden="false" customHeight="false" outlineLevel="0" collapsed="false">
      <c r="B126" s="197" t="s">
        <v>376</v>
      </c>
    </row>
    <row r="127" customFormat="false" ht="15" hidden="false" customHeight="false" outlineLevel="0" collapsed="false">
      <c r="B127" s="10" t="s">
        <v>377</v>
      </c>
      <c r="L127" s="193" t="n">
        <f aca="false">SUMIFS($T127:$CA127,$T$5:$CA$5,2026)</f>
        <v>0</v>
      </c>
      <c r="M127" s="193" t="n">
        <f aca="false">SUMIFS($T127:$CA127,$T$5:$CA$5,2027)</f>
        <v>0</v>
      </c>
      <c r="N127" s="193" t="n">
        <f aca="false">SUMIFS($T127:$CA127,$T$5:$CA$5,2028)</f>
        <v>0</v>
      </c>
      <c r="O127" s="193" t="n">
        <f aca="false">SUMIFS($T127:$CA127,$T$5:$CA$5,2029)</f>
        <v>0</v>
      </c>
      <c r="P127" s="193" t="n">
        <f aca="false">SUMIFS($T127:$CA127,$T$5:$CA$5,2030)</f>
        <v>0</v>
      </c>
      <c r="T127" s="193" t="n">
        <f aca="false">(SUMPRODUCT(T97:T100,$I$84:$I$87)+SUMPRODUCT(T101:T104,$I$91:$I$94))/1000000</f>
        <v>0</v>
      </c>
      <c r="U127" s="193" t="n">
        <f aca="false">(SUMPRODUCT(U97:U100,$I$84:$I$87)+SUMPRODUCT(U101:U104,$I$91:$I$94))/1000000</f>
        <v>0</v>
      </c>
      <c r="V127" s="193" t="n">
        <f aca="false">(SUMPRODUCT(V97:V100,$I$84:$I$87)+SUMPRODUCT(V101:V104,$I$91:$I$94))/1000000</f>
        <v>0</v>
      </c>
      <c r="W127" s="193" t="n">
        <f aca="false">(SUMPRODUCT(W97:W100,$I$84:$I$87)+SUMPRODUCT(W101:W104,$I$91:$I$94))/1000000</f>
        <v>0</v>
      </c>
      <c r="X127" s="193" t="n">
        <f aca="false">(SUMPRODUCT(X97:X100,$I$84:$I$87)+SUMPRODUCT(X101:X104,$I$91:$I$94))/1000000</f>
        <v>0</v>
      </c>
      <c r="Y127" s="193" t="n">
        <f aca="false">(SUMPRODUCT(Y97:Y100,$I$84:$I$87)+SUMPRODUCT(Y101:Y104,$I$91:$I$94))/1000000</f>
        <v>0</v>
      </c>
      <c r="Z127" s="193" t="n">
        <f aca="false">(SUMPRODUCT(Z97:Z100,$I$84:$I$87)+SUMPRODUCT(Z101:Z104,$I$91:$I$94))/1000000</f>
        <v>0</v>
      </c>
      <c r="AA127" s="193" t="n">
        <f aca="false">(SUMPRODUCT(AA97:AA100,$I$84:$I$87)+SUMPRODUCT(AA101:AA104,$I$91:$I$94))/1000000</f>
        <v>0</v>
      </c>
      <c r="AB127" s="193" t="n">
        <f aca="false">(SUMPRODUCT(AB97:AB100,$I$84:$I$87)+SUMPRODUCT(AB101:AB104,$I$91:$I$94))/1000000</f>
        <v>0</v>
      </c>
      <c r="AC127" s="193" t="n">
        <f aca="false">(SUMPRODUCT(AC97:AC100,$I$84:$I$87)+SUMPRODUCT(AC101:AC104,$I$91:$I$94))/1000000</f>
        <v>0</v>
      </c>
      <c r="AD127" s="193" t="n">
        <f aca="false">(SUMPRODUCT(AD97:AD100,$I$84:$I$87)+SUMPRODUCT(AD101:AD104,$I$91:$I$94))/1000000</f>
        <v>0</v>
      </c>
      <c r="AE127" s="193" t="n">
        <f aca="false">(SUMPRODUCT(AE97:AE100,$I$84:$I$87)+SUMPRODUCT(AE101:AE104,$I$91:$I$94))/1000000</f>
        <v>0</v>
      </c>
      <c r="AF127" s="193" t="n">
        <f aca="false">(SUMPRODUCT(AF97:AF100,$I$84:$I$87)+SUMPRODUCT(AF101:AF104,$I$91:$I$94))/1000000</f>
        <v>0</v>
      </c>
      <c r="AG127" s="193" t="n">
        <f aca="false">(SUMPRODUCT(AG97:AG100,$I$84:$I$87)+SUMPRODUCT(AG101:AG104,$I$91:$I$94))/1000000</f>
        <v>0</v>
      </c>
      <c r="AH127" s="193" t="n">
        <f aca="false">(SUMPRODUCT(AH97:AH100,$I$84:$I$87)+SUMPRODUCT(AH101:AH104,$I$91:$I$94))/1000000</f>
        <v>0</v>
      </c>
      <c r="AI127" s="193" t="n">
        <f aca="false">(SUMPRODUCT(AI97:AI100,$I$84:$I$87)+SUMPRODUCT(AI101:AI104,$I$91:$I$94))/1000000</f>
        <v>0</v>
      </c>
      <c r="AJ127" s="193" t="n">
        <f aca="false">(SUMPRODUCT(AJ97:AJ100,$I$84:$I$87)+SUMPRODUCT(AJ101:AJ104,$I$91:$I$94))/1000000</f>
        <v>0</v>
      </c>
      <c r="AK127" s="193" t="n">
        <f aca="false">(SUMPRODUCT(AK97:AK100,$I$84:$I$87)+SUMPRODUCT(AK101:AK104,$I$91:$I$94))/1000000</f>
        <v>0</v>
      </c>
      <c r="AL127" s="193" t="n">
        <f aca="false">(SUMPRODUCT(AL97:AL100,$I$84:$I$87)+SUMPRODUCT(AL101:AL104,$I$91:$I$94))/1000000</f>
        <v>0</v>
      </c>
      <c r="AM127" s="193" t="n">
        <f aca="false">(SUMPRODUCT(AM97:AM100,$I$84:$I$87)+SUMPRODUCT(AM101:AM104,$I$91:$I$94))/1000000</f>
        <v>0</v>
      </c>
      <c r="AN127" s="193" t="n">
        <f aca="false">(SUMPRODUCT(AN97:AN100,$I$84:$I$87)+SUMPRODUCT(AN101:AN104,$I$91:$I$94))/1000000</f>
        <v>0</v>
      </c>
      <c r="AO127" s="193" t="n">
        <f aca="false">(SUMPRODUCT(AO97:AO100,$I$84:$I$87)+SUMPRODUCT(AO101:AO104,$I$91:$I$94))/1000000</f>
        <v>0</v>
      </c>
      <c r="AP127" s="193" t="n">
        <f aca="false">(SUMPRODUCT(AP97:AP100,$I$84:$I$87)+SUMPRODUCT(AP101:AP104,$I$91:$I$94))/1000000</f>
        <v>0</v>
      </c>
      <c r="AQ127" s="193" t="n">
        <f aca="false">(SUMPRODUCT(AQ97:AQ100,$I$84:$I$87)+SUMPRODUCT(AQ101:AQ104,$I$91:$I$94))/1000000</f>
        <v>0</v>
      </c>
      <c r="AR127" s="193" t="n">
        <f aca="false">(SUMPRODUCT(AR97:AR100,$I$84:$I$87)+SUMPRODUCT(AR101:AR104,$I$91:$I$94))/1000000</f>
        <v>0</v>
      </c>
      <c r="AS127" s="193" t="n">
        <f aca="false">(SUMPRODUCT(AS97:AS100,$I$84:$I$87)+SUMPRODUCT(AS101:AS104,$I$91:$I$94))/1000000</f>
        <v>0</v>
      </c>
      <c r="AT127" s="193" t="n">
        <f aca="false">(SUMPRODUCT(AT97:AT100,$I$84:$I$87)+SUMPRODUCT(AT101:AT104,$I$91:$I$94))/1000000</f>
        <v>0</v>
      </c>
      <c r="AU127" s="193" t="n">
        <f aca="false">(SUMPRODUCT(AU97:AU100,$I$84:$I$87)+SUMPRODUCT(AU101:AU104,$I$91:$I$94))/1000000</f>
        <v>0</v>
      </c>
      <c r="AV127" s="193" t="n">
        <f aca="false">(SUMPRODUCT(AV97:AV100,$I$84:$I$87)+SUMPRODUCT(AV101:AV104,$I$91:$I$94))/1000000</f>
        <v>0</v>
      </c>
      <c r="AW127" s="193" t="n">
        <f aca="false">(SUMPRODUCT(AW97:AW100,$I$84:$I$87)+SUMPRODUCT(AW101:AW104,$I$91:$I$94))/1000000</f>
        <v>0</v>
      </c>
      <c r="AX127" s="193" t="n">
        <f aca="false">(SUMPRODUCT(AX97:AX100,$I$84:$I$87)+SUMPRODUCT(AX101:AX104,$I$91:$I$94))/1000000</f>
        <v>0</v>
      </c>
      <c r="AY127" s="193" t="n">
        <f aca="false">(SUMPRODUCT(AY97:AY100,$I$84:$I$87)+SUMPRODUCT(AY101:AY104,$I$91:$I$94))/1000000</f>
        <v>0</v>
      </c>
      <c r="AZ127" s="193" t="n">
        <f aca="false">(SUMPRODUCT(AZ97:AZ100,$I$84:$I$87)+SUMPRODUCT(AZ101:AZ104,$I$91:$I$94))/1000000</f>
        <v>0</v>
      </c>
      <c r="BA127" s="193" t="n">
        <f aca="false">(SUMPRODUCT(BA97:BA100,$I$84:$I$87)+SUMPRODUCT(BA101:BA104,$I$91:$I$94))/1000000</f>
        <v>0</v>
      </c>
      <c r="BB127" s="193" t="n">
        <f aca="false">(SUMPRODUCT(BB97:BB100,$I$84:$I$87)+SUMPRODUCT(BB101:BB104,$I$91:$I$94))/1000000</f>
        <v>0</v>
      </c>
      <c r="BC127" s="193" t="n">
        <f aca="false">(SUMPRODUCT(BC97:BC100,$I$84:$I$87)+SUMPRODUCT(BC101:BC104,$I$91:$I$94))/1000000</f>
        <v>0</v>
      </c>
      <c r="BD127" s="193" t="n">
        <f aca="false">(SUMPRODUCT(BD97:BD100,$I$84:$I$87)+SUMPRODUCT(BD101:BD104,$I$91:$I$94))/1000000</f>
        <v>0</v>
      </c>
      <c r="BE127" s="193" t="n">
        <f aca="false">(SUMPRODUCT(BE97:BE100,$I$84:$I$87)+SUMPRODUCT(BE101:BE104,$I$91:$I$94))/1000000</f>
        <v>0</v>
      </c>
      <c r="BF127" s="193" t="n">
        <f aca="false">(SUMPRODUCT(BF97:BF100,$I$84:$I$87)+SUMPRODUCT(BF101:BF104,$I$91:$I$94))/1000000</f>
        <v>0</v>
      </c>
      <c r="BG127" s="193" t="n">
        <f aca="false">(SUMPRODUCT(BG97:BG100,$I$84:$I$87)+SUMPRODUCT(BG101:BG104,$I$91:$I$94))/1000000</f>
        <v>0</v>
      </c>
      <c r="BH127" s="193" t="n">
        <f aca="false">(SUMPRODUCT(BH97:BH100,$I$84:$I$87)+SUMPRODUCT(BH101:BH104,$I$91:$I$94))/1000000</f>
        <v>0</v>
      </c>
      <c r="BI127" s="193" t="n">
        <f aca="false">(SUMPRODUCT(BI97:BI100,$I$84:$I$87)+SUMPRODUCT(BI101:BI104,$I$91:$I$94))/1000000</f>
        <v>0</v>
      </c>
      <c r="BJ127" s="193" t="n">
        <f aca="false">(SUMPRODUCT(BJ97:BJ100,$I$84:$I$87)+SUMPRODUCT(BJ101:BJ104,$I$91:$I$94))/1000000</f>
        <v>0</v>
      </c>
      <c r="BK127" s="193" t="n">
        <f aca="false">(SUMPRODUCT(BK97:BK100,$I$84:$I$87)+SUMPRODUCT(BK101:BK104,$I$91:$I$94))/1000000</f>
        <v>0</v>
      </c>
      <c r="BL127" s="193" t="n">
        <f aca="false">(SUMPRODUCT(BL97:BL100,$I$84:$I$87)+SUMPRODUCT(BL101:BL104,$I$91:$I$94))/1000000</f>
        <v>0</v>
      </c>
      <c r="BM127" s="193" t="n">
        <f aca="false">(SUMPRODUCT(BM97:BM100,$I$84:$I$87)+SUMPRODUCT(BM101:BM104,$I$91:$I$94))/1000000</f>
        <v>0</v>
      </c>
      <c r="BN127" s="193" t="n">
        <f aca="false">(SUMPRODUCT(BN97:BN100,$I$84:$I$87)+SUMPRODUCT(BN101:BN104,$I$91:$I$94))/1000000</f>
        <v>0</v>
      </c>
      <c r="BO127" s="193" t="n">
        <f aca="false">(SUMPRODUCT(BO97:BO100,$I$84:$I$87)+SUMPRODUCT(BO101:BO104,$I$91:$I$94))/1000000</f>
        <v>0</v>
      </c>
      <c r="BP127" s="193" t="n">
        <f aca="false">(SUMPRODUCT(BP97:BP100,$I$84:$I$87)+SUMPRODUCT(BP101:BP104,$I$91:$I$94))/1000000</f>
        <v>0</v>
      </c>
      <c r="BQ127" s="193" t="n">
        <f aca="false">(SUMPRODUCT(BQ97:BQ100,$I$84:$I$87)+SUMPRODUCT(BQ101:BQ104,$I$91:$I$94))/1000000</f>
        <v>0</v>
      </c>
      <c r="BR127" s="193" t="n">
        <f aca="false">(SUMPRODUCT(BR97:BR100,$I$84:$I$87)+SUMPRODUCT(BR101:BR104,$I$91:$I$94))/1000000</f>
        <v>0</v>
      </c>
      <c r="BS127" s="193" t="n">
        <f aca="false">(SUMPRODUCT(BS97:BS100,$I$84:$I$87)+SUMPRODUCT(BS101:BS104,$I$91:$I$94))/1000000</f>
        <v>0</v>
      </c>
      <c r="BT127" s="193" t="n">
        <f aca="false">(SUMPRODUCT(BT97:BT100,$I$84:$I$87)+SUMPRODUCT(BT101:BT104,$I$91:$I$94))/1000000</f>
        <v>0</v>
      </c>
      <c r="BU127" s="193" t="n">
        <f aca="false">(SUMPRODUCT(BU97:BU100,$I$84:$I$87)+SUMPRODUCT(BU101:BU104,$I$91:$I$94))/1000000</f>
        <v>0</v>
      </c>
      <c r="BV127" s="193" t="n">
        <f aca="false">(SUMPRODUCT(BV97:BV100,$I$84:$I$87)+SUMPRODUCT(BV101:BV104,$I$91:$I$94))/1000000</f>
        <v>0</v>
      </c>
      <c r="BW127" s="193" t="n">
        <f aca="false">(SUMPRODUCT(BW97:BW100,$I$84:$I$87)+SUMPRODUCT(BW101:BW104,$I$91:$I$94))/1000000</f>
        <v>0</v>
      </c>
      <c r="BX127" s="193" t="n">
        <f aca="false">(SUMPRODUCT(BX97:BX100,$I$84:$I$87)+SUMPRODUCT(BX101:BX104,$I$91:$I$94))/1000000</f>
        <v>0</v>
      </c>
      <c r="BY127" s="193" t="n">
        <f aca="false">(SUMPRODUCT(BY97:BY100,$I$84:$I$87)+SUMPRODUCT(BY101:BY104,$I$91:$I$94))/1000000</f>
        <v>0</v>
      </c>
      <c r="BZ127" s="193" t="n">
        <f aca="false">(SUMPRODUCT(BZ97:BZ100,$I$84:$I$87)+SUMPRODUCT(BZ101:BZ104,$I$91:$I$94))/1000000</f>
        <v>0</v>
      </c>
      <c r="CA127" s="193" t="n">
        <f aca="false">(SUMPRODUCT(CA97:CA100,$I$84:$I$87)+SUMPRODUCT(CA101:CA104,$I$91:$I$94))/1000000</f>
        <v>0</v>
      </c>
    </row>
    <row r="128" customFormat="false" ht="15" hidden="false" customHeight="false" outlineLevel="0" collapsed="false">
      <c r="B128" s="10" t="s">
        <v>378</v>
      </c>
      <c r="L128" s="193" t="n">
        <f aca="false">SUMIFS($T128:$CA128,$T$5:$CA$5,2026)</f>
        <v>0</v>
      </c>
      <c r="M128" s="193" t="n">
        <f aca="false">SUMIFS($T128:$CA128,$T$5:$CA$5,2027)</f>
        <v>0</v>
      </c>
      <c r="N128" s="193" t="n">
        <f aca="false">SUMIFS($T128:$CA128,$T$5:$CA$5,2028)</f>
        <v>0</v>
      </c>
      <c r="O128" s="193" t="n">
        <f aca="false">SUMIFS($T128:$CA128,$T$5:$CA$5,2029)</f>
        <v>0</v>
      </c>
      <c r="P128" s="193" t="n">
        <f aca="false">SUMIFS($T128:$CA128,$T$5:$CA$5,2030)</f>
        <v>0</v>
      </c>
      <c r="T128" s="193" t="n">
        <f aca="false">SUMPRODUCT(T118:T124,$I$109:$I$115)/1000000</f>
        <v>0</v>
      </c>
      <c r="U128" s="193" t="n">
        <f aca="false">SUMPRODUCT(U118:U124,$I$109:$I$115)/1000000</f>
        <v>0</v>
      </c>
      <c r="V128" s="193" t="n">
        <f aca="false">SUMPRODUCT(V118:V124,$I$109:$I$115)/1000000</f>
        <v>0</v>
      </c>
      <c r="W128" s="193" t="n">
        <f aca="false">SUMPRODUCT(W118:W124,$I$109:$I$115)/1000000</f>
        <v>0</v>
      </c>
      <c r="X128" s="193" t="n">
        <f aca="false">SUMPRODUCT(X118:X124,$I$109:$I$115)/1000000</f>
        <v>0</v>
      </c>
      <c r="Y128" s="193" t="n">
        <f aca="false">SUMPRODUCT(Y118:Y124,$I$109:$I$115)/1000000</f>
        <v>0</v>
      </c>
      <c r="Z128" s="193" t="n">
        <f aca="false">SUMPRODUCT(Z118:Z124,$I$109:$I$115)/1000000</f>
        <v>0</v>
      </c>
      <c r="AA128" s="193" t="n">
        <f aca="false">SUMPRODUCT(AA118:AA124,$I$109:$I$115)/1000000</f>
        <v>0</v>
      </c>
      <c r="AB128" s="193" t="n">
        <f aca="false">SUMPRODUCT(AB118:AB124,$I$109:$I$115)/1000000</f>
        <v>0</v>
      </c>
      <c r="AC128" s="193" t="n">
        <f aca="false">SUMPRODUCT(AC118:AC124,$I$109:$I$115)/1000000</f>
        <v>0</v>
      </c>
      <c r="AD128" s="193" t="n">
        <f aca="false">SUMPRODUCT(AD118:AD124,$I$109:$I$115)/1000000</f>
        <v>0</v>
      </c>
      <c r="AE128" s="193" t="n">
        <f aca="false">SUMPRODUCT(AE118:AE124,$I$109:$I$115)/1000000</f>
        <v>0</v>
      </c>
      <c r="AF128" s="193" t="n">
        <f aca="false">SUMPRODUCT(AF118:AF124,$I$109:$I$115)/1000000</f>
        <v>0</v>
      </c>
      <c r="AG128" s="193" t="n">
        <f aca="false">SUMPRODUCT(AG118:AG124,$I$109:$I$115)/1000000</f>
        <v>0</v>
      </c>
      <c r="AH128" s="193" t="n">
        <f aca="false">SUMPRODUCT(AH118:AH124,$I$109:$I$115)/1000000</f>
        <v>0</v>
      </c>
      <c r="AI128" s="193" t="n">
        <f aca="false">SUMPRODUCT(AI118:AI124,$I$109:$I$115)/1000000</f>
        <v>0</v>
      </c>
      <c r="AJ128" s="193" t="n">
        <f aca="false">SUMPRODUCT(AJ118:AJ124,$I$109:$I$115)/1000000</f>
        <v>0</v>
      </c>
      <c r="AK128" s="193" t="n">
        <f aca="false">SUMPRODUCT(AK118:AK124,$I$109:$I$115)/1000000</f>
        <v>0</v>
      </c>
      <c r="AL128" s="193" t="n">
        <f aca="false">SUMPRODUCT(AL118:AL124,$I$109:$I$115)/1000000</f>
        <v>0</v>
      </c>
      <c r="AM128" s="193" t="n">
        <f aca="false">SUMPRODUCT(AM118:AM124,$I$109:$I$115)/1000000</f>
        <v>0</v>
      </c>
      <c r="AN128" s="193" t="n">
        <f aca="false">SUMPRODUCT(AN118:AN124,$I$109:$I$115)/1000000</f>
        <v>0</v>
      </c>
      <c r="AO128" s="193" t="n">
        <f aca="false">SUMPRODUCT(AO118:AO124,$I$109:$I$115)/1000000</f>
        <v>0</v>
      </c>
      <c r="AP128" s="193" t="n">
        <f aca="false">SUMPRODUCT(AP118:AP124,$I$109:$I$115)/1000000</f>
        <v>0</v>
      </c>
      <c r="AQ128" s="193" t="n">
        <f aca="false">SUMPRODUCT(AQ118:AQ124,$I$109:$I$115)/1000000</f>
        <v>0</v>
      </c>
      <c r="AR128" s="193" t="n">
        <f aca="false">SUMPRODUCT(AR118:AR124,$I$109:$I$115)/1000000</f>
        <v>0</v>
      </c>
      <c r="AS128" s="193" t="n">
        <f aca="false">SUMPRODUCT(AS118:AS124,$I$109:$I$115)/1000000</f>
        <v>0</v>
      </c>
      <c r="AT128" s="193" t="n">
        <f aca="false">SUMPRODUCT(AT118:AT124,$I$109:$I$115)/1000000</f>
        <v>0</v>
      </c>
      <c r="AU128" s="193" t="n">
        <f aca="false">SUMPRODUCT(AU118:AU124,$I$109:$I$115)/1000000</f>
        <v>0</v>
      </c>
      <c r="AV128" s="193" t="n">
        <f aca="false">SUMPRODUCT(AV118:AV124,$I$109:$I$115)/1000000</f>
        <v>0</v>
      </c>
      <c r="AW128" s="193" t="n">
        <f aca="false">SUMPRODUCT(AW118:AW124,$I$109:$I$115)/1000000</f>
        <v>0</v>
      </c>
      <c r="AX128" s="193" t="n">
        <f aca="false">SUMPRODUCT(AX118:AX124,$I$109:$I$115)/1000000</f>
        <v>0</v>
      </c>
      <c r="AY128" s="193" t="n">
        <f aca="false">SUMPRODUCT(AY118:AY124,$I$109:$I$115)/1000000</f>
        <v>0</v>
      </c>
      <c r="AZ128" s="193" t="n">
        <f aca="false">SUMPRODUCT(AZ118:AZ124,$I$109:$I$115)/1000000</f>
        <v>0</v>
      </c>
      <c r="BA128" s="193" t="n">
        <f aca="false">SUMPRODUCT(BA118:BA124,$I$109:$I$115)/1000000</f>
        <v>0</v>
      </c>
      <c r="BB128" s="193" t="n">
        <f aca="false">SUMPRODUCT(BB118:BB124,$I$109:$I$115)/1000000</f>
        <v>0</v>
      </c>
      <c r="BC128" s="193" t="n">
        <f aca="false">SUMPRODUCT(BC118:BC124,$I$109:$I$115)/1000000</f>
        <v>0</v>
      </c>
      <c r="BD128" s="193" t="n">
        <f aca="false">SUMPRODUCT(BD118:BD124,$I$109:$I$115)/1000000</f>
        <v>0</v>
      </c>
      <c r="BE128" s="193" t="n">
        <f aca="false">SUMPRODUCT(BE118:BE124,$I$109:$I$115)/1000000</f>
        <v>0</v>
      </c>
      <c r="BF128" s="193" t="n">
        <f aca="false">SUMPRODUCT(BF118:BF124,$I$109:$I$115)/1000000</f>
        <v>0</v>
      </c>
      <c r="BG128" s="193" t="n">
        <f aca="false">SUMPRODUCT(BG118:BG124,$I$109:$I$115)/1000000</f>
        <v>0</v>
      </c>
      <c r="BH128" s="193" t="n">
        <f aca="false">SUMPRODUCT(BH118:BH124,$I$109:$I$115)/1000000</f>
        <v>0</v>
      </c>
      <c r="BI128" s="193" t="n">
        <f aca="false">SUMPRODUCT(BI118:BI124,$I$109:$I$115)/1000000</f>
        <v>0</v>
      </c>
      <c r="BJ128" s="193" t="n">
        <f aca="false">SUMPRODUCT(BJ118:BJ124,$I$109:$I$115)/1000000</f>
        <v>0</v>
      </c>
      <c r="BK128" s="193" t="n">
        <f aca="false">SUMPRODUCT(BK118:BK124,$I$109:$I$115)/1000000</f>
        <v>0</v>
      </c>
      <c r="BL128" s="193" t="n">
        <f aca="false">SUMPRODUCT(BL118:BL124,$I$109:$I$115)/1000000</f>
        <v>0</v>
      </c>
      <c r="BM128" s="193" t="n">
        <f aca="false">SUMPRODUCT(BM118:BM124,$I$109:$I$115)/1000000</f>
        <v>0</v>
      </c>
      <c r="BN128" s="193" t="n">
        <f aca="false">SUMPRODUCT(BN118:BN124,$I$109:$I$115)/1000000</f>
        <v>0</v>
      </c>
      <c r="BO128" s="193" t="n">
        <f aca="false">SUMPRODUCT(BO118:BO124,$I$109:$I$115)/1000000</f>
        <v>0</v>
      </c>
      <c r="BP128" s="193" t="n">
        <f aca="false">SUMPRODUCT(BP118:BP124,$I$109:$I$115)/1000000</f>
        <v>0</v>
      </c>
      <c r="BQ128" s="193" t="n">
        <f aca="false">SUMPRODUCT(BQ118:BQ124,$I$109:$I$115)/1000000</f>
        <v>0</v>
      </c>
      <c r="BR128" s="193" t="n">
        <f aca="false">SUMPRODUCT(BR118:BR124,$I$109:$I$115)/1000000</f>
        <v>0</v>
      </c>
      <c r="BS128" s="193" t="n">
        <f aca="false">SUMPRODUCT(BS118:BS124,$I$109:$I$115)/1000000</f>
        <v>0</v>
      </c>
      <c r="BT128" s="193" t="n">
        <f aca="false">SUMPRODUCT(BT118:BT124,$I$109:$I$115)/1000000</f>
        <v>0</v>
      </c>
      <c r="BU128" s="193" t="n">
        <f aca="false">SUMPRODUCT(BU118:BU124,$I$109:$I$115)/1000000</f>
        <v>0</v>
      </c>
      <c r="BV128" s="193" t="n">
        <f aca="false">SUMPRODUCT(BV118:BV124,$I$109:$I$115)/1000000</f>
        <v>0</v>
      </c>
      <c r="BW128" s="193" t="n">
        <f aca="false">SUMPRODUCT(BW118:BW124,$I$109:$I$115)/1000000</f>
        <v>0</v>
      </c>
      <c r="BX128" s="193" t="n">
        <f aca="false">SUMPRODUCT(BX118:BX124,$I$109:$I$115)/1000000</f>
        <v>0</v>
      </c>
      <c r="BY128" s="193" t="n">
        <f aca="false">SUMPRODUCT(BY118:BY124,$I$109:$I$115)/1000000</f>
        <v>0</v>
      </c>
      <c r="BZ128" s="193" t="n">
        <f aca="false">SUMPRODUCT(BZ118:BZ124,$I$109:$I$115)/1000000</f>
        <v>0</v>
      </c>
      <c r="CA128" s="193" t="n">
        <f aca="false">SUMPRODUCT(CA118:CA124,$I$109:$I$115)/1000000</f>
        <v>0</v>
      </c>
    </row>
    <row r="129" customFormat="false" ht="15" hidden="false" customHeight="false" outlineLevel="0" collapsed="false">
      <c r="B129" s="10" t="s">
        <v>379</v>
      </c>
      <c r="L129" s="193" t="n">
        <f aca="false">SUMIFS($T129:$CA129,$T$5:$CA$5,2026)</f>
        <v>0</v>
      </c>
      <c r="M129" s="193" t="n">
        <f aca="false">SUMIFS($T129:$CA129,$T$5:$CA$5,2027)</f>
        <v>2.73166666666667</v>
      </c>
      <c r="N129" s="193" t="n">
        <f aca="false">SUMIFS($T129:$CA129,$T$5:$CA$5,2028)</f>
        <v>0.458333333333333</v>
      </c>
      <c r="O129" s="193" t="n">
        <f aca="false">SUMIFS($T129:$CA129,$T$5:$CA$5,2029)</f>
        <v>0</v>
      </c>
      <c r="P129" s="193" t="n">
        <f aca="false">SUMIFS($T129:$CA129,$T$5:$CA$5,2030)</f>
        <v>0</v>
      </c>
      <c r="T129" s="193" t="n">
        <f aca="false">(SUMPRODUCT(T97:T100,1-$I$84:$I$87)+SUMPRODUCT(T101:T104,1-$I$91:$I$94))/1000000</f>
        <v>0</v>
      </c>
      <c r="U129" s="193" t="n">
        <f aca="false">(SUMPRODUCT(U97:U100,1-$I$84:$I$87)+SUMPRODUCT(U101:U104,1-$I$91:$I$94))/1000000</f>
        <v>0</v>
      </c>
      <c r="V129" s="193" t="n">
        <f aca="false">(SUMPRODUCT(V97:V100,1-$I$84:$I$87)+SUMPRODUCT(V101:V104,1-$I$91:$I$94))/1000000</f>
        <v>0</v>
      </c>
      <c r="W129" s="193" t="n">
        <f aca="false">(SUMPRODUCT(W97:W100,1-$I$84:$I$87)+SUMPRODUCT(W101:W104,1-$I$91:$I$94))/1000000</f>
        <v>0</v>
      </c>
      <c r="X129" s="193" t="n">
        <f aca="false">(SUMPRODUCT(X97:X100,1-$I$84:$I$87)+SUMPRODUCT(X101:X104,1-$I$91:$I$94))/1000000</f>
        <v>0</v>
      </c>
      <c r="Y129" s="193" t="n">
        <f aca="false">(SUMPRODUCT(Y97:Y100,1-$I$84:$I$87)+SUMPRODUCT(Y101:Y104,1-$I$91:$I$94))/1000000</f>
        <v>0</v>
      </c>
      <c r="Z129" s="193" t="n">
        <f aca="false">(SUMPRODUCT(Z97:Z100,1-$I$84:$I$87)+SUMPRODUCT(Z101:Z104,1-$I$91:$I$94))/1000000</f>
        <v>0</v>
      </c>
      <c r="AA129" s="193" t="n">
        <f aca="false">(SUMPRODUCT(AA97:AA100,1-$I$84:$I$87)+SUMPRODUCT(AA101:AA104,1-$I$91:$I$94))/1000000</f>
        <v>0</v>
      </c>
      <c r="AB129" s="193" t="n">
        <f aca="false">(SUMPRODUCT(AB97:AB100,1-$I$84:$I$87)+SUMPRODUCT(AB101:AB104,1-$I$91:$I$94))/1000000</f>
        <v>0</v>
      </c>
      <c r="AC129" s="193" t="n">
        <f aca="false">(SUMPRODUCT(AC97:AC100,1-$I$84:$I$87)+SUMPRODUCT(AC101:AC104,1-$I$91:$I$94))/1000000</f>
        <v>0</v>
      </c>
      <c r="AD129" s="193" t="n">
        <f aca="false">(SUMPRODUCT(AD97:AD100,1-$I$84:$I$87)+SUMPRODUCT(AD101:AD104,1-$I$91:$I$94))/1000000</f>
        <v>0</v>
      </c>
      <c r="AE129" s="193" t="n">
        <f aca="false">(SUMPRODUCT(AE97:AE100,1-$I$84:$I$87)+SUMPRODUCT(AE101:AE104,1-$I$91:$I$94))/1000000</f>
        <v>0</v>
      </c>
      <c r="AF129" s="193" t="n">
        <f aca="false">(SUMPRODUCT(AF97:AF100,1-$I$84:$I$87)+SUMPRODUCT(AF101:AF104,1-$I$91:$I$94))/1000000</f>
        <v>0.146666666666667</v>
      </c>
      <c r="AG129" s="193" t="n">
        <f aca="false">(SUMPRODUCT(AG97:AG100,1-$I$84:$I$87)+SUMPRODUCT(AG101:AG104,1-$I$91:$I$94))/1000000</f>
        <v>0.146666666666667</v>
      </c>
      <c r="AH129" s="193" t="n">
        <f aca="false">(SUMPRODUCT(AH97:AH100,1-$I$84:$I$87)+SUMPRODUCT(AH101:AH104,1-$I$91:$I$94))/1000000</f>
        <v>0.293333333333333</v>
      </c>
      <c r="AI129" s="193" t="n">
        <f aca="false">(SUMPRODUCT(AI97:AI100,1-$I$84:$I$87)+SUMPRODUCT(AI101:AI104,1-$I$91:$I$94))/1000000</f>
        <v>0.293333333333333</v>
      </c>
      <c r="AJ129" s="193" t="n">
        <f aca="false">(SUMPRODUCT(AJ97:AJ100,1-$I$84:$I$87)+SUMPRODUCT(AJ101:AJ104,1-$I$91:$I$94))/1000000</f>
        <v>0.293333333333333</v>
      </c>
      <c r="AK129" s="193" t="n">
        <f aca="false">(SUMPRODUCT(AK97:AK100,1-$I$84:$I$87)+SUMPRODUCT(AK101:AK104,1-$I$91:$I$94))/1000000</f>
        <v>0.293333333333333</v>
      </c>
      <c r="AL129" s="193" t="n">
        <f aca="false">(SUMPRODUCT(AL97:AL100,1-$I$84:$I$87)+SUMPRODUCT(AL101:AL104,1-$I$91:$I$94))/1000000</f>
        <v>0.293333333333333</v>
      </c>
      <c r="AM129" s="193" t="n">
        <f aca="false">(SUMPRODUCT(AM97:AM100,1-$I$84:$I$87)+SUMPRODUCT(AM101:AM104,1-$I$91:$I$94))/1000000</f>
        <v>0.238333333333333</v>
      </c>
      <c r="AN129" s="193" t="n">
        <f aca="false">(SUMPRODUCT(AN97:AN100,1-$I$84:$I$87)+SUMPRODUCT(AN101:AN104,1-$I$91:$I$94))/1000000</f>
        <v>0.183333333333333</v>
      </c>
      <c r="AO129" s="193" t="n">
        <f aca="false">(SUMPRODUCT(AO97:AO100,1-$I$84:$I$87)+SUMPRODUCT(AO101:AO104,1-$I$91:$I$94))/1000000</f>
        <v>0.183333333333333</v>
      </c>
      <c r="AP129" s="193" t="n">
        <f aca="false">(SUMPRODUCT(AP97:AP100,1-$I$84:$I$87)+SUMPRODUCT(AP101:AP104,1-$I$91:$I$94))/1000000</f>
        <v>0.183333333333333</v>
      </c>
      <c r="AQ129" s="193" t="n">
        <f aca="false">(SUMPRODUCT(AQ97:AQ100,1-$I$84:$I$87)+SUMPRODUCT(AQ101:AQ104,1-$I$91:$I$94))/1000000</f>
        <v>0.183333333333333</v>
      </c>
      <c r="AR129" s="193" t="n">
        <f aca="false">(SUMPRODUCT(AR97:AR100,1-$I$84:$I$87)+SUMPRODUCT(AR101:AR104,1-$I$91:$I$94))/1000000</f>
        <v>0.183333333333333</v>
      </c>
      <c r="AS129" s="193" t="n">
        <f aca="false">(SUMPRODUCT(AS97:AS100,1-$I$84:$I$87)+SUMPRODUCT(AS101:AS104,1-$I$91:$I$94))/1000000</f>
        <v>0.0916666666666667</v>
      </c>
      <c r="AT129" s="193" t="n">
        <f aca="false">(SUMPRODUCT(AT97:AT100,1-$I$84:$I$87)+SUMPRODUCT(AT101:AT104,1-$I$91:$I$94))/1000000</f>
        <v>0.0916666666666667</v>
      </c>
      <c r="AU129" s="193" t="n">
        <f aca="false">(SUMPRODUCT(AU97:AU100,1-$I$84:$I$87)+SUMPRODUCT(AU101:AU104,1-$I$91:$I$94))/1000000</f>
        <v>0.0916666666666667</v>
      </c>
      <c r="AV129" s="193" t="n">
        <f aca="false">(SUMPRODUCT(AV97:AV100,1-$I$84:$I$87)+SUMPRODUCT(AV101:AV104,1-$I$91:$I$94))/1000000</f>
        <v>0</v>
      </c>
      <c r="AW129" s="193" t="n">
        <f aca="false">(SUMPRODUCT(AW97:AW100,1-$I$84:$I$87)+SUMPRODUCT(AW101:AW104,1-$I$91:$I$94))/1000000</f>
        <v>0</v>
      </c>
      <c r="AX129" s="193" t="n">
        <f aca="false">(SUMPRODUCT(AX97:AX100,1-$I$84:$I$87)+SUMPRODUCT(AX101:AX104,1-$I$91:$I$94))/1000000</f>
        <v>0</v>
      </c>
      <c r="AY129" s="193" t="n">
        <f aca="false">(SUMPRODUCT(AY97:AY100,1-$I$84:$I$87)+SUMPRODUCT(AY101:AY104,1-$I$91:$I$94))/1000000</f>
        <v>0</v>
      </c>
      <c r="AZ129" s="193" t="n">
        <f aca="false">(SUMPRODUCT(AZ97:AZ100,1-$I$84:$I$87)+SUMPRODUCT(AZ101:AZ104,1-$I$91:$I$94))/1000000</f>
        <v>0</v>
      </c>
      <c r="BA129" s="193" t="n">
        <f aca="false">(SUMPRODUCT(BA97:BA100,1-$I$84:$I$87)+SUMPRODUCT(BA101:BA104,1-$I$91:$I$94))/1000000</f>
        <v>0</v>
      </c>
      <c r="BB129" s="193" t="n">
        <f aca="false">(SUMPRODUCT(BB97:BB100,1-$I$84:$I$87)+SUMPRODUCT(BB101:BB104,1-$I$91:$I$94))/1000000</f>
        <v>0</v>
      </c>
      <c r="BC129" s="193" t="n">
        <f aca="false">(SUMPRODUCT(BC97:BC100,1-$I$84:$I$87)+SUMPRODUCT(BC101:BC104,1-$I$91:$I$94))/1000000</f>
        <v>0</v>
      </c>
      <c r="BD129" s="193" t="n">
        <f aca="false">(SUMPRODUCT(BD97:BD100,1-$I$84:$I$87)+SUMPRODUCT(BD101:BD104,1-$I$91:$I$94))/1000000</f>
        <v>0</v>
      </c>
      <c r="BE129" s="193" t="n">
        <f aca="false">(SUMPRODUCT(BE97:BE100,1-$I$84:$I$87)+SUMPRODUCT(BE101:BE104,1-$I$91:$I$94))/1000000</f>
        <v>0</v>
      </c>
      <c r="BF129" s="193" t="n">
        <f aca="false">(SUMPRODUCT(BF97:BF100,1-$I$84:$I$87)+SUMPRODUCT(BF101:BF104,1-$I$91:$I$94))/1000000</f>
        <v>0</v>
      </c>
      <c r="BG129" s="193" t="n">
        <f aca="false">(SUMPRODUCT(BG97:BG100,1-$I$84:$I$87)+SUMPRODUCT(BG101:BG104,1-$I$91:$I$94))/1000000</f>
        <v>0</v>
      </c>
      <c r="BH129" s="193" t="n">
        <f aca="false">(SUMPRODUCT(BH97:BH100,1-$I$84:$I$87)+SUMPRODUCT(BH101:BH104,1-$I$91:$I$94))/1000000</f>
        <v>0</v>
      </c>
      <c r="BI129" s="193" t="n">
        <f aca="false">(SUMPRODUCT(BI97:BI100,1-$I$84:$I$87)+SUMPRODUCT(BI101:BI104,1-$I$91:$I$94))/1000000</f>
        <v>0</v>
      </c>
      <c r="BJ129" s="193" t="n">
        <f aca="false">(SUMPRODUCT(BJ97:BJ100,1-$I$84:$I$87)+SUMPRODUCT(BJ101:BJ104,1-$I$91:$I$94))/1000000</f>
        <v>0</v>
      </c>
      <c r="BK129" s="193" t="n">
        <f aca="false">(SUMPRODUCT(BK97:BK100,1-$I$84:$I$87)+SUMPRODUCT(BK101:BK104,1-$I$91:$I$94))/1000000</f>
        <v>0</v>
      </c>
      <c r="BL129" s="193" t="n">
        <f aca="false">(SUMPRODUCT(BL97:BL100,1-$I$84:$I$87)+SUMPRODUCT(BL101:BL104,1-$I$91:$I$94))/1000000</f>
        <v>0</v>
      </c>
      <c r="BM129" s="193" t="n">
        <f aca="false">(SUMPRODUCT(BM97:BM100,1-$I$84:$I$87)+SUMPRODUCT(BM101:BM104,1-$I$91:$I$94))/1000000</f>
        <v>0</v>
      </c>
      <c r="BN129" s="193" t="n">
        <f aca="false">(SUMPRODUCT(BN97:BN100,1-$I$84:$I$87)+SUMPRODUCT(BN101:BN104,1-$I$91:$I$94))/1000000</f>
        <v>0</v>
      </c>
      <c r="BO129" s="193" t="n">
        <f aca="false">(SUMPRODUCT(BO97:BO100,1-$I$84:$I$87)+SUMPRODUCT(BO101:BO104,1-$I$91:$I$94))/1000000</f>
        <v>0</v>
      </c>
      <c r="BP129" s="193" t="n">
        <f aca="false">(SUMPRODUCT(BP97:BP100,1-$I$84:$I$87)+SUMPRODUCT(BP101:BP104,1-$I$91:$I$94))/1000000</f>
        <v>0</v>
      </c>
      <c r="BQ129" s="193" t="n">
        <f aca="false">(SUMPRODUCT(BQ97:BQ100,1-$I$84:$I$87)+SUMPRODUCT(BQ101:BQ104,1-$I$91:$I$94))/1000000</f>
        <v>0</v>
      </c>
      <c r="BR129" s="193" t="n">
        <f aca="false">(SUMPRODUCT(BR97:BR100,1-$I$84:$I$87)+SUMPRODUCT(BR101:BR104,1-$I$91:$I$94))/1000000</f>
        <v>0</v>
      </c>
      <c r="BS129" s="193" t="n">
        <f aca="false">(SUMPRODUCT(BS97:BS100,1-$I$84:$I$87)+SUMPRODUCT(BS101:BS104,1-$I$91:$I$94))/1000000</f>
        <v>0</v>
      </c>
      <c r="BT129" s="193" t="n">
        <f aca="false">(SUMPRODUCT(BT97:BT100,1-$I$84:$I$87)+SUMPRODUCT(BT101:BT104,1-$I$91:$I$94))/1000000</f>
        <v>0</v>
      </c>
      <c r="BU129" s="193" t="n">
        <f aca="false">(SUMPRODUCT(BU97:BU100,1-$I$84:$I$87)+SUMPRODUCT(BU101:BU104,1-$I$91:$I$94))/1000000</f>
        <v>0</v>
      </c>
      <c r="BV129" s="193" t="n">
        <f aca="false">(SUMPRODUCT(BV97:BV100,1-$I$84:$I$87)+SUMPRODUCT(BV101:BV104,1-$I$91:$I$94))/1000000</f>
        <v>0</v>
      </c>
      <c r="BW129" s="193" t="n">
        <f aca="false">(SUMPRODUCT(BW97:BW100,1-$I$84:$I$87)+SUMPRODUCT(BW101:BW104,1-$I$91:$I$94))/1000000</f>
        <v>0</v>
      </c>
      <c r="BX129" s="193" t="n">
        <f aca="false">(SUMPRODUCT(BX97:BX100,1-$I$84:$I$87)+SUMPRODUCT(BX101:BX104,1-$I$91:$I$94))/1000000</f>
        <v>0</v>
      </c>
      <c r="BY129" s="193" t="n">
        <f aca="false">(SUMPRODUCT(BY97:BY100,1-$I$84:$I$87)+SUMPRODUCT(BY101:BY104,1-$I$91:$I$94))/1000000</f>
        <v>0</v>
      </c>
      <c r="BZ129" s="193" t="n">
        <f aca="false">(SUMPRODUCT(BZ97:BZ100,1-$I$84:$I$87)+SUMPRODUCT(BZ101:BZ104,1-$I$91:$I$94))/1000000</f>
        <v>0</v>
      </c>
      <c r="CA129" s="193" t="n">
        <f aca="false">(SUMPRODUCT(CA97:CA100,1-$I$84:$I$87)+SUMPRODUCT(CA101:CA104,1-$I$91:$I$94))/1000000</f>
        <v>0</v>
      </c>
    </row>
    <row r="130" customFormat="false" ht="15" hidden="false" customHeight="false" outlineLevel="0" collapsed="false">
      <c r="B130" s="10" t="s">
        <v>380</v>
      </c>
      <c r="L130" s="193" t="n">
        <f aca="false">SUMIFS($T130:$CA130,$T$5:$CA$5,2026)</f>
        <v>0</v>
      </c>
      <c r="M130" s="193" t="n">
        <f aca="false">SUMIFS($T130:$CA130,$T$5:$CA$5,2027)</f>
        <v>1.52233</v>
      </c>
      <c r="N130" s="193" t="n">
        <f aca="false">SUMIFS($T130:$CA130,$T$5:$CA$5,2028)</f>
        <v>0.19411</v>
      </c>
      <c r="O130" s="193" t="n">
        <f aca="false">SUMIFS($T130:$CA130,$T$5:$CA$5,2029)</f>
        <v>0</v>
      </c>
      <c r="P130" s="193" t="n">
        <f aca="false">SUMIFS($T130:$CA130,$T$5:$CA$5,2030)</f>
        <v>0</v>
      </c>
      <c r="T130" s="193" t="n">
        <f aca="false">SUMPRODUCT(T118:T124,1-$I$109:$I$115)/1000000</f>
        <v>0</v>
      </c>
      <c r="U130" s="193" t="n">
        <f aca="false">SUMPRODUCT(U118:U124,1-$I$109:$I$115)/1000000</f>
        <v>0</v>
      </c>
      <c r="V130" s="193" t="n">
        <f aca="false">SUMPRODUCT(V118:V124,1-$I$109:$I$115)/1000000</f>
        <v>0</v>
      </c>
      <c r="W130" s="193" t="n">
        <f aca="false">SUMPRODUCT(W118:W124,1-$I$109:$I$115)/1000000</f>
        <v>0</v>
      </c>
      <c r="X130" s="193" t="n">
        <f aca="false">SUMPRODUCT(X118:X124,1-$I$109:$I$115)/1000000</f>
        <v>0</v>
      </c>
      <c r="Y130" s="193" t="n">
        <f aca="false">SUMPRODUCT(Y118:Y124,1-$I$109:$I$115)/1000000</f>
        <v>0</v>
      </c>
      <c r="Z130" s="193" t="n">
        <f aca="false">SUMPRODUCT(Z118:Z124,1-$I$109:$I$115)/1000000</f>
        <v>0</v>
      </c>
      <c r="AA130" s="193" t="n">
        <f aca="false">SUMPRODUCT(AA118:AA124,1-$I$109:$I$115)/1000000</f>
        <v>0</v>
      </c>
      <c r="AB130" s="193" t="n">
        <f aca="false">SUMPRODUCT(AB118:AB124,1-$I$109:$I$115)/1000000</f>
        <v>0</v>
      </c>
      <c r="AC130" s="193" t="n">
        <f aca="false">SUMPRODUCT(AC118:AC124,1-$I$109:$I$115)/1000000</f>
        <v>0</v>
      </c>
      <c r="AD130" s="193" t="n">
        <f aca="false">SUMPRODUCT(AD118:AD124,1-$I$109:$I$115)/1000000</f>
        <v>0</v>
      </c>
      <c r="AE130" s="193" t="n">
        <f aca="false">SUMPRODUCT(AE118:AE124,1-$I$109:$I$115)/1000000</f>
        <v>0</v>
      </c>
      <c r="AF130" s="193" t="n">
        <f aca="false">SUMPRODUCT(AF118:AF124,1-$I$109:$I$115)/1000000</f>
        <v>0.0485275</v>
      </c>
      <c r="AG130" s="193" t="n">
        <f aca="false">SUMPRODUCT(AG118:AG124,1-$I$109:$I$115)/1000000</f>
        <v>0.0485275</v>
      </c>
      <c r="AH130" s="193" t="n">
        <f aca="false">SUMPRODUCT(AH118:AH124,1-$I$109:$I$115)/1000000</f>
        <v>0.265194166666667</v>
      </c>
      <c r="AI130" s="193" t="n">
        <f aca="false">SUMPRODUCT(AI118:AI124,1-$I$109:$I$115)/1000000</f>
        <v>0.265194166666667</v>
      </c>
      <c r="AJ130" s="193" t="n">
        <f aca="false">SUMPRODUCT(AJ118:AJ124,1-$I$109:$I$115)/1000000</f>
        <v>0.175194166666667</v>
      </c>
      <c r="AK130" s="193" t="n">
        <f aca="false">SUMPRODUCT(AK118:AK124,1-$I$109:$I$115)/1000000</f>
        <v>0.175194166666667</v>
      </c>
      <c r="AL130" s="193" t="n">
        <f aca="false">SUMPRODUCT(AL118:AL124,1-$I$109:$I$115)/1000000</f>
        <v>0.175194166666667</v>
      </c>
      <c r="AM130" s="193" t="n">
        <f aca="false">SUMPRODUCT(AM118:AM124,1-$I$109:$I$115)/1000000</f>
        <v>0.175194166666667</v>
      </c>
      <c r="AN130" s="193" t="n">
        <f aca="false">SUMPRODUCT(AN118:AN124,1-$I$109:$I$115)/1000000</f>
        <v>0.0485275</v>
      </c>
      <c r="AO130" s="193" t="n">
        <f aca="false">SUMPRODUCT(AO118:AO124,1-$I$109:$I$115)/1000000</f>
        <v>0.0485275</v>
      </c>
      <c r="AP130" s="193" t="n">
        <f aca="false">SUMPRODUCT(AP118:AP124,1-$I$109:$I$115)/1000000</f>
        <v>0.0485275</v>
      </c>
      <c r="AQ130" s="193" t="n">
        <f aca="false">SUMPRODUCT(AQ118:AQ124,1-$I$109:$I$115)/1000000</f>
        <v>0.0485275</v>
      </c>
      <c r="AR130" s="193" t="n">
        <f aca="false">SUMPRODUCT(AR118:AR124,1-$I$109:$I$115)/1000000</f>
        <v>0.0485275</v>
      </c>
      <c r="AS130" s="193" t="n">
        <f aca="false">SUMPRODUCT(AS118:AS124,1-$I$109:$I$115)/1000000</f>
        <v>0.0485275</v>
      </c>
      <c r="AT130" s="193" t="n">
        <f aca="false">SUMPRODUCT(AT118:AT124,1-$I$109:$I$115)/1000000</f>
        <v>0.0485275</v>
      </c>
      <c r="AU130" s="193" t="n">
        <f aca="false">SUMPRODUCT(AU118:AU124,1-$I$109:$I$115)/1000000</f>
        <v>0.0485275</v>
      </c>
      <c r="AV130" s="193" t="n">
        <f aca="false">SUMPRODUCT(AV118:AV124,1-$I$109:$I$115)/1000000</f>
        <v>0</v>
      </c>
      <c r="AW130" s="193" t="n">
        <f aca="false">SUMPRODUCT(AW118:AW124,1-$I$109:$I$115)/1000000</f>
        <v>0</v>
      </c>
      <c r="AX130" s="193" t="n">
        <f aca="false">SUMPRODUCT(AX118:AX124,1-$I$109:$I$115)/1000000</f>
        <v>0</v>
      </c>
      <c r="AY130" s="193" t="n">
        <f aca="false">SUMPRODUCT(AY118:AY124,1-$I$109:$I$115)/1000000</f>
        <v>0</v>
      </c>
      <c r="AZ130" s="193" t="n">
        <f aca="false">SUMPRODUCT(AZ118:AZ124,1-$I$109:$I$115)/1000000</f>
        <v>0</v>
      </c>
      <c r="BA130" s="193" t="n">
        <f aca="false">SUMPRODUCT(BA118:BA124,1-$I$109:$I$115)/1000000</f>
        <v>0</v>
      </c>
      <c r="BB130" s="193" t="n">
        <f aca="false">SUMPRODUCT(BB118:BB124,1-$I$109:$I$115)/1000000</f>
        <v>0</v>
      </c>
      <c r="BC130" s="193" t="n">
        <f aca="false">SUMPRODUCT(BC118:BC124,1-$I$109:$I$115)/1000000</f>
        <v>0</v>
      </c>
      <c r="BD130" s="193" t="n">
        <f aca="false">SUMPRODUCT(BD118:BD124,1-$I$109:$I$115)/1000000</f>
        <v>0</v>
      </c>
      <c r="BE130" s="193" t="n">
        <f aca="false">SUMPRODUCT(BE118:BE124,1-$I$109:$I$115)/1000000</f>
        <v>0</v>
      </c>
      <c r="BF130" s="193" t="n">
        <f aca="false">SUMPRODUCT(BF118:BF124,1-$I$109:$I$115)/1000000</f>
        <v>0</v>
      </c>
      <c r="BG130" s="193" t="n">
        <f aca="false">SUMPRODUCT(BG118:BG124,1-$I$109:$I$115)/1000000</f>
        <v>0</v>
      </c>
      <c r="BH130" s="193" t="n">
        <f aca="false">SUMPRODUCT(BH118:BH124,1-$I$109:$I$115)/1000000</f>
        <v>0</v>
      </c>
      <c r="BI130" s="193" t="n">
        <f aca="false">SUMPRODUCT(BI118:BI124,1-$I$109:$I$115)/1000000</f>
        <v>0</v>
      </c>
      <c r="BJ130" s="193" t="n">
        <f aca="false">SUMPRODUCT(BJ118:BJ124,1-$I$109:$I$115)/1000000</f>
        <v>0</v>
      </c>
      <c r="BK130" s="193" t="n">
        <f aca="false">SUMPRODUCT(BK118:BK124,1-$I$109:$I$115)/1000000</f>
        <v>0</v>
      </c>
      <c r="BL130" s="193" t="n">
        <f aca="false">SUMPRODUCT(BL118:BL124,1-$I$109:$I$115)/1000000</f>
        <v>0</v>
      </c>
      <c r="BM130" s="193" t="n">
        <f aca="false">SUMPRODUCT(BM118:BM124,1-$I$109:$I$115)/1000000</f>
        <v>0</v>
      </c>
      <c r="BN130" s="193" t="n">
        <f aca="false">SUMPRODUCT(BN118:BN124,1-$I$109:$I$115)/1000000</f>
        <v>0</v>
      </c>
      <c r="BO130" s="193" t="n">
        <f aca="false">SUMPRODUCT(BO118:BO124,1-$I$109:$I$115)/1000000</f>
        <v>0</v>
      </c>
      <c r="BP130" s="193" t="n">
        <f aca="false">SUMPRODUCT(BP118:BP124,1-$I$109:$I$115)/1000000</f>
        <v>0</v>
      </c>
      <c r="BQ130" s="193" t="n">
        <f aca="false">SUMPRODUCT(BQ118:BQ124,1-$I$109:$I$115)/1000000</f>
        <v>0</v>
      </c>
      <c r="BR130" s="193" t="n">
        <f aca="false">SUMPRODUCT(BR118:BR124,1-$I$109:$I$115)/1000000</f>
        <v>0</v>
      </c>
      <c r="BS130" s="193" t="n">
        <f aca="false">SUMPRODUCT(BS118:BS124,1-$I$109:$I$115)/1000000</f>
        <v>0</v>
      </c>
      <c r="BT130" s="193" t="n">
        <f aca="false">SUMPRODUCT(BT118:BT124,1-$I$109:$I$115)/1000000</f>
        <v>0</v>
      </c>
      <c r="BU130" s="193" t="n">
        <f aca="false">SUMPRODUCT(BU118:BU124,1-$I$109:$I$115)/1000000</f>
        <v>0</v>
      </c>
      <c r="BV130" s="193" t="n">
        <f aca="false">SUMPRODUCT(BV118:BV124,1-$I$109:$I$115)/1000000</f>
        <v>0</v>
      </c>
      <c r="BW130" s="193" t="n">
        <f aca="false">SUMPRODUCT(BW118:BW124,1-$I$109:$I$115)/1000000</f>
        <v>0</v>
      </c>
      <c r="BX130" s="193" t="n">
        <f aca="false">SUMPRODUCT(BX118:BX124,1-$I$109:$I$115)/1000000</f>
        <v>0</v>
      </c>
      <c r="BY130" s="193" t="n">
        <f aca="false">SUMPRODUCT(BY118:BY124,1-$I$109:$I$115)/1000000</f>
        <v>0</v>
      </c>
      <c r="BZ130" s="193" t="n">
        <f aca="false">SUMPRODUCT(BZ118:BZ124,1-$I$109:$I$115)/1000000</f>
        <v>0</v>
      </c>
      <c r="CA130" s="193" t="n">
        <f aca="false">SUMPRODUCT(CA118:CA124,1-$I$109:$I$115)/1000000</f>
        <v>0</v>
      </c>
    </row>
    <row r="131" customFormat="false" ht="15" hidden="false" customHeight="false" outlineLevel="0" collapsed="false">
      <c r="B131" s="3" t="s">
        <v>381</v>
      </c>
      <c r="L131" s="193" t="n">
        <f aca="false">SUM(L127:L130)</f>
        <v>0</v>
      </c>
      <c r="M131" s="193" t="n">
        <f aca="false">SUM(M127:M130)</f>
        <v>4.25399666666667</v>
      </c>
      <c r="N131" s="193" t="n">
        <f aca="false">SUM(N127:N130)</f>
        <v>0.652443333333334</v>
      </c>
      <c r="O131" s="193" t="n">
        <f aca="false">SUM(O127:O130)</f>
        <v>0</v>
      </c>
      <c r="P131" s="193" t="n">
        <f aca="false">SUM(P127:P130)</f>
        <v>0</v>
      </c>
    </row>
    <row r="133" customFormat="false" ht="18" hidden="false" customHeight="true" outlineLevel="0" collapsed="false">
      <c r="B133" s="5" t="s">
        <v>382</v>
      </c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</row>
    <row r="135" customFormat="false" ht="22.35" hidden="false" customHeight="false" outlineLevel="0" collapsed="false">
      <c r="B135" s="169" t="s">
        <v>383</v>
      </c>
      <c r="C135" s="169" t="s">
        <v>353</v>
      </c>
      <c r="D135" s="169" t="s">
        <v>384</v>
      </c>
      <c r="H135" s="169" t="s">
        <v>333</v>
      </c>
      <c r="I135" s="169" t="s">
        <v>385</v>
      </c>
    </row>
    <row r="136" customFormat="false" ht="28.35" hidden="false" customHeight="false" outlineLevel="0" collapsed="false">
      <c r="B136" s="10" t="s">
        <v>466</v>
      </c>
      <c r="C136" s="194" t="s">
        <v>561</v>
      </c>
      <c r="D136" s="158" t="n">
        <v>3400000</v>
      </c>
      <c r="H136" s="178" t="n">
        <f aca="false">DATE(2027,9,1)</f>
        <v>46631</v>
      </c>
      <c r="I136" s="9" t="s">
        <v>468</v>
      </c>
    </row>
    <row r="137" customFormat="false" ht="15" hidden="false" customHeight="false" outlineLevel="0" collapsed="false">
      <c r="B137" s="10" t="s">
        <v>469</v>
      </c>
      <c r="C137" s="194" t="s">
        <v>562</v>
      </c>
      <c r="D137" s="158" t="n">
        <v>480000</v>
      </c>
      <c r="H137" s="178" t="n">
        <f aca="false">DATE(2027,9,1)</f>
        <v>46631</v>
      </c>
      <c r="I137" s="9" t="s">
        <v>388</v>
      </c>
    </row>
    <row r="138" customFormat="false" ht="15" hidden="false" customHeight="false" outlineLevel="0" collapsed="false">
      <c r="B138" s="10" t="s">
        <v>386</v>
      </c>
      <c r="C138" s="194" t="s">
        <v>563</v>
      </c>
      <c r="D138" s="159" t="n">
        <f aca="false">$D$30*$D$31</f>
        <v>990000</v>
      </c>
      <c r="H138" s="178" t="n">
        <f aca="false">DATE(2027,9,1)</f>
        <v>46631</v>
      </c>
      <c r="I138" s="9" t="s">
        <v>388</v>
      </c>
    </row>
    <row r="139" customFormat="false" ht="15" hidden="false" customHeight="false" outlineLevel="0" collapsed="false">
      <c r="B139" s="10" t="s">
        <v>389</v>
      </c>
      <c r="C139" s="194" t="s">
        <v>564</v>
      </c>
      <c r="D139" s="158" t="n">
        <v>450000</v>
      </c>
      <c r="H139" s="178" t="n">
        <f aca="false">DATE(2027,9,1)</f>
        <v>46631</v>
      </c>
      <c r="I139" s="9" t="s">
        <v>388</v>
      </c>
    </row>
    <row r="140" customFormat="false" ht="15" hidden="false" customHeight="false" outlineLevel="0" collapsed="false">
      <c r="B140" s="10" t="s">
        <v>391</v>
      </c>
      <c r="C140" s="194" t="s">
        <v>565</v>
      </c>
      <c r="D140" s="158" t="n">
        <v>230000</v>
      </c>
      <c r="H140" s="178" t="n">
        <f aca="false">DATE(2027,9,1)</f>
        <v>46631</v>
      </c>
      <c r="I140" s="9" t="s">
        <v>388</v>
      </c>
    </row>
    <row r="142" customFormat="false" ht="15" hidden="false" customHeight="false" outlineLevel="0" collapsed="false">
      <c r="B142" s="197" t="s">
        <v>392</v>
      </c>
    </row>
    <row r="143" customFormat="false" ht="15" hidden="false" customHeight="false" outlineLevel="0" collapsed="false">
      <c r="B143" s="10" t="s">
        <v>471</v>
      </c>
      <c r="K143" s="193" t="n">
        <f aca="false">SUMIFS($T143:$CA143,$T$5:$CA$5,2030)</f>
        <v>3.4</v>
      </c>
      <c r="L143" s="193" t="n">
        <f aca="false">SUMIFS($T143:$CA143,$T$5:$CA$5,2026)</f>
        <v>0</v>
      </c>
      <c r="M143" s="193" t="n">
        <f aca="false">SUMIFS($T143:$CA143,$T$5:$CA$5,2027)</f>
        <v>0.283333333333333</v>
      </c>
      <c r="N143" s="193" t="n">
        <f aca="false">SUMIFS($T143:$CA143,$T$5:$CA$5,2028)</f>
        <v>3.11666666666667</v>
      </c>
      <c r="O143" s="193" t="n">
        <f aca="false">SUMIFS($T143:$CA143,$T$5:$CA$5,2029)</f>
        <v>3.4</v>
      </c>
      <c r="P143" s="193" t="n">
        <f aca="false">SUMIFS($T143:$CA143,$T$5:$CA$5,2030)</f>
        <v>3.4</v>
      </c>
      <c r="T143" s="193" t="n">
        <f aca="false">$D$136/1000000/12*IF($I$136="Y",T$69,IF(T$6&gt;=EOMONTH($H$136,0),1,0))</f>
        <v>0</v>
      </c>
      <c r="U143" s="193" t="n">
        <f aca="false">$D$136/1000000/12*IF($I$136="Y",U$69,IF(U$6&gt;=EOMONTH($H$136,0),1,0))</f>
        <v>0</v>
      </c>
      <c r="V143" s="193" t="n">
        <f aca="false">$D$136/1000000/12*IF($I$136="Y",V$69,IF(V$6&gt;=EOMONTH($H$136,0),1,0))</f>
        <v>0</v>
      </c>
      <c r="W143" s="193" t="n">
        <f aca="false">$D$136/1000000/12*IF($I$136="Y",W$69,IF(W$6&gt;=EOMONTH($H$136,0),1,0))</f>
        <v>0</v>
      </c>
      <c r="X143" s="193" t="n">
        <f aca="false">$D$136/1000000/12*IF($I$136="Y",X$69,IF(X$6&gt;=EOMONTH($H$136,0),1,0))</f>
        <v>0</v>
      </c>
      <c r="Y143" s="193" t="n">
        <f aca="false">$D$136/1000000/12*IF($I$136="Y",Y$69,IF(Y$6&gt;=EOMONTH($H$136,0),1,0))</f>
        <v>0</v>
      </c>
      <c r="Z143" s="193" t="n">
        <f aca="false">$D$136/1000000/12*IF($I$136="Y",Z$69,IF(Z$6&gt;=EOMONTH($H$136,0),1,0))</f>
        <v>0</v>
      </c>
      <c r="AA143" s="193" t="n">
        <f aca="false">$D$136/1000000/12*IF($I$136="Y",AA$69,IF(AA$6&gt;=EOMONTH($H$136,0),1,0))</f>
        <v>0</v>
      </c>
      <c r="AB143" s="193" t="n">
        <f aca="false">$D$136/1000000/12*IF($I$136="Y",AB$69,IF(AB$6&gt;=EOMONTH($H$136,0),1,0))</f>
        <v>0</v>
      </c>
      <c r="AC143" s="193" t="n">
        <f aca="false">$D$136/1000000/12*IF($I$136="Y",AC$69,IF(AC$6&gt;=EOMONTH($H$136,0),1,0))</f>
        <v>0</v>
      </c>
      <c r="AD143" s="193" t="n">
        <f aca="false">$D$136/1000000/12*IF($I$136="Y",AD$69,IF(AD$6&gt;=EOMONTH($H$136,0),1,0))</f>
        <v>0</v>
      </c>
      <c r="AE143" s="193" t="n">
        <f aca="false">$D$136/1000000/12*IF($I$136="Y",AE$69,IF(AE$6&gt;=EOMONTH($H$136,0),1,0))</f>
        <v>0</v>
      </c>
      <c r="AF143" s="193" t="n">
        <f aca="false">$D$136/1000000/12*IF($I$136="Y",AF$69,IF(AF$6&gt;=EOMONTH($H$136,0),1,0))</f>
        <v>0</v>
      </c>
      <c r="AG143" s="193" t="n">
        <f aca="false">$D$136/1000000/12*IF($I$136="Y",AG$69,IF(AG$6&gt;=EOMONTH($H$136,0),1,0))</f>
        <v>0</v>
      </c>
      <c r="AH143" s="193" t="n">
        <f aca="false">$D$136/1000000/12*IF($I$136="Y",AH$69,IF(AH$6&gt;=EOMONTH($H$136,0),1,0))</f>
        <v>0</v>
      </c>
      <c r="AI143" s="193" t="n">
        <f aca="false">$D$136/1000000/12*IF($I$136="Y",AI$69,IF(AI$6&gt;=EOMONTH($H$136,0),1,0))</f>
        <v>0</v>
      </c>
      <c r="AJ143" s="193" t="n">
        <f aca="false">$D$136/1000000/12*IF($I$136="Y",AJ$69,IF(AJ$6&gt;=EOMONTH($H$136,0),1,0))</f>
        <v>0</v>
      </c>
      <c r="AK143" s="193" t="n">
        <f aca="false">$D$136/1000000/12*IF($I$136="Y",AK$69,IF(AK$6&gt;=EOMONTH($H$136,0),1,0))</f>
        <v>0</v>
      </c>
      <c r="AL143" s="193" t="n">
        <f aca="false">$D$136/1000000/12*IF($I$136="Y",AL$69,IF(AL$6&gt;=EOMONTH($H$136,0),1,0))</f>
        <v>0</v>
      </c>
      <c r="AM143" s="193" t="n">
        <f aca="false">$D$136/1000000/12*IF($I$136="Y",AM$69,IF(AM$6&gt;=EOMONTH($H$136,0),1,0))</f>
        <v>0</v>
      </c>
      <c r="AN143" s="193" t="n">
        <f aca="false">$D$136/1000000/12*IF($I$136="Y",AN$69,IF(AN$6&gt;=EOMONTH($H$136,0),1,0))</f>
        <v>0.0177083333333333</v>
      </c>
      <c r="AO143" s="193" t="n">
        <f aca="false">$D$136/1000000/12*IF($I$136="Y",AO$69,IF(AO$6&gt;=EOMONTH($H$136,0),1,0))</f>
        <v>0.053125</v>
      </c>
      <c r="AP143" s="193" t="n">
        <f aca="false">$D$136/1000000/12*IF($I$136="Y",AP$69,IF(AP$6&gt;=EOMONTH($H$136,0),1,0))</f>
        <v>0.0885416666666667</v>
      </c>
      <c r="AQ143" s="193" t="n">
        <f aca="false">$D$136/1000000/12*IF($I$136="Y",AQ$69,IF(AQ$6&gt;=EOMONTH($H$136,0),1,0))</f>
        <v>0.123958333333333</v>
      </c>
      <c r="AR143" s="193" t="n">
        <f aca="false">$D$136/1000000/12*IF($I$136="Y",AR$69,IF(AR$6&gt;=EOMONTH($H$136,0),1,0))</f>
        <v>0.159375</v>
      </c>
      <c r="AS143" s="193" t="n">
        <f aca="false">$D$136/1000000/12*IF($I$136="Y",AS$69,IF(AS$6&gt;=EOMONTH($H$136,0),1,0))</f>
        <v>0.194791666666667</v>
      </c>
      <c r="AT143" s="193" t="n">
        <f aca="false">$D$136/1000000/12*IF($I$136="Y",AT$69,IF(AT$6&gt;=EOMONTH($H$136,0),1,0))</f>
        <v>0.230208333333333</v>
      </c>
      <c r="AU143" s="193" t="n">
        <f aca="false">$D$136/1000000/12*IF($I$136="Y",AU$69,IF(AU$6&gt;=EOMONTH($H$136,0),1,0))</f>
        <v>0.265625</v>
      </c>
      <c r="AV143" s="193" t="n">
        <f aca="false">$D$136/1000000/12*IF($I$136="Y",AV$69,IF(AV$6&gt;=EOMONTH($H$136,0),1,0))</f>
        <v>0.283333333333333</v>
      </c>
      <c r="AW143" s="193" t="n">
        <f aca="false">$D$136/1000000/12*IF($I$136="Y",AW$69,IF(AW$6&gt;=EOMONTH($H$136,0),1,0))</f>
        <v>0.283333333333333</v>
      </c>
      <c r="AX143" s="193" t="n">
        <f aca="false">$D$136/1000000/12*IF($I$136="Y",AX$69,IF(AX$6&gt;=EOMONTH($H$136,0),1,0))</f>
        <v>0.283333333333333</v>
      </c>
      <c r="AY143" s="193" t="n">
        <f aca="false">$D$136/1000000/12*IF($I$136="Y",AY$69,IF(AY$6&gt;=EOMONTH($H$136,0),1,0))</f>
        <v>0.283333333333333</v>
      </c>
      <c r="AZ143" s="193" t="n">
        <f aca="false">$D$136/1000000/12*IF($I$136="Y",AZ$69,IF(AZ$6&gt;=EOMONTH($H$136,0),1,0))</f>
        <v>0.283333333333333</v>
      </c>
      <c r="BA143" s="193" t="n">
        <f aca="false">$D$136/1000000/12*IF($I$136="Y",BA$69,IF(BA$6&gt;=EOMONTH($H$136,0),1,0))</f>
        <v>0.283333333333333</v>
      </c>
      <c r="BB143" s="193" t="n">
        <f aca="false">$D$136/1000000/12*IF($I$136="Y",BB$69,IF(BB$6&gt;=EOMONTH($H$136,0),1,0))</f>
        <v>0.283333333333333</v>
      </c>
      <c r="BC143" s="193" t="n">
        <f aca="false">$D$136/1000000/12*IF($I$136="Y",BC$69,IF(BC$6&gt;=EOMONTH($H$136,0),1,0))</f>
        <v>0.283333333333333</v>
      </c>
      <c r="BD143" s="193" t="n">
        <f aca="false">$D$136/1000000/12*IF($I$136="Y",BD$69,IF(BD$6&gt;=EOMONTH($H$136,0),1,0))</f>
        <v>0.283333333333333</v>
      </c>
      <c r="BE143" s="193" t="n">
        <f aca="false">$D$136/1000000/12*IF($I$136="Y",BE$69,IF(BE$6&gt;=EOMONTH($H$136,0),1,0))</f>
        <v>0.283333333333333</v>
      </c>
      <c r="BF143" s="193" t="n">
        <f aca="false">$D$136/1000000/12*IF($I$136="Y",BF$69,IF(BF$6&gt;=EOMONTH($H$136,0),1,0))</f>
        <v>0.283333333333333</v>
      </c>
      <c r="BG143" s="193" t="n">
        <f aca="false">$D$136/1000000/12*IF($I$136="Y",BG$69,IF(BG$6&gt;=EOMONTH($H$136,0),1,0))</f>
        <v>0.283333333333333</v>
      </c>
      <c r="BH143" s="193" t="n">
        <f aca="false">$D$136/1000000/12*IF($I$136="Y",BH$69,IF(BH$6&gt;=EOMONTH($H$136,0),1,0))</f>
        <v>0.283333333333333</v>
      </c>
      <c r="BI143" s="193" t="n">
        <f aca="false">$D$136/1000000/12*IF($I$136="Y",BI$69,IF(BI$6&gt;=EOMONTH($H$136,0),1,0))</f>
        <v>0.283333333333333</v>
      </c>
      <c r="BJ143" s="193" t="n">
        <f aca="false">$D$136/1000000/12*IF($I$136="Y",BJ$69,IF(BJ$6&gt;=EOMONTH($H$136,0),1,0))</f>
        <v>0.283333333333333</v>
      </c>
      <c r="BK143" s="193" t="n">
        <f aca="false">$D$136/1000000/12*IF($I$136="Y",BK$69,IF(BK$6&gt;=EOMONTH($H$136,0),1,0))</f>
        <v>0.283333333333333</v>
      </c>
      <c r="BL143" s="193" t="n">
        <f aca="false">$D$136/1000000/12*IF($I$136="Y",BL$69,IF(BL$6&gt;=EOMONTH($H$136,0),1,0))</f>
        <v>0.283333333333333</v>
      </c>
      <c r="BM143" s="193" t="n">
        <f aca="false">$D$136/1000000/12*IF($I$136="Y",BM$69,IF(BM$6&gt;=EOMONTH($H$136,0),1,0))</f>
        <v>0.283333333333333</v>
      </c>
      <c r="BN143" s="193" t="n">
        <f aca="false">$D$136/1000000/12*IF($I$136="Y",BN$69,IF(BN$6&gt;=EOMONTH($H$136,0),1,0))</f>
        <v>0.283333333333333</v>
      </c>
      <c r="BO143" s="193" t="n">
        <f aca="false">$D$136/1000000/12*IF($I$136="Y",BO$69,IF(BO$6&gt;=EOMONTH($H$136,0),1,0))</f>
        <v>0.283333333333333</v>
      </c>
      <c r="BP143" s="193" t="n">
        <f aca="false">$D$136/1000000/12*IF($I$136="Y",BP$69,IF(BP$6&gt;=EOMONTH($H$136,0),1,0))</f>
        <v>0.283333333333333</v>
      </c>
      <c r="BQ143" s="193" t="n">
        <f aca="false">$D$136/1000000/12*IF($I$136="Y",BQ$69,IF(BQ$6&gt;=EOMONTH($H$136,0),1,0))</f>
        <v>0.283333333333333</v>
      </c>
      <c r="BR143" s="193" t="n">
        <f aca="false">$D$136/1000000/12*IF($I$136="Y",BR$69,IF(BR$6&gt;=EOMONTH($H$136,0),1,0))</f>
        <v>0.283333333333333</v>
      </c>
      <c r="BS143" s="193" t="n">
        <f aca="false">$D$136/1000000/12*IF($I$136="Y",BS$69,IF(BS$6&gt;=EOMONTH($H$136,0),1,0))</f>
        <v>0.283333333333333</v>
      </c>
      <c r="BT143" s="193" t="n">
        <f aca="false">$D$136/1000000/12*IF($I$136="Y",BT$69,IF(BT$6&gt;=EOMONTH($H$136,0),1,0))</f>
        <v>0.283333333333333</v>
      </c>
      <c r="BU143" s="193" t="n">
        <f aca="false">$D$136/1000000/12*IF($I$136="Y",BU$69,IF(BU$6&gt;=EOMONTH($H$136,0),1,0))</f>
        <v>0.283333333333333</v>
      </c>
      <c r="BV143" s="193" t="n">
        <f aca="false">$D$136/1000000/12*IF($I$136="Y",BV$69,IF(BV$6&gt;=EOMONTH($H$136,0),1,0))</f>
        <v>0.283333333333333</v>
      </c>
      <c r="BW143" s="193" t="n">
        <f aca="false">$D$136/1000000/12*IF($I$136="Y",BW$69,IF(BW$6&gt;=EOMONTH($H$136,0),1,0))</f>
        <v>0.283333333333333</v>
      </c>
      <c r="BX143" s="193" t="n">
        <f aca="false">$D$136/1000000/12*IF($I$136="Y",BX$69,IF(BX$6&gt;=EOMONTH($H$136,0),1,0))</f>
        <v>0.283333333333333</v>
      </c>
      <c r="BY143" s="193" t="n">
        <f aca="false">$D$136/1000000/12*IF($I$136="Y",BY$69,IF(BY$6&gt;=EOMONTH($H$136,0),1,0))</f>
        <v>0.283333333333333</v>
      </c>
      <c r="BZ143" s="193" t="n">
        <f aca="false">$D$136/1000000/12*IF($I$136="Y",BZ$69,IF(BZ$6&gt;=EOMONTH($H$136,0),1,0))</f>
        <v>0.283333333333333</v>
      </c>
      <c r="CA143" s="193" t="n">
        <f aca="false">$D$136/1000000/12*IF($I$136="Y",CA$69,IF(CA$6&gt;=EOMONTH($H$136,0),1,0))</f>
        <v>0.283333333333333</v>
      </c>
    </row>
    <row r="144" customFormat="false" ht="15" hidden="false" customHeight="false" outlineLevel="0" collapsed="false">
      <c r="B144" s="10" t="s">
        <v>472</v>
      </c>
      <c r="K144" s="193" t="n">
        <f aca="false">SUMIFS($T144:$CA144,$T$5:$CA$5,2030)</f>
        <v>0.48</v>
      </c>
      <c r="L144" s="193" t="n">
        <f aca="false">SUMIFS($T144:$CA144,$T$5:$CA$5,2026)</f>
        <v>0</v>
      </c>
      <c r="M144" s="193" t="n">
        <f aca="false">SUMIFS($T144:$CA144,$T$5:$CA$5,2027)</f>
        <v>0.16</v>
      </c>
      <c r="N144" s="193" t="n">
        <f aca="false">SUMIFS($T144:$CA144,$T$5:$CA$5,2028)</f>
        <v>0.48</v>
      </c>
      <c r="O144" s="193" t="n">
        <f aca="false">SUMIFS($T144:$CA144,$T$5:$CA$5,2029)</f>
        <v>0.48</v>
      </c>
      <c r="P144" s="193" t="n">
        <f aca="false">SUMIFS($T144:$CA144,$T$5:$CA$5,2030)</f>
        <v>0.48</v>
      </c>
      <c r="T144" s="193" t="n">
        <f aca="false">$D$137/1000000/12*IF($I$137="Y",T$69,IF(T$6&gt;=EOMONTH($H$137,0),1,0))</f>
        <v>0</v>
      </c>
      <c r="U144" s="193" t="n">
        <f aca="false">$D$137/1000000/12*IF($I$137="Y",U$69,IF(U$6&gt;=EOMONTH($H$137,0),1,0))</f>
        <v>0</v>
      </c>
      <c r="V144" s="193" t="n">
        <f aca="false">$D$137/1000000/12*IF($I$137="Y",V$69,IF(V$6&gt;=EOMONTH($H$137,0),1,0))</f>
        <v>0</v>
      </c>
      <c r="W144" s="193" t="n">
        <f aca="false">$D$137/1000000/12*IF($I$137="Y",W$69,IF(W$6&gt;=EOMONTH($H$137,0),1,0))</f>
        <v>0</v>
      </c>
      <c r="X144" s="193" t="n">
        <f aca="false">$D$137/1000000/12*IF($I$137="Y",X$69,IF(X$6&gt;=EOMONTH($H$137,0),1,0))</f>
        <v>0</v>
      </c>
      <c r="Y144" s="193" t="n">
        <f aca="false">$D$137/1000000/12*IF($I$137="Y",Y$69,IF(Y$6&gt;=EOMONTH($H$137,0),1,0))</f>
        <v>0</v>
      </c>
      <c r="Z144" s="193" t="n">
        <f aca="false">$D$137/1000000/12*IF($I$137="Y",Z$69,IF(Z$6&gt;=EOMONTH($H$137,0),1,0))</f>
        <v>0</v>
      </c>
      <c r="AA144" s="193" t="n">
        <f aca="false">$D$137/1000000/12*IF($I$137="Y",AA$69,IF(AA$6&gt;=EOMONTH($H$137,0),1,0))</f>
        <v>0</v>
      </c>
      <c r="AB144" s="193" t="n">
        <f aca="false">$D$137/1000000/12*IF($I$137="Y",AB$69,IF(AB$6&gt;=EOMONTH($H$137,0),1,0))</f>
        <v>0</v>
      </c>
      <c r="AC144" s="193" t="n">
        <f aca="false">$D$137/1000000/12*IF($I$137="Y",AC$69,IF(AC$6&gt;=EOMONTH($H$137,0),1,0))</f>
        <v>0</v>
      </c>
      <c r="AD144" s="193" t="n">
        <f aca="false">$D$137/1000000/12*IF($I$137="Y",AD$69,IF(AD$6&gt;=EOMONTH($H$137,0),1,0))</f>
        <v>0</v>
      </c>
      <c r="AE144" s="193" t="n">
        <f aca="false">$D$137/1000000/12*IF($I$137="Y",AE$69,IF(AE$6&gt;=EOMONTH($H$137,0),1,0))</f>
        <v>0</v>
      </c>
      <c r="AF144" s="193" t="n">
        <f aca="false">$D$137/1000000/12*IF($I$137="Y",AF$69,IF(AF$6&gt;=EOMONTH($H$137,0),1,0))</f>
        <v>0</v>
      </c>
      <c r="AG144" s="193" t="n">
        <f aca="false">$D$137/1000000/12*IF($I$137="Y",AG$69,IF(AG$6&gt;=EOMONTH($H$137,0),1,0))</f>
        <v>0</v>
      </c>
      <c r="AH144" s="193" t="n">
        <f aca="false">$D$137/1000000/12*IF($I$137="Y",AH$69,IF(AH$6&gt;=EOMONTH($H$137,0),1,0))</f>
        <v>0</v>
      </c>
      <c r="AI144" s="193" t="n">
        <f aca="false">$D$137/1000000/12*IF($I$137="Y",AI$69,IF(AI$6&gt;=EOMONTH($H$137,0),1,0))</f>
        <v>0</v>
      </c>
      <c r="AJ144" s="193" t="n">
        <f aca="false">$D$137/1000000/12*IF($I$137="Y",AJ$69,IF(AJ$6&gt;=EOMONTH($H$137,0),1,0))</f>
        <v>0</v>
      </c>
      <c r="AK144" s="193" t="n">
        <f aca="false">$D$137/1000000/12*IF($I$137="Y",AK$69,IF(AK$6&gt;=EOMONTH($H$137,0),1,0))</f>
        <v>0</v>
      </c>
      <c r="AL144" s="193" t="n">
        <f aca="false">$D$137/1000000/12*IF($I$137="Y",AL$69,IF(AL$6&gt;=EOMONTH($H$137,0),1,0))</f>
        <v>0</v>
      </c>
      <c r="AM144" s="193" t="n">
        <f aca="false">$D$137/1000000/12*IF($I$137="Y",AM$69,IF(AM$6&gt;=EOMONTH($H$137,0),1,0))</f>
        <v>0</v>
      </c>
      <c r="AN144" s="193" t="n">
        <f aca="false">$D$137/1000000/12*IF($I$137="Y",AN$69,IF(AN$6&gt;=EOMONTH($H$137,0),1,0))</f>
        <v>0.04</v>
      </c>
      <c r="AO144" s="193" t="n">
        <f aca="false">$D$137/1000000/12*IF($I$137="Y",AO$69,IF(AO$6&gt;=EOMONTH($H$137,0),1,0))</f>
        <v>0.04</v>
      </c>
      <c r="AP144" s="193" t="n">
        <f aca="false">$D$137/1000000/12*IF($I$137="Y",AP$69,IF(AP$6&gt;=EOMONTH($H$137,0),1,0))</f>
        <v>0.04</v>
      </c>
      <c r="AQ144" s="193" t="n">
        <f aca="false">$D$137/1000000/12*IF($I$137="Y",AQ$69,IF(AQ$6&gt;=EOMONTH($H$137,0),1,0))</f>
        <v>0.04</v>
      </c>
      <c r="AR144" s="193" t="n">
        <f aca="false">$D$137/1000000/12*IF($I$137="Y",AR$69,IF(AR$6&gt;=EOMONTH($H$137,0),1,0))</f>
        <v>0.04</v>
      </c>
      <c r="AS144" s="193" t="n">
        <f aca="false">$D$137/1000000/12*IF($I$137="Y",AS$69,IF(AS$6&gt;=EOMONTH($H$137,0),1,0))</f>
        <v>0.04</v>
      </c>
      <c r="AT144" s="193" t="n">
        <f aca="false">$D$137/1000000/12*IF($I$137="Y",AT$69,IF(AT$6&gt;=EOMONTH($H$137,0),1,0))</f>
        <v>0.04</v>
      </c>
      <c r="AU144" s="193" t="n">
        <f aca="false">$D$137/1000000/12*IF($I$137="Y",AU$69,IF(AU$6&gt;=EOMONTH($H$137,0),1,0))</f>
        <v>0.04</v>
      </c>
      <c r="AV144" s="193" t="n">
        <f aca="false">$D$137/1000000/12*IF($I$137="Y",AV$69,IF(AV$6&gt;=EOMONTH($H$137,0),1,0))</f>
        <v>0.04</v>
      </c>
      <c r="AW144" s="193" t="n">
        <f aca="false">$D$137/1000000/12*IF($I$137="Y",AW$69,IF(AW$6&gt;=EOMONTH($H$137,0),1,0))</f>
        <v>0.04</v>
      </c>
      <c r="AX144" s="193" t="n">
        <f aca="false">$D$137/1000000/12*IF($I$137="Y",AX$69,IF(AX$6&gt;=EOMONTH($H$137,0),1,0))</f>
        <v>0.04</v>
      </c>
      <c r="AY144" s="193" t="n">
        <f aca="false">$D$137/1000000/12*IF($I$137="Y",AY$69,IF(AY$6&gt;=EOMONTH($H$137,0),1,0))</f>
        <v>0.04</v>
      </c>
      <c r="AZ144" s="193" t="n">
        <f aca="false">$D$137/1000000/12*IF($I$137="Y",AZ$69,IF(AZ$6&gt;=EOMONTH($H$137,0),1,0))</f>
        <v>0.04</v>
      </c>
      <c r="BA144" s="193" t="n">
        <f aca="false">$D$137/1000000/12*IF($I$137="Y",BA$69,IF(BA$6&gt;=EOMONTH($H$137,0),1,0))</f>
        <v>0.04</v>
      </c>
      <c r="BB144" s="193" t="n">
        <f aca="false">$D$137/1000000/12*IF($I$137="Y",BB$69,IF(BB$6&gt;=EOMONTH($H$137,0),1,0))</f>
        <v>0.04</v>
      </c>
      <c r="BC144" s="193" t="n">
        <f aca="false">$D$137/1000000/12*IF($I$137="Y",BC$69,IF(BC$6&gt;=EOMONTH($H$137,0),1,0))</f>
        <v>0.04</v>
      </c>
      <c r="BD144" s="193" t="n">
        <f aca="false">$D$137/1000000/12*IF($I$137="Y",BD$69,IF(BD$6&gt;=EOMONTH($H$137,0),1,0))</f>
        <v>0.04</v>
      </c>
      <c r="BE144" s="193" t="n">
        <f aca="false">$D$137/1000000/12*IF($I$137="Y",BE$69,IF(BE$6&gt;=EOMONTH($H$137,0),1,0))</f>
        <v>0.04</v>
      </c>
      <c r="BF144" s="193" t="n">
        <f aca="false">$D$137/1000000/12*IF($I$137="Y",BF$69,IF(BF$6&gt;=EOMONTH($H$137,0),1,0))</f>
        <v>0.04</v>
      </c>
      <c r="BG144" s="193" t="n">
        <f aca="false">$D$137/1000000/12*IF($I$137="Y",BG$69,IF(BG$6&gt;=EOMONTH($H$137,0),1,0))</f>
        <v>0.04</v>
      </c>
      <c r="BH144" s="193" t="n">
        <f aca="false">$D$137/1000000/12*IF($I$137="Y",BH$69,IF(BH$6&gt;=EOMONTH($H$137,0),1,0))</f>
        <v>0.04</v>
      </c>
      <c r="BI144" s="193" t="n">
        <f aca="false">$D$137/1000000/12*IF($I$137="Y",BI$69,IF(BI$6&gt;=EOMONTH($H$137,0),1,0))</f>
        <v>0.04</v>
      </c>
      <c r="BJ144" s="193" t="n">
        <f aca="false">$D$137/1000000/12*IF($I$137="Y",BJ$69,IF(BJ$6&gt;=EOMONTH($H$137,0),1,0))</f>
        <v>0.04</v>
      </c>
      <c r="BK144" s="193" t="n">
        <f aca="false">$D$137/1000000/12*IF($I$137="Y",BK$69,IF(BK$6&gt;=EOMONTH($H$137,0),1,0))</f>
        <v>0.04</v>
      </c>
      <c r="BL144" s="193" t="n">
        <f aca="false">$D$137/1000000/12*IF($I$137="Y",BL$69,IF(BL$6&gt;=EOMONTH($H$137,0),1,0))</f>
        <v>0.04</v>
      </c>
      <c r="BM144" s="193" t="n">
        <f aca="false">$D$137/1000000/12*IF($I$137="Y",BM$69,IF(BM$6&gt;=EOMONTH($H$137,0),1,0))</f>
        <v>0.04</v>
      </c>
      <c r="BN144" s="193" t="n">
        <f aca="false">$D$137/1000000/12*IF($I$137="Y",BN$69,IF(BN$6&gt;=EOMONTH($H$137,0),1,0))</f>
        <v>0.04</v>
      </c>
      <c r="BO144" s="193" t="n">
        <f aca="false">$D$137/1000000/12*IF($I$137="Y",BO$69,IF(BO$6&gt;=EOMONTH($H$137,0),1,0))</f>
        <v>0.04</v>
      </c>
      <c r="BP144" s="193" t="n">
        <f aca="false">$D$137/1000000/12*IF($I$137="Y",BP$69,IF(BP$6&gt;=EOMONTH($H$137,0),1,0))</f>
        <v>0.04</v>
      </c>
      <c r="BQ144" s="193" t="n">
        <f aca="false">$D$137/1000000/12*IF($I$137="Y",BQ$69,IF(BQ$6&gt;=EOMONTH($H$137,0),1,0))</f>
        <v>0.04</v>
      </c>
      <c r="BR144" s="193" t="n">
        <f aca="false">$D$137/1000000/12*IF($I$137="Y",BR$69,IF(BR$6&gt;=EOMONTH($H$137,0),1,0))</f>
        <v>0.04</v>
      </c>
      <c r="BS144" s="193" t="n">
        <f aca="false">$D$137/1000000/12*IF($I$137="Y",BS$69,IF(BS$6&gt;=EOMONTH($H$137,0),1,0))</f>
        <v>0.04</v>
      </c>
      <c r="BT144" s="193" t="n">
        <f aca="false">$D$137/1000000/12*IF($I$137="Y",BT$69,IF(BT$6&gt;=EOMONTH($H$137,0),1,0))</f>
        <v>0.04</v>
      </c>
      <c r="BU144" s="193" t="n">
        <f aca="false">$D$137/1000000/12*IF($I$137="Y",BU$69,IF(BU$6&gt;=EOMONTH($H$137,0),1,0))</f>
        <v>0.04</v>
      </c>
      <c r="BV144" s="193" t="n">
        <f aca="false">$D$137/1000000/12*IF($I$137="Y",BV$69,IF(BV$6&gt;=EOMONTH($H$137,0),1,0))</f>
        <v>0.04</v>
      </c>
      <c r="BW144" s="193" t="n">
        <f aca="false">$D$137/1000000/12*IF($I$137="Y",BW$69,IF(BW$6&gt;=EOMONTH($H$137,0),1,0))</f>
        <v>0.04</v>
      </c>
      <c r="BX144" s="193" t="n">
        <f aca="false">$D$137/1000000/12*IF($I$137="Y",BX$69,IF(BX$6&gt;=EOMONTH($H$137,0),1,0))</f>
        <v>0.04</v>
      </c>
      <c r="BY144" s="193" t="n">
        <f aca="false">$D$137/1000000/12*IF($I$137="Y",BY$69,IF(BY$6&gt;=EOMONTH($H$137,0),1,0))</f>
        <v>0.04</v>
      </c>
      <c r="BZ144" s="193" t="n">
        <f aca="false">$D$137/1000000/12*IF($I$137="Y",BZ$69,IF(BZ$6&gt;=EOMONTH($H$137,0),1,0))</f>
        <v>0.04</v>
      </c>
      <c r="CA144" s="193" t="n">
        <f aca="false">$D$137/1000000/12*IF($I$137="Y",CA$69,IF(CA$6&gt;=EOMONTH($H$137,0),1,0))</f>
        <v>0.04</v>
      </c>
    </row>
    <row r="145" customFormat="false" ht="15" hidden="false" customHeight="false" outlineLevel="0" collapsed="false">
      <c r="B145" s="10" t="s">
        <v>393</v>
      </c>
      <c r="K145" s="193" t="n">
        <f aca="false">SUMIFS($T145:$CA145,$T$5:$CA$5,2030)</f>
        <v>0.99</v>
      </c>
      <c r="L145" s="193" t="n">
        <f aca="false">SUMIFS($T145:$CA145,$T$5:$CA$5,2026)</f>
        <v>0</v>
      </c>
      <c r="M145" s="193" t="n">
        <f aca="false">SUMIFS($T145:$CA145,$T$5:$CA$5,2027)</f>
        <v>0.33</v>
      </c>
      <c r="N145" s="193" t="n">
        <f aca="false">SUMIFS($T145:$CA145,$T$5:$CA$5,2028)</f>
        <v>0.99</v>
      </c>
      <c r="O145" s="193" t="n">
        <f aca="false">SUMIFS($T145:$CA145,$T$5:$CA$5,2029)</f>
        <v>0.99</v>
      </c>
      <c r="P145" s="193" t="n">
        <f aca="false">SUMIFS($T145:$CA145,$T$5:$CA$5,2030)</f>
        <v>0.99</v>
      </c>
      <c r="T145" s="193" t="n">
        <f aca="false">$D$138/1000000/12*IF($I$138="Y",T$69,IF(T$6&gt;=EOMONTH($H$138,0),1,0))</f>
        <v>0</v>
      </c>
      <c r="U145" s="193" t="n">
        <f aca="false">$D$138/1000000/12*IF($I$138="Y",U$69,IF(U$6&gt;=EOMONTH($H$138,0),1,0))</f>
        <v>0</v>
      </c>
      <c r="V145" s="193" t="n">
        <f aca="false">$D$138/1000000/12*IF($I$138="Y",V$69,IF(V$6&gt;=EOMONTH($H$138,0),1,0))</f>
        <v>0</v>
      </c>
      <c r="W145" s="193" t="n">
        <f aca="false">$D$138/1000000/12*IF($I$138="Y",W$69,IF(W$6&gt;=EOMONTH($H$138,0),1,0))</f>
        <v>0</v>
      </c>
      <c r="X145" s="193" t="n">
        <f aca="false">$D$138/1000000/12*IF($I$138="Y",X$69,IF(X$6&gt;=EOMONTH($H$138,0),1,0))</f>
        <v>0</v>
      </c>
      <c r="Y145" s="193" t="n">
        <f aca="false">$D$138/1000000/12*IF($I$138="Y",Y$69,IF(Y$6&gt;=EOMONTH($H$138,0),1,0))</f>
        <v>0</v>
      </c>
      <c r="Z145" s="193" t="n">
        <f aca="false">$D$138/1000000/12*IF($I$138="Y",Z$69,IF(Z$6&gt;=EOMONTH($H$138,0),1,0))</f>
        <v>0</v>
      </c>
      <c r="AA145" s="193" t="n">
        <f aca="false">$D$138/1000000/12*IF($I$138="Y",AA$69,IF(AA$6&gt;=EOMONTH($H$138,0),1,0))</f>
        <v>0</v>
      </c>
      <c r="AB145" s="193" t="n">
        <f aca="false">$D$138/1000000/12*IF($I$138="Y",AB$69,IF(AB$6&gt;=EOMONTH($H$138,0),1,0))</f>
        <v>0</v>
      </c>
      <c r="AC145" s="193" t="n">
        <f aca="false">$D$138/1000000/12*IF($I$138="Y",AC$69,IF(AC$6&gt;=EOMONTH($H$138,0),1,0))</f>
        <v>0</v>
      </c>
      <c r="AD145" s="193" t="n">
        <f aca="false">$D$138/1000000/12*IF($I$138="Y",AD$69,IF(AD$6&gt;=EOMONTH($H$138,0),1,0))</f>
        <v>0</v>
      </c>
      <c r="AE145" s="193" t="n">
        <f aca="false">$D$138/1000000/12*IF($I$138="Y",AE$69,IF(AE$6&gt;=EOMONTH($H$138,0),1,0))</f>
        <v>0</v>
      </c>
      <c r="AF145" s="193" t="n">
        <f aca="false">$D$138/1000000/12*IF($I$138="Y",AF$69,IF(AF$6&gt;=EOMONTH($H$138,0),1,0))</f>
        <v>0</v>
      </c>
      <c r="AG145" s="193" t="n">
        <f aca="false">$D$138/1000000/12*IF($I$138="Y",AG$69,IF(AG$6&gt;=EOMONTH($H$138,0),1,0))</f>
        <v>0</v>
      </c>
      <c r="AH145" s="193" t="n">
        <f aca="false">$D$138/1000000/12*IF($I$138="Y",AH$69,IF(AH$6&gt;=EOMONTH($H$138,0),1,0))</f>
        <v>0</v>
      </c>
      <c r="AI145" s="193" t="n">
        <f aca="false">$D$138/1000000/12*IF($I$138="Y",AI$69,IF(AI$6&gt;=EOMONTH($H$138,0),1,0))</f>
        <v>0</v>
      </c>
      <c r="AJ145" s="193" t="n">
        <f aca="false">$D$138/1000000/12*IF($I$138="Y",AJ$69,IF(AJ$6&gt;=EOMONTH($H$138,0),1,0))</f>
        <v>0</v>
      </c>
      <c r="AK145" s="193" t="n">
        <f aca="false">$D$138/1000000/12*IF($I$138="Y",AK$69,IF(AK$6&gt;=EOMONTH($H$138,0),1,0))</f>
        <v>0</v>
      </c>
      <c r="AL145" s="193" t="n">
        <f aca="false">$D$138/1000000/12*IF($I$138="Y",AL$69,IF(AL$6&gt;=EOMONTH($H$138,0),1,0))</f>
        <v>0</v>
      </c>
      <c r="AM145" s="193" t="n">
        <f aca="false">$D$138/1000000/12*IF($I$138="Y",AM$69,IF(AM$6&gt;=EOMONTH($H$138,0),1,0))</f>
        <v>0</v>
      </c>
      <c r="AN145" s="193" t="n">
        <f aca="false">$D$138/1000000/12*IF($I$138="Y",AN$69,IF(AN$6&gt;=EOMONTH($H$138,0),1,0))</f>
        <v>0.0825</v>
      </c>
      <c r="AO145" s="193" t="n">
        <f aca="false">$D$138/1000000/12*IF($I$138="Y",AO$69,IF(AO$6&gt;=EOMONTH($H$138,0),1,0))</f>
        <v>0.0825</v>
      </c>
      <c r="AP145" s="193" t="n">
        <f aca="false">$D$138/1000000/12*IF($I$138="Y",AP$69,IF(AP$6&gt;=EOMONTH($H$138,0),1,0))</f>
        <v>0.0825</v>
      </c>
      <c r="AQ145" s="193" t="n">
        <f aca="false">$D$138/1000000/12*IF($I$138="Y",AQ$69,IF(AQ$6&gt;=EOMONTH($H$138,0),1,0))</f>
        <v>0.0825</v>
      </c>
      <c r="AR145" s="193" t="n">
        <f aca="false">$D$138/1000000/12*IF($I$138="Y",AR$69,IF(AR$6&gt;=EOMONTH($H$138,0),1,0))</f>
        <v>0.0825</v>
      </c>
      <c r="AS145" s="193" t="n">
        <f aca="false">$D$138/1000000/12*IF($I$138="Y",AS$69,IF(AS$6&gt;=EOMONTH($H$138,0),1,0))</f>
        <v>0.0825</v>
      </c>
      <c r="AT145" s="193" t="n">
        <f aca="false">$D$138/1000000/12*IF($I$138="Y",AT$69,IF(AT$6&gt;=EOMONTH($H$138,0),1,0))</f>
        <v>0.0825</v>
      </c>
      <c r="AU145" s="193" t="n">
        <f aca="false">$D$138/1000000/12*IF($I$138="Y",AU$69,IF(AU$6&gt;=EOMONTH($H$138,0),1,0))</f>
        <v>0.0825</v>
      </c>
      <c r="AV145" s="193" t="n">
        <f aca="false">$D$138/1000000/12*IF($I$138="Y",AV$69,IF(AV$6&gt;=EOMONTH($H$138,0),1,0))</f>
        <v>0.0825</v>
      </c>
      <c r="AW145" s="193" t="n">
        <f aca="false">$D$138/1000000/12*IF($I$138="Y",AW$69,IF(AW$6&gt;=EOMONTH($H$138,0),1,0))</f>
        <v>0.0825</v>
      </c>
      <c r="AX145" s="193" t="n">
        <f aca="false">$D$138/1000000/12*IF($I$138="Y",AX$69,IF(AX$6&gt;=EOMONTH($H$138,0),1,0))</f>
        <v>0.0825</v>
      </c>
      <c r="AY145" s="193" t="n">
        <f aca="false">$D$138/1000000/12*IF($I$138="Y",AY$69,IF(AY$6&gt;=EOMONTH($H$138,0),1,0))</f>
        <v>0.0825</v>
      </c>
      <c r="AZ145" s="193" t="n">
        <f aca="false">$D$138/1000000/12*IF($I$138="Y",AZ$69,IF(AZ$6&gt;=EOMONTH($H$138,0),1,0))</f>
        <v>0.0825</v>
      </c>
      <c r="BA145" s="193" t="n">
        <f aca="false">$D$138/1000000/12*IF($I$138="Y",BA$69,IF(BA$6&gt;=EOMONTH($H$138,0),1,0))</f>
        <v>0.0825</v>
      </c>
      <c r="BB145" s="193" t="n">
        <f aca="false">$D$138/1000000/12*IF($I$138="Y",BB$69,IF(BB$6&gt;=EOMONTH($H$138,0),1,0))</f>
        <v>0.0825</v>
      </c>
      <c r="BC145" s="193" t="n">
        <f aca="false">$D$138/1000000/12*IF($I$138="Y",BC$69,IF(BC$6&gt;=EOMONTH($H$138,0),1,0))</f>
        <v>0.0825</v>
      </c>
      <c r="BD145" s="193" t="n">
        <f aca="false">$D$138/1000000/12*IF($I$138="Y",BD$69,IF(BD$6&gt;=EOMONTH($H$138,0),1,0))</f>
        <v>0.0825</v>
      </c>
      <c r="BE145" s="193" t="n">
        <f aca="false">$D$138/1000000/12*IF($I$138="Y",BE$69,IF(BE$6&gt;=EOMONTH($H$138,0),1,0))</f>
        <v>0.0825</v>
      </c>
      <c r="BF145" s="193" t="n">
        <f aca="false">$D$138/1000000/12*IF($I$138="Y",BF$69,IF(BF$6&gt;=EOMONTH($H$138,0),1,0))</f>
        <v>0.0825</v>
      </c>
      <c r="BG145" s="193" t="n">
        <f aca="false">$D$138/1000000/12*IF($I$138="Y",BG$69,IF(BG$6&gt;=EOMONTH($H$138,0),1,0))</f>
        <v>0.0825</v>
      </c>
      <c r="BH145" s="193" t="n">
        <f aca="false">$D$138/1000000/12*IF($I$138="Y",BH$69,IF(BH$6&gt;=EOMONTH($H$138,0),1,0))</f>
        <v>0.0825</v>
      </c>
      <c r="BI145" s="193" t="n">
        <f aca="false">$D$138/1000000/12*IF($I$138="Y",BI$69,IF(BI$6&gt;=EOMONTH($H$138,0),1,0))</f>
        <v>0.0825</v>
      </c>
      <c r="BJ145" s="193" t="n">
        <f aca="false">$D$138/1000000/12*IF($I$138="Y",BJ$69,IF(BJ$6&gt;=EOMONTH($H$138,0),1,0))</f>
        <v>0.0825</v>
      </c>
      <c r="BK145" s="193" t="n">
        <f aca="false">$D$138/1000000/12*IF($I$138="Y",BK$69,IF(BK$6&gt;=EOMONTH($H$138,0),1,0))</f>
        <v>0.0825</v>
      </c>
      <c r="BL145" s="193" t="n">
        <f aca="false">$D$138/1000000/12*IF($I$138="Y",BL$69,IF(BL$6&gt;=EOMONTH($H$138,0),1,0))</f>
        <v>0.0825</v>
      </c>
      <c r="BM145" s="193" t="n">
        <f aca="false">$D$138/1000000/12*IF($I$138="Y",BM$69,IF(BM$6&gt;=EOMONTH($H$138,0),1,0))</f>
        <v>0.0825</v>
      </c>
      <c r="BN145" s="193" t="n">
        <f aca="false">$D$138/1000000/12*IF($I$138="Y",BN$69,IF(BN$6&gt;=EOMONTH($H$138,0),1,0))</f>
        <v>0.0825</v>
      </c>
      <c r="BO145" s="193" t="n">
        <f aca="false">$D$138/1000000/12*IF($I$138="Y",BO$69,IF(BO$6&gt;=EOMONTH($H$138,0),1,0))</f>
        <v>0.0825</v>
      </c>
      <c r="BP145" s="193" t="n">
        <f aca="false">$D$138/1000000/12*IF($I$138="Y",BP$69,IF(BP$6&gt;=EOMONTH($H$138,0),1,0))</f>
        <v>0.0825</v>
      </c>
      <c r="BQ145" s="193" t="n">
        <f aca="false">$D$138/1000000/12*IF($I$138="Y",BQ$69,IF(BQ$6&gt;=EOMONTH($H$138,0),1,0))</f>
        <v>0.0825</v>
      </c>
      <c r="BR145" s="193" t="n">
        <f aca="false">$D$138/1000000/12*IF($I$138="Y",BR$69,IF(BR$6&gt;=EOMONTH($H$138,0),1,0))</f>
        <v>0.0825</v>
      </c>
      <c r="BS145" s="193" t="n">
        <f aca="false">$D$138/1000000/12*IF($I$138="Y",BS$69,IF(BS$6&gt;=EOMONTH($H$138,0),1,0))</f>
        <v>0.0825</v>
      </c>
      <c r="BT145" s="193" t="n">
        <f aca="false">$D$138/1000000/12*IF($I$138="Y",BT$69,IF(BT$6&gt;=EOMONTH($H$138,0),1,0))</f>
        <v>0.0825</v>
      </c>
      <c r="BU145" s="193" t="n">
        <f aca="false">$D$138/1000000/12*IF($I$138="Y",BU$69,IF(BU$6&gt;=EOMONTH($H$138,0),1,0))</f>
        <v>0.0825</v>
      </c>
      <c r="BV145" s="193" t="n">
        <f aca="false">$D$138/1000000/12*IF($I$138="Y",BV$69,IF(BV$6&gt;=EOMONTH($H$138,0),1,0))</f>
        <v>0.0825</v>
      </c>
      <c r="BW145" s="193" t="n">
        <f aca="false">$D$138/1000000/12*IF($I$138="Y",BW$69,IF(BW$6&gt;=EOMONTH($H$138,0),1,0))</f>
        <v>0.0825</v>
      </c>
      <c r="BX145" s="193" t="n">
        <f aca="false">$D$138/1000000/12*IF($I$138="Y",BX$69,IF(BX$6&gt;=EOMONTH($H$138,0),1,0))</f>
        <v>0.0825</v>
      </c>
      <c r="BY145" s="193" t="n">
        <f aca="false">$D$138/1000000/12*IF($I$138="Y",BY$69,IF(BY$6&gt;=EOMONTH($H$138,0),1,0))</f>
        <v>0.0825</v>
      </c>
      <c r="BZ145" s="193" t="n">
        <f aca="false">$D$138/1000000/12*IF($I$138="Y",BZ$69,IF(BZ$6&gt;=EOMONTH($H$138,0),1,0))</f>
        <v>0.0825</v>
      </c>
      <c r="CA145" s="193" t="n">
        <f aca="false">$D$138/1000000/12*IF($I$138="Y",CA$69,IF(CA$6&gt;=EOMONTH($H$138,0),1,0))</f>
        <v>0.0825</v>
      </c>
    </row>
    <row r="146" customFormat="false" ht="15" hidden="false" customHeight="false" outlineLevel="0" collapsed="false">
      <c r="B146" s="10" t="s">
        <v>394</v>
      </c>
      <c r="K146" s="193" t="n">
        <f aca="false">SUMIFS($T146:$CA146,$T$5:$CA$5,2030)</f>
        <v>0.45</v>
      </c>
      <c r="L146" s="193" t="n">
        <f aca="false">SUMIFS($T146:$CA146,$T$5:$CA$5,2026)</f>
        <v>0</v>
      </c>
      <c r="M146" s="193" t="n">
        <f aca="false">SUMIFS($T146:$CA146,$T$5:$CA$5,2027)</f>
        <v>0.15</v>
      </c>
      <c r="N146" s="193" t="n">
        <f aca="false">SUMIFS($T146:$CA146,$T$5:$CA$5,2028)</f>
        <v>0.45</v>
      </c>
      <c r="O146" s="193" t="n">
        <f aca="false">SUMIFS($T146:$CA146,$T$5:$CA$5,2029)</f>
        <v>0.45</v>
      </c>
      <c r="P146" s="193" t="n">
        <f aca="false">SUMIFS($T146:$CA146,$T$5:$CA$5,2030)</f>
        <v>0.45</v>
      </c>
      <c r="T146" s="193" t="n">
        <f aca="false">$D$139/1000000/12*IF($I$139="Y",T$69,IF(T$6&gt;=EOMONTH($H$139,0),1,0))</f>
        <v>0</v>
      </c>
      <c r="U146" s="193" t="n">
        <f aca="false">$D$139/1000000/12*IF($I$139="Y",U$69,IF(U$6&gt;=EOMONTH($H$139,0),1,0))</f>
        <v>0</v>
      </c>
      <c r="V146" s="193" t="n">
        <f aca="false">$D$139/1000000/12*IF($I$139="Y",V$69,IF(V$6&gt;=EOMONTH($H$139,0),1,0))</f>
        <v>0</v>
      </c>
      <c r="W146" s="193" t="n">
        <f aca="false">$D$139/1000000/12*IF($I$139="Y",W$69,IF(W$6&gt;=EOMONTH($H$139,0),1,0))</f>
        <v>0</v>
      </c>
      <c r="X146" s="193" t="n">
        <f aca="false">$D$139/1000000/12*IF($I$139="Y",X$69,IF(X$6&gt;=EOMONTH($H$139,0),1,0))</f>
        <v>0</v>
      </c>
      <c r="Y146" s="193" t="n">
        <f aca="false">$D$139/1000000/12*IF($I$139="Y",Y$69,IF(Y$6&gt;=EOMONTH($H$139,0),1,0))</f>
        <v>0</v>
      </c>
      <c r="Z146" s="193" t="n">
        <f aca="false">$D$139/1000000/12*IF($I$139="Y",Z$69,IF(Z$6&gt;=EOMONTH($H$139,0),1,0))</f>
        <v>0</v>
      </c>
      <c r="AA146" s="193" t="n">
        <f aca="false">$D$139/1000000/12*IF($I$139="Y",AA$69,IF(AA$6&gt;=EOMONTH($H$139,0),1,0))</f>
        <v>0</v>
      </c>
      <c r="AB146" s="193" t="n">
        <f aca="false">$D$139/1000000/12*IF($I$139="Y",AB$69,IF(AB$6&gt;=EOMONTH($H$139,0),1,0))</f>
        <v>0</v>
      </c>
      <c r="AC146" s="193" t="n">
        <f aca="false">$D$139/1000000/12*IF($I$139="Y",AC$69,IF(AC$6&gt;=EOMONTH($H$139,0),1,0))</f>
        <v>0</v>
      </c>
      <c r="AD146" s="193" t="n">
        <f aca="false">$D$139/1000000/12*IF($I$139="Y",AD$69,IF(AD$6&gt;=EOMONTH($H$139,0),1,0))</f>
        <v>0</v>
      </c>
      <c r="AE146" s="193" t="n">
        <f aca="false">$D$139/1000000/12*IF($I$139="Y",AE$69,IF(AE$6&gt;=EOMONTH($H$139,0),1,0))</f>
        <v>0</v>
      </c>
      <c r="AF146" s="193" t="n">
        <f aca="false">$D$139/1000000/12*IF($I$139="Y",AF$69,IF(AF$6&gt;=EOMONTH($H$139,0),1,0))</f>
        <v>0</v>
      </c>
      <c r="AG146" s="193" t="n">
        <f aca="false">$D$139/1000000/12*IF($I$139="Y",AG$69,IF(AG$6&gt;=EOMONTH($H$139,0),1,0))</f>
        <v>0</v>
      </c>
      <c r="AH146" s="193" t="n">
        <f aca="false">$D$139/1000000/12*IF($I$139="Y",AH$69,IF(AH$6&gt;=EOMONTH($H$139,0),1,0))</f>
        <v>0</v>
      </c>
      <c r="AI146" s="193" t="n">
        <f aca="false">$D$139/1000000/12*IF($I$139="Y",AI$69,IF(AI$6&gt;=EOMONTH($H$139,0),1,0))</f>
        <v>0</v>
      </c>
      <c r="AJ146" s="193" t="n">
        <f aca="false">$D$139/1000000/12*IF($I$139="Y",AJ$69,IF(AJ$6&gt;=EOMONTH($H$139,0),1,0))</f>
        <v>0</v>
      </c>
      <c r="AK146" s="193" t="n">
        <f aca="false">$D$139/1000000/12*IF($I$139="Y",AK$69,IF(AK$6&gt;=EOMONTH($H$139,0),1,0))</f>
        <v>0</v>
      </c>
      <c r="AL146" s="193" t="n">
        <f aca="false">$D$139/1000000/12*IF($I$139="Y",AL$69,IF(AL$6&gt;=EOMONTH($H$139,0),1,0))</f>
        <v>0</v>
      </c>
      <c r="AM146" s="193" t="n">
        <f aca="false">$D$139/1000000/12*IF($I$139="Y",AM$69,IF(AM$6&gt;=EOMONTH($H$139,0),1,0))</f>
        <v>0</v>
      </c>
      <c r="AN146" s="193" t="n">
        <f aca="false">$D$139/1000000/12*IF($I$139="Y",AN$69,IF(AN$6&gt;=EOMONTH($H$139,0),1,0))</f>
        <v>0.0375</v>
      </c>
      <c r="AO146" s="193" t="n">
        <f aca="false">$D$139/1000000/12*IF($I$139="Y",AO$69,IF(AO$6&gt;=EOMONTH($H$139,0),1,0))</f>
        <v>0.0375</v>
      </c>
      <c r="AP146" s="193" t="n">
        <f aca="false">$D$139/1000000/12*IF($I$139="Y",AP$69,IF(AP$6&gt;=EOMONTH($H$139,0),1,0))</f>
        <v>0.0375</v>
      </c>
      <c r="AQ146" s="193" t="n">
        <f aca="false">$D$139/1000000/12*IF($I$139="Y",AQ$69,IF(AQ$6&gt;=EOMONTH($H$139,0),1,0))</f>
        <v>0.0375</v>
      </c>
      <c r="AR146" s="193" t="n">
        <f aca="false">$D$139/1000000/12*IF($I$139="Y",AR$69,IF(AR$6&gt;=EOMONTH($H$139,0),1,0))</f>
        <v>0.0375</v>
      </c>
      <c r="AS146" s="193" t="n">
        <f aca="false">$D$139/1000000/12*IF($I$139="Y",AS$69,IF(AS$6&gt;=EOMONTH($H$139,0),1,0))</f>
        <v>0.0375</v>
      </c>
      <c r="AT146" s="193" t="n">
        <f aca="false">$D$139/1000000/12*IF($I$139="Y",AT$69,IF(AT$6&gt;=EOMONTH($H$139,0),1,0))</f>
        <v>0.0375</v>
      </c>
      <c r="AU146" s="193" t="n">
        <f aca="false">$D$139/1000000/12*IF($I$139="Y",AU$69,IF(AU$6&gt;=EOMONTH($H$139,0),1,0))</f>
        <v>0.0375</v>
      </c>
      <c r="AV146" s="193" t="n">
        <f aca="false">$D$139/1000000/12*IF($I$139="Y",AV$69,IF(AV$6&gt;=EOMONTH($H$139,0),1,0))</f>
        <v>0.0375</v>
      </c>
      <c r="AW146" s="193" t="n">
        <f aca="false">$D$139/1000000/12*IF($I$139="Y",AW$69,IF(AW$6&gt;=EOMONTH($H$139,0),1,0))</f>
        <v>0.0375</v>
      </c>
      <c r="AX146" s="193" t="n">
        <f aca="false">$D$139/1000000/12*IF($I$139="Y",AX$69,IF(AX$6&gt;=EOMONTH($H$139,0),1,0))</f>
        <v>0.0375</v>
      </c>
      <c r="AY146" s="193" t="n">
        <f aca="false">$D$139/1000000/12*IF($I$139="Y",AY$69,IF(AY$6&gt;=EOMONTH($H$139,0),1,0))</f>
        <v>0.0375</v>
      </c>
      <c r="AZ146" s="193" t="n">
        <f aca="false">$D$139/1000000/12*IF($I$139="Y",AZ$69,IF(AZ$6&gt;=EOMONTH($H$139,0),1,0))</f>
        <v>0.0375</v>
      </c>
      <c r="BA146" s="193" t="n">
        <f aca="false">$D$139/1000000/12*IF($I$139="Y",BA$69,IF(BA$6&gt;=EOMONTH($H$139,0),1,0))</f>
        <v>0.0375</v>
      </c>
      <c r="BB146" s="193" t="n">
        <f aca="false">$D$139/1000000/12*IF($I$139="Y",BB$69,IF(BB$6&gt;=EOMONTH($H$139,0),1,0))</f>
        <v>0.0375</v>
      </c>
      <c r="BC146" s="193" t="n">
        <f aca="false">$D$139/1000000/12*IF($I$139="Y",BC$69,IF(BC$6&gt;=EOMONTH($H$139,0),1,0))</f>
        <v>0.0375</v>
      </c>
      <c r="BD146" s="193" t="n">
        <f aca="false">$D$139/1000000/12*IF($I$139="Y",BD$69,IF(BD$6&gt;=EOMONTH($H$139,0),1,0))</f>
        <v>0.0375</v>
      </c>
      <c r="BE146" s="193" t="n">
        <f aca="false">$D$139/1000000/12*IF($I$139="Y",BE$69,IF(BE$6&gt;=EOMONTH($H$139,0),1,0))</f>
        <v>0.0375</v>
      </c>
      <c r="BF146" s="193" t="n">
        <f aca="false">$D$139/1000000/12*IF($I$139="Y",BF$69,IF(BF$6&gt;=EOMONTH($H$139,0),1,0))</f>
        <v>0.0375</v>
      </c>
      <c r="BG146" s="193" t="n">
        <f aca="false">$D$139/1000000/12*IF($I$139="Y",BG$69,IF(BG$6&gt;=EOMONTH($H$139,0),1,0))</f>
        <v>0.0375</v>
      </c>
      <c r="BH146" s="193" t="n">
        <f aca="false">$D$139/1000000/12*IF($I$139="Y",BH$69,IF(BH$6&gt;=EOMONTH($H$139,0),1,0))</f>
        <v>0.0375</v>
      </c>
      <c r="BI146" s="193" t="n">
        <f aca="false">$D$139/1000000/12*IF($I$139="Y",BI$69,IF(BI$6&gt;=EOMONTH($H$139,0),1,0))</f>
        <v>0.0375</v>
      </c>
      <c r="BJ146" s="193" t="n">
        <f aca="false">$D$139/1000000/12*IF($I$139="Y",BJ$69,IF(BJ$6&gt;=EOMONTH($H$139,0),1,0))</f>
        <v>0.0375</v>
      </c>
      <c r="BK146" s="193" t="n">
        <f aca="false">$D$139/1000000/12*IF($I$139="Y",BK$69,IF(BK$6&gt;=EOMONTH($H$139,0),1,0))</f>
        <v>0.0375</v>
      </c>
      <c r="BL146" s="193" t="n">
        <f aca="false">$D$139/1000000/12*IF($I$139="Y",BL$69,IF(BL$6&gt;=EOMONTH($H$139,0),1,0))</f>
        <v>0.0375</v>
      </c>
      <c r="BM146" s="193" t="n">
        <f aca="false">$D$139/1000000/12*IF($I$139="Y",BM$69,IF(BM$6&gt;=EOMONTH($H$139,0),1,0))</f>
        <v>0.0375</v>
      </c>
      <c r="BN146" s="193" t="n">
        <f aca="false">$D$139/1000000/12*IF($I$139="Y",BN$69,IF(BN$6&gt;=EOMONTH($H$139,0),1,0))</f>
        <v>0.0375</v>
      </c>
      <c r="BO146" s="193" t="n">
        <f aca="false">$D$139/1000000/12*IF($I$139="Y",BO$69,IF(BO$6&gt;=EOMONTH($H$139,0),1,0))</f>
        <v>0.0375</v>
      </c>
      <c r="BP146" s="193" t="n">
        <f aca="false">$D$139/1000000/12*IF($I$139="Y",BP$69,IF(BP$6&gt;=EOMONTH($H$139,0),1,0))</f>
        <v>0.0375</v>
      </c>
      <c r="BQ146" s="193" t="n">
        <f aca="false">$D$139/1000000/12*IF($I$139="Y",BQ$69,IF(BQ$6&gt;=EOMONTH($H$139,0),1,0))</f>
        <v>0.0375</v>
      </c>
      <c r="BR146" s="193" t="n">
        <f aca="false">$D$139/1000000/12*IF($I$139="Y",BR$69,IF(BR$6&gt;=EOMONTH($H$139,0),1,0))</f>
        <v>0.0375</v>
      </c>
      <c r="BS146" s="193" t="n">
        <f aca="false">$D$139/1000000/12*IF($I$139="Y",BS$69,IF(BS$6&gt;=EOMONTH($H$139,0),1,0))</f>
        <v>0.0375</v>
      </c>
      <c r="BT146" s="193" t="n">
        <f aca="false">$D$139/1000000/12*IF($I$139="Y",BT$69,IF(BT$6&gt;=EOMONTH($H$139,0),1,0))</f>
        <v>0.0375</v>
      </c>
      <c r="BU146" s="193" t="n">
        <f aca="false">$D$139/1000000/12*IF($I$139="Y",BU$69,IF(BU$6&gt;=EOMONTH($H$139,0),1,0))</f>
        <v>0.0375</v>
      </c>
      <c r="BV146" s="193" t="n">
        <f aca="false">$D$139/1000000/12*IF($I$139="Y",BV$69,IF(BV$6&gt;=EOMONTH($H$139,0),1,0))</f>
        <v>0.0375</v>
      </c>
      <c r="BW146" s="193" t="n">
        <f aca="false">$D$139/1000000/12*IF($I$139="Y",BW$69,IF(BW$6&gt;=EOMONTH($H$139,0),1,0))</f>
        <v>0.0375</v>
      </c>
      <c r="BX146" s="193" t="n">
        <f aca="false">$D$139/1000000/12*IF($I$139="Y",BX$69,IF(BX$6&gt;=EOMONTH($H$139,0),1,0))</f>
        <v>0.0375</v>
      </c>
      <c r="BY146" s="193" t="n">
        <f aca="false">$D$139/1000000/12*IF($I$139="Y",BY$69,IF(BY$6&gt;=EOMONTH($H$139,0),1,0))</f>
        <v>0.0375</v>
      </c>
      <c r="BZ146" s="193" t="n">
        <f aca="false">$D$139/1000000/12*IF($I$139="Y",BZ$69,IF(BZ$6&gt;=EOMONTH($H$139,0),1,0))</f>
        <v>0.0375</v>
      </c>
      <c r="CA146" s="193" t="n">
        <f aca="false">$D$139/1000000/12*IF($I$139="Y",CA$69,IF(CA$6&gt;=EOMONTH($H$139,0),1,0))</f>
        <v>0.0375</v>
      </c>
    </row>
    <row r="147" customFormat="false" ht="15" hidden="false" customHeight="false" outlineLevel="0" collapsed="false">
      <c r="B147" s="10" t="s">
        <v>395</v>
      </c>
      <c r="K147" s="193" t="n">
        <f aca="false">SUMIFS($T147:$CA147,$T$5:$CA$5,2030)</f>
        <v>0.23</v>
      </c>
      <c r="L147" s="193" t="n">
        <f aca="false">SUMIFS($T147:$CA147,$T$5:$CA$5,2026)</f>
        <v>0</v>
      </c>
      <c r="M147" s="193" t="n">
        <f aca="false">SUMIFS($T147:$CA147,$T$5:$CA$5,2027)</f>
        <v>0.0766666666666667</v>
      </c>
      <c r="N147" s="193" t="n">
        <f aca="false">SUMIFS($T147:$CA147,$T$5:$CA$5,2028)</f>
        <v>0.23</v>
      </c>
      <c r="O147" s="193" t="n">
        <f aca="false">SUMIFS($T147:$CA147,$T$5:$CA$5,2029)</f>
        <v>0.23</v>
      </c>
      <c r="P147" s="193" t="n">
        <f aca="false">SUMIFS($T147:$CA147,$T$5:$CA$5,2030)</f>
        <v>0.23</v>
      </c>
      <c r="T147" s="193" t="n">
        <f aca="false">$D$140/1000000/12*IF($I$140="Y",T$69,IF(T$6&gt;=EOMONTH($H$140,0),1,0))</f>
        <v>0</v>
      </c>
      <c r="U147" s="193" t="n">
        <f aca="false">$D$140/1000000/12*IF($I$140="Y",U$69,IF(U$6&gt;=EOMONTH($H$140,0),1,0))</f>
        <v>0</v>
      </c>
      <c r="V147" s="193" t="n">
        <f aca="false">$D$140/1000000/12*IF($I$140="Y",V$69,IF(V$6&gt;=EOMONTH($H$140,0),1,0))</f>
        <v>0</v>
      </c>
      <c r="W147" s="193" t="n">
        <f aca="false">$D$140/1000000/12*IF($I$140="Y",W$69,IF(W$6&gt;=EOMONTH($H$140,0),1,0))</f>
        <v>0</v>
      </c>
      <c r="X147" s="193" t="n">
        <f aca="false">$D$140/1000000/12*IF($I$140="Y",X$69,IF(X$6&gt;=EOMONTH($H$140,0),1,0))</f>
        <v>0</v>
      </c>
      <c r="Y147" s="193" t="n">
        <f aca="false">$D$140/1000000/12*IF($I$140="Y",Y$69,IF(Y$6&gt;=EOMONTH($H$140,0),1,0))</f>
        <v>0</v>
      </c>
      <c r="Z147" s="193" t="n">
        <f aca="false">$D$140/1000000/12*IF($I$140="Y",Z$69,IF(Z$6&gt;=EOMONTH($H$140,0),1,0))</f>
        <v>0</v>
      </c>
      <c r="AA147" s="193" t="n">
        <f aca="false">$D$140/1000000/12*IF($I$140="Y",AA$69,IF(AA$6&gt;=EOMONTH($H$140,0),1,0))</f>
        <v>0</v>
      </c>
      <c r="AB147" s="193" t="n">
        <f aca="false">$D$140/1000000/12*IF($I$140="Y",AB$69,IF(AB$6&gt;=EOMONTH($H$140,0),1,0))</f>
        <v>0</v>
      </c>
      <c r="AC147" s="193" t="n">
        <f aca="false">$D$140/1000000/12*IF($I$140="Y",AC$69,IF(AC$6&gt;=EOMONTH($H$140,0),1,0))</f>
        <v>0</v>
      </c>
      <c r="AD147" s="193" t="n">
        <f aca="false">$D$140/1000000/12*IF($I$140="Y",AD$69,IF(AD$6&gt;=EOMONTH($H$140,0),1,0))</f>
        <v>0</v>
      </c>
      <c r="AE147" s="193" t="n">
        <f aca="false">$D$140/1000000/12*IF($I$140="Y",AE$69,IF(AE$6&gt;=EOMONTH($H$140,0),1,0))</f>
        <v>0</v>
      </c>
      <c r="AF147" s="193" t="n">
        <f aca="false">$D$140/1000000/12*IF($I$140="Y",AF$69,IF(AF$6&gt;=EOMONTH($H$140,0),1,0))</f>
        <v>0</v>
      </c>
      <c r="AG147" s="193" t="n">
        <f aca="false">$D$140/1000000/12*IF($I$140="Y",AG$69,IF(AG$6&gt;=EOMONTH($H$140,0),1,0))</f>
        <v>0</v>
      </c>
      <c r="AH147" s="193" t="n">
        <f aca="false">$D$140/1000000/12*IF($I$140="Y",AH$69,IF(AH$6&gt;=EOMONTH($H$140,0),1,0))</f>
        <v>0</v>
      </c>
      <c r="AI147" s="193" t="n">
        <f aca="false">$D$140/1000000/12*IF($I$140="Y",AI$69,IF(AI$6&gt;=EOMONTH($H$140,0),1,0))</f>
        <v>0</v>
      </c>
      <c r="AJ147" s="193" t="n">
        <f aca="false">$D$140/1000000/12*IF($I$140="Y",AJ$69,IF(AJ$6&gt;=EOMONTH($H$140,0),1,0))</f>
        <v>0</v>
      </c>
      <c r="AK147" s="193" t="n">
        <f aca="false">$D$140/1000000/12*IF($I$140="Y",AK$69,IF(AK$6&gt;=EOMONTH($H$140,0),1,0))</f>
        <v>0</v>
      </c>
      <c r="AL147" s="193" t="n">
        <f aca="false">$D$140/1000000/12*IF($I$140="Y",AL$69,IF(AL$6&gt;=EOMONTH($H$140,0),1,0))</f>
        <v>0</v>
      </c>
      <c r="AM147" s="193" t="n">
        <f aca="false">$D$140/1000000/12*IF($I$140="Y",AM$69,IF(AM$6&gt;=EOMONTH($H$140,0),1,0))</f>
        <v>0</v>
      </c>
      <c r="AN147" s="193" t="n">
        <f aca="false">$D$140/1000000/12*IF($I$140="Y",AN$69,IF(AN$6&gt;=EOMONTH($H$140,0),1,0))</f>
        <v>0.0191666666666667</v>
      </c>
      <c r="AO147" s="193" t="n">
        <f aca="false">$D$140/1000000/12*IF($I$140="Y",AO$69,IF(AO$6&gt;=EOMONTH($H$140,0),1,0))</f>
        <v>0.0191666666666667</v>
      </c>
      <c r="AP147" s="193" t="n">
        <f aca="false">$D$140/1000000/12*IF($I$140="Y",AP$69,IF(AP$6&gt;=EOMONTH($H$140,0),1,0))</f>
        <v>0.0191666666666667</v>
      </c>
      <c r="AQ147" s="193" t="n">
        <f aca="false">$D$140/1000000/12*IF($I$140="Y",AQ$69,IF(AQ$6&gt;=EOMONTH($H$140,0),1,0))</f>
        <v>0.0191666666666667</v>
      </c>
      <c r="AR147" s="193" t="n">
        <f aca="false">$D$140/1000000/12*IF($I$140="Y",AR$69,IF(AR$6&gt;=EOMONTH($H$140,0),1,0))</f>
        <v>0.0191666666666667</v>
      </c>
      <c r="AS147" s="193" t="n">
        <f aca="false">$D$140/1000000/12*IF($I$140="Y",AS$69,IF(AS$6&gt;=EOMONTH($H$140,0),1,0))</f>
        <v>0.0191666666666667</v>
      </c>
      <c r="AT147" s="193" t="n">
        <f aca="false">$D$140/1000000/12*IF($I$140="Y",AT$69,IF(AT$6&gt;=EOMONTH($H$140,0),1,0))</f>
        <v>0.0191666666666667</v>
      </c>
      <c r="AU147" s="193" t="n">
        <f aca="false">$D$140/1000000/12*IF($I$140="Y",AU$69,IF(AU$6&gt;=EOMONTH($H$140,0),1,0))</f>
        <v>0.0191666666666667</v>
      </c>
      <c r="AV147" s="193" t="n">
        <f aca="false">$D$140/1000000/12*IF($I$140="Y",AV$69,IF(AV$6&gt;=EOMONTH($H$140,0),1,0))</f>
        <v>0.0191666666666667</v>
      </c>
      <c r="AW147" s="193" t="n">
        <f aca="false">$D$140/1000000/12*IF($I$140="Y",AW$69,IF(AW$6&gt;=EOMONTH($H$140,0),1,0))</f>
        <v>0.0191666666666667</v>
      </c>
      <c r="AX147" s="193" t="n">
        <f aca="false">$D$140/1000000/12*IF($I$140="Y",AX$69,IF(AX$6&gt;=EOMONTH($H$140,0),1,0))</f>
        <v>0.0191666666666667</v>
      </c>
      <c r="AY147" s="193" t="n">
        <f aca="false">$D$140/1000000/12*IF($I$140="Y",AY$69,IF(AY$6&gt;=EOMONTH($H$140,0),1,0))</f>
        <v>0.0191666666666667</v>
      </c>
      <c r="AZ147" s="193" t="n">
        <f aca="false">$D$140/1000000/12*IF($I$140="Y",AZ$69,IF(AZ$6&gt;=EOMONTH($H$140,0),1,0))</f>
        <v>0.0191666666666667</v>
      </c>
      <c r="BA147" s="193" t="n">
        <f aca="false">$D$140/1000000/12*IF($I$140="Y",BA$69,IF(BA$6&gt;=EOMONTH($H$140,0),1,0))</f>
        <v>0.0191666666666667</v>
      </c>
      <c r="BB147" s="193" t="n">
        <f aca="false">$D$140/1000000/12*IF($I$140="Y",BB$69,IF(BB$6&gt;=EOMONTH($H$140,0),1,0))</f>
        <v>0.0191666666666667</v>
      </c>
      <c r="BC147" s="193" t="n">
        <f aca="false">$D$140/1000000/12*IF($I$140="Y",BC$69,IF(BC$6&gt;=EOMONTH($H$140,0),1,0))</f>
        <v>0.0191666666666667</v>
      </c>
      <c r="BD147" s="193" t="n">
        <f aca="false">$D$140/1000000/12*IF($I$140="Y",BD$69,IF(BD$6&gt;=EOMONTH($H$140,0),1,0))</f>
        <v>0.0191666666666667</v>
      </c>
      <c r="BE147" s="193" t="n">
        <f aca="false">$D$140/1000000/12*IF($I$140="Y",BE$69,IF(BE$6&gt;=EOMONTH($H$140,0),1,0))</f>
        <v>0.0191666666666667</v>
      </c>
      <c r="BF147" s="193" t="n">
        <f aca="false">$D$140/1000000/12*IF($I$140="Y",BF$69,IF(BF$6&gt;=EOMONTH($H$140,0),1,0))</f>
        <v>0.0191666666666667</v>
      </c>
      <c r="BG147" s="193" t="n">
        <f aca="false">$D$140/1000000/12*IF($I$140="Y",BG$69,IF(BG$6&gt;=EOMONTH($H$140,0),1,0))</f>
        <v>0.0191666666666667</v>
      </c>
      <c r="BH147" s="193" t="n">
        <f aca="false">$D$140/1000000/12*IF($I$140="Y",BH$69,IF(BH$6&gt;=EOMONTH($H$140,0),1,0))</f>
        <v>0.0191666666666667</v>
      </c>
      <c r="BI147" s="193" t="n">
        <f aca="false">$D$140/1000000/12*IF($I$140="Y",BI$69,IF(BI$6&gt;=EOMONTH($H$140,0),1,0))</f>
        <v>0.0191666666666667</v>
      </c>
      <c r="BJ147" s="193" t="n">
        <f aca="false">$D$140/1000000/12*IF($I$140="Y",BJ$69,IF(BJ$6&gt;=EOMONTH($H$140,0),1,0))</f>
        <v>0.0191666666666667</v>
      </c>
      <c r="BK147" s="193" t="n">
        <f aca="false">$D$140/1000000/12*IF($I$140="Y",BK$69,IF(BK$6&gt;=EOMONTH($H$140,0),1,0))</f>
        <v>0.0191666666666667</v>
      </c>
      <c r="BL147" s="193" t="n">
        <f aca="false">$D$140/1000000/12*IF($I$140="Y",BL$69,IF(BL$6&gt;=EOMONTH($H$140,0),1,0))</f>
        <v>0.0191666666666667</v>
      </c>
      <c r="BM147" s="193" t="n">
        <f aca="false">$D$140/1000000/12*IF($I$140="Y",BM$69,IF(BM$6&gt;=EOMONTH($H$140,0),1,0))</f>
        <v>0.0191666666666667</v>
      </c>
      <c r="BN147" s="193" t="n">
        <f aca="false">$D$140/1000000/12*IF($I$140="Y",BN$69,IF(BN$6&gt;=EOMONTH($H$140,0),1,0))</f>
        <v>0.0191666666666667</v>
      </c>
      <c r="BO147" s="193" t="n">
        <f aca="false">$D$140/1000000/12*IF($I$140="Y",BO$69,IF(BO$6&gt;=EOMONTH($H$140,0),1,0))</f>
        <v>0.0191666666666667</v>
      </c>
      <c r="BP147" s="193" t="n">
        <f aca="false">$D$140/1000000/12*IF($I$140="Y",BP$69,IF(BP$6&gt;=EOMONTH($H$140,0),1,0))</f>
        <v>0.0191666666666667</v>
      </c>
      <c r="BQ147" s="193" t="n">
        <f aca="false">$D$140/1000000/12*IF($I$140="Y",BQ$69,IF(BQ$6&gt;=EOMONTH($H$140,0),1,0))</f>
        <v>0.0191666666666667</v>
      </c>
      <c r="BR147" s="193" t="n">
        <f aca="false">$D$140/1000000/12*IF($I$140="Y",BR$69,IF(BR$6&gt;=EOMONTH($H$140,0),1,0))</f>
        <v>0.0191666666666667</v>
      </c>
      <c r="BS147" s="193" t="n">
        <f aca="false">$D$140/1000000/12*IF($I$140="Y",BS$69,IF(BS$6&gt;=EOMONTH($H$140,0),1,0))</f>
        <v>0.0191666666666667</v>
      </c>
      <c r="BT147" s="193" t="n">
        <f aca="false">$D$140/1000000/12*IF($I$140="Y",BT$69,IF(BT$6&gt;=EOMONTH($H$140,0),1,0))</f>
        <v>0.0191666666666667</v>
      </c>
      <c r="BU147" s="193" t="n">
        <f aca="false">$D$140/1000000/12*IF($I$140="Y",BU$69,IF(BU$6&gt;=EOMONTH($H$140,0),1,0))</f>
        <v>0.0191666666666667</v>
      </c>
      <c r="BV147" s="193" t="n">
        <f aca="false">$D$140/1000000/12*IF($I$140="Y",BV$69,IF(BV$6&gt;=EOMONTH($H$140,0),1,0))</f>
        <v>0.0191666666666667</v>
      </c>
      <c r="BW147" s="193" t="n">
        <f aca="false">$D$140/1000000/12*IF($I$140="Y",BW$69,IF(BW$6&gt;=EOMONTH($H$140,0),1,0))</f>
        <v>0.0191666666666667</v>
      </c>
      <c r="BX147" s="193" t="n">
        <f aca="false">$D$140/1000000/12*IF($I$140="Y",BX$69,IF(BX$6&gt;=EOMONTH($H$140,0),1,0))</f>
        <v>0.0191666666666667</v>
      </c>
      <c r="BY147" s="193" t="n">
        <f aca="false">$D$140/1000000/12*IF($I$140="Y",BY$69,IF(BY$6&gt;=EOMONTH($H$140,0),1,0))</f>
        <v>0.0191666666666667</v>
      </c>
      <c r="BZ147" s="193" t="n">
        <f aca="false">$D$140/1000000/12*IF($I$140="Y",BZ$69,IF(BZ$6&gt;=EOMONTH($H$140,0),1,0))</f>
        <v>0.0191666666666667</v>
      </c>
      <c r="CA147" s="193" t="n">
        <f aca="false">$D$140/1000000/12*IF($I$140="Y",CA$69,IF(CA$6&gt;=EOMONTH($H$140,0),1,0))</f>
        <v>0.0191666666666667</v>
      </c>
    </row>
    <row r="148" customFormat="false" ht="15" hidden="false" customHeight="false" outlineLevel="0" collapsed="false">
      <c r="B148" s="3" t="s">
        <v>396</v>
      </c>
      <c r="K148" s="193" t="n">
        <f aca="false">SUM(K143:K147)</f>
        <v>5.55</v>
      </c>
      <c r="L148" s="193" t="n">
        <f aca="false">SUM(L143:L147)</f>
        <v>0</v>
      </c>
      <c r="M148" s="193" t="n">
        <f aca="false">SUM(M143:M147)</f>
        <v>1</v>
      </c>
      <c r="N148" s="193" t="n">
        <f aca="false">SUM(N143:N147)</f>
        <v>5.26666666666667</v>
      </c>
      <c r="O148" s="193" t="n">
        <f aca="false">SUM(O143:O147)</f>
        <v>5.55</v>
      </c>
      <c r="P148" s="193" t="n">
        <f aca="false">SUM(P143:P147)</f>
        <v>5.55</v>
      </c>
    </row>
    <row r="150" customFormat="false" ht="18" hidden="false" customHeight="true" outlineLevel="0" collapsed="false">
      <c r="B150" s="5" t="s">
        <v>397</v>
      </c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2" customFormat="false" ht="15" hidden="false" customHeight="false" outlineLevel="0" collapsed="false">
      <c r="B152" s="196" t="s">
        <v>566</v>
      </c>
      <c r="F152" s="198" t="s">
        <v>399</v>
      </c>
    </row>
    <row r="153" customFormat="false" ht="15" hidden="false" customHeight="false" outlineLevel="0" collapsed="false">
      <c r="B153" s="196" t="s">
        <v>567</v>
      </c>
      <c r="F153" s="198" t="s">
        <v>568</v>
      </c>
    </row>
    <row r="154" customFormat="false" ht="15" hidden="false" customHeight="false" outlineLevel="0" collapsed="false">
      <c r="B154" s="196" t="s">
        <v>569</v>
      </c>
      <c r="F154" s="198" t="s">
        <v>401</v>
      </c>
    </row>
    <row r="155" customFormat="false" ht="15" hidden="false" customHeight="false" outlineLevel="0" collapsed="false">
      <c r="B155" s="196" t="s">
        <v>570</v>
      </c>
      <c r="F155" s="198" t="s">
        <v>403</v>
      </c>
    </row>
    <row r="156" customFormat="false" ht="15" hidden="false" customHeight="false" outlineLevel="0" collapsed="false">
      <c r="B156" s="196" t="s">
        <v>571</v>
      </c>
      <c r="F156" s="198" t="s">
        <v>405</v>
      </c>
    </row>
    <row r="157" customFormat="false" ht="15" hidden="false" customHeight="false" outlineLevel="0" collapsed="false">
      <c r="B157" s="196" t="s">
        <v>572</v>
      </c>
      <c r="F157" s="198" t="s">
        <v>478</v>
      </c>
    </row>
    <row r="158" customFormat="false" ht="15" hidden="false" customHeight="false" outlineLevel="0" collapsed="false">
      <c r="B158" s="196" t="s">
        <v>573</v>
      </c>
      <c r="F158" s="198" t="s">
        <v>480</v>
      </c>
    </row>
    <row r="159" customFormat="false" ht="15" hidden="false" customHeight="false" outlineLevel="0" collapsed="false">
      <c r="B159" s="196" t="s">
        <v>574</v>
      </c>
      <c r="F159" s="198" t="s">
        <v>407</v>
      </c>
    </row>
    <row r="160" customFormat="false" ht="15" hidden="false" customHeight="false" outlineLevel="0" collapsed="false">
      <c r="B160" s="196" t="s">
        <v>575</v>
      </c>
      <c r="F160" s="198" t="s">
        <v>409</v>
      </c>
    </row>
    <row r="161" customFormat="false" ht="15" hidden="false" customHeight="false" outlineLevel="0" collapsed="false">
      <c r="B161" s="196" t="s">
        <v>576</v>
      </c>
      <c r="F161" s="198" t="s">
        <v>411</v>
      </c>
    </row>
    <row r="162" customFormat="false" ht="15" hidden="false" customHeight="false" outlineLevel="0" collapsed="false">
      <c r="B162" s="196" t="s">
        <v>577</v>
      </c>
      <c r="F162" s="198" t="s">
        <v>413</v>
      </c>
    </row>
    <row r="164" customFormat="false" ht="18" hidden="false" customHeight="true" outlineLevel="0" collapsed="false">
      <c r="B164" s="5" t="s">
        <v>414</v>
      </c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</row>
  </sheetData>
  <mergeCells count="3">
    <mergeCell ref="D10:H10"/>
    <mergeCell ref="D11:H11"/>
    <mergeCell ref="D12:H12"/>
  </mergeCells>
  <dataValidations count="1">
    <dataValidation allowBlank="true" errorStyle="stop" operator="between" showDropDown="false" showErrorMessage="false" showInputMessage="false" sqref="I136:I140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C1:CM171"/>
  <sheetViews>
    <sheetView showFormulas="false" showGridLines="false" showRowColHeaders="true" showZeros="true" rightToLeft="false" tabSelected="false" showOutlineSymbols="true" defaultGridColor="true" view="normal" topLeftCell="A1" colorId="64" zoomScale="50" zoomScaleNormal="5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5390625" defaultRowHeight="14.25" zeroHeight="false" outlineLevelRow="1" outlineLevelCol="1"/>
  <cols>
    <col collapsed="false" customWidth="true" hidden="false" outlineLevel="0" max="4" min="1" style="0" width="2.81"/>
    <col collapsed="false" customWidth="true" hidden="false" outlineLevel="0" max="5" min="5" style="0" width="65.81"/>
    <col collapsed="false" customWidth="true" hidden="false" outlineLevel="0" max="6" min="6" style="0" width="16.54"/>
    <col collapsed="false" customWidth="true" hidden="false" outlineLevel="0" max="7" min="7" style="0" width="16.18"/>
    <col collapsed="false" customWidth="true" hidden="false" outlineLevel="0" max="8" min="8" style="0" width="22.45"/>
    <col collapsed="false" customWidth="true" hidden="false" outlineLevel="0" max="16" min="9" style="0" width="13.54"/>
    <col collapsed="false" customWidth="true" hidden="false" outlineLevel="0" max="17" min="17" style="13" width="13.54"/>
    <col collapsed="false" customWidth="true" hidden="false" outlineLevel="0" max="18" min="18" style="13" width="16.45"/>
    <col collapsed="false" customWidth="true" hidden="false" outlineLevel="0" max="19" min="19" style="0" width="2.81"/>
    <col collapsed="false" customWidth="true" hidden="false" outlineLevel="0" max="67" min="20" style="0" width="16.54"/>
    <col collapsed="false" customWidth="true" hidden="true" outlineLevel="1" max="79" min="68" style="0" width="16.54"/>
    <col collapsed="false" customWidth="true" hidden="false" outlineLevel="0" max="80" min="80" style="0" width="2.81"/>
    <col collapsed="false" customWidth="true" hidden="false" outlineLevel="0" max="85" min="81" style="0" width="16.54"/>
    <col collapsed="false" customWidth="true" hidden="false" outlineLevel="0" max="86" min="86" style="0" width="2.81"/>
    <col collapsed="false" customWidth="true" hidden="false" outlineLevel="0" max="91" min="87" style="0" width="16.54"/>
  </cols>
  <sheetData>
    <row r="1" s="14" customFormat="true" ht="16.5" hidden="true" customHeight="true" outlineLevel="1" collapsed="false">
      <c r="L1" s="15" t="n">
        <v>1</v>
      </c>
      <c r="M1" s="15" t="n">
        <v>2</v>
      </c>
      <c r="N1" s="15" t="n">
        <v>3</v>
      </c>
      <c r="O1" s="15" t="n">
        <v>4</v>
      </c>
      <c r="P1" s="15" t="n">
        <v>5</v>
      </c>
      <c r="Q1" s="16"/>
      <c r="R1" s="17" t="n">
        <f aca="false">COUNTIFS($R$66:$R$117, "Error")</f>
        <v>0</v>
      </c>
      <c r="T1" s="17" t="n">
        <v>2026</v>
      </c>
      <c r="U1" s="17" t="n">
        <v>2026</v>
      </c>
      <c r="V1" s="17" t="n">
        <v>2026</v>
      </c>
      <c r="W1" s="17" t="n">
        <v>2026</v>
      </c>
      <c r="X1" s="17" t="n">
        <v>2026</v>
      </c>
      <c r="Y1" s="17" t="n">
        <v>2026</v>
      </c>
      <c r="Z1" s="17" t="n">
        <v>2026</v>
      </c>
      <c r="AA1" s="17" t="n">
        <v>2026</v>
      </c>
      <c r="AB1" s="17" t="n">
        <v>2026</v>
      </c>
      <c r="AC1" s="17" t="n">
        <v>2026</v>
      </c>
      <c r="AD1" s="17" t="n">
        <v>2026</v>
      </c>
      <c r="AE1" s="17" t="n">
        <v>2026</v>
      </c>
      <c r="AF1" s="17" t="n">
        <v>2027</v>
      </c>
      <c r="AG1" s="17" t="n">
        <v>2027</v>
      </c>
      <c r="AH1" s="17" t="n">
        <v>2027</v>
      </c>
      <c r="AI1" s="17" t="n">
        <v>2027</v>
      </c>
      <c r="AJ1" s="17" t="n">
        <v>2027</v>
      </c>
      <c r="AK1" s="17" t="n">
        <v>2027</v>
      </c>
      <c r="AL1" s="17" t="n">
        <v>2027</v>
      </c>
      <c r="AM1" s="17" t="n">
        <v>2027</v>
      </c>
      <c r="AN1" s="17" t="n">
        <v>2027</v>
      </c>
      <c r="AO1" s="17" t="n">
        <v>2027</v>
      </c>
      <c r="AP1" s="17" t="n">
        <v>2027</v>
      </c>
      <c r="AQ1" s="17" t="n">
        <v>2027</v>
      </c>
      <c r="AR1" s="17" t="n">
        <v>2028</v>
      </c>
      <c r="AS1" s="17" t="n">
        <v>2028</v>
      </c>
      <c r="AT1" s="17" t="n">
        <v>2028</v>
      </c>
      <c r="AU1" s="17" t="n">
        <v>2028</v>
      </c>
      <c r="AV1" s="17" t="n">
        <v>2028</v>
      </c>
      <c r="AW1" s="17" t="n">
        <v>2028</v>
      </c>
      <c r="AX1" s="17" t="n">
        <v>2028</v>
      </c>
      <c r="AY1" s="17" t="n">
        <v>2028</v>
      </c>
      <c r="AZ1" s="17" t="n">
        <v>2028</v>
      </c>
      <c r="BA1" s="17" t="n">
        <v>2028</v>
      </c>
      <c r="BB1" s="17" t="n">
        <v>2028</v>
      </c>
      <c r="BC1" s="17" t="n">
        <v>2028</v>
      </c>
      <c r="BD1" s="17" t="n">
        <v>2029</v>
      </c>
      <c r="BE1" s="17" t="n">
        <v>2029</v>
      </c>
      <c r="BF1" s="17" t="n">
        <v>2029</v>
      </c>
      <c r="BG1" s="17" t="n">
        <v>2029</v>
      </c>
      <c r="BH1" s="17" t="n">
        <v>2029</v>
      </c>
      <c r="BI1" s="17" t="n">
        <v>2029</v>
      </c>
      <c r="BJ1" s="17" t="n">
        <v>2029</v>
      </c>
      <c r="BK1" s="17" t="n">
        <v>2029</v>
      </c>
      <c r="BL1" s="17" t="n">
        <v>2029</v>
      </c>
      <c r="BM1" s="17" t="n">
        <v>2029</v>
      </c>
      <c r="BN1" s="17" t="n">
        <v>2029</v>
      </c>
      <c r="BO1" s="17" t="n">
        <v>2029</v>
      </c>
      <c r="BP1" s="17" t="n">
        <v>2030</v>
      </c>
      <c r="BQ1" s="17" t="n">
        <v>2030</v>
      </c>
      <c r="BR1" s="17" t="n">
        <v>2030</v>
      </c>
      <c r="BS1" s="17" t="n">
        <v>2030</v>
      </c>
      <c r="BT1" s="17" t="n">
        <v>2030</v>
      </c>
      <c r="BU1" s="17" t="n">
        <v>2030</v>
      </c>
      <c r="BV1" s="17" t="n">
        <v>2030</v>
      </c>
      <c r="BW1" s="17" t="n">
        <v>2030</v>
      </c>
      <c r="BX1" s="17" t="n">
        <v>2030</v>
      </c>
      <c r="BY1" s="17" t="n">
        <v>2030</v>
      </c>
      <c r="BZ1" s="17" t="n">
        <v>2030</v>
      </c>
      <c r="CA1" s="17" t="n">
        <v>2030</v>
      </c>
      <c r="CI1" s="17" t="n">
        <f aca="false">COUNTIFS(CI$66:CI$149, "FALSE")</f>
        <v>0</v>
      </c>
      <c r="CJ1" s="17" t="n">
        <f aca="false">COUNTIFS(CJ$66:CJ$149, "FALSE")</f>
        <v>0</v>
      </c>
      <c r="CK1" s="17" t="n">
        <f aca="false">COUNTIFS(CK$66:CK$149, "FALSE")</f>
        <v>0</v>
      </c>
      <c r="CL1" s="17" t="n">
        <f aca="false">COUNTIFS(CL$66:CL$149, "FALSE")</f>
        <v>0</v>
      </c>
      <c r="CM1" s="17" t="n">
        <f aca="false">COUNTIFS(CM$66:CM$149, "FALSE")</f>
        <v>0</v>
      </c>
    </row>
    <row r="2" s="14" customFormat="true" ht="30.75" hidden="false" customHeight="true" outlineLevel="0" collapsed="false">
      <c r="C2" s="18" t="str">
        <f aca="false">"#"&amp;$F$6&amp;" Initiative Business Case"</f>
        <v>#TBD Initiative Business Case</v>
      </c>
      <c r="Q2" s="16"/>
      <c r="R2" s="16"/>
    </row>
    <row r="3" s="14" customFormat="true" ht="16.5" hidden="false" customHeight="true" outlineLevel="0" collapsed="false">
      <c r="Q3" s="16"/>
      <c r="R3" s="16"/>
    </row>
    <row r="4" s="14" customFormat="true" ht="16.5" hidden="false" customHeight="true" outlineLevel="0" collapsed="false">
      <c r="C4" s="19" t="s">
        <v>61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</row>
    <row r="5" s="14" customFormat="true" ht="16.5" hidden="false" customHeight="true" outlineLevel="0" collapsed="false">
      <c r="Q5" s="16"/>
      <c r="R5" s="16"/>
    </row>
    <row r="6" s="14" customFormat="true" ht="16.5" hidden="false" customHeight="true" outlineLevel="0" collapsed="false">
      <c r="D6" s="21" t="s">
        <v>62</v>
      </c>
      <c r="F6" s="22" t="s">
        <v>415</v>
      </c>
      <c r="G6" s="23"/>
      <c r="Q6" s="16"/>
      <c r="R6" s="16"/>
    </row>
    <row r="7" customFormat="false" ht="16.5" hidden="false" customHeight="true" outlineLevel="0" collapsed="false">
      <c r="D7" s="21" t="s">
        <v>63</v>
      </c>
      <c r="F7" s="199" t="s">
        <v>264</v>
      </c>
      <c r="G7" s="200"/>
      <c r="I7" s="14"/>
      <c r="J7" s="14"/>
      <c r="K7" s="14"/>
    </row>
    <row r="8" s="14" customFormat="true" ht="16.5" hidden="false" customHeight="true" outlineLevel="0" collapsed="false">
      <c r="D8" s="21" t="s">
        <v>65</v>
      </c>
      <c r="F8" s="26" t="s">
        <v>494</v>
      </c>
      <c r="G8" s="26"/>
      <c r="H8" s="26"/>
      <c r="I8" s="26"/>
      <c r="J8" s="26"/>
      <c r="Q8" s="16"/>
      <c r="R8" s="16"/>
    </row>
    <row r="9" s="14" customFormat="true" ht="16.5" hidden="false" customHeight="true" outlineLevel="0" collapsed="false">
      <c r="D9" s="21"/>
      <c r="F9" s="26"/>
      <c r="G9" s="26"/>
      <c r="H9" s="26"/>
      <c r="I9" s="26"/>
      <c r="J9" s="26"/>
      <c r="N9" s="21"/>
      <c r="Q9" s="16"/>
      <c r="R9" s="16"/>
    </row>
    <row r="10" s="14" customFormat="true" ht="16.5" hidden="false" customHeight="true" outlineLevel="0" collapsed="false">
      <c r="F10" s="26"/>
      <c r="G10" s="26"/>
      <c r="H10" s="26"/>
      <c r="I10" s="26"/>
      <c r="J10" s="26"/>
      <c r="Q10" s="16"/>
      <c r="R10" s="16"/>
    </row>
    <row r="11" s="14" customFormat="true" ht="16.5" hidden="false" customHeight="true" outlineLevel="0" collapsed="false">
      <c r="D11" s="21" t="s">
        <v>69</v>
      </c>
      <c r="F11" s="201" t="n">
        <f aca="false">'SVC-3 Model'!$D$13</f>
        <v>46631</v>
      </c>
      <c r="M11" s="21"/>
      <c r="Q11" s="16"/>
      <c r="R11" s="16"/>
    </row>
    <row r="12" s="14" customFormat="true" ht="16.5" hidden="false" customHeight="true" outlineLevel="0" collapsed="false">
      <c r="D12" s="21" t="s">
        <v>70</v>
      </c>
      <c r="F12" s="28" t="n">
        <f aca="false">$K$117</f>
        <v>29.7007394127843</v>
      </c>
      <c r="M12" s="21"/>
      <c r="Q12" s="16"/>
      <c r="R12" s="16"/>
    </row>
    <row r="13" s="14" customFormat="true" ht="17.25" hidden="false" customHeight="true" outlineLevel="0" collapsed="false">
      <c r="Q13" s="16"/>
      <c r="R13" s="16"/>
    </row>
    <row r="14" s="14" customFormat="true" ht="16.5" hidden="false" customHeight="true" outlineLevel="0" collapsed="false">
      <c r="C14" s="19" t="s">
        <v>71</v>
      </c>
      <c r="D14" s="19"/>
      <c r="E14" s="19"/>
      <c r="F14" s="19"/>
      <c r="G14" s="19"/>
      <c r="H14" s="19"/>
      <c r="I14" s="19"/>
      <c r="J14" s="19"/>
      <c r="L14" s="19"/>
      <c r="M14" s="19"/>
      <c r="N14" s="19"/>
      <c r="O14" s="19"/>
      <c r="P14" s="19"/>
      <c r="Q14" s="20"/>
      <c r="R14" s="20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</row>
    <row r="15" s="14" customFormat="true" ht="17.25" hidden="false" customHeight="true" outlineLevel="0" collapsed="false">
      <c r="Q15" s="16"/>
      <c r="R15" s="16"/>
    </row>
    <row r="16" s="14" customFormat="true" ht="17.25" hidden="false" customHeight="true" outlineLevel="0" collapsed="false">
      <c r="D16" s="29" t="s">
        <v>416</v>
      </c>
    </row>
    <row r="17" s="14" customFormat="true" ht="17.25" hidden="false" customHeight="true" outlineLevel="0" collapsed="false">
      <c r="D17" s="32" t="s">
        <v>77</v>
      </c>
      <c r="E17" s="33"/>
      <c r="F17" s="33"/>
      <c r="G17" s="33"/>
      <c r="H17" s="32" t="s">
        <v>78</v>
      </c>
      <c r="I17" s="32" t="s">
        <v>79</v>
      </c>
      <c r="J17" s="34" t="s">
        <v>80</v>
      </c>
    </row>
    <row r="18" s="14" customFormat="true" ht="17.25" hidden="false" customHeight="true" outlineLevel="0" collapsed="false">
      <c r="D18" s="33"/>
      <c r="E18" s="33" t="s">
        <v>578</v>
      </c>
      <c r="F18" s="33"/>
      <c r="G18" s="36"/>
      <c r="H18" s="202" t="s">
        <v>486</v>
      </c>
      <c r="I18" s="37" t="s">
        <v>102</v>
      </c>
      <c r="J18" s="203" t="n">
        <f aca="false">'SVC-3 Model'!$D$25/1000000</f>
        <v>128.41469045</v>
      </c>
      <c r="P18" s="16"/>
      <c r="Q18" s="35"/>
      <c r="R18" s="16"/>
    </row>
    <row r="19" s="14" customFormat="true" ht="17.25" hidden="false" customHeight="true" outlineLevel="0" collapsed="false">
      <c r="D19" s="33"/>
      <c r="E19" s="33" t="s">
        <v>579</v>
      </c>
      <c r="F19" s="33"/>
      <c r="G19" s="36"/>
      <c r="H19" s="202" t="s">
        <v>420</v>
      </c>
      <c r="I19" s="37" t="s">
        <v>102</v>
      </c>
      <c r="J19" s="203" t="n">
        <f aca="false">'SVC-3 Model'!$D$42/1000000</f>
        <v>104.18704863</v>
      </c>
      <c r="P19" s="16"/>
      <c r="Q19" s="35"/>
      <c r="R19" s="16"/>
    </row>
    <row r="20" s="14" customFormat="true" ht="17.25" hidden="false" customHeight="true" outlineLevel="0" collapsed="false">
      <c r="D20" s="33"/>
      <c r="E20" s="33" t="s">
        <v>580</v>
      </c>
      <c r="F20" s="33"/>
      <c r="G20" s="36"/>
      <c r="H20" s="202" t="s">
        <v>420</v>
      </c>
      <c r="I20" s="37" t="s">
        <v>102</v>
      </c>
      <c r="J20" s="232" t="n">
        <f aca="false">'SVC-3 Model'!$D$26/1000000</f>
        <v>101.46563188</v>
      </c>
      <c r="L20" s="205"/>
      <c r="P20" s="16"/>
      <c r="Q20" s="35"/>
      <c r="R20" s="16"/>
    </row>
    <row r="21" s="14" customFormat="true" ht="17.25" hidden="false" customHeight="true" outlineLevel="0" collapsed="false">
      <c r="D21" s="33"/>
      <c r="E21" s="40"/>
      <c r="F21" s="40"/>
      <c r="G21" s="41"/>
      <c r="H21" s="206"/>
      <c r="I21" s="42"/>
      <c r="J21" s="55"/>
      <c r="P21" s="16"/>
      <c r="Q21" s="35"/>
      <c r="R21" s="16"/>
    </row>
    <row r="22" s="14" customFormat="true" ht="17.25" hidden="false" customHeight="true" outlineLevel="0" collapsed="false">
      <c r="D22" s="33"/>
      <c r="E22" s="33"/>
      <c r="F22" s="33"/>
      <c r="G22" s="36"/>
      <c r="H22" s="33"/>
      <c r="I22" s="37"/>
      <c r="J22" s="33"/>
      <c r="Q22" s="16"/>
      <c r="R22" s="16"/>
    </row>
    <row r="23" s="14" customFormat="true" ht="17.25" hidden="false" customHeight="true" outlineLevel="0" collapsed="false">
      <c r="D23" s="32" t="s">
        <v>104</v>
      </c>
      <c r="E23" s="33"/>
      <c r="F23" s="33"/>
      <c r="G23" s="36"/>
      <c r="H23" s="32"/>
      <c r="I23" s="32"/>
      <c r="J23" s="34"/>
      <c r="Q23" s="16"/>
      <c r="R23" s="16"/>
    </row>
    <row r="24" s="14" customFormat="true" ht="17.25" hidden="false" customHeight="true" outlineLevel="0" collapsed="false">
      <c r="D24" s="33"/>
      <c r="E24" s="33" t="s">
        <v>581</v>
      </c>
      <c r="F24" s="33"/>
      <c r="G24" s="36"/>
      <c r="H24" s="33" t="s">
        <v>423</v>
      </c>
      <c r="I24" s="37" t="s">
        <v>282</v>
      </c>
      <c r="J24" s="207" t="n">
        <f aca="false">'SVC-3 Model'!$D$60/'SVC-3 Model'!$D$42</f>
        <v>0.258660350979632</v>
      </c>
      <c r="Q24" s="16"/>
      <c r="R24" s="16"/>
    </row>
    <row r="25" s="14" customFormat="true" ht="17.25" hidden="false" customHeight="true" outlineLevel="0" collapsed="false">
      <c r="D25" s="33"/>
      <c r="E25" s="33" t="s">
        <v>582</v>
      </c>
      <c r="F25" s="33"/>
      <c r="G25" s="36"/>
      <c r="H25" s="33" t="s">
        <v>423</v>
      </c>
      <c r="I25" s="37" t="s">
        <v>282</v>
      </c>
      <c r="J25" s="207" t="n">
        <f aca="false">'SVC-3 Model'!$D$61/'SVC-3 Model'!$D$26</f>
        <v>0.0818176627179006</v>
      </c>
      <c r="Q25" s="16"/>
      <c r="R25" s="16"/>
    </row>
    <row r="26" s="14" customFormat="true" ht="17.25" hidden="false" customHeight="true" outlineLevel="0" collapsed="false">
      <c r="D26" s="33"/>
      <c r="E26" s="40"/>
      <c r="F26" s="40"/>
      <c r="G26" s="41"/>
      <c r="H26" s="40"/>
      <c r="I26" s="42"/>
      <c r="J26" s="55"/>
      <c r="K26" s="45"/>
      <c r="Q26" s="16"/>
      <c r="R26" s="16"/>
    </row>
    <row r="27" s="14" customFormat="true" ht="17.25" hidden="false" customHeight="true" outlineLevel="0" collapsed="false">
      <c r="D27" s="33"/>
      <c r="E27" s="46"/>
      <c r="F27" s="46"/>
      <c r="G27" s="47"/>
      <c r="H27" s="46"/>
      <c r="I27" s="48"/>
      <c r="J27" s="49"/>
      <c r="K27" s="50"/>
      <c r="Q27" s="16"/>
      <c r="R27" s="16"/>
    </row>
    <row r="28" s="14" customFormat="true" ht="17.25" hidden="false" customHeight="true" outlineLevel="0" collapsed="false">
      <c r="D28" s="32" t="s">
        <v>111</v>
      </c>
      <c r="E28" s="46"/>
      <c r="F28" s="46"/>
      <c r="G28" s="47"/>
      <c r="H28" s="46"/>
      <c r="I28" s="48"/>
      <c r="J28" s="49"/>
      <c r="K28" s="50"/>
      <c r="L28" s="51"/>
      <c r="Q28" s="16"/>
      <c r="R28" s="16"/>
    </row>
    <row r="29" s="14" customFormat="true" ht="17.25" hidden="false" customHeight="true" outlineLevel="0" collapsed="false">
      <c r="D29" s="32"/>
      <c r="E29" s="209" t="s">
        <v>583</v>
      </c>
      <c r="F29" s="40"/>
      <c r="G29" s="41"/>
      <c r="H29" s="40"/>
      <c r="I29" s="42" t="s">
        <v>102</v>
      </c>
      <c r="J29" s="210" t="n">
        <f aca="false">'SVC-3 Model'!$D$62/1000000</f>
        <v>35.2507394127843</v>
      </c>
      <c r="Q29" s="16"/>
      <c r="R29" s="16"/>
    </row>
    <row r="30" s="14" customFormat="true" ht="17.25" hidden="false" customHeight="true" outlineLevel="0" collapsed="false">
      <c r="D30" s="16"/>
      <c r="E30" s="16"/>
      <c r="F30" s="16"/>
      <c r="G30" s="16"/>
      <c r="H30" s="16"/>
      <c r="I30" s="16"/>
      <c r="J30" s="16"/>
      <c r="Q30" s="16"/>
      <c r="R30" s="16"/>
    </row>
    <row r="31" s="14" customFormat="true" ht="17.25" hidden="true" customHeight="true" outlineLevel="1" collapsed="false">
      <c r="D31" s="32"/>
      <c r="E31" s="33"/>
      <c r="F31" s="33"/>
      <c r="G31" s="33"/>
      <c r="H31" s="32"/>
      <c r="I31" s="42"/>
      <c r="J31" s="34"/>
      <c r="Q31" s="16"/>
      <c r="R31" s="16"/>
    </row>
    <row r="32" s="14" customFormat="true" ht="17.25" hidden="true" customHeight="true" outlineLevel="1" collapsed="false">
      <c r="D32" s="33"/>
      <c r="E32" s="33"/>
      <c r="F32" s="33"/>
      <c r="G32" s="36"/>
      <c r="H32" s="202"/>
      <c r="I32" s="37"/>
      <c r="J32" s="38"/>
      <c r="Q32" s="16"/>
      <c r="R32" s="16"/>
    </row>
    <row r="33" s="14" customFormat="true" ht="17.25" hidden="true" customHeight="true" outlineLevel="1" collapsed="false">
      <c r="D33" s="33"/>
      <c r="E33" s="33"/>
      <c r="F33" s="33"/>
      <c r="G33" s="36"/>
      <c r="H33" s="33"/>
      <c r="I33" s="37"/>
      <c r="J33" s="39"/>
      <c r="Q33" s="16"/>
      <c r="R33" s="16"/>
    </row>
    <row r="34" s="14" customFormat="true" ht="17.25" hidden="true" customHeight="true" outlineLevel="1" collapsed="false">
      <c r="D34" s="33"/>
      <c r="E34" s="40"/>
      <c r="F34" s="40"/>
      <c r="G34" s="41"/>
      <c r="H34" s="40"/>
      <c r="I34" s="42"/>
      <c r="J34" s="53"/>
      <c r="Q34" s="16"/>
      <c r="R34" s="16"/>
    </row>
    <row r="35" s="14" customFormat="true" ht="17.25" hidden="true" customHeight="true" outlineLevel="1" collapsed="false">
      <c r="D35" s="33"/>
      <c r="E35" s="33"/>
      <c r="F35" s="33"/>
      <c r="G35" s="36"/>
      <c r="H35" s="33"/>
      <c r="I35" s="37"/>
      <c r="J35" s="33"/>
      <c r="Q35" s="16"/>
      <c r="R35" s="16"/>
    </row>
    <row r="36" s="14" customFormat="true" ht="17.25" hidden="true" customHeight="true" outlineLevel="1" collapsed="false">
      <c r="D36" s="32"/>
      <c r="E36" s="33"/>
      <c r="F36" s="33"/>
      <c r="G36" s="36"/>
      <c r="H36" s="32"/>
      <c r="I36" s="32"/>
      <c r="J36" s="34"/>
      <c r="Q36" s="16"/>
      <c r="R36" s="16"/>
    </row>
    <row r="37" s="14" customFormat="true" ht="17.25" hidden="true" customHeight="true" outlineLevel="1" collapsed="false">
      <c r="D37" s="33"/>
      <c r="E37" s="33"/>
      <c r="F37" s="33"/>
      <c r="G37" s="36"/>
      <c r="H37" s="33"/>
      <c r="I37" s="37"/>
      <c r="J37" s="54"/>
      <c r="Q37" s="16"/>
      <c r="R37" s="16"/>
    </row>
    <row r="38" s="14" customFormat="true" ht="17.25" hidden="true" customHeight="true" outlineLevel="1" collapsed="false">
      <c r="D38" s="33"/>
      <c r="E38" s="33"/>
      <c r="F38" s="33"/>
      <c r="G38" s="36"/>
      <c r="H38" s="33"/>
      <c r="I38" s="37"/>
      <c r="J38" s="44"/>
      <c r="Q38" s="16"/>
      <c r="R38" s="16"/>
    </row>
    <row r="39" s="14" customFormat="true" ht="17.25" hidden="true" customHeight="true" outlineLevel="1" collapsed="false">
      <c r="D39" s="33"/>
      <c r="E39" s="40"/>
      <c r="F39" s="40"/>
      <c r="G39" s="41"/>
      <c r="H39" s="40"/>
      <c r="I39" s="42"/>
      <c r="J39" s="53"/>
      <c r="Q39" s="16"/>
      <c r="R39" s="16"/>
    </row>
    <row r="40" s="14" customFormat="true" ht="17.25" hidden="true" customHeight="true" outlineLevel="1" collapsed="false">
      <c r="D40" s="33"/>
      <c r="E40" s="46"/>
      <c r="F40" s="46"/>
      <c r="G40" s="47"/>
      <c r="H40" s="46"/>
      <c r="I40" s="48"/>
      <c r="J40" s="49"/>
      <c r="Q40" s="16"/>
      <c r="R40" s="16"/>
    </row>
    <row r="41" s="14" customFormat="true" ht="17.25" hidden="true" customHeight="true" outlineLevel="1" collapsed="false">
      <c r="D41" s="32"/>
      <c r="E41" s="46"/>
      <c r="F41" s="46"/>
      <c r="G41" s="47"/>
      <c r="H41" s="46"/>
      <c r="I41" s="48"/>
      <c r="J41" s="49"/>
      <c r="Q41" s="16"/>
      <c r="R41" s="16"/>
    </row>
    <row r="42" s="14" customFormat="true" ht="17.25" hidden="true" customHeight="true" outlineLevel="1" collapsed="false">
      <c r="D42" s="32"/>
      <c r="E42" s="33"/>
      <c r="F42" s="46"/>
      <c r="G42" s="36"/>
      <c r="H42" s="46"/>
      <c r="I42" s="37"/>
      <c r="J42" s="52"/>
      <c r="Q42" s="16"/>
      <c r="R42" s="16"/>
    </row>
    <row r="43" s="14" customFormat="true" ht="17.25" hidden="true" customHeight="true" outlineLevel="1" collapsed="false">
      <c r="D43" s="32"/>
      <c r="E43" s="33"/>
      <c r="F43" s="46"/>
      <c r="G43" s="36"/>
      <c r="H43" s="46"/>
      <c r="I43" s="37"/>
      <c r="J43" s="55"/>
      <c r="Q43" s="16"/>
      <c r="R43" s="16"/>
    </row>
    <row r="44" s="14" customFormat="true" ht="17.25" hidden="false" customHeight="true" outlineLevel="0" collapsed="false">
      <c r="E44" s="21"/>
      <c r="F44" s="21"/>
      <c r="G44" s="21"/>
      <c r="H44" s="21"/>
      <c r="I44" s="56"/>
      <c r="J44" s="57"/>
      <c r="Q44" s="16"/>
      <c r="R44" s="16"/>
    </row>
    <row r="45" s="14" customFormat="true" ht="17.25" hidden="true" customHeight="true" outlineLevel="1" collapsed="false">
      <c r="D45" s="32"/>
      <c r="E45" s="33"/>
      <c r="F45" s="33"/>
      <c r="G45" s="33"/>
      <c r="H45" s="32"/>
      <c r="I45" s="32"/>
      <c r="J45" s="34"/>
      <c r="Q45" s="16"/>
      <c r="R45" s="16"/>
    </row>
    <row r="46" s="14" customFormat="true" ht="17.25" hidden="true" customHeight="true" outlineLevel="1" collapsed="false">
      <c r="D46" s="33"/>
      <c r="E46" s="33"/>
      <c r="F46" s="33"/>
      <c r="G46" s="36"/>
      <c r="H46" s="33"/>
      <c r="I46" s="37"/>
      <c r="J46" s="38"/>
      <c r="Q46" s="16"/>
      <c r="R46" s="16"/>
    </row>
    <row r="47" s="14" customFormat="true" ht="17.25" hidden="true" customHeight="true" outlineLevel="1" collapsed="false">
      <c r="D47" s="33"/>
      <c r="E47" s="33"/>
      <c r="F47" s="33"/>
      <c r="G47" s="36"/>
      <c r="H47" s="33"/>
      <c r="I47" s="37"/>
      <c r="J47" s="39"/>
      <c r="Q47" s="16"/>
      <c r="R47" s="16"/>
    </row>
    <row r="48" s="14" customFormat="true" ht="17.25" hidden="true" customHeight="true" outlineLevel="1" collapsed="false">
      <c r="D48" s="33"/>
      <c r="E48" s="40"/>
      <c r="F48" s="40"/>
      <c r="G48" s="41"/>
      <c r="H48" s="40"/>
      <c r="I48" s="42"/>
      <c r="J48" s="53"/>
      <c r="Q48" s="16"/>
      <c r="R48" s="16"/>
    </row>
    <row r="49" s="14" customFormat="true" ht="17.25" hidden="true" customHeight="true" outlineLevel="1" collapsed="false">
      <c r="D49" s="33"/>
      <c r="E49" s="33"/>
      <c r="F49" s="33"/>
      <c r="G49" s="36"/>
      <c r="H49" s="33"/>
      <c r="I49" s="37"/>
      <c r="J49" s="33"/>
      <c r="Q49" s="16"/>
      <c r="R49" s="16"/>
    </row>
    <row r="50" s="14" customFormat="true" ht="17.25" hidden="true" customHeight="true" outlineLevel="1" collapsed="false">
      <c r="D50" s="32"/>
      <c r="E50" s="33"/>
      <c r="F50" s="33"/>
      <c r="G50" s="36"/>
      <c r="H50" s="32"/>
      <c r="I50" s="32"/>
      <c r="J50" s="34"/>
      <c r="Q50" s="16"/>
      <c r="R50" s="16"/>
    </row>
    <row r="51" s="14" customFormat="true" ht="17.25" hidden="true" customHeight="true" outlineLevel="1" collapsed="false">
      <c r="D51" s="33"/>
      <c r="E51" s="33"/>
      <c r="F51" s="33"/>
      <c r="G51" s="36"/>
      <c r="H51" s="33"/>
      <c r="I51" s="37"/>
      <c r="J51" s="54"/>
      <c r="Q51" s="16"/>
      <c r="R51" s="16"/>
    </row>
    <row r="52" s="14" customFormat="true" ht="17.25" hidden="true" customHeight="true" outlineLevel="1" collapsed="false">
      <c r="D52" s="33"/>
      <c r="E52" s="33"/>
      <c r="F52" s="33"/>
      <c r="G52" s="36"/>
      <c r="H52" s="33"/>
      <c r="I52" s="37"/>
      <c r="J52" s="44"/>
      <c r="Q52" s="16"/>
      <c r="R52" s="16"/>
    </row>
    <row r="53" s="14" customFormat="true" ht="17.25" hidden="true" customHeight="true" outlineLevel="1" collapsed="false">
      <c r="D53" s="33"/>
      <c r="E53" s="40"/>
      <c r="F53" s="40"/>
      <c r="G53" s="41"/>
      <c r="H53" s="40"/>
      <c r="I53" s="42"/>
      <c r="J53" s="53"/>
      <c r="Q53" s="16"/>
      <c r="R53" s="16"/>
    </row>
    <row r="54" s="14" customFormat="true" ht="17.25" hidden="true" customHeight="true" outlineLevel="1" collapsed="false">
      <c r="D54" s="33"/>
      <c r="E54" s="46"/>
      <c r="F54" s="46"/>
      <c r="G54" s="47"/>
      <c r="H54" s="46"/>
      <c r="I54" s="48"/>
      <c r="J54" s="49"/>
      <c r="Q54" s="16"/>
      <c r="R54" s="16"/>
    </row>
    <row r="55" s="14" customFormat="true" ht="17.25" hidden="true" customHeight="true" outlineLevel="1" collapsed="false">
      <c r="D55" s="32"/>
      <c r="E55" s="46"/>
      <c r="F55" s="46"/>
      <c r="G55" s="47"/>
      <c r="H55" s="46"/>
      <c r="I55" s="48"/>
      <c r="J55" s="49"/>
      <c r="Q55" s="16"/>
      <c r="R55" s="16"/>
    </row>
    <row r="56" s="14" customFormat="true" ht="17.25" hidden="true" customHeight="true" outlineLevel="1" collapsed="false">
      <c r="D56" s="32"/>
      <c r="E56" s="33"/>
      <c r="F56" s="46"/>
      <c r="G56" s="36"/>
      <c r="H56" s="46"/>
      <c r="I56" s="37"/>
      <c r="J56" s="52"/>
      <c r="Q56" s="16"/>
      <c r="R56" s="16"/>
    </row>
    <row r="57" s="14" customFormat="true" ht="17.25" hidden="true" customHeight="true" outlineLevel="1" collapsed="false">
      <c r="D57" s="32"/>
      <c r="E57" s="33"/>
      <c r="F57" s="46"/>
      <c r="G57" s="36"/>
      <c r="H57" s="46"/>
      <c r="I57" s="37"/>
      <c r="J57" s="55"/>
      <c r="Q57" s="16"/>
      <c r="R57" s="16"/>
    </row>
    <row r="58" s="14" customFormat="true" ht="17.25" hidden="true" customHeight="true" outlineLevel="1" collapsed="false">
      <c r="E58" s="21"/>
      <c r="F58" s="21"/>
      <c r="G58" s="21"/>
      <c r="H58" s="21"/>
      <c r="I58" s="56"/>
      <c r="J58" s="57"/>
      <c r="Q58" s="16"/>
      <c r="R58" s="16"/>
    </row>
    <row r="59" s="14" customFormat="true" ht="16.5" hidden="true" customHeight="true" outlineLevel="1" collapsed="false">
      <c r="H59" s="58"/>
      <c r="Q59" s="16"/>
      <c r="R59" s="16"/>
    </row>
    <row r="60" s="14" customFormat="true" ht="16.5" hidden="false" customHeight="true" outlineLevel="0" collapsed="false">
      <c r="C60" s="19" t="s">
        <v>126</v>
      </c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20"/>
      <c r="R60" s="20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C60" s="19" t="s">
        <v>127</v>
      </c>
      <c r="CD60" s="19"/>
      <c r="CE60" s="19"/>
      <c r="CF60" s="19"/>
      <c r="CG60" s="19"/>
      <c r="CI60" s="19" t="s">
        <v>128</v>
      </c>
      <c r="CJ60" s="19"/>
      <c r="CK60" s="19"/>
      <c r="CL60" s="19"/>
      <c r="CM60" s="19"/>
    </row>
    <row r="61" s="14" customFormat="true" ht="16.5" hidden="false" customHeight="true" outlineLevel="0" collapsed="false">
      <c r="Q61" s="16"/>
    </row>
    <row r="62" s="14" customFormat="true" ht="16.5" hidden="false" customHeight="true" outlineLevel="0" collapsed="false">
      <c r="Q62" s="16"/>
      <c r="R62" s="16"/>
      <c r="T62" s="62" t="n">
        <v>2026</v>
      </c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62" t="n">
        <v>2027</v>
      </c>
      <c r="AG62" s="129"/>
      <c r="AH62" s="129"/>
      <c r="AI62" s="129"/>
      <c r="AJ62" s="129"/>
      <c r="AK62" s="129"/>
      <c r="AL62" s="129"/>
      <c r="AM62" s="129"/>
      <c r="AN62" s="129"/>
      <c r="AO62" s="129"/>
      <c r="AP62" s="129"/>
      <c r="AQ62" s="129"/>
      <c r="AR62" s="62" t="n">
        <v>2028</v>
      </c>
      <c r="AS62" s="129"/>
      <c r="AT62" s="129"/>
      <c r="AU62" s="129"/>
      <c r="AV62" s="129"/>
      <c r="AW62" s="129"/>
      <c r="AX62" s="129"/>
      <c r="AY62" s="129"/>
      <c r="AZ62" s="129"/>
      <c r="BA62" s="129"/>
      <c r="BB62" s="129"/>
      <c r="BC62" s="129"/>
      <c r="BD62" s="62" t="n">
        <v>2029</v>
      </c>
      <c r="BE62" s="129"/>
      <c r="BF62" s="129"/>
      <c r="BG62" s="129"/>
      <c r="BH62" s="129"/>
      <c r="BI62" s="129"/>
      <c r="BJ62" s="129"/>
      <c r="BK62" s="129"/>
      <c r="BL62" s="129"/>
      <c r="BM62" s="129"/>
      <c r="BN62" s="129"/>
      <c r="BO62" s="129"/>
      <c r="BP62" s="62" t="n">
        <v>2030</v>
      </c>
      <c r="BQ62" s="130"/>
      <c r="BR62" s="130"/>
      <c r="BS62" s="130"/>
      <c r="BT62" s="130"/>
      <c r="BU62" s="130"/>
      <c r="BV62" s="130"/>
      <c r="BW62" s="130"/>
      <c r="BX62" s="130"/>
      <c r="BY62" s="130"/>
      <c r="BZ62" s="130"/>
      <c r="CA62" s="130"/>
      <c r="CC62" s="211"/>
      <c r="CD62" s="130"/>
      <c r="CE62" s="130"/>
      <c r="CF62" s="130"/>
      <c r="CG62" s="130"/>
      <c r="CI62" s="211" t="s">
        <v>426</v>
      </c>
      <c r="CJ62" s="211"/>
      <c r="CK62" s="211"/>
      <c r="CL62" s="211"/>
      <c r="CM62" s="211"/>
    </row>
    <row r="63" s="14" customFormat="true" ht="16.5" hidden="false" customHeight="true" outlineLevel="0" collapsed="false">
      <c r="D63" s="30" t="s">
        <v>129</v>
      </c>
      <c r="E63" s="31"/>
      <c r="F63" s="31"/>
      <c r="G63" s="31"/>
      <c r="H63" s="30" t="s">
        <v>130</v>
      </c>
      <c r="I63" s="31" t="s">
        <v>77</v>
      </c>
      <c r="J63" s="31" t="s">
        <v>104</v>
      </c>
      <c r="K63" s="31" t="s">
        <v>131</v>
      </c>
      <c r="L63" s="31" t="n">
        <v>2026</v>
      </c>
      <c r="M63" s="31" t="n">
        <f aca="false">L63+1</f>
        <v>2027</v>
      </c>
      <c r="N63" s="31" t="n">
        <f aca="false">M63+1</f>
        <v>2028</v>
      </c>
      <c r="O63" s="31" t="n">
        <f aca="false">N63+1</f>
        <v>2029</v>
      </c>
      <c r="P63" s="31" t="n">
        <f aca="false">O63+1</f>
        <v>2030</v>
      </c>
      <c r="Q63" s="31" t="s">
        <v>132</v>
      </c>
      <c r="R63" s="31" t="s">
        <v>75</v>
      </c>
      <c r="T63" s="59" t="n">
        <v>46023</v>
      </c>
      <c r="U63" s="60" t="n">
        <f aca="false">EOMONTH(T63, 1)</f>
        <v>46081</v>
      </c>
      <c r="V63" s="60" t="n">
        <f aca="false">EOMONTH(U63, 1)</f>
        <v>46112</v>
      </c>
      <c r="W63" s="60" t="n">
        <f aca="false">EOMONTH(V63, 1)</f>
        <v>46142</v>
      </c>
      <c r="X63" s="60" t="n">
        <f aca="false">EOMONTH(W63, 1)</f>
        <v>46173</v>
      </c>
      <c r="Y63" s="60" t="n">
        <f aca="false">EOMONTH(X63, 1)</f>
        <v>46203</v>
      </c>
      <c r="Z63" s="60" t="n">
        <f aca="false">EOMONTH(Y63, 1)</f>
        <v>46234</v>
      </c>
      <c r="AA63" s="60" t="n">
        <f aca="false">EOMONTH(Z63, 1)</f>
        <v>46265</v>
      </c>
      <c r="AB63" s="60" t="n">
        <f aca="false">EOMONTH(AA63, 1)</f>
        <v>46295</v>
      </c>
      <c r="AC63" s="60" t="n">
        <f aca="false">EOMONTH(AB63, 1)</f>
        <v>46326</v>
      </c>
      <c r="AD63" s="60" t="n">
        <f aca="false">EOMONTH(AC63, 1)</f>
        <v>46356</v>
      </c>
      <c r="AE63" s="61" t="n">
        <f aca="false">EOMONTH(AD63, 1)</f>
        <v>46387</v>
      </c>
      <c r="AF63" s="59" t="n">
        <f aca="false">EOMONTH(AE63, 1)</f>
        <v>46418</v>
      </c>
      <c r="AG63" s="60" t="n">
        <f aca="false">EOMONTH(AF63, 1)</f>
        <v>46446</v>
      </c>
      <c r="AH63" s="60" t="n">
        <f aca="false">EOMONTH(AG63, 1)</f>
        <v>46477</v>
      </c>
      <c r="AI63" s="60" t="n">
        <f aca="false">EOMONTH(AH63, 1)</f>
        <v>46507</v>
      </c>
      <c r="AJ63" s="60" t="n">
        <f aca="false">EOMONTH(AI63, 1)</f>
        <v>46538</v>
      </c>
      <c r="AK63" s="60" t="n">
        <f aca="false">EOMONTH(AJ63, 1)</f>
        <v>46568</v>
      </c>
      <c r="AL63" s="60" t="n">
        <f aca="false">EOMONTH(AK63, 1)</f>
        <v>46599</v>
      </c>
      <c r="AM63" s="60" t="n">
        <f aca="false">EOMONTH(AL63, 1)</f>
        <v>46630</v>
      </c>
      <c r="AN63" s="60" t="n">
        <f aca="false">EOMONTH(AM63, 1)</f>
        <v>46660</v>
      </c>
      <c r="AO63" s="60" t="n">
        <f aca="false">EOMONTH(AN63, 1)</f>
        <v>46691</v>
      </c>
      <c r="AP63" s="60" t="n">
        <f aca="false">EOMONTH(AO63, 1)</f>
        <v>46721</v>
      </c>
      <c r="AQ63" s="61" t="n">
        <f aca="false">EOMONTH(AP63, 1)</f>
        <v>46752</v>
      </c>
      <c r="AR63" s="59" t="n">
        <f aca="false">EOMONTH(AQ63, 1)</f>
        <v>46783</v>
      </c>
      <c r="AS63" s="60" t="n">
        <f aca="false">EOMONTH(AR63, 1)</f>
        <v>46812</v>
      </c>
      <c r="AT63" s="60" t="n">
        <f aca="false">EOMONTH(AS63, 1)</f>
        <v>46843</v>
      </c>
      <c r="AU63" s="60" t="n">
        <f aca="false">EOMONTH(AT63, 1)</f>
        <v>46873</v>
      </c>
      <c r="AV63" s="60" t="n">
        <f aca="false">EOMONTH(AU63, 1)</f>
        <v>46904</v>
      </c>
      <c r="AW63" s="60" t="n">
        <f aca="false">EOMONTH(AV63, 1)</f>
        <v>46934</v>
      </c>
      <c r="AX63" s="60" t="n">
        <f aca="false">EOMONTH(AW63, 1)</f>
        <v>46965</v>
      </c>
      <c r="AY63" s="60" t="n">
        <f aca="false">EOMONTH(AX63, 1)</f>
        <v>46996</v>
      </c>
      <c r="AZ63" s="60" t="n">
        <f aca="false">EOMONTH(AY63, 1)</f>
        <v>47026</v>
      </c>
      <c r="BA63" s="60" t="n">
        <f aca="false">EOMONTH(AZ63, 1)</f>
        <v>47057</v>
      </c>
      <c r="BB63" s="60" t="n">
        <f aca="false">EOMONTH(BA63, 1)</f>
        <v>47087</v>
      </c>
      <c r="BC63" s="61" t="n">
        <f aca="false">EOMONTH(BB63, 1)</f>
        <v>47118</v>
      </c>
      <c r="BD63" s="59" t="n">
        <f aca="false">EOMONTH(BC63, 1)</f>
        <v>47149</v>
      </c>
      <c r="BE63" s="60" t="n">
        <f aca="false">EOMONTH(BD63, 1)</f>
        <v>47177</v>
      </c>
      <c r="BF63" s="60" t="n">
        <f aca="false">EOMONTH(BE63, 1)</f>
        <v>47208</v>
      </c>
      <c r="BG63" s="60" t="n">
        <f aca="false">EOMONTH(BF63, 1)</f>
        <v>47238</v>
      </c>
      <c r="BH63" s="60" t="n">
        <f aca="false">EOMONTH(BG63, 1)</f>
        <v>47269</v>
      </c>
      <c r="BI63" s="60" t="n">
        <f aca="false">EOMONTH(BH63, 1)</f>
        <v>47299</v>
      </c>
      <c r="BJ63" s="60" t="n">
        <f aca="false">EOMONTH(BI63, 1)</f>
        <v>47330</v>
      </c>
      <c r="BK63" s="60" t="n">
        <f aca="false">EOMONTH(BJ63, 1)</f>
        <v>47361</v>
      </c>
      <c r="BL63" s="60" t="n">
        <f aca="false">EOMONTH(BK63, 1)</f>
        <v>47391</v>
      </c>
      <c r="BM63" s="60" t="n">
        <f aca="false">EOMONTH(BL63, 1)</f>
        <v>47422</v>
      </c>
      <c r="BN63" s="60" t="n">
        <f aca="false">EOMONTH(BM63, 1)</f>
        <v>47452</v>
      </c>
      <c r="BO63" s="61" t="n">
        <f aca="false">EOMONTH(BN63, 1)</f>
        <v>47483</v>
      </c>
      <c r="BP63" s="59" t="n">
        <f aca="false">EOMONTH(BO63, 1)</f>
        <v>47514</v>
      </c>
      <c r="BQ63" s="60" t="n">
        <f aca="false">EOMONTH(BP63, 1)</f>
        <v>47542</v>
      </c>
      <c r="BR63" s="60" t="n">
        <f aca="false">EOMONTH(BQ63, 1)</f>
        <v>47573</v>
      </c>
      <c r="BS63" s="60" t="n">
        <f aca="false">EOMONTH(BR63, 1)</f>
        <v>47603</v>
      </c>
      <c r="BT63" s="60" t="n">
        <f aca="false">EOMONTH(BS63, 1)</f>
        <v>47634</v>
      </c>
      <c r="BU63" s="60" t="n">
        <f aca="false">EOMONTH(BT63, 1)</f>
        <v>47664</v>
      </c>
      <c r="BV63" s="60" t="n">
        <f aca="false">EOMONTH(BU63, 1)</f>
        <v>47695</v>
      </c>
      <c r="BW63" s="60" t="n">
        <f aca="false">EOMONTH(BV63, 1)</f>
        <v>47726</v>
      </c>
      <c r="BX63" s="60" t="n">
        <f aca="false">EOMONTH(BW63, 1)</f>
        <v>47756</v>
      </c>
      <c r="BY63" s="60" t="n">
        <f aca="false">EOMONTH(BX63, 1)</f>
        <v>47787</v>
      </c>
      <c r="BZ63" s="60" t="n">
        <f aca="false">EOMONTH(BY63, 1)</f>
        <v>47817</v>
      </c>
      <c r="CA63" s="60" t="n">
        <f aca="false">EOMONTH(BZ63, 1)</f>
        <v>47848</v>
      </c>
      <c r="CC63" s="62" t="n">
        <v>2026</v>
      </c>
      <c r="CD63" s="62" t="n">
        <f aca="false">CC63+1</f>
        <v>2027</v>
      </c>
      <c r="CE63" s="62" t="n">
        <f aca="false">CD63+1</f>
        <v>2028</v>
      </c>
      <c r="CF63" s="62" t="n">
        <f aca="false">CE63+1</f>
        <v>2029</v>
      </c>
      <c r="CG63" s="62" t="n">
        <f aca="false">CF63+1</f>
        <v>2030</v>
      </c>
      <c r="CI63" s="62" t="n">
        <v>2026</v>
      </c>
      <c r="CJ63" s="62" t="n">
        <f aca="false">CI63+1</f>
        <v>2027</v>
      </c>
      <c r="CK63" s="62" t="n">
        <f aca="false">CJ63+1</f>
        <v>2028</v>
      </c>
      <c r="CL63" s="62" t="n">
        <f aca="false">CK63+1</f>
        <v>2029</v>
      </c>
      <c r="CM63" s="62" t="n">
        <f aca="false">CL63+1</f>
        <v>2030</v>
      </c>
    </row>
    <row r="64" s="14" customFormat="true" ht="16.5" hidden="false" customHeight="true" outlineLevel="0" collapsed="false">
      <c r="D64" s="63"/>
      <c r="E64" s="64" t="s">
        <v>102</v>
      </c>
      <c r="H64" s="16"/>
      <c r="I64" s="65" t="str">
        <f aca="false">$H$18</f>
        <v>Post-upstream levers (S2 waterfall)</v>
      </c>
      <c r="J64" s="65" t="s">
        <v>134</v>
      </c>
      <c r="K64" s="65" t="s">
        <v>135</v>
      </c>
      <c r="L64" s="66"/>
      <c r="M64" s="66"/>
      <c r="N64" s="66"/>
      <c r="O64" s="66"/>
      <c r="P64" s="66"/>
      <c r="Q64" s="16"/>
      <c r="R64" s="1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7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7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7"/>
      <c r="BE64" s="66"/>
      <c r="BF64" s="66"/>
      <c r="BG64" s="66"/>
      <c r="BH64" s="66"/>
      <c r="BI64" s="66"/>
      <c r="BJ64" s="66"/>
      <c r="BK64" s="66"/>
      <c r="BL64" s="66"/>
      <c r="BM64" s="66"/>
      <c r="BN64" s="66"/>
      <c r="BO64" s="66"/>
      <c r="BP64" s="67"/>
      <c r="BQ64" s="66"/>
      <c r="BR64" s="66"/>
      <c r="BS64" s="66"/>
      <c r="BT64" s="66"/>
      <c r="BU64" s="66"/>
      <c r="BV64" s="66"/>
      <c r="BW64" s="66"/>
      <c r="BX64" s="66"/>
      <c r="BY64" s="66"/>
      <c r="BZ64" s="66"/>
      <c r="CA64" s="66"/>
    </row>
    <row r="65" s="14" customFormat="true" ht="16.5" hidden="false" customHeight="true" outlineLevel="0" collapsed="false">
      <c r="E65" s="68" t="s">
        <v>136</v>
      </c>
      <c r="F65" s="21"/>
      <c r="G65" s="21"/>
      <c r="H65" s="16"/>
      <c r="I65" s="65"/>
      <c r="J65" s="65"/>
      <c r="K65" s="65"/>
      <c r="Q65" s="16"/>
      <c r="R65" s="16"/>
      <c r="AF65" s="69"/>
      <c r="AR65" s="69"/>
      <c r="BD65" s="69"/>
      <c r="BP65" s="69"/>
    </row>
    <row r="66" s="14" customFormat="true" ht="16.5" hidden="false" customHeight="true" outlineLevel="0" collapsed="false">
      <c r="E66" s="70"/>
      <c r="H66" s="71"/>
      <c r="I66" s="76" t="n">
        <v>0</v>
      </c>
      <c r="J66" s="76" t="n">
        <v>0</v>
      </c>
      <c r="K66" s="212" t="n">
        <f aca="false">J66-I66</f>
        <v>0</v>
      </c>
      <c r="L66" s="76"/>
      <c r="M66" s="76"/>
      <c r="N66" s="76"/>
      <c r="O66" s="76"/>
      <c r="P66" s="77"/>
      <c r="Q66" s="75"/>
      <c r="R66" s="16" t="str">
        <f aca="false">IF(K66=P66, "", "Error")</f>
        <v/>
      </c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7"/>
      <c r="AF66" s="78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7"/>
      <c r="AR66" s="78"/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7"/>
      <c r="BD66" s="78"/>
      <c r="BE66" s="76"/>
      <c r="BF66" s="76"/>
      <c r="BG66" s="76"/>
      <c r="BH66" s="76"/>
      <c r="BI66" s="76"/>
      <c r="BJ66" s="76"/>
      <c r="BK66" s="76"/>
      <c r="BL66" s="76"/>
      <c r="BM66" s="76"/>
      <c r="BN66" s="76"/>
      <c r="BO66" s="77"/>
      <c r="BP66" s="78"/>
      <c r="BQ66" s="76"/>
      <c r="BR66" s="76"/>
      <c r="BS66" s="76"/>
      <c r="BT66" s="76"/>
      <c r="BU66" s="76"/>
      <c r="BV66" s="76"/>
      <c r="BW66" s="76"/>
      <c r="BX66" s="76"/>
      <c r="BY66" s="76"/>
      <c r="BZ66" s="76"/>
      <c r="CA66" s="76"/>
      <c r="CC66" s="79" t="n">
        <f aca="false">SUMIFS($T66:$CA66, $T$1:$CA$1, CC$63)</f>
        <v>0</v>
      </c>
      <c r="CD66" s="79" t="n">
        <f aca="false">SUMIFS($T66:$CA66, $T$1:$CA$1, CD$63)</f>
        <v>0</v>
      </c>
      <c r="CE66" s="79" t="n">
        <f aca="false">SUMIFS($T66:$CA66, $T$1:$CA$1, CE$63)</f>
        <v>0</v>
      </c>
      <c r="CF66" s="79" t="n">
        <f aca="false">SUMIFS($T66:$CA66, $T$1:$CA$1, CF$63)</f>
        <v>0</v>
      </c>
      <c r="CG66" s="79" t="n">
        <f aca="false">SUMIFS($T66:$CA66, $T$1:$CA$1, CG$63)</f>
        <v>0</v>
      </c>
      <c r="CI66" s="79" t="n">
        <f aca="false">CC66=L66</f>
        <v>1</v>
      </c>
      <c r="CJ66" s="79" t="n">
        <f aca="false">CD66=M66</f>
        <v>1</v>
      </c>
      <c r="CK66" s="79" t="n">
        <f aca="false">CE66=N66</f>
        <v>1</v>
      </c>
      <c r="CL66" s="79" t="n">
        <f aca="false">CF66=O66</f>
        <v>1</v>
      </c>
      <c r="CM66" s="79" t="n">
        <f aca="false">CG66=P66</f>
        <v>1</v>
      </c>
    </row>
    <row r="67" s="14" customFormat="true" ht="16.5" hidden="false" customHeight="true" outlineLevel="0" collapsed="false">
      <c r="E67" s="70"/>
      <c r="H67" s="71"/>
      <c r="I67" s="76" t="n">
        <v>0</v>
      </c>
      <c r="J67" s="76" t="n">
        <v>0</v>
      </c>
      <c r="K67" s="212" t="n">
        <f aca="false">J67-I67</f>
        <v>0</v>
      </c>
      <c r="L67" s="76"/>
      <c r="M67" s="76"/>
      <c r="N67" s="76"/>
      <c r="O67" s="76"/>
      <c r="P67" s="77"/>
      <c r="Q67" s="75"/>
      <c r="R67" s="16" t="str">
        <f aca="false">IF(K67=P67, "", "Error")</f>
        <v/>
      </c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7"/>
      <c r="AF67" s="78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7"/>
      <c r="AR67" s="78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7"/>
      <c r="BD67" s="78"/>
      <c r="BE67" s="76"/>
      <c r="BF67" s="76"/>
      <c r="BG67" s="76"/>
      <c r="BH67" s="76"/>
      <c r="BI67" s="76"/>
      <c r="BJ67" s="76"/>
      <c r="BK67" s="76"/>
      <c r="BL67" s="76"/>
      <c r="BM67" s="76"/>
      <c r="BN67" s="76"/>
      <c r="BO67" s="77"/>
      <c r="BP67" s="78"/>
      <c r="BQ67" s="76"/>
      <c r="BR67" s="76"/>
      <c r="BS67" s="76"/>
      <c r="BT67" s="76"/>
      <c r="BU67" s="76"/>
      <c r="BV67" s="76"/>
      <c r="BW67" s="76"/>
      <c r="BX67" s="76"/>
      <c r="BY67" s="76"/>
      <c r="BZ67" s="76"/>
      <c r="CA67" s="76"/>
      <c r="CC67" s="79" t="n">
        <f aca="false">SUMIFS($T67:$CA67, $T$1:$CA$1, CC$63)</f>
        <v>0</v>
      </c>
      <c r="CD67" s="79" t="n">
        <f aca="false">SUMIFS($T67:$CA67, $T$1:$CA$1, CD$63)</f>
        <v>0</v>
      </c>
      <c r="CE67" s="79" t="n">
        <f aca="false">SUMIFS($T67:$CA67, $T$1:$CA$1, CE$63)</f>
        <v>0</v>
      </c>
      <c r="CF67" s="79" t="n">
        <f aca="false">SUMIFS($T67:$CA67, $T$1:$CA$1, CF$63)</f>
        <v>0</v>
      </c>
      <c r="CG67" s="79" t="n">
        <f aca="false">SUMIFS($T67:$CA67, $T$1:$CA$1, CG$63)</f>
        <v>0</v>
      </c>
      <c r="CI67" s="79" t="n">
        <f aca="false">CC67=L67</f>
        <v>1</v>
      </c>
      <c r="CJ67" s="79" t="n">
        <f aca="false">CD67=M67</f>
        <v>1</v>
      </c>
      <c r="CK67" s="79" t="n">
        <f aca="false">CE67=N67</f>
        <v>1</v>
      </c>
      <c r="CL67" s="79" t="n">
        <f aca="false">CF67=O67</f>
        <v>1</v>
      </c>
      <c r="CM67" s="79" t="n">
        <f aca="false">CG67=P67</f>
        <v>1</v>
      </c>
    </row>
    <row r="68" s="14" customFormat="true" ht="16.5" hidden="false" customHeight="true" outlineLevel="0" collapsed="false">
      <c r="E68" s="80" t="s">
        <v>137</v>
      </c>
      <c r="H68" s="71"/>
      <c r="I68" s="82" t="n">
        <f aca="false">SUM(I66:I67)</f>
        <v>0</v>
      </c>
      <c r="J68" s="82" t="n">
        <f aca="false">SUM(J66:J67)</f>
        <v>0</v>
      </c>
      <c r="K68" s="82" t="n">
        <f aca="false">SUM(K66:K67)</f>
        <v>0</v>
      </c>
      <c r="L68" s="82" t="n">
        <f aca="false">SUM(L66:L67)</f>
        <v>0</v>
      </c>
      <c r="M68" s="82" t="n">
        <f aca="false">SUM(M66:M67)</f>
        <v>0</v>
      </c>
      <c r="N68" s="82" t="n">
        <f aca="false">SUM(N66:N67)</f>
        <v>0</v>
      </c>
      <c r="O68" s="82" t="n">
        <f aca="false">SUM(O66:O67)</f>
        <v>0</v>
      </c>
      <c r="P68" s="82" t="n">
        <f aca="false">SUM(P66:P67)</f>
        <v>0</v>
      </c>
      <c r="Q68" s="16"/>
      <c r="R68" s="16"/>
      <c r="T68" s="82" t="n">
        <f aca="false">SUM(T66:T67)</f>
        <v>0</v>
      </c>
      <c r="U68" s="82" t="n">
        <f aca="false">SUM(U66:U67)</f>
        <v>0</v>
      </c>
      <c r="V68" s="82" t="n">
        <f aca="false">SUM(V66:V67)</f>
        <v>0</v>
      </c>
      <c r="W68" s="82" t="n">
        <f aca="false">SUM(W66:W67)</f>
        <v>0</v>
      </c>
      <c r="X68" s="82" t="n">
        <f aca="false">SUM(X66:X67)</f>
        <v>0</v>
      </c>
      <c r="Y68" s="82" t="n">
        <f aca="false">SUM(Y66:Y67)</f>
        <v>0</v>
      </c>
      <c r="Z68" s="82" t="n">
        <f aca="false">SUM(Z66:Z67)</f>
        <v>0</v>
      </c>
      <c r="AA68" s="82" t="n">
        <f aca="false">SUM(AA66:AA67)</f>
        <v>0</v>
      </c>
      <c r="AB68" s="82" t="n">
        <f aca="false">SUM(AB66:AB67)</f>
        <v>0</v>
      </c>
      <c r="AC68" s="82" t="n">
        <f aca="false">SUM(AC66:AC67)</f>
        <v>0</v>
      </c>
      <c r="AD68" s="82" t="n">
        <f aca="false">SUM(AD66:AD67)</f>
        <v>0</v>
      </c>
      <c r="AE68" s="82" t="n">
        <f aca="false">SUM(AE66:AE67)</f>
        <v>0</v>
      </c>
      <c r="AF68" s="83" t="n">
        <f aca="false">SUM(AF66:AF67)</f>
        <v>0</v>
      </c>
      <c r="AG68" s="82" t="n">
        <f aca="false">SUM(AG66:AG67)</f>
        <v>0</v>
      </c>
      <c r="AH68" s="82" t="n">
        <f aca="false">SUM(AH66:AH67)</f>
        <v>0</v>
      </c>
      <c r="AI68" s="82" t="n">
        <f aca="false">SUM(AI66:AI67)</f>
        <v>0</v>
      </c>
      <c r="AJ68" s="82" t="n">
        <f aca="false">SUM(AJ66:AJ67)</f>
        <v>0</v>
      </c>
      <c r="AK68" s="82" t="n">
        <f aca="false">SUM(AK66:AK67)</f>
        <v>0</v>
      </c>
      <c r="AL68" s="82" t="n">
        <f aca="false">SUM(AL66:AL67)</f>
        <v>0</v>
      </c>
      <c r="AM68" s="82" t="n">
        <f aca="false">SUM(AM66:AM67)</f>
        <v>0</v>
      </c>
      <c r="AN68" s="82" t="n">
        <f aca="false">SUM(AN66:AN67)</f>
        <v>0</v>
      </c>
      <c r="AO68" s="82" t="n">
        <f aca="false">SUM(AO66:AO67)</f>
        <v>0</v>
      </c>
      <c r="AP68" s="82" t="n">
        <f aca="false">SUM(AP66:AP67)</f>
        <v>0</v>
      </c>
      <c r="AQ68" s="82" t="n">
        <f aca="false">SUM(AQ66:AQ67)</f>
        <v>0</v>
      </c>
      <c r="AR68" s="83" t="n">
        <f aca="false">SUM(AR66:AR67)</f>
        <v>0</v>
      </c>
      <c r="AS68" s="82" t="n">
        <f aca="false">SUM(AS66:AS67)</f>
        <v>0</v>
      </c>
      <c r="AT68" s="82" t="n">
        <f aca="false">SUM(AT66:AT67)</f>
        <v>0</v>
      </c>
      <c r="AU68" s="82" t="n">
        <f aca="false">SUM(AU66:AU67)</f>
        <v>0</v>
      </c>
      <c r="AV68" s="82" t="n">
        <f aca="false">SUM(AV66:AV67)</f>
        <v>0</v>
      </c>
      <c r="AW68" s="82" t="n">
        <f aca="false">SUM(AW66:AW67)</f>
        <v>0</v>
      </c>
      <c r="AX68" s="82" t="n">
        <f aca="false">SUM(AX66:AX67)</f>
        <v>0</v>
      </c>
      <c r="AY68" s="82" t="n">
        <f aca="false">SUM(AY66:AY67)</f>
        <v>0</v>
      </c>
      <c r="AZ68" s="82" t="n">
        <f aca="false">SUM(AZ66:AZ67)</f>
        <v>0</v>
      </c>
      <c r="BA68" s="82" t="n">
        <f aca="false">SUM(BA66:BA67)</f>
        <v>0</v>
      </c>
      <c r="BB68" s="82" t="n">
        <f aca="false">SUM(BB66:BB67)</f>
        <v>0</v>
      </c>
      <c r="BC68" s="82" t="n">
        <f aca="false">SUM(BC66:BC67)</f>
        <v>0</v>
      </c>
      <c r="BD68" s="83" t="n">
        <f aca="false">SUM(BD66:BD67)</f>
        <v>0</v>
      </c>
      <c r="BE68" s="82" t="n">
        <f aca="false">SUM(BE66:BE67)</f>
        <v>0</v>
      </c>
      <c r="BF68" s="82" t="n">
        <f aca="false">SUM(BF66:BF67)</f>
        <v>0</v>
      </c>
      <c r="BG68" s="82" t="n">
        <f aca="false">SUM(BG66:BG67)</f>
        <v>0</v>
      </c>
      <c r="BH68" s="82" t="n">
        <f aca="false">SUM(BH66:BH67)</f>
        <v>0</v>
      </c>
      <c r="BI68" s="82" t="n">
        <f aca="false">SUM(BI66:BI67)</f>
        <v>0</v>
      </c>
      <c r="BJ68" s="82" t="n">
        <f aca="false">SUM(BJ66:BJ67)</f>
        <v>0</v>
      </c>
      <c r="BK68" s="82" t="n">
        <f aca="false">SUM(BK66:BK67)</f>
        <v>0</v>
      </c>
      <c r="BL68" s="82" t="n">
        <f aca="false">SUM(BL66:BL67)</f>
        <v>0</v>
      </c>
      <c r="BM68" s="82" t="n">
        <f aca="false">SUM(BM66:BM67)</f>
        <v>0</v>
      </c>
      <c r="BN68" s="82" t="n">
        <f aca="false">SUM(BN66:BN67)</f>
        <v>0</v>
      </c>
      <c r="BO68" s="82" t="n">
        <f aca="false">SUM(BO66:BO67)</f>
        <v>0</v>
      </c>
      <c r="BP68" s="83" t="n">
        <f aca="false">SUM(BP66:BP67)</f>
        <v>0</v>
      </c>
      <c r="BQ68" s="82" t="n">
        <f aca="false">SUM(BQ66:BQ67)</f>
        <v>0</v>
      </c>
      <c r="BR68" s="82" t="n">
        <f aca="false">SUM(BR66:BR67)</f>
        <v>0</v>
      </c>
      <c r="BS68" s="82" t="n">
        <f aca="false">SUM(BS66:BS67)</f>
        <v>0</v>
      </c>
      <c r="BT68" s="82" t="n">
        <f aca="false">SUM(BT66:BT67)</f>
        <v>0</v>
      </c>
      <c r="BU68" s="82" t="n">
        <f aca="false">SUM(BU66:BU67)</f>
        <v>0</v>
      </c>
      <c r="BV68" s="82" t="n">
        <f aca="false">SUM(BV66:BV67)</f>
        <v>0</v>
      </c>
      <c r="BW68" s="82" t="n">
        <f aca="false">SUM(BW66:BW67)</f>
        <v>0</v>
      </c>
      <c r="BX68" s="82" t="n">
        <f aca="false">SUM(BX66:BX67)</f>
        <v>0</v>
      </c>
      <c r="BY68" s="82" t="n">
        <f aca="false">SUM(BY66:BY67)</f>
        <v>0</v>
      </c>
      <c r="BZ68" s="82" t="n">
        <f aca="false">SUM(BZ66:BZ67)</f>
        <v>0</v>
      </c>
      <c r="CA68" s="82" t="n">
        <f aca="false">SUM(CA66:CA67)</f>
        <v>0</v>
      </c>
      <c r="CC68" s="84" t="n">
        <f aca="false">SUM(CC66:CC67)</f>
        <v>0</v>
      </c>
      <c r="CD68" s="84" t="n">
        <f aca="false">SUM(CD66:CD67)</f>
        <v>0</v>
      </c>
      <c r="CE68" s="84" t="n">
        <f aca="false">SUM(CE66:CE67)</f>
        <v>0</v>
      </c>
      <c r="CF68" s="84" t="n">
        <f aca="false">SUM(CF66:CF67)</f>
        <v>0</v>
      </c>
      <c r="CG68" s="84" t="n">
        <f aca="false">SUM(CG66:CG67)</f>
        <v>0</v>
      </c>
      <c r="CI68" s="84" t="n">
        <f aca="false">CC68=L68</f>
        <v>1</v>
      </c>
      <c r="CJ68" s="84" t="n">
        <f aca="false">CD68=M68</f>
        <v>1</v>
      </c>
      <c r="CK68" s="84" t="n">
        <f aca="false">CE68=N68</f>
        <v>1</v>
      </c>
      <c r="CL68" s="84" t="n">
        <f aca="false">CF68=O68</f>
        <v>1</v>
      </c>
      <c r="CM68" s="84" t="n">
        <f aca="false">CG68=P68</f>
        <v>1</v>
      </c>
    </row>
    <row r="69" s="14" customFormat="true" ht="16.5" hidden="false" customHeight="true" outlineLevel="0" collapsed="false">
      <c r="E69" s="85"/>
      <c r="H69" s="86"/>
      <c r="I69" s="88"/>
      <c r="J69" s="88"/>
      <c r="K69" s="88"/>
      <c r="L69" s="88"/>
      <c r="M69" s="88"/>
      <c r="N69" s="88"/>
      <c r="O69" s="88"/>
      <c r="P69" s="88"/>
      <c r="Q69" s="16"/>
      <c r="R69" s="16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9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9"/>
      <c r="AS69" s="88"/>
      <c r="AT69" s="88"/>
      <c r="AU69" s="88"/>
      <c r="AV69" s="88"/>
      <c r="AW69" s="88"/>
      <c r="AX69" s="88"/>
      <c r="AY69" s="88"/>
      <c r="AZ69" s="88"/>
      <c r="BA69" s="88"/>
      <c r="BB69" s="88"/>
      <c r="BC69" s="88"/>
      <c r="BD69" s="89"/>
      <c r="BE69" s="88"/>
      <c r="BF69" s="88"/>
      <c r="BG69" s="88"/>
      <c r="BH69" s="88"/>
      <c r="BI69" s="88"/>
      <c r="BJ69" s="88"/>
      <c r="BK69" s="88"/>
      <c r="BL69" s="88"/>
      <c r="BM69" s="88"/>
      <c r="BN69" s="88"/>
      <c r="BO69" s="88"/>
      <c r="BP69" s="89"/>
      <c r="BQ69" s="88"/>
      <c r="BR69" s="88"/>
      <c r="BS69" s="88"/>
      <c r="BT69" s="88"/>
      <c r="BU69" s="88"/>
      <c r="BV69" s="88"/>
      <c r="BW69" s="88"/>
      <c r="BX69" s="88"/>
      <c r="BY69" s="88"/>
      <c r="BZ69" s="88"/>
      <c r="CA69" s="88"/>
      <c r="CC69" s="90"/>
      <c r="CD69" s="90"/>
      <c r="CE69" s="90"/>
      <c r="CF69" s="90"/>
      <c r="CG69" s="90"/>
      <c r="CI69" s="90"/>
      <c r="CJ69" s="90"/>
      <c r="CK69" s="90"/>
      <c r="CL69" s="90"/>
      <c r="CM69" s="90"/>
    </row>
    <row r="70" s="14" customFormat="true" ht="16.5" hidden="false" customHeight="true" outlineLevel="0" collapsed="false">
      <c r="E70" s="21" t="s">
        <v>138</v>
      </c>
      <c r="H70" s="71"/>
      <c r="I70" s="88"/>
      <c r="J70" s="88"/>
      <c r="K70" s="88"/>
      <c r="L70" s="88"/>
      <c r="M70" s="88"/>
      <c r="N70" s="88"/>
      <c r="O70" s="88"/>
      <c r="P70" s="88"/>
      <c r="Q70" s="16"/>
      <c r="R70" s="16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9"/>
      <c r="AG70" s="88"/>
      <c r="AH70" s="88"/>
      <c r="AI70" s="88"/>
      <c r="AJ70" s="88"/>
      <c r="AK70" s="88"/>
      <c r="AL70" s="88"/>
      <c r="AM70" s="88"/>
      <c r="AN70" s="88"/>
      <c r="AO70" s="88"/>
      <c r="AP70" s="88"/>
      <c r="AQ70" s="88"/>
      <c r="AR70" s="89"/>
      <c r="AS70" s="88"/>
      <c r="AT70" s="88"/>
      <c r="AU70" s="88"/>
      <c r="AV70" s="88"/>
      <c r="AW70" s="88"/>
      <c r="AX70" s="88"/>
      <c r="AY70" s="88"/>
      <c r="AZ70" s="88"/>
      <c r="BA70" s="88"/>
      <c r="BB70" s="88"/>
      <c r="BC70" s="88"/>
      <c r="BD70" s="89"/>
      <c r="BE70" s="88"/>
      <c r="BF70" s="88"/>
      <c r="BG70" s="88"/>
      <c r="BH70" s="88"/>
      <c r="BI70" s="88"/>
      <c r="BJ70" s="88"/>
      <c r="BK70" s="88"/>
      <c r="BL70" s="88"/>
      <c r="BM70" s="88"/>
      <c r="BN70" s="88"/>
      <c r="BO70" s="88"/>
      <c r="BP70" s="89"/>
      <c r="BQ70" s="88"/>
      <c r="BR70" s="88"/>
      <c r="BS70" s="88"/>
      <c r="BT70" s="88"/>
      <c r="BU70" s="88"/>
      <c r="BV70" s="88"/>
      <c r="BW70" s="88"/>
      <c r="BX70" s="88"/>
      <c r="BY70" s="88"/>
      <c r="BZ70" s="88"/>
      <c r="CA70" s="88"/>
      <c r="CC70" s="90"/>
      <c r="CD70" s="90"/>
      <c r="CE70" s="90"/>
      <c r="CF70" s="90"/>
      <c r="CG70" s="90"/>
      <c r="CI70" s="90"/>
      <c r="CJ70" s="90"/>
      <c r="CK70" s="90"/>
      <c r="CL70" s="90"/>
      <c r="CM70" s="90"/>
    </row>
    <row r="71" s="14" customFormat="true" ht="16.5" hidden="false" customHeight="true" outlineLevel="0" collapsed="false">
      <c r="E71" s="91"/>
      <c r="H71" s="71"/>
      <c r="I71" s="91"/>
      <c r="J71" s="91"/>
      <c r="K71" s="212" t="n">
        <f aca="false">I71-J71</f>
        <v>0</v>
      </c>
      <c r="L71" s="91"/>
      <c r="M71" s="91"/>
      <c r="N71" s="91"/>
      <c r="O71" s="91"/>
      <c r="P71" s="91"/>
      <c r="Q71" s="93"/>
      <c r="R71" s="16" t="str">
        <f aca="false">IF(K71=P71, "", "Error")</f>
        <v/>
      </c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4"/>
      <c r="AF71" s="95"/>
      <c r="AG71" s="91"/>
      <c r="AH71" s="91"/>
      <c r="AI71" s="91"/>
      <c r="AJ71" s="91"/>
      <c r="AK71" s="91"/>
      <c r="AL71" s="91"/>
      <c r="AM71" s="91"/>
      <c r="AN71" s="91"/>
      <c r="AO71" s="91"/>
      <c r="AP71" s="91"/>
      <c r="AQ71" s="94"/>
      <c r="AR71" s="95"/>
      <c r="AS71" s="91"/>
      <c r="AT71" s="91"/>
      <c r="AU71" s="91"/>
      <c r="AV71" s="91"/>
      <c r="AW71" s="91"/>
      <c r="AX71" s="91"/>
      <c r="AY71" s="91"/>
      <c r="AZ71" s="91"/>
      <c r="BA71" s="91"/>
      <c r="BB71" s="91"/>
      <c r="BC71" s="94"/>
      <c r="BD71" s="95"/>
      <c r="BE71" s="91"/>
      <c r="BF71" s="91"/>
      <c r="BG71" s="91"/>
      <c r="BH71" s="91"/>
      <c r="BI71" s="91"/>
      <c r="BJ71" s="91"/>
      <c r="BK71" s="91"/>
      <c r="BL71" s="91"/>
      <c r="BM71" s="91"/>
      <c r="BN71" s="91"/>
      <c r="BO71" s="94"/>
      <c r="BP71" s="95"/>
      <c r="BQ71" s="91"/>
      <c r="BR71" s="91"/>
      <c r="BS71" s="91"/>
      <c r="BT71" s="91"/>
      <c r="BU71" s="91"/>
      <c r="BV71" s="91"/>
      <c r="BW71" s="91"/>
      <c r="BX71" s="91"/>
      <c r="BY71" s="91"/>
      <c r="BZ71" s="91"/>
      <c r="CA71" s="91"/>
      <c r="CC71" s="79" t="n">
        <f aca="false">SUMIFS($T71:$CA71, $T$1:$CA$1, CC$63)</f>
        <v>0</v>
      </c>
      <c r="CD71" s="79" t="n">
        <f aca="false">SUMIFS($T71:$CA71, $T$1:$CA$1, CD$63)</f>
        <v>0</v>
      </c>
      <c r="CE71" s="79" t="n">
        <f aca="false">SUMIFS($T71:$CA71, $T$1:$CA$1, CE$63)</f>
        <v>0</v>
      </c>
      <c r="CF71" s="79" t="n">
        <f aca="false">SUMIFS($T71:$CA71, $T$1:$CA$1, CF$63)</f>
        <v>0</v>
      </c>
      <c r="CG71" s="79" t="n">
        <f aca="false">SUMIFS($T71:$CA71, $T$1:$CA$1, CG$63)</f>
        <v>0</v>
      </c>
      <c r="CI71" s="79" t="n">
        <f aca="false">CC71=L71</f>
        <v>1</v>
      </c>
      <c r="CJ71" s="79" t="n">
        <f aca="false">CD71=M71</f>
        <v>1</v>
      </c>
      <c r="CK71" s="79" t="n">
        <f aca="false">CE71=N71</f>
        <v>1</v>
      </c>
      <c r="CL71" s="79" t="n">
        <f aca="false">CF71=O71</f>
        <v>1</v>
      </c>
      <c r="CM71" s="79" t="n">
        <f aca="false">CG71=P71</f>
        <v>1</v>
      </c>
    </row>
    <row r="72" s="14" customFormat="true" ht="16.5" hidden="false" customHeight="true" outlineLevel="0" collapsed="false">
      <c r="E72" s="91"/>
      <c r="H72" s="71"/>
      <c r="I72" s="91" t="n">
        <v>0</v>
      </c>
      <c r="J72" s="91" t="n">
        <v>0</v>
      </c>
      <c r="K72" s="212" t="n">
        <f aca="false">I72-J72</f>
        <v>0</v>
      </c>
      <c r="L72" s="91"/>
      <c r="M72" s="91"/>
      <c r="N72" s="91"/>
      <c r="O72" s="91"/>
      <c r="P72" s="91"/>
      <c r="Q72" s="93"/>
      <c r="R72" s="16" t="str">
        <f aca="false">IF(K72=P72, "", "Error")</f>
        <v/>
      </c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4"/>
      <c r="AF72" s="95"/>
      <c r="AG72" s="91"/>
      <c r="AH72" s="91"/>
      <c r="AI72" s="91"/>
      <c r="AJ72" s="91"/>
      <c r="AK72" s="91"/>
      <c r="AL72" s="91"/>
      <c r="AM72" s="91"/>
      <c r="AN72" s="91"/>
      <c r="AO72" s="91"/>
      <c r="AP72" s="91"/>
      <c r="AQ72" s="94"/>
      <c r="AR72" s="95"/>
      <c r="AS72" s="91"/>
      <c r="AT72" s="91"/>
      <c r="AU72" s="91"/>
      <c r="AV72" s="91"/>
      <c r="AW72" s="91"/>
      <c r="AX72" s="91"/>
      <c r="AY72" s="91"/>
      <c r="AZ72" s="91"/>
      <c r="BA72" s="91"/>
      <c r="BB72" s="91"/>
      <c r="BC72" s="94"/>
      <c r="BD72" s="95"/>
      <c r="BE72" s="91"/>
      <c r="BF72" s="91"/>
      <c r="BG72" s="91"/>
      <c r="BH72" s="91"/>
      <c r="BI72" s="91"/>
      <c r="BJ72" s="91"/>
      <c r="BK72" s="91"/>
      <c r="BL72" s="91"/>
      <c r="BM72" s="91"/>
      <c r="BN72" s="91"/>
      <c r="BO72" s="94"/>
      <c r="BP72" s="95"/>
      <c r="BQ72" s="91"/>
      <c r="BR72" s="91"/>
      <c r="BS72" s="91"/>
      <c r="BT72" s="91"/>
      <c r="BU72" s="91"/>
      <c r="BV72" s="91"/>
      <c r="BW72" s="91"/>
      <c r="BX72" s="91"/>
      <c r="BY72" s="91"/>
      <c r="BZ72" s="91"/>
      <c r="CA72" s="91"/>
      <c r="CC72" s="79" t="n">
        <f aca="false">SUMIFS($T72:$CA72, $T$1:$CA$1, CC$63)</f>
        <v>0</v>
      </c>
      <c r="CD72" s="79" t="n">
        <f aca="false">SUMIFS($T72:$CA72, $T$1:$CA$1, CD$63)</f>
        <v>0</v>
      </c>
      <c r="CE72" s="79" t="n">
        <f aca="false">SUMIFS($T72:$CA72, $T$1:$CA$1, CE$63)</f>
        <v>0</v>
      </c>
      <c r="CF72" s="79" t="n">
        <f aca="false">SUMIFS($T72:$CA72, $T$1:$CA$1, CF$63)</f>
        <v>0</v>
      </c>
      <c r="CG72" s="79" t="n">
        <f aca="false">SUMIFS($T72:$CA72, $T$1:$CA$1, CG$63)</f>
        <v>0</v>
      </c>
      <c r="CI72" s="79" t="n">
        <f aca="false">CC72=L72</f>
        <v>1</v>
      </c>
      <c r="CJ72" s="79" t="n">
        <f aca="false">CD72=M72</f>
        <v>1</v>
      </c>
      <c r="CK72" s="79" t="n">
        <f aca="false">CE72=N72</f>
        <v>1</v>
      </c>
      <c r="CL72" s="79" t="n">
        <f aca="false">CF72=O72</f>
        <v>1</v>
      </c>
      <c r="CM72" s="79" t="n">
        <f aca="false">CG72=P72</f>
        <v>1</v>
      </c>
    </row>
    <row r="73" s="14" customFormat="true" ht="16.5" hidden="false" customHeight="true" outlineLevel="0" collapsed="false">
      <c r="E73" s="91"/>
      <c r="H73" s="71"/>
      <c r="I73" s="91" t="n">
        <v>0</v>
      </c>
      <c r="J73" s="91" t="n">
        <v>0</v>
      </c>
      <c r="K73" s="212" t="n">
        <f aca="false">I73-J73</f>
        <v>0</v>
      </c>
      <c r="L73" s="91"/>
      <c r="M73" s="91"/>
      <c r="N73" s="91"/>
      <c r="O73" s="91"/>
      <c r="P73" s="91"/>
      <c r="Q73" s="93"/>
      <c r="R73" s="16" t="str">
        <f aca="false">IF(K73=P73, "", "Error")</f>
        <v/>
      </c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4"/>
      <c r="AF73" s="95"/>
      <c r="AG73" s="91"/>
      <c r="AH73" s="91"/>
      <c r="AI73" s="91"/>
      <c r="AJ73" s="91"/>
      <c r="AK73" s="91"/>
      <c r="AL73" s="91"/>
      <c r="AM73" s="91"/>
      <c r="AN73" s="91"/>
      <c r="AO73" s="91"/>
      <c r="AP73" s="91"/>
      <c r="AQ73" s="94"/>
      <c r="AR73" s="95"/>
      <c r="AS73" s="91"/>
      <c r="AT73" s="91"/>
      <c r="AU73" s="91"/>
      <c r="AV73" s="91"/>
      <c r="AW73" s="91"/>
      <c r="AX73" s="91"/>
      <c r="AY73" s="91"/>
      <c r="AZ73" s="91"/>
      <c r="BA73" s="91"/>
      <c r="BB73" s="91"/>
      <c r="BC73" s="94"/>
      <c r="BD73" s="95"/>
      <c r="BE73" s="91"/>
      <c r="BF73" s="91"/>
      <c r="BG73" s="91"/>
      <c r="BH73" s="91"/>
      <c r="BI73" s="91"/>
      <c r="BJ73" s="91"/>
      <c r="BK73" s="91"/>
      <c r="BL73" s="91"/>
      <c r="BM73" s="91"/>
      <c r="BN73" s="91"/>
      <c r="BO73" s="94"/>
      <c r="BP73" s="95"/>
      <c r="BQ73" s="91"/>
      <c r="BR73" s="91"/>
      <c r="BS73" s="91"/>
      <c r="BT73" s="91"/>
      <c r="BU73" s="91"/>
      <c r="BV73" s="91"/>
      <c r="BW73" s="91"/>
      <c r="BX73" s="91"/>
      <c r="BY73" s="91"/>
      <c r="BZ73" s="91"/>
      <c r="CA73" s="91"/>
      <c r="CC73" s="79" t="n">
        <f aca="false">SUMIFS($T73:$CA73, $T$1:$CA$1, CC$63)</f>
        <v>0</v>
      </c>
      <c r="CD73" s="79" t="n">
        <f aca="false">SUMIFS($T73:$CA73, $T$1:$CA$1, CD$63)</f>
        <v>0</v>
      </c>
      <c r="CE73" s="79" t="n">
        <f aca="false">SUMIFS($T73:$CA73, $T$1:$CA$1, CE$63)</f>
        <v>0</v>
      </c>
      <c r="CF73" s="79" t="n">
        <f aca="false">SUMIFS($T73:$CA73, $T$1:$CA$1, CF$63)</f>
        <v>0</v>
      </c>
      <c r="CG73" s="79" t="n">
        <f aca="false">SUMIFS($T73:$CA73, $T$1:$CA$1, CG$63)</f>
        <v>0</v>
      </c>
      <c r="CI73" s="79" t="n">
        <f aca="false">CC73=L73</f>
        <v>1</v>
      </c>
      <c r="CJ73" s="79" t="n">
        <f aca="false">CD73=M73</f>
        <v>1</v>
      </c>
      <c r="CK73" s="79" t="n">
        <f aca="false">CE73=N73</f>
        <v>1</v>
      </c>
      <c r="CL73" s="79" t="n">
        <f aca="false">CF73=O73</f>
        <v>1</v>
      </c>
      <c r="CM73" s="79" t="n">
        <f aca="false">CG73=P73</f>
        <v>1</v>
      </c>
    </row>
    <row r="74" s="14" customFormat="true" ht="16.5" hidden="false" customHeight="true" outlineLevel="0" collapsed="false">
      <c r="E74" s="91"/>
      <c r="H74" s="71"/>
      <c r="I74" s="91" t="n">
        <v>0</v>
      </c>
      <c r="J74" s="91" t="n">
        <v>0</v>
      </c>
      <c r="K74" s="212" t="n">
        <f aca="false">I74-J74</f>
        <v>0</v>
      </c>
      <c r="L74" s="91"/>
      <c r="M74" s="91"/>
      <c r="N74" s="91"/>
      <c r="O74" s="91"/>
      <c r="P74" s="91"/>
      <c r="Q74" s="93"/>
      <c r="R74" s="16" t="str">
        <f aca="false">IF(K74=P74, "", "Error")</f>
        <v/>
      </c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4"/>
      <c r="AF74" s="95"/>
      <c r="AG74" s="91"/>
      <c r="AH74" s="91"/>
      <c r="AI74" s="91"/>
      <c r="AJ74" s="91"/>
      <c r="AK74" s="91"/>
      <c r="AL74" s="91"/>
      <c r="AM74" s="91"/>
      <c r="AN74" s="91"/>
      <c r="AO74" s="91"/>
      <c r="AP74" s="91"/>
      <c r="AQ74" s="94"/>
      <c r="AR74" s="95"/>
      <c r="AS74" s="91"/>
      <c r="AT74" s="91"/>
      <c r="AU74" s="91"/>
      <c r="AV74" s="91"/>
      <c r="AW74" s="91"/>
      <c r="AX74" s="91"/>
      <c r="AY74" s="91"/>
      <c r="AZ74" s="91"/>
      <c r="BA74" s="91"/>
      <c r="BB74" s="91"/>
      <c r="BC74" s="94"/>
      <c r="BD74" s="95"/>
      <c r="BE74" s="91"/>
      <c r="BF74" s="91"/>
      <c r="BG74" s="91"/>
      <c r="BH74" s="91"/>
      <c r="BI74" s="91"/>
      <c r="BJ74" s="91"/>
      <c r="BK74" s="91"/>
      <c r="BL74" s="91"/>
      <c r="BM74" s="91"/>
      <c r="BN74" s="91"/>
      <c r="BO74" s="94"/>
      <c r="BP74" s="95"/>
      <c r="BQ74" s="91"/>
      <c r="BR74" s="91"/>
      <c r="BS74" s="91"/>
      <c r="BT74" s="91"/>
      <c r="BU74" s="91"/>
      <c r="BV74" s="91"/>
      <c r="BW74" s="91"/>
      <c r="BX74" s="91"/>
      <c r="BY74" s="91"/>
      <c r="BZ74" s="91"/>
      <c r="CA74" s="91"/>
      <c r="CC74" s="79" t="n">
        <f aca="false">SUMIFS($T74:$CA74, $T$1:$CA$1, CC$63)</f>
        <v>0</v>
      </c>
      <c r="CD74" s="79" t="n">
        <f aca="false">SUMIFS($T74:$CA74, $T$1:$CA$1, CD$63)</f>
        <v>0</v>
      </c>
      <c r="CE74" s="79" t="n">
        <f aca="false">SUMIFS($T74:$CA74, $T$1:$CA$1, CE$63)</f>
        <v>0</v>
      </c>
      <c r="CF74" s="79" t="n">
        <f aca="false">SUMIFS($T74:$CA74, $T$1:$CA$1, CF$63)</f>
        <v>0</v>
      </c>
      <c r="CG74" s="79" t="n">
        <f aca="false">SUMIFS($T74:$CA74, $T$1:$CA$1, CG$63)</f>
        <v>0</v>
      </c>
      <c r="CI74" s="79" t="n">
        <f aca="false">CC74=L74</f>
        <v>1</v>
      </c>
      <c r="CJ74" s="79" t="n">
        <f aca="false">CD74=M74</f>
        <v>1</v>
      </c>
      <c r="CK74" s="79" t="n">
        <f aca="false">CE74=N74</f>
        <v>1</v>
      </c>
      <c r="CL74" s="79" t="n">
        <f aca="false">CF74=O74</f>
        <v>1</v>
      </c>
      <c r="CM74" s="79" t="n">
        <f aca="false">CG74=P74</f>
        <v>1</v>
      </c>
    </row>
    <row r="75" s="14" customFormat="true" ht="16.5" hidden="false" customHeight="true" outlineLevel="0" collapsed="false">
      <c r="E75" s="91"/>
      <c r="H75" s="71"/>
      <c r="I75" s="91"/>
      <c r="J75" s="91"/>
      <c r="K75" s="212" t="n">
        <f aca="false">I75-J75</f>
        <v>0</v>
      </c>
      <c r="L75" s="91"/>
      <c r="M75" s="91"/>
      <c r="N75" s="91"/>
      <c r="O75" s="91"/>
      <c r="P75" s="91"/>
      <c r="Q75" s="93"/>
      <c r="R75" s="16" t="str">
        <f aca="false">IF(K75=P75, "", "Error")</f>
        <v/>
      </c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4"/>
      <c r="AF75" s="95"/>
      <c r="AG75" s="91"/>
      <c r="AH75" s="91"/>
      <c r="AI75" s="91"/>
      <c r="AJ75" s="91"/>
      <c r="AK75" s="91"/>
      <c r="AL75" s="91"/>
      <c r="AM75" s="91"/>
      <c r="AN75" s="91"/>
      <c r="AO75" s="91"/>
      <c r="AP75" s="91"/>
      <c r="AQ75" s="94"/>
      <c r="AR75" s="95"/>
      <c r="AS75" s="91"/>
      <c r="AT75" s="91"/>
      <c r="AU75" s="91"/>
      <c r="AV75" s="91"/>
      <c r="AW75" s="91"/>
      <c r="AX75" s="91"/>
      <c r="AY75" s="91"/>
      <c r="AZ75" s="91"/>
      <c r="BA75" s="91"/>
      <c r="BB75" s="91"/>
      <c r="BC75" s="94"/>
      <c r="BD75" s="95"/>
      <c r="BE75" s="91"/>
      <c r="BF75" s="91"/>
      <c r="BG75" s="91"/>
      <c r="BH75" s="91"/>
      <c r="BI75" s="91"/>
      <c r="BJ75" s="91"/>
      <c r="BK75" s="91"/>
      <c r="BL75" s="91"/>
      <c r="BM75" s="91"/>
      <c r="BN75" s="91"/>
      <c r="BO75" s="94"/>
      <c r="BP75" s="95"/>
      <c r="BQ75" s="91"/>
      <c r="BR75" s="91"/>
      <c r="BS75" s="91"/>
      <c r="BT75" s="91"/>
      <c r="BU75" s="91"/>
      <c r="BV75" s="91"/>
      <c r="BW75" s="91"/>
      <c r="BX75" s="91"/>
      <c r="BY75" s="91"/>
      <c r="BZ75" s="91"/>
      <c r="CA75" s="91"/>
      <c r="CC75" s="79" t="n">
        <f aca="false">SUMIFS($T75:$CA75, $T$1:$CA$1, CC$63)</f>
        <v>0</v>
      </c>
      <c r="CD75" s="79" t="n">
        <f aca="false">SUMIFS($T75:$CA75, $T$1:$CA$1, CD$63)</f>
        <v>0</v>
      </c>
      <c r="CE75" s="79" t="n">
        <f aca="false">SUMIFS($T75:$CA75, $T$1:$CA$1, CE$63)</f>
        <v>0</v>
      </c>
      <c r="CF75" s="79" t="n">
        <f aca="false">SUMIFS($T75:$CA75, $T$1:$CA$1, CF$63)</f>
        <v>0</v>
      </c>
      <c r="CG75" s="79" t="n">
        <f aca="false">SUMIFS($T75:$CA75, $T$1:$CA$1, CG$63)</f>
        <v>0</v>
      </c>
      <c r="CI75" s="79" t="n">
        <f aca="false">CC75=L75</f>
        <v>1</v>
      </c>
      <c r="CJ75" s="79" t="n">
        <f aca="false">CD75=M75</f>
        <v>1</v>
      </c>
      <c r="CK75" s="79" t="n">
        <f aca="false">CE75=N75</f>
        <v>1</v>
      </c>
      <c r="CL75" s="79" t="n">
        <f aca="false">CF75=O75</f>
        <v>1</v>
      </c>
      <c r="CM75" s="79" t="n">
        <f aca="false">CG75=P75</f>
        <v>1</v>
      </c>
    </row>
    <row r="76" s="14" customFormat="true" ht="16.5" hidden="false" customHeight="true" outlineLevel="0" collapsed="false">
      <c r="E76" s="96" t="s">
        <v>139</v>
      </c>
      <c r="H76" s="71"/>
      <c r="I76" s="82" t="n">
        <f aca="false">SUM(I71:I75)</f>
        <v>0</v>
      </c>
      <c r="J76" s="82" t="n">
        <f aca="false">SUM(J71:J75)</f>
        <v>0</v>
      </c>
      <c r="K76" s="82" t="n">
        <f aca="false">SUM(K71:K75)</f>
        <v>0</v>
      </c>
      <c r="L76" s="82" t="n">
        <f aca="false">SUM(L71:L75)</f>
        <v>0</v>
      </c>
      <c r="M76" s="82" t="n">
        <f aca="false">SUM(M71:M75)</f>
        <v>0</v>
      </c>
      <c r="N76" s="82" t="n">
        <f aca="false">SUM(N71:N75)</f>
        <v>0</v>
      </c>
      <c r="O76" s="82" t="n">
        <f aca="false">SUM(O71:O75)</f>
        <v>0</v>
      </c>
      <c r="P76" s="82" t="n">
        <f aca="false">SUM(P71:P75)</f>
        <v>0</v>
      </c>
      <c r="Q76" s="16"/>
      <c r="R76" s="16"/>
      <c r="T76" s="82" t="n">
        <f aca="false">SUM(T71:T75)</f>
        <v>0</v>
      </c>
      <c r="U76" s="82" t="n">
        <f aca="false">SUM(U71:U75)</f>
        <v>0</v>
      </c>
      <c r="V76" s="82" t="n">
        <f aca="false">SUM(V71:V75)</f>
        <v>0</v>
      </c>
      <c r="W76" s="82" t="n">
        <f aca="false">SUM(W71:W75)</f>
        <v>0</v>
      </c>
      <c r="X76" s="82" t="n">
        <f aca="false">SUM(X71:X75)</f>
        <v>0</v>
      </c>
      <c r="Y76" s="82" t="n">
        <f aca="false">SUM(Y71:Y75)</f>
        <v>0</v>
      </c>
      <c r="Z76" s="82" t="n">
        <f aca="false">SUM(Z71:Z75)</f>
        <v>0</v>
      </c>
      <c r="AA76" s="82" t="n">
        <f aca="false">SUM(AA71:AA75)</f>
        <v>0</v>
      </c>
      <c r="AB76" s="82" t="n">
        <f aca="false">SUM(AB71:AB75)</f>
        <v>0</v>
      </c>
      <c r="AC76" s="82" t="n">
        <f aca="false">SUM(AC71:AC75)</f>
        <v>0</v>
      </c>
      <c r="AD76" s="82" t="n">
        <f aca="false">SUM(AD71:AD75)</f>
        <v>0</v>
      </c>
      <c r="AE76" s="82" t="n">
        <f aca="false">SUM(AE71:AE75)</f>
        <v>0</v>
      </c>
      <c r="AF76" s="83" t="n">
        <f aca="false">SUM(AF71:AF75)</f>
        <v>0</v>
      </c>
      <c r="AG76" s="82" t="n">
        <f aca="false">SUM(AG71:AG75)</f>
        <v>0</v>
      </c>
      <c r="AH76" s="82" t="n">
        <f aca="false">SUM(AH71:AH75)</f>
        <v>0</v>
      </c>
      <c r="AI76" s="82" t="n">
        <f aca="false">SUM(AI71:AI75)</f>
        <v>0</v>
      </c>
      <c r="AJ76" s="82" t="n">
        <f aca="false">SUM(AJ71:AJ75)</f>
        <v>0</v>
      </c>
      <c r="AK76" s="82" t="n">
        <f aca="false">SUM(AK71:AK75)</f>
        <v>0</v>
      </c>
      <c r="AL76" s="82" t="n">
        <f aca="false">SUM(AL71:AL75)</f>
        <v>0</v>
      </c>
      <c r="AM76" s="82" t="n">
        <f aca="false">SUM(AM71:AM75)</f>
        <v>0</v>
      </c>
      <c r="AN76" s="82" t="n">
        <f aca="false">SUM(AN71:AN75)</f>
        <v>0</v>
      </c>
      <c r="AO76" s="82" t="n">
        <f aca="false">SUM(AO71:AO75)</f>
        <v>0</v>
      </c>
      <c r="AP76" s="82" t="n">
        <f aca="false">SUM(AP71:AP75)</f>
        <v>0</v>
      </c>
      <c r="AQ76" s="82" t="n">
        <f aca="false">SUM(AQ71:AQ75)</f>
        <v>0</v>
      </c>
      <c r="AR76" s="83" t="n">
        <f aca="false">SUM(AR71:AR75)</f>
        <v>0</v>
      </c>
      <c r="AS76" s="82" t="n">
        <f aca="false">SUM(AS71:AS75)</f>
        <v>0</v>
      </c>
      <c r="AT76" s="82" t="n">
        <f aca="false">SUM(AT71:AT75)</f>
        <v>0</v>
      </c>
      <c r="AU76" s="82" t="n">
        <f aca="false">SUM(AU71:AU75)</f>
        <v>0</v>
      </c>
      <c r="AV76" s="82" t="n">
        <f aca="false">SUM(AV71:AV75)</f>
        <v>0</v>
      </c>
      <c r="AW76" s="82" t="n">
        <f aca="false">SUM(AW71:AW75)</f>
        <v>0</v>
      </c>
      <c r="AX76" s="82" t="n">
        <f aca="false">SUM(AX71:AX75)</f>
        <v>0</v>
      </c>
      <c r="AY76" s="82" t="n">
        <f aca="false">SUM(AY71:AY75)</f>
        <v>0</v>
      </c>
      <c r="AZ76" s="82" t="n">
        <f aca="false">SUM(AZ71:AZ75)</f>
        <v>0</v>
      </c>
      <c r="BA76" s="82" t="n">
        <f aca="false">SUM(BA71:BA75)</f>
        <v>0</v>
      </c>
      <c r="BB76" s="82" t="n">
        <f aca="false">SUM(BB71:BB75)</f>
        <v>0</v>
      </c>
      <c r="BC76" s="82" t="n">
        <f aca="false">SUM(BC71:BC75)</f>
        <v>0</v>
      </c>
      <c r="BD76" s="83" t="n">
        <f aca="false">SUM(BD71:BD75)</f>
        <v>0</v>
      </c>
      <c r="BE76" s="82" t="n">
        <f aca="false">SUM(BE71:BE75)</f>
        <v>0</v>
      </c>
      <c r="BF76" s="82" t="n">
        <f aca="false">SUM(BF71:BF75)</f>
        <v>0</v>
      </c>
      <c r="BG76" s="82" t="n">
        <f aca="false">SUM(BG71:BG75)</f>
        <v>0</v>
      </c>
      <c r="BH76" s="82" t="n">
        <f aca="false">SUM(BH71:BH75)</f>
        <v>0</v>
      </c>
      <c r="BI76" s="82" t="n">
        <f aca="false">SUM(BI71:BI75)</f>
        <v>0</v>
      </c>
      <c r="BJ76" s="82" t="n">
        <f aca="false">SUM(BJ71:BJ75)</f>
        <v>0</v>
      </c>
      <c r="BK76" s="82" t="n">
        <f aca="false">SUM(BK71:BK75)</f>
        <v>0</v>
      </c>
      <c r="BL76" s="82" t="n">
        <f aca="false">SUM(BL71:BL75)</f>
        <v>0</v>
      </c>
      <c r="BM76" s="82" t="n">
        <f aca="false">SUM(BM71:BM75)</f>
        <v>0</v>
      </c>
      <c r="BN76" s="82" t="n">
        <f aca="false">SUM(BN71:BN75)</f>
        <v>0</v>
      </c>
      <c r="BO76" s="82" t="n">
        <f aca="false">SUM(BO71:BO75)</f>
        <v>0</v>
      </c>
      <c r="BP76" s="83" t="n">
        <f aca="false">SUM(BP71:BP75)</f>
        <v>0</v>
      </c>
      <c r="BQ76" s="82" t="n">
        <f aca="false">SUM(BQ71:BQ75)</f>
        <v>0</v>
      </c>
      <c r="BR76" s="82" t="n">
        <f aca="false">SUM(BR71:BR75)</f>
        <v>0</v>
      </c>
      <c r="BS76" s="82" t="n">
        <f aca="false">SUM(BS71:BS75)</f>
        <v>0</v>
      </c>
      <c r="BT76" s="82" t="n">
        <f aca="false">SUM(BT71:BT75)</f>
        <v>0</v>
      </c>
      <c r="BU76" s="82" t="n">
        <f aca="false">SUM(BU71:BU75)</f>
        <v>0</v>
      </c>
      <c r="BV76" s="82" t="n">
        <f aca="false">SUM(BV71:BV75)</f>
        <v>0</v>
      </c>
      <c r="BW76" s="82" t="n">
        <f aca="false">SUM(BW71:BW75)</f>
        <v>0</v>
      </c>
      <c r="BX76" s="82" t="n">
        <f aca="false">SUM(BX71:BX75)</f>
        <v>0</v>
      </c>
      <c r="BY76" s="82" t="n">
        <f aca="false">SUM(BY71:BY75)</f>
        <v>0</v>
      </c>
      <c r="BZ76" s="82" t="n">
        <f aca="false">SUM(BZ71:BZ75)</f>
        <v>0</v>
      </c>
      <c r="CA76" s="82" t="n">
        <f aca="false">SUM(CA71:CA75)</f>
        <v>0</v>
      </c>
      <c r="CC76" s="84" t="n">
        <f aca="false">SUM(CC71:CC75)</f>
        <v>0</v>
      </c>
      <c r="CD76" s="84" t="n">
        <f aca="false">SUM(CD71:CD75)</f>
        <v>0</v>
      </c>
      <c r="CE76" s="84" t="n">
        <f aca="false">SUM(CE71:CE75)</f>
        <v>0</v>
      </c>
      <c r="CF76" s="84" t="n">
        <f aca="false">SUM(CF71:CF75)</f>
        <v>0</v>
      </c>
      <c r="CG76" s="84" t="n">
        <f aca="false">SUM(CG71:CG75)</f>
        <v>0</v>
      </c>
      <c r="CI76" s="84" t="n">
        <f aca="false">CC76=L76</f>
        <v>1</v>
      </c>
      <c r="CJ76" s="84" t="n">
        <f aca="false">CD76=M76</f>
        <v>1</v>
      </c>
      <c r="CK76" s="84" t="n">
        <f aca="false">CE76=N76</f>
        <v>1</v>
      </c>
      <c r="CL76" s="84" t="n">
        <f aca="false">CF76=O76</f>
        <v>1</v>
      </c>
      <c r="CM76" s="84" t="n">
        <f aca="false">CG76=P76</f>
        <v>1</v>
      </c>
    </row>
    <row r="77" s="14" customFormat="true" ht="16.5" hidden="false" customHeight="true" outlineLevel="0" collapsed="false">
      <c r="H77" s="71"/>
      <c r="I77" s="88"/>
      <c r="J77" s="88"/>
      <c r="K77" s="88"/>
      <c r="L77" s="88"/>
      <c r="M77" s="88"/>
      <c r="N77" s="88"/>
      <c r="O77" s="88"/>
      <c r="P77" s="88"/>
      <c r="Q77" s="16"/>
      <c r="R77" s="16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9"/>
      <c r="AG77" s="88"/>
      <c r="AH77" s="88"/>
      <c r="AI77" s="88"/>
      <c r="AJ77" s="88"/>
      <c r="AK77" s="88"/>
      <c r="AL77" s="88"/>
      <c r="AM77" s="88"/>
      <c r="AN77" s="88"/>
      <c r="AO77" s="88"/>
      <c r="AP77" s="88"/>
      <c r="AQ77" s="88"/>
      <c r="AR77" s="89"/>
      <c r="AS77" s="88"/>
      <c r="AT77" s="88"/>
      <c r="AU77" s="88"/>
      <c r="AV77" s="88"/>
      <c r="AW77" s="88"/>
      <c r="AX77" s="88"/>
      <c r="AY77" s="88"/>
      <c r="AZ77" s="88"/>
      <c r="BA77" s="88"/>
      <c r="BB77" s="88"/>
      <c r="BC77" s="88"/>
      <c r="BD77" s="89"/>
      <c r="BE77" s="88"/>
      <c r="BF77" s="88"/>
      <c r="BG77" s="88"/>
      <c r="BH77" s="88"/>
      <c r="BI77" s="88"/>
      <c r="BJ77" s="88"/>
      <c r="BK77" s="88"/>
      <c r="BL77" s="88"/>
      <c r="BM77" s="88"/>
      <c r="BN77" s="88"/>
      <c r="BO77" s="88"/>
      <c r="BP77" s="89"/>
      <c r="BQ77" s="88"/>
      <c r="BR77" s="88"/>
      <c r="BS77" s="88"/>
      <c r="BT77" s="88"/>
      <c r="BU77" s="88"/>
      <c r="BV77" s="88"/>
      <c r="BW77" s="88"/>
      <c r="BX77" s="88"/>
      <c r="BY77" s="88"/>
      <c r="BZ77" s="88"/>
      <c r="CA77" s="88"/>
      <c r="CC77" s="90"/>
      <c r="CD77" s="90"/>
      <c r="CE77" s="90"/>
      <c r="CF77" s="90"/>
      <c r="CG77" s="90"/>
      <c r="CI77" s="90"/>
      <c r="CJ77" s="90"/>
      <c r="CK77" s="90"/>
      <c r="CL77" s="90"/>
      <c r="CM77" s="90"/>
    </row>
    <row r="78" s="14" customFormat="true" ht="16.5" hidden="false" customHeight="true" outlineLevel="0" collapsed="false">
      <c r="E78" s="21" t="s">
        <v>140</v>
      </c>
      <c r="H78" s="71"/>
      <c r="I78" s="88"/>
      <c r="J78" s="88"/>
      <c r="K78" s="88"/>
      <c r="L78" s="88"/>
      <c r="M78" s="88"/>
      <c r="N78" s="88"/>
      <c r="O78" s="88"/>
      <c r="P78" s="88"/>
      <c r="Q78" s="16"/>
      <c r="R78" s="16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9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9"/>
      <c r="AS78" s="88"/>
      <c r="AT78" s="88"/>
      <c r="AU78" s="88"/>
      <c r="AV78" s="88"/>
      <c r="AW78" s="88"/>
      <c r="AX78" s="88"/>
      <c r="AY78" s="88"/>
      <c r="AZ78" s="88"/>
      <c r="BA78" s="88"/>
      <c r="BB78" s="88"/>
      <c r="BC78" s="88"/>
      <c r="BD78" s="89"/>
      <c r="BE78" s="88"/>
      <c r="BF78" s="88"/>
      <c r="BG78" s="88"/>
      <c r="BH78" s="88"/>
      <c r="BI78" s="88"/>
      <c r="BJ78" s="88"/>
      <c r="BK78" s="88"/>
      <c r="BL78" s="88"/>
      <c r="BM78" s="88"/>
      <c r="BN78" s="88"/>
      <c r="BO78" s="88"/>
      <c r="BP78" s="89"/>
      <c r="BQ78" s="88"/>
      <c r="BR78" s="88"/>
      <c r="BS78" s="88"/>
      <c r="BT78" s="88"/>
      <c r="BU78" s="88"/>
      <c r="BV78" s="88"/>
      <c r="BW78" s="88"/>
      <c r="BX78" s="88"/>
      <c r="BY78" s="88"/>
      <c r="BZ78" s="88"/>
      <c r="CA78" s="88"/>
      <c r="CC78" s="90"/>
      <c r="CD78" s="90"/>
      <c r="CE78" s="90"/>
      <c r="CF78" s="90"/>
      <c r="CG78" s="90"/>
      <c r="CI78" s="90"/>
      <c r="CJ78" s="90"/>
      <c r="CK78" s="90"/>
      <c r="CL78" s="90"/>
      <c r="CM78" s="90"/>
    </row>
    <row r="79" s="14" customFormat="true" ht="16.5" hidden="false" customHeight="true" outlineLevel="0" collapsed="false">
      <c r="E79" s="91" t="s">
        <v>584</v>
      </c>
      <c r="H79" s="71" t="s">
        <v>585</v>
      </c>
      <c r="I79" s="213" t="n">
        <f aca="false">'SVC-3 Model'!$D$75</f>
        <v>128.41469045</v>
      </c>
      <c r="J79" s="213" t="n">
        <f aca="false">I79-'SVC-3 Model'!$K$75</f>
        <v>101.465631883832</v>
      </c>
      <c r="K79" s="214" t="n">
        <f aca="false">'SVC-3 Model'!$K$75</f>
        <v>26.9490585661678</v>
      </c>
      <c r="L79" s="213" t="n">
        <f aca="false">'SVC-3 Model'!L75</f>
        <v>0</v>
      </c>
      <c r="M79" s="213" t="n">
        <f aca="false">'SVC-3 Model'!M75</f>
        <v>2.24575488051398</v>
      </c>
      <c r="N79" s="213" t="n">
        <f aca="false">'SVC-3 Model'!N75</f>
        <v>24.7033036856538</v>
      </c>
      <c r="O79" s="213" t="n">
        <f aca="false">'SVC-3 Model'!O75</f>
        <v>26.9490585661678</v>
      </c>
      <c r="P79" s="213" t="n">
        <f aca="false">'SVC-3 Model'!P75</f>
        <v>26.9490585661678</v>
      </c>
      <c r="Q79" s="93" t="s">
        <v>266</v>
      </c>
      <c r="R79" s="16" t="str">
        <f aca="false">IF(K79=P79, "", "Error")</f>
        <v/>
      </c>
      <c r="T79" s="213" t="n">
        <f aca="false">'SVC-3 Model'!T75</f>
        <v>0</v>
      </c>
      <c r="U79" s="213" t="n">
        <f aca="false">'SVC-3 Model'!U75</f>
        <v>0</v>
      </c>
      <c r="V79" s="213" t="n">
        <f aca="false">'SVC-3 Model'!V75</f>
        <v>0</v>
      </c>
      <c r="W79" s="213" t="n">
        <f aca="false">'SVC-3 Model'!W75</f>
        <v>0</v>
      </c>
      <c r="X79" s="213" t="n">
        <f aca="false">'SVC-3 Model'!X75</f>
        <v>0</v>
      </c>
      <c r="Y79" s="213" t="n">
        <f aca="false">'SVC-3 Model'!Y75</f>
        <v>0</v>
      </c>
      <c r="Z79" s="213" t="n">
        <f aca="false">'SVC-3 Model'!Z75</f>
        <v>0</v>
      </c>
      <c r="AA79" s="213" t="n">
        <f aca="false">'SVC-3 Model'!AA75</f>
        <v>0</v>
      </c>
      <c r="AB79" s="213" t="n">
        <f aca="false">'SVC-3 Model'!AB75</f>
        <v>0</v>
      </c>
      <c r="AC79" s="213" t="n">
        <f aca="false">'SVC-3 Model'!AC75</f>
        <v>0</v>
      </c>
      <c r="AD79" s="213" t="n">
        <f aca="false">'SVC-3 Model'!AD75</f>
        <v>0</v>
      </c>
      <c r="AE79" s="215" t="n">
        <f aca="false">'SVC-3 Model'!AE75</f>
        <v>0</v>
      </c>
      <c r="AF79" s="216" t="n">
        <f aca="false">'SVC-3 Model'!AF75</f>
        <v>0</v>
      </c>
      <c r="AG79" s="216" t="n">
        <f aca="false">'SVC-3 Model'!AG75</f>
        <v>0</v>
      </c>
      <c r="AH79" s="216" t="n">
        <f aca="false">'SVC-3 Model'!AH75</f>
        <v>0</v>
      </c>
      <c r="AI79" s="216" t="n">
        <f aca="false">'SVC-3 Model'!AI75</f>
        <v>0</v>
      </c>
      <c r="AJ79" s="216" t="n">
        <f aca="false">'SVC-3 Model'!AJ75</f>
        <v>0</v>
      </c>
      <c r="AK79" s="216" t="n">
        <f aca="false">'SVC-3 Model'!AK75</f>
        <v>0</v>
      </c>
      <c r="AL79" s="216" t="n">
        <f aca="false">'SVC-3 Model'!AL75</f>
        <v>0</v>
      </c>
      <c r="AM79" s="216" t="n">
        <f aca="false">'SVC-3 Model'!AM75</f>
        <v>0</v>
      </c>
      <c r="AN79" s="216" t="n">
        <f aca="false">'SVC-3 Model'!AN75</f>
        <v>0.140359680032124</v>
      </c>
      <c r="AO79" s="216" t="n">
        <f aca="false">'SVC-3 Model'!AO75</f>
        <v>0.421079040096372</v>
      </c>
      <c r="AP79" s="216" t="n">
        <f aca="false">'SVC-3 Model'!AP75</f>
        <v>0.70179840016062</v>
      </c>
      <c r="AQ79" s="216" t="n">
        <f aca="false">'SVC-3 Model'!AQ75</f>
        <v>0.982517760224867</v>
      </c>
      <c r="AR79" s="216" t="n">
        <f aca="false">'SVC-3 Model'!AR75</f>
        <v>1.26323712028912</v>
      </c>
      <c r="AS79" s="216" t="n">
        <f aca="false">'SVC-3 Model'!AS75</f>
        <v>1.54395648035336</v>
      </c>
      <c r="AT79" s="216" t="n">
        <f aca="false">'SVC-3 Model'!AT75</f>
        <v>1.82467584041761</v>
      </c>
      <c r="AU79" s="216" t="n">
        <f aca="false">'SVC-3 Model'!AU75</f>
        <v>2.10539520048186</v>
      </c>
      <c r="AV79" s="216" t="n">
        <f aca="false">'SVC-3 Model'!AV75</f>
        <v>2.24575488051398</v>
      </c>
      <c r="AW79" s="216" t="n">
        <f aca="false">'SVC-3 Model'!AW75</f>
        <v>2.24575488051398</v>
      </c>
      <c r="AX79" s="216" t="n">
        <f aca="false">'SVC-3 Model'!AX75</f>
        <v>2.24575488051398</v>
      </c>
      <c r="AY79" s="216" t="n">
        <f aca="false">'SVC-3 Model'!AY75</f>
        <v>2.24575488051398</v>
      </c>
      <c r="AZ79" s="216" t="n">
        <f aca="false">'SVC-3 Model'!AZ75</f>
        <v>2.24575488051398</v>
      </c>
      <c r="BA79" s="216" t="n">
        <f aca="false">'SVC-3 Model'!BA75</f>
        <v>2.24575488051398</v>
      </c>
      <c r="BB79" s="216" t="n">
        <f aca="false">'SVC-3 Model'!BB75</f>
        <v>2.24575488051398</v>
      </c>
      <c r="BC79" s="216" t="n">
        <f aca="false">'SVC-3 Model'!BC75</f>
        <v>2.24575488051398</v>
      </c>
      <c r="BD79" s="216" t="n">
        <f aca="false">'SVC-3 Model'!BD75</f>
        <v>2.24575488051398</v>
      </c>
      <c r="BE79" s="216" t="n">
        <f aca="false">'SVC-3 Model'!BE75</f>
        <v>2.24575488051398</v>
      </c>
      <c r="BF79" s="216" t="n">
        <f aca="false">'SVC-3 Model'!BF75</f>
        <v>2.24575488051398</v>
      </c>
      <c r="BG79" s="216" t="n">
        <f aca="false">'SVC-3 Model'!BG75</f>
        <v>2.24575488051398</v>
      </c>
      <c r="BH79" s="216" t="n">
        <f aca="false">'SVC-3 Model'!BH75</f>
        <v>2.24575488051398</v>
      </c>
      <c r="BI79" s="216" t="n">
        <f aca="false">'SVC-3 Model'!BI75</f>
        <v>2.24575488051398</v>
      </c>
      <c r="BJ79" s="216" t="n">
        <f aca="false">'SVC-3 Model'!BJ75</f>
        <v>2.24575488051398</v>
      </c>
      <c r="BK79" s="216" t="n">
        <f aca="false">'SVC-3 Model'!BK75</f>
        <v>2.24575488051398</v>
      </c>
      <c r="BL79" s="216" t="n">
        <f aca="false">'SVC-3 Model'!BL75</f>
        <v>2.24575488051398</v>
      </c>
      <c r="BM79" s="216" t="n">
        <f aca="false">'SVC-3 Model'!BM75</f>
        <v>2.24575488051398</v>
      </c>
      <c r="BN79" s="216" t="n">
        <f aca="false">'SVC-3 Model'!BN75</f>
        <v>2.24575488051398</v>
      </c>
      <c r="BO79" s="216" t="n">
        <f aca="false">'SVC-3 Model'!BO75</f>
        <v>2.24575488051398</v>
      </c>
      <c r="BP79" s="216" t="n">
        <f aca="false">'SVC-3 Model'!BP75</f>
        <v>2.24575488051398</v>
      </c>
      <c r="BQ79" s="216" t="n">
        <f aca="false">'SVC-3 Model'!BQ75</f>
        <v>2.24575488051398</v>
      </c>
      <c r="BR79" s="216" t="n">
        <f aca="false">'SVC-3 Model'!BR75</f>
        <v>2.24575488051398</v>
      </c>
      <c r="BS79" s="216" t="n">
        <f aca="false">'SVC-3 Model'!BS75</f>
        <v>2.24575488051398</v>
      </c>
      <c r="BT79" s="216" t="n">
        <f aca="false">'SVC-3 Model'!BT75</f>
        <v>2.24575488051398</v>
      </c>
      <c r="BU79" s="216" t="n">
        <f aca="false">'SVC-3 Model'!BU75</f>
        <v>2.24575488051398</v>
      </c>
      <c r="BV79" s="216" t="n">
        <f aca="false">'SVC-3 Model'!BV75</f>
        <v>2.24575488051398</v>
      </c>
      <c r="BW79" s="216" t="n">
        <f aca="false">'SVC-3 Model'!BW75</f>
        <v>2.24575488051398</v>
      </c>
      <c r="BX79" s="216" t="n">
        <f aca="false">'SVC-3 Model'!BX75</f>
        <v>2.24575488051398</v>
      </c>
      <c r="BY79" s="216" t="n">
        <f aca="false">'SVC-3 Model'!BY75</f>
        <v>2.24575488051398</v>
      </c>
      <c r="BZ79" s="216" t="n">
        <f aca="false">'SVC-3 Model'!BZ75</f>
        <v>2.24575488051398</v>
      </c>
      <c r="CA79" s="216" t="n">
        <f aca="false">'SVC-3 Model'!CA75</f>
        <v>2.24575488051398</v>
      </c>
      <c r="CC79" s="79" t="n">
        <f aca="false">SUMIFS($T79:$CA79, $T$1:$CA$1, CC$63)</f>
        <v>0</v>
      </c>
      <c r="CD79" s="79" t="n">
        <f aca="false">SUMIFS($T79:$CA79, $T$1:$CA$1, CD$63)</f>
        <v>2.24575488051398</v>
      </c>
      <c r="CE79" s="79" t="n">
        <f aca="false">SUMIFS($T79:$CA79, $T$1:$CA$1, CE$63)</f>
        <v>24.7033036856538</v>
      </c>
      <c r="CF79" s="79" t="n">
        <f aca="false">SUMIFS($T79:$CA79, $T$1:$CA$1, CF$63)</f>
        <v>26.9490585661678</v>
      </c>
      <c r="CG79" s="79" t="n">
        <f aca="false">SUMIFS($T79:$CA79, $T$1:$CA$1, CG$63)</f>
        <v>26.9490585661678</v>
      </c>
      <c r="CI79" s="79" t="n">
        <f aca="false">CC79=L79</f>
        <v>1</v>
      </c>
      <c r="CJ79" s="79" t="n">
        <f aca="false">CD79=M79</f>
        <v>1</v>
      </c>
      <c r="CK79" s="79" t="n">
        <f aca="false">CE79=N79</f>
        <v>1</v>
      </c>
      <c r="CL79" s="79" t="n">
        <f aca="false">CF79=O79</f>
        <v>1</v>
      </c>
      <c r="CM79" s="79" t="n">
        <f aca="false">CG79=P79</f>
        <v>1</v>
      </c>
    </row>
    <row r="80" s="14" customFormat="true" ht="16.5" hidden="false" customHeight="true" outlineLevel="0" collapsed="false">
      <c r="E80" s="91" t="s">
        <v>586</v>
      </c>
      <c r="H80" s="71" t="s">
        <v>587</v>
      </c>
      <c r="I80" s="213" t="n">
        <f aca="false">'SVC-3 Model'!$D$76</f>
        <v>101.46563188</v>
      </c>
      <c r="J80" s="213" t="n">
        <f aca="false">I80-'SVC-3 Model'!$K$76</f>
        <v>93.1639510333835</v>
      </c>
      <c r="K80" s="214" t="n">
        <f aca="false">'SVC-3 Model'!$K$76</f>
        <v>8.30168084661651</v>
      </c>
      <c r="L80" s="213" t="n">
        <f aca="false">'SVC-3 Model'!L76</f>
        <v>0</v>
      </c>
      <c r="M80" s="213" t="n">
        <f aca="false">'SVC-3 Model'!M76</f>
        <v>0.691806737218042</v>
      </c>
      <c r="N80" s="213" t="n">
        <f aca="false">'SVC-3 Model'!N76</f>
        <v>7.60987410939846</v>
      </c>
      <c r="O80" s="213" t="n">
        <f aca="false">'SVC-3 Model'!O76</f>
        <v>8.30168084661651</v>
      </c>
      <c r="P80" s="213" t="n">
        <f aca="false">'SVC-3 Model'!P76</f>
        <v>8.30168084661651</v>
      </c>
      <c r="Q80" s="93" t="s">
        <v>266</v>
      </c>
      <c r="R80" s="16" t="str">
        <f aca="false">IF(K80=P80, "", "Error")</f>
        <v/>
      </c>
      <c r="T80" s="213" t="n">
        <f aca="false">'SVC-3 Model'!T76</f>
        <v>0</v>
      </c>
      <c r="U80" s="213" t="n">
        <f aca="false">'SVC-3 Model'!U76</f>
        <v>0</v>
      </c>
      <c r="V80" s="213" t="n">
        <f aca="false">'SVC-3 Model'!V76</f>
        <v>0</v>
      </c>
      <c r="W80" s="213" t="n">
        <f aca="false">'SVC-3 Model'!W76</f>
        <v>0</v>
      </c>
      <c r="X80" s="213" t="n">
        <f aca="false">'SVC-3 Model'!X76</f>
        <v>0</v>
      </c>
      <c r="Y80" s="213" t="n">
        <f aca="false">'SVC-3 Model'!Y76</f>
        <v>0</v>
      </c>
      <c r="Z80" s="213" t="n">
        <f aca="false">'SVC-3 Model'!Z76</f>
        <v>0</v>
      </c>
      <c r="AA80" s="213" t="n">
        <f aca="false">'SVC-3 Model'!AA76</f>
        <v>0</v>
      </c>
      <c r="AB80" s="213" t="n">
        <f aca="false">'SVC-3 Model'!AB76</f>
        <v>0</v>
      </c>
      <c r="AC80" s="213" t="n">
        <f aca="false">'SVC-3 Model'!AC76</f>
        <v>0</v>
      </c>
      <c r="AD80" s="213" t="n">
        <f aca="false">'SVC-3 Model'!AD76</f>
        <v>0</v>
      </c>
      <c r="AE80" s="215" t="n">
        <f aca="false">'SVC-3 Model'!AE76</f>
        <v>0</v>
      </c>
      <c r="AF80" s="216" t="n">
        <f aca="false">'SVC-3 Model'!AF76</f>
        <v>0</v>
      </c>
      <c r="AG80" s="213" t="n">
        <f aca="false">'SVC-3 Model'!AG76</f>
        <v>0</v>
      </c>
      <c r="AH80" s="213" t="n">
        <f aca="false">'SVC-3 Model'!AH76</f>
        <v>0</v>
      </c>
      <c r="AI80" s="213" t="n">
        <f aca="false">'SVC-3 Model'!AI76</f>
        <v>0</v>
      </c>
      <c r="AJ80" s="213" t="n">
        <f aca="false">'SVC-3 Model'!AJ76</f>
        <v>0</v>
      </c>
      <c r="AK80" s="213" t="n">
        <f aca="false">'SVC-3 Model'!AK76</f>
        <v>0</v>
      </c>
      <c r="AL80" s="213" t="n">
        <f aca="false">'SVC-3 Model'!AL76</f>
        <v>0</v>
      </c>
      <c r="AM80" s="213" t="n">
        <f aca="false">'SVC-3 Model'!AM76</f>
        <v>0</v>
      </c>
      <c r="AN80" s="213" t="n">
        <f aca="false">'SVC-3 Model'!AN76</f>
        <v>0.0432379210761276</v>
      </c>
      <c r="AO80" s="213" t="n">
        <f aca="false">'SVC-3 Model'!AO76</f>
        <v>0.129713763228383</v>
      </c>
      <c r="AP80" s="213" t="n">
        <f aca="false">'SVC-3 Model'!AP76</f>
        <v>0.216189605380638</v>
      </c>
      <c r="AQ80" s="215" t="n">
        <f aca="false">'SVC-3 Model'!AQ76</f>
        <v>0.302665447532894</v>
      </c>
      <c r="AR80" s="216" t="n">
        <f aca="false">'SVC-3 Model'!AR76</f>
        <v>0.389141289685149</v>
      </c>
      <c r="AS80" s="213" t="n">
        <f aca="false">'SVC-3 Model'!AS76</f>
        <v>0.475617131837404</v>
      </c>
      <c r="AT80" s="213" t="n">
        <f aca="false">'SVC-3 Model'!AT76</f>
        <v>0.562092973989659</v>
      </c>
      <c r="AU80" s="213" t="n">
        <f aca="false">'SVC-3 Model'!AU76</f>
        <v>0.648568816141915</v>
      </c>
      <c r="AV80" s="213" t="n">
        <f aca="false">'SVC-3 Model'!AV76</f>
        <v>0.691806737218042</v>
      </c>
      <c r="AW80" s="213" t="n">
        <f aca="false">'SVC-3 Model'!AW76</f>
        <v>0.691806737218042</v>
      </c>
      <c r="AX80" s="213" t="n">
        <f aca="false">'SVC-3 Model'!AX76</f>
        <v>0.691806737218042</v>
      </c>
      <c r="AY80" s="213" t="n">
        <f aca="false">'SVC-3 Model'!AY76</f>
        <v>0.691806737218042</v>
      </c>
      <c r="AZ80" s="213" t="n">
        <f aca="false">'SVC-3 Model'!AZ76</f>
        <v>0.691806737218042</v>
      </c>
      <c r="BA80" s="213" t="n">
        <f aca="false">'SVC-3 Model'!BA76</f>
        <v>0.691806737218042</v>
      </c>
      <c r="BB80" s="213" t="n">
        <f aca="false">'SVC-3 Model'!BB76</f>
        <v>0.691806737218042</v>
      </c>
      <c r="BC80" s="215" t="n">
        <f aca="false">'SVC-3 Model'!BC76</f>
        <v>0.691806737218042</v>
      </c>
      <c r="BD80" s="216" t="n">
        <f aca="false">'SVC-3 Model'!BD76</f>
        <v>0.691806737218042</v>
      </c>
      <c r="BE80" s="213" t="n">
        <f aca="false">'SVC-3 Model'!BE76</f>
        <v>0.691806737218042</v>
      </c>
      <c r="BF80" s="213" t="n">
        <f aca="false">'SVC-3 Model'!BF76</f>
        <v>0.691806737218042</v>
      </c>
      <c r="BG80" s="213" t="n">
        <f aca="false">'SVC-3 Model'!BG76</f>
        <v>0.691806737218042</v>
      </c>
      <c r="BH80" s="213" t="n">
        <f aca="false">'SVC-3 Model'!BH76</f>
        <v>0.691806737218042</v>
      </c>
      <c r="BI80" s="213" t="n">
        <f aca="false">'SVC-3 Model'!BI76</f>
        <v>0.691806737218042</v>
      </c>
      <c r="BJ80" s="213" t="n">
        <f aca="false">'SVC-3 Model'!BJ76</f>
        <v>0.691806737218042</v>
      </c>
      <c r="BK80" s="213" t="n">
        <f aca="false">'SVC-3 Model'!BK76</f>
        <v>0.691806737218042</v>
      </c>
      <c r="BL80" s="213" t="n">
        <f aca="false">'SVC-3 Model'!BL76</f>
        <v>0.691806737218042</v>
      </c>
      <c r="BM80" s="213" t="n">
        <f aca="false">'SVC-3 Model'!BM76</f>
        <v>0.691806737218042</v>
      </c>
      <c r="BN80" s="213" t="n">
        <f aca="false">'SVC-3 Model'!BN76</f>
        <v>0.691806737218042</v>
      </c>
      <c r="BO80" s="215" t="n">
        <f aca="false">'SVC-3 Model'!BO76</f>
        <v>0.691806737218042</v>
      </c>
      <c r="BP80" s="216" t="n">
        <f aca="false">'SVC-3 Model'!BP76</f>
        <v>0.691806737218042</v>
      </c>
      <c r="BQ80" s="213" t="n">
        <f aca="false">'SVC-3 Model'!BQ76</f>
        <v>0.691806737218042</v>
      </c>
      <c r="BR80" s="213" t="n">
        <f aca="false">'SVC-3 Model'!BR76</f>
        <v>0.691806737218042</v>
      </c>
      <c r="BS80" s="213" t="n">
        <f aca="false">'SVC-3 Model'!BS76</f>
        <v>0.691806737218042</v>
      </c>
      <c r="BT80" s="213" t="n">
        <f aca="false">'SVC-3 Model'!BT76</f>
        <v>0.691806737218042</v>
      </c>
      <c r="BU80" s="213" t="n">
        <f aca="false">'SVC-3 Model'!BU76</f>
        <v>0.691806737218042</v>
      </c>
      <c r="BV80" s="213" t="n">
        <f aca="false">'SVC-3 Model'!BV76</f>
        <v>0.691806737218042</v>
      </c>
      <c r="BW80" s="213" t="n">
        <f aca="false">'SVC-3 Model'!BW76</f>
        <v>0.691806737218042</v>
      </c>
      <c r="BX80" s="213" t="n">
        <f aca="false">'SVC-3 Model'!BX76</f>
        <v>0.691806737218042</v>
      </c>
      <c r="BY80" s="213" t="n">
        <f aca="false">'SVC-3 Model'!BY76</f>
        <v>0.691806737218042</v>
      </c>
      <c r="BZ80" s="213" t="n">
        <f aca="false">'SVC-3 Model'!BZ76</f>
        <v>0.691806737218042</v>
      </c>
      <c r="CA80" s="213" t="n">
        <f aca="false">'SVC-3 Model'!CA76</f>
        <v>0.691806737218042</v>
      </c>
      <c r="CC80" s="79" t="n">
        <f aca="false">SUMIFS($T80:$CA80, $T$1:$CA$1, CC$63)</f>
        <v>0</v>
      </c>
      <c r="CD80" s="79" t="n">
        <f aca="false">SUMIFS($T80:$CA80, $T$1:$CA$1, CD$63)</f>
        <v>0.691806737218042</v>
      </c>
      <c r="CE80" s="79" t="n">
        <f aca="false">SUMIFS($T80:$CA80, $T$1:$CA$1, CE$63)</f>
        <v>7.60987410939846</v>
      </c>
      <c r="CF80" s="79" t="n">
        <f aca="false">SUMIFS($T80:$CA80, $T$1:$CA$1, CF$63)</f>
        <v>8.30168084661651</v>
      </c>
      <c r="CG80" s="79" t="n">
        <f aca="false">SUMIFS($T80:$CA80, $T$1:$CA$1, CG$63)</f>
        <v>8.30168084661651</v>
      </c>
      <c r="CI80" s="79" t="n">
        <f aca="false">CC80=L80</f>
        <v>1</v>
      </c>
      <c r="CJ80" s="79" t="n">
        <f aca="false">CD80=M80</f>
        <v>1</v>
      </c>
      <c r="CK80" s="79" t="n">
        <f aca="false">CE80=N80</f>
        <v>1</v>
      </c>
      <c r="CL80" s="79" t="n">
        <f aca="false">CF80=O80</f>
        <v>1</v>
      </c>
      <c r="CM80" s="79" t="n">
        <f aca="false">CG80=P80</f>
        <v>1</v>
      </c>
    </row>
    <row r="81" s="14" customFormat="true" ht="16.5" hidden="false" customHeight="true" outlineLevel="0" collapsed="false">
      <c r="E81" s="91"/>
      <c r="H81" s="71"/>
      <c r="I81" s="91" t="n">
        <v>0</v>
      </c>
      <c r="J81" s="91" t="n">
        <v>0</v>
      </c>
      <c r="K81" s="212" t="n">
        <f aca="false">I81-J81</f>
        <v>0</v>
      </c>
      <c r="L81" s="91"/>
      <c r="M81" s="91"/>
      <c r="N81" s="91"/>
      <c r="O81" s="91"/>
      <c r="P81" s="91"/>
      <c r="Q81" s="93"/>
      <c r="R81" s="16" t="str">
        <f aca="false">IF(K81=P81, "", "Error")</f>
        <v/>
      </c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4"/>
      <c r="AF81" s="95"/>
      <c r="AG81" s="91"/>
      <c r="AH81" s="91"/>
      <c r="AI81" s="91"/>
      <c r="AJ81" s="91"/>
      <c r="AK81" s="91"/>
      <c r="AL81" s="91"/>
      <c r="AM81" s="91"/>
      <c r="AN81" s="91"/>
      <c r="AO81" s="91"/>
      <c r="AP81" s="91"/>
      <c r="AQ81" s="94"/>
      <c r="AR81" s="95"/>
      <c r="AS81" s="91"/>
      <c r="AT81" s="91"/>
      <c r="AU81" s="91"/>
      <c r="AV81" s="91"/>
      <c r="AW81" s="91"/>
      <c r="AX81" s="91"/>
      <c r="AY81" s="91"/>
      <c r="AZ81" s="91"/>
      <c r="BA81" s="91"/>
      <c r="BB81" s="91"/>
      <c r="BC81" s="94"/>
      <c r="BD81" s="95"/>
      <c r="BE81" s="91"/>
      <c r="BF81" s="91"/>
      <c r="BG81" s="91"/>
      <c r="BH81" s="91"/>
      <c r="BI81" s="91"/>
      <c r="BJ81" s="91"/>
      <c r="BK81" s="91"/>
      <c r="BL81" s="91"/>
      <c r="BM81" s="91"/>
      <c r="BN81" s="91"/>
      <c r="BO81" s="94"/>
      <c r="BP81" s="95"/>
      <c r="BQ81" s="91"/>
      <c r="BR81" s="91"/>
      <c r="BS81" s="91"/>
      <c r="BT81" s="91"/>
      <c r="BU81" s="91"/>
      <c r="BV81" s="91"/>
      <c r="BW81" s="91"/>
      <c r="BX81" s="91"/>
      <c r="BY81" s="91"/>
      <c r="BZ81" s="91"/>
      <c r="CA81" s="91"/>
      <c r="CC81" s="79" t="n">
        <f aca="false">SUMIFS($T81:$CA81, $T$1:$CA$1, CC$63)</f>
        <v>0</v>
      </c>
      <c r="CD81" s="79" t="n">
        <f aca="false">SUMIFS($T81:$CA81, $T$1:$CA$1, CD$63)</f>
        <v>0</v>
      </c>
      <c r="CE81" s="79" t="n">
        <f aca="false">SUMIFS($T81:$CA81, $T$1:$CA$1, CE$63)</f>
        <v>0</v>
      </c>
      <c r="CF81" s="79" t="n">
        <f aca="false">SUMIFS($T81:$CA81, $T$1:$CA$1, CF$63)</f>
        <v>0</v>
      </c>
      <c r="CG81" s="79" t="n">
        <f aca="false">SUMIFS($T81:$CA81, $T$1:$CA$1, CG$63)</f>
        <v>0</v>
      </c>
      <c r="CI81" s="79" t="n">
        <f aca="false">CC81=L81</f>
        <v>1</v>
      </c>
      <c r="CJ81" s="79" t="n">
        <f aca="false">CD81=M81</f>
        <v>1</v>
      </c>
      <c r="CK81" s="79" t="n">
        <f aca="false">CE81=N81</f>
        <v>1</v>
      </c>
      <c r="CL81" s="79" t="n">
        <f aca="false">CF81=O81</f>
        <v>1</v>
      </c>
      <c r="CM81" s="79" t="n">
        <f aca="false">CG81=P81</f>
        <v>1</v>
      </c>
    </row>
    <row r="82" s="14" customFormat="true" ht="16.5" hidden="false" customHeight="true" outlineLevel="0" collapsed="false">
      <c r="E82" s="91"/>
      <c r="H82" s="71"/>
      <c r="I82" s="91" t="n">
        <v>0</v>
      </c>
      <c r="J82" s="91" t="n">
        <v>0</v>
      </c>
      <c r="K82" s="212" t="n">
        <f aca="false">I82-J82</f>
        <v>0</v>
      </c>
      <c r="L82" s="91"/>
      <c r="M82" s="91"/>
      <c r="N82" s="91"/>
      <c r="O82" s="91"/>
      <c r="P82" s="91"/>
      <c r="Q82" s="93"/>
      <c r="R82" s="16" t="str">
        <f aca="false">IF(K82=P82, "", "Error")</f>
        <v/>
      </c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4"/>
      <c r="AF82" s="95"/>
      <c r="AG82" s="91"/>
      <c r="AH82" s="91"/>
      <c r="AI82" s="91"/>
      <c r="AJ82" s="91"/>
      <c r="AK82" s="91"/>
      <c r="AL82" s="91"/>
      <c r="AM82" s="91"/>
      <c r="AN82" s="91"/>
      <c r="AO82" s="91"/>
      <c r="AP82" s="91"/>
      <c r="AQ82" s="94"/>
      <c r="AR82" s="95"/>
      <c r="AS82" s="91"/>
      <c r="AT82" s="91"/>
      <c r="AU82" s="91"/>
      <c r="AV82" s="91"/>
      <c r="AW82" s="91"/>
      <c r="AX82" s="91"/>
      <c r="AY82" s="91"/>
      <c r="AZ82" s="91"/>
      <c r="BA82" s="91"/>
      <c r="BB82" s="91"/>
      <c r="BC82" s="94"/>
      <c r="BD82" s="95"/>
      <c r="BE82" s="91"/>
      <c r="BF82" s="91"/>
      <c r="BG82" s="91"/>
      <c r="BH82" s="91"/>
      <c r="BI82" s="91"/>
      <c r="BJ82" s="91"/>
      <c r="BK82" s="91"/>
      <c r="BL82" s="91"/>
      <c r="BM82" s="91"/>
      <c r="BN82" s="91"/>
      <c r="BO82" s="94"/>
      <c r="BP82" s="95"/>
      <c r="BQ82" s="91"/>
      <c r="BR82" s="91"/>
      <c r="BS82" s="91"/>
      <c r="BT82" s="91"/>
      <c r="BU82" s="91"/>
      <c r="BV82" s="91"/>
      <c r="BW82" s="91"/>
      <c r="BX82" s="91"/>
      <c r="BY82" s="91"/>
      <c r="BZ82" s="91"/>
      <c r="CA82" s="91"/>
      <c r="CC82" s="79" t="n">
        <f aca="false">SUMIFS($T82:$CA82, $T$1:$CA$1, CC$63)</f>
        <v>0</v>
      </c>
      <c r="CD82" s="79" t="n">
        <f aca="false">SUMIFS($T82:$CA82, $T$1:$CA$1, CD$63)</f>
        <v>0</v>
      </c>
      <c r="CE82" s="79" t="n">
        <f aca="false">SUMIFS($T82:$CA82, $T$1:$CA$1, CE$63)</f>
        <v>0</v>
      </c>
      <c r="CF82" s="79" t="n">
        <f aca="false">SUMIFS($T82:$CA82, $T$1:$CA$1, CF$63)</f>
        <v>0</v>
      </c>
      <c r="CG82" s="79" t="n">
        <f aca="false">SUMIFS($T82:$CA82, $T$1:$CA$1, CG$63)</f>
        <v>0</v>
      </c>
      <c r="CI82" s="79" t="n">
        <f aca="false">CC82=L82</f>
        <v>1</v>
      </c>
      <c r="CJ82" s="79" t="n">
        <f aca="false">CD82=M82</f>
        <v>1</v>
      </c>
      <c r="CK82" s="79" t="n">
        <f aca="false">CE82=N82</f>
        <v>1</v>
      </c>
      <c r="CL82" s="79" t="n">
        <f aca="false">CF82=O82</f>
        <v>1</v>
      </c>
      <c r="CM82" s="79" t="n">
        <f aca="false">CG82=P82</f>
        <v>1</v>
      </c>
    </row>
    <row r="83" s="14" customFormat="true" ht="16.5" hidden="false" customHeight="true" outlineLevel="0" collapsed="false">
      <c r="E83" s="91"/>
      <c r="H83" s="71"/>
      <c r="I83" s="91" t="n">
        <v>0</v>
      </c>
      <c r="J83" s="91" t="n">
        <v>0</v>
      </c>
      <c r="K83" s="212" t="n">
        <f aca="false">I83-J83</f>
        <v>0</v>
      </c>
      <c r="L83" s="91"/>
      <c r="M83" s="91"/>
      <c r="N83" s="91"/>
      <c r="O83" s="91"/>
      <c r="P83" s="91"/>
      <c r="Q83" s="93"/>
      <c r="R83" s="16" t="str">
        <f aca="false">IF(K83=P83, "", "Error")</f>
        <v/>
      </c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4"/>
      <c r="AF83" s="95"/>
      <c r="AG83" s="91"/>
      <c r="AH83" s="91"/>
      <c r="AI83" s="91"/>
      <c r="AJ83" s="91"/>
      <c r="AK83" s="91"/>
      <c r="AL83" s="91"/>
      <c r="AM83" s="91"/>
      <c r="AN83" s="91"/>
      <c r="AO83" s="91"/>
      <c r="AP83" s="91"/>
      <c r="AQ83" s="94"/>
      <c r="AR83" s="95"/>
      <c r="AS83" s="91"/>
      <c r="AT83" s="91"/>
      <c r="AU83" s="91"/>
      <c r="AV83" s="91"/>
      <c r="AW83" s="91"/>
      <c r="AX83" s="91"/>
      <c r="AY83" s="91"/>
      <c r="AZ83" s="91"/>
      <c r="BA83" s="91"/>
      <c r="BB83" s="91"/>
      <c r="BC83" s="94"/>
      <c r="BD83" s="95"/>
      <c r="BE83" s="91"/>
      <c r="BF83" s="91"/>
      <c r="BG83" s="91"/>
      <c r="BH83" s="91"/>
      <c r="BI83" s="91"/>
      <c r="BJ83" s="91"/>
      <c r="BK83" s="91"/>
      <c r="BL83" s="91"/>
      <c r="BM83" s="91"/>
      <c r="BN83" s="91"/>
      <c r="BO83" s="94"/>
      <c r="BP83" s="95"/>
      <c r="BQ83" s="91"/>
      <c r="BR83" s="91"/>
      <c r="BS83" s="91"/>
      <c r="BT83" s="91"/>
      <c r="BU83" s="91"/>
      <c r="BV83" s="91"/>
      <c r="BW83" s="91"/>
      <c r="BX83" s="91"/>
      <c r="BY83" s="91"/>
      <c r="BZ83" s="91"/>
      <c r="CA83" s="91"/>
      <c r="CC83" s="79" t="n">
        <f aca="false">SUMIFS($T83:$CA83, $T$1:$CA$1, CC$63)</f>
        <v>0</v>
      </c>
      <c r="CD83" s="79" t="n">
        <f aca="false">SUMIFS($T83:$CA83, $T$1:$CA$1, CD$63)</f>
        <v>0</v>
      </c>
      <c r="CE83" s="79" t="n">
        <f aca="false">SUMIFS($T83:$CA83, $T$1:$CA$1, CE$63)</f>
        <v>0</v>
      </c>
      <c r="CF83" s="79" t="n">
        <f aca="false">SUMIFS($T83:$CA83, $T$1:$CA$1, CF$63)</f>
        <v>0</v>
      </c>
      <c r="CG83" s="79" t="n">
        <f aca="false">SUMIFS($T83:$CA83, $T$1:$CA$1, CG$63)</f>
        <v>0</v>
      </c>
      <c r="CI83" s="79" t="n">
        <f aca="false">CC83=L83</f>
        <v>1</v>
      </c>
      <c r="CJ83" s="79" t="n">
        <f aca="false">CD83=M83</f>
        <v>1</v>
      </c>
      <c r="CK83" s="79" t="n">
        <f aca="false">CE83=N83</f>
        <v>1</v>
      </c>
      <c r="CL83" s="79" t="n">
        <f aca="false">CF83=O83</f>
        <v>1</v>
      </c>
      <c r="CM83" s="79" t="n">
        <f aca="false">CG83=P83</f>
        <v>1</v>
      </c>
    </row>
    <row r="84" s="14" customFormat="true" ht="16.5" hidden="false" customHeight="true" outlineLevel="0" collapsed="false">
      <c r="E84" s="96" t="s">
        <v>143</v>
      </c>
      <c r="H84" s="71"/>
      <c r="I84" s="82" t="n">
        <f aca="false">SUM(I79:I83)</f>
        <v>229.88032233</v>
      </c>
      <c r="J84" s="82" t="n">
        <f aca="false">SUM(J79:J83)</f>
        <v>194.629582917216</v>
      </c>
      <c r="K84" s="82" t="n">
        <f aca="false">SUM(K79:K83)</f>
        <v>35.2507394127843</v>
      </c>
      <c r="L84" s="82" t="n">
        <f aca="false">SUM(L79:L83)</f>
        <v>0</v>
      </c>
      <c r="M84" s="82" t="n">
        <f aca="false">SUM(M79:M83)</f>
        <v>2.93756161773202</v>
      </c>
      <c r="N84" s="82" t="n">
        <f aca="false">SUM(N79:N83)</f>
        <v>32.3131777950523</v>
      </c>
      <c r="O84" s="82" t="n">
        <f aca="false">SUM(O79:O83)</f>
        <v>35.2507394127843</v>
      </c>
      <c r="P84" s="82" t="n">
        <f aca="false">SUM(P79:P83)</f>
        <v>35.2507394127843</v>
      </c>
      <c r="Q84" s="103"/>
      <c r="R84" s="103"/>
      <c r="S84" s="104"/>
      <c r="T84" s="82" t="n">
        <f aca="false">SUM(T79:T83)</f>
        <v>0</v>
      </c>
      <c r="U84" s="82" t="n">
        <f aca="false">SUM(U79:U83)</f>
        <v>0</v>
      </c>
      <c r="V84" s="82" t="n">
        <f aca="false">SUM(V79:V83)</f>
        <v>0</v>
      </c>
      <c r="W84" s="82" t="n">
        <f aca="false">SUM(W79:W83)</f>
        <v>0</v>
      </c>
      <c r="X84" s="82" t="n">
        <f aca="false">SUM(X79:X83)</f>
        <v>0</v>
      </c>
      <c r="Y84" s="82" t="n">
        <f aca="false">SUM(Y79:Y83)</f>
        <v>0</v>
      </c>
      <c r="Z84" s="82" t="n">
        <f aca="false">SUM(Z79:Z83)</f>
        <v>0</v>
      </c>
      <c r="AA84" s="82" t="n">
        <f aca="false">SUM(AA79:AA83)</f>
        <v>0</v>
      </c>
      <c r="AB84" s="82" t="n">
        <f aca="false">SUM(AB79:AB83)</f>
        <v>0</v>
      </c>
      <c r="AC84" s="82" t="n">
        <f aca="false">SUM(AC79:AC83)</f>
        <v>0</v>
      </c>
      <c r="AD84" s="82" t="n">
        <f aca="false">SUM(AD79:AD83)</f>
        <v>0</v>
      </c>
      <c r="AE84" s="82" t="n">
        <f aca="false">SUM(AE79:AE83)</f>
        <v>0</v>
      </c>
      <c r="AF84" s="82" t="n">
        <f aca="false">SUM(AF79:AF83)</f>
        <v>0</v>
      </c>
      <c r="AG84" s="82" t="n">
        <f aca="false">SUM(AG79:AG83)</f>
        <v>0</v>
      </c>
      <c r="AH84" s="82" t="n">
        <f aca="false">SUM(AH79:AH83)</f>
        <v>0</v>
      </c>
      <c r="AI84" s="82" t="n">
        <f aca="false">SUM(AI79:AI83)</f>
        <v>0</v>
      </c>
      <c r="AJ84" s="82" t="n">
        <f aca="false">SUM(AJ79:AJ83)</f>
        <v>0</v>
      </c>
      <c r="AK84" s="82" t="n">
        <f aca="false">SUM(AK79:AK83)</f>
        <v>0</v>
      </c>
      <c r="AL84" s="82" t="n">
        <f aca="false">SUM(AL79:AL83)</f>
        <v>0</v>
      </c>
      <c r="AM84" s="82" t="n">
        <f aca="false">SUM(AM79:AM83)</f>
        <v>0</v>
      </c>
      <c r="AN84" s="82" t="n">
        <f aca="false">SUM(AN79:AN83)</f>
        <v>0.183597601108252</v>
      </c>
      <c r="AO84" s="82" t="n">
        <f aca="false">SUM(AO79:AO83)</f>
        <v>0.550792803324755</v>
      </c>
      <c r="AP84" s="82" t="n">
        <f aca="false">SUM(AP79:AP83)</f>
        <v>0.917988005541258</v>
      </c>
      <c r="AQ84" s="82" t="n">
        <f aca="false">SUM(AQ79:AQ83)</f>
        <v>1.28518320775776</v>
      </c>
      <c r="AR84" s="82" t="n">
        <f aca="false">SUM(AR79:AR83)</f>
        <v>1.65237840997426</v>
      </c>
      <c r="AS84" s="82" t="n">
        <f aca="false">SUM(AS79:AS83)</f>
        <v>2.01957361219077</v>
      </c>
      <c r="AT84" s="82" t="n">
        <f aca="false">SUM(AT79:AT83)</f>
        <v>2.38676881440727</v>
      </c>
      <c r="AU84" s="82" t="n">
        <f aca="false">SUM(AU79:AU83)</f>
        <v>2.75396401662377</v>
      </c>
      <c r="AV84" s="82" t="n">
        <f aca="false">SUM(AV79:AV83)</f>
        <v>2.93756161773202</v>
      </c>
      <c r="AW84" s="82" t="n">
        <f aca="false">SUM(AW79:AW83)</f>
        <v>2.93756161773202</v>
      </c>
      <c r="AX84" s="82" t="n">
        <f aca="false">SUM(AX79:AX83)</f>
        <v>2.93756161773202</v>
      </c>
      <c r="AY84" s="82" t="n">
        <f aca="false">SUM(AY79:AY83)</f>
        <v>2.93756161773202</v>
      </c>
      <c r="AZ84" s="82" t="n">
        <f aca="false">SUM(AZ79:AZ83)</f>
        <v>2.93756161773202</v>
      </c>
      <c r="BA84" s="82" t="n">
        <f aca="false">SUM(BA79:BA83)</f>
        <v>2.93756161773202</v>
      </c>
      <c r="BB84" s="82" t="n">
        <f aca="false">SUM(BB79:BB83)</f>
        <v>2.93756161773202</v>
      </c>
      <c r="BC84" s="82" t="n">
        <f aca="false">SUM(BC79:BC83)</f>
        <v>2.93756161773202</v>
      </c>
      <c r="BD84" s="82" t="n">
        <f aca="false">SUM(BD79:BD83)</f>
        <v>2.93756161773202</v>
      </c>
      <c r="BE84" s="82" t="n">
        <f aca="false">SUM(BE79:BE83)</f>
        <v>2.93756161773202</v>
      </c>
      <c r="BF84" s="82" t="n">
        <f aca="false">SUM(BF79:BF83)</f>
        <v>2.93756161773202</v>
      </c>
      <c r="BG84" s="82" t="n">
        <f aca="false">SUM(BG79:BG83)</f>
        <v>2.93756161773202</v>
      </c>
      <c r="BH84" s="82" t="n">
        <f aca="false">SUM(BH79:BH83)</f>
        <v>2.93756161773202</v>
      </c>
      <c r="BI84" s="82" t="n">
        <f aca="false">SUM(BI79:BI83)</f>
        <v>2.93756161773202</v>
      </c>
      <c r="BJ84" s="82" t="n">
        <f aca="false">SUM(BJ79:BJ83)</f>
        <v>2.93756161773202</v>
      </c>
      <c r="BK84" s="82" t="n">
        <f aca="false">SUM(BK79:BK83)</f>
        <v>2.93756161773202</v>
      </c>
      <c r="BL84" s="82" t="n">
        <f aca="false">SUM(BL79:BL83)</f>
        <v>2.93756161773202</v>
      </c>
      <c r="BM84" s="82" t="n">
        <f aca="false">SUM(BM79:BM83)</f>
        <v>2.93756161773202</v>
      </c>
      <c r="BN84" s="82" t="n">
        <f aca="false">SUM(BN79:BN83)</f>
        <v>2.93756161773202</v>
      </c>
      <c r="BO84" s="82" t="n">
        <f aca="false">SUM(BO79:BO83)</f>
        <v>2.93756161773202</v>
      </c>
      <c r="BP84" s="82" t="n">
        <f aca="false">SUM(BP79:BP83)</f>
        <v>2.93756161773202</v>
      </c>
      <c r="BQ84" s="82" t="n">
        <f aca="false">SUM(BQ79:BQ83)</f>
        <v>2.93756161773202</v>
      </c>
      <c r="BR84" s="82" t="n">
        <f aca="false">SUM(BR79:BR83)</f>
        <v>2.93756161773202</v>
      </c>
      <c r="BS84" s="82" t="n">
        <f aca="false">SUM(BS79:BS83)</f>
        <v>2.93756161773202</v>
      </c>
      <c r="BT84" s="82" t="n">
        <f aca="false">SUM(BT79:BT83)</f>
        <v>2.93756161773202</v>
      </c>
      <c r="BU84" s="82" t="n">
        <f aca="false">SUM(BU79:BU83)</f>
        <v>2.93756161773202</v>
      </c>
      <c r="BV84" s="82" t="n">
        <f aca="false">SUM(BV79:BV83)</f>
        <v>2.93756161773202</v>
      </c>
      <c r="BW84" s="82" t="n">
        <f aca="false">SUM(BW79:BW83)</f>
        <v>2.93756161773202</v>
      </c>
      <c r="BX84" s="82" t="n">
        <f aca="false">SUM(BX79:BX83)</f>
        <v>2.93756161773202</v>
      </c>
      <c r="BY84" s="82" t="n">
        <f aca="false">SUM(BY79:BY83)</f>
        <v>2.93756161773202</v>
      </c>
      <c r="BZ84" s="82" t="n">
        <f aca="false">SUM(BZ79:BZ83)</f>
        <v>2.93756161773202</v>
      </c>
      <c r="CA84" s="82" t="n">
        <f aca="false">SUM(CA79:CA83)</f>
        <v>2.93756161773202</v>
      </c>
      <c r="CB84" s="104"/>
      <c r="CC84" s="105" t="n">
        <f aca="false">SUM(CC79:CC83)</f>
        <v>0</v>
      </c>
      <c r="CD84" s="105" t="n">
        <f aca="false">SUM(CD79:CD83)</f>
        <v>2.93756161773202</v>
      </c>
      <c r="CE84" s="105" t="n">
        <f aca="false">SUM(CE79:CE83)</f>
        <v>32.3131777950523</v>
      </c>
      <c r="CF84" s="105" t="n">
        <f aca="false">SUM(CF79:CF83)</f>
        <v>35.2507394127843</v>
      </c>
      <c r="CG84" s="105" t="n">
        <f aca="false">SUM(CG79:CG83)</f>
        <v>35.2507394127843</v>
      </c>
      <c r="CI84" s="84" t="n">
        <f aca="false">CC84=L84</f>
        <v>1</v>
      </c>
      <c r="CJ84" s="84" t="n">
        <f aca="false">CD84=M84</f>
        <v>1</v>
      </c>
      <c r="CK84" s="84" t="n">
        <f aca="false">CE84=N84</f>
        <v>1</v>
      </c>
      <c r="CL84" s="84" t="n">
        <f aca="false">CF84=O84</f>
        <v>1</v>
      </c>
      <c r="CM84" s="84" t="n">
        <f aca="false">CG84=P84</f>
        <v>1</v>
      </c>
    </row>
    <row r="85" s="14" customFormat="true" ht="16.5" hidden="false" customHeight="true" outlineLevel="0" collapsed="false">
      <c r="E85" s="96"/>
      <c r="H85" s="71"/>
      <c r="I85" s="82"/>
      <c r="J85" s="82"/>
      <c r="K85" s="82"/>
      <c r="L85" s="82"/>
      <c r="M85" s="82"/>
      <c r="N85" s="82"/>
      <c r="O85" s="82"/>
      <c r="P85" s="82"/>
      <c r="Q85" s="16"/>
      <c r="R85" s="16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3"/>
      <c r="AG85" s="82"/>
      <c r="AH85" s="82"/>
      <c r="AI85" s="82"/>
      <c r="AJ85" s="82"/>
      <c r="AK85" s="82"/>
      <c r="AL85" s="82"/>
      <c r="AM85" s="82"/>
      <c r="AN85" s="82"/>
      <c r="AO85" s="82"/>
      <c r="AP85" s="82"/>
      <c r="AQ85" s="82"/>
      <c r="AR85" s="83"/>
      <c r="AS85" s="82"/>
      <c r="AT85" s="82"/>
      <c r="AU85" s="82"/>
      <c r="AV85" s="82"/>
      <c r="AW85" s="82"/>
      <c r="AX85" s="82"/>
      <c r="AY85" s="82"/>
      <c r="AZ85" s="82"/>
      <c r="BA85" s="82"/>
      <c r="BB85" s="82"/>
      <c r="BC85" s="82"/>
      <c r="BD85" s="83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3"/>
      <c r="BQ85" s="82"/>
      <c r="BR85" s="82"/>
      <c r="BS85" s="82"/>
      <c r="BT85" s="82"/>
      <c r="BU85" s="82"/>
      <c r="BV85" s="82"/>
      <c r="BW85" s="82"/>
      <c r="BX85" s="82"/>
      <c r="BY85" s="82"/>
      <c r="BZ85" s="82"/>
      <c r="CA85" s="82"/>
      <c r="CC85" s="84"/>
      <c r="CD85" s="84"/>
      <c r="CE85" s="84"/>
      <c r="CF85" s="84"/>
      <c r="CG85" s="84"/>
      <c r="CI85" s="84"/>
      <c r="CJ85" s="84"/>
      <c r="CK85" s="84"/>
      <c r="CL85" s="84"/>
      <c r="CM85" s="84"/>
    </row>
    <row r="86" s="14" customFormat="true" ht="16.5" hidden="false" customHeight="true" outlineLevel="0" collapsed="false">
      <c r="E86" s="96"/>
      <c r="H86" s="71"/>
      <c r="I86" s="82"/>
      <c r="J86" s="82"/>
      <c r="K86" s="82"/>
      <c r="L86" s="82"/>
      <c r="M86" s="82"/>
      <c r="N86" s="82"/>
      <c r="O86" s="82"/>
      <c r="P86" s="82"/>
      <c r="Q86" s="16"/>
      <c r="R86" s="16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3"/>
      <c r="AG86" s="82"/>
      <c r="AH86" s="82"/>
      <c r="AI86" s="82"/>
      <c r="AJ86" s="82"/>
      <c r="AK86" s="82"/>
      <c r="AL86" s="82"/>
      <c r="AM86" s="82"/>
      <c r="AN86" s="82"/>
      <c r="AO86" s="82"/>
      <c r="AP86" s="82"/>
      <c r="AQ86" s="82"/>
      <c r="AR86" s="83"/>
      <c r="AS86" s="82"/>
      <c r="AT86" s="82"/>
      <c r="AU86" s="82"/>
      <c r="AV86" s="82"/>
      <c r="AW86" s="82"/>
      <c r="AX86" s="82"/>
      <c r="AY86" s="82"/>
      <c r="AZ86" s="82"/>
      <c r="BA86" s="82"/>
      <c r="BB86" s="82"/>
      <c r="BC86" s="82"/>
      <c r="BD86" s="83"/>
      <c r="BE86" s="82"/>
      <c r="BF86" s="82"/>
      <c r="BG86" s="82"/>
      <c r="BH86" s="82"/>
      <c r="BI86" s="82"/>
      <c r="BJ86" s="82"/>
      <c r="BK86" s="82"/>
      <c r="BL86" s="82"/>
      <c r="BM86" s="82"/>
      <c r="BN86" s="82"/>
      <c r="BO86" s="82"/>
      <c r="BP86" s="83"/>
      <c r="BQ86" s="82"/>
      <c r="BR86" s="82"/>
      <c r="BS86" s="82"/>
      <c r="BT86" s="82"/>
      <c r="BU86" s="82"/>
      <c r="BV86" s="82"/>
      <c r="BW86" s="82"/>
      <c r="BX86" s="82"/>
      <c r="BY86" s="82"/>
      <c r="BZ86" s="82"/>
      <c r="CA86" s="82"/>
      <c r="CC86" s="84"/>
      <c r="CD86" s="84"/>
      <c r="CE86" s="84"/>
      <c r="CF86" s="84"/>
      <c r="CG86" s="84"/>
      <c r="CI86" s="84"/>
      <c r="CJ86" s="84"/>
      <c r="CK86" s="84"/>
      <c r="CL86" s="84"/>
      <c r="CM86" s="84"/>
    </row>
    <row r="87" s="14" customFormat="true" ht="16.5" hidden="false" customHeight="true" outlineLevel="0" collapsed="false">
      <c r="E87" s="85"/>
      <c r="H87" s="71"/>
      <c r="I87" s="88"/>
      <c r="J87" s="88"/>
      <c r="K87" s="88"/>
      <c r="L87" s="88"/>
      <c r="M87" s="88"/>
      <c r="N87" s="88"/>
      <c r="O87" s="88"/>
      <c r="P87" s="88"/>
      <c r="Q87" s="16"/>
      <c r="R87" s="16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9"/>
      <c r="AG87" s="88"/>
      <c r="AH87" s="88"/>
      <c r="AI87" s="88"/>
      <c r="AJ87" s="88"/>
      <c r="AK87" s="88"/>
      <c r="AL87" s="88"/>
      <c r="AM87" s="88"/>
      <c r="AN87" s="88"/>
      <c r="AO87" s="88"/>
      <c r="AP87" s="88"/>
      <c r="AQ87" s="88"/>
      <c r="AR87" s="89"/>
      <c r="AS87" s="88"/>
      <c r="AT87" s="88"/>
      <c r="AU87" s="88"/>
      <c r="AV87" s="88"/>
      <c r="AW87" s="88"/>
      <c r="AX87" s="88"/>
      <c r="AY87" s="88"/>
      <c r="AZ87" s="88"/>
      <c r="BA87" s="88"/>
      <c r="BB87" s="88"/>
      <c r="BC87" s="88"/>
      <c r="BD87" s="89"/>
      <c r="BE87" s="88"/>
      <c r="BF87" s="88"/>
      <c r="BG87" s="88"/>
      <c r="BH87" s="88"/>
      <c r="BI87" s="88"/>
      <c r="BJ87" s="88"/>
      <c r="BK87" s="88"/>
      <c r="BL87" s="88"/>
      <c r="BM87" s="88"/>
      <c r="BN87" s="88"/>
      <c r="BO87" s="88"/>
      <c r="BP87" s="89"/>
      <c r="BQ87" s="88"/>
      <c r="BR87" s="88"/>
      <c r="BS87" s="88"/>
      <c r="BT87" s="88"/>
      <c r="BU87" s="88"/>
      <c r="BV87" s="88"/>
      <c r="BW87" s="88"/>
      <c r="BX87" s="88"/>
      <c r="BY87" s="88"/>
      <c r="BZ87" s="88"/>
      <c r="CA87" s="88"/>
      <c r="CC87" s="90"/>
      <c r="CD87" s="90"/>
      <c r="CE87" s="90"/>
      <c r="CF87" s="90"/>
      <c r="CG87" s="90"/>
      <c r="CI87" s="90"/>
      <c r="CJ87" s="90"/>
      <c r="CK87" s="90"/>
      <c r="CL87" s="90"/>
      <c r="CM87" s="90"/>
    </row>
    <row r="88" s="14" customFormat="true" ht="16.5" hidden="false" customHeight="true" outlineLevel="0" collapsed="false">
      <c r="E88" s="109" t="s">
        <v>144</v>
      </c>
      <c r="F88" s="109"/>
      <c r="G88" s="109"/>
      <c r="H88" s="110"/>
      <c r="I88" s="217" t="n">
        <f aca="false">SUM(I68, I76, I84)</f>
        <v>229.88032233</v>
      </c>
      <c r="J88" s="217" t="n">
        <f aca="false">SUM(J68, J76, J84)</f>
        <v>194.629582917216</v>
      </c>
      <c r="K88" s="217" t="n">
        <f aca="false">SUM(K68, K76, K84)</f>
        <v>35.2507394127843</v>
      </c>
      <c r="L88" s="217" t="n">
        <f aca="false">SUM(L68, L76, L84)</f>
        <v>0</v>
      </c>
      <c r="M88" s="217" t="n">
        <f aca="false">SUM(M68, M76, M84)</f>
        <v>2.93756161773202</v>
      </c>
      <c r="N88" s="217" t="n">
        <f aca="false">SUM(N68, N76, N84)</f>
        <v>32.3131777950523</v>
      </c>
      <c r="O88" s="217" t="n">
        <f aca="false">SUM(O68, O76, O84)</f>
        <v>35.2507394127843</v>
      </c>
      <c r="P88" s="217" t="n">
        <f aca="false">SUM(P68, P76, P84)</f>
        <v>35.2507394127843</v>
      </c>
      <c r="Q88" s="16"/>
      <c r="R88" s="16"/>
      <c r="T88" s="218" t="n">
        <f aca="false">SUM(T68, T76, T84)</f>
        <v>0</v>
      </c>
      <c r="U88" s="218" t="n">
        <f aca="false">SUM(U68, U76, U84)</f>
        <v>0</v>
      </c>
      <c r="V88" s="218" t="n">
        <f aca="false">SUM(V68, V76, V84)</f>
        <v>0</v>
      </c>
      <c r="W88" s="218" t="n">
        <f aca="false">SUM(W68, W76, W84)</f>
        <v>0</v>
      </c>
      <c r="X88" s="218" t="n">
        <f aca="false">SUM(X68, X76, X84)</f>
        <v>0</v>
      </c>
      <c r="Y88" s="218" t="n">
        <f aca="false">SUM(Y68, Y76, Y84)</f>
        <v>0</v>
      </c>
      <c r="Z88" s="218" t="n">
        <f aca="false">SUM(Z68, Z76, Z84)</f>
        <v>0</v>
      </c>
      <c r="AA88" s="218" t="n">
        <f aca="false">SUM(AA68, AA76, AA84)</f>
        <v>0</v>
      </c>
      <c r="AB88" s="218" t="n">
        <f aca="false">SUM(AB68, AB76, AB84)</f>
        <v>0</v>
      </c>
      <c r="AC88" s="218" t="n">
        <f aca="false">SUM(AC68, AC76, AC84)</f>
        <v>0</v>
      </c>
      <c r="AD88" s="218" t="n">
        <f aca="false">SUM(AD68, AD76, AD84)</f>
        <v>0</v>
      </c>
      <c r="AE88" s="218" t="n">
        <f aca="false">SUM(AE68, AE76, AE84)</f>
        <v>0</v>
      </c>
      <c r="AF88" s="218" t="n">
        <f aca="false">SUM(AF68, AF76, AF84)</f>
        <v>0</v>
      </c>
      <c r="AG88" s="218" t="n">
        <f aca="false">SUM(AG68, AG76, AG84)</f>
        <v>0</v>
      </c>
      <c r="AH88" s="218" t="n">
        <f aca="false">SUM(AH68, AH76, AH84)</f>
        <v>0</v>
      </c>
      <c r="AI88" s="218" t="n">
        <f aca="false">SUM(AI68, AI76, AI84)</f>
        <v>0</v>
      </c>
      <c r="AJ88" s="218" t="n">
        <f aca="false">SUM(AJ68, AJ76, AJ84)</f>
        <v>0</v>
      </c>
      <c r="AK88" s="218" t="n">
        <f aca="false">SUM(AK68, AK76, AK84)</f>
        <v>0</v>
      </c>
      <c r="AL88" s="218" t="n">
        <f aca="false">SUM(AL68, AL76, AL84)</f>
        <v>0</v>
      </c>
      <c r="AM88" s="218" t="n">
        <f aca="false">SUM(AM68, AM76, AM84)</f>
        <v>0</v>
      </c>
      <c r="AN88" s="218" t="n">
        <f aca="false">SUM(AN68, AN76, AN84)</f>
        <v>0.183597601108252</v>
      </c>
      <c r="AO88" s="218" t="n">
        <f aca="false">SUM(AO68, AO76, AO84)</f>
        <v>0.550792803324755</v>
      </c>
      <c r="AP88" s="218" t="n">
        <f aca="false">SUM(AP68, AP76, AP84)</f>
        <v>0.917988005541258</v>
      </c>
      <c r="AQ88" s="218" t="n">
        <f aca="false">SUM(AQ68, AQ76, AQ84)</f>
        <v>1.28518320775776</v>
      </c>
      <c r="AR88" s="218" t="n">
        <f aca="false">SUM(AR68, AR76, AR84)</f>
        <v>1.65237840997426</v>
      </c>
      <c r="AS88" s="218" t="n">
        <f aca="false">SUM(AS68, AS76, AS84)</f>
        <v>2.01957361219077</v>
      </c>
      <c r="AT88" s="218" t="n">
        <f aca="false">SUM(AT68, AT76, AT84)</f>
        <v>2.38676881440727</v>
      </c>
      <c r="AU88" s="218" t="n">
        <f aca="false">SUM(AU68, AU76, AU84)</f>
        <v>2.75396401662377</v>
      </c>
      <c r="AV88" s="218" t="n">
        <f aca="false">SUM(AV68, AV76, AV84)</f>
        <v>2.93756161773202</v>
      </c>
      <c r="AW88" s="218" t="n">
        <f aca="false">SUM(AW68, AW76, AW84)</f>
        <v>2.93756161773202</v>
      </c>
      <c r="AX88" s="218" t="n">
        <f aca="false">SUM(AX68, AX76, AX84)</f>
        <v>2.93756161773202</v>
      </c>
      <c r="AY88" s="218" t="n">
        <f aca="false">SUM(AY68, AY76, AY84)</f>
        <v>2.93756161773202</v>
      </c>
      <c r="AZ88" s="218" t="n">
        <f aca="false">SUM(AZ68, AZ76, AZ84)</f>
        <v>2.93756161773202</v>
      </c>
      <c r="BA88" s="218" t="n">
        <f aca="false">SUM(BA68, BA76, BA84)</f>
        <v>2.93756161773202</v>
      </c>
      <c r="BB88" s="218" t="n">
        <f aca="false">SUM(BB68, BB76, BB84)</f>
        <v>2.93756161773202</v>
      </c>
      <c r="BC88" s="218" t="n">
        <f aca="false">SUM(BC68, BC76, BC84)</f>
        <v>2.93756161773202</v>
      </c>
      <c r="BD88" s="218" t="n">
        <f aca="false">SUM(BD68, BD76, BD84)</f>
        <v>2.93756161773202</v>
      </c>
      <c r="BE88" s="218" t="n">
        <f aca="false">SUM(BE68, BE76, BE84)</f>
        <v>2.93756161773202</v>
      </c>
      <c r="BF88" s="218" t="n">
        <f aca="false">SUM(BF68, BF76, BF84)</f>
        <v>2.93756161773202</v>
      </c>
      <c r="BG88" s="218" t="n">
        <f aca="false">SUM(BG68, BG76, BG84)</f>
        <v>2.93756161773202</v>
      </c>
      <c r="BH88" s="218" t="n">
        <f aca="false">SUM(BH68, BH76, BH84)</f>
        <v>2.93756161773202</v>
      </c>
      <c r="BI88" s="218" t="n">
        <f aca="false">SUM(BI68, BI76, BI84)</f>
        <v>2.93756161773202</v>
      </c>
      <c r="BJ88" s="218" t="n">
        <f aca="false">SUM(BJ68, BJ76, BJ84)</f>
        <v>2.93756161773202</v>
      </c>
      <c r="BK88" s="218" t="n">
        <f aca="false">SUM(BK68, BK76, BK84)</f>
        <v>2.93756161773202</v>
      </c>
      <c r="BL88" s="218" t="n">
        <f aca="false">SUM(BL68, BL76, BL84)</f>
        <v>2.93756161773202</v>
      </c>
      <c r="BM88" s="218" t="n">
        <f aca="false">SUM(BM68, BM76, BM84)</f>
        <v>2.93756161773202</v>
      </c>
      <c r="BN88" s="218" t="n">
        <f aca="false">SUM(BN68, BN76, BN84)</f>
        <v>2.93756161773202</v>
      </c>
      <c r="BO88" s="218" t="n">
        <f aca="false">SUM(BO68, BO76, BO84)</f>
        <v>2.93756161773202</v>
      </c>
      <c r="BP88" s="218" t="n">
        <f aca="false">SUM(BP68, BP76, BP84)</f>
        <v>2.93756161773202</v>
      </c>
      <c r="BQ88" s="218" t="n">
        <f aca="false">SUM(BQ68, BQ76, BQ84)</f>
        <v>2.93756161773202</v>
      </c>
      <c r="BR88" s="218" t="n">
        <f aca="false">SUM(BR68, BR76, BR84)</f>
        <v>2.93756161773202</v>
      </c>
      <c r="BS88" s="218" t="n">
        <f aca="false">SUM(BS68, BS76, BS84)</f>
        <v>2.93756161773202</v>
      </c>
      <c r="BT88" s="218" t="n">
        <f aca="false">SUM(BT68, BT76, BT84)</f>
        <v>2.93756161773202</v>
      </c>
      <c r="BU88" s="218" t="n">
        <f aca="false">SUM(BU68, BU76, BU84)</f>
        <v>2.93756161773202</v>
      </c>
      <c r="BV88" s="218" t="n">
        <f aca="false">SUM(BV68, BV76, BV84)</f>
        <v>2.93756161773202</v>
      </c>
      <c r="BW88" s="218" t="n">
        <f aca="false">SUM(BW68, BW76, BW84)</f>
        <v>2.93756161773202</v>
      </c>
      <c r="BX88" s="218" t="n">
        <f aca="false">SUM(BX68, BX76, BX84)</f>
        <v>2.93756161773202</v>
      </c>
      <c r="BY88" s="218" t="n">
        <f aca="false">SUM(BY68, BY76, BY84)</f>
        <v>2.93756161773202</v>
      </c>
      <c r="BZ88" s="218" t="n">
        <f aca="false">SUM(BZ68, BZ76, BZ84)</f>
        <v>2.93756161773202</v>
      </c>
      <c r="CA88" s="218" t="n">
        <f aca="false">SUM(CA68, CA76, CA84)</f>
        <v>2.93756161773202</v>
      </c>
      <c r="CC88" s="112" t="n">
        <f aca="false">SUM(CC68, CC76, CC84)</f>
        <v>0</v>
      </c>
      <c r="CD88" s="112" t="n">
        <f aca="false">SUM(CD68, CD76, CD84)</f>
        <v>2.93756161773202</v>
      </c>
      <c r="CE88" s="112" t="n">
        <f aca="false">SUM(CE68, CE76, CE84)</f>
        <v>32.3131777950523</v>
      </c>
      <c r="CF88" s="112" t="n">
        <f aca="false">SUM(CF68, CF76, CF84)</f>
        <v>35.2507394127843</v>
      </c>
      <c r="CG88" s="112" t="n">
        <f aca="false">SUM(CG68, CG76, CG84)</f>
        <v>35.2507394127843</v>
      </c>
      <c r="CH88" s="112" t="n">
        <f aca="false">SUM(CH68, CH76, CH84)</f>
        <v>0</v>
      </c>
      <c r="CI88" s="113" t="n">
        <f aca="false">CC88=L88</f>
        <v>1</v>
      </c>
      <c r="CJ88" s="113" t="n">
        <f aca="false">CD88=M88</f>
        <v>1</v>
      </c>
      <c r="CK88" s="113" t="n">
        <f aca="false">CE88=N88</f>
        <v>1</v>
      </c>
      <c r="CL88" s="113" t="n">
        <f aca="false">CF88=O88</f>
        <v>1</v>
      </c>
      <c r="CM88" s="113" t="n">
        <f aca="false">CG88=P88</f>
        <v>1</v>
      </c>
    </row>
    <row r="89" s="14" customFormat="true" ht="16.5" hidden="false" customHeight="true" outlineLevel="0" collapsed="false">
      <c r="H89" s="29"/>
      <c r="Q89" s="16"/>
      <c r="R89" s="16"/>
    </row>
    <row r="90" s="14" customFormat="true" ht="16.5" hidden="false" customHeight="true" outlineLevel="0" collapsed="false">
      <c r="H90" s="29"/>
      <c r="Q90" s="16"/>
      <c r="R90" s="16"/>
      <c r="T90" s="62" t="n">
        <v>2026</v>
      </c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62" t="n">
        <v>2027</v>
      </c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62" t="n">
        <v>2028</v>
      </c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62" t="n">
        <v>2029</v>
      </c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62" t="n">
        <v>2030</v>
      </c>
      <c r="BQ90" s="130"/>
      <c r="BR90" s="130"/>
      <c r="BS90" s="130"/>
      <c r="BT90" s="130"/>
      <c r="BU90" s="130"/>
      <c r="BV90" s="130"/>
      <c r="BW90" s="130"/>
      <c r="BX90" s="130"/>
      <c r="BY90" s="130"/>
      <c r="BZ90" s="130"/>
      <c r="CA90" s="130"/>
      <c r="CI90" s="211" t="s">
        <v>426</v>
      </c>
      <c r="CJ90" s="211"/>
      <c r="CK90" s="211"/>
      <c r="CL90" s="211"/>
      <c r="CM90" s="211"/>
    </row>
    <row r="91" s="14" customFormat="true" ht="16.5" hidden="false" customHeight="true" outlineLevel="0" collapsed="false">
      <c r="D91" s="30" t="s">
        <v>145</v>
      </c>
      <c r="E91" s="31"/>
      <c r="F91" s="31"/>
      <c r="G91" s="31"/>
      <c r="H91" s="219" t="s">
        <v>130</v>
      </c>
      <c r="I91" s="31" t="s">
        <v>77</v>
      </c>
      <c r="J91" s="31" t="s">
        <v>104</v>
      </c>
      <c r="K91" s="31" t="s">
        <v>131</v>
      </c>
      <c r="L91" s="31" t="n">
        <v>2026</v>
      </c>
      <c r="M91" s="31" t="n">
        <f aca="false">L91+1</f>
        <v>2027</v>
      </c>
      <c r="N91" s="31" t="n">
        <f aca="false">M91+1</f>
        <v>2028</v>
      </c>
      <c r="O91" s="31" t="n">
        <f aca="false">N91+1</f>
        <v>2029</v>
      </c>
      <c r="P91" s="31" t="n">
        <f aca="false">O91+1</f>
        <v>2030</v>
      </c>
      <c r="Q91" s="31" t="s">
        <v>132</v>
      </c>
      <c r="R91" s="31" t="s">
        <v>75</v>
      </c>
      <c r="T91" s="59" t="n">
        <v>46023</v>
      </c>
      <c r="U91" s="60" t="n">
        <f aca="false">EOMONTH(T91, 1)</f>
        <v>46081</v>
      </c>
      <c r="V91" s="60" t="n">
        <f aca="false">EOMONTH(U91, 1)</f>
        <v>46112</v>
      </c>
      <c r="W91" s="60" t="n">
        <f aca="false">EOMONTH(V91, 1)</f>
        <v>46142</v>
      </c>
      <c r="X91" s="60" t="n">
        <f aca="false">EOMONTH(W91, 1)</f>
        <v>46173</v>
      </c>
      <c r="Y91" s="60" t="n">
        <f aca="false">EOMONTH(X91, 1)</f>
        <v>46203</v>
      </c>
      <c r="Z91" s="60" t="n">
        <f aca="false">EOMONTH(Y91, 1)</f>
        <v>46234</v>
      </c>
      <c r="AA91" s="60" t="n">
        <f aca="false">EOMONTH(Z91, 1)</f>
        <v>46265</v>
      </c>
      <c r="AB91" s="60" t="n">
        <f aca="false">EOMONTH(AA91, 1)</f>
        <v>46295</v>
      </c>
      <c r="AC91" s="60" t="n">
        <f aca="false">EOMONTH(AB91, 1)</f>
        <v>46326</v>
      </c>
      <c r="AD91" s="60" t="n">
        <f aca="false">EOMONTH(AC91, 1)</f>
        <v>46356</v>
      </c>
      <c r="AE91" s="61" t="n">
        <f aca="false">EOMONTH(AD91, 1)</f>
        <v>46387</v>
      </c>
      <c r="AF91" s="59" t="n">
        <f aca="false">EOMONTH(AE91, 1)</f>
        <v>46418</v>
      </c>
      <c r="AG91" s="60" t="n">
        <f aca="false">EOMONTH(AF91, 1)</f>
        <v>46446</v>
      </c>
      <c r="AH91" s="60" t="n">
        <f aca="false">EOMONTH(AG91, 1)</f>
        <v>46477</v>
      </c>
      <c r="AI91" s="60" t="n">
        <f aca="false">EOMONTH(AH91, 1)</f>
        <v>46507</v>
      </c>
      <c r="AJ91" s="60" t="n">
        <f aca="false">EOMONTH(AI91, 1)</f>
        <v>46538</v>
      </c>
      <c r="AK91" s="60" t="n">
        <f aca="false">EOMONTH(AJ91, 1)</f>
        <v>46568</v>
      </c>
      <c r="AL91" s="60" t="n">
        <f aca="false">EOMONTH(AK91, 1)</f>
        <v>46599</v>
      </c>
      <c r="AM91" s="60" t="n">
        <f aca="false">EOMONTH(AL91, 1)</f>
        <v>46630</v>
      </c>
      <c r="AN91" s="60" t="n">
        <f aca="false">EOMONTH(AM91, 1)</f>
        <v>46660</v>
      </c>
      <c r="AO91" s="60" t="n">
        <f aca="false">EOMONTH(AN91, 1)</f>
        <v>46691</v>
      </c>
      <c r="AP91" s="60" t="n">
        <f aca="false">EOMONTH(AO91, 1)</f>
        <v>46721</v>
      </c>
      <c r="AQ91" s="61" t="n">
        <f aca="false">EOMONTH(AP91, 1)</f>
        <v>46752</v>
      </c>
      <c r="AR91" s="59" t="n">
        <f aca="false">EOMONTH(AQ91, 1)</f>
        <v>46783</v>
      </c>
      <c r="AS91" s="60" t="n">
        <f aca="false">EOMONTH(AR91, 1)</f>
        <v>46812</v>
      </c>
      <c r="AT91" s="60" t="n">
        <f aca="false">EOMONTH(AS91, 1)</f>
        <v>46843</v>
      </c>
      <c r="AU91" s="60" t="n">
        <f aca="false">EOMONTH(AT91, 1)</f>
        <v>46873</v>
      </c>
      <c r="AV91" s="60" t="n">
        <f aca="false">EOMONTH(AU91, 1)</f>
        <v>46904</v>
      </c>
      <c r="AW91" s="60" t="n">
        <f aca="false">EOMONTH(AV91, 1)</f>
        <v>46934</v>
      </c>
      <c r="AX91" s="60" t="n">
        <f aca="false">EOMONTH(AW91, 1)</f>
        <v>46965</v>
      </c>
      <c r="AY91" s="60" t="n">
        <f aca="false">EOMONTH(AX91, 1)</f>
        <v>46996</v>
      </c>
      <c r="AZ91" s="60" t="n">
        <f aca="false">EOMONTH(AY91, 1)</f>
        <v>47026</v>
      </c>
      <c r="BA91" s="60" t="n">
        <f aca="false">EOMONTH(AZ91, 1)</f>
        <v>47057</v>
      </c>
      <c r="BB91" s="60" t="n">
        <f aca="false">EOMONTH(BA91, 1)</f>
        <v>47087</v>
      </c>
      <c r="BC91" s="61" t="n">
        <f aca="false">EOMONTH(BB91, 1)</f>
        <v>47118</v>
      </c>
      <c r="BD91" s="59" t="n">
        <f aca="false">EOMONTH(BC91, 1)</f>
        <v>47149</v>
      </c>
      <c r="BE91" s="60" t="n">
        <f aca="false">EOMONTH(BD91, 1)</f>
        <v>47177</v>
      </c>
      <c r="BF91" s="60" t="n">
        <f aca="false">EOMONTH(BE91, 1)</f>
        <v>47208</v>
      </c>
      <c r="BG91" s="60" t="n">
        <f aca="false">EOMONTH(BF91, 1)</f>
        <v>47238</v>
      </c>
      <c r="BH91" s="60" t="n">
        <f aca="false">EOMONTH(BG91, 1)</f>
        <v>47269</v>
      </c>
      <c r="BI91" s="60" t="n">
        <f aca="false">EOMONTH(BH91, 1)</f>
        <v>47299</v>
      </c>
      <c r="BJ91" s="60" t="n">
        <f aca="false">EOMONTH(BI91, 1)</f>
        <v>47330</v>
      </c>
      <c r="BK91" s="60" t="n">
        <f aca="false">EOMONTH(BJ91, 1)</f>
        <v>47361</v>
      </c>
      <c r="BL91" s="60" t="n">
        <f aca="false">EOMONTH(BK91, 1)</f>
        <v>47391</v>
      </c>
      <c r="BM91" s="60" t="n">
        <f aca="false">EOMONTH(BL91, 1)</f>
        <v>47422</v>
      </c>
      <c r="BN91" s="60" t="n">
        <f aca="false">EOMONTH(BM91, 1)</f>
        <v>47452</v>
      </c>
      <c r="BO91" s="61" t="n">
        <f aca="false">EOMONTH(BN91, 1)</f>
        <v>47483</v>
      </c>
      <c r="BP91" s="59" t="n">
        <f aca="false">EOMONTH(BO91, 1)</f>
        <v>47514</v>
      </c>
      <c r="BQ91" s="60" t="n">
        <f aca="false">EOMONTH(BP91, 1)</f>
        <v>47542</v>
      </c>
      <c r="BR91" s="60" t="n">
        <f aca="false">EOMONTH(BQ91, 1)</f>
        <v>47573</v>
      </c>
      <c r="BS91" s="60" t="n">
        <f aca="false">EOMONTH(BR91, 1)</f>
        <v>47603</v>
      </c>
      <c r="BT91" s="60" t="n">
        <f aca="false">EOMONTH(BS91, 1)</f>
        <v>47634</v>
      </c>
      <c r="BU91" s="60" t="n">
        <f aca="false">EOMONTH(BT91, 1)</f>
        <v>47664</v>
      </c>
      <c r="BV91" s="60" t="n">
        <f aca="false">EOMONTH(BU91, 1)</f>
        <v>47695</v>
      </c>
      <c r="BW91" s="60" t="n">
        <f aca="false">EOMONTH(BV91, 1)</f>
        <v>47726</v>
      </c>
      <c r="BX91" s="60" t="n">
        <f aca="false">EOMONTH(BW91, 1)</f>
        <v>47756</v>
      </c>
      <c r="BY91" s="60" t="n">
        <f aca="false">EOMONTH(BX91, 1)</f>
        <v>47787</v>
      </c>
      <c r="BZ91" s="60" t="n">
        <f aca="false">EOMONTH(BY91, 1)</f>
        <v>47817</v>
      </c>
      <c r="CA91" s="60" t="n">
        <f aca="false">EOMONTH(BZ91, 1)</f>
        <v>47848</v>
      </c>
      <c r="CC91" s="62" t="n">
        <v>2026</v>
      </c>
      <c r="CD91" s="62" t="n">
        <f aca="false">CC91+1</f>
        <v>2027</v>
      </c>
      <c r="CE91" s="62" t="n">
        <f aca="false">CD91+1</f>
        <v>2028</v>
      </c>
      <c r="CF91" s="62" t="n">
        <f aca="false">CE91+1</f>
        <v>2029</v>
      </c>
      <c r="CG91" s="62" t="n">
        <f aca="false">CF91+1</f>
        <v>2030</v>
      </c>
      <c r="CI91" s="62" t="n">
        <v>2026</v>
      </c>
      <c r="CJ91" s="62" t="n">
        <f aca="false">CI91+1</f>
        <v>2027</v>
      </c>
      <c r="CK91" s="62" t="n">
        <f aca="false">CJ91+1</f>
        <v>2028</v>
      </c>
      <c r="CL91" s="62" t="n">
        <f aca="false">CK91+1</f>
        <v>2029</v>
      </c>
      <c r="CM91" s="62" t="n">
        <f aca="false">CL91+1</f>
        <v>2030</v>
      </c>
    </row>
    <row r="92" s="14" customFormat="true" ht="16.5" hidden="false" customHeight="true" outlineLevel="0" collapsed="false">
      <c r="D92" s="63"/>
      <c r="E92" s="64" t="s">
        <v>102</v>
      </c>
      <c r="H92" s="29"/>
      <c r="I92" s="65" t="str">
        <f aca="false">$H$18</f>
        <v>Post-upstream levers (S2 waterfall)</v>
      </c>
      <c r="J92" s="65" t="s">
        <v>134</v>
      </c>
      <c r="K92" s="65" t="s">
        <v>135</v>
      </c>
      <c r="L92" s="66"/>
      <c r="M92" s="66"/>
      <c r="N92" s="66"/>
      <c r="O92" s="66"/>
      <c r="P92" s="66"/>
      <c r="Q92" s="16"/>
      <c r="R92" s="1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7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7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6"/>
      <c r="BD92" s="67"/>
      <c r="BE92" s="66"/>
      <c r="BF92" s="66"/>
      <c r="BG92" s="66"/>
      <c r="BH92" s="66"/>
      <c r="BI92" s="66"/>
      <c r="BJ92" s="66"/>
      <c r="BK92" s="66"/>
      <c r="BL92" s="66"/>
      <c r="BM92" s="66"/>
      <c r="BN92" s="66"/>
      <c r="BO92" s="66"/>
      <c r="BP92" s="67"/>
      <c r="BQ92" s="66"/>
      <c r="BR92" s="66"/>
      <c r="BS92" s="66"/>
      <c r="BT92" s="66"/>
      <c r="BU92" s="66"/>
      <c r="BV92" s="66"/>
      <c r="BW92" s="66"/>
      <c r="BX92" s="66"/>
      <c r="BY92" s="66"/>
      <c r="BZ92" s="66"/>
      <c r="CA92" s="66"/>
    </row>
    <row r="93" s="14" customFormat="true" ht="16.5" hidden="false" customHeight="true" outlineLevel="0" collapsed="false">
      <c r="E93" s="68" t="s">
        <v>136</v>
      </c>
      <c r="F93" s="21"/>
      <c r="G93" s="21"/>
      <c r="H93" s="29"/>
      <c r="I93" s="65"/>
      <c r="J93" s="65"/>
      <c r="K93" s="65"/>
      <c r="Q93" s="16"/>
      <c r="R93" s="16"/>
      <c r="AF93" s="69"/>
      <c r="AR93" s="69"/>
      <c r="BD93" s="69"/>
      <c r="BP93" s="69"/>
    </row>
    <row r="94" s="14" customFormat="true" ht="16.5" hidden="false" customHeight="true" outlineLevel="0" collapsed="false">
      <c r="E94" s="70"/>
      <c r="H94" s="71"/>
      <c r="I94" s="76" t="n">
        <v>0</v>
      </c>
      <c r="J94" s="76" t="n">
        <v>0</v>
      </c>
      <c r="K94" s="212" t="n">
        <f aca="false">J94-I94</f>
        <v>0</v>
      </c>
      <c r="L94" s="76"/>
      <c r="M94" s="76"/>
      <c r="N94" s="76"/>
      <c r="O94" s="76"/>
      <c r="P94" s="77"/>
      <c r="Q94" s="75"/>
      <c r="R94" s="16" t="str">
        <f aca="false">IF(K94=P94, "", "Error")</f>
        <v/>
      </c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7"/>
      <c r="AF94" s="78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7"/>
      <c r="AR94" s="78"/>
      <c r="AS94" s="76"/>
      <c r="AT94" s="76"/>
      <c r="AU94" s="76"/>
      <c r="AV94" s="76"/>
      <c r="AW94" s="76"/>
      <c r="AX94" s="76"/>
      <c r="AY94" s="76"/>
      <c r="AZ94" s="76"/>
      <c r="BA94" s="76"/>
      <c r="BB94" s="76"/>
      <c r="BC94" s="77"/>
      <c r="BD94" s="78"/>
      <c r="BE94" s="76"/>
      <c r="BF94" s="76"/>
      <c r="BG94" s="76"/>
      <c r="BH94" s="76"/>
      <c r="BI94" s="76"/>
      <c r="BJ94" s="76"/>
      <c r="BK94" s="76"/>
      <c r="BL94" s="76"/>
      <c r="BM94" s="76"/>
      <c r="BN94" s="76"/>
      <c r="BO94" s="77"/>
      <c r="BP94" s="78"/>
      <c r="BQ94" s="76"/>
      <c r="BR94" s="76"/>
      <c r="BS94" s="76"/>
      <c r="BT94" s="76"/>
      <c r="BU94" s="76"/>
      <c r="BV94" s="76"/>
      <c r="BW94" s="76"/>
      <c r="BX94" s="76"/>
      <c r="BY94" s="76"/>
      <c r="BZ94" s="76"/>
      <c r="CA94" s="76"/>
      <c r="CC94" s="79" t="n">
        <f aca="false">SUMIFS($T94:$CA94, $T$1:$CA$1, CC$63)</f>
        <v>0</v>
      </c>
      <c r="CD94" s="79" t="n">
        <f aca="false">SUMIFS($T94:$CA94, $T$1:$CA$1, CD$63)</f>
        <v>0</v>
      </c>
      <c r="CE94" s="79" t="n">
        <f aca="false">SUMIFS($T94:$CA94, $T$1:$CA$1, CE$63)</f>
        <v>0</v>
      </c>
      <c r="CF94" s="79" t="n">
        <f aca="false">SUMIFS($T94:$CA94, $T$1:$CA$1, CF$63)</f>
        <v>0</v>
      </c>
      <c r="CG94" s="79" t="n">
        <f aca="false">SUMIFS($T94:$CA94, $T$1:$CA$1, CG$63)</f>
        <v>0</v>
      </c>
      <c r="CI94" s="79" t="n">
        <f aca="false">CC94=L94</f>
        <v>1</v>
      </c>
      <c r="CJ94" s="79" t="n">
        <f aca="false">CD94=M94</f>
        <v>1</v>
      </c>
      <c r="CK94" s="79" t="n">
        <f aca="false">CE94=N94</f>
        <v>1</v>
      </c>
      <c r="CL94" s="79" t="n">
        <f aca="false">CF94=O94</f>
        <v>1</v>
      </c>
      <c r="CM94" s="79" t="n">
        <f aca="false">CG94=P94</f>
        <v>1</v>
      </c>
    </row>
    <row r="95" s="14" customFormat="true" ht="16.5" hidden="false" customHeight="true" outlineLevel="0" collapsed="false">
      <c r="E95" s="70"/>
      <c r="H95" s="71"/>
      <c r="I95" s="76" t="n">
        <v>0</v>
      </c>
      <c r="J95" s="76" t="n">
        <v>0</v>
      </c>
      <c r="K95" s="212" t="n">
        <f aca="false">J95-I95</f>
        <v>0</v>
      </c>
      <c r="L95" s="76"/>
      <c r="M95" s="76"/>
      <c r="N95" s="76"/>
      <c r="O95" s="76"/>
      <c r="P95" s="77"/>
      <c r="Q95" s="75"/>
      <c r="R95" s="16" t="str">
        <f aca="false">IF(K95=P95, "", "Error")</f>
        <v/>
      </c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7"/>
      <c r="AF95" s="78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7"/>
      <c r="AR95" s="78"/>
      <c r="AS95" s="76"/>
      <c r="AT95" s="76"/>
      <c r="AU95" s="76"/>
      <c r="AV95" s="76"/>
      <c r="AW95" s="76"/>
      <c r="AX95" s="76"/>
      <c r="AY95" s="76"/>
      <c r="AZ95" s="76"/>
      <c r="BA95" s="76"/>
      <c r="BB95" s="76"/>
      <c r="BC95" s="77"/>
      <c r="BD95" s="78"/>
      <c r="BE95" s="76"/>
      <c r="BF95" s="76"/>
      <c r="BG95" s="76"/>
      <c r="BH95" s="76"/>
      <c r="BI95" s="76"/>
      <c r="BJ95" s="76"/>
      <c r="BK95" s="76"/>
      <c r="BL95" s="76"/>
      <c r="BM95" s="76"/>
      <c r="BN95" s="76"/>
      <c r="BO95" s="77"/>
      <c r="BP95" s="78"/>
      <c r="BQ95" s="76"/>
      <c r="BR95" s="76"/>
      <c r="BS95" s="76"/>
      <c r="BT95" s="76"/>
      <c r="BU95" s="76"/>
      <c r="BV95" s="76"/>
      <c r="BW95" s="76"/>
      <c r="BX95" s="76"/>
      <c r="BY95" s="76"/>
      <c r="BZ95" s="76"/>
      <c r="CA95" s="76"/>
      <c r="CC95" s="79" t="n">
        <f aca="false">SUMIFS($T95:$CA95, $T$1:$CA$1, CC$63)</f>
        <v>0</v>
      </c>
      <c r="CD95" s="79" t="n">
        <f aca="false">SUMIFS($T95:$CA95, $T$1:$CA$1, CD$63)</f>
        <v>0</v>
      </c>
      <c r="CE95" s="79" t="n">
        <f aca="false">SUMIFS($T95:$CA95, $T$1:$CA$1, CE$63)</f>
        <v>0</v>
      </c>
      <c r="CF95" s="79" t="n">
        <f aca="false">SUMIFS($T95:$CA95, $T$1:$CA$1, CF$63)</f>
        <v>0</v>
      </c>
      <c r="CG95" s="79" t="n">
        <f aca="false">SUMIFS($T95:$CA95, $T$1:$CA$1, CG$63)</f>
        <v>0</v>
      </c>
      <c r="CI95" s="79" t="n">
        <f aca="false">CC95=L95</f>
        <v>1</v>
      </c>
      <c r="CJ95" s="79" t="n">
        <f aca="false">CD95=M95</f>
        <v>1</v>
      </c>
      <c r="CK95" s="79" t="n">
        <f aca="false">CE95=N95</f>
        <v>1</v>
      </c>
      <c r="CL95" s="79" t="n">
        <f aca="false">CF95=O95</f>
        <v>1</v>
      </c>
      <c r="CM95" s="79" t="n">
        <f aca="false">CG95=P95</f>
        <v>1</v>
      </c>
    </row>
    <row r="96" s="14" customFormat="true" ht="16.5" hidden="false" customHeight="true" outlineLevel="0" collapsed="false">
      <c r="E96" s="80" t="s">
        <v>137</v>
      </c>
      <c r="H96" s="29"/>
      <c r="I96" s="82" t="n">
        <f aca="false">SUM(I94:I95)</f>
        <v>0</v>
      </c>
      <c r="J96" s="82" t="n">
        <f aca="false">SUM(J94:J95)</f>
        <v>0</v>
      </c>
      <c r="K96" s="82" t="n">
        <f aca="false">SUM(K94:K95)</f>
        <v>0</v>
      </c>
      <c r="L96" s="82" t="n">
        <f aca="false">SUM(L94:L95)</f>
        <v>0</v>
      </c>
      <c r="M96" s="82" t="n">
        <f aca="false">SUM(M94:M95)</f>
        <v>0</v>
      </c>
      <c r="N96" s="82" t="n">
        <f aca="false">SUM(N94:N95)</f>
        <v>0</v>
      </c>
      <c r="O96" s="82" t="n">
        <f aca="false">SUM(O94:O95)</f>
        <v>0</v>
      </c>
      <c r="P96" s="82" t="n">
        <f aca="false">SUM(P94:P95)</f>
        <v>0</v>
      </c>
      <c r="Q96" s="16"/>
      <c r="R96" s="16"/>
      <c r="T96" s="82" t="n">
        <f aca="false">SUM(T94:T95)</f>
        <v>0</v>
      </c>
      <c r="U96" s="82" t="n">
        <f aca="false">SUM(U94:U95)</f>
        <v>0</v>
      </c>
      <c r="V96" s="82" t="n">
        <f aca="false">SUM(V94:V95)</f>
        <v>0</v>
      </c>
      <c r="W96" s="82" t="n">
        <f aca="false">SUM(W94:W95)</f>
        <v>0</v>
      </c>
      <c r="X96" s="82" t="n">
        <f aca="false">SUM(X94:X95)</f>
        <v>0</v>
      </c>
      <c r="Y96" s="82" t="n">
        <f aca="false">SUM(Y94:Y95)</f>
        <v>0</v>
      </c>
      <c r="Z96" s="82" t="n">
        <f aca="false">SUM(Z94:Z95)</f>
        <v>0</v>
      </c>
      <c r="AA96" s="82" t="n">
        <f aca="false">SUM(AA94:AA95)</f>
        <v>0</v>
      </c>
      <c r="AB96" s="82" t="n">
        <f aca="false">SUM(AB94:AB95)</f>
        <v>0</v>
      </c>
      <c r="AC96" s="82" t="n">
        <f aca="false">SUM(AC94:AC95)</f>
        <v>0</v>
      </c>
      <c r="AD96" s="82" t="n">
        <f aca="false">SUM(AD94:AD95)</f>
        <v>0</v>
      </c>
      <c r="AE96" s="82" t="n">
        <f aca="false">SUM(AE94:AE95)</f>
        <v>0</v>
      </c>
      <c r="AF96" s="83" t="n">
        <f aca="false">SUM(AF94:AF95)</f>
        <v>0</v>
      </c>
      <c r="AG96" s="82" t="n">
        <f aca="false">SUM(AG94:AG95)</f>
        <v>0</v>
      </c>
      <c r="AH96" s="82" t="n">
        <f aca="false">SUM(AH94:AH95)</f>
        <v>0</v>
      </c>
      <c r="AI96" s="82" t="n">
        <f aca="false">SUM(AI94:AI95)</f>
        <v>0</v>
      </c>
      <c r="AJ96" s="82" t="n">
        <f aca="false">SUM(AJ94:AJ95)</f>
        <v>0</v>
      </c>
      <c r="AK96" s="82" t="n">
        <f aca="false">SUM(AK94:AK95)</f>
        <v>0</v>
      </c>
      <c r="AL96" s="82" t="n">
        <f aca="false">SUM(AL94:AL95)</f>
        <v>0</v>
      </c>
      <c r="AM96" s="82" t="n">
        <f aca="false">SUM(AM94:AM95)</f>
        <v>0</v>
      </c>
      <c r="AN96" s="82" t="n">
        <f aca="false">SUM(AN94:AN95)</f>
        <v>0</v>
      </c>
      <c r="AO96" s="82" t="n">
        <f aca="false">SUM(AO94:AO95)</f>
        <v>0</v>
      </c>
      <c r="AP96" s="82" t="n">
        <f aca="false">SUM(AP94:AP95)</f>
        <v>0</v>
      </c>
      <c r="AQ96" s="82" t="n">
        <f aca="false">SUM(AQ94:AQ95)</f>
        <v>0</v>
      </c>
      <c r="AR96" s="83" t="n">
        <f aca="false">SUM(AR94:AR95)</f>
        <v>0</v>
      </c>
      <c r="AS96" s="82" t="n">
        <f aca="false">SUM(AS94:AS95)</f>
        <v>0</v>
      </c>
      <c r="AT96" s="82" t="n">
        <f aca="false">SUM(AT94:AT95)</f>
        <v>0</v>
      </c>
      <c r="AU96" s="82" t="n">
        <f aca="false">SUM(AU94:AU95)</f>
        <v>0</v>
      </c>
      <c r="AV96" s="82" t="n">
        <f aca="false">SUM(AV94:AV95)</f>
        <v>0</v>
      </c>
      <c r="AW96" s="82" t="n">
        <f aca="false">SUM(AW94:AW95)</f>
        <v>0</v>
      </c>
      <c r="AX96" s="82" t="n">
        <f aca="false">SUM(AX94:AX95)</f>
        <v>0</v>
      </c>
      <c r="AY96" s="82" t="n">
        <f aca="false">SUM(AY94:AY95)</f>
        <v>0</v>
      </c>
      <c r="AZ96" s="82" t="n">
        <f aca="false">SUM(AZ94:AZ95)</f>
        <v>0</v>
      </c>
      <c r="BA96" s="82" t="n">
        <f aca="false">SUM(BA94:BA95)</f>
        <v>0</v>
      </c>
      <c r="BB96" s="82" t="n">
        <f aca="false">SUM(BB94:BB95)</f>
        <v>0</v>
      </c>
      <c r="BC96" s="82" t="n">
        <f aca="false">SUM(BC94:BC95)</f>
        <v>0</v>
      </c>
      <c r="BD96" s="83" t="n">
        <f aca="false">SUM(BD94:BD95)</f>
        <v>0</v>
      </c>
      <c r="BE96" s="82" t="n">
        <f aca="false">SUM(BE94:BE95)</f>
        <v>0</v>
      </c>
      <c r="BF96" s="82" t="n">
        <f aca="false">SUM(BF94:BF95)</f>
        <v>0</v>
      </c>
      <c r="BG96" s="82" t="n">
        <f aca="false">SUM(BG94:BG95)</f>
        <v>0</v>
      </c>
      <c r="BH96" s="82" t="n">
        <f aca="false">SUM(BH94:BH95)</f>
        <v>0</v>
      </c>
      <c r="BI96" s="82" t="n">
        <f aca="false">SUM(BI94:BI95)</f>
        <v>0</v>
      </c>
      <c r="BJ96" s="82" t="n">
        <f aca="false">SUM(BJ94:BJ95)</f>
        <v>0</v>
      </c>
      <c r="BK96" s="82" t="n">
        <f aca="false">SUM(BK94:BK95)</f>
        <v>0</v>
      </c>
      <c r="BL96" s="82" t="n">
        <f aca="false">SUM(BL94:BL95)</f>
        <v>0</v>
      </c>
      <c r="BM96" s="82" t="n">
        <f aca="false">SUM(BM94:BM95)</f>
        <v>0</v>
      </c>
      <c r="BN96" s="82" t="n">
        <f aca="false">SUM(BN94:BN95)</f>
        <v>0</v>
      </c>
      <c r="BO96" s="82" t="n">
        <f aca="false">SUM(BO94:BO95)</f>
        <v>0</v>
      </c>
      <c r="BP96" s="83" t="n">
        <f aca="false">SUM(BP94:BP95)</f>
        <v>0</v>
      </c>
      <c r="BQ96" s="82" t="n">
        <f aca="false">SUM(BQ94:BQ95)</f>
        <v>0</v>
      </c>
      <c r="BR96" s="82" t="n">
        <f aca="false">SUM(BR94:BR95)</f>
        <v>0</v>
      </c>
      <c r="BS96" s="82" t="n">
        <f aca="false">SUM(BS94:BS95)</f>
        <v>0</v>
      </c>
      <c r="BT96" s="82" t="n">
        <f aca="false">SUM(BT94:BT95)</f>
        <v>0</v>
      </c>
      <c r="BU96" s="82" t="n">
        <f aca="false">SUM(BU94:BU95)</f>
        <v>0</v>
      </c>
      <c r="BV96" s="82" t="n">
        <f aca="false">SUM(BV94:BV95)</f>
        <v>0</v>
      </c>
      <c r="BW96" s="82" t="n">
        <f aca="false">SUM(BW94:BW95)</f>
        <v>0</v>
      </c>
      <c r="BX96" s="82" t="n">
        <f aca="false">SUM(BX94:BX95)</f>
        <v>0</v>
      </c>
      <c r="BY96" s="82" t="n">
        <f aca="false">SUM(BY94:BY95)</f>
        <v>0</v>
      </c>
      <c r="BZ96" s="82" t="n">
        <f aca="false">SUM(BZ94:BZ95)</f>
        <v>0</v>
      </c>
      <c r="CA96" s="84" t="n">
        <f aca="false">SUM(CA94:CA95)</f>
        <v>0</v>
      </c>
      <c r="CC96" s="84" t="n">
        <f aca="false">SUM(CC94:CC95)</f>
        <v>0</v>
      </c>
      <c r="CD96" s="84" t="n">
        <f aca="false">SUM(CD94:CD95)</f>
        <v>0</v>
      </c>
      <c r="CE96" s="84" t="n">
        <f aca="false">SUM(CE94:CE95)</f>
        <v>0</v>
      </c>
      <c r="CF96" s="84" t="n">
        <f aca="false">SUM(CF94:CF95)</f>
        <v>0</v>
      </c>
      <c r="CG96" s="84" t="n">
        <f aca="false">SUM(CG94:CG95)</f>
        <v>0</v>
      </c>
      <c r="CI96" s="84" t="n">
        <f aca="false">CC96=L96</f>
        <v>1</v>
      </c>
      <c r="CJ96" s="84" t="n">
        <f aca="false">CD96=M96</f>
        <v>1</v>
      </c>
      <c r="CK96" s="84" t="n">
        <f aca="false">CE96=N96</f>
        <v>1</v>
      </c>
      <c r="CL96" s="84" t="n">
        <f aca="false">CF96=O96</f>
        <v>1</v>
      </c>
      <c r="CM96" s="84" t="n">
        <f aca="false">CG96=P96</f>
        <v>1</v>
      </c>
    </row>
    <row r="97" s="14" customFormat="true" ht="16.5" hidden="false" customHeight="true" outlineLevel="0" collapsed="false">
      <c r="E97" s="85"/>
      <c r="H97" s="29"/>
      <c r="I97" s="88"/>
      <c r="J97" s="88"/>
      <c r="K97" s="88"/>
      <c r="L97" s="88"/>
      <c r="M97" s="88"/>
      <c r="N97" s="88"/>
      <c r="O97" s="88"/>
      <c r="P97" s="88"/>
      <c r="Q97" s="16"/>
      <c r="R97" s="16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9"/>
      <c r="AG97" s="88"/>
      <c r="AH97" s="88"/>
      <c r="AI97" s="88"/>
      <c r="AJ97" s="88"/>
      <c r="AK97" s="88"/>
      <c r="AL97" s="88"/>
      <c r="AM97" s="88"/>
      <c r="AN97" s="88"/>
      <c r="AO97" s="88"/>
      <c r="AP97" s="88"/>
      <c r="AQ97" s="88"/>
      <c r="AR97" s="89"/>
      <c r="AS97" s="88"/>
      <c r="AT97" s="88"/>
      <c r="AU97" s="88"/>
      <c r="AV97" s="88"/>
      <c r="AW97" s="88"/>
      <c r="AX97" s="88"/>
      <c r="AY97" s="88"/>
      <c r="AZ97" s="88"/>
      <c r="BA97" s="88"/>
      <c r="BB97" s="88"/>
      <c r="BC97" s="88"/>
      <c r="BD97" s="89"/>
      <c r="BE97" s="88"/>
      <c r="BF97" s="88"/>
      <c r="BG97" s="88"/>
      <c r="BH97" s="88"/>
      <c r="BI97" s="88"/>
      <c r="BJ97" s="88"/>
      <c r="BK97" s="88"/>
      <c r="BL97" s="88"/>
      <c r="BM97" s="88"/>
      <c r="BN97" s="88"/>
      <c r="BO97" s="88"/>
      <c r="BP97" s="89"/>
      <c r="BQ97" s="88"/>
      <c r="BR97" s="88"/>
      <c r="BS97" s="88"/>
      <c r="BT97" s="88"/>
      <c r="BU97" s="88"/>
      <c r="BV97" s="88"/>
      <c r="BW97" s="88"/>
      <c r="BX97" s="88"/>
      <c r="BY97" s="88"/>
      <c r="BZ97" s="88"/>
      <c r="CA97" s="90"/>
      <c r="CC97" s="90"/>
      <c r="CD97" s="90"/>
      <c r="CE97" s="90"/>
      <c r="CF97" s="90"/>
      <c r="CG97" s="90"/>
      <c r="CI97" s="90"/>
      <c r="CJ97" s="90"/>
      <c r="CK97" s="90"/>
      <c r="CL97" s="90"/>
      <c r="CM97" s="90"/>
    </row>
    <row r="98" s="14" customFormat="true" ht="16.5" hidden="false" customHeight="true" outlineLevel="0" collapsed="false">
      <c r="E98" s="21" t="s">
        <v>138</v>
      </c>
      <c r="H98" s="29"/>
      <c r="I98" s="88"/>
      <c r="K98" s="88"/>
      <c r="L98" s="88"/>
      <c r="M98" s="88"/>
      <c r="N98" s="88"/>
      <c r="O98" s="88"/>
      <c r="P98" s="88"/>
      <c r="Q98" s="16"/>
      <c r="R98" s="16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9"/>
      <c r="AG98" s="88"/>
      <c r="AH98" s="88"/>
      <c r="AI98" s="88"/>
      <c r="AJ98" s="88"/>
      <c r="AK98" s="88"/>
      <c r="AL98" s="88"/>
      <c r="AM98" s="88"/>
      <c r="AN98" s="88"/>
      <c r="AO98" s="88"/>
      <c r="AP98" s="88"/>
      <c r="AQ98" s="88"/>
      <c r="AR98" s="89"/>
      <c r="AS98" s="88"/>
      <c r="AT98" s="88"/>
      <c r="AU98" s="88"/>
      <c r="AV98" s="88"/>
      <c r="AW98" s="88"/>
      <c r="AX98" s="88"/>
      <c r="AY98" s="88"/>
      <c r="AZ98" s="88"/>
      <c r="BA98" s="88"/>
      <c r="BB98" s="88"/>
      <c r="BC98" s="88"/>
      <c r="BD98" s="89"/>
      <c r="BE98" s="88"/>
      <c r="BF98" s="88"/>
      <c r="BG98" s="88"/>
      <c r="BH98" s="88"/>
      <c r="BI98" s="88"/>
      <c r="BJ98" s="88"/>
      <c r="BK98" s="88"/>
      <c r="BL98" s="88"/>
      <c r="BM98" s="88"/>
      <c r="BN98" s="88"/>
      <c r="BO98" s="88"/>
      <c r="BP98" s="89"/>
      <c r="BQ98" s="88"/>
      <c r="BR98" s="88"/>
      <c r="BS98" s="88"/>
      <c r="BT98" s="88"/>
      <c r="BU98" s="88"/>
      <c r="BV98" s="88"/>
      <c r="BW98" s="88"/>
      <c r="BX98" s="88"/>
      <c r="BY98" s="88"/>
      <c r="BZ98" s="88"/>
      <c r="CA98" s="90"/>
      <c r="CC98" s="90"/>
      <c r="CD98" s="90"/>
      <c r="CE98" s="90"/>
      <c r="CF98" s="90"/>
      <c r="CG98" s="90"/>
      <c r="CI98" s="90"/>
      <c r="CJ98" s="90"/>
      <c r="CK98" s="90"/>
      <c r="CL98" s="90"/>
      <c r="CM98" s="90"/>
    </row>
    <row r="99" s="14" customFormat="true" ht="16.5" hidden="false" customHeight="true" outlineLevel="0" collapsed="false">
      <c r="E99" s="91"/>
      <c r="H99" s="29"/>
      <c r="I99" s="91" t="n">
        <v>0</v>
      </c>
      <c r="J99" s="91" t="n">
        <v>0</v>
      </c>
      <c r="K99" s="212" t="n">
        <f aca="false">J99-I99</f>
        <v>0</v>
      </c>
      <c r="L99" s="91" t="n">
        <v>0</v>
      </c>
      <c r="M99" s="91" t="n">
        <v>0</v>
      </c>
      <c r="N99" s="91" t="n">
        <v>0</v>
      </c>
      <c r="O99" s="91" t="n">
        <v>0</v>
      </c>
      <c r="P99" s="91" t="n">
        <v>0</v>
      </c>
      <c r="Q99" s="93"/>
      <c r="R99" s="16" t="str">
        <f aca="false">IF(K99=P99, "", "Error")</f>
        <v/>
      </c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4"/>
      <c r="AF99" s="95"/>
      <c r="AG99" s="91"/>
      <c r="AH99" s="91"/>
      <c r="AI99" s="91"/>
      <c r="AJ99" s="91"/>
      <c r="AK99" s="91"/>
      <c r="AL99" s="91"/>
      <c r="AM99" s="91"/>
      <c r="AN99" s="91"/>
      <c r="AO99" s="91"/>
      <c r="AP99" s="91"/>
      <c r="AQ99" s="94"/>
      <c r="AR99" s="95"/>
      <c r="AS99" s="91"/>
      <c r="AT99" s="91"/>
      <c r="AU99" s="91"/>
      <c r="AV99" s="91"/>
      <c r="AW99" s="91"/>
      <c r="AX99" s="91"/>
      <c r="AY99" s="91"/>
      <c r="AZ99" s="91"/>
      <c r="BA99" s="91"/>
      <c r="BB99" s="91"/>
      <c r="BC99" s="94"/>
      <c r="BD99" s="95"/>
      <c r="BE99" s="91"/>
      <c r="BF99" s="91"/>
      <c r="BG99" s="91"/>
      <c r="BH99" s="91"/>
      <c r="BI99" s="91"/>
      <c r="BJ99" s="91"/>
      <c r="BK99" s="91"/>
      <c r="BL99" s="91"/>
      <c r="BM99" s="91"/>
      <c r="BN99" s="91"/>
      <c r="BO99" s="94"/>
      <c r="BP99" s="95"/>
      <c r="BQ99" s="91"/>
      <c r="BR99" s="91"/>
      <c r="BS99" s="91"/>
      <c r="BT99" s="91"/>
      <c r="BU99" s="91"/>
      <c r="BV99" s="91"/>
      <c r="BW99" s="91"/>
      <c r="BX99" s="91"/>
      <c r="BY99" s="91"/>
      <c r="BZ99" s="91"/>
      <c r="CA99" s="119"/>
      <c r="CC99" s="79" t="n">
        <f aca="false">SUMIFS($T99:$CA99, $T$1:$CA$1, CC$63)</f>
        <v>0</v>
      </c>
      <c r="CD99" s="79" t="n">
        <f aca="false">SUMIFS($T99:$CA99, $T$1:$CA$1, CD$63)</f>
        <v>0</v>
      </c>
      <c r="CE99" s="79" t="n">
        <f aca="false">SUMIFS($T99:$CA99, $T$1:$CA$1, CE$63)</f>
        <v>0</v>
      </c>
      <c r="CF99" s="79" t="n">
        <f aca="false">SUMIFS($T99:$CA99, $T$1:$CA$1, CF$63)</f>
        <v>0</v>
      </c>
      <c r="CG99" s="79" t="n">
        <f aca="false">SUMIFS($T99:$CA99, $T$1:$CA$1, CG$63)</f>
        <v>0</v>
      </c>
      <c r="CI99" s="79" t="n">
        <f aca="false">CC99=L99</f>
        <v>1</v>
      </c>
      <c r="CJ99" s="79" t="n">
        <f aca="false">CD99=M99</f>
        <v>1</v>
      </c>
      <c r="CK99" s="79" t="n">
        <f aca="false">CE99=N99</f>
        <v>1</v>
      </c>
      <c r="CL99" s="79" t="n">
        <f aca="false">CF99=O99</f>
        <v>1</v>
      </c>
      <c r="CM99" s="79" t="n">
        <f aca="false">CG99=P99</f>
        <v>1</v>
      </c>
    </row>
    <row r="100" s="14" customFormat="true" ht="16.5" hidden="false" customHeight="true" outlineLevel="0" collapsed="false">
      <c r="E100" s="91"/>
      <c r="H100" s="29"/>
      <c r="I100" s="91" t="n">
        <v>0</v>
      </c>
      <c r="J100" s="91" t="n">
        <v>0</v>
      </c>
      <c r="K100" s="212" t="n">
        <f aca="false">J100-I100</f>
        <v>0</v>
      </c>
      <c r="L100" s="91" t="n">
        <v>0</v>
      </c>
      <c r="M100" s="91" t="n">
        <v>0</v>
      </c>
      <c r="N100" s="91" t="n">
        <v>0</v>
      </c>
      <c r="O100" s="91" t="n">
        <v>0</v>
      </c>
      <c r="P100" s="91" t="n">
        <v>0</v>
      </c>
      <c r="Q100" s="93"/>
      <c r="R100" s="16" t="str">
        <f aca="false">IF(K100=P100, "", "Error")</f>
        <v/>
      </c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4"/>
      <c r="AF100" s="95"/>
      <c r="AG100" s="91"/>
      <c r="AH100" s="91"/>
      <c r="AI100" s="91"/>
      <c r="AJ100" s="91"/>
      <c r="AK100" s="91"/>
      <c r="AL100" s="91"/>
      <c r="AM100" s="91"/>
      <c r="AN100" s="91"/>
      <c r="AO100" s="91"/>
      <c r="AP100" s="91"/>
      <c r="AQ100" s="94"/>
      <c r="AR100" s="95"/>
      <c r="AS100" s="91"/>
      <c r="AT100" s="91"/>
      <c r="AU100" s="91"/>
      <c r="AV100" s="91"/>
      <c r="AW100" s="91"/>
      <c r="AX100" s="91"/>
      <c r="AY100" s="91"/>
      <c r="AZ100" s="91"/>
      <c r="BA100" s="91"/>
      <c r="BB100" s="91"/>
      <c r="BC100" s="94"/>
      <c r="BD100" s="95"/>
      <c r="BE100" s="91"/>
      <c r="BF100" s="91"/>
      <c r="BG100" s="91"/>
      <c r="BH100" s="91"/>
      <c r="BI100" s="91"/>
      <c r="BJ100" s="91"/>
      <c r="BK100" s="91"/>
      <c r="BL100" s="91"/>
      <c r="BM100" s="91"/>
      <c r="BN100" s="91"/>
      <c r="BO100" s="94"/>
      <c r="BP100" s="95"/>
      <c r="BQ100" s="91"/>
      <c r="BR100" s="91"/>
      <c r="BS100" s="91"/>
      <c r="BT100" s="91"/>
      <c r="BU100" s="91"/>
      <c r="BV100" s="91"/>
      <c r="BW100" s="91"/>
      <c r="BX100" s="91"/>
      <c r="BY100" s="91"/>
      <c r="BZ100" s="91"/>
      <c r="CA100" s="119"/>
      <c r="CC100" s="79" t="n">
        <f aca="false">SUMIFS($T100:$CA100, $T$1:$CA$1, CC$63)</f>
        <v>0</v>
      </c>
      <c r="CD100" s="79" t="n">
        <f aca="false">SUMIFS($T100:$CA100, $T$1:$CA$1, CD$63)</f>
        <v>0</v>
      </c>
      <c r="CE100" s="79" t="n">
        <f aca="false">SUMIFS($T100:$CA100, $T$1:$CA$1, CE$63)</f>
        <v>0</v>
      </c>
      <c r="CF100" s="79" t="n">
        <f aca="false">SUMIFS($T100:$CA100, $T$1:$CA$1, CF$63)</f>
        <v>0</v>
      </c>
      <c r="CG100" s="79" t="n">
        <f aca="false">SUMIFS($T100:$CA100, $T$1:$CA$1, CG$63)</f>
        <v>0</v>
      </c>
      <c r="CI100" s="79" t="n">
        <f aca="false">CC100=L100</f>
        <v>1</v>
      </c>
      <c r="CJ100" s="79" t="n">
        <f aca="false">CD100=M100</f>
        <v>1</v>
      </c>
      <c r="CK100" s="79" t="n">
        <f aca="false">CE100=N100</f>
        <v>1</v>
      </c>
      <c r="CL100" s="79" t="n">
        <f aca="false">CF100=O100</f>
        <v>1</v>
      </c>
      <c r="CM100" s="79" t="n">
        <f aca="false">CG100=P100</f>
        <v>1</v>
      </c>
    </row>
    <row r="101" s="14" customFormat="true" ht="16.5" hidden="false" customHeight="true" outlineLevel="0" collapsed="false">
      <c r="E101" s="91"/>
      <c r="H101" s="29"/>
      <c r="I101" s="91" t="n">
        <v>0</v>
      </c>
      <c r="J101" s="91" t="n">
        <v>0</v>
      </c>
      <c r="K101" s="212" t="n">
        <f aca="false">J101-I101</f>
        <v>0</v>
      </c>
      <c r="L101" s="91" t="n">
        <v>0</v>
      </c>
      <c r="M101" s="91" t="n">
        <v>0</v>
      </c>
      <c r="N101" s="91" t="n">
        <v>0</v>
      </c>
      <c r="O101" s="91" t="n">
        <v>0</v>
      </c>
      <c r="P101" s="91" t="n">
        <v>0</v>
      </c>
      <c r="Q101" s="93"/>
      <c r="R101" s="16" t="str">
        <f aca="false">IF(K101=P101, "", "Error")</f>
        <v/>
      </c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4"/>
      <c r="AF101" s="95"/>
      <c r="AG101" s="91"/>
      <c r="AH101" s="91"/>
      <c r="AI101" s="91"/>
      <c r="AJ101" s="91"/>
      <c r="AK101" s="91"/>
      <c r="AL101" s="91"/>
      <c r="AM101" s="91"/>
      <c r="AN101" s="91"/>
      <c r="AO101" s="91"/>
      <c r="AP101" s="91"/>
      <c r="AQ101" s="94"/>
      <c r="AR101" s="95"/>
      <c r="AS101" s="91"/>
      <c r="AT101" s="91"/>
      <c r="AU101" s="91"/>
      <c r="AV101" s="91"/>
      <c r="AW101" s="91"/>
      <c r="AX101" s="91"/>
      <c r="AY101" s="91"/>
      <c r="AZ101" s="91"/>
      <c r="BA101" s="91"/>
      <c r="BB101" s="91"/>
      <c r="BC101" s="94"/>
      <c r="BD101" s="95"/>
      <c r="BE101" s="91"/>
      <c r="BF101" s="91"/>
      <c r="BG101" s="91"/>
      <c r="BH101" s="91"/>
      <c r="BI101" s="91"/>
      <c r="BJ101" s="91"/>
      <c r="BK101" s="91"/>
      <c r="BL101" s="91"/>
      <c r="BM101" s="91"/>
      <c r="BN101" s="91"/>
      <c r="BO101" s="94"/>
      <c r="BP101" s="95"/>
      <c r="BQ101" s="91"/>
      <c r="BR101" s="91"/>
      <c r="BS101" s="91"/>
      <c r="BT101" s="91"/>
      <c r="BU101" s="91"/>
      <c r="BV101" s="91"/>
      <c r="BW101" s="91"/>
      <c r="BX101" s="91"/>
      <c r="BY101" s="91"/>
      <c r="BZ101" s="91"/>
      <c r="CA101" s="119"/>
      <c r="CC101" s="79" t="n">
        <f aca="false">SUMIFS($T101:$CA101, $T$1:$CA$1, CC$63)</f>
        <v>0</v>
      </c>
      <c r="CD101" s="79" t="n">
        <f aca="false">SUMIFS($T101:$CA101, $T$1:$CA$1, CD$63)</f>
        <v>0</v>
      </c>
      <c r="CE101" s="79" t="n">
        <f aca="false">SUMIFS($T101:$CA101, $T$1:$CA$1, CE$63)</f>
        <v>0</v>
      </c>
      <c r="CF101" s="79" t="n">
        <f aca="false">SUMIFS($T101:$CA101, $T$1:$CA$1, CF$63)</f>
        <v>0</v>
      </c>
      <c r="CG101" s="79" t="n">
        <f aca="false">SUMIFS($T101:$CA101, $T$1:$CA$1, CG$63)</f>
        <v>0</v>
      </c>
      <c r="CI101" s="79" t="n">
        <f aca="false">CC101=L101</f>
        <v>1</v>
      </c>
      <c r="CJ101" s="79" t="n">
        <f aca="false">CD101=M101</f>
        <v>1</v>
      </c>
      <c r="CK101" s="79" t="n">
        <f aca="false">CE101=N101</f>
        <v>1</v>
      </c>
      <c r="CL101" s="79" t="n">
        <f aca="false">CF101=O101</f>
        <v>1</v>
      </c>
      <c r="CM101" s="79" t="n">
        <f aca="false">CG101=P101</f>
        <v>1</v>
      </c>
    </row>
    <row r="102" s="14" customFormat="true" ht="16.5" hidden="false" customHeight="true" outlineLevel="0" collapsed="false">
      <c r="E102" s="91"/>
      <c r="H102" s="29"/>
      <c r="I102" s="91" t="n">
        <v>0</v>
      </c>
      <c r="J102" s="91" t="n">
        <v>0</v>
      </c>
      <c r="K102" s="212" t="n">
        <f aca="false">J102-I102</f>
        <v>0</v>
      </c>
      <c r="L102" s="91" t="n">
        <v>0</v>
      </c>
      <c r="M102" s="91" t="n">
        <v>0</v>
      </c>
      <c r="N102" s="91" t="n">
        <v>0</v>
      </c>
      <c r="O102" s="91" t="n">
        <v>0</v>
      </c>
      <c r="P102" s="91" t="n">
        <v>0</v>
      </c>
      <c r="Q102" s="93"/>
      <c r="R102" s="16" t="str">
        <f aca="false">IF(K102=P102, "", "Error")</f>
        <v/>
      </c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4"/>
      <c r="AF102" s="95"/>
      <c r="AG102" s="91"/>
      <c r="AH102" s="91"/>
      <c r="AI102" s="91"/>
      <c r="AJ102" s="91"/>
      <c r="AK102" s="91"/>
      <c r="AL102" s="91"/>
      <c r="AM102" s="91"/>
      <c r="AN102" s="91"/>
      <c r="AO102" s="91"/>
      <c r="AP102" s="91"/>
      <c r="AQ102" s="94"/>
      <c r="AR102" s="95"/>
      <c r="AS102" s="91"/>
      <c r="AT102" s="91"/>
      <c r="AU102" s="91"/>
      <c r="AV102" s="91"/>
      <c r="AW102" s="91"/>
      <c r="AX102" s="91"/>
      <c r="AY102" s="91"/>
      <c r="AZ102" s="91"/>
      <c r="BA102" s="91"/>
      <c r="BB102" s="91"/>
      <c r="BC102" s="94"/>
      <c r="BD102" s="95"/>
      <c r="BE102" s="91"/>
      <c r="BF102" s="91"/>
      <c r="BG102" s="91"/>
      <c r="BH102" s="91"/>
      <c r="BI102" s="91"/>
      <c r="BJ102" s="91"/>
      <c r="BK102" s="91"/>
      <c r="BL102" s="91"/>
      <c r="BM102" s="91"/>
      <c r="BN102" s="91"/>
      <c r="BO102" s="94"/>
      <c r="BP102" s="95"/>
      <c r="BQ102" s="91"/>
      <c r="BR102" s="91"/>
      <c r="BS102" s="91"/>
      <c r="BT102" s="91"/>
      <c r="BU102" s="91"/>
      <c r="BV102" s="91"/>
      <c r="BW102" s="91"/>
      <c r="BX102" s="91"/>
      <c r="BY102" s="91"/>
      <c r="BZ102" s="91"/>
      <c r="CA102" s="119"/>
      <c r="CC102" s="79" t="n">
        <f aca="false">SUMIFS($T102:$CA102, $T$1:$CA$1, CC$63)</f>
        <v>0</v>
      </c>
      <c r="CD102" s="79" t="n">
        <f aca="false">SUMIFS($T102:$CA102, $T$1:$CA$1, CD$63)</f>
        <v>0</v>
      </c>
      <c r="CE102" s="79" t="n">
        <f aca="false">SUMIFS($T102:$CA102, $T$1:$CA$1, CE$63)</f>
        <v>0</v>
      </c>
      <c r="CF102" s="79" t="n">
        <f aca="false">SUMIFS($T102:$CA102, $T$1:$CA$1, CF$63)</f>
        <v>0</v>
      </c>
      <c r="CG102" s="79" t="n">
        <f aca="false">SUMIFS($T102:$CA102, $T$1:$CA$1, CG$63)</f>
        <v>0</v>
      </c>
      <c r="CI102" s="79" t="n">
        <f aca="false">CC102=L102</f>
        <v>1</v>
      </c>
      <c r="CJ102" s="79" t="n">
        <f aca="false">CD102=M102</f>
        <v>1</v>
      </c>
      <c r="CK102" s="79" t="n">
        <f aca="false">CE102=N102</f>
        <v>1</v>
      </c>
      <c r="CL102" s="79" t="n">
        <f aca="false">CF102=O102</f>
        <v>1</v>
      </c>
      <c r="CM102" s="79" t="n">
        <f aca="false">CG102=P102</f>
        <v>1</v>
      </c>
    </row>
    <row r="103" s="14" customFormat="true" ht="16.5" hidden="false" customHeight="true" outlineLevel="0" collapsed="false">
      <c r="E103" s="91"/>
      <c r="H103" s="29"/>
      <c r="I103" s="91"/>
      <c r="J103" s="91"/>
      <c r="K103" s="212" t="n">
        <f aca="false">J103-I103</f>
        <v>0</v>
      </c>
      <c r="L103" s="91" t="n">
        <v>0</v>
      </c>
      <c r="M103" s="91" t="n">
        <v>0</v>
      </c>
      <c r="N103" s="91" t="n">
        <v>0</v>
      </c>
      <c r="O103" s="91" t="n">
        <v>0</v>
      </c>
      <c r="P103" s="91" t="n">
        <v>0</v>
      </c>
      <c r="Q103" s="93"/>
      <c r="R103" s="16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4"/>
      <c r="AF103" s="95"/>
      <c r="AG103" s="91"/>
      <c r="AH103" s="91"/>
      <c r="AI103" s="91"/>
      <c r="AJ103" s="91"/>
      <c r="AK103" s="91"/>
      <c r="AL103" s="91"/>
      <c r="AM103" s="91"/>
      <c r="AN103" s="91"/>
      <c r="AO103" s="91"/>
      <c r="AP103" s="91"/>
      <c r="AQ103" s="94"/>
      <c r="AR103" s="95"/>
      <c r="AS103" s="91"/>
      <c r="AT103" s="91"/>
      <c r="AU103" s="91"/>
      <c r="AV103" s="91"/>
      <c r="AW103" s="91"/>
      <c r="AX103" s="91"/>
      <c r="AY103" s="91"/>
      <c r="AZ103" s="91"/>
      <c r="BA103" s="91"/>
      <c r="BB103" s="91"/>
      <c r="BC103" s="94"/>
      <c r="BD103" s="95"/>
      <c r="BE103" s="91"/>
      <c r="BF103" s="91"/>
      <c r="BG103" s="91"/>
      <c r="BH103" s="91"/>
      <c r="BI103" s="91"/>
      <c r="BJ103" s="91"/>
      <c r="BK103" s="91"/>
      <c r="BL103" s="91"/>
      <c r="BM103" s="91"/>
      <c r="BN103" s="91"/>
      <c r="BO103" s="94"/>
      <c r="BP103" s="95"/>
      <c r="BQ103" s="91"/>
      <c r="BR103" s="91"/>
      <c r="BS103" s="91"/>
      <c r="BT103" s="91"/>
      <c r="BU103" s="91"/>
      <c r="BV103" s="91"/>
      <c r="BW103" s="91"/>
      <c r="BX103" s="91"/>
      <c r="BY103" s="91"/>
      <c r="BZ103" s="91"/>
      <c r="CA103" s="119"/>
      <c r="CC103" s="79"/>
      <c r="CD103" s="79"/>
      <c r="CE103" s="79"/>
      <c r="CF103" s="79"/>
      <c r="CG103" s="79"/>
      <c r="CI103" s="79"/>
      <c r="CJ103" s="79"/>
      <c r="CK103" s="79"/>
      <c r="CL103" s="79"/>
      <c r="CM103" s="79"/>
    </row>
    <row r="104" s="14" customFormat="true" ht="16.5" hidden="false" customHeight="true" outlineLevel="0" collapsed="false">
      <c r="E104" s="96" t="s">
        <v>139</v>
      </c>
      <c r="H104" s="29"/>
      <c r="I104" s="82" t="n">
        <f aca="false">SUM(I99:I103)</f>
        <v>0</v>
      </c>
      <c r="J104" s="82" t="n">
        <f aca="false">SUM(J99:J103)</f>
        <v>0</v>
      </c>
      <c r="K104" s="82" t="n">
        <f aca="false">SUM(K99:K103)</f>
        <v>0</v>
      </c>
      <c r="L104" s="82" t="n">
        <f aca="false">SUM(L99:L103)</f>
        <v>0</v>
      </c>
      <c r="M104" s="82" t="n">
        <f aca="false">SUM(M99:M103)</f>
        <v>0</v>
      </c>
      <c r="N104" s="82" t="n">
        <f aca="false">SUM(N99:N103)</f>
        <v>0</v>
      </c>
      <c r="O104" s="82" t="n">
        <f aca="false">SUM(O99:O103)</f>
        <v>0</v>
      </c>
      <c r="P104" s="82" t="n">
        <f aca="false">SUM(P99:P103)</f>
        <v>0</v>
      </c>
      <c r="Q104" s="16"/>
      <c r="R104" s="16"/>
      <c r="T104" s="82" t="n">
        <f aca="false">SUM(T99:T103)</f>
        <v>0</v>
      </c>
      <c r="U104" s="82" t="n">
        <f aca="false">SUM(U99:U103)</f>
        <v>0</v>
      </c>
      <c r="V104" s="82" t="n">
        <f aca="false">SUM(V99:V103)</f>
        <v>0</v>
      </c>
      <c r="W104" s="82" t="n">
        <f aca="false">SUM(W99:W103)</f>
        <v>0</v>
      </c>
      <c r="X104" s="82" t="n">
        <f aca="false">SUM(X99:X103)</f>
        <v>0</v>
      </c>
      <c r="Y104" s="82" t="n">
        <f aca="false">SUM(Y99:Y103)</f>
        <v>0</v>
      </c>
      <c r="Z104" s="82" t="n">
        <f aca="false">SUM(Z99:Z103)</f>
        <v>0</v>
      </c>
      <c r="AA104" s="82" t="n">
        <f aca="false">SUM(AA99:AA103)</f>
        <v>0</v>
      </c>
      <c r="AB104" s="82" t="n">
        <f aca="false">SUM(AB99:AB103)</f>
        <v>0</v>
      </c>
      <c r="AC104" s="82" t="n">
        <f aca="false">SUM(AC99:AC103)</f>
        <v>0</v>
      </c>
      <c r="AD104" s="82" t="n">
        <f aca="false">SUM(AD99:AD103)</f>
        <v>0</v>
      </c>
      <c r="AE104" s="82" t="n">
        <f aca="false">SUM(AE99:AE103)</f>
        <v>0</v>
      </c>
      <c r="AF104" s="83" t="n">
        <f aca="false">SUM(AF99:AF103)</f>
        <v>0</v>
      </c>
      <c r="AG104" s="82" t="n">
        <f aca="false">SUM(AG99:AG103)</f>
        <v>0</v>
      </c>
      <c r="AH104" s="82" t="n">
        <f aca="false">SUM(AH99:AH103)</f>
        <v>0</v>
      </c>
      <c r="AI104" s="82" t="n">
        <f aca="false">SUM(AI99:AI103)</f>
        <v>0</v>
      </c>
      <c r="AJ104" s="82" t="n">
        <f aca="false">SUM(AJ99:AJ103)</f>
        <v>0</v>
      </c>
      <c r="AK104" s="82" t="n">
        <f aca="false">SUM(AK99:AK103)</f>
        <v>0</v>
      </c>
      <c r="AL104" s="82" t="n">
        <f aca="false">SUM(AL99:AL103)</f>
        <v>0</v>
      </c>
      <c r="AM104" s="82" t="n">
        <f aca="false">SUM(AM99:AM103)</f>
        <v>0</v>
      </c>
      <c r="AN104" s="82" t="n">
        <f aca="false">SUM(AN99:AN103)</f>
        <v>0</v>
      </c>
      <c r="AO104" s="82" t="n">
        <f aca="false">SUM(AO99:AO103)</f>
        <v>0</v>
      </c>
      <c r="AP104" s="82" t="n">
        <f aca="false">SUM(AP99:AP103)</f>
        <v>0</v>
      </c>
      <c r="AQ104" s="82" t="n">
        <f aca="false">SUM(AQ99:AQ103)</f>
        <v>0</v>
      </c>
      <c r="AR104" s="83" t="n">
        <f aca="false">SUM(AR99:AR103)</f>
        <v>0</v>
      </c>
      <c r="AS104" s="82" t="n">
        <f aca="false">SUM(AS99:AS103)</f>
        <v>0</v>
      </c>
      <c r="AT104" s="82" t="n">
        <f aca="false">SUM(AT99:AT103)</f>
        <v>0</v>
      </c>
      <c r="AU104" s="82" t="n">
        <f aca="false">SUM(AU99:AU103)</f>
        <v>0</v>
      </c>
      <c r="AV104" s="82" t="n">
        <f aca="false">SUM(AV99:AV103)</f>
        <v>0</v>
      </c>
      <c r="AW104" s="82" t="n">
        <f aca="false">SUM(AW99:AW103)</f>
        <v>0</v>
      </c>
      <c r="AX104" s="82" t="n">
        <f aca="false">SUM(AX99:AX103)</f>
        <v>0</v>
      </c>
      <c r="AY104" s="82" t="n">
        <f aca="false">SUM(AY99:AY103)</f>
        <v>0</v>
      </c>
      <c r="AZ104" s="82" t="n">
        <f aca="false">SUM(AZ99:AZ103)</f>
        <v>0</v>
      </c>
      <c r="BA104" s="82" t="n">
        <f aca="false">SUM(BA99:BA103)</f>
        <v>0</v>
      </c>
      <c r="BB104" s="82" t="n">
        <f aca="false">SUM(BB99:BB103)</f>
        <v>0</v>
      </c>
      <c r="BC104" s="82" t="n">
        <f aca="false">SUM(BC99:BC103)</f>
        <v>0</v>
      </c>
      <c r="BD104" s="83" t="n">
        <f aca="false">SUM(BD99:BD103)</f>
        <v>0</v>
      </c>
      <c r="BE104" s="82" t="n">
        <f aca="false">SUM(BE99:BE103)</f>
        <v>0</v>
      </c>
      <c r="BF104" s="82" t="n">
        <f aca="false">SUM(BF99:BF103)</f>
        <v>0</v>
      </c>
      <c r="BG104" s="82" t="n">
        <f aca="false">SUM(BG99:BG103)</f>
        <v>0</v>
      </c>
      <c r="BH104" s="82" t="n">
        <f aca="false">SUM(BH99:BH103)</f>
        <v>0</v>
      </c>
      <c r="BI104" s="82" t="n">
        <f aca="false">SUM(BI99:BI103)</f>
        <v>0</v>
      </c>
      <c r="BJ104" s="82" t="n">
        <f aca="false">SUM(BJ99:BJ103)</f>
        <v>0</v>
      </c>
      <c r="BK104" s="82" t="n">
        <f aca="false">SUM(BK99:BK103)</f>
        <v>0</v>
      </c>
      <c r="BL104" s="82" t="n">
        <f aca="false">SUM(BL99:BL103)</f>
        <v>0</v>
      </c>
      <c r="BM104" s="82" t="n">
        <f aca="false">SUM(BM99:BM103)</f>
        <v>0</v>
      </c>
      <c r="BN104" s="82" t="n">
        <f aca="false">SUM(BN99:BN103)</f>
        <v>0</v>
      </c>
      <c r="BO104" s="82" t="n">
        <f aca="false">SUM(BO99:BO103)</f>
        <v>0</v>
      </c>
      <c r="BP104" s="83" t="n">
        <f aca="false">SUM(BP99:BP103)</f>
        <v>0</v>
      </c>
      <c r="BQ104" s="82" t="n">
        <f aca="false">SUM(BQ99:BQ103)</f>
        <v>0</v>
      </c>
      <c r="BR104" s="82" t="n">
        <f aca="false">SUM(BR99:BR103)</f>
        <v>0</v>
      </c>
      <c r="BS104" s="82" t="n">
        <f aca="false">SUM(BS99:BS103)</f>
        <v>0</v>
      </c>
      <c r="BT104" s="82" t="n">
        <f aca="false">SUM(BT99:BT103)</f>
        <v>0</v>
      </c>
      <c r="BU104" s="82" t="n">
        <f aca="false">SUM(BU99:BU103)</f>
        <v>0</v>
      </c>
      <c r="BV104" s="82" t="n">
        <f aca="false">SUM(BV99:BV103)</f>
        <v>0</v>
      </c>
      <c r="BW104" s="82" t="n">
        <f aca="false">SUM(BW99:BW103)</f>
        <v>0</v>
      </c>
      <c r="BX104" s="82" t="n">
        <f aca="false">SUM(BX99:BX103)</f>
        <v>0</v>
      </c>
      <c r="BY104" s="82" t="n">
        <f aca="false">SUM(BY99:BY103)</f>
        <v>0</v>
      </c>
      <c r="BZ104" s="82" t="n">
        <f aca="false">SUM(BZ99:BZ103)</f>
        <v>0</v>
      </c>
      <c r="CA104" s="84" t="n">
        <f aca="false">SUM(CA99:CA103)</f>
        <v>0</v>
      </c>
      <c r="CC104" s="84" t="n">
        <f aca="false">SUM(CC99:CC103)</f>
        <v>0</v>
      </c>
      <c r="CD104" s="84" t="n">
        <f aca="false">SUM(CD99:CD103)</f>
        <v>0</v>
      </c>
      <c r="CE104" s="84" t="n">
        <f aca="false">SUM(CE99:CE103)</f>
        <v>0</v>
      </c>
      <c r="CF104" s="84" t="n">
        <f aca="false">SUM(CF99:CF103)</f>
        <v>0</v>
      </c>
      <c r="CG104" s="84" t="n">
        <f aca="false">SUM(CG99:CG103)</f>
        <v>0</v>
      </c>
      <c r="CI104" s="84" t="n">
        <f aca="false">CC104=L104</f>
        <v>1</v>
      </c>
      <c r="CJ104" s="84" t="n">
        <f aca="false">CD104=M104</f>
        <v>1</v>
      </c>
      <c r="CK104" s="84" t="n">
        <f aca="false">CE104=N104</f>
        <v>1</v>
      </c>
      <c r="CL104" s="84" t="n">
        <f aca="false">CF104=O104</f>
        <v>1</v>
      </c>
      <c r="CM104" s="84" t="n">
        <f aca="false">CG104=P104</f>
        <v>1</v>
      </c>
    </row>
    <row r="105" s="14" customFormat="true" ht="16.5" hidden="false" customHeight="true" outlineLevel="0" collapsed="false">
      <c r="H105" s="29"/>
      <c r="I105" s="88"/>
      <c r="J105" s="88"/>
      <c r="K105" s="88"/>
      <c r="L105" s="88"/>
      <c r="M105" s="88"/>
      <c r="N105" s="88"/>
      <c r="O105" s="88"/>
      <c r="P105" s="88"/>
      <c r="Q105" s="16"/>
      <c r="R105" s="16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9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  <c r="AQ105" s="88"/>
      <c r="AR105" s="89"/>
      <c r="AS105" s="88"/>
      <c r="AT105" s="88"/>
      <c r="AU105" s="88"/>
      <c r="AV105" s="88"/>
      <c r="AW105" s="88"/>
      <c r="AX105" s="88"/>
      <c r="AY105" s="88"/>
      <c r="AZ105" s="88"/>
      <c r="BA105" s="88"/>
      <c r="BB105" s="88"/>
      <c r="BC105" s="88"/>
      <c r="BD105" s="89"/>
      <c r="BE105" s="88"/>
      <c r="BF105" s="88"/>
      <c r="BG105" s="88"/>
      <c r="BH105" s="88"/>
      <c r="BI105" s="88"/>
      <c r="BJ105" s="88"/>
      <c r="BK105" s="88"/>
      <c r="BL105" s="88"/>
      <c r="BM105" s="88"/>
      <c r="BN105" s="88"/>
      <c r="BO105" s="88"/>
      <c r="BP105" s="89"/>
      <c r="BQ105" s="88"/>
      <c r="BR105" s="88"/>
      <c r="BS105" s="88"/>
      <c r="BT105" s="88"/>
      <c r="BU105" s="88"/>
      <c r="BV105" s="88"/>
      <c r="BW105" s="88"/>
      <c r="BX105" s="88"/>
      <c r="BY105" s="88"/>
      <c r="BZ105" s="88"/>
      <c r="CA105" s="90"/>
      <c r="CC105" s="90"/>
      <c r="CD105" s="90"/>
      <c r="CE105" s="90"/>
      <c r="CF105" s="90"/>
      <c r="CG105" s="90"/>
      <c r="CI105" s="90"/>
      <c r="CJ105" s="90"/>
      <c r="CK105" s="90"/>
      <c r="CL105" s="90"/>
      <c r="CM105" s="90"/>
    </row>
    <row r="106" s="14" customFormat="true" ht="16.5" hidden="false" customHeight="true" outlineLevel="0" collapsed="false">
      <c r="E106" s="21" t="s">
        <v>140</v>
      </c>
      <c r="H106" s="29"/>
      <c r="I106" s="88"/>
      <c r="J106" s="88"/>
      <c r="K106" s="88"/>
      <c r="L106" s="88"/>
      <c r="M106" s="88"/>
      <c r="N106" s="88"/>
      <c r="O106" s="88"/>
      <c r="P106" s="88"/>
      <c r="Q106" s="16"/>
      <c r="R106" s="16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9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  <c r="AQ106" s="88"/>
      <c r="AR106" s="89"/>
      <c r="AS106" s="88"/>
      <c r="AT106" s="88"/>
      <c r="AU106" s="88"/>
      <c r="AV106" s="88"/>
      <c r="AW106" s="88"/>
      <c r="AX106" s="88"/>
      <c r="AY106" s="88"/>
      <c r="AZ106" s="88"/>
      <c r="BA106" s="88"/>
      <c r="BB106" s="88"/>
      <c r="BC106" s="88"/>
      <c r="BD106" s="89"/>
      <c r="BE106" s="88"/>
      <c r="BF106" s="88"/>
      <c r="BG106" s="88"/>
      <c r="BH106" s="88"/>
      <c r="BI106" s="88"/>
      <c r="BJ106" s="88"/>
      <c r="BK106" s="88"/>
      <c r="BL106" s="88"/>
      <c r="BM106" s="88"/>
      <c r="BN106" s="88"/>
      <c r="BO106" s="88"/>
      <c r="BP106" s="89"/>
      <c r="BQ106" s="88"/>
      <c r="BR106" s="88"/>
      <c r="BS106" s="88"/>
      <c r="BT106" s="88"/>
      <c r="BU106" s="88"/>
      <c r="BV106" s="88"/>
      <c r="BW106" s="88"/>
      <c r="BX106" s="88"/>
      <c r="BY106" s="88"/>
      <c r="BZ106" s="88"/>
      <c r="CA106" s="90"/>
      <c r="CC106" s="90"/>
      <c r="CD106" s="90"/>
      <c r="CE106" s="90"/>
      <c r="CF106" s="90"/>
      <c r="CG106" s="90"/>
      <c r="CI106" s="90"/>
      <c r="CJ106" s="90"/>
      <c r="CK106" s="90"/>
      <c r="CL106" s="90"/>
      <c r="CM106" s="90"/>
    </row>
    <row r="107" s="14" customFormat="true" ht="16.5" hidden="false" customHeight="true" outlineLevel="0" collapsed="false">
      <c r="E107" s="91" t="s">
        <v>466</v>
      </c>
      <c r="H107" s="29" t="s">
        <v>561</v>
      </c>
      <c r="I107" s="91" t="n">
        <v>0</v>
      </c>
      <c r="J107" s="213" t="n">
        <f aca="false">I107+'SVC-3 Model'!$K$143</f>
        <v>3.4</v>
      </c>
      <c r="K107" s="214" t="n">
        <f aca="false">'SVC-3 Model'!$K$143</f>
        <v>3.4</v>
      </c>
      <c r="L107" s="213" t="n">
        <f aca="false">'SVC-3 Model'!L143</f>
        <v>0</v>
      </c>
      <c r="M107" s="213" t="n">
        <f aca="false">'SVC-3 Model'!M143</f>
        <v>0.283333333333333</v>
      </c>
      <c r="N107" s="213" t="n">
        <f aca="false">'SVC-3 Model'!N143</f>
        <v>3.11666666666667</v>
      </c>
      <c r="O107" s="213" t="n">
        <f aca="false">'SVC-3 Model'!O143</f>
        <v>3.4</v>
      </c>
      <c r="P107" s="213" t="n">
        <f aca="false">'SVC-3 Model'!P143</f>
        <v>3.4</v>
      </c>
      <c r="Q107" s="93" t="s">
        <v>266</v>
      </c>
      <c r="R107" s="16" t="str">
        <f aca="false">IF(K107=P107, "", "Error")</f>
        <v/>
      </c>
      <c r="T107" s="213" t="n">
        <f aca="false">'SVC-3 Model'!T143</f>
        <v>0</v>
      </c>
      <c r="U107" s="213" t="n">
        <f aca="false">'SVC-3 Model'!U143</f>
        <v>0</v>
      </c>
      <c r="V107" s="213" t="n">
        <f aca="false">'SVC-3 Model'!V143</f>
        <v>0</v>
      </c>
      <c r="W107" s="213" t="n">
        <f aca="false">'SVC-3 Model'!W143</f>
        <v>0</v>
      </c>
      <c r="X107" s="213" t="n">
        <f aca="false">'SVC-3 Model'!X143</f>
        <v>0</v>
      </c>
      <c r="Y107" s="213" t="n">
        <f aca="false">'SVC-3 Model'!Y143</f>
        <v>0</v>
      </c>
      <c r="Z107" s="213" t="n">
        <f aca="false">'SVC-3 Model'!Z143</f>
        <v>0</v>
      </c>
      <c r="AA107" s="213" t="n">
        <f aca="false">'SVC-3 Model'!AA143</f>
        <v>0</v>
      </c>
      <c r="AB107" s="213" t="n">
        <f aca="false">'SVC-3 Model'!AB143</f>
        <v>0</v>
      </c>
      <c r="AC107" s="213" t="n">
        <f aca="false">'SVC-3 Model'!AC143</f>
        <v>0</v>
      </c>
      <c r="AD107" s="213" t="n">
        <f aca="false">'SVC-3 Model'!AD143</f>
        <v>0</v>
      </c>
      <c r="AE107" s="215" t="n">
        <f aca="false">'SVC-3 Model'!AE143</f>
        <v>0</v>
      </c>
      <c r="AF107" s="216" t="n">
        <f aca="false">'SVC-3 Model'!AF143</f>
        <v>0</v>
      </c>
      <c r="AG107" s="216" t="n">
        <f aca="false">'SVC-3 Model'!AG143</f>
        <v>0</v>
      </c>
      <c r="AH107" s="216" t="n">
        <f aca="false">'SVC-3 Model'!AH143</f>
        <v>0</v>
      </c>
      <c r="AI107" s="216" t="n">
        <f aca="false">'SVC-3 Model'!AI143</f>
        <v>0</v>
      </c>
      <c r="AJ107" s="216" t="n">
        <f aca="false">'SVC-3 Model'!AJ143</f>
        <v>0</v>
      </c>
      <c r="AK107" s="216" t="n">
        <f aca="false">'SVC-3 Model'!AK143</f>
        <v>0</v>
      </c>
      <c r="AL107" s="216" t="n">
        <f aca="false">'SVC-3 Model'!AL143</f>
        <v>0</v>
      </c>
      <c r="AM107" s="216" t="n">
        <f aca="false">'SVC-3 Model'!AM143</f>
        <v>0</v>
      </c>
      <c r="AN107" s="216" t="n">
        <f aca="false">'SVC-3 Model'!AN143</f>
        <v>0.0177083333333333</v>
      </c>
      <c r="AO107" s="216" t="n">
        <f aca="false">'SVC-3 Model'!AO143</f>
        <v>0.053125</v>
      </c>
      <c r="AP107" s="216" t="n">
        <f aca="false">'SVC-3 Model'!AP143</f>
        <v>0.0885416666666667</v>
      </c>
      <c r="AQ107" s="216" t="n">
        <f aca="false">'SVC-3 Model'!AQ143</f>
        <v>0.123958333333333</v>
      </c>
      <c r="AR107" s="216" t="n">
        <f aca="false">'SVC-3 Model'!AR143</f>
        <v>0.159375</v>
      </c>
      <c r="AS107" s="216" t="n">
        <f aca="false">'SVC-3 Model'!AS143</f>
        <v>0.194791666666667</v>
      </c>
      <c r="AT107" s="216" t="n">
        <f aca="false">'SVC-3 Model'!AT143</f>
        <v>0.230208333333333</v>
      </c>
      <c r="AU107" s="216" t="n">
        <f aca="false">'SVC-3 Model'!AU143</f>
        <v>0.265625</v>
      </c>
      <c r="AV107" s="216" t="n">
        <f aca="false">'SVC-3 Model'!AV143</f>
        <v>0.283333333333333</v>
      </c>
      <c r="AW107" s="216" t="n">
        <f aca="false">'SVC-3 Model'!AW143</f>
        <v>0.283333333333333</v>
      </c>
      <c r="AX107" s="216" t="n">
        <f aca="false">'SVC-3 Model'!AX143</f>
        <v>0.283333333333333</v>
      </c>
      <c r="AY107" s="216" t="n">
        <f aca="false">'SVC-3 Model'!AY143</f>
        <v>0.283333333333333</v>
      </c>
      <c r="AZ107" s="216" t="n">
        <f aca="false">'SVC-3 Model'!AZ143</f>
        <v>0.283333333333333</v>
      </c>
      <c r="BA107" s="216" t="n">
        <f aca="false">'SVC-3 Model'!BA143</f>
        <v>0.283333333333333</v>
      </c>
      <c r="BB107" s="216" t="n">
        <f aca="false">'SVC-3 Model'!BB143</f>
        <v>0.283333333333333</v>
      </c>
      <c r="BC107" s="216" t="n">
        <f aca="false">'SVC-3 Model'!BC143</f>
        <v>0.283333333333333</v>
      </c>
      <c r="BD107" s="216" t="n">
        <f aca="false">'SVC-3 Model'!BD143</f>
        <v>0.283333333333333</v>
      </c>
      <c r="BE107" s="216" t="n">
        <f aca="false">'SVC-3 Model'!BE143</f>
        <v>0.283333333333333</v>
      </c>
      <c r="BF107" s="216" t="n">
        <f aca="false">'SVC-3 Model'!BF143</f>
        <v>0.283333333333333</v>
      </c>
      <c r="BG107" s="216" t="n">
        <f aca="false">'SVC-3 Model'!BG143</f>
        <v>0.283333333333333</v>
      </c>
      <c r="BH107" s="216" t="n">
        <f aca="false">'SVC-3 Model'!BH143</f>
        <v>0.283333333333333</v>
      </c>
      <c r="BI107" s="216" t="n">
        <f aca="false">'SVC-3 Model'!BI143</f>
        <v>0.283333333333333</v>
      </c>
      <c r="BJ107" s="216" t="n">
        <f aca="false">'SVC-3 Model'!BJ143</f>
        <v>0.283333333333333</v>
      </c>
      <c r="BK107" s="216" t="n">
        <f aca="false">'SVC-3 Model'!BK143</f>
        <v>0.283333333333333</v>
      </c>
      <c r="BL107" s="216" t="n">
        <f aca="false">'SVC-3 Model'!BL143</f>
        <v>0.283333333333333</v>
      </c>
      <c r="BM107" s="216" t="n">
        <f aca="false">'SVC-3 Model'!BM143</f>
        <v>0.283333333333333</v>
      </c>
      <c r="BN107" s="216" t="n">
        <f aca="false">'SVC-3 Model'!BN143</f>
        <v>0.283333333333333</v>
      </c>
      <c r="BO107" s="216" t="n">
        <f aca="false">'SVC-3 Model'!BO143</f>
        <v>0.283333333333333</v>
      </c>
      <c r="BP107" s="216" t="n">
        <f aca="false">'SVC-3 Model'!BP143</f>
        <v>0.283333333333333</v>
      </c>
      <c r="BQ107" s="216" t="n">
        <f aca="false">'SVC-3 Model'!BQ143</f>
        <v>0.283333333333333</v>
      </c>
      <c r="BR107" s="216" t="n">
        <f aca="false">'SVC-3 Model'!BR143</f>
        <v>0.283333333333333</v>
      </c>
      <c r="BS107" s="216" t="n">
        <f aca="false">'SVC-3 Model'!BS143</f>
        <v>0.283333333333333</v>
      </c>
      <c r="BT107" s="216" t="n">
        <f aca="false">'SVC-3 Model'!BT143</f>
        <v>0.283333333333333</v>
      </c>
      <c r="BU107" s="216" t="n">
        <f aca="false">'SVC-3 Model'!BU143</f>
        <v>0.283333333333333</v>
      </c>
      <c r="BV107" s="216" t="n">
        <f aca="false">'SVC-3 Model'!BV143</f>
        <v>0.283333333333333</v>
      </c>
      <c r="BW107" s="216" t="n">
        <f aca="false">'SVC-3 Model'!BW143</f>
        <v>0.283333333333333</v>
      </c>
      <c r="BX107" s="216" t="n">
        <f aca="false">'SVC-3 Model'!BX143</f>
        <v>0.283333333333333</v>
      </c>
      <c r="BY107" s="216" t="n">
        <f aca="false">'SVC-3 Model'!BY143</f>
        <v>0.283333333333333</v>
      </c>
      <c r="BZ107" s="216" t="n">
        <f aca="false">'SVC-3 Model'!BZ143</f>
        <v>0.283333333333333</v>
      </c>
      <c r="CA107" s="216" t="n">
        <f aca="false">'SVC-3 Model'!CA143</f>
        <v>0.283333333333333</v>
      </c>
      <c r="CC107" s="79" t="n">
        <f aca="false">SUMIFS($T107:$CA107, $T$1:$CA$1, CC$63)</f>
        <v>0</v>
      </c>
      <c r="CD107" s="79" t="n">
        <f aca="false">SUMIFS($T107:$CA107, $T$1:$CA$1, CD$63)</f>
        <v>0.283333333333333</v>
      </c>
      <c r="CE107" s="79" t="n">
        <f aca="false">SUMIFS($T107:$CA107, $T$1:$CA$1, CE$63)</f>
        <v>3.11666666666667</v>
      </c>
      <c r="CF107" s="79" t="n">
        <f aca="false">SUMIFS($T107:$CA107, $T$1:$CA$1, CF$63)</f>
        <v>3.4</v>
      </c>
      <c r="CG107" s="79" t="n">
        <f aca="false">SUMIFS($T107:$CA107, $T$1:$CA$1, CG$63)</f>
        <v>3.4</v>
      </c>
      <c r="CI107" s="79" t="n">
        <f aca="false">CC107=L107</f>
        <v>1</v>
      </c>
      <c r="CJ107" s="79" t="n">
        <f aca="false">CD107=M107</f>
        <v>1</v>
      </c>
      <c r="CK107" s="79" t="n">
        <f aca="false">CE107=N107</f>
        <v>1</v>
      </c>
      <c r="CL107" s="79" t="n">
        <f aca="false">CF107=O107</f>
        <v>1</v>
      </c>
      <c r="CM107" s="79" t="n">
        <f aca="false">CG107=P107</f>
        <v>1</v>
      </c>
    </row>
    <row r="108" s="14" customFormat="true" ht="16.5" hidden="false" customHeight="true" outlineLevel="0" collapsed="false">
      <c r="E108" s="91" t="s">
        <v>469</v>
      </c>
      <c r="H108" s="29" t="s">
        <v>562</v>
      </c>
      <c r="I108" s="91" t="n">
        <v>0</v>
      </c>
      <c r="J108" s="213" t="n">
        <f aca="false">I108+'SVC-3 Model'!$K$144</f>
        <v>0.48</v>
      </c>
      <c r="K108" s="214" t="n">
        <f aca="false">'SVC-3 Model'!$K$144</f>
        <v>0.48</v>
      </c>
      <c r="L108" s="213" t="n">
        <f aca="false">'SVC-3 Model'!L144</f>
        <v>0</v>
      </c>
      <c r="M108" s="213" t="n">
        <f aca="false">'SVC-3 Model'!M144</f>
        <v>0.16</v>
      </c>
      <c r="N108" s="213" t="n">
        <f aca="false">'SVC-3 Model'!N144</f>
        <v>0.48</v>
      </c>
      <c r="O108" s="213" t="n">
        <f aca="false">'SVC-3 Model'!O144</f>
        <v>0.48</v>
      </c>
      <c r="P108" s="213" t="n">
        <f aca="false">'SVC-3 Model'!P144</f>
        <v>0.48</v>
      </c>
      <c r="Q108" s="93" t="s">
        <v>266</v>
      </c>
      <c r="R108" s="16" t="str">
        <f aca="false">IF(K108=P108, "", "Error")</f>
        <v/>
      </c>
      <c r="T108" s="213" t="n">
        <f aca="false">'SVC-3 Model'!T144</f>
        <v>0</v>
      </c>
      <c r="U108" s="213" t="n">
        <f aca="false">'SVC-3 Model'!U144</f>
        <v>0</v>
      </c>
      <c r="V108" s="213" t="n">
        <f aca="false">'SVC-3 Model'!V144</f>
        <v>0</v>
      </c>
      <c r="W108" s="213" t="n">
        <f aca="false">'SVC-3 Model'!W144</f>
        <v>0</v>
      </c>
      <c r="X108" s="213" t="n">
        <f aca="false">'SVC-3 Model'!X144</f>
        <v>0</v>
      </c>
      <c r="Y108" s="213" t="n">
        <f aca="false">'SVC-3 Model'!Y144</f>
        <v>0</v>
      </c>
      <c r="Z108" s="213" t="n">
        <f aca="false">'SVC-3 Model'!Z144</f>
        <v>0</v>
      </c>
      <c r="AA108" s="213" t="n">
        <f aca="false">'SVC-3 Model'!AA144</f>
        <v>0</v>
      </c>
      <c r="AB108" s="213" t="n">
        <f aca="false">'SVC-3 Model'!AB144</f>
        <v>0</v>
      </c>
      <c r="AC108" s="213" t="n">
        <f aca="false">'SVC-3 Model'!AC144</f>
        <v>0</v>
      </c>
      <c r="AD108" s="213" t="n">
        <f aca="false">'SVC-3 Model'!AD144</f>
        <v>0</v>
      </c>
      <c r="AE108" s="215" t="n">
        <f aca="false">'SVC-3 Model'!AE144</f>
        <v>0</v>
      </c>
      <c r="AF108" s="215" t="n">
        <f aca="false">'SVC-3 Model'!AF144</f>
        <v>0</v>
      </c>
      <c r="AG108" s="215" t="n">
        <f aca="false">'SVC-3 Model'!AG144</f>
        <v>0</v>
      </c>
      <c r="AH108" s="215" t="n">
        <f aca="false">'SVC-3 Model'!AH144</f>
        <v>0</v>
      </c>
      <c r="AI108" s="215" t="n">
        <f aca="false">'SVC-3 Model'!AI144</f>
        <v>0</v>
      </c>
      <c r="AJ108" s="215" t="n">
        <f aca="false">'SVC-3 Model'!AJ144</f>
        <v>0</v>
      </c>
      <c r="AK108" s="215" t="n">
        <f aca="false">'SVC-3 Model'!AK144</f>
        <v>0</v>
      </c>
      <c r="AL108" s="215" t="n">
        <f aca="false">'SVC-3 Model'!AL144</f>
        <v>0</v>
      </c>
      <c r="AM108" s="215" t="n">
        <f aca="false">'SVC-3 Model'!AM144</f>
        <v>0</v>
      </c>
      <c r="AN108" s="215" t="n">
        <f aca="false">'SVC-3 Model'!AN144</f>
        <v>0.04</v>
      </c>
      <c r="AO108" s="215" t="n">
        <f aca="false">'SVC-3 Model'!AO144</f>
        <v>0.04</v>
      </c>
      <c r="AP108" s="215" t="n">
        <f aca="false">'SVC-3 Model'!AP144</f>
        <v>0.04</v>
      </c>
      <c r="AQ108" s="215" t="n">
        <f aca="false">'SVC-3 Model'!AQ144</f>
        <v>0.04</v>
      </c>
      <c r="AR108" s="215" t="n">
        <f aca="false">'SVC-3 Model'!AR144</f>
        <v>0.04</v>
      </c>
      <c r="AS108" s="215" t="n">
        <f aca="false">'SVC-3 Model'!AS144</f>
        <v>0.04</v>
      </c>
      <c r="AT108" s="215" t="n">
        <f aca="false">'SVC-3 Model'!AT144</f>
        <v>0.04</v>
      </c>
      <c r="AU108" s="215" t="n">
        <f aca="false">'SVC-3 Model'!AU144</f>
        <v>0.04</v>
      </c>
      <c r="AV108" s="215" t="n">
        <f aca="false">'SVC-3 Model'!AV144</f>
        <v>0.04</v>
      </c>
      <c r="AW108" s="215" t="n">
        <f aca="false">'SVC-3 Model'!AW144</f>
        <v>0.04</v>
      </c>
      <c r="AX108" s="215" t="n">
        <f aca="false">'SVC-3 Model'!AX144</f>
        <v>0.04</v>
      </c>
      <c r="AY108" s="215" t="n">
        <f aca="false">'SVC-3 Model'!AY144</f>
        <v>0.04</v>
      </c>
      <c r="AZ108" s="215" t="n">
        <f aca="false">'SVC-3 Model'!AZ144</f>
        <v>0.04</v>
      </c>
      <c r="BA108" s="215" t="n">
        <f aca="false">'SVC-3 Model'!BA144</f>
        <v>0.04</v>
      </c>
      <c r="BB108" s="215" t="n">
        <f aca="false">'SVC-3 Model'!BB144</f>
        <v>0.04</v>
      </c>
      <c r="BC108" s="215" t="n">
        <f aca="false">'SVC-3 Model'!BC144</f>
        <v>0.04</v>
      </c>
      <c r="BD108" s="215" t="n">
        <f aca="false">'SVC-3 Model'!BD144</f>
        <v>0.04</v>
      </c>
      <c r="BE108" s="215" t="n">
        <f aca="false">'SVC-3 Model'!BE144</f>
        <v>0.04</v>
      </c>
      <c r="BF108" s="215" t="n">
        <f aca="false">'SVC-3 Model'!BF144</f>
        <v>0.04</v>
      </c>
      <c r="BG108" s="215" t="n">
        <f aca="false">'SVC-3 Model'!BG144</f>
        <v>0.04</v>
      </c>
      <c r="BH108" s="215" t="n">
        <f aca="false">'SVC-3 Model'!BH144</f>
        <v>0.04</v>
      </c>
      <c r="BI108" s="215" t="n">
        <f aca="false">'SVC-3 Model'!BI144</f>
        <v>0.04</v>
      </c>
      <c r="BJ108" s="215" t="n">
        <f aca="false">'SVC-3 Model'!BJ144</f>
        <v>0.04</v>
      </c>
      <c r="BK108" s="215" t="n">
        <f aca="false">'SVC-3 Model'!BK144</f>
        <v>0.04</v>
      </c>
      <c r="BL108" s="215" t="n">
        <f aca="false">'SVC-3 Model'!BL144</f>
        <v>0.04</v>
      </c>
      <c r="BM108" s="215" t="n">
        <f aca="false">'SVC-3 Model'!BM144</f>
        <v>0.04</v>
      </c>
      <c r="BN108" s="215" t="n">
        <f aca="false">'SVC-3 Model'!BN144</f>
        <v>0.04</v>
      </c>
      <c r="BO108" s="215" t="n">
        <f aca="false">'SVC-3 Model'!BO144</f>
        <v>0.04</v>
      </c>
      <c r="BP108" s="215" t="n">
        <f aca="false">'SVC-3 Model'!BP144</f>
        <v>0.04</v>
      </c>
      <c r="BQ108" s="215" t="n">
        <f aca="false">'SVC-3 Model'!BQ144</f>
        <v>0.04</v>
      </c>
      <c r="BR108" s="215" t="n">
        <f aca="false">'SVC-3 Model'!BR144</f>
        <v>0.04</v>
      </c>
      <c r="BS108" s="215" t="n">
        <f aca="false">'SVC-3 Model'!BS144</f>
        <v>0.04</v>
      </c>
      <c r="BT108" s="215" t="n">
        <f aca="false">'SVC-3 Model'!BT144</f>
        <v>0.04</v>
      </c>
      <c r="BU108" s="215" t="n">
        <f aca="false">'SVC-3 Model'!BU144</f>
        <v>0.04</v>
      </c>
      <c r="BV108" s="215" t="n">
        <f aca="false">'SVC-3 Model'!BV144</f>
        <v>0.04</v>
      </c>
      <c r="BW108" s="215" t="n">
        <f aca="false">'SVC-3 Model'!BW144</f>
        <v>0.04</v>
      </c>
      <c r="BX108" s="215" t="n">
        <f aca="false">'SVC-3 Model'!BX144</f>
        <v>0.04</v>
      </c>
      <c r="BY108" s="215" t="n">
        <f aca="false">'SVC-3 Model'!BY144</f>
        <v>0.04</v>
      </c>
      <c r="BZ108" s="215" t="n">
        <f aca="false">'SVC-3 Model'!BZ144</f>
        <v>0.04</v>
      </c>
      <c r="CA108" s="215" t="n">
        <f aca="false">'SVC-3 Model'!CA144</f>
        <v>0.04</v>
      </c>
      <c r="CC108" s="79" t="n">
        <f aca="false">SUMIFS($T108:$CA108, $T$1:$CA$1, CC$63)</f>
        <v>0</v>
      </c>
      <c r="CD108" s="79" t="n">
        <f aca="false">SUMIFS($T108:$CA108, $T$1:$CA$1, CD$63)</f>
        <v>0.16</v>
      </c>
      <c r="CE108" s="79" t="n">
        <f aca="false">SUMIFS($T108:$CA108, $T$1:$CA$1, CE$63)</f>
        <v>0.48</v>
      </c>
      <c r="CF108" s="79" t="n">
        <f aca="false">SUMIFS($T108:$CA108, $T$1:$CA$1, CF$63)</f>
        <v>0.48</v>
      </c>
      <c r="CG108" s="79" t="n">
        <f aca="false">SUMIFS($T108:$CA108, $T$1:$CA$1, CG$63)</f>
        <v>0.48</v>
      </c>
      <c r="CI108" s="79" t="n">
        <f aca="false">CC108=L108</f>
        <v>1</v>
      </c>
      <c r="CJ108" s="79" t="n">
        <f aca="false">CD108=M108</f>
        <v>1</v>
      </c>
      <c r="CK108" s="79" t="n">
        <f aca="false">CE108=N108</f>
        <v>1</v>
      </c>
      <c r="CL108" s="79" t="n">
        <f aca="false">CF108=O108</f>
        <v>1</v>
      </c>
      <c r="CM108" s="79" t="n">
        <f aca="false">CG108=P108</f>
        <v>1</v>
      </c>
    </row>
    <row r="109" s="14" customFormat="true" ht="16.5" hidden="false" customHeight="true" outlineLevel="0" collapsed="false">
      <c r="E109" s="91" t="s">
        <v>386</v>
      </c>
      <c r="H109" s="29" t="s">
        <v>563</v>
      </c>
      <c r="I109" s="91" t="n">
        <v>0</v>
      </c>
      <c r="J109" s="213" t="n">
        <f aca="false">I109+'SVC-3 Model'!$K$145</f>
        <v>0.99</v>
      </c>
      <c r="K109" s="214" t="n">
        <f aca="false">'SVC-3 Model'!$K$145</f>
        <v>0.99</v>
      </c>
      <c r="L109" s="213" t="n">
        <f aca="false">'SVC-3 Model'!L145</f>
        <v>0</v>
      </c>
      <c r="M109" s="213" t="n">
        <f aca="false">'SVC-3 Model'!M145</f>
        <v>0.33</v>
      </c>
      <c r="N109" s="213" t="n">
        <f aca="false">'SVC-3 Model'!N145</f>
        <v>0.99</v>
      </c>
      <c r="O109" s="213" t="n">
        <f aca="false">'SVC-3 Model'!O145</f>
        <v>0.99</v>
      </c>
      <c r="P109" s="213" t="n">
        <f aca="false">'SVC-3 Model'!P145</f>
        <v>0.99</v>
      </c>
      <c r="Q109" s="93" t="s">
        <v>266</v>
      </c>
      <c r="R109" s="16" t="str">
        <f aca="false">IF(K109=P109, "", "Error")</f>
        <v/>
      </c>
      <c r="T109" s="213" t="n">
        <f aca="false">'SVC-3 Model'!T145</f>
        <v>0</v>
      </c>
      <c r="U109" s="213" t="n">
        <f aca="false">'SVC-3 Model'!U145</f>
        <v>0</v>
      </c>
      <c r="V109" s="213" t="n">
        <f aca="false">'SVC-3 Model'!V145</f>
        <v>0</v>
      </c>
      <c r="W109" s="213" t="n">
        <f aca="false">'SVC-3 Model'!W145</f>
        <v>0</v>
      </c>
      <c r="X109" s="213" t="n">
        <f aca="false">'SVC-3 Model'!X145</f>
        <v>0</v>
      </c>
      <c r="Y109" s="213" t="n">
        <f aca="false">'SVC-3 Model'!Y145</f>
        <v>0</v>
      </c>
      <c r="Z109" s="213" t="n">
        <f aca="false">'SVC-3 Model'!Z145</f>
        <v>0</v>
      </c>
      <c r="AA109" s="213" t="n">
        <f aca="false">'SVC-3 Model'!AA145</f>
        <v>0</v>
      </c>
      <c r="AB109" s="213" t="n">
        <f aca="false">'SVC-3 Model'!AB145</f>
        <v>0</v>
      </c>
      <c r="AC109" s="213" t="n">
        <f aca="false">'SVC-3 Model'!AC145</f>
        <v>0</v>
      </c>
      <c r="AD109" s="213" t="n">
        <f aca="false">'SVC-3 Model'!AD145</f>
        <v>0</v>
      </c>
      <c r="AE109" s="215" t="n">
        <f aca="false">'SVC-3 Model'!AE145</f>
        <v>0</v>
      </c>
      <c r="AF109" s="215" t="n">
        <f aca="false">'SVC-3 Model'!AF145</f>
        <v>0</v>
      </c>
      <c r="AG109" s="215" t="n">
        <f aca="false">'SVC-3 Model'!AG145</f>
        <v>0</v>
      </c>
      <c r="AH109" s="215" t="n">
        <f aca="false">'SVC-3 Model'!AH145</f>
        <v>0</v>
      </c>
      <c r="AI109" s="215" t="n">
        <f aca="false">'SVC-3 Model'!AI145</f>
        <v>0</v>
      </c>
      <c r="AJ109" s="215" t="n">
        <f aca="false">'SVC-3 Model'!AJ145</f>
        <v>0</v>
      </c>
      <c r="AK109" s="215" t="n">
        <f aca="false">'SVC-3 Model'!AK145</f>
        <v>0</v>
      </c>
      <c r="AL109" s="215" t="n">
        <f aca="false">'SVC-3 Model'!AL145</f>
        <v>0</v>
      </c>
      <c r="AM109" s="215" t="n">
        <f aca="false">'SVC-3 Model'!AM145</f>
        <v>0</v>
      </c>
      <c r="AN109" s="215" t="n">
        <f aca="false">'SVC-3 Model'!AN145</f>
        <v>0.0825</v>
      </c>
      <c r="AO109" s="215" t="n">
        <f aca="false">'SVC-3 Model'!AO145</f>
        <v>0.0825</v>
      </c>
      <c r="AP109" s="215" t="n">
        <f aca="false">'SVC-3 Model'!AP145</f>
        <v>0.0825</v>
      </c>
      <c r="AQ109" s="215" t="n">
        <f aca="false">'SVC-3 Model'!AQ145</f>
        <v>0.0825</v>
      </c>
      <c r="AR109" s="215" t="n">
        <f aca="false">'SVC-3 Model'!AR145</f>
        <v>0.0825</v>
      </c>
      <c r="AS109" s="215" t="n">
        <f aca="false">'SVC-3 Model'!AS145</f>
        <v>0.0825</v>
      </c>
      <c r="AT109" s="215" t="n">
        <f aca="false">'SVC-3 Model'!AT145</f>
        <v>0.0825</v>
      </c>
      <c r="AU109" s="215" t="n">
        <f aca="false">'SVC-3 Model'!AU145</f>
        <v>0.0825</v>
      </c>
      <c r="AV109" s="215" t="n">
        <f aca="false">'SVC-3 Model'!AV145</f>
        <v>0.0825</v>
      </c>
      <c r="AW109" s="215" t="n">
        <f aca="false">'SVC-3 Model'!AW145</f>
        <v>0.0825</v>
      </c>
      <c r="AX109" s="215" t="n">
        <f aca="false">'SVC-3 Model'!AX145</f>
        <v>0.0825</v>
      </c>
      <c r="AY109" s="215" t="n">
        <f aca="false">'SVC-3 Model'!AY145</f>
        <v>0.0825</v>
      </c>
      <c r="AZ109" s="215" t="n">
        <f aca="false">'SVC-3 Model'!AZ145</f>
        <v>0.0825</v>
      </c>
      <c r="BA109" s="215" t="n">
        <f aca="false">'SVC-3 Model'!BA145</f>
        <v>0.0825</v>
      </c>
      <c r="BB109" s="215" t="n">
        <f aca="false">'SVC-3 Model'!BB145</f>
        <v>0.0825</v>
      </c>
      <c r="BC109" s="215" t="n">
        <f aca="false">'SVC-3 Model'!BC145</f>
        <v>0.0825</v>
      </c>
      <c r="BD109" s="215" t="n">
        <f aca="false">'SVC-3 Model'!BD145</f>
        <v>0.0825</v>
      </c>
      <c r="BE109" s="215" t="n">
        <f aca="false">'SVC-3 Model'!BE145</f>
        <v>0.0825</v>
      </c>
      <c r="BF109" s="215" t="n">
        <f aca="false">'SVC-3 Model'!BF145</f>
        <v>0.0825</v>
      </c>
      <c r="BG109" s="215" t="n">
        <f aca="false">'SVC-3 Model'!BG145</f>
        <v>0.0825</v>
      </c>
      <c r="BH109" s="215" t="n">
        <f aca="false">'SVC-3 Model'!BH145</f>
        <v>0.0825</v>
      </c>
      <c r="BI109" s="215" t="n">
        <f aca="false">'SVC-3 Model'!BI145</f>
        <v>0.0825</v>
      </c>
      <c r="BJ109" s="215" t="n">
        <f aca="false">'SVC-3 Model'!BJ145</f>
        <v>0.0825</v>
      </c>
      <c r="BK109" s="215" t="n">
        <f aca="false">'SVC-3 Model'!BK145</f>
        <v>0.0825</v>
      </c>
      <c r="BL109" s="215" t="n">
        <f aca="false">'SVC-3 Model'!BL145</f>
        <v>0.0825</v>
      </c>
      <c r="BM109" s="215" t="n">
        <f aca="false">'SVC-3 Model'!BM145</f>
        <v>0.0825</v>
      </c>
      <c r="BN109" s="215" t="n">
        <f aca="false">'SVC-3 Model'!BN145</f>
        <v>0.0825</v>
      </c>
      <c r="BO109" s="215" t="n">
        <f aca="false">'SVC-3 Model'!BO145</f>
        <v>0.0825</v>
      </c>
      <c r="BP109" s="215" t="n">
        <f aca="false">'SVC-3 Model'!BP145</f>
        <v>0.0825</v>
      </c>
      <c r="BQ109" s="215" t="n">
        <f aca="false">'SVC-3 Model'!BQ145</f>
        <v>0.0825</v>
      </c>
      <c r="BR109" s="215" t="n">
        <f aca="false">'SVC-3 Model'!BR145</f>
        <v>0.0825</v>
      </c>
      <c r="BS109" s="215" t="n">
        <f aca="false">'SVC-3 Model'!BS145</f>
        <v>0.0825</v>
      </c>
      <c r="BT109" s="215" t="n">
        <f aca="false">'SVC-3 Model'!BT145</f>
        <v>0.0825</v>
      </c>
      <c r="BU109" s="215" t="n">
        <f aca="false">'SVC-3 Model'!BU145</f>
        <v>0.0825</v>
      </c>
      <c r="BV109" s="215" t="n">
        <f aca="false">'SVC-3 Model'!BV145</f>
        <v>0.0825</v>
      </c>
      <c r="BW109" s="215" t="n">
        <f aca="false">'SVC-3 Model'!BW145</f>
        <v>0.0825</v>
      </c>
      <c r="BX109" s="215" t="n">
        <f aca="false">'SVC-3 Model'!BX145</f>
        <v>0.0825</v>
      </c>
      <c r="BY109" s="215" t="n">
        <f aca="false">'SVC-3 Model'!BY145</f>
        <v>0.0825</v>
      </c>
      <c r="BZ109" s="215" t="n">
        <f aca="false">'SVC-3 Model'!BZ145</f>
        <v>0.0825</v>
      </c>
      <c r="CA109" s="215" t="n">
        <f aca="false">'SVC-3 Model'!CA145</f>
        <v>0.0825</v>
      </c>
      <c r="CC109" s="79" t="n">
        <f aca="false">SUMIFS($T109:$CA109, $T$1:$CA$1, CC$63)</f>
        <v>0</v>
      </c>
      <c r="CD109" s="79" t="n">
        <f aca="false">SUMIFS($T109:$CA109, $T$1:$CA$1, CD$63)</f>
        <v>0.33</v>
      </c>
      <c r="CE109" s="79" t="n">
        <f aca="false">SUMIFS($T109:$CA109, $T$1:$CA$1, CE$63)</f>
        <v>0.99</v>
      </c>
      <c r="CF109" s="79" t="n">
        <f aca="false">SUMIFS($T109:$CA109, $T$1:$CA$1, CF$63)</f>
        <v>0.99</v>
      </c>
      <c r="CG109" s="79" t="n">
        <f aca="false">SUMIFS($T109:$CA109, $T$1:$CA$1, CG$63)</f>
        <v>0.99</v>
      </c>
      <c r="CI109" s="79" t="n">
        <f aca="false">CC109=L109</f>
        <v>1</v>
      </c>
      <c r="CJ109" s="79" t="n">
        <f aca="false">CD109=M109</f>
        <v>1</v>
      </c>
      <c r="CK109" s="79" t="n">
        <f aca="false">CE109=N109</f>
        <v>1</v>
      </c>
      <c r="CL109" s="79" t="n">
        <f aca="false">CF109=O109</f>
        <v>1</v>
      </c>
      <c r="CM109" s="79" t="n">
        <f aca="false">CG109=P109</f>
        <v>1</v>
      </c>
    </row>
    <row r="110" s="14" customFormat="true" ht="16.5" hidden="false" customHeight="true" outlineLevel="0" collapsed="false">
      <c r="E110" s="91" t="s">
        <v>389</v>
      </c>
      <c r="H110" s="29" t="s">
        <v>564</v>
      </c>
      <c r="I110" s="91" t="n">
        <v>0</v>
      </c>
      <c r="J110" s="213" t="n">
        <f aca="false">I110+'SVC-3 Model'!$K$146</f>
        <v>0.45</v>
      </c>
      <c r="K110" s="214" t="n">
        <f aca="false">'SVC-3 Model'!$K$146</f>
        <v>0.45</v>
      </c>
      <c r="L110" s="213" t="n">
        <f aca="false">'SVC-3 Model'!L146</f>
        <v>0</v>
      </c>
      <c r="M110" s="213" t="n">
        <f aca="false">'SVC-3 Model'!M146</f>
        <v>0.15</v>
      </c>
      <c r="N110" s="213" t="n">
        <f aca="false">'SVC-3 Model'!N146</f>
        <v>0.45</v>
      </c>
      <c r="O110" s="213" t="n">
        <f aca="false">'SVC-3 Model'!O146</f>
        <v>0.45</v>
      </c>
      <c r="P110" s="213" t="n">
        <f aca="false">'SVC-3 Model'!P146</f>
        <v>0.45</v>
      </c>
      <c r="Q110" s="93" t="s">
        <v>266</v>
      </c>
      <c r="R110" s="16" t="str">
        <f aca="false">IF(K110=P110, "", "Error")</f>
        <v/>
      </c>
      <c r="T110" s="213" t="n">
        <f aca="false">'SVC-3 Model'!T146</f>
        <v>0</v>
      </c>
      <c r="U110" s="213" t="n">
        <f aca="false">'SVC-3 Model'!U146</f>
        <v>0</v>
      </c>
      <c r="V110" s="213" t="n">
        <f aca="false">'SVC-3 Model'!V146</f>
        <v>0</v>
      </c>
      <c r="W110" s="213" t="n">
        <f aca="false">'SVC-3 Model'!W146</f>
        <v>0</v>
      </c>
      <c r="X110" s="213" t="n">
        <f aca="false">'SVC-3 Model'!X146</f>
        <v>0</v>
      </c>
      <c r="Y110" s="213" t="n">
        <f aca="false">'SVC-3 Model'!Y146</f>
        <v>0</v>
      </c>
      <c r="Z110" s="213" t="n">
        <f aca="false">'SVC-3 Model'!Z146</f>
        <v>0</v>
      </c>
      <c r="AA110" s="213" t="n">
        <f aca="false">'SVC-3 Model'!AA146</f>
        <v>0</v>
      </c>
      <c r="AB110" s="213" t="n">
        <f aca="false">'SVC-3 Model'!AB146</f>
        <v>0</v>
      </c>
      <c r="AC110" s="213" t="n">
        <f aca="false">'SVC-3 Model'!AC146</f>
        <v>0</v>
      </c>
      <c r="AD110" s="213" t="n">
        <f aca="false">'SVC-3 Model'!AD146</f>
        <v>0</v>
      </c>
      <c r="AE110" s="215" t="n">
        <f aca="false">'SVC-3 Model'!AE146</f>
        <v>0</v>
      </c>
      <c r="AF110" s="216" t="n">
        <f aca="false">'SVC-3 Model'!AF146</f>
        <v>0</v>
      </c>
      <c r="AG110" s="213" t="n">
        <f aca="false">'SVC-3 Model'!AG146</f>
        <v>0</v>
      </c>
      <c r="AH110" s="213" t="n">
        <f aca="false">'SVC-3 Model'!AH146</f>
        <v>0</v>
      </c>
      <c r="AI110" s="213" t="n">
        <f aca="false">'SVC-3 Model'!AI146</f>
        <v>0</v>
      </c>
      <c r="AJ110" s="213" t="n">
        <f aca="false">'SVC-3 Model'!AJ146</f>
        <v>0</v>
      </c>
      <c r="AK110" s="213" t="n">
        <f aca="false">'SVC-3 Model'!AK146</f>
        <v>0</v>
      </c>
      <c r="AL110" s="213" t="n">
        <f aca="false">'SVC-3 Model'!AL146</f>
        <v>0</v>
      </c>
      <c r="AM110" s="213" t="n">
        <f aca="false">'SVC-3 Model'!AM146</f>
        <v>0</v>
      </c>
      <c r="AN110" s="213" t="n">
        <f aca="false">'SVC-3 Model'!AN146</f>
        <v>0.0375</v>
      </c>
      <c r="AO110" s="213" t="n">
        <f aca="false">'SVC-3 Model'!AO146</f>
        <v>0.0375</v>
      </c>
      <c r="AP110" s="213" t="n">
        <f aca="false">'SVC-3 Model'!AP146</f>
        <v>0.0375</v>
      </c>
      <c r="AQ110" s="215" t="n">
        <f aca="false">'SVC-3 Model'!AQ146</f>
        <v>0.0375</v>
      </c>
      <c r="AR110" s="216" t="n">
        <f aca="false">'SVC-3 Model'!AR146</f>
        <v>0.0375</v>
      </c>
      <c r="AS110" s="213" t="n">
        <f aca="false">'SVC-3 Model'!AS146</f>
        <v>0.0375</v>
      </c>
      <c r="AT110" s="213" t="n">
        <f aca="false">'SVC-3 Model'!AT146</f>
        <v>0.0375</v>
      </c>
      <c r="AU110" s="213" t="n">
        <f aca="false">'SVC-3 Model'!AU146</f>
        <v>0.0375</v>
      </c>
      <c r="AV110" s="213" t="n">
        <f aca="false">'SVC-3 Model'!AV146</f>
        <v>0.0375</v>
      </c>
      <c r="AW110" s="213" t="n">
        <f aca="false">'SVC-3 Model'!AW146</f>
        <v>0.0375</v>
      </c>
      <c r="AX110" s="213" t="n">
        <f aca="false">'SVC-3 Model'!AX146</f>
        <v>0.0375</v>
      </c>
      <c r="AY110" s="213" t="n">
        <f aca="false">'SVC-3 Model'!AY146</f>
        <v>0.0375</v>
      </c>
      <c r="AZ110" s="213" t="n">
        <f aca="false">'SVC-3 Model'!AZ146</f>
        <v>0.0375</v>
      </c>
      <c r="BA110" s="213" t="n">
        <f aca="false">'SVC-3 Model'!BA146</f>
        <v>0.0375</v>
      </c>
      <c r="BB110" s="213" t="n">
        <f aca="false">'SVC-3 Model'!BB146</f>
        <v>0.0375</v>
      </c>
      <c r="BC110" s="215" t="n">
        <f aca="false">'SVC-3 Model'!BC146</f>
        <v>0.0375</v>
      </c>
      <c r="BD110" s="216" t="n">
        <f aca="false">'SVC-3 Model'!BD146</f>
        <v>0.0375</v>
      </c>
      <c r="BE110" s="213" t="n">
        <f aca="false">'SVC-3 Model'!BE146</f>
        <v>0.0375</v>
      </c>
      <c r="BF110" s="213" t="n">
        <f aca="false">'SVC-3 Model'!BF146</f>
        <v>0.0375</v>
      </c>
      <c r="BG110" s="213" t="n">
        <f aca="false">'SVC-3 Model'!BG146</f>
        <v>0.0375</v>
      </c>
      <c r="BH110" s="213" t="n">
        <f aca="false">'SVC-3 Model'!BH146</f>
        <v>0.0375</v>
      </c>
      <c r="BI110" s="213" t="n">
        <f aca="false">'SVC-3 Model'!BI146</f>
        <v>0.0375</v>
      </c>
      <c r="BJ110" s="213" t="n">
        <f aca="false">'SVC-3 Model'!BJ146</f>
        <v>0.0375</v>
      </c>
      <c r="BK110" s="213" t="n">
        <f aca="false">'SVC-3 Model'!BK146</f>
        <v>0.0375</v>
      </c>
      <c r="BL110" s="213" t="n">
        <f aca="false">'SVC-3 Model'!BL146</f>
        <v>0.0375</v>
      </c>
      <c r="BM110" s="213" t="n">
        <f aca="false">'SVC-3 Model'!BM146</f>
        <v>0.0375</v>
      </c>
      <c r="BN110" s="213" t="n">
        <f aca="false">'SVC-3 Model'!BN146</f>
        <v>0.0375</v>
      </c>
      <c r="BO110" s="215" t="n">
        <f aca="false">'SVC-3 Model'!BO146</f>
        <v>0.0375</v>
      </c>
      <c r="BP110" s="216" t="n">
        <f aca="false">'SVC-3 Model'!BP146</f>
        <v>0.0375</v>
      </c>
      <c r="BQ110" s="213" t="n">
        <f aca="false">'SVC-3 Model'!BQ146</f>
        <v>0.0375</v>
      </c>
      <c r="BR110" s="213" t="n">
        <f aca="false">'SVC-3 Model'!BR146</f>
        <v>0.0375</v>
      </c>
      <c r="BS110" s="213" t="n">
        <f aca="false">'SVC-3 Model'!BS146</f>
        <v>0.0375</v>
      </c>
      <c r="BT110" s="213" t="n">
        <f aca="false">'SVC-3 Model'!BT146</f>
        <v>0.0375</v>
      </c>
      <c r="BU110" s="213" t="n">
        <f aca="false">'SVC-3 Model'!BU146</f>
        <v>0.0375</v>
      </c>
      <c r="BV110" s="213" t="n">
        <f aca="false">'SVC-3 Model'!BV146</f>
        <v>0.0375</v>
      </c>
      <c r="BW110" s="213" t="n">
        <f aca="false">'SVC-3 Model'!BW146</f>
        <v>0.0375</v>
      </c>
      <c r="BX110" s="213" t="n">
        <f aca="false">'SVC-3 Model'!BX146</f>
        <v>0.0375</v>
      </c>
      <c r="BY110" s="213" t="n">
        <f aca="false">'SVC-3 Model'!BY146</f>
        <v>0.0375</v>
      </c>
      <c r="BZ110" s="213" t="n">
        <f aca="false">'SVC-3 Model'!BZ146</f>
        <v>0.0375</v>
      </c>
      <c r="CA110" s="226" t="n">
        <f aca="false">'SVC-3 Model'!CA146</f>
        <v>0.0375</v>
      </c>
      <c r="CC110" s="79" t="n">
        <f aca="false">SUMIFS($T110:$CA110, $T$1:$CA$1, CC$63)</f>
        <v>0</v>
      </c>
      <c r="CD110" s="79" t="n">
        <f aca="false">SUMIFS($T110:$CA110, $T$1:$CA$1, CD$63)</f>
        <v>0.15</v>
      </c>
      <c r="CE110" s="79" t="n">
        <f aca="false">SUMIFS($T110:$CA110, $T$1:$CA$1, CE$63)</f>
        <v>0.45</v>
      </c>
      <c r="CF110" s="79" t="n">
        <f aca="false">SUMIFS($T110:$CA110, $T$1:$CA$1, CF$63)</f>
        <v>0.45</v>
      </c>
      <c r="CG110" s="79" t="n">
        <f aca="false">SUMIFS($T110:$CA110, $T$1:$CA$1, CG$63)</f>
        <v>0.45</v>
      </c>
      <c r="CI110" s="79" t="n">
        <f aca="false">CC110=L110</f>
        <v>1</v>
      </c>
      <c r="CJ110" s="79" t="n">
        <f aca="false">CD110=M110</f>
        <v>1</v>
      </c>
      <c r="CK110" s="79" t="n">
        <f aca="false">CE110=N110</f>
        <v>1</v>
      </c>
      <c r="CL110" s="79" t="n">
        <f aca="false">CF110=O110</f>
        <v>1</v>
      </c>
      <c r="CM110" s="79" t="n">
        <f aca="false">CG110=P110</f>
        <v>1</v>
      </c>
    </row>
    <row r="111" s="14" customFormat="true" ht="16.5" hidden="false" customHeight="true" outlineLevel="0" collapsed="false">
      <c r="E111" s="91" t="s">
        <v>391</v>
      </c>
      <c r="H111" s="29" t="s">
        <v>565</v>
      </c>
      <c r="I111" s="91" t="n">
        <v>0</v>
      </c>
      <c r="J111" s="213" t="n">
        <f aca="false">I111+'SVC-3 Model'!$K$147</f>
        <v>0.23</v>
      </c>
      <c r="K111" s="214" t="n">
        <f aca="false">'SVC-3 Model'!$K$147</f>
        <v>0.23</v>
      </c>
      <c r="L111" s="213" t="n">
        <f aca="false">'SVC-3 Model'!L147</f>
        <v>0</v>
      </c>
      <c r="M111" s="213" t="n">
        <f aca="false">'SVC-3 Model'!M147</f>
        <v>0.0766666666666667</v>
      </c>
      <c r="N111" s="213" t="n">
        <f aca="false">'SVC-3 Model'!N147</f>
        <v>0.23</v>
      </c>
      <c r="O111" s="213" t="n">
        <f aca="false">'SVC-3 Model'!O147</f>
        <v>0.23</v>
      </c>
      <c r="P111" s="213" t="n">
        <f aca="false">'SVC-3 Model'!P147</f>
        <v>0.23</v>
      </c>
      <c r="Q111" s="93" t="s">
        <v>266</v>
      </c>
      <c r="R111" s="16" t="str">
        <f aca="false">IF(K111=P111, "", "Error")</f>
        <v/>
      </c>
      <c r="T111" s="213" t="n">
        <f aca="false">'SVC-3 Model'!T147</f>
        <v>0</v>
      </c>
      <c r="U111" s="213" t="n">
        <f aca="false">'SVC-3 Model'!U147</f>
        <v>0</v>
      </c>
      <c r="V111" s="213" t="n">
        <f aca="false">'SVC-3 Model'!V147</f>
        <v>0</v>
      </c>
      <c r="W111" s="213" t="n">
        <f aca="false">'SVC-3 Model'!W147</f>
        <v>0</v>
      </c>
      <c r="X111" s="213" t="n">
        <f aca="false">'SVC-3 Model'!X147</f>
        <v>0</v>
      </c>
      <c r="Y111" s="213" t="n">
        <f aca="false">'SVC-3 Model'!Y147</f>
        <v>0</v>
      </c>
      <c r="Z111" s="213" t="n">
        <f aca="false">'SVC-3 Model'!Z147</f>
        <v>0</v>
      </c>
      <c r="AA111" s="213" t="n">
        <f aca="false">'SVC-3 Model'!AA147</f>
        <v>0</v>
      </c>
      <c r="AB111" s="213" t="n">
        <f aca="false">'SVC-3 Model'!AB147</f>
        <v>0</v>
      </c>
      <c r="AC111" s="213" t="n">
        <f aca="false">'SVC-3 Model'!AC147</f>
        <v>0</v>
      </c>
      <c r="AD111" s="213" t="n">
        <f aca="false">'SVC-3 Model'!AD147</f>
        <v>0</v>
      </c>
      <c r="AE111" s="215" t="n">
        <f aca="false">'SVC-3 Model'!AE147</f>
        <v>0</v>
      </c>
      <c r="AF111" s="216" t="n">
        <f aca="false">'SVC-3 Model'!AF147</f>
        <v>0</v>
      </c>
      <c r="AG111" s="213" t="n">
        <f aca="false">'SVC-3 Model'!AG147</f>
        <v>0</v>
      </c>
      <c r="AH111" s="213" t="n">
        <f aca="false">'SVC-3 Model'!AH147</f>
        <v>0</v>
      </c>
      <c r="AI111" s="213" t="n">
        <f aca="false">'SVC-3 Model'!AI147</f>
        <v>0</v>
      </c>
      <c r="AJ111" s="213" t="n">
        <f aca="false">'SVC-3 Model'!AJ147</f>
        <v>0</v>
      </c>
      <c r="AK111" s="213" t="n">
        <f aca="false">'SVC-3 Model'!AK147</f>
        <v>0</v>
      </c>
      <c r="AL111" s="213" t="n">
        <f aca="false">'SVC-3 Model'!AL147</f>
        <v>0</v>
      </c>
      <c r="AM111" s="213" t="n">
        <f aca="false">'SVC-3 Model'!AM147</f>
        <v>0</v>
      </c>
      <c r="AN111" s="213" t="n">
        <f aca="false">'SVC-3 Model'!AN147</f>
        <v>0.0191666666666667</v>
      </c>
      <c r="AO111" s="213" t="n">
        <f aca="false">'SVC-3 Model'!AO147</f>
        <v>0.0191666666666667</v>
      </c>
      <c r="AP111" s="213" t="n">
        <f aca="false">'SVC-3 Model'!AP147</f>
        <v>0.0191666666666667</v>
      </c>
      <c r="AQ111" s="215" t="n">
        <f aca="false">'SVC-3 Model'!AQ147</f>
        <v>0.0191666666666667</v>
      </c>
      <c r="AR111" s="216" t="n">
        <f aca="false">'SVC-3 Model'!AR147</f>
        <v>0.0191666666666667</v>
      </c>
      <c r="AS111" s="213" t="n">
        <f aca="false">'SVC-3 Model'!AS147</f>
        <v>0.0191666666666667</v>
      </c>
      <c r="AT111" s="213" t="n">
        <f aca="false">'SVC-3 Model'!AT147</f>
        <v>0.0191666666666667</v>
      </c>
      <c r="AU111" s="213" t="n">
        <f aca="false">'SVC-3 Model'!AU147</f>
        <v>0.0191666666666667</v>
      </c>
      <c r="AV111" s="213" t="n">
        <f aca="false">'SVC-3 Model'!AV147</f>
        <v>0.0191666666666667</v>
      </c>
      <c r="AW111" s="213" t="n">
        <f aca="false">'SVC-3 Model'!AW147</f>
        <v>0.0191666666666667</v>
      </c>
      <c r="AX111" s="213" t="n">
        <f aca="false">'SVC-3 Model'!AX147</f>
        <v>0.0191666666666667</v>
      </c>
      <c r="AY111" s="213" t="n">
        <f aca="false">'SVC-3 Model'!AY147</f>
        <v>0.0191666666666667</v>
      </c>
      <c r="AZ111" s="213" t="n">
        <f aca="false">'SVC-3 Model'!AZ147</f>
        <v>0.0191666666666667</v>
      </c>
      <c r="BA111" s="213" t="n">
        <f aca="false">'SVC-3 Model'!BA147</f>
        <v>0.0191666666666667</v>
      </c>
      <c r="BB111" s="213" t="n">
        <f aca="false">'SVC-3 Model'!BB147</f>
        <v>0.0191666666666667</v>
      </c>
      <c r="BC111" s="215" t="n">
        <f aca="false">'SVC-3 Model'!BC147</f>
        <v>0.0191666666666667</v>
      </c>
      <c r="BD111" s="216" t="n">
        <f aca="false">'SVC-3 Model'!BD147</f>
        <v>0.0191666666666667</v>
      </c>
      <c r="BE111" s="213" t="n">
        <f aca="false">'SVC-3 Model'!BE147</f>
        <v>0.0191666666666667</v>
      </c>
      <c r="BF111" s="213" t="n">
        <f aca="false">'SVC-3 Model'!BF147</f>
        <v>0.0191666666666667</v>
      </c>
      <c r="BG111" s="213" t="n">
        <f aca="false">'SVC-3 Model'!BG147</f>
        <v>0.0191666666666667</v>
      </c>
      <c r="BH111" s="213" t="n">
        <f aca="false">'SVC-3 Model'!BH147</f>
        <v>0.0191666666666667</v>
      </c>
      <c r="BI111" s="213" t="n">
        <f aca="false">'SVC-3 Model'!BI147</f>
        <v>0.0191666666666667</v>
      </c>
      <c r="BJ111" s="213" t="n">
        <f aca="false">'SVC-3 Model'!BJ147</f>
        <v>0.0191666666666667</v>
      </c>
      <c r="BK111" s="213" t="n">
        <f aca="false">'SVC-3 Model'!BK147</f>
        <v>0.0191666666666667</v>
      </c>
      <c r="BL111" s="213" t="n">
        <f aca="false">'SVC-3 Model'!BL147</f>
        <v>0.0191666666666667</v>
      </c>
      <c r="BM111" s="213" t="n">
        <f aca="false">'SVC-3 Model'!BM147</f>
        <v>0.0191666666666667</v>
      </c>
      <c r="BN111" s="213" t="n">
        <f aca="false">'SVC-3 Model'!BN147</f>
        <v>0.0191666666666667</v>
      </c>
      <c r="BO111" s="215" t="n">
        <f aca="false">'SVC-3 Model'!BO147</f>
        <v>0.0191666666666667</v>
      </c>
      <c r="BP111" s="216" t="n">
        <f aca="false">'SVC-3 Model'!BP147</f>
        <v>0.0191666666666667</v>
      </c>
      <c r="BQ111" s="213" t="n">
        <f aca="false">'SVC-3 Model'!BQ147</f>
        <v>0.0191666666666667</v>
      </c>
      <c r="BR111" s="213" t="n">
        <f aca="false">'SVC-3 Model'!BR147</f>
        <v>0.0191666666666667</v>
      </c>
      <c r="BS111" s="213" t="n">
        <f aca="false">'SVC-3 Model'!BS147</f>
        <v>0.0191666666666667</v>
      </c>
      <c r="BT111" s="213" t="n">
        <f aca="false">'SVC-3 Model'!BT147</f>
        <v>0.0191666666666667</v>
      </c>
      <c r="BU111" s="213" t="n">
        <f aca="false">'SVC-3 Model'!BU147</f>
        <v>0.0191666666666667</v>
      </c>
      <c r="BV111" s="213" t="n">
        <f aca="false">'SVC-3 Model'!BV147</f>
        <v>0.0191666666666667</v>
      </c>
      <c r="BW111" s="213" t="n">
        <f aca="false">'SVC-3 Model'!BW147</f>
        <v>0.0191666666666667</v>
      </c>
      <c r="BX111" s="213" t="n">
        <f aca="false">'SVC-3 Model'!BX147</f>
        <v>0.0191666666666667</v>
      </c>
      <c r="BY111" s="213" t="n">
        <f aca="false">'SVC-3 Model'!BY147</f>
        <v>0.0191666666666667</v>
      </c>
      <c r="BZ111" s="213" t="n">
        <f aca="false">'SVC-3 Model'!BZ147</f>
        <v>0.0191666666666667</v>
      </c>
      <c r="CA111" s="226" t="n">
        <f aca="false">'SVC-3 Model'!CA147</f>
        <v>0.0191666666666667</v>
      </c>
      <c r="CC111" s="79" t="n">
        <f aca="false">SUMIFS($T111:$CA111, $T$1:$CA$1, CC$63)</f>
        <v>0</v>
      </c>
      <c r="CD111" s="79" t="n">
        <f aca="false">SUMIFS($T111:$CA111, $T$1:$CA$1, CD$63)</f>
        <v>0.0766666666666667</v>
      </c>
      <c r="CE111" s="79" t="n">
        <f aca="false">SUMIFS($T111:$CA111, $T$1:$CA$1, CE$63)</f>
        <v>0.23</v>
      </c>
      <c r="CF111" s="79" t="n">
        <f aca="false">SUMIFS($T111:$CA111, $T$1:$CA$1, CF$63)</f>
        <v>0.23</v>
      </c>
      <c r="CG111" s="79" t="n">
        <f aca="false">SUMIFS($T111:$CA111, $T$1:$CA$1, CG$63)</f>
        <v>0.23</v>
      </c>
      <c r="CI111" s="79" t="n">
        <f aca="false">CC111=L111</f>
        <v>1</v>
      </c>
      <c r="CJ111" s="79" t="n">
        <f aca="false">CD111=M111</f>
        <v>1</v>
      </c>
      <c r="CK111" s="79" t="n">
        <f aca="false">CE111=N111</f>
        <v>1</v>
      </c>
      <c r="CL111" s="79" t="n">
        <f aca="false">CF111=O111</f>
        <v>1</v>
      </c>
      <c r="CM111" s="79" t="n">
        <f aca="false">CG111=P111</f>
        <v>1</v>
      </c>
    </row>
    <row r="112" s="14" customFormat="true" ht="16.5" hidden="false" customHeight="true" outlineLevel="0" collapsed="false">
      <c r="E112" s="96" t="s">
        <v>143</v>
      </c>
      <c r="H112" s="29"/>
      <c r="I112" s="82" t="n">
        <f aca="false">SUM(I107:I111)</f>
        <v>0</v>
      </c>
      <c r="J112" s="82" t="n">
        <f aca="false">SUM(J107:J111)</f>
        <v>5.55</v>
      </c>
      <c r="K112" s="82" t="n">
        <f aca="false">SUM(K107:K111)</f>
        <v>5.55</v>
      </c>
      <c r="L112" s="82" t="n">
        <f aca="false">SUM(L107:L111)</f>
        <v>0</v>
      </c>
      <c r="M112" s="82" t="n">
        <f aca="false">SUM(M107:M111)</f>
        <v>1</v>
      </c>
      <c r="N112" s="82" t="n">
        <f aca="false">SUM(N107:N111)</f>
        <v>5.26666666666667</v>
      </c>
      <c r="O112" s="82" t="n">
        <f aca="false">SUM(O107:O111)</f>
        <v>5.55</v>
      </c>
      <c r="P112" s="82" t="n">
        <f aca="false">SUM(P107:P111)</f>
        <v>5.55</v>
      </c>
      <c r="Q112" s="16"/>
      <c r="R112" s="16"/>
      <c r="T112" s="82" t="n">
        <f aca="false">SUM(T107:T111)</f>
        <v>0</v>
      </c>
      <c r="U112" s="82" t="n">
        <f aca="false">SUM(U107:U111)</f>
        <v>0</v>
      </c>
      <c r="V112" s="82" t="n">
        <f aca="false">SUM(V107:V111)</f>
        <v>0</v>
      </c>
      <c r="W112" s="82" t="n">
        <f aca="false">SUM(W107:W111)</f>
        <v>0</v>
      </c>
      <c r="X112" s="82" t="n">
        <f aca="false">SUM(X107:X111)</f>
        <v>0</v>
      </c>
      <c r="Y112" s="82" t="n">
        <f aca="false">SUM(Y107:Y111)</f>
        <v>0</v>
      </c>
      <c r="Z112" s="82" t="n">
        <f aca="false">SUM(Z107:Z111)</f>
        <v>0</v>
      </c>
      <c r="AA112" s="82" t="n">
        <f aca="false">SUM(AA107:AA111)</f>
        <v>0</v>
      </c>
      <c r="AB112" s="82" t="n">
        <f aca="false">SUM(AB107:AB111)</f>
        <v>0</v>
      </c>
      <c r="AC112" s="82" t="n">
        <f aca="false">SUM(AC107:AC111)</f>
        <v>0</v>
      </c>
      <c r="AD112" s="82" t="n">
        <f aca="false">SUM(AD107:AD111)</f>
        <v>0</v>
      </c>
      <c r="AE112" s="82" t="n">
        <f aca="false">SUM(AE107:AE111)</f>
        <v>0</v>
      </c>
      <c r="AF112" s="83" t="n">
        <f aca="false">SUM(AF107:AF111)</f>
        <v>0</v>
      </c>
      <c r="AG112" s="82" t="n">
        <f aca="false">SUM(AG107:AG111)</f>
        <v>0</v>
      </c>
      <c r="AH112" s="82" t="n">
        <f aca="false">SUM(AH107:AH111)</f>
        <v>0</v>
      </c>
      <c r="AI112" s="82" t="n">
        <f aca="false">SUM(AI107:AI111)</f>
        <v>0</v>
      </c>
      <c r="AJ112" s="82" t="n">
        <f aca="false">SUM(AJ107:AJ111)</f>
        <v>0</v>
      </c>
      <c r="AK112" s="82" t="n">
        <f aca="false">SUM(AK107:AK111)</f>
        <v>0</v>
      </c>
      <c r="AL112" s="82" t="n">
        <f aca="false">SUM(AL107:AL111)</f>
        <v>0</v>
      </c>
      <c r="AM112" s="82" t="n">
        <f aca="false">SUM(AM107:AM111)</f>
        <v>0</v>
      </c>
      <c r="AN112" s="82" t="n">
        <f aca="false">SUM(AN107:AN111)</f>
        <v>0.196875</v>
      </c>
      <c r="AO112" s="82" t="n">
        <f aca="false">SUM(AO107:AO111)</f>
        <v>0.232291666666667</v>
      </c>
      <c r="AP112" s="82" t="n">
        <f aca="false">SUM(AP107:AP111)</f>
        <v>0.267708333333333</v>
      </c>
      <c r="AQ112" s="82" t="n">
        <f aca="false">SUM(AQ107:AQ111)</f>
        <v>0.303125</v>
      </c>
      <c r="AR112" s="83" t="n">
        <f aca="false">SUM(AR107:AR111)</f>
        <v>0.338541666666667</v>
      </c>
      <c r="AS112" s="82" t="n">
        <f aca="false">SUM(AS107:AS111)</f>
        <v>0.373958333333333</v>
      </c>
      <c r="AT112" s="82" t="n">
        <f aca="false">SUM(AT107:AT111)</f>
        <v>0.409375</v>
      </c>
      <c r="AU112" s="82" t="n">
        <f aca="false">SUM(AU107:AU111)</f>
        <v>0.444791666666667</v>
      </c>
      <c r="AV112" s="82" t="n">
        <f aca="false">SUM(AV107:AV111)</f>
        <v>0.4625</v>
      </c>
      <c r="AW112" s="82" t="n">
        <f aca="false">SUM(AW107:AW111)</f>
        <v>0.4625</v>
      </c>
      <c r="AX112" s="82" t="n">
        <f aca="false">SUM(AX107:AX111)</f>
        <v>0.4625</v>
      </c>
      <c r="AY112" s="82" t="n">
        <f aca="false">SUM(AY107:AY111)</f>
        <v>0.4625</v>
      </c>
      <c r="AZ112" s="82" t="n">
        <f aca="false">SUM(AZ107:AZ111)</f>
        <v>0.4625</v>
      </c>
      <c r="BA112" s="82" t="n">
        <f aca="false">SUM(BA107:BA111)</f>
        <v>0.4625</v>
      </c>
      <c r="BB112" s="82" t="n">
        <f aca="false">SUM(BB107:BB111)</f>
        <v>0.4625</v>
      </c>
      <c r="BC112" s="82" t="n">
        <f aca="false">SUM(BC107:BC111)</f>
        <v>0.4625</v>
      </c>
      <c r="BD112" s="83" t="n">
        <f aca="false">SUM(BD107:BD111)</f>
        <v>0.4625</v>
      </c>
      <c r="BE112" s="82" t="n">
        <f aca="false">SUM(BE107:BE111)</f>
        <v>0.4625</v>
      </c>
      <c r="BF112" s="82" t="n">
        <f aca="false">SUM(BF107:BF111)</f>
        <v>0.4625</v>
      </c>
      <c r="BG112" s="82" t="n">
        <f aca="false">SUM(BG107:BG111)</f>
        <v>0.4625</v>
      </c>
      <c r="BH112" s="82" t="n">
        <f aca="false">SUM(BH107:BH111)</f>
        <v>0.4625</v>
      </c>
      <c r="BI112" s="82" t="n">
        <f aca="false">SUM(BI107:BI111)</f>
        <v>0.4625</v>
      </c>
      <c r="BJ112" s="82" t="n">
        <f aca="false">SUM(BJ107:BJ111)</f>
        <v>0.4625</v>
      </c>
      <c r="BK112" s="82" t="n">
        <f aca="false">SUM(BK107:BK111)</f>
        <v>0.4625</v>
      </c>
      <c r="BL112" s="82" t="n">
        <f aca="false">SUM(BL107:BL111)</f>
        <v>0.4625</v>
      </c>
      <c r="BM112" s="82" t="n">
        <f aca="false">SUM(BM107:BM111)</f>
        <v>0.4625</v>
      </c>
      <c r="BN112" s="82" t="n">
        <f aca="false">SUM(BN107:BN111)</f>
        <v>0.4625</v>
      </c>
      <c r="BO112" s="82" t="n">
        <f aca="false">SUM(BO107:BO111)</f>
        <v>0.4625</v>
      </c>
      <c r="BP112" s="83" t="n">
        <f aca="false">SUM(BP107:BP111)</f>
        <v>0.4625</v>
      </c>
      <c r="BQ112" s="82" t="n">
        <f aca="false">SUM(BQ107:BQ111)</f>
        <v>0.4625</v>
      </c>
      <c r="BR112" s="82" t="n">
        <f aca="false">SUM(BR107:BR111)</f>
        <v>0.4625</v>
      </c>
      <c r="BS112" s="82" t="n">
        <f aca="false">SUM(BS107:BS111)</f>
        <v>0.4625</v>
      </c>
      <c r="BT112" s="82" t="n">
        <f aca="false">SUM(BT107:BT111)</f>
        <v>0.4625</v>
      </c>
      <c r="BU112" s="82" t="n">
        <f aca="false">SUM(BU107:BU111)</f>
        <v>0.4625</v>
      </c>
      <c r="BV112" s="82" t="n">
        <f aca="false">SUM(BV107:BV111)</f>
        <v>0.4625</v>
      </c>
      <c r="BW112" s="82" t="n">
        <f aca="false">SUM(BW107:BW111)</f>
        <v>0.4625</v>
      </c>
      <c r="BX112" s="82" t="n">
        <f aca="false">SUM(BX107:BX111)</f>
        <v>0.4625</v>
      </c>
      <c r="BY112" s="82" t="n">
        <f aca="false">SUM(BY107:BY111)</f>
        <v>0.4625</v>
      </c>
      <c r="BZ112" s="82" t="n">
        <f aca="false">SUM(BZ107:BZ111)</f>
        <v>0.4625</v>
      </c>
      <c r="CA112" s="84" t="n">
        <f aca="false">SUM(CA107:CA111)</f>
        <v>0.4625</v>
      </c>
      <c r="CC112" s="84" t="n">
        <f aca="false">SUM(CC107:CC111)</f>
        <v>0</v>
      </c>
      <c r="CD112" s="84" t="n">
        <f aca="false">SUM(CD107:CD111)</f>
        <v>1</v>
      </c>
      <c r="CE112" s="84" t="n">
        <f aca="false">SUM(CE107:CE111)</f>
        <v>5.26666666666667</v>
      </c>
      <c r="CF112" s="84" t="n">
        <f aca="false">SUM(CF107:CF111)</f>
        <v>5.55</v>
      </c>
      <c r="CG112" s="84" t="n">
        <f aca="false">SUM(CG107:CG111)</f>
        <v>5.55</v>
      </c>
      <c r="CI112" s="84" t="n">
        <f aca="false">CC112=L112</f>
        <v>1</v>
      </c>
      <c r="CJ112" s="84" t="n">
        <f aca="false">CD112=M112</f>
        <v>1</v>
      </c>
      <c r="CK112" s="84" t="n">
        <f aca="false">CE112=N112</f>
        <v>1</v>
      </c>
      <c r="CL112" s="84" t="n">
        <f aca="false">CF112=O112</f>
        <v>1</v>
      </c>
      <c r="CM112" s="84" t="n">
        <f aca="false">CG112=P112</f>
        <v>1</v>
      </c>
    </row>
    <row r="113" s="14" customFormat="true" ht="16.5" hidden="false" customHeight="true" outlineLevel="0" collapsed="false">
      <c r="E113" s="96"/>
      <c r="H113" s="29"/>
      <c r="I113" s="105"/>
      <c r="J113" s="105"/>
      <c r="K113" s="105"/>
      <c r="L113" s="105"/>
      <c r="M113" s="105"/>
      <c r="N113" s="105"/>
      <c r="O113" s="105"/>
      <c r="P113" s="105"/>
      <c r="Q113" s="16"/>
      <c r="R113" s="16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3"/>
      <c r="AG113" s="82"/>
      <c r="AH113" s="82"/>
      <c r="AI113" s="82"/>
      <c r="AJ113" s="82"/>
      <c r="AK113" s="82"/>
      <c r="AL113" s="82"/>
      <c r="AM113" s="82"/>
      <c r="AN113" s="82"/>
      <c r="AO113" s="82"/>
      <c r="AP113" s="82"/>
      <c r="AQ113" s="82"/>
      <c r="AR113" s="83"/>
      <c r="AS113" s="82"/>
      <c r="AT113" s="82"/>
      <c r="AU113" s="82"/>
      <c r="AV113" s="82"/>
      <c r="AW113" s="82"/>
      <c r="AX113" s="82"/>
      <c r="AY113" s="82"/>
      <c r="AZ113" s="82"/>
      <c r="BA113" s="82"/>
      <c r="BB113" s="82"/>
      <c r="BC113" s="82"/>
      <c r="BD113" s="83"/>
      <c r="BE113" s="82"/>
      <c r="BF113" s="82"/>
      <c r="BG113" s="82"/>
      <c r="BH113" s="82"/>
      <c r="BI113" s="82"/>
      <c r="BJ113" s="82"/>
      <c r="BK113" s="82"/>
      <c r="BL113" s="82"/>
      <c r="BM113" s="82"/>
      <c r="BN113" s="82"/>
      <c r="BO113" s="82"/>
      <c r="BP113" s="83"/>
      <c r="BQ113" s="82"/>
      <c r="BR113" s="82"/>
      <c r="BS113" s="82"/>
      <c r="BT113" s="82"/>
      <c r="BU113" s="82"/>
      <c r="BV113" s="82"/>
      <c r="BW113" s="82"/>
      <c r="BX113" s="82"/>
      <c r="BY113" s="82"/>
      <c r="BZ113" s="82"/>
      <c r="CA113" s="84"/>
      <c r="CC113" s="84"/>
      <c r="CD113" s="84"/>
      <c r="CE113" s="84"/>
      <c r="CF113" s="84"/>
      <c r="CG113" s="84"/>
      <c r="CI113" s="84"/>
      <c r="CJ113" s="84"/>
      <c r="CK113" s="84"/>
      <c r="CL113" s="84"/>
      <c r="CM113" s="84"/>
    </row>
    <row r="114" s="14" customFormat="true" ht="16.5" hidden="false" customHeight="true" outlineLevel="0" collapsed="false">
      <c r="E114" s="85"/>
      <c r="I114" s="104"/>
      <c r="J114" s="104"/>
      <c r="K114" s="104"/>
      <c r="L114" s="104"/>
      <c r="M114" s="104"/>
      <c r="N114" s="104"/>
      <c r="O114" s="104"/>
      <c r="P114" s="104"/>
      <c r="Q114" s="16"/>
      <c r="R114" s="16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9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  <c r="AQ114" s="88"/>
      <c r="AR114" s="89"/>
      <c r="AS114" s="88"/>
      <c r="AT114" s="88"/>
      <c r="AU114" s="88"/>
      <c r="AV114" s="88"/>
      <c r="AW114" s="88"/>
      <c r="AX114" s="88"/>
      <c r="AY114" s="88"/>
      <c r="AZ114" s="88"/>
      <c r="BA114" s="88"/>
      <c r="BB114" s="88"/>
      <c r="BC114" s="88"/>
      <c r="BD114" s="89"/>
      <c r="BE114" s="88"/>
      <c r="BF114" s="88"/>
      <c r="BG114" s="88"/>
      <c r="BH114" s="88"/>
      <c r="BI114" s="88"/>
      <c r="BJ114" s="88"/>
      <c r="BK114" s="88"/>
      <c r="BL114" s="88"/>
      <c r="BM114" s="88"/>
      <c r="BN114" s="88"/>
      <c r="BO114" s="88"/>
      <c r="BP114" s="89"/>
      <c r="BQ114" s="88"/>
      <c r="BR114" s="88"/>
      <c r="BS114" s="88"/>
      <c r="BT114" s="88"/>
      <c r="BU114" s="88"/>
      <c r="BV114" s="88"/>
      <c r="BW114" s="88"/>
      <c r="BX114" s="88"/>
      <c r="BY114" s="88"/>
      <c r="BZ114" s="88"/>
      <c r="CA114" s="90"/>
      <c r="CC114" s="90"/>
      <c r="CD114" s="90"/>
      <c r="CE114" s="90"/>
      <c r="CF114" s="90"/>
      <c r="CG114" s="90"/>
      <c r="CI114" s="90"/>
      <c r="CJ114" s="90"/>
      <c r="CK114" s="90"/>
      <c r="CL114" s="90"/>
      <c r="CM114" s="90"/>
    </row>
    <row r="115" s="14" customFormat="true" ht="16.5" hidden="false" customHeight="true" outlineLevel="0" collapsed="false">
      <c r="E115" s="109" t="s">
        <v>150</v>
      </c>
      <c r="F115" s="109"/>
      <c r="G115" s="109"/>
      <c r="H115" s="109"/>
      <c r="I115" s="220" t="n">
        <f aca="false">SUM(-I96, I104, I112)</f>
        <v>0</v>
      </c>
      <c r="J115" s="220" t="n">
        <f aca="false">SUM(-J96, J104, J112)</f>
        <v>5.55</v>
      </c>
      <c r="K115" s="220" t="n">
        <f aca="false">SUM(-K96, K104, K112)</f>
        <v>5.55</v>
      </c>
      <c r="L115" s="220" t="n">
        <f aca="false">SUM(-L96, L104, L112)</f>
        <v>0</v>
      </c>
      <c r="M115" s="220" t="n">
        <f aca="false">SUM(-M96, M104, M112)</f>
        <v>1</v>
      </c>
      <c r="N115" s="220" t="n">
        <f aca="false">SUM(-N96, N104, N112)</f>
        <v>5.26666666666667</v>
      </c>
      <c r="O115" s="220" t="n">
        <f aca="false">SUM(-O96, O104, O112)</f>
        <v>5.55</v>
      </c>
      <c r="P115" s="220" t="n">
        <f aca="false">SUM(-P96, P104, P112)</f>
        <v>5.55</v>
      </c>
      <c r="Q115" s="16"/>
      <c r="R115" s="16"/>
      <c r="T115" s="120" t="n">
        <f aca="false">SUM(-T96, T104, T112)</f>
        <v>0</v>
      </c>
      <c r="U115" s="120" t="n">
        <f aca="false">SUM(-U96, U104, U112)</f>
        <v>0</v>
      </c>
      <c r="V115" s="120" t="n">
        <f aca="false">SUM(-V96, V104, V112)</f>
        <v>0</v>
      </c>
      <c r="W115" s="120" t="n">
        <f aca="false">SUM(-W96, W104, W112)</f>
        <v>0</v>
      </c>
      <c r="X115" s="120" t="n">
        <f aca="false">SUM(-X96, X104, X112)</f>
        <v>0</v>
      </c>
      <c r="Y115" s="120" t="n">
        <f aca="false">SUM(-Y96, Y104, Y112)</f>
        <v>0</v>
      </c>
      <c r="Z115" s="120" t="n">
        <f aca="false">SUM(-Z96, Z104, Z112)</f>
        <v>0</v>
      </c>
      <c r="AA115" s="120" t="n">
        <f aca="false">SUM(-AA96, AA104, AA112)</f>
        <v>0</v>
      </c>
      <c r="AB115" s="120" t="n">
        <f aca="false">SUM(-AB96, AB104, AB112)</f>
        <v>0</v>
      </c>
      <c r="AC115" s="120" t="n">
        <f aca="false">SUM(-AC96, AC104, AC112)</f>
        <v>0</v>
      </c>
      <c r="AD115" s="120" t="n">
        <f aca="false">SUM(-AD96, AD104, AD112)</f>
        <v>0</v>
      </c>
      <c r="AE115" s="120" t="n">
        <f aca="false">SUM(-AE96, AE104, AE112)</f>
        <v>0</v>
      </c>
      <c r="AF115" s="120" t="n">
        <f aca="false">SUM(-AF96, AF104, AF112)</f>
        <v>0</v>
      </c>
      <c r="AG115" s="120" t="n">
        <f aca="false">SUM(-AG96, AG104, AG112)</f>
        <v>0</v>
      </c>
      <c r="AH115" s="120" t="n">
        <f aca="false">SUM(-AH96, AH104, AH112)</f>
        <v>0</v>
      </c>
      <c r="AI115" s="120" t="n">
        <f aca="false">SUM(-AI96, AI104, AI112)</f>
        <v>0</v>
      </c>
      <c r="AJ115" s="120" t="n">
        <f aca="false">SUM(-AJ96, AJ104, AJ112)</f>
        <v>0</v>
      </c>
      <c r="AK115" s="120" t="n">
        <f aca="false">SUM(-AK96, AK104, AK112)</f>
        <v>0</v>
      </c>
      <c r="AL115" s="120" t="n">
        <f aca="false">SUM(-AL96, AL104, AL112)</f>
        <v>0</v>
      </c>
      <c r="AM115" s="120" t="n">
        <f aca="false">SUM(-AM96, AM104, AM112)</f>
        <v>0</v>
      </c>
      <c r="AN115" s="120" t="n">
        <f aca="false">SUM(-AN96, AN104, AN112)</f>
        <v>0.196875</v>
      </c>
      <c r="AO115" s="120" t="n">
        <f aca="false">SUM(-AO96, AO104, AO112)</f>
        <v>0.232291666666667</v>
      </c>
      <c r="AP115" s="120" t="n">
        <f aca="false">SUM(-AP96, AP104, AP112)</f>
        <v>0.267708333333333</v>
      </c>
      <c r="AQ115" s="120" t="n">
        <f aca="false">SUM(-AQ96, AQ104, AQ112)</f>
        <v>0.303125</v>
      </c>
      <c r="AR115" s="120" t="n">
        <f aca="false">SUM(-AR96, AR104, AR112)</f>
        <v>0.338541666666667</v>
      </c>
      <c r="AS115" s="120" t="n">
        <f aca="false">SUM(-AS96, AS104, AS112)</f>
        <v>0.373958333333333</v>
      </c>
      <c r="AT115" s="120" t="n">
        <f aca="false">SUM(-AT96, AT104, AT112)</f>
        <v>0.409375</v>
      </c>
      <c r="AU115" s="120" t="n">
        <f aca="false">SUM(-AU96, AU104, AU112)</f>
        <v>0.444791666666667</v>
      </c>
      <c r="AV115" s="120" t="n">
        <f aca="false">SUM(-AV96, AV104, AV112)</f>
        <v>0.4625</v>
      </c>
      <c r="AW115" s="120" t="n">
        <f aca="false">SUM(-AW96, AW104, AW112)</f>
        <v>0.4625</v>
      </c>
      <c r="AX115" s="120" t="n">
        <f aca="false">SUM(-AX96, AX104, AX112)</f>
        <v>0.4625</v>
      </c>
      <c r="AY115" s="120" t="n">
        <f aca="false">SUM(-AY96, AY104, AY112)</f>
        <v>0.4625</v>
      </c>
      <c r="AZ115" s="120" t="n">
        <f aca="false">SUM(-AZ96, AZ104, AZ112)</f>
        <v>0.4625</v>
      </c>
      <c r="BA115" s="120" t="n">
        <f aca="false">SUM(-BA96, BA104, BA112)</f>
        <v>0.4625</v>
      </c>
      <c r="BB115" s="120" t="n">
        <f aca="false">SUM(-BB96, BB104, BB112)</f>
        <v>0.4625</v>
      </c>
      <c r="BC115" s="120" t="n">
        <f aca="false">SUM(-BC96, BC104, BC112)</f>
        <v>0.4625</v>
      </c>
      <c r="BD115" s="120" t="n">
        <f aca="false">SUM(-BD96, BD104, BD112)</f>
        <v>0.4625</v>
      </c>
      <c r="BE115" s="120" t="n">
        <f aca="false">SUM(-BE96, BE104, BE112)</f>
        <v>0.4625</v>
      </c>
      <c r="BF115" s="120" t="n">
        <f aca="false">SUM(-BF96, BF104, BF112)</f>
        <v>0.4625</v>
      </c>
      <c r="BG115" s="120" t="n">
        <f aca="false">SUM(-BG96, BG104, BG112)</f>
        <v>0.4625</v>
      </c>
      <c r="BH115" s="120" t="n">
        <f aca="false">SUM(-BH96, BH104, BH112)</f>
        <v>0.4625</v>
      </c>
      <c r="BI115" s="120" t="n">
        <f aca="false">SUM(-BI96, BI104, BI112)</f>
        <v>0.4625</v>
      </c>
      <c r="BJ115" s="120" t="n">
        <f aca="false">SUM(-BJ96, BJ104, BJ112)</f>
        <v>0.4625</v>
      </c>
      <c r="BK115" s="120" t="n">
        <f aca="false">SUM(-BK96, BK104, BK112)</f>
        <v>0.4625</v>
      </c>
      <c r="BL115" s="120" t="n">
        <f aca="false">SUM(-BL96, BL104, BL112)</f>
        <v>0.4625</v>
      </c>
      <c r="BM115" s="120" t="n">
        <f aca="false">SUM(-BM96, BM104, BM112)</f>
        <v>0.4625</v>
      </c>
      <c r="BN115" s="120" t="n">
        <f aca="false">SUM(-BN96, BN104, BN112)</f>
        <v>0.4625</v>
      </c>
      <c r="BO115" s="120" t="n">
        <f aca="false">SUM(-BO96, BO104, BO112)</f>
        <v>0.4625</v>
      </c>
      <c r="BP115" s="120" t="n">
        <f aca="false">SUM(-BP96, BP104, BP112)</f>
        <v>0.4625</v>
      </c>
      <c r="BQ115" s="120" t="n">
        <f aca="false">SUM(-BQ96, BQ104, BQ112)</f>
        <v>0.4625</v>
      </c>
      <c r="BR115" s="120" t="n">
        <f aca="false">SUM(-BR96, BR104, BR112)</f>
        <v>0.4625</v>
      </c>
      <c r="BS115" s="120" t="n">
        <f aca="false">SUM(-BS96, BS104, BS112)</f>
        <v>0.4625</v>
      </c>
      <c r="BT115" s="120" t="n">
        <f aca="false">SUM(-BT96, BT104, BT112)</f>
        <v>0.4625</v>
      </c>
      <c r="BU115" s="120" t="n">
        <f aca="false">SUM(-BU96, BU104, BU112)</f>
        <v>0.4625</v>
      </c>
      <c r="BV115" s="120" t="n">
        <f aca="false">SUM(-BV96, BV104, BV112)</f>
        <v>0.4625</v>
      </c>
      <c r="BW115" s="120" t="n">
        <f aca="false">SUM(-BW96, BW104, BW112)</f>
        <v>0.4625</v>
      </c>
      <c r="BX115" s="120" t="n">
        <f aca="false">SUM(-BX96, BX104, BX112)</f>
        <v>0.4625</v>
      </c>
      <c r="BY115" s="120" t="n">
        <f aca="false">SUM(-BY96, BY104, BY112)</f>
        <v>0.4625</v>
      </c>
      <c r="BZ115" s="120" t="n">
        <f aca="false">SUM(-BZ96, BZ104, BZ112)</f>
        <v>0.4625</v>
      </c>
      <c r="CA115" s="120" t="n">
        <f aca="false">SUM(-CA96, CA104, CA112)</f>
        <v>0.4625</v>
      </c>
      <c r="CC115" s="120" t="n">
        <f aca="false">SUM(-CC96, CC104, CC112)</f>
        <v>0</v>
      </c>
      <c r="CD115" s="120" t="n">
        <f aca="false">SUM(-CD96, CD104, CD112)</f>
        <v>1</v>
      </c>
      <c r="CE115" s="120" t="n">
        <f aca="false">SUM(-CE96, CE104, CE112)</f>
        <v>5.26666666666667</v>
      </c>
      <c r="CF115" s="120" t="n">
        <f aca="false">SUM(-CF96, CF104, CF112)</f>
        <v>5.55</v>
      </c>
      <c r="CG115" s="120" t="n">
        <f aca="false">SUM(-CG96, CG104, CG112)</f>
        <v>5.55</v>
      </c>
      <c r="CI115" s="113" t="n">
        <f aca="false">CC115=L115</f>
        <v>1</v>
      </c>
      <c r="CJ115" s="113" t="n">
        <f aca="false">CD115=M115</f>
        <v>1</v>
      </c>
      <c r="CK115" s="113" t="n">
        <f aca="false">CE115=N115</f>
        <v>1</v>
      </c>
      <c r="CL115" s="113" t="n">
        <f aca="false">CF115=O115</f>
        <v>1</v>
      </c>
      <c r="CM115" s="113" t="n">
        <f aca="false">CG115=P115</f>
        <v>1</v>
      </c>
    </row>
    <row r="116" s="14" customFormat="true" ht="17.25" hidden="false" customHeight="true" outlineLevel="0" collapsed="false">
      <c r="E116" s="21"/>
      <c r="I116" s="221"/>
      <c r="J116" s="221"/>
      <c r="K116" s="221"/>
      <c r="L116" s="221"/>
      <c r="M116" s="221"/>
      <c r="N116" s="221"/>
      <c r="O116" s="221"/>
      <c r="P116" s="221"/>
      <c r="Q116" s="16"/>
      <c r="R116" s="16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  <c r="AQ116" s="88"/>
      <c r="AR116" s="88"/>
      <c r="AS116" s="88"/>
      <c r="AT116" s="88"/>
      <c r="AU116" s="88"/>
      <c r="AV116" s="88"/>
      <c r="AW116" s="88"/>
      <c r="AX116" s="88"/>
      <c r="AY116" s="88"/>
      <c r="AZ116" s="88"/>
      <c r="BA116" s="88"/>
      <c r="BB116" s="88"/>
      <c r="BC116" s="88"/>
      <c r="BD116" s="88"/>
      <c r="BE116" s="88"/>
      <c r="BF116" s="88"/>
      <c r="BG116" s="88"/>
      <c r="BH116" s="88"/>
      <c r="BI116" s="88"/>
      <c r="BJ116" s="88"/>
      <c r="BK116" s="88"/>
      <c r="BL116" s="88"/>
      <c r="BM116" s="88"/>
      <c r="BN116" s="88"/>
      <c r="BO116" s="88"/>
      <c r="BP116" s="88"/>
      <c r="BQ116" s="88"/>
      <c r="BR116" s="88"/>
      <c r="BS116" s="88"/>
      <c r="BT116" s="88"/>
      <c r="BU116" s="88"/>
      <c r="BV116" s="88"/>
      <c r="BW116" s="88"/>
      <c r="BX116" s="88"/>
      <c r="BY116" s="88"/>
      <c r="BZ116" s="88"/>
      <c r="CA116" s="121"/>
    </row>
    <row r="117" s="14" customFormat="true" ht="17.25" hidden="false" customHeight="true" outlineLevel="0" collapsed="false">
      <c r="E117" s="122" t="s">
        <v>151</v>
      </c>
      <c r="F117" s="123"/>
      <c r="G117" s="123"/>
      <c r="H117" s="123"/>
      <c r="I117" s="222" t="n">
        <f aca="false">SUM(I88, -I115)</f>
        <v>229.88032233</v>
      </c>
      <c r="J117" s="222" t="n">
        <f aca="false">SUM(J88, -J115)</f>
        <v>189.079582917216</v>
      </c>
      <c r="K117" s="223" t="n">
        <f aca="false">SUM(K88, -K115)</f>
        <v>29.7007394127843</v>
      </c>
      <c r="L117" s="222" t="n">
        <f aca="false">SUM(L88, -L115)</f>
        <v>0</v>
      </c>
      <c r="M117" s="222" t="n">
        <f aca="false">SUM(M88, -M115)</f>
        <v>1.93756161773202</v>
      </c>
      <c r="N117" s="222" t="n">
        <f aca="false">SUM(N88, -N115)</f>
        <v>27.0465111283856</v>
      </c>
      <c r="O117" s="222" t="n">
        <f aca="false">SUM(O88, -O115)</f>
        <v>29.7007394127843</v>
      </c>
      <c r="P117" s="222" t="n">
        <f aca="false">SUM(P88, -P115)</f>
        <v>29.7007394127843</v>
      </c>
      <c r="Q117" s="16"/>
      <c r="R117" s="16" t="str">
        <f aca="false">IF(K117=P117, "", "Error")</f>
        <v/>
      </c>
      <c r="T117" s="125" t="n">
        <f aca="false">SUM(T88, -T115)</f>
        <v>0</v>
      </c>
      <c r="U117" s="125" t="n">
        <f aca="false">SUM(U88, -U115)</f>
        <v>0</v>
      </c>
      <c r="V117" s="125" t="n">
        <f aca="false">SUM(V88, -V115)</f>
        <v>0</v>
      </c>
      <c r="W117" s="125" t="n">
        <f aca="false">SUM(W88, -W115)</f>
        <v>0</v>
      </c>
      <c r="X117" s="125" t="n">
        <f aca="false">SUM(X88, -X115)</f>
        <v>0</v>
      </c>
      <c r="Y117" s="125" t="n">
        <f aca="false">SUM(Y88, -Y115)</f>
        <v>0</v>
      </c>
      <c r="Z117" s="125" t="n">
        <f aca="false">SUM(Z88, -Z115)</f>
        <v>0</v>
      </c>
      <c r="AA117" s="125" t="n">
        <f aca="false">SUM(AA88, -AA115)</f>
        <v>0</v>
      </c>
      <c r="AB117" s="125" t="n">
        <f aca="false">SUM(AB88, -AB115)</f>
        <v>0</v>
      </c>
      <c r="AC117" s="125" t="n">
        <f aca="false">SUM(AC88, -AC115)</f>
        <v>0</v>
      </c>
      <c r="AD117" s="125" t="n">
        <f aca="false">SUM(AD88, -AD115)</f>
        <v>0</v>
      </c>
      <c r="AE117" s="125" t="n">
        <f aca="false">SUM(AE88, -AE115)</f>
        <v>0</v>
      </c>
      <c r="AF117" s="125" t="n">
        <f aca="false">SUM(AF88, -AF115)</f>
        <v>0</v>
      </c>
      <c r="AG117" s="125" t="n">
        <f aca="false">SUM(AG88, -AG115)</f>
        <v>0</v>
      </c>
      <c r="AH117" s="125" t="n">
        <f aca="false">SUM(AH88, -AH115)</f>
        <v>0</v>
      </c>
      <c r="AI117" s="125" t="n">
        <f aca="false">SUM(AI88, -AI115)</f>
        <v>0</v>
      </c>
      <c r="AJ117" s="125" t="n">
        <f aca="false">SUM(AJ88, -AJ115)</f>
        <v>0</v>
      </c>
      <c r="AK117" s="125" t="n">
        <f aca="false">SUM(AK88, -AK115)</f>
        <v>0</v>
      </c>
      <c r="AL117" s="125" t="n">
        <f aca="false">SUM(AL88, -AL115)</f>
        <v>0</v>
      </c>
      <c r="AM117" s="125" t="n">
        <f aca="false">SUM(AM88, -AM115)</f>
        <v>0</v>
      </c>
      <c r="AN117" s="125" t="n">
        <f aca="false">SUM(AN88, -AN115)</f>
        <v>-0.0132773988917484</v>
      </c>
      <c r="AO117" s="125" t="n">
        <f aca="false">SUM(AO88, -AO115)</f>
        <v>0.318501136658088</v>
      </c>
      <c r="AP117" s="125" t="n">
        <f aca="false">SUM(AP88, -AP115)</f>
        <v>0.650279672207924</v>
      </c>
      <c r="AQ117" s="125" t="n">
        <f aca="false">SUM(AQ88, -AQ115)</f>
        <v>0.982058207757761</v>
      </c>
      <c r="AR117" s="125" t="n">
        <f aca="false">SUM(AR88, -AR115)</f>
        <v>1.3138367433076</v>
      </c>
      <c r="AS117" s="125" t="n">
        <f aca="false">SUM(AS88, -AS115)</f>
        <v>1.64561527885743</v>
      </c>
      <c r="AT117" s="125" t="n">
        <f aca="false">SUM(AT88, -AT115)</f>
        <v>1.97739381440727</v>
      </c>
      <c r="AU117" s="125" t="n">
        <f aca="false">SUM(AU88, -AU115)</f>
        <v>2.30917234995711</v>
      </c>
      <c r="AV117" s="125" t="n">
        <f aca="false">SUM(AV88, -AV115)</f>
        <v>2.47506161773203</v>
      </c>
      <c r="AW117" s="125" t="n">
        <f aca="false">SUM(AW88, -AW115)</f>
        <v>2.47506161773203</v>
      </c>
      <c r="AX117" s="125" t="n">
        <f aca="false">SUM(AX88, -AX115)</f>
        <v>2.47506161773203</v>
      </c>
      <c r="AY117" s="125" t="n">
        <f aca="false">SUM(AY88, -AY115)</f>
        <v>2.47506161773203</v>
      </c>
      <c r="AZ117" s="125" t="n">
        <f aca="false">SUM(AZ88, -AZ115)</f>
        <v>2.47506161773203</v>
      </c>
      <c r="BA117" s="125" t="n">
        <f aca="false">SUM(BA88, -BA115)</f>
        <v>2.47506161773203</v>
      </c>
      <c r="BB117" s="125" t="n">
        <f aca="false">SUM(BB88, -BB115)</f>
        <v>2.47506161773203</v>
      </c>
      <c r="BC117" s="125" t="n">
        <f aca="false">SUM(BC88, -BC115)</f>
        <v>2.47506161773203</v>
      </c>
      <c r="BD117" s="125" t="n">
        <f aca="false">SUM(BD88, -BD115)</f>
        <v>2.47506161773203</v>
      </c>
      <c r="BE117" s="125" t="n">
        <f aca="false">SUM(BE88, -BE115)</f>
        <v>2.47506161773203</v>
      </c>
      <c r="BF117" s="125" t="n">
        <f aca="false">SUM(BF88, -BF115)</f>
        <v>2.47506161773203</v>
      </c>
      <c r="BG117" s="125" t="n">
        <f aca="false">SUM(BG88, -BG115)</f>
        <v>2.47506161773203</v>
      </c>
      <c r="BH117" s="125" t="n">
        <f aca="false">SUM(BH88, -BH115)</f>
        <v>2.47506161773203</v>
      </c>
      <c r="BI117" s="125" t="n">
        <f aca="false">SUM(BI88, -BI115)</f>
        <v>2.47506161773203</v>
      </c>
      <c r="BJ117" s="125" t="n">
        <f aca="false">SUM(BJ88, -BJ115)</f>
        <v>2.47506161773203</v>
      </c>
      <c r="BK117" s="125" t="n">
        <f aca="false">SUM(BK88, -BK115)</f>
        <v>2.47506161773203</v>
      </c>
      <c r="BL117" s="125" t="n">
        <f aca="false">SUM(BL88, -BL115)</f>
        <v>2.47506161773203</v>
      </c>
      <c r="BM117" s="125" t="n">
        <f aca="false">SUM(BM88, -BM115)</f>
        <v>2.47506161773203</v>
      </c>
      <c r="BN117" s="125" t="n">
        <f aca="false">SUM(BN88, -BN115)</f>
        <v>2.47506161773203</v>
      </c>
      <c r="BO117" s="125" t="n">
        <f aca="false">SUM(BO88, -BO115)</f>
        <v>2.47506161773203</v>
      </c>
      <c r="BP117" s="125" t="n">
        <f aca="false">SUM(BP88, -BP115)</f>
        <v>2.47506161773203</v>
      </c>
      <c r="BQ117" s="125" t="n">
        <f aca="false">SUM(BQ88, -BQ115)</f>
        <v>2.47506161773203</v>
      </c>
      <c r="BR117" s="125" t="n">
        <f aca="false">SUM(BR88, -BR115)</f>
        <v>2.47506161773203</v>
      </c>
      <c r="BS117" s="125" t="n">
        <f aca="false">SUM(BS88, -BS115)</f>
        <v>2.47506161773203</v>
      </c>
      <c r="BT117" s="125" t="n">
        <f aca="false">SUM(BT88, -BT115)</f>
        <v>2.47506161773203</v>
      </c>
      <c r="BU117" s="125" t="n">
        <f aca="false">SUM(BU88, -BU115)</f>
        <v>2.47506161773203</v>
      </c>
      <c r="BV117" s="125" t="n">
        <f aca="false">SUM(BV88, -BV115)</f>
        <v>2.47506161773203</v>
      </c>
      <c r="BW117" s="125" t="n">
        <f aca="false">SUM(BW88, -BW115)</f>
        <v>2.47506161773203</v>
      </c>
      <c r="BX117" s="125" t="n">
        <f aca="false">SUM(BX88, -BX115)</f>
        <v>2.47506161773203</v>
      </c>
      <c r="BY117" s="125" t="n">
        <f aca="false">SUM(BY88, -BY115)</f>
        <v>2.47506161773203</v>
      </c>
      <c r="BZ117" s="125" t="n">
        <f aca="false">SUM(BZ88, -BZ115)</f>
        <v>2.47506161773203</v>
      </c>
      <c r="CA117" s="126" t="n">
        <f aca="false">SUM(CA88, -CA115)</f>
        <v>2.47506161773203</v>
      </c>
      <c r="CC117" s="126" t="n">
        <f aca="false">SUM(CC88, -CC115)</f>
        <v>0</v>
      </c>
      <c r="CD117" s="126" t="n">
        <f aca="false">SUM(CD88, -CD115)</f>
        <v>1.93756161773202</v>
      </c>
      <c r="CE117" s="126" t="n">
        <f aca="false">SUM(CE88, -CE115)</f>
        <v>27.0465111283856</v>
      </c>
      <c r="CF117" s="126" t="n">
        <f aca="false">SUM(CF88, -CF115)</f>
        <v>29.7007394127843</v>
      </c>
      <c r="CG117" s="126" t="n">
        <f aca="false">SUM(CG88, -CG115)</f>
        <v>29.7007394127843</v>
      </c>
      <c r="CI117" s="126" t="n">
        <f aca="false">CC117=L117</f>
        <v>1</v>
      </c>
      <c r="CJ117" s="126" t="n">
        <f aca="false">CD117=M117</f>
        <v>1</v>
      </c>
      <c r="CK117" s="126" t="n">
        <f aca="false">CE117=N117</f>
        <v>1</v>
      </c>
      <c r="CL117" s="126" t="n">
        <f aca="false">CF117=O117</f>
        <v>1</v>
      </c>
      <c r="CM117" s="126" t="n">
        <f aca="false">CG117=P117</f>
        <v>1</v>
      </c>
    </row>
    <row r="118" s="14" customFormat="true" ht="17.25" hidden="false" customHeight="true" outlineLevel="0" collapsed="false">
      <c r="K118" s="127"/>
      <c r="Q118" s="16"/>
      <c r="R118" s="16"/>
    </row>
    <row r="119" s="14" customFormat="true" ht="17.25" hidden="false" customHeight="true" outlineLevel="0" collapsed="false">
      <c r="E119" s="128"/>
      <c r="Q119" s="16"/>
      <c r="R119" s="16"/>
    </row>
    <row r="120" s="14" customFormat="true" ht="16.5" hidden="false" customHeight="true" outlineLevel="0" collapsed="false">
      <c r="C120" s="19" t="s">
        <v>152</v>
      </c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20"/>
      <c r="R120" s="20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C120" s="19" t="s">
        <v>127</v>
      </c>
      <c r="CD120" s="19"/>
      <c r="CE120" s="19"/>
      <c r="CF120" s="19"/>
      <c r="CG120" s="19"/>
      <c r="CI120" s="19" t="s">
        <v>128</v>
      </c>
      <c r="CJ120" s="19"/>
      <c r="CK120" s="19"/>
      <c r="CL120" s="19"/>
      <c r="CM120" s="19"/>
    </row>
    <row r="121" s="14" customFormat="true" ht="16.5" hidden="false" customHeight="true" outlineLevel="0" collapsed="false">
      <c r="Q121" s="16"/>
      <c r="R121" s="16"/>
    </row>
    <row r="122" s="14" customFormat="true" ht="16.5" hidden="false" customHeight="true" outlineLevel="0" collapsed="false">
      <c r="Q122" s="16"/>
      <c r="R122" s="16"/>
      <c r="T122" s="62" t="n">
        <v>2026</v>
      </c>
      <c r="U122" s="129"/>
      <c r="V122" s="129"/>
      <c r="W122" s="129"/>
      <c r="X122" s="129"/>
      <c r="Y122" s="129"/>
      <c r="Z122" s="129"/>
      <c r="AA122" s="129"/>
      <c r="AB122" s="129"/>
      <c r="AC122" s="129"/>
      <c r="AD122" s="129"/>
      <c r="AE122" s="129"/>
      <c r="AF122" s="62" t="n">
        <v>2027</v>
      </c>
      <c r="AG122" s="129"/>
      <c r="AH122" s="129"/>
      <c r="AI122" s="129"/>
      <c r="AJ122" s="129"/>
      <c r="AK122" s="129"/>
      <c r="AL122" s="129"/>
      <c r="AM122" s="129"/>
      <c r="AN122" s="129"/>
      <c r="AO122" s="129"/>
      <c r="AP122" s="129"/>
      <c r="AQ122" s="129"/>
      <c r="AR122" s="62" t="n">
        <v>2028</v>
      </c>
      <c r="AS122" s="129"/>
      <c r="AT122" s="129"/>
      <c r="AU122" s="129"/>
      <c r="AV122" s="129"/>
      <c r="AW122" s="129"/>
      <c r="AX122" s="129"/>
      <c r="AY122" s="129"/>
      <c r="AZ122" s="129"/>
      <c r="BA122" s="129"/>
      <c r="BB122" s="129"/>
      <c r="BC122" s="129"/>
      <c r="BD122" s="62" t="n">
        <v>2029</v>
      </c>
      <c r="BE122" s="129"/>
      <c r="BF122" s="129"/>
      <c r="BG122" s="129"/>
      <c r="BH122" s="129"/>
      <c r="BI122" s="129"/>
      <c r="BJ122" s="129"/>
      <c r="BK122" s="129"/>
      <c r="BL122" s="129"/>
      <c r="BM122" s="129"/>
      <c r="BN122" s="129"/>
      <c r="BO122" s="129"/>
      <c r="BP122" s="62" t="n">
        <v>2030</v>
      </c>
      <c r="BQ122" s="130"/>
      <c r="BR122" s="130"/>
      <c r="BS122" s="130"/>
      <c r="BT122" s="130"/>
      <c r="BU122" s="130"/>
      <c r="BV122" s="130"/>
      <c r="BW122" s="130"/>
      <c r="BX122" s="130"/>
      <c r="BY122" s="130"/>
      <c r="BZ122" s="130"/>
      <c r="CA122" s="130"/>
    </row>
    <row r="123" s="14" customFormat="true" ht="16.5" hidden="false" customHeight="true" outlineLevel="0" collapsed="false">
      <c r="D123" s="30" t="s">
        <v>153</v>
      </c>
      <c r="E123" s="31"/>
      <c r="F123" s="31"/>
      <c r="G123" s="31"/>
      <c r="H123" s="31"/>
      <c r="I123" s="31"/>
      <c r="J123" s="31"/>
      <c r="K123" s="30" t="s">
        <v>130</v>
      </c>
      <c r="L123" s="31" t="n">
        <v>2026</v>
      </c>
      <c r="M123" s="31" t="n">
        <f aca="false">L123+1</f>
        <v>2027</v>
      </c>
      <c r="N123" s="31" t="n">
        <f aca="false">M123+1</f>
        <v>2028</v>
      </c>
      <c r="O123" s="31" t="n">
        <f aca="false">N123+1</f>
        <v>2029</v>
      </c>
      <c r="P123" s="31" t="n">
        <f aca="false">O123+1</f>
        <v>2030</v>
      </c>
      <c r="Q123" s="31" t="s">
        <v>132</v>
      </c>
      <c r="R123" s="16"/>
      <c r="T123" s="59" t="n">
        <v>46023</v>
      </c>
      <c r="U123" s="60" t="n">
        <f aca="false">EOMONTH(T123, 1)</f>
        <v>46081</v>
      </c>
      <c r="V123" s="60" t="n">
        <f aca="false">EOMONTH(U123, 1)</f>
        <v>46112</v>
      </c>
      <c r="W123" s="60" t="n">
        <f aca="false">EOMONTH(V123, 1)</f>
        <v>46142</v>
      </c>
      <c r="X123" s="60" t="n">
        <f aca="false">EOMONTH(W123, 1)</f>
        <v>46173</v>
      </c>
      <c r="Y123" s="60" t="n">
        <f aca="false">EOMONTH(X123, 1)</f>
        <v>46203</v>
      </c>
      <c r="Z123" s="60" t="n">
        <f aca="false">EOMONTH(Y123, 1)</f>
        <v>46234</v>
      </c>
      <c r="AA123" s="60" t="n">
        <f aca="false">EOMONTH(Z123, 1)</f>
        <v>46265</v>
      </c>
      <c r="AB123" s="60" t="n">
        <f aca="false">EOMONTH(AA123, 1)</f>
        <v>46295</v>
      </c>
      <c r="AC123" s="60" t="n">
        <f aca="false">EOMONTH(AB123, 1)</f>
        <v>46326</v>
      </c>
      <c r="AD123" s="60" t="n">
        <f aca="false">EOMONTH(AC123, 1)</f>
        <v>46356</v>
      </c>
      <c r="AE123" s="61" t="n">
        <f aca="false">EOMONTH(AD123, 1)</f>
        <v>46387</v>
      </c>
      <c r="AF123" s="59" t="n">
        <f aca="false">EOMONTH(AE123, 1)</f>
        <v>46418</v>
      </c>
      <c r="AG123" s="60" t="n">
        <f aca="false">EOMONTH(AF123, 1)</f>
        <v>46446</v>
      </c>
      <c r="AH123" s="60" t="n">
        <f aca="false">EOMONTH(AG123, 1)</f>
        <v>46477</v>
      </c>
      <c r="AI123" s="60" t="n">
        <f aca="false">EOMONTH(AH123, 1)</f>
        <v>46507</v>
      </c>
      <c r="AJ123" s="60" t="n">
        <f aca="false">EOMONTH(AI123, 1)</f>
        <v>46538</v>
      </c>
      <c r="AK123" s="60" t="n">
        <f aca="false">EOMONTH(AJ123, 1)</f>
        <v>46568</v>
      </c>
      <c r="AL123" s="60" t="n">
        <f aca="false">EOMONTH(AK123, 1)</f>
        <v>46599</v>
      </c>
      <c r="AM123" s="60" t="n">
        <f aca="false">EOMONTH(AL123, 1)</f>
        <v>46630</v>
      </c>
      <c r="AN123" s="60" t="n">
        <f aca="false">EOMONTH(AM123, 1)</f>
        <v>46660</v>
      </c>
      <c r="AO123" s="60" t="n">
        <f aca="false">EOMONTH(AN123, 1)</f>
        <v>46691</v>
      </c>
      <c r="AP123" s="60" t="n">
        <f aca="false">EOMONTH(AO123, 1)</f>
        <v>46721</v>
      </c>
      <c r="AQ123" s="61" t="n">
        <f aca="false">EOMONTH(AP123, 1)</f>
        <v>46752</v>
      </c>
      <c r="AR123" s="59" t="n">
        <f aca="false">EOMONTH(AQ123, 1)</f>
        <v>46783</v>
      </c>
      <c r="AS123" s="60" t="n">
        <f aca="false">EOMONTH(AR123, 1)</f>
        <v>46812</v>
      </c>
      <c r="AT123" s="60" t="n">
        <f aca="false">EOMONTH(AS123, 1)</f>
        <v>46843</v>
      </c>
      <c r="AU123" s="60" t="n">
        <f aca="false">EOMONTH(AT123, 1)</f>
        <v>46873</v>
      </c>
      <c r="AV123" s="60" t="n">
        <f aca="false">EOMONTH(AU123, 1)</f>
        <v>46904</v>
      </c>
      <c r="AW123" s="60" t="n">
        <f aca="false">EOMONTH(AV123, 1)</f>
        <v>46934</v>
      </c>
      <c r="AX123" s="60" t="n">
        <f aca="false">EOMONTH(AW123, 1)</f>
        <v>46965</v>
      </c>
      <c r="AY123" s="60" t="n">
        <f aca="false">EOMONTH(AX123, 1)</f>
        <v>46996</v>
      </c>
      <c r="AZ123" s="60" t="n">
        <f aca="false">EOMONTH(AY123, 1)</f>
        <v>47026</v>
      </c>
      <c r="BA123" s="60" t="n">
        <f aca="false">EOMONTH(AZ123, 1)</f>
        <v>47057</v>
      </c>
      <c r="BB123" s="60" t="n">
        <f aca="false">EOMONTH(BA123, 1)</f>
        <v>47087</v>
      </c>
      <c r="BC123" s="61" t="n">
        <f aca="false">EOMONTH(BB123, 1)</f>
        <v>47118</v>
      </c>
      <c r="BD123" s="59" t="n">
        <f aca="false">EOMONTH(BC123, 1)</f>
        <v>47149</v>
      </c>
      <c r="BE123" s="60" t="n">
        <f aca="false">EOMONTH(BD123, 1)</f>
        <v>47177</v>
      </c>
      <c r="BF123" s="60" t="n">
        <f aca="false">EOMONTH(BE123, 1)</f>
        <v>47208</v>
      </c>
      <c r="BG123" s="60" t="n">
        <f aca="false">EOMONTH(BF123, 1)</f>
        <v>47238</v>
      </c>
      <c r="BH123" s="60" t="n">
        <f aca="false">EOMONTH(BG123, 1)</f>
        <v>47269</v>
      </c>
      <c r="BI123" s="60" t="n">
        <f aca="false">EOMONTH(BH123, 1)</f>
        <v>47299</v>
      </c>
      <c r="BJ123" s="60" t="n">
        <f aca="false">EOMONTH(BI123, 1)</f>
        <v>47330</v>
      </c>
      <c r="BK123" s="60" t="n">
        <f aca="false">EOMONTH(BJ123, 1)</f>
        <v>47361</v>
      </c>
      <c r="BL123" s="60" t="n">
        <f aca="false">EOMONTH(BK123, 1)</f>
        <v>47391</v>
      </c>
      <c r="BM123" s="60" t="n">
        <f aca="false">EOMONTH(BL123, 1)</f>
        <v>47422</v>
      </c>
      <c r="BN123" s="60" t="n">
        <f aca="false">EOMONTH(BM123, 1)</f>
        <v>47452</v>
      </c>
      <c r="BO123" s="61" t="n">
        <f aca="false">EOMONTH(BN123, 1)</f>
        <v>47483</v>
      </c>
      <c r="BP123" s="59" t="n">
        <f aca="false">EOMONTH(BO123, 1)</f>
        <v>47514</v>
      </c>
      <c r="BQ123" s="60" t="n">
        <f aca="false">EOMONTH(BP123, 1)</f>
        <v>47542</v>
      </c>
      <c r="BR123" s="60" t="n">
        <f aca="false">EOMONTH(BQ123, 1)</f>
        <v>47573</v>
      </c>
      <c r="BS123" s="60" t="n">
        <f aca="false">EOMONTH(BR123, 1)</f>
        <v>47603</v>
      </c>
      <c r="BT123" s="60" t="n">
        <f aca="false">EOMONTH(BS123, 1)</f>
        <v>47634</v>
      </c>
      <c r="BU123" s="60" t="n">
        <f aca="false">EOMONTH(BT123, 1)</f>
        <v>47664</v>
      </c>
      <c r="BV123" s="60" t="n">
        <f aca="false">EOMONTH(BU123, 1)</f>
        <v>47695</v>
      </c>
      <c r="BW123" s="60" t="n">
        <f aca="false">EOMONTH(BV123, 1)</f>
        <v>47726</v>
      </c>
      <c r="BX123" s="60" t="n">
        <f aca="false">EOMONTH(BW123, 1)</f>
        <v>47756</v>
      </c>
      <c r="BY123" s="60" t="n">
        <f aca="false">EOMONTH(BX123, 1)</f>
        <v>47787</v>
      </c>
      <c r="BZ123" s="60" t="n">
        <f aca="false">EOMONTH(BY123, 1)</f>
        <v>47817</v>
      </c>
      <c r="CA123" s="60" t="n">
        <f aca="false">EOMONTH(BZ123, 1)</f>
        <v>47848</v>
      </c>
      <c r="CC123" s="62" t="n">
        <v>2026</v>
      </c>
      <c r="CD123" s="62" t="n">
        <f aca="false">CC123+1</f>
        <v>2027</v>
      </c>
      <c r="CE123" s="62" t="n">
        <f aca="false">CD123+1</f>
        <v>2028</v>
      </c>
      <c r="CF123" s="62" t="n">
        <f aca="false">CE123+1</f>
        <v>2029</v>
      </c>
      <c r="CG123" s="62" t="n">
        <f aca="false">CF123+1</f>
        <v>2030</v>
      </c>
      <c r="CI123" s="62" t="n">
        <v>2026</v>
      </c>
      <c r="CJ123" s="62" t="n">
        <f aca="false">CI123+1</f>
        <v>2027</v>
      </c>
      <c r="CK123" s="62" t="n">
        <f aca="false">CJ123+1</f>
        <v>2028</v>
      </c>
      <c r="CL123" s="62" t="n">
        <f aca="false">CK123+1</f>
        <v>2029</v>
      </c>
      <c r="CM123" s="62" t="n">
        <f aca="false">CL123+1</f>
        <v>2030</v>
      </c>
    </row>
    <row r="124" s="14" customFormat="true" ht="16.5" hidden="false" customHeight="true" outlineLevel="0" collapsed="false">
      <c r="E124" s="21"/>
      <c r="F124" s="21"/>
      <c r="G124" s="21"/>
      <c r="K124" s="35"/>
      <c r="Q124" s="16"/>
      <c r="R124" s="16"/>
    </row>
    <row r="125" s="14" customFormat="true" ht="16.5" hidden="false" customHeight="true" outlineLevel="0" collapsed="false">
      <c r="E125" s="21" t="s">
        <v>154</v>
      </c>
      <c r="K125" s="35"/>
      <c r="Q125" s="16"/>
      <c r="R125" s="16"/>
    </row>
    <row r="126" s="14" customFormat="true" ht="16.5" hidden="false" customHeight="true" outlineLevel="0" collapsed="false">
      <c r="E126" s="91"/>
      <c r="K126" s="35"/>
      <c r="L126" s="91"/>
      <c r="M126" s="91"/>
      <c r="N126" s="91"/>
      <c r="O126" s="91"/>
      <c r="P126" s="91"/>
      <c r="Q126" s="93"/>
      <c r="R126" s="16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1"/>
      <c r="AI126" s="91"/>
      <c r="AJ126" s="91"/>
      <c r="AK126" s="91"/>
      <c r="AL126" s="91"/>
      <c r="AM126" s="91"/>
      <c r="AN126" s="91"/>
      <c r="AO126" s="91"/>
      <c r="AP126" s="91"/>
      <c r="AQ126" s="91"/>
      <c r="AR126" s="91"/>
      <c r="AS126" s="91"/>
      <c r="AT126" s="91"/>
      <c r="AU126" s="91"/>
      <c r="AV126" s="91"/>
      <c r="AW126" s="91"/>
      <c r="AX126" s="91"/>
      <c r="AY126" s="91"/>
      <c r="AZ126" s="91"/>
      <c r="BA126" s="91"/>
      <c r="BB126" s="91"/>
      <c r="BC126" s="91"/>
      <c r="BD126" s="91"/>
      <c r="BE126" s="91"/>
      <c r="BF126" s="91"/>
      <c r="BG126" s="91"/>
      <c r="BH126" s="91"/>
      <c r="BI126" s="91"/>
      <c r="BJ126" s="91"/>
      <c r="BK126" s="91"/>
      <c r="BL126" s="91"/>
      <c r="BM126" s="91"/>
      <c r="BN126" s="91"/>
      <c r="BO126" s="91"/>
      <c r="BP126" s="91"/>
      <c r="BQ126" s="91"/>
      <c r="BR126" s="91"/>
      <c r="BS126" s="91"/>
      <c r="BT126" s="91"/>
      <c r="BU126" s="91"/>
      <c r="BV126" s="91"/>
      <c r="BW126" s="91"/>
      <c r="BX126" s="91"/>
      <c r="BY126" s="91"/>
      <c r="BZ126" s="91"/>
      <c r="CA126" s="91"/>
      <c r="CC126" s="79" t="n">
        <f aca="false">SUMIFS($T126:$CA126, $T$1:$CA$1, CC$63)</f>
        <v>0</v>
      </c>
      <c r="CD126" s="79" t="n">
        <f aca="false">SUMIFS($T126:$CA126, $T$1:$CA$1, CD$63)</f>
        <v>0</v>
      </c>
      <c r="CE126" s="79" t="n">
        <f aca="false">SUMIFS($T126:$CA126, $T$1:$CA$1, CE$63)</f>
        <v>0</v>
      </c>
      <c r="CF126" s="79" t="n">
        <f aca="false">SUMIFS($T126:$CA126, $T$1:$CA$1, CF$63)</f>
        <v>0</v>
      </c>
      <c r="CG126" s="79" t="n">
        <f aca="false">SUMIFS($T126:$CA126, $T$1:$CA$1, CG$63)</f>
        <v>0</v>
      </c>
      <c r="CI126" s="79" t="n">
        <f aca="false">CC126=L126</f>
        <v>1</v>
      </c>
      <c r="CJ126" s="79" t="n">
        <f aca="false">CD126=M126</f>
        <v>1</v>
      </c>
      <c r="CK126" s="79" t="n">
        <f aca="false">CE126=N126</f>
        <v>1</v>
      </c>
      <c r="CL126" s="79" t="n">
        <f aca="false">CF126=O126</f>
        <v>1</v>
      </c>
      <c r="CM126" s="79" t="n">
        <f aca="false">CG126=P126</f>
        <v>1</v>
      </c>
    </row>
    <row r="127" s="14" customFormat="true" ht="16.5" hidden="false" customHeight="true" outlineLevel="0" collapsed="false">
      <c r="E127" s="91"/>
      <c r="K127" s="35"/>
      <c r="L127" s="91"/>
      <c r="M127" s="91"/>
      <c r="N127" s="91"/>
      <c r="O127" s="91"/>
      <c r="P127" s="91"/>
      <c r="Q127" s="93"/>
      <c r="R127" s="16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  <c r="AK127" s="91"/>
      <c r="AL127" s="91"/>
      <c r="AM127" s="91"/>
      <c r="AN127" s="91"/>
      <c r="AO127" s="91"/>
      <c r="AP127" s="91"/>
      <c r="AQ127" s="91"/>
      <c r="AR127" s="91"/>
      <c r="AS127" s="91"/>
      <c r="AT127" s="91"/>
      <c r="AU127" s="91"/>
      <c r="AV127" s="91"/>
      <c r="AW127" s="91"/>
      <c r="AX127" s="91"/>
      <c r="AY127" s="91"/>
      <c r="AZ127" s="91"/>
      <c r="BA127" s="91"/>
      <c r="BB127" s="91"/>
      <c r="BC127" s="91"/>
      <c r="BD127" s="91"/>
      <c r="BE127" s="91"/>
      <c r="BF127" s="91"/>
      <c r="BG127" s="91"/>
      <c r="BH127" s="91"/>
      <c r="BI127" s="91"/>
      <c r="BJ127" s="91"/>
      <c r="BK127" s="91"/>
      <c r="BL127" s="91"/>
      <c r="BM127" s="91"/>
      <c r="BN127" s="91"/>
      <c r="BO127" s="91"/>
      <c r="BP127" s="91"/>
      <c r="BQ127" s="91"/>
      <c r="BR127" s="91"/>
      <c r="BS127" s="91"/>
      <c r="BT127" s="91"/>
      <c r="BU127" s="91"/>
      <c r="BV127" s="91"/>
      <c r="BW127" s="91"/>
      <c r="BX127" s="91"/>
      <c r="BY127" s="91"/>
      <c r="BZ127" s="91"/>
      <c r="CA127" s="91"/>
      <c r="CC127" s="79" t="n">
        <f aca="false">SUMIFS($T127:$CA127, $T$1:$CA$1, CC$63)</f>
        <v>0</v>
      </c>
      <c r="CD127" s="79" t="n">
        <f aca="false">SUMIFS($T127:$CA127, $T$1:$CA$1, CD$63)</f>
        <v>0</v>
      </c>
      <c r="CE127" s="79" t="n">
        <f aca="false">SUMIFS($T127:$CA127, $T$1:$CA$1, CE$63)</f>
        <v>0</v>
      </c>
      <c r="CF127" s="79" t="n">
        <f aca="false">SUMIFS($T127:$CA127, $T$1:$CA$1, CF$63)</f>
        <v>0</v>
      </c>
      <c r="CG127" s="79" t="n">
        <f aca="false">SUMIFS($T127:$CA127, $T$1:$CA$1, CG$63)</f>
        <v>0</v>
      </c>
      <c r="CI127" s="79" t="n">
        <f aca="false">CC127=L127</f>
        <v>1</v>
      </c>
      <c r="CJ127" s="79" t="n">
        <f aca="false">CD127=M127</f>
        <v>1</v>
      </c>
      <c r="CK127" s="79" t="n">
        <f aca="false">CE127=N127</f>
        <v>1</v>
      </c>
      <c r="CL127" s="79" t="n">
        <f aca="false">CF127=O127</f>
        <v>1</v>
      </c>
      <c r="CM127" s="79" t="n">
        <f aca="false">CG127=P127</f>
        <v>1</v>
      </c>
    </row>
    <row r="128" s="14" customFormat="true" ht="16.5" hidden="false" customHeight="true" outlineLevel="0" collapsed="false">
      <c r="E128" s="96" t="s">
        <v>155</v>
      </c>
      <c r="K128" s="35"/>
      <c r="L128" s="82" t="n">
        <f aca="false">SUM(L126:L127)</f>
        <v>0</v>
      </c>
      <c r="M128" s="82" t="n">
        <f aca="false">SUM(M126:M127)</f>
        <v>0</v>
      </c>
      <c r="N128" s="82" t="n">
        <f aca="false">SUM(N126:N127)</f>
        <v>0</v>
      </c>
      <c r="O128" s="82" t="n">
        <f aca="false">SUM(O126:O127)</f>
        <v>0</v>
      </c>
      <c r="P128" s="82" t="n">
        <f aca="false">SUM(P126:P127)</f>
        <v>0</v>
      </c>
      <c r="Q128" s="16"/>
      <c r="R128" s="16"/>
      <c r="T128" s="82" t="n">
        <f aca="false">SUM(T126:T127)</f>
        <v>0</v>
      </c>
      <c r="U128" s="82" t="n">
        <f aca="false">SUM(U126:U127)</f>
        <v>0</v>
      </c>
      <c r="V128" s="82" t="n">
        <f aca="false">SUM(V126:V127)</f>
        <v>0</v>
      </c>
      <c r="W128" s="82" t="n">
        <f aca="false">SUM(W126:W127)</f>
        <v>0</v>
      </c>
      <c r="X128" s="82" t="n">
        <f aca="false">SUM(X126:X127)</f>
        <v>0</v>
      </c>
      <c r="Y128" s="82" t="n">
        <f aca="false">SUM(Y126:Y127)</f>
        <v>0</v>
      </c>
      <c r="Z128" s="82" t="n">
        <f aca="false">SUM(Z126:Z127)</f>
        <v>0</v>
      </c>
      <c r="AA128" s="82" t="n">
        <f aca="false">SUM(AA126:AA127)</f>
        <v>0</v>
      </c>
      <c r="AB128" s="82" t="n">
        <f aca="false">SUM(AB126:AB127)</f>
        <v>0</v>
      </c>
      <c r="AC128" s="82" t="n">
        <f aca="false">SUM(AC126:AC127)</f>
        <v>0</v>
      </c>
      <c r="AD128" s="82" t="n">
        <f aca="false">SUM(AD126:AD127)</f>
        <v>0</v>
      </c>
      <c r="AE128" s="82" t="n">
        <f aca="false">SUM(AE126:AE127)</f>
        <v>0</v>
      </c>
      <c r="AF128" s="82" t="n">
        <f aca="false">SUM(AF126:AF127)</f>
        <v>0</v>
      </c>
      <c r="AG128" s="82" t="n">
        <f aca="false">SUM(AG126:AG127)</f>
        <v>0</v>
      </c>
      <c r="AH128" s="82" t="n">
        <f aca="false">SUM(AH126:AH127)</f>
        <v>0</v>
      </c>
      <c r="AI128" s="82" t="n">
        <f aca="false">SUM(AI126:AI127)</f>
        <v>0</v>
      </c>
      <c r="AJ128" s="82" t="n">
        <f aca="false">SUM(AJ126:AJ127)</f>
        <v>0</v>
      </c>
      <c r="AK128" s="82" t="n">
        <f aca="false">SUM(AK126:AK127)</f>
        <v>0</v>
      </c>
      <c r="AL128" s="82" t="n">
        <f aca="false">SUM(AL126:AL127)</f>
        <v>0</v>
      </c>
      <c r="AM128" s="82" t="n">
        <f aca="false">SUM(AM126:AM127)</f>
        <v>0</v>
      </c>
      <c r="AN128" s="82" t="n">
        <f aca="false">SUM(AN126:AN127)</f>
        <v>0</v>
      </c>
      <c r="AO128" s="82" t="n">
        <f aca="false">SUM(AO126:AO127)</f>
        <v>0</v>
      </c>
      <c r="AP128" s="82" t="n">
        <f aca="false">SUM(AP126:AP127)</f>
        <v>0</v>
      </c>
      <c r="AQ128" s="82" t="n">
        <f aca="false">SUM(AQ126:AQ127)</f>
        <v>0</v>
      </c>
      <c r="AR128" s="82" t="n">
        <f aca="false">SUM(AR126:AR127)</f>
        <v>0</v>
      </c>
      <c r="AS128" s="82" t="n">
        <f aca="false">SUM(AS126:AS127)</f>
        <v>0</v>
      </c>
      <c r="AT128" s="82" t="n">
        <f aca="false">SUM(AT126:AT127)</f>
        <v>0</v>
      </c>
      <c r="AU128" s="82" t="n">
        <f aca="false">SUM(AU126:AU127)</f>
        <v>0</v>
      </c>
      <c r="AV128" s="82" t="n">
        <f aca="false">SUM(AV126:AV127)</f>
        <v>0</v>
      </c>
      <c r="AW128" s="82" t="n">
        <f aca="false">SUM(AW126:AW127)</f>
        <v>0</v>
      </c>
      <c r="AX128" s="82" t="n">
        <f aca="false">SUM(AX126:AX127)</f>
        <v>0</v>
      </c>
      <c r="AY128" s="82" t="n">
        <f aca="false">SUM(AY126:AY127)</f>
        <v>0</v>
      </c>
      <c r="AZ128" s="82" t="n">
        <f aca="false">SUM(AZ126:AZ127)</f>
        <v>0</v>
      </c>
      <c r="BA128" s="82" t="n">
        <f aca="false">SUM(BA126:BA127)</f>
        <v>0</v>
      </c>
      <c r="BB128" s="82" t="n">
        <f aca="false">SUM(BB126:BB127)</f>
        <v>0</v>
      </c>
      <c r="BC128" s="82" t="n">
        <f aca="false">SUM(BC126:BC127)</f>
        <v>0</v>
      </c>
      <c r="BD128" s="82" t="n">
        <f aca="false">SUM(BD126:BD127)</f>
        <v>0</v>
      </c>
      <c r="BE128" s="82" t="n">
        <f aca="false">SUM(BE126:BE127)</f>
        <v>0</v>
      </c>
      <c r="BF128" s="82" t="n">
        <f aca="false">SUM(BF126:BF127)</f>
        <v>0</v>
      </c>
      <c r="BG128" s="82" t="n">
        <f aca="false">SUM(BG126:BG127)</f>
        <v>0</v>
      </c>
      <c r="BH128" s="82" t="n">
        <f aca="false">SUM(BH126:BH127)</f>
        <v>0</v>
      </c>
      <c r="BI128" s="82" t="n">
        <f aca="false">SUM(BI126:BI127)</f>
        <v>0</v>
      </c>
      <c r="BJ128" s="82" t="n">
        <f aca="false">SUM(BJ126:BJ127)</f>
        <v>0</v>
      </c>
      <c r="BK128" s="82" t="n">
        <f aca="false">SUM(BK126:BK127)</f>
        <v>0</v>
      </c>
      <c r="BL128" s="82" t="n">
        <f aca="false">SUM(BL126:BL127)</f>
        <v>0</v>
      </c>
      <c r="BM128" s="82" t="n">
        <f aca="false">SUM(BM126:BM127)</f>
        <v>0</v>
      </c>
      <c r="BN128" s="82" t="n">
        <f aca="false">SUM(BN126:BN127)</f>
        <v>0</v>
      </c>
      <c r="BO128" s="82" t="n">
        <f aca="false">SUM(BO126:BO127)</f>
        <v>0</v>
      </c>
      <c r="BP128" s="82" t="n">
        <f aca="false">SUM(BP126:BP127)</f>
        <v>0</v>
      </c>
      <c r="BQ128" s="82" t="n">
        <f aca="false">SUM(BQ126:BQ127)</f>
        <v>0</v>
      </c>
      <c r="BR128" s="82" t="n">
        <f aca="false">SUM(BR126:BR127)</f>
        <v>0</v>
      </c>
      <c r="BS128" s="82" t="n">
        <f aca="false">SUM(BS126:BS127)</f>
        <v>0</v>
      </c>
      <c r="BT128" s="82" t="n">
        <f aca="false">SUM(BT126:BT127)</f>
        <v>0</v>
      </c>
      <c r="BU128" s="82" t="n">
        <f aca="false">SUM(BU126:BU127)</f>
        <v>0</v>
      </c>
      <c r="BV128" s="82" t="n">
        <f aca="false">SUM(BV126:BV127)</f>
        <v>0</v>
      </c>
      <c r="BW128" s="82" t="n">
        <f aca="false">SUM(BW126:BW127)</f>
        <v>0</v>
      </c>
      <c r="BX128" s="82" t="n">
        <f aca="false">SUM(BX126:BX127)</f>
        <v>0</v>
      </c>
      <c r="BY128" s="82" t="n">
        <f aca="false">SUM(BY126:BY127)</f>
        <v>0</v>
      </c>
      <c r="BZ128" s="82" t="n">
        <f aca="false">SUM(BZ126:BZ127)</f>
        <v>0</v>
      </c>
      <c r="CA128" s="82" t="n">
        <f aca="false">SUM(CA126:CA127)</f>
        <v>0</v>
      </c>
      <c r="CC128" s="131" t="n">
        <f aca="false">SUM(CC126:CC127)</f>
        <v>0</v>
      </c>
      <c r="CD128" s="131" t="n">
        <f aca="false">SUM(CD126:CD127)</f>
        <v>0</v>
      </c>
      <c r="CE128" s="131" t="n">
        <f aca="false">SUM(CE126:CE127)</f>
        <v>0</v>
      </c>
      <c r="CF128" s="131" t="n">
        <f aca="false">SUM(CF126:CF127)</f>
        <v>0</v>
      </c>
      <c r="CG128" s="131" t="n">
        <f aca="false">SUM(CG126:CG127)</f>
        <v>0</v>
      </c>
      <c r="CI128" s="131" t="n">
        <f aca="false">CC128=L128</f>
        <v>1</v>
      </c>
      <c r="CJ128" s="131" t="n">
        <f aca="false">CD128=M128</f>
        <v>1</v>
      </c>
      <c r="CK128" s="131" t="n">
        <f aca="false">CE128=N128</f>
        <v>1</v>
      </c>
      <c r="CL128" s="131" t="n">
        <f aca="false">CF128=O128</f>
        <v>1</v>
      </c>
      <c r="CM128" s="131" t="n">
        <f aca="false">CG128=P128</f>
        <v>1</v>
      </c>
    </row>
    <row r="129" s="14" customFormat="true" ht="16.5" hidden="false" customHeight="true" outlineLevel="0" collapsed="false">
      <c r="E129" s="96"/>
      <c r="K129" s="35"/>
      <c r="L129" s="82"/>
      <c r="M129" s="82"/>
      <c r="N129" s="82"/>
      <c r="O129" s="82"/>
      <c r="P129" s="82"/>
      <c r="Q129" s="16"/>
      <c r="R129" s="16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  <c r="AG129" s="82"/>
      <c r="AH129" s="82"/>
      <c r="AI129" s="82"/>
      <c r="AJ129" s="82"/>
      <c r="AK129" s="82"/>
      <c r="AL129" s="82"/>
      <c r="AM129" s="82"/>
      <c r="AN129" s="82"/>
      <c r="AO129" s="82"/>
      <c r="AP129" s="82"/>
      <c r="AQ129" s="82"/>
      <c r="AR129" s="82"/>
      <c r="AS129" s="82"/>
      <c r="AT129" s="82"/>
      <c r="AU129" s="82"/>
      <c r="AV129" s="82"/>
      <c r="AW129" s="82"/>
      <c r="AX129" s="82"/>
      <c r="AY129" s="82"/>
      <c r="AZ129" s="82"/>
      <c r="BA129" s="82"/>
      <c r="BB129" s="82"/>
      <c r="BC129" s="82"/>
      <c r="BD129" s="82"/>
      <c r="BE129" s="82"/>
      <c r="BF129" s="82"/>
      <c r="BG129" s="82"/>
      <c r="BH129" s="82"/>
      <c r="BI129" s="82"/>
      <c r="BJ129" s="82"/>
      <c r="BK129" s="82"/>
      <c r="BL129" s="82"/>
      <c r="BM129" s="82"/>
      <c r="BN129" s="82"/>
      <c r="BO129" s="82"/>
      <c r="BP129" s="82"/>
      <c r="BQ129" s="82"/>
      <c r="BR129" s="82"/>
      <c r="BS129" s="82"/>
      <c r="BT129" s="82"/>
      <c r="BU129" s="82"/>
      <c r="BV129" s="82"/>
      <c r="BW129" s="82"/>
      <c r="BX129" s="82"/>
      <c r="BY129" s="82"/>
      <c r="BZ129" s="82"/>
      <c r="CA129" s="82"/>
    </row>
    <row r="130" s="14" customFormat="true" ht="16.5" hidden="false" customHeight="true" outlineLevel="0" collapsed="false">
      <c r="E130" s="109" t="s">
        <v>156</v>
      </c>
      <c r="F130" s="109"/>
      <c r="G130" s="109"/>
      <c r="H130" s="109"/>
      <c r="I130" s="132"/>
      <c r="J130" s="132"/>
      <c r="K130" s="224"/>
      <c r="L130" s="120" t="n">
        <f aca="false">L128</f>
        <v>0</v>
      </c>
      <c r="M130" s="120" t="n">
        <f aca="false">M128</f>
        <v>0</v>
      </c>
      <c r="N130" s="120" t="n">
        <f aca="false">N128</f>
        <v>0</v>
      </c>
      <c r="O130" s="120" t="n">
        <f aca="false">O128</f>
        <v>0</v>
      </c>
      <c r="P130" s="120" t="n">
        <f aca="false">P128</f>
        <v>0</v>
      </c>
      <c r="Q130" s="16"/>
      <c r="R130" s="16"/>
      <c r="T130" s="120" t="n">
        <f aca="false">T128</f>
        <v>0</v>
      </c>
      <c r="U130" s="120" t="n">
        <f aca="false">U128</f>
        <v>0</v>
      </c>
      <c r="V130" s="120" t="n">
        <f aca="false">V128</f>
        <v>0</v>
      </c>
      <c r="W130" s="120" t="n">
        <f aca="false">W128</f>
        <v>0</v>
      </c>
      <c r="X130" s="120" t="n">
        <f aca="false">X128</f>
        <v>0</v>
      </c>
      <c r="Y130" s="120" t="n">
        <f aca="false">Y128</f>
        <v>0</v>
      </c>
      <c r="Z130" s="120" t="n">
        <f aca="false">Z128</f>
        <v>0</v>
      </c>
      <c r="AA130" s="120" t="n">
        <f aca="false">AA128</f>
        <v>0</v>
      </c>
      <c r="AB130" s="120" t="n">
        <f aca="false">AB128</f>
        <v>0</v>
      </c>
      <c r="AC130" s="120" t="n">
        <f aca="false">AC128</f>
        <v>0</v>
      </c>
      <c r="AD130" s="120" t="n">
        <f aca="false">AD128</f>
        <v>0</v>
      </c>
      <c r="AE130" s="120" t="n">
        <f aca="false">AE128</f>
        <v>0</v>
      </c>
      <c r="AF130" s="120" t="n">
        <f aca="false">AF128</f>
        <v>0</v>
      </c>
      <c r="AG130" s="120" t="n">
        <f aca="false">AG128</f>
        <v>0</v>
      </c>
      <c r="AH130" s="120" t="n">
        <f aca="false">AH128</f>
        <v>0</v>
      </c>
      <c r="AI130" s="120" t="n">
        <f aca="false">AI128</f>
        <v>0</v>
      </c>
      <c r="AJ130" s="120" t="n">
        <f aca="false">AJ128</f>
        <v>0</v>
      </c>
      <c r="AK130" s="120" t="n">
        <f aca="false">AK128</f>
        <v>0</v>
      </c>
      <c r="AL130" s="120" t="n">
        <f aca="false">AL128</f>
        <v>0</v>
      </c>
      <c r="AM130" s="120" t="n">
        <f aca="false">AM128</f>
        <v>0</v>
      </c>
      <c r="AN130" s="120" t="n">
        <f aca="false">AN128</f>
        <v>0</v>
      </c>
      <c r="AO130" s="120" t="n">
        <f aca="false">AO128</f>
        <v>0</v>
      </c>
      <c r="AP130" s="120" t="n">
        <f aca="false">AP128</f>
        <v>0</v>
      </c>
      <c r="AQ130" s="120" t="n">
        <f aca="false">AQ128</f>
        <v>0</v>
      </c>
      <c r="AR130" s="120" t="n">
        <f aca="false">AR128</f>
        <v>0</v>
      </c>
      <c r="AS130" s="120" t="n">
        <f aca="false">AS128</f>
        <v>0</v>
      </c>
      <c r="AT130" s="120" t="n">
        <f aca="false">AT128</f>
        <v>0</v>
      </c>
      <c r="AU130" s="120" t="n">
        <f aca="false">AU128</f>
        <v>0</v>
      </c>
      <c r="AV130" s="120" t="n">
        <f aca="false">AV128</f>
        <v>0</v>
      </c>
      <c r="AW130" s="120" t="n">
        <f aca="false">AW128</f>
        <v>0</v>
      </c>
      <c r="AX130" s="120" t="n">
        <f aca="false">AX128</f>
        <v>0</v>
      </c>
      <c r="AY130" s="120" t="n">
        <f aca="false">AY128</f>
        <v>0</v>
      </c>
      <c r="AZ130" s="120" t="n">
        <f aca="false">AZ128</f>
        <v>0</v>
      </c>
      <c r="BA130" s="120" t="n">
        <f aca="false">BA128</f>
        <v>0</v>
      </c>
      <c r="BB130" s="120" t="n">
        <f aca="false">BB128</f>
        <v>0</v>
      </c>
      <c r="BC130" s="120" t="n">
        <f aca="false">BC128</f>
        <v>0</v>
      </c>
      <c r="BD130" s="120" t="n">
        <f aca="false">BD128</f>
        <v>0</v>
      </c>
      <c r="BE130" s="120" t="n">
        <f aca="false">BE128</f>
        <v>0</v>
      </c>
      <c r="BF130" s="120" t="n">
        <f aca="false">BF128</f>
        <v>0</v>
      </c>
      <c r="BG130" s="120" t="n">
        <f aca="false">BG128</f>
        <v>0</v>
      </c>
      <c r="BH130" s="120" t="n">
        <f aca="false">BH128</f>
        <v>0</v>
      </c>
      <c r="BI130" s="120" t="n">
        <f aca="false">BI128</f>
        <v>0</v>
      </c>
      <c r="BJ130" s="120" t="n">
        <f aca="false">BJ128</f>
        <v>0</v>
      </c>
      <c r="BK130" s="120" t="n">
        <f aca="false">BK128</f>
        <v>0</v>
      </c>
      <c r="BL130" s="120" t="n">
        <f aca="false">BL128</f>
        <v>0</v>
      </c>
      <c r="BM130" s="120" t="n">
        <f aca="false">BM128</f>
        <v>0</v>
      </c>
      <c r="BN130" s="120" t="n">
        <f aca="false">BN128</f>
        <v>0</v>
      </c>
      <c r="BO130" s="120" t="n">
        <f aca="false">BO128</f>
        <v>0</v>
      </c>
      <c r="BP130" s="120" t="n">
        <f aca="false">BP128</f>
        <v>0</v>
      </c>
      <c r="BQ130" s="120" t="n">
        <f aca="false">BQ128</f>
        <v>0</v>
      </c>
      <c r="BR130" s="120" t="n">
        <f aca="false">BR128</f>
        <v>0</v>
      </c>
      <c r="BS130" s="120" t="n">
        <f aca="false">BS128</f>
        <v>0</v>
      </c>
      <c r="BT130" s="120" t="n">
        <f aca="false">BT128</f>
        <v>0</v>
      </c>
      <c r="BU130" s="120" t="n">
        <f aca="false">BU128</f>
        <v>0</v>
      </c>
      <c r="BV130" s="120" t="n">
        <f aca="false">BV128</f>
        <v>0</v>
      </c>
      <c r="BW130" s="120" t="n">
        <f aca="false">BW128</f>
        <v>0</v>
      </c>
      <c r="BX130" s="120" t="n">
        <f aca="false">BX128</f>
        <v>0</v>
      </c>
      <c r="BY130" s="120" t="n">
        <f aca="false">BY128</f>
        <v>0</v>
      </c>
      <c r="BZ130" s="120" t="n">
        <f aca="false">BZ128</f>
        <v>0</v>
      </c>
      <c r="CA130" s="120" t="n">
        <f aca="false">CA128</f>
        <v>0</v>
      </c>
      <c r="CC130" s="132" t="n">
        <f aca="false">CC128</f>
        <v>0</v>
      </c>
      <c r="CD130" s="132" t="n">
        <f aca="false">CD128</f>
        <v>0</v>
      </c>
      <c r="CE130" s="132" t="n">
        <f aca="false">CE128</f>
        <v>0</v>
      </c>
      <c r="CF130" s="132" t="n">
        <f aca="false">CF128</f>
        <v>0</v>
      </c>
      <c r="CG130" s="132" t="n">
        <f aca="false">CG128</f>
        <v>0</v>
      </c>
      <c r="CI130" s="133" t="n">
        <f aca="false">CI128</f>
        <v>1</v>
      </c>
      <c r="CJ130" s="133" t="n">
        <f aca="false">CJ128</f>
        <v>1</v>
      </c>
      <c r="CK130" s="133" t="n">
        <f aca="false">CK128</f>
        <v>1</v>
      </c>
      <c r="CL130" s="133" t="n">
        <f aca="false">CL128</f>
        <v>1</v>
      </c>
      <c r="CM130" s="133" t="n">
        <f aca="false">CM128</f>
        <v>1</v>
      </c>
    </row>
    <row r="131" s="14" customFormat="true" ht="16.5" hidden="false" customHeight="true" outlineLevel="0" collapsed="false">
      <c r="K131" s="35"/>
    </row>
    <row r="132" s="14" customFormat="true" ht="16.5" hidden="false" customHeight="true" outlineLevel="0" collapsed="false">
      <c r="E132" s="85"/>
      <c r="K132" s="35"/>
      <c r="Q132" s="16"/>
      <c r="R132" s="16"/>
      <c r="T132" s="62" t="n">
        <v>2026</v>
      </c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62" t="n">
        <v>2027</v>
      </c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62" t="n">
        <v>2028</v>
      </c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62" t="n">
        <v>2029</v>
      </c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62" t="n">
        <v>2030</v>
      </c>
      <c r="BQ132" s="130"/>
      <c r="BR132" s="130"/>
      <c r="BS132" s="130"/>
      <c r="BT132" s="130"/>
      <c r="BU132" s="130"/>
      <c r="BV132" s="130"/>
      <c r="BW132" s="130"/>
      <c r="BX132" s="130"/>
      <c r="BY132" s="130"/>
      <c r="BZ132" s="130"/>
      <c r="CA132" s="130"/>
    </row>
    <row r="133" s="14" customFormat="true" ht="16.5" hidden="false" customHeight="true" outlineLevel="0" collapsed="false">
      <c r="D133" s="30" t="s">
        <v>157</v>
      </c>
      <c r="E133" s="31"/>
      <c r="F133" s="31"/>
      <c r="G133" s="31"/>
      <c r="H133" s="31"/>
      <c r="I133" s="31"/>
      <c r="J133" s="31"/>
      <c r="K133" s="30" t="s">
        <v>130</v>
      </c>
      <c r="L133" s="31" t="n">
        <v>2026</v>
      </c>
      <c r="M133" s="31" t="n">
        <f aca="false">L133+1</f>
        <v>2027</v>
      </c>
      <c r="N133" s="31" t="n">
        <f aca="false">M133+1</f>
        <v>2028</v>
      </c>
      <c r="O133" s="31" t="n">
        <f aca="false">N133+1</f>
        <v>2029</v>
      </c>
      <c r="P133" s="31" t="n">
        <f aca="false">O133+1</f>
        <v>2030</v>
      </c>
      <c r="Q133" s="16"/>
      <c r="R133" s="16"/>
      <c r="T133" s="59" t="n">
        <v>46023</v>
      </c>
      <c r="U133" s="60" t="n">
        <f aca="false">EOMONTH(T133, 1)</f>
        <v>46081</v>
      </c>
      <c r="V133" s="60" t="n">
        <f aca="false">EOMONTH(U133, 1)</f>
        <v>46112</v>
      </c>
      <c r="W133" s="60" t="n">
        <f aca="false">EOMONTH(V133, 1)</f>
        <v>46142</v>
      </c>
      <c r="X133" s="60" t="n">
        <f aca="false">EOMONTH(W133, 1)</f>
        <v>46173</v>
      </c>
      <c r="Y133" s="60" t="n">
        <f aca="false">EOMONTH(X133, 1)</f>
        <v>46203</v>
      </c>
      <c r="Z133" s="60" t="n">
        <f aca="false">EOMONTH(Y133, 1)</f>
        <v>46234</v>
      </c>
      <c r="AA133" s="60" t="n">
        <f aca="false">EOMONTH(Z133, 1)</f>
        <v>46265</v>
      </c>
      <c r="AB133" s="60" t="n">
        <f aca="false">EOMONTH(AA133, 1)</f>
        <v>46295</v>
      </c>
      <c r="AC133" s="60" t="n">
        <f aca="false">EOMONTH(AB133, 1)</f>
        <v>46326</v>
      </c>
      <c r="AD133" s="60" t="n">
        <f aca="false">EOMONTH(AC133, 1)</f>
        <v>46356</v>
      </c>
      <c r="AE133" s="61" t="n">
        <f aca="false">EOMONTH(AD133, 1)</f>
        <v>46387</v>
      </c>
      <c r="AF133" s="59" t="n">
        <f aca="false">EOMONTH(AE133, 1)</f>
        <v>46418</v>
      </c>
      <c r="AG133" s="60" t="n">
        <f aca="false">EOMONTH(AF133, 1)</f>
        <v>46446</v>
      </c>
      <c r="AH133" s="60" t="n">
        <f aca="false">EOMONTH(AG133, 1)</f>
        <v>46477</v>
      </c>
      <c r="AI133" s="60" t="n">
        <f aca="false">EOMONTH(AH133, 1)</f>
        <v>46507</v>
      </c>
      <c r="AJ133" s="60" t="n">
        <f aca="false">EOMONTH(AI133, 1)</f>
        <v>46538</v>
      </c>
      <c r="AK133" s="60" t="n">
        <f aca="false">EOMONTH(AJ133, 1)</f>
        <v>46568</v>
      </c>
      <c r="AL133" s="60" t="n">
        <f aca="false">EOMONTH(AK133, 1)</f>
        <v>46599</v>
      </c>
      <c r="AM133" s="60" t="n">
        <f aca="false">EOMONTH(AL133, 1)</f>
        <v>46630</v>
      </c>
      <c r="AN133" s="60" t="n">
        <f aca="false">EOMONTH(AM133, 1)</f>
        <v>46660</v>
      </c>
      <c r="AO133" s="60" t="n">
        <f aca="false">EOMONTH(AN133, 1)</f>
        <v>46691</v>
      </c>
      <c r="AP133" s="60" t="n">
        <f aca="false">EOMONTH(AO133, 1)</f>
        <v>46721</v>
      </c>
      <c r="AQ133" s="61" t="n">
        <f aca="false">EOMONTH(AP133, 1)</f>
        <v>46752</v>
      </c>
      <c r="AR133" s="59" t="n">
        <f aca="false">EOMONTH(AQ133, 1)</f>
        <v>46783</v>
      </c>
      <c r="AS133" s="60" t="n">
        <f aca="false">EOMONTH(AR133, 1)</f>
        <v>46812</v>
      </c>
      <c r="AT133" s="60" t="n">
        <f aca="false">EOMONTH(AS133, 1)</f>
        <v>46843</v>
      </c>
      <c r="AU133" s="60" t="n">
        <f aca="false">EOMONTH(AT133, 1)</f>
        <v>46873</v>
      </c>
      <c r="AV133" s="60" t="n">
        <f aca="false">EOMONTH(AU133, 1)</f>
        <v>46904</v>
      </c>
      <c r="AW133" s="60" t="n">
        <f aca="false">EOMONTH(AV133, 1)</f>
        <v>46934</v>
      </c>
      <c r="AX133" s="60" t="n">
        <f aca="false">EOMONTH(AW133, 1)</f>
        <v>46965</v>
      </c>
      <c r="AY133" s="60" t="n">
        <f aca="false">EOMONTH(AX133, 1)</f>
        <v>46996</v>
      </c>
      <c r="AZ133" s="60" t="n">
        <f aca="false">EOMONTH(AY133, 1)</f>
        <v>47026</v>
      </c>
      <c r="BA133" s="60" t="n">
        <f aca="false">EOMONTH(AZ133, 1)</f>
        <v>47057</v>
      </c>
      <c r="BB133" s="60" t="n">
        <f aca="false">EOMONTH(BA133, 1)</f>
        <v>47087</v>
      </c>
      <c r="BC133" s="61" t="n">
        <f aca="false">EOMONTH(BB133, 1)</f>
        <v>47118</v>
      </c>
      <c r="BD133" s="59" t="n">
        <f aca="false">EOMONTH(BC133, 1)</f>
        <v>47149</v>
      </c>
      <c r="BE133" s="60" t="n">
        <f aca="false">EOMONTH(BD133, 1)</f>
        <v>47177</v>
      </c>
      <c r="BF133" s="60" t="n">
        <f aca="false">EOMONTH(BE133, 1)</f>
        <v>47208</v>
      </c>
      <c r="BG133" s="60" t="n">
        <f aca="false">EOMONTH(BF133, 1)</f>
        <v>47238</v>
      </c>
      <c r="BH133" s="60" t="n">
        <f aca="false">EOMONTH(BG133, 1)</f>
        <v>47269</v>
      </c>
      <c r="BI133" s="60" t="n">
        <f aca="false">EOMONTH(BH133, 1)</f>
        <v>47299</v>
      </c>
      <c r="BJ133" s="60" t="n">
        <f aca="false">EOMONTH(BI133, 1)</f>
        <v>47330</v>
      </c>
      <c r="BK133" s="60" t="n">
        <f aca="false">EOMONTH(BJ133, 1)</f>
        <v>47361</v>
      </c>
      <c r="BL133" s="60" t="n">
        <f aca="false">EOMONTH(BK133, 1)</f>
        <v>47391</v>
      </c>
      <c r="BM133" s="60" t="n">
        <f aca="false">EOMONTH(BL133, 1)</f>
        <v>47422</v>
      </c>
      <c r="BN133" s="60" t="n">
        <f aca="false">EOMONTH(BM133, 1)</f>
        <v>47452</v>
      </c>
      <c r="BO133" s="61" t="n">
        <f aca="false">EOMONTH(BN133, 1)</f>
        <v>47483</v>
      </c>
      <c r="BP133" s="59" t="n">
        <f aca="false">EOMONTH(BO133, 1)</f>
        <v>47514</v>
      </c>
      <c r="BQ133" s="60" t="n">
        <f aca="false">EOMONTH(BP133, 1)</f>
        <v>47542</v>
      </c>
      <c r="BR133" s="60" t="n">
        <f aca="false">EOMONTH(BQ133, 1)</f>
        <v>47573</v>
      </c>
      <c r="BS133" s="60" t="n">
        <f aca="false">EOMONTH(BR133, 1)</f>
        <v>47603</v>
      </c>
      <c r="BT133" s="60" t="n">
        <f aca="false">EOMONTH(BS133, 1)</f>
        <v>47634</v>
      </c>
      <c r="BU133" s="60" t="n">
        <f aca="false">EOMONTH(BT133, 1)</f>
        <v>47664</v>
      </c>
      <c r="BV133" s="60" t="n">
        <f aca="false">EOMONTH(BU133, 1)</f>
        <v>47695</v>
      </c>
      <c r="BW133" s="60" t="n">
        <f aca="false">EOMONTH(BV133, 1)</f>
        <v>47726</v>
      </c>
      <c r="BX133" s="60" t="n">
        <f aca="false">EOMONTH(BW133, 1)</f>
        <v>47756</v>
      </c>
      <c r="BY133" s="60" t="n">
        <f aca="false">EOMONTH(BX133, 1)</f>
        <v>47787</v>
      </c>
      <c r="BZ133" s="60" t="n">
        <f aca="false">EOMONTH(BY133, 1)</f>
        <v>47817</v>
      </c>
      <c r="CA133" s="60" t="n">
        <f aca="false">EOMONTH(BZ133, 1)</f>
        <v>47848</v>
      </c>
      <c r="CC133" s="62" t="n">
        <v>2026</v>
      </c>
      <c r="CD133" s="62" t="n">
        <f aca="false">CC133+1</f>
        <v>2027</v>
      </c>
      <c r="CE133" s="62" t="n">
        <f aca="false">CD133+1</f>
        <v>2028</v>
      </c>
      <c r="CF133" s="62" t="n">
        <f aca="false">CE133+1</f>
        <v>2029</v>
      </c>
      <c r="CG133" s="62" t="n">
        <f aca="false">CF133+1</f>
        <v>2030</v>
      </c>
      <c r="CI133" s="62" t="n">
        <v>2026</v>
      </c>
      <c r="CJ133" s="62" t="n">
        <f aca="false">CI133+1</f>
        <v>2027</v>
      </c>
      <c r="CK133" s="62" t="n">
        <f aca="false">CJ133+1</f>
        <v>2028</v>
      </c>
      <c r="CL133" s="62" t="n">
        <f aca="false">CK133+1</f>
        <v>2029</v>
      </c>
      <c r="CM133" s="62" t="n">
        <f aca="false">CL133+1</f>
        <v>2030</v>
      </c>
    </row>
    <row r="134" s="14" customFormat="true" ht="16.5" hidden="false" customHeight="true" outlineLevel="0" collapsed="false">
      <c r="F134" s="21"/>
      <c r="G134" s="21"/>
      <c r="Q134" s="16"/>
      <c r="R134" s="16"/>
    </row>
    <row r="135" s="14" customFormat="true" ht="16.5" hidden="false" customHeight="true" outlineLevel="0" collapsed="false">
      <c r="E135" s="21" t="s">
        <v>158</v>
      </c>
      <c r="Q135" s="16"/>
      <c r="R135" s="16"/>
    </row>
    <row r="136" s="14" customFormat="true" ht="16.5" hidden="false" customHeight="true" outlineLevel="0" collapsed="false">
      <c r="D136" s="134"/>
      <c r="E136" s="91" t="s">
        <v>377</v>
      </c>
      <c r="L136" s="213" t="n">
        <f aca="false">'SVC-3 Model'!L127</f>
        <v>0</v>
      </c>
      <c r="M136" s="213" t="n">
        <f aca="false">'SVC-3 Model'!M127</f>
        <v>0</v>
      </c>
      <c r="N136" s="213" t="n">
        <f aca="false">'SVC-3 Model'!N127</f>
        <v>0</v>
      </c>
      <c r="O136" s="213" t="n">
        <f aca="false">'SVC-3 Model'!O127</f>
        <v>0</v>
      </c>
      <c r="P136" s="213" t="n">
        <f aca="false">'SVC-3 Model'!P127</f>
        <v>0</v>
      </c>
      <c r="Q136" s="93" t="s">
        <v>266</v>
      </c>
      <c r="R136" s="16"/>
      <c r="T136" s="225" t="n">
        <f aca="false">'SVC-3 Model'!T127</f>
        <v>0</v>
      </c>
      <c r="U136" s="225" t="n">
        <f aca="false">'SVC-3 Model'!U127</f>
        <v>0</v>
      </c>
      <c r="V136" s="225" t="n">
        <f aca="false">'SVC-3 Model'!V127</f>
        <v>0</v>
      </c>
      <c r="W136" s="225" t="n">
        <f aca="false">'SVC-3 Model'!W127</f>
        <v>0</v>
      </c>
      <c r="X136" s="225" t="n">
        <f aca="false">'SVC-3 Model'!X127</f>
        <v>0</v>
      </c>
      <c r="Y136" s="225" t="n">
        <f aca="false">'SVC-3 Model'!Y127</f>
        <v>0</v>
      </c>
      <c r="Z136" s="225" t="n">
        <f aca="false">'SVC-3 Model'!Z127</f>
        <v>0</v>
      </c>
      <c r="AA136" s="225" t="n">
        <f aca="false">'SVC-3 Model'!AA127</f>
        <v>0</v>
      </c>
      <c r="AB136" s="225" t="n">
        <f aca="false">'SVC-3 Model'!AB127</f>
        <v>0</v>
      </c>
      <c r="AC136" s="225" t="n">
        <f aca="false">'SVC-3 Model'!AC127</f>
        <v>0</v>
      </c>
      <c r="AD136" s="225" t="n">
        <f aca="false">'SVC-3 Model'!AD127</f>
        <v>0</v>
      </c>
      <c r="AE136" s="225" t="n">
        <f aca="false">'SVC-3 Model'!AE127</f>
        <v>0</v>
      </c>
      <c r="AF136" s="225" t="n">
        <f aca="false">'SVC-3 Model'!AF127</f>
        <v>0</v>
      </c>
      <c r="AG136" s="225" t="n">
        <f aca="false">'SVC-3 Model'!AG127</f>
        <v>0</v>
      </c>
      <c r="AH136" s="225" t="n">
        <f aca="false">'SVC-3 Model'!AH127</f>
        <v>0</v>
      </c>
      <c r="AI136" s="225" t="n">
        <f aca="false">'SVC-3 Model'!AI127</f>
        <v>0</v>
      </c>
      <c r="AJ136" s="225" t="n">
        <f aca="false">'SVC-3 Model'!AJ127</f>
        <v>0</v>
      </c>
      <c r="AK136" s="225" t="n">
        <f aca="false">'SVC-3 Model'!AK127</f>
        <v>0</v>
      </c>
      <c r="AL136" s="225" t="n">
        <f aca="false">'SVC-3 Model'!AL127</f>
        <v>0</v>
      </c>
      <c r="AM136" s="225" t="n">
        <f aca="false">'SVC-3 Model'!AM127</f>
        <v>0</v>
      </c>
      <c r="AN136" s="225" t="n">
        <f aca="false">'SVC-3 Model'!AN127</f>
        <v>0</v>
      </c>
      <c r="AO136" s="225" t="n">
        <f aca="false">'SVC-3 Model'!AO127</f>
        <v>0</v>
      </c>
      <c r="AP136" s="225" t="n">
        <f aca="false">'SVC-3 Model'!AP127</f>
        <v>0</v>
      </c>
      <c r="AQ136" s="225" t="n">
        <f aca="false">'SVC-3 Model'!AQ127</f>
        <v>0</v>
      </c>
      <c r="AR136" s="225" t="n">
        <f aca="false">'SVC-3 Model'!AR127</f>
        <v>0</v>
      </c>
      <c r="AS136" s="225" t="n">
        <f aca="false">'SVC-3 Model'!AS127</f>
        <v>0</v>
      </c>
      <c r="AT136" s="225" t="n">
        <f aca="false">'SVC-3 Model'!AT127</f>
        <v>0</v>
      </c>
      <c r="AU136" s="225" t="n">
        <f aca="false">'SVC-3 Model'!AU127</f>
        <v>0</v>
      </c>
      <c r="AV136" s="225" t="n">
        <f aca="false">'SVC-3 Model'!AV127</f>
        <v>0</v>
      </c>
      <c r="AW136" s="225" t="n">
        <f aca="false">'SVC-3 Model'!AW127</f>
        <v>0</v>
      </c>
      <c r="AX136" s="225" t="n">
        <f aca="false">'SVC-3 Model'!AX127</f>
        <v>0</v>
      </c>
      <c r="AY136" s="225" t="n">
        <f aca="false">'SVC-3 Model'!AY127</f>
        <v>0</v>
      </c>
      <c r="AZ136" s="225" t="n">
        <f aca="false">'SVC-3 Model'!AZ127</f>
        <v>0</v>
      </c>
      <c r="BA136" s="225" t="n">
        <f aca="false">'SVC-3 Model'!BA127</f>
        <v>0</v>
      </c>
      <c r="BB136" s="225" t="n">
        <f aca="false">'SVC-3 Model'!BB127</f>
        <v>0</v>
      </c>
      <c r="BC136" s="225" t="n">
        <f aca="false">'SVC-3 Model'!BC127</f>
        <v>0</v>
      </c>
      <c r="BD136" s="225" t="n">
        <f aca="false">'SVC-3 Model'!BD127</f>
        <v>0</v>
      </c>
      <c r="BE136" s="225" t="n">
        <f aca="false">'SVC-3 Model'!BE127</f>
        <v>0</v>
      </c>
      <c r="BF136" s="225" t="n">
        <f aca="false">'SVC-3 Model'!BF127</f>
        <v>0</v>
      </c>
      <c r="BG136" s="225" t="n">
        <f aca="false">'SVC-3 Model'!BG127</f>
        <v>0</v>
      </c>
      <c r="BH136" s="225" t="n">
        <f aca="false">'SVC-3 Model'!BH127</f>
        <v>0</v>
      </c>
      <c r="BI136" s="225" t="n">
        <f aca="false">'SVC-3 Model'!BI127</f>
        <v>0</v>
      </c>
      <c r="BJ136" s="225" t="n">
        <f aca="false">'SVC-3 Model'!BJ127</f>
        <v>0</v>
      </c>
      <c r="BK136" s="225" t="n">
        <f aca="false">'SVC-3 Model'!BK127</f>
        <v>0</v>
      </c>
      <c r="BL136" s="225" t="n">
        <f aca="false">'SVC-3 Model'!BL127</f>
        <v>0</v>
      </c>
      <c r="BM136" s="225" t="n">
        <f aca="false">'SVC-3 Model'!BM127</f>
        <v>0</v>
      </c>
      <c r="BN136" s="225" t="n">
        <f aca="false">'SVC-3 Model'!BN127</f>
        <v>0</v>
      </c>
      <c r="BO136" s="225" t="n">
        <f aca="false">'SVC-3 Model'!BO127</f>
        <v>0</v>
      </c>
      <c r="BP136" s="225" t="n">
        <f aca="false">'SVC-3 Model'!BP127</f>
        <v>0</v>
      </c>
      <c r="BQ136" s="225" t="n">
        <f aca="false">'SVC-3 Model'!BQ127</f>
        <v>0</v>
      </c>
      <c r="BR136" s="225" t="n">
        <f aca="false">'SVC-3 Model'!BR127</f>
        <v>0</v>
      </c>
      <c r="BS136" s="225" t="n">
        <f aca="false">'SVC-3 Model'!BS127</f>
        <v>0</v>
      </c>
      <c r="BT136" s="225" t="n">
        <f aca="false">'SVC-3 Model'!BT127</f>
        <v>0</v>
      </c>
      <c r="BU136" s="225" t="n">
        <f aca="false">'SVC-3 Model'!BU127</f>
        <v>0</v>
      </c>
      <c r="BV136" s="225" t="n">
        <f aca="false">'SVC-3 Model'!BV127</f>
        <v>0</v>
      </c>
      <c r="BW136" s="225" t="n">
        <f aca="false">'SVC-3 Model'!BW127</f>
        <v>0</v>
      </c>
      <c r="BX136" s="225" t="n">
        <f aca="false">'SVC-3 Model'!BX127</f>
        <v>0</v>
      </c>
      <c r="BY136" s="225" t="n">
        <f aca="false">'SVC-3 Model'!BY127</f>
        <v>0</v>
      </c>
      <c r="BZ136" s="226" t="n">
        <f aca="false">'SVC-3 Model'!BZ127</f>
        <v>0</v>
      </c>
      <c r="CA136" s="226" t="n">
        <f aca="false">'SVC-3 Model'!CA127</f>
        <v>0</v>
      </c>
      <c r="CC136" s="79" t="n">
        <f aca="false">SUMIFS($T136:$CA136, $T$1:$CA$1, CC$63)</f>
        <v>0</v>
      </c>
      <c r="CD136" s="79" t="n">
        <f aca="false">SUMIFS($T136:$CA136, $T$1:$CA$1, CD$63)</f>
        <v>0</v>
      </c>
      <c r="CE136" s="79" t="n">
        <f aca="false">SUMIFS($T136:$CA136, $T$1:$CA$1, CE$63)</f>
        <v>0</v>
      </c>
      <c r="CF136" s="79" t="n">
        <f aca="false">SUMIFS($T136:$CA136, $T$1:$CA$1, CF$63)</f>
        <v>0</v>
      </c>
      <c r="CG136" s="79" t="n">
        <f aca="false">SUMIFS($T136:$CA136, $T$1:$CA$1, CG$63)</f>
        <v>0</v>
      </c>
      <c r="CI136" s="79" t="n">
        <f aca="false">CC136=L136</f>
        <v>1</v>
      </c>
      <c r="CJ136" s="79" t="n">
        <f aca="false">CD136=M136</f>
        <v>1</v>
      </c>
      <c r="CK136" s="79" t="n">
        <f aca="false">CE136=N136</f>
        <v>1</v>
      </c>
      <c r="CL136" s="79" t="n">
        <f aca="false">CF136=O136</f>
        <v>1</v>
      </c>
      <c r="CM136" s="79" t="n">
        <f aca="false">CG136=P136</f>
        <v>1</v>
      </c>
    </row>
    <row r="137" s="14" customFormat="true" ht="16.5" hidden="false" customHeight="true" outlineLevel="0" collapsed="false">
      <c r="D137" s="134"/>
      <c r="E137" s="91" t="s">
        <v>378</v>
      </c>
      <c r="L137" s="213" t="n">
        <f aca="false">'SVC-3 Model'!L128</f>
        <v>0</v>
      </c>
      <c r="M137" s="213" t="n">
        <f aca="false">'SVC-3 Model'!M128</f>
        <v>0</v>
      </c>
      <c r="N137" s="213" t="n">
        <f aca="false">'SVC-3 Model'!N128</f>
        <v>0</v>
      </c>
      <c r="O137" s="213" t="n">
        <f aca="false">'SVC-3 Model'!O128</f>
        <v>0</v>
      </c>
      <c r="P137" s="213" t="n">
        <f aca="false">'SVC-3 Model'!P128</f>
        <v>0</v>
      </c>
      <c r="Q137" s="93" t="s">
        <v>266</v>
      </c>
      <c r="R137" s="16"/>
      <c r="T137" s="225" t="n">
        <f aca="false">'SVC-3 Model'!T128</f>
        <v>0</v>
      </c>
      <c r="U137" s="225" t="n">
        <f aca="false">'SVC-3 Model'!U128</f>
        <v>0</v>
      </c>
      <c r="V137" s="225" t="n">
        <f aca="false">'SVC-3 Model'!V128</f>
        <v>0</v>
      </c>
      <c r="W137" s="225" t="n">
        <f aca="false">'SVC-3 Model'!W128</f>
        <v>0</v>
      </c>
      <c r="X137" s="225" t="n">
        <f aca="false">'SVC-3 Model'!X128</f>
        <v>0</v>
      </c>
      <c r="Y137" s="225" t="n">
        <f aca="false">'SVC-3 Model'!Y128</f>
        <v>0</v>
      </c>
      <c r="Z137" s="225" t="n">
        <f aca="false">'SVC-3 Model'!Z128</f>
        <v>0</v>
      </c>
      <c r="AA137" s="225" t="n">
        <f aca="false">'SVC-3 Model'!AA128</f>
        <v>0</v>
      </c>
      <c r="AB137" s="225" t="n">
        <f aca="false">'SVC-3 Model'!AB128</f>
        <v>0</v>
      </c>
      <c r="AC137" s="225" t="n">
        <f aca="false">'SVC-3 Model'!AC128</f>
        <v>0</v>
      </c>
      <c r="AD137" s="225" t="n">
        <f aca="false">'SVC-3 Model'!AD128</f>
        <v>0</v>
      </c>
      <c r="AE137" s="225" t="n">
        <f aca="false">'SVC-3 Model'!AE128</f>
        <v>0</v>
      </c>
      <c r="AF137" s="225" t="n">
        <f aca="false">'SVC-3 Model'!AF128</f>
        <v>0</v>
      </c>
      <c r="AG137" s="225" t="n">
        <f aca="false">'SVC-3 Model'!AG128</f>
        <v>0</v>
      </c>
      <c r="AH137" s="225" t="n">
        <f aca="false">'SVC-3 Model'!AH128</f>
        <v>0</v>
      </c>
      <c r="AI137" s="225" t="n">
        <f aca="false">'SVC-3 Model'!AI128</f>
        <v>0</v>
      </c>
      <c r="AJ137" s="225" t="n">
        <f aca="false">'SVC-3 Model'!AJ128</f>
        <v>0</v>
      </c>
      <c r="AK137" s="225" t="n">
        <f aca="false">'SVC-3 Model'!AK128</f>
        <v>0</v>
      </c>
      <c r="AL137" s="225" t="n">
        <f aca="false">'SVC-3 Model'!AL128</f>
        <v>0</v>
      </c>
      <c r="AM137" s="225" t="n">
        <f aca="false">'SVC-3 Model'!AM128</f>
        <v>0</v>
      </c>
      <c r="AN137" s="225" t="n">
        <f aca="false">'SVC-3 Model'!AN128</f>
        <v>0</v>
      </c>
      <c r="AO137" s="225" t="n">
        <f aca="false">'SVC-3 Model'!AO128</f>
        <v>0</v>
      </c>
      <c r="AP137" s="225" t="n">
        <f aca="false">'SVC-3 Model'!AP128</f>
        <v>0</v>
      </c>
      <c r="AQ137" s="225" t="n">
        <f aca="false">'SVC-3 Model'!AQ128</f>
        <v>0</v>
      </c>
      <c r="AR137" s="225" t="n">
        <f aca="false">'SVC-3 Model'!AR128</f>
        <v>0</v>
      </c>
      <c r="AS137" s="225" t="n">
        <f aca="false">'SVC-3 Model'!AS128</f>
        <v>0</v>
      </c>
      <c r="AT137" s="225" t="n">
        <f aca="false">'SVC-3 Model'!AT128</f>
        <v>0</v>
      </c>
      <c r="AU137" s="225" t="n">
        <f aca="false">'SVC-3 Model'!AU128</f>
        <v>0</v>
      </c>
      <c r="AV137" s="225" t="n">
        <f aca="false">'SVC-3 Model'!AV128</f>
        <v>0</v>
      </c>
      <c r="AW137" s="225" t="n">
        <f aca="false">'SVC-3 Model'!AW128</f>
        <v>0</v>
      </c>
      <c r="AX137" s="225" t="n">
        <f aca="false">'SVC-3 Model'!AX128</f>
        <v>0</v>
      </c>
      <c r="AY137" s="225" t="n">
        <f aca="false">'SVC-3 Model'!AY128</f>
        <v>0</v>
      </c>
      <c r="AZ137" s="225" t="n">
        <f aca="false">'SVC-3 Model'!AZ128</f>
        <v>0</v>
      </c>
      <c r="BA137" s="225" t="n">
        <f aca="false">'SVC-3 Model'!BA128</f>
        <v>0</v>
      </c>
      <c r="BB137" s="225" t="n">
        <f aca="false">'SVC-3 Model'!BB128</f>
        <v>0</v>
      </c>
      <c r="BC137" s="225" t="n">
        <f aca="false">'SVC-3 Model'!BC128</f>
        <v>0</v>
      </c>
      <c r="BD137" s="225" t="n">
        <f aca="false">'SVC-3 Model'!BD128</f>
        <v>0</v>
      </c>
      <c r="BE137" s="225" t="n">
        <f aca="false">'SVC-3 Model'!BE128</f>
        <v>0</v>
      </c>
      <c r="BF137" s="225" t="n">
        <f aca="false">'SVC-3 Model'!BF128</f>
        <v>0</v>
      </c>
      <c r="BG137" s="225" t="n">
        <f aca="false">'SVC-3 Model'!BG128</f>
        <v>0</v>
      </c>
      <c r="BH137" s="225" t="n">
        <f aca="false">'SVC-3 Model'!BH128</f>
        <v>0</v>
      </c>
      <c r="BI137" s="225" t="n">
        <f aca="false">'SVC-3 Model'!BI128</f>
        <v>0</v>
      </c>
      <c r="BJ137" s="225" t="n">
        <f aca="false">'SVC-3 Model'!BJ128</f>
        <v>0</v>
      </c>
      <c r="BK137" s="225" t="n">
        <f aca="false">'SVC-3 Model'!BK128</f>
        <v>0</v>
      </c>
      <c r="BL137" s="225" t="n">
        <f aca="false">'SVC-3 Model'!BL128</f>
        <v>0</v>
      </c>
      <c r="BM137" s="225" t="n">
        <f aca="false">'SVC-3 Model'!BM128</f>
        <v>0</v>
      </c>
      <c r="BN137" s="225" t="n">
        <f aca="false">'SVC-3 Model'!BN128</f>
        <v>0</v>
      </c>
      <c r="BO137" s="225" t="n">
        <f aca="false">'SVC-3 Model'!BO128</f>
        <v>0</v>
      </c>
      <c r="BP137" s="225" t="n">
        <f aca="false">'SVC-3 Model'!BP128</f>
        <v>0</v>
      </c>
      <c r="BQ137" s="225" t="n">
        <f aca="false">'SVC-3 Model'!BQ128</f>
        <v>0</v>
      </c>
      <c r="BR137" s="225" t="n">
        <f aca="false">'SVC-3 Model'!BR128</f>
        <v>0</v>
      </c>
      <c r="BS137" s="225" t="n">
        <f aca="false">'SVC-3 Model'!BS128</f>
        <v>0</v>
      </c>
      <c r="BT137" s="225" t="n">
        <f aca="false">'SVC-3 Model'!BT128</f>
        <v>0</v>
      </c>
      <c r="BU137" s="225" t="n">
        <f aca="false">'SVC-3 Model'!BU128</f>
        <v>0</v>
      </c>
      <c r="BV137" s="225" t="n">
        <f aca="false">'SVC-3 Model'!BV128</f>
        <v>0</v>
      </c>
      <c r="BW137" s="225" t="n">
        <f aca="false">'SVC-3 Model'!BW128</f>
        <v>0</v>
      </c>
      <c r="BX137" s="225" t="n">
        <f aca="false">'SVC-3 Model'!BX128</f>
        <v>0</v>
      </c>
      <c r="BY137" s="225" t="n">
        <f aca="false">'SVC-3 Model'!BY128</f>
        <v>0</v>
      </c>
      <c r="BZ137" s="226" t="n">
        <f aca="false">'SVC-3 Model'!BZ128</f>
        <v>0</v>
      </c>
      <c r="CA137" s="226" t="n">
        <f aca="false">'SVC-3 Model'!CA128</f>
        <v>0</v>
      </c>
      <c r="CC137" s="79" t="n">
        <f aca="false">SUMIFS($T137:$CA137, $T$1:$CA$1, CC$63)</f>
        <v>0</v>
      </c>
      <c r="CD137" s="79" t="n">
        <f aca="false">SUMIFS($T137:$CA137, $T$1:$CA$1, CD$63)</f>
        <v>0</v>
      </c>
      <c r="CE137" s="79" t="n">
        <f aca="false">SUMIFS($T137:$CA137, $T$1:$CA$1, CE$63)</f>
        <v>0</v>
      </c>
      <c r="CF137" s="79" t="n">
        <f aca="false">SUMIFS($T137:$CA137, $T$1:$CA$1, CF$63)</f>
        <v>0</v>
      </c>
      <c r="CG137" s="79" t="n">
        <f aca="false">SUMIFS($T137:$CA137, $T$1:$CA$1, CG$63)</f>
        <v>0</v>
      </c>
      <c r="CI137" s="79" t="n">
        <f aca="false">CC137=L137</f>
        <v>1</v>
      </c>
      <c r="CJ137" s="79" t="n">
        <f aca="false">CD137=M137</f>
        <v>1</v>
      </c>
      <c r="CK137" s="79" t="n">
        <f aca="false">CE137=N137</f>
        <v>1</v>
      </c>
      <c r="CL137" s="79" t="n">
        <f aca="false">CF137=O137</f>
        <v>1</v>
      </c>
      <c r="CM137" s="79" t="n">
        <f aca="false">CG137=P137</f>
        <v>1</v>
      </c>
    </row>
    <row r="138" s="14" customFormat="true" ht="16.5" hidden="false" customHeight="true" outlineLevel="0" collapsed="false">
      <c r="E138" s="96" t="s">
        <v>160</v>
      </c>
      <c r="L138" s="82" t="n">
        <f aca="false">SUM(L136:L137)</f>
        <v>0</v>
      </c>
      <c r="M138" s="82" t="n">
        <f aca="false">SUM(M136:M137)</f>
        <v>0</v>
      </c>
      <c r="N138" s="82" t="n">
        <f aca="false">SUM(N136:N137)</f>
        <v>0</v>
      </c>
      <c r="O138" s="82" t="n">
        <f aca="false">SUM(O136:O137)</f>
        <v>0</v>
      </c>
      <c r="P138" s="82" t="n">
        <f aca="false">SUM(P136:P137)</f>
        <v>0</v>
      </c>
      <c r="Q138" s="16"/>
      <c r="R138" s="16"/>
      <c r="T138" s="131" t="n">
        <f aca="false">SUM(T136:T137)</f>
        <v>0</v>
      </c>
      <c r="U138" s="131" t="n">
        <f aca="false">SUM(U136:U137)</f>
        <v>0</v>
      </c>
      <c r="V138" s="131" t="n">
        <f aca="false">SUM(V136:V137)</f>
        <v>0</v>
      </c>
      <c r="W138" s="131" t="n">
        <f aca="false">SUM(W136:W137)</f>
        <v>0</v>
      </c>
      <c r="X138" s="131" t="n">
        <f aca="false">SUM(X136:X137)</f>
        <v>0</v>
      </c>
      <c r="Y138" s="131" t="n">
        <f aca="false">SUM(Y136:Y137)</f>
        <v>0</v>
      </c>
      <c r="Z138" s="131" t="n">
        <f aca="false">SUM(Z136:Z137)</f>
        <v>0</v>
      </c>
      <c r="AA138" s="131" t="n">
        <f aca="false">SUM(AA136:AA137)</f>
        <v>0</v>
      </c>
      <c r="AB138" s="131" t="n">
        <f aca="false">SUM(AB136:AB137)</f>
        <v>0</v>
      </c>
      <c r="AC138" s="131" t="n">
        <f aca="false">SUM(AC136:AC137)</f>
        <v>0</v>
      </c>
      <c r="AD138" s="131" t="n">
        <f aca="false">SUM(AD136:AD137)</f>
        <v>0</v>
      </c>
      <c r="AE138" s="131" t="n">
        <f aca="false">SUM(AE136:AE137)</f>
        <v>0</v>
      </c>
      <c r="AF138" s="131" t="n">
        <f aca="false">SUM(AF136:AF137)</f>
        <v>0</v>
      </c>
      <c r="AG138" s="131" t="n">
        <f aca="false">SUM(AG136:AG137)</f>
        <v>0</v>
      </c>
      <c r="AH138" s="131" t="n">
        <f aca="false">SUM(AH136:AH137)</f>
        <v>0</v>
      </c>
      <c r="AI138" s="131" t="n">
        <f aca="false">SUM(AI136:AI137)</f>
        <v>0</v>
      </c>
      <c r="AJ138" s="131" t="n">
        <f aca="false">SUM(AJ136:AJ137)</f>
        <v>0</v>
      </c>
      <c r="AK138" s="131" t="n">
        <f aca="false">SUM(AK136:AK137)</f>
        <v>0</v>
      </c>
      <c r="AL138" s="131" t="n">
        <f aca="false">SUM(AL136:AL137)</f>
        <v>0</v>
      </c>
      <c r="AM138" s="131" t="n">
        <f aca="false">SUM(AM136:AM137)</f>
        <v>0</v>
      </c>
      <c r="AN138" s="131" t="n">
        <f aca="false">SUM(AN136:AN137)</f>
        <v>0</v>
      </c>
      <c r="AO138" s="131" t="n">
        <f aca="false">SUM(AO136:AO137)</f>
        <v>0</v>
      </c>
      <c r="AP138" s="131" t="n">
        <f aca="false">SUM(AP136:AP137)</f>
        <v>0</v>
      </c>
      <c r="AQ138" s="131" t="n">
        <f aca="false">SUM(AQ136:AQ137)</f>
        <v>0</v>
      </c>
      <c r="AR138" s="131" t="n">
        <f aca="false">SUM(AR136:AR137)</f>
        <v>0</v>
      </c>
      <c r="AS138" s="131" t="n">
        <f aca="false">SUM(AS136:AS137)</f>
        <v>0</v>
      </c>
      <c r="AT138" s="131" t="n">
        <f aca="false">SUM(AT136:AT137)</f>
        <v>0</v>
      </c>
      <c r="AU138" s="131" t="n">
        <f aca="false">SUM(AU136:AU137)</f>
        <v>0</v>
      </c>
      <c r="AV138" s="131" t="n">
        <f aca="false">SUM(AV136:AV137)</f>
        <v>0</v>
      </c>
      <c r="AW138" s="131" t="n">
        <f aca="false">SUM(AW136:AW137)</f>
        <v>0</v>
      </c>
      <c r="AX138" s="131" t="n">
        <f aca="false">SUM(AX136:AX137)</f>
        <v>0</v>
      </c>
      <c r="AY138" s="131" t="n">
        <f aca="false">SUM(AY136:AY137)</f>
        <v>0</v>
      </c>
      <c r="AZ138" s="131" t="n">
        <f aca="false">SUM(AZ136:AZ137)</f>
        <v>0</v>
      </c>
      <c r="BA138" s="131" t="n">
        <f aca="false">SUM(BA136:BA137)</f>
        <v>0</v>
      </c>
      <c r="BB138" s="131" t="n">
        <f aca="false">SUM(BB136:BB137)</f>
        <v>0</v>
      </c>
      <c r="BC138" s="131" t="n">
        <f aca="false">SUM(BC136:BC137)</f>
        <v>0</v>
      </c>
      <c r="BD138" s="131" t="n">
        <f aca="false">SUM(BD136:BD137)</f>
        <v>0</v>
      </c>
      <c r="BE138" s="131" t="n">
        <f aca="false">SUM(BE136:BE137)</f>
        <v>0</v>
      </c>
      <c r="BF138" s="131" t="n">
        <f aca="false">SUM(BF136:BF137)</f>
        <v>0</v>
      </c>
      <c r="BG138" s="131" t="n">
        <f aca="false">SUM(BG136:BG137)</f>
        <v>0</v>
      </c>
      <c r="BH138" s="131" t="n">
        <f aca="false">SUM(BH136:BH137)</f>
        <v>0</v>
      </c>
      <c r="BI138" s="131" t="n">
        <f aca="false">SUM(BI136:BI137)</f>
        <v>0</v>
      </c>
      <c r="BJ138" s="131" t="n">
        <f aca="false">SUM(BJ136:BJ137)</f>
        <v>0</v>
      </c>
      <c r="BK138" s="131" t="n">
        <f aca="false">SUM(BK136:BK137)</f>
        <v>0</v>
      </c>
      <c r="BL138" s="131" t="n">
        <f aca="false">SUM(BL136:BL137)</f>
        <v>0</v>
      </c>
      <c r="BM138" s="131" t="n">
        <f aca="false">SUM(BM136:BM137)</f>
        <v>0</v>
      </c>
      <c r="BN138" s="131" t="n">
        <f aca="false">SUM(BN136:BN137)</f>
        <v>0</v>
      </c>
      <c r="BO138" s="131" t="n">
        <f aca="false">SUM(BO136:BO137)</f>
        <v>0</v>
      </c>
      <c r="BP138" s="131" t="n">
        <f aca="false">SUM(BP136:BP137)</f>
        <v>0</v>
      </c>
      <c r="BQ138" s="131" t="n">
        <f aca="false">SUM(BQ136:BQ137)</f>
        <v>0</v>
      </c>
      <c r="BR138" s="131" t="n">
        <f aca="false">SUM(BR136:BR137)</f>
        <v>0</v>
      </c>
      <c r="BS138" s="131" t="n">
        <f aca="false">SUM(BS136:BS137)</f>
        <v>0</v>
      </c>
      <c r="BT138" s="131" t="n">
        <f aca="false">SUM(BT136:BT137)</f>
        <v>0</v>
      </c>
      <c r="BU138" s="131" t="n">
        <f aca="false">SUM(BU136:BU137)</f>
        <v>0</v>
      </c>
      <c r="BV138" s="131" t="n">
        <f aca="false">SUM(BV136:BV137)</f>
        <v>0</v>
      </c>
      <c r="BW138" s="131" t="n">
        <f aca="false">SUM(BW136:BW137)</f>
        <v>0</v>
      </c>
      <c r="BX138" s="131" t="n">
        <f aca="false">SUM(BX136:BX137)</f>
        <v>0</v>
      </c>
      <c r="BY138" s="131" t="n">
        <f aca="false">SUM(BY136:BY137)</f>
        <v>0</v>
      </c>
      <c r="BZ138" s="136" t="n">
        <f aca="false">SUM(BZ136:BZ137)</f>
        <v>0</v>
      </c>
      <c r="CA138" s="136" t="n">
        <f aca="false">SUM(CA136:CA137)</f>
        <v>0</v>
      </c>
      <c r="CC138" s="136" t="n">
        <f aca="false">SUM(CC136:CC137)</f>
        <v>0</v>
      </c>
      <c r="CD138" s="136" t="n">
        <f aca="false">SUM(CD136:CD137)</f>
        <v>0</v>
      </c>
      <c r="CE138" s="136" t="n">
        <f aca="false">SUM(CE136:CE137)</f>
        <v>0</v>
      </c>
      <c r="CF138" s="136" t="n">
        <f aca="false">SUM(CF136:CF137)</f>
        <v>0</v>
      </c>
      <c r="CG138" s="136" t="n">
        <f aca="false">SUM(CG136:CG137)</f>
        <v>0</v>
      </c>
      <c r="CI138" s="136" t="n">
        <f aca="false">CC138=L138</f>
        <v>1</v>
      </c>
      <c r="CJ138" s="136" t="n">
        <f aca="false">CD138=M138</f>
        <v>1</v>
      </c>
      <c r="CK138" s="136" t="n">
        <f aca="false">CE138=N138</f>
        <v>1</v>
      </c>
      <c r="CL138" s="136" t="n">
        <f aca="false">CF138=O138</f>
        <v>1</v>
      </c>
      <c r="CM138" s="136" t="n">
        <f aca="false">CG138=P138</f>
        <v>1</v>
      </c>
    </row>
    <row r="139" s="14" customFormat="true" ht="16.5" hidden="false" customHeight="true" outlineLevel="0" collapsed="false">
      <c r="L139" s="88"/>
      <c r="M139" s="88"/>
      <c r="N139" s="88"/>
      <c r="O139" s="88"/>
      <c r="P139" s="88"/>
      <c r="Q139" s="16"/>
      <c r="R139" s="16"/>
      <c r="T139" s="137"/>
      <c r="U139" s="137"/>
      <c r="V139" s="137"/>
      <c r="W139" s="137"/>
      <c r="X139" s="137"/>
      <c r="Y139" s="137"/>
      <c r="Z139" s="137"/>
      <c r="AA139" s="137"/>
      <c r="AB139" s="137"/>
      <c r="AC139" s="137"/>
      <c r="AD139" s="137"/>
      <c r="AE139" s="137"/>
      <c r="AF139" s="137"/>
      <c r="AG139" s="137"/>
      <c r="AH139" s="137"/>
      <c r="AI139" s="137"/>
      <c r="AJ139" s="137"/>
      <c r="AK139" s="137"/>
      <c r="AL139" s="137"/>
      <c r="AM139" s="137"/>
      <c r="AN139" s="137"/>
      <c r="AO139" s="137"/>
      <c r="AP139" s="137"/>
      <c r="AQ139" s="137"/>
      <c r="AR139" s="137"/>
      <c r="AS139" s="137"/>
      <c r="AT139" s="137"/>
      <c r="AU139" s="137"/>
      <c r="AV139" s="137"/>
      <c r="AW139" s="137"/>
      <c r="AX139" s="137"/>
      <c r="AY139" s="137"/>
      <c r="AZ139" s="137"/>
      <c r="BA139" s="137"/>
      <c r="BB139" s="137"/>
      <c r="BC139" s="137"/>
      <c r="BD139" s="137"/>
      <c r="BE139" s="137"/>
      <c r="BF139" s="137"/>
      <c r="BG139" s="137"/>
      <c r="BH139" s="137"/>
      <c r="BI139" s="137"/>
      <c r="BJ139" s="137"/>
      <c r="BK139" s="137"/>
      <c r="BL139" s="137"/>
      <c r="BM139" s="137"/>
      <c r="BN139" s="137"/>
      <c r="BO139" s="137"/>
      <c r="BP139" s="137"/>
      <c r="BQ139" s="137"/>
      <c r="BR139" s="137"/>
      <c r="BS139" s="137"/>
      <c r="BT139" s="137"/>
      <c r="BU139" s="137"/>
      <c r="BV139" s="137"/>
      <c r="BW139" s="137"/>
      <c r="BX139" s="137"/>
      <c r="BY139" s="137"/>
      <c r="BZ139" s="121"/>
      <c r="CA139" s="121"/>
    </row>
    <row r="140" s="14" customFormat="true" ht="16.5" hidden="false" customHeight="true" outlineLevel="0" collapsed="false">
      <c r="E140" s="21" t="s">
        <v>161</v>
      </c>
      <c r="L140" s="88"/>
      <c r="M140" s="88"/>
      <c r="N140" s="88"/>
      <c r="O140" s="88"/>
      <c r="P140" s="88"/>
      <c r="Q140" s="16"/>
      <c r="R140" s="16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7"/>
      <c r="AH140" s="137"/>
      <c r="AI140" s="137"/>
      <c r="AJ140" s="137"/>
      <c r="AK140" s="137"/>
      <c r="AL140" s="137"/>
      <c r="AM140" s="137"/>
      <c r="AN140" s="137"/>
      <c r="AO140" s="137"/>
      <c r="AP140" s="137"/>
      <c r="AQ140" s="137"/>
      <c r="AR140" s="137"/>
      <c r="AS140" s="137"/>
      <c r="AT140" s="137"/>
      <c r="AU140" s="137"/>
      <c r="AV140" s="137"/>
      <c r="AW140" s="137"/>
      <c r="AX140" s="137"/>
      <c r="AY140" s="137"/>
      <c r="AZ140" s="137"/>
      <c r="BA140" s="137"/>
      <c r="BB140" s="137"/>
      <c r="BC140" s="137"/>
      <c r="BD140" s="137"/>
      <c r="BE140" s="137"/>
      <c r="BF140" s="137"/>
      <c r="BG140" s="137"/>
      <c r="BH140" s="137"/>
      <c r="BI140" s="137"/>
      <c r="BJ140" s="137"/>
      <c r="BK140" s="137"/>
      <c r="BL140" s="137"/>
      <c r="BM140" s="137"/>
      <c r="BN140" s="137"/>
      <c r="BO140" s="137"/>
      <c r="BP140" s="137"/>
      <c r="BQ140" s="137"/>
      <c r="BR140" s="137"/>
      <c r="BS140" s="137"/>
      <c r="BT140" s="137"/>
      <c r="BU140" s="137"/>
      <c r="BV140" s="137"/>
      <c r="BW140" s="137"/>
      <c r="BX140" s="137"/>
      <c r="BY140" s="137"/>
      <c r="BZ140" s="121"/>
      <c r="CA140" s="121"/>
    </row>
    <row r="141" s="14" customFormat="true" ht="16.5" hidden="false" customHeight="true" outlineLevel="0" collapsed="false">
      <c r="E141" s="91" t="s">
        <v>379</v>
      </c>
      <c r="K141" s="29"/>
      <c r="L141" s="213" t="n">
        <f aca="false">'SVC-3 Model'!L129</f>
        <v>0</v>
      </c>
      <c r="M141" s="213" t="n">
        <f aca="false">'SVC-3 Model'!M129</f>
        <v>2.73166666666667</v>
      </c>
      <c r="N141" s="213" t="n">
        <f aca="false">'SVC-3 Model'!N129</f>
        <v>0.458333333333333</v>
      </c>
      <c r="O141" s="213" t="n">
        <f aca="false">'SVC-3 Model'!O129</f>
        <v>0</v>
      </c>
      <c r="P141" s="213" t="n">
        <f aca="false">'SVC-3 Model'!P129</f>
        <v>0</v>
      </c>
      <c r="Q141" s="93" t="s">
        <v>266</v>
      </c>
      <c r="R141" s="16"/>
      <c r="T141" s="225" t="n">
        <f aca="false">'SVC-3 Model'!T129</f>
        <v>0</v>
      </c>
      <c r="U141" s="225" t="n">
        <f aca="false">'SVC-3 Model'!U129</f>
        <v>0</v>
      </c>
      <c r="V141" s="225" t="n">
        <f aca="false">'SVC-3 Model'!V129</f>
        <v>0</v>
      </c>
      <c r="W141" s="225" t="n">
        <f aca="false">'SVC-3 Model'!W129</f>
        <v>0</v>
      </c>
      <c r="X141" s="225" t="n">
        <f aca="false">'SVC-3 Model'!X129</f>
        <v>0</v>
      </c>
      <c r="Y141" s="225" t="n">
        <f aca="false">'SVC-3 Model'!Y129</f>
        <v>0</v>
      </c>
      <c r="Z141" s="225" t="n">
        <f aca="false">'SVC-3 Model'!Z129</f>
        <v>0</v>
      </c>
      <c r="AA141" s="225" t="n">
        <f aca="false">'SVC-3 Model'!AA129</f>
        <v>0</v>
      </c>
      <c r="AB141" s="225" t="n">
        <f aca="false">'SVC-3 Model'!AB129</f>
        <v>0</v>
      </c>
      <c r="AC141" s="225" t="n">
        <f aca="false">'SVC-3 Model'!AC129</f>
        <v>0</v>
      </c>
      <c r="AD141" s="225" t="n">
        <f aca="false">'SVC-3 Model'!AD129</f>
        <v>0</v>
      </c>
      <c r="AE141" s="225" t="n">
        <f aca="false">'SVC-3 Model'!AE129</f>
        <v>0</v>
      </c>
      <c r="AF141" s="225" t="n">
        <f aca="false">'SVC-3 Model'!AF129</f>
        <v>0.146666666666667</v>
      </c>
      <c r="AG141" s="225" t="n">
        <f aca="false">'SVC-3 Model'!AG129</f>
        <v>0.146666666666667</v>
      </c>
      <c r="AH141" s="225" t="n">
        <f aca="false">'SVC-3 Model'!AH129</f>
        <v>0.293333333333333</v>
      </c>
      <c r="AI141" s="225" t="n">
        <f aca="false">'SVC-3 Model'!AI129</f>
        <v>0.293333333333333</v>
      </c>
      <c r="AJ141" s="225" t="n">
        <f aca="false">'SVC-3 Model'!AJ129</f>
        <v>0.293333333333333</v>
      </c>
      <c r="AK141" s="225" t="n">
        <f aca="false">'SVC-3 Model'!AK129</f>
        <v>0.293333333333333</v>
      </c>
      <c r="AL141" s="225" t="n">
        <f aca="false">'SVC-3 Model'!AL129</f>
        <v>0.293333333333333</v>
      </c>
      <c r="AM141" s="225" t="n">
        <f aca="false">'SVC-3 Model'!AM129</f>
        <v>0.238333333333333</v>
      </c>
      <c r="AN141" s="225" t="n">
        <f aca="false">'SVC-3 Model'!AN129</f>
        <v>0.183333333333333</v>
      </c>
      <c r="AO141" s="225" t="n">
        <f aca="false">'SVC-3 Model'!AO129</f>
        <v>0.183333333333333</v>
      </c>
      <c r="AP141" s="225" t="n">
        <f aca="false">'SVC-3 Model'!AP129</f>
        <v>0.183333333333333</v>
      </c>
      <c r="AQ141" s="225" t="n">
        <f aca="false">'SVC-3 Model'!AQ129</f>
        <v>0.183333333333333</v>
      </c>
      <c r="AR141" s="225" t="n">
        <f aca="false">'SVC-3 Model'!AR129</f>
        <v>0.183333333333333</v>
      </c>
      <c r="AS141" s="225" t="n">
        <f aca="false">'SVC-3 Model'!AS129</f>
        <v>0.0916666666666667</v>
      </c>
      <c r="AT141" s="225" t="n">
        <f aca="false">'SVC-3 Model'!AT129</f>
        <v>0.0916666666666667</v>
      </c>
      <c r="AU141" s="225" t="n">
        <f aca="false">'SVC-3 Model'!AU129</f>
        <v>0.0916666666666667</v>
      </c>
      <c r="AV141" s="225" t="n">
        <f aca="false">'SVC-3 Model'!AV129</f>
        <v>0</v>
      </c>
      <c r="AW141" s="225" t="n">
        <f aca="false">'SVC-3 Model'!AW129</f>
        <v>0</v>
      </c>
      <c r="AX141" s="225" t="n">
        <f aca="false">'SVC-3 Model'!AX129</f>
        <v>0</v>
      </c>
      <c r="AY141" s="225" t="n">
        <f aca="false">'SVC-3 Model'!AY129</f>
        <v>0</v>
      </c>
      <c r="AZ141" s="225" t="n">
        <f aca="false">'SVC-3 Model'!AZ129</f>
        <v>0</v>
      </c>
      <c r="BA141" s="225" t="n">
        <f aca="false">'SVC-3 Model'!BA129</f>
        <v>0</v>
      </c>
      <c r="BB141" s="225" t="n">
        <f aca="false">'SVC-3 Model'!BB129</f>
        <v>0</v>
      </c>
      <c r="BC141" s="225" t="n">
        <f aca="false">'SVC-3 Model'!BC129</f>
        <v>0</v>
      </c>
      <c r="BD141" s="225" t="n">
        <f aca="false">'SVC-3 Model'!BD129</f>
        <v>0</v>
      </c>
      <c r="BE141" s="225" t="n">
        <f aca="false">'SVC-3 Model'!BE129</f>
        <v>0</v>
      </c>
      <c r="BF141" s="225" t="n">
        <f aca="false">'SVC-3 Model'!BF129</f>
        <v>0</v>
      </c>
      <c r="BG141" s="225" t="n">
        <f aca="false">'SVC-3 Model'!BG129</f>
        <v>0</v>
      </c>
      <c r="BH141" s="225" t="n">
        <f aca="false">'SVC-3 Model'!BH129</f>
        <v>0</v>
      </c>
      <c r="BI141" s="225" t="n">
        <f aca="false">'SVC-3 Model'!BI129</f>
        <v>0</v>
      </c>
      <c r="BJ141" s="225" t="n">
        <f aca="false">'SVC-3 Model'!BJ129</f>
        <v>0</v>
      </c>
      <c r="BK141" s="225" t="n">
        <f aca="false">'SVC-3 Model'!BK129</f>
        <v>0</v>
      </c>
      <c r="BL141" s="225" t="n">
        <f aca="false">'SVC-3 Model'!BL129</f>
        <v>0</v>
      </c>
      <c r="BM141" s="225" t="n">
        <f aca="false">'SVC-3 Model'!BM129</f>
        <v>0</v>
      </c>
      <c r="BN141" s="225" t="n">
        <f aca="false">'SVC-3 Model'!BN129</f>
        <v>0</v>
      </c>
      <c r="BO141" s="225" t="n">
        <f aca="false">'SVC-3 Model'!BO129</f>
        <v>0</v>
      </c>
      <c r="BP141" s="225" t="n">
        <f aca="false">'SVC-3 Model'!BP129</f>
        <v>0</v>
      </c>
      <c r="BQ141" s="225" t="n">
        <f aca="false">'SVC-3 Model'!BQ129</f>
        <v>0</v>
      </c>
      <c r="BR141" s="225" t="n">
        <f aca="false">'SVC-3 Model'!BR129</f>
        <v>0</v>
      </c>
      <c r="BS141" s="225" t="n">
        <f aca="false">'SVC-3 Model'!BS129</f>
        <v>0</v>
      </c>
      <c r="BT141" s="225" t="n">
        <f aca="false">'SVC-3 Model'!BT129</f>
        <v>0</v>
      </c>
      <c r="BU141" s="225" t="n">
        <f aca="false">'SVC-3 Model'!BU129</f>
        <v>0</v>
      </c>
      <c r="BV141" s="225" t="n">
        <f aca="false">'SVC-3 Model'!BV129</f>
        <v>0</v>
      </c>
      <c r="BW141" s="225" t="n">
        <f aca="false">'SVC-3 Model'!BW129</f>
        <v>0</v>
      </c>
      <c r="BX141" s="225" t="n">
        <f aca="false">'SVC-3 Model'!BX129</f>
        <v>0</v>
      </c>
      <c r="BY141" s="225" t="n">
        <f aca="false">'SVC-3 Model'!BY129</f>
        <v>0</v>
      </c>
      <c r="BZ141" s="227" t="n">
        <f aca="false">'SVC-3 Model'!BZ129</f>
        <v>0</v>
      </c>
      <c r="CA141" s="227" t="n">
        <f aca="false">'SVC-3 Model'!CA129</f>
        <v>0</v>
      </c>
      <c r="CC141" s="79" t="n">
        <f aca="false">SUMIFS($T141:$CA141, $T$1:$CA$1, CC$63)</f>
        <v>0</v>
      </c>
      <c r="CD141" s="79" t="n">
        <f aca="false">SUMIFS($T141:$CA141, $T$1:$CA$1, CD$63)</f>
        <v>2.73166666666667</v>
      </c>
      <c r="CE141" s="79" t="n">
        <f aca="false">SUMIFS($T141:$CA141, $T$1:$CA$1, CE$63)</f>
        <v>0.458333333333333</v>
      </c>
      <c r="CF141" s="79" t="n">
        <f aca="false">SUMIFS($T141:$CA141, $T$1:$CA$1, CF$63)</f>
        <v>0</v>
      </c>
      <c r="CG141" s="79" t="n">
        <f aca="false">SUMIFS($T141:$CA141, $T$1:$CA$1, CG$63)</f>
        <v>0</v>
      </c>
      <c r="CI141" s="79" t="n">
        <f aca="false">CC141=L141</f>
        <v>1</v>
      </c>
      <c r="CJ141" s="79" t="n">
        <f aca="false">CD141=M141</f>
        <v>1</v>
      </c>
      <c r="CK141" s="79" t="n">
        <f aca="false">CE141=N141</f>
        <v>1</v>
      </c>
      <c r="CL141" s="79" t="n">
        <f aca="false">CF141=O141</f>
        <v>1</v>
      </c>
      <c r="CM141" s="79" t="n">
        <f aca="false">CG141=P141</f>
        <v>1</v>
      </c>
    </row>
    <row r="142" s="14" customFormat="true" ht="16.5" hidden="false" customHeight="true" outlineLevel="0" collapsed="false">
      <c r="E142" s="91" t="s">
        <v>380</v>
      </c>
      <c r="L142" s="213" t="n">
        <f aca="false">'SVC-3 Model'!L130</f>
        <v>0</v>
      </c>
      <c r="M142" s="213" t="n">
        <f aca="false">'SVC-3 Model'!M130</f>
        <v>1.52233</v>
      </c>
      <c r="N142" s="213" t="n">
        <f aca="false">'SVC-3 Model'!N130</f>
        <v>0.19411</v>
      </c>
      <c r="O142" s="213" t="n">
        <f aca="false">'SVC-3 Model'!O130</f>
        <v>0</v>
      </c>
      <c r="P142" s="213" t="n">
        <f aca="false">'SVC-3 Model'!P130</f>
        <v>0</v>
      </c>
      <c r="Q142" s="93" t="s">
        <v>266</v>
      </c>
      <c r="R142" s="16"/>
      <c r="T142" s="225" t="n">
        <f aca="false">'SVC-3 Model'!T130</f>
        <v>0</v>
      </c>
      <c r="U142" s="225" t="n">
        <f aca="false">'SVC-3 Model'!U130</f>
        <v>0</v>
      </c>
      <c r="V142" s="225" t="n">
        <f aca="false">'SVC-3 Model'!V130</f>
        <v>0</v>
      </c>
      <c r="W142" s="225" t="n">
        <f aca="false">'SVC-3 Model'!W130</f>
        <v>0</v>
      </c>
      <c r="X142" s="225" t="n">
        <f aca="false">'SVC-3 Model'!X130</f>
        <v>0</v>
      </c>
      <c r="Y142" s="225" t="n">
        <f aca="false">'SVC-3 Model'!Y130</f>
        <v>0</v>
      </c>
      <c r="Z142" s="225" t="n">
        <f aca="false">'SVC-3 Model'!Z130</f>
        <v>0</v>
      </c>
      <c r="AA142" s="225" t="n">
        <f aca="false">'SVC-3 Model'!AA130</f>
        <v>0</v>
      </c>
      <c r="AB142" s="225" t="n">
        <f aca="false">'SVC-3 Model'!AB130</f>
        <v>0</v>
      </c>
      <c r="AC142" s="225" t="n">
        <f aca="false">'SVC-3 Model'!AC130</f>
        <v>0</v>
      </c>
      <c r="AD142" s="225" t="n">
        <f aca="false">'SVC-3 Model'!AD130</f>
        <v>0</v>
      </c>
      <c r="AE142" s="225" t="n">
        <f aca="false">'SVC-3 Model'!AE130</f>
        <v>0</v>
      </c>
      <c r="AF142" s="225" t="n">
        <f aca="false">'SVC-3 Model'!AF130</f>
        <v>0.0485275</v>
      </c>
      <c r="AG142" s="225" t="n">
        <f aca="false">'SVC-3 Model'!AG130</f>
        <v>0.0485275</v>
      </c>
      <c r="AH142" s="225" t="n">
        <f aca="false">'SVC-3 Model'!AH130</f>
        <v>0.265194166666667</v>
      </c>
      <c r="AI142" s="225" t="n">
        <f aca="false">'SVC-3 Model'!AI130</f>
        <v>0.265194166666667</v>
      </c>
      <c r="AJ142" s="225" t="n">
        <f aca="false">'SVC-3 Model'!AJ130</f>
        <v>0.175194166666667</v>
      </c>
      <c r="AK142" s="225" t="n">
        <f aca="false">'SVC-3 Model'!AK130</f>
        <v>0.175194166666667</v>
      </c>
      <c r="AL142" s="225" t="n">
        <f aca="false">'SVC-3 Model'!AL130</f>
        <v>0.175194166666667</v>
      </c>
      <c r="AM142" s="225" t="n">
        <f aca="false">'SVC-3 Model'!AM130</f>
        <v>0.175194166666667</v>
      </c>
      <c r="AN142" s="225" t="n">
        <f aca="false">'SVC-3 Model'!AN130</f>
        <v>0.0485275</v>
      </c>
      <c r="AO142" s="225" t="n">
        <f aca="false">'SVC-3 Model'!AO130</f>
        <v>0.0485275</v>
      </c>
      <c r="AP142" s="225" t="n">
        <f aca="false">'SVC-3 Model'!AP130</f>
        <v>0.0485275</v>
      </c>
      <c r="AQ142" s="225" t="n">
        <f aca="false">'SVC-3 Model'!AQ130</f>
        <v>0.0485275</v>
      </c>
      <c r="AR142" s="225" t="n">
        <f aca="false">'SVC-3 Model'!AR130</f>
        <v>0.0485275</v>
      </c>
      <c r="AS142" s="225" t="n">
        <f aca="false">'SVC-3 Model'!AS130</f>
        <v>0.0485275</v>
      </c>
      <c r="AT142" s="225" t="n">
        <f aca="false">'SVC-3 Model'!AT130</f>
        <v>0.0485275</v>
      </c>
      <c r="AU142" s="225" t="n">
        <f aca="false">'SVC-3 Model'!AU130</f>
        <v>0.0485275</v>
      </c>
      <c r="AV142" s="225" t="n">
        <f aca="false">'SVC-3 Model'!AV130</f>
        <v>0</v>
      </c>
      <c r="AW142" s="225" t="n">
        <f aca="false">'SVC-3 Model'!AW130</f>
        <v>0</v>
      </c>
      <c r="AX142" s="225" t="n">
        <f aca="false">'SVC-3 Model'!AX130</f>
        <v>0</v>
      </c>
      <c r="AY142" s="225" t="n">
        <f aca="false">'SVC-3 Model'!AY130</f>
        <v>0</v>
      </c>
      <c r="AZ142" s="225" t="n">
        <f aca="false">'SVC-3 Model'!AZ130</f>
        <v>0</v>
      </c>
      <c r="BA142" s="225" t="n">
        <f aca="false">'SVC-3 Model'!BA130</f>
        <v>0</v>
      </c>
      <c r="BB142" s="225" t="n">
        <f aca="false">'SVC-3 Model'!BB130</f>
        <v>0</v>
      </c>
      <c r="BC142" s="225" t="n">
        <f aca="false">'SVC-3 Model'!BC130</f>
        <v>0</v>
      </c>
      <c r="BD142" s="225" t="n">
        <f aca="false">'SVC-3 Model'!BD130</f>
        <v>0</v>
      </c>
      <c r="BE142" s="225" t="n">
        <f aca="false">'SVC-3 Model'!BE130</f>
        <v>0</v>
      </c>
      <c r="BF142" s="225" t="n">
        <f aca="false">'SVC-3 Model'!BF130</f>
        <v>0</v>
      </c>
      <c r="BG142" s="225" t="n">
        <f aca="false">'SVC-3 Model'!BG130</f>
        <v>0</v>
      </c>
      <c r="BH142" s="225" t="n">
        <f aca="false">'SVC-3 Model'!BH130</f>
        <v>0</v>
      </c>
      <c r="BI142" s="225" t="n">
        <f aca="false">'SVC-3 Model'!BI130</f>
        <v>0</v>
      </c>
      <c r="BJ142" s="225" t="n">
        <f aca="false">'SVC-3 Model'!BJ130</f>
        <v>0</v>
      </c>
      <c r="BK142" s="225" t="n">
        <f aca="false">'SVC-3 Model'!BK130</f>
        <v>0</v>
      </c>
      <c r="BL142" s="225" t="n">
        <f aca="false">'SVC-3 Model'!BL130</f>
        <v>0</v>
      </c>
      <c r="BM142" s="225" t="n">
        <f aca="false">'SVC-3 Model'!BM130</f>
        <v>0</v>
      </c>
      <c r="BN142" s="225" t="n">
        <f aca="false">'SVC-3 Model'!BN130</f>
        <v>0</v>
      </c>
      <c r="BO142" s="225" t="n">
        <f aca="false">'SVC-3 Model'!BO130</f>
        <v>0</v>
      </c>
      <c r="BP142" s="225" t="n">
        <f aca="false">'SVC-3 Model'!BP130</f>
        <v>0</v>
      </c>
      <c r="BQ142" s="225" t="n">
        <f aca="false">'SVC-3 Model'!BQ130</f>
        <v>0</v>
      </c>
      <c r="BR142" s="225" t="n">
        <f aca="false">'SVC-3 Model'!BR130</f>
        <v>0</v>
      </c>
      <c r="BS142" s="225" t="n">
        <f aca="false">'SVC-3 Model'!BS130</f>
        <v>0</v>
      </c>
      <c r="BT142" s="225" t="n">
        <f aca="false">'SVC-3 Model'!BT130</f>
        <v>0</v>
      </c>
      <c r="BU142" s="225" t="n">
        <f aca="false">'SVC-3 Model'!BU130</f>
        <v>0</v>
      </c>
      <c r="BV142" s="225" t="n">
        <f aca="false">'SVC-3 Model'!BV130</f>
        <v>0</v>
      </c>
      <c r="BW142" s="225" t="n">
        <f aca="false">'SVC-3 Model'!BW130</f>
        <v>0</v>
      </c>
      <c r="BX142" s="225" t="n">
        <f aca="false">'SVC-3 Model'!BX130</f>
        <v>0</v>
      </c>
      <c r="BY142" s="225" t="n">
        <f aca="false">'SVC-3 Model'!BY130</f>
        <v>0</v>
      </c>
      <c r="BZ142" s="227" t="n">
        <f aca="false">'SVC-3 Model'!BZ130</f>
        <v>0</v>
      </c>
      <c r="CA142" s="227" t="n">
        <f aca="false">'SVC-3 Model'!CA130</f>
        <v>0</v>
      </c>
      <c r="CC142" s="79" t="n">
        <f aca="false">SUMIFS($T142:$CA142, $T$1:$CA$1, CC$63)</f>
        <v>0</v>
      </c>
      <c r="CD142" s="79" t="n">
        <f aca="false">SUMIFS($T142:$CA142, $T$1:$CA$1, CD$63)</f>
        <v>1.52233</v>
      </c>
      <c r="CE142" s="79" t="n">
        <f aca="false">SUMIFS($T142:$CA142, $T$1:$CA$1, CE$63)</f>
        <v>0.19411</v>
      </c>
      <c r="CF142" s="79" t="n">
        <f aca="false">SUMIFS($T142:$CA142, $T$1:$CA$1, CF$63)</f>
        <v>0</v>
      </c>
      <c r="CG142" s="79" t="n">
        <f aca="false">SUMIFS($T142:$CA142, $T$1:$CA$1, CG$63)</f>
        <v>0</v>
      </c>
      <c r="CI142" s="79" t="n">
        <f aca="false">CC142=L142</f>
        <v>1</v>
      </c>
      <c r="CJ142" s="79" t="n">
        <f aca="false">CD142=M142</f>
        <v>1</v>
      </c>
      <c r="CK142" s="79" t="n">
        <f aca="false">CE142=N142</f>
        <v>1</v>
      </c>
      <c r="CL142" s="79" t="n">
        <f aca="false">CF142=O142</f>
        <v>1</v>
      </c>
      <c r="CM142" s="79" t="n">
        <f aca="false">CG142=P142</f>
        <v>1</v>
      </c>
    </row>
    <row r="143" s="14" customFormat="true" ht="16.5" hidden="false" customHeight="true" outlineLevel="0" collapsed="false">
      <c r="E143" s="91"/>
      <c r="L143" s="91"/>
      <c r="M143" s="91"/>
      <c r="N143" s="91"/>
      <c r="O143" s="91"/>
      <c r="P143" s="91"/>
      <c r="Q143" s="93"/>
      <c r="R143" s="16"/>
      <c r="T143" s="135"/>
      <c r="U143" s="135"/>
      <c r="V143" s="135"/>
      <c r="W143" s="135"/>
      <c r="X143" s="135"/>
      <c r="Y143" s="135"/>
      <c r="Z143" s="135"/>
      <c r="AA143" s="135"/>
      <c r="AB143" s="135"/>
      <c r="AC143" s="135"/>
      <c r="AD143" s="135"/>
      <c r="AE143" s="135"/>
      <c r="AF143" s="135"/>
      <c r="AG143" s="135"/>
      <c r="AH143" s="135"/>
      <c r="AI143" s="135"/>
      <c r="AJ143" s="135"/>
      <c r="AK143" s="135"/>
      <c r="AL143" s="135"/>
      <c r="AM143" s="135"/>
      <c r="AN143" s="135"/>
      <c r="AO143" s="135"/>
      <c r="AP143" s="135"/>
      <c r="AQ143" s="135"/>
      <c r="AR143" s="135"/>
      <c r="AS143" s="135"/>
      <c r="AT143" s="135"/>
      <c r="AU143" s="135"/>
      <c r="AV143" s="135"/>
      <c r="AW143" s="135"/>
      <c r="AX143" s="135"/>
      <c r="AY143" s="135"/>
      <c r="AZ143" s="135"/>
      <c r="BA143" s="135"/>
      <c r="BB143" s="135"/>
      <c r="BC143" s="135"/>
      <c r="BD143" s="135"/>
      <c r="BE143" s="135"/>
      <c r="BF143" s="135"/>
      <c r="BG143" s="135"/>
      <c r="BH143" s="135"/>
      <c r="BI143" s="135"/>
      <c r="BJ143" s="135"/>
      <c r="BK143" s="135"/>
      <c r="BL143" s="135"/>
      <c r="BM143" s="135"/>
      <c r="BN143" s="135"/>
      <c r="BO143" s="135"/>
      <c r="BP143" s="135"/>
      <c r="BQ143" s="135"/>
      <c r="BR143" s="135"/>
      <c r="BS143" s="135"/>
      <c r="BT143" s="135"/>
      <c r="BU143" s="135"/>
      <c r="BV143" s="135"/>
      <c r="BW143" s="135"/>
      <c r="BX143" s="135"/>
      <c r="BY143" s="135"/>
      <c r="BZ143" s="138"/>
      <c r="CA143" s="138"/>
      <c r="CC143" s="79" t="n">
        <f aca="false">SUMIFS($T143:$CA143, $T$1:$CA$1, CC$63)</f>
        <v>0</v>
      </c>
      <c r="CD143" s="79" t="n">
        <f aca="false">SUMIFS($T143:$CA143, $T$1:$CA$1, CD$63)</f>
        <v>0</v>
      </c>
      <c r="CE143" s="79" t="n">
        <f aca="false">SUMIFS($T143:$CA143, $T$1:$CA$1, CE$63)</f>
        <v>0</v>
      </c>
      <c r="CF143" s="79" t="n">
        <f aca="false">SUMIFS($T143:$CA143, $T$1:$CA$1, CF$63)</f>
        <v>0</v>
      </c>
      <c r="CG143" s="79" t="n">
        <f aca="false">SUMIFS($T143:$CA143, $T$1:$CA$1, CG$63)</f>
        <v>0</v>
      </c>
      <c r="CI143" s="79" t="n">
        <f aca="false">CC143=L143</f>
        <v>1</v>
      </c>
      <c r="CJ143" s="79" t="n">
        <f aca="false">CD143=M143</f>
        <v>1</v>
      </c>
      <c r="CK143" s="79" t="n">
        <f aca="false">CE143=N143</f>
        <v>1</v>
      </c>
      <c r="CL143" s="79" t="n">
        <f aca="false">CF143=O143</f>
        <v>1</v>
      </c>
      <c r="CM143" s="79" t="n">
        <f aca="false">CG143=P143</f>
        <v>1</v>
      </c>
    </row>
    <row r="144" s="14" customFormat="true" ht="16.5" hidden="false" customHeight="true" outlineLevel="0" collapsed="false">
      <c r="E144" s="96" t="s">
        <v>162</v>
      </c>
      <c r="L144" s="82" t="n">
        <f aca="false">SUM(L141:L143)</f>
        <v>0</v>
      </c>
      <c r="M144" s="82" t="n">
        <f aca="false">SUM(M141:M143)</f>
        <v>4.25399666666667</v>
      </c>
      <c r="N144" s="82" t="n">
        <f aca="false">SUM(N141:N143)</f>
        <v>0.652443333333334</v>
      </c>
      <c r="O144" s="82" t="n">
        <f aca="false">SUM(O141:O143)</f>
        <v>0</v>
      </c>
      <c r="P144" s="82" t="n">
        <f aca="false">SUM(P141:P143)</f>
        <v>0</v>
      </c>
      <c r="Q144" s="16"/>
      <c r="R144" s="16"/>
      <c r="T144" s="131" t="n">
        <f aca="false">SUM(T141:T143)</f>
        <v>0</v>
      </c>
      <c r="U144" s="131" t="n">
        <f aca="false">SUM(U141:U143)</f>
        <v>0</v>
      </c>
      <c r="V144" s="131" t="n">
        <f aca="false">SUM(V141:V143)</f>
        <v>0</v>
      </c>
      <c r="W144" s="131" t="n">
        <f aca="false">SUM(W141:W143)</f>
        <v>0</v>
      </c>
      <c r="X144" s="131" t="n">
        <f aca="false">SUM(X141:X143)</f>
        <v>0</v>
      </c>
      <c r="Y144" s="131" t="n">
        <f aca="false">SUM(Y141:Y143)</f>
        <v>0</v>
      </c>
      <c r="Z144" s="131" t="n">
        <f aca="false">SUM(Z141:Z143)</f>
        <v>0</v>
      </c>
      <c r="AA144" s="131" t="n">
        <f aca="false">SUM(AA141:AA143)</f>
        <v>0</v>
      </c>
      <c r="AB144" s="131" t="n">
        <f aca="false">SUM(AB141:AB143)</f>
        <v>0</v>
      </c>
      <c r="AC144" s="131" t="n">
        <f aca="false">SUM(AC141:AC143)</f>
        <v>0</v>
      </c>
      <c r="AD144" s="131" t="n">
        <f aca="false">SUM(AD141:AD143)</f>
        <v>0</v>
      </c>
      <c r="AE144" s="131" t="n">
        <f aca="false">SUM(AE141:AE143)</f>
        <v>0</v>
      </c>
      <c r="AF144" s="131" t="n">
        <f aca="false">SUM(AF141:AF143)</f>
        <v>0.195194166666667</v>
      </c>
      <c r="AG144" s="131" t="n">
        <f aca="false">SUM(AG141:AG143)</f>
        <v>0.195194166666667</v>
      </c>
      <c r="AH144" s="131" t="n">
        <f aca="false">SUM(AH141:AH143)</f>
        <v>0.5585275</v>
      </c>
      <c r="AI144" s="131" t="n">
        <f aca="false">SUM(AI141:AI143)</f>
        <v>0.5585275</v>
      </c>
      <c r="AJ144" s="131" t="n">
        <f aca="false">SUM(AJ141:AJ143)</f>
        <v>0.4685275</v>
      </c>
      <c r="AK144" s="131" t="n">
        <f aca="false">SUM(AK141:AK143)</f>
        <v>0.4685275</v>
      </c>
      <c r="AL144" s="131" t="n">
        <f aca="false">SUM(AL141:AL143)</f>
        <v>0.4685275</v>
      </c>
      <c r="AM144" s="131" t="n">
        <f aca="false">SUM(AM141:AM143)</f>
        <v>0.4135275</v>
      </c>
      <c r="AN144" s="131" t="n">
        <f aca="false">SUM(AN141:AN143)</f>
        <v>0.231860833333333</v>
      </c>
      <c r="AO144" s="131" t="n">
        <f aca="false">SUM(AO141:AO143)</f>
        <v>0.231860833333333</v>
      </c>
      <c r="AP144" s="131" t="n">
        <f aca="false">SUM(AP141:AP143)</f>
        <v>0.231860833333333</v>
      </c>
      <c r="AQ144" s="131" t="n">
        <f aca="false">SUM(AQ141:AQ143)</f>
        <v>0.231860833333333</v>
      </c>
      <c r="AR144" s="131" t="n">
        <f aca="false">SUM(AR141:AR143)</f>
        <v>0.231860833333333</v>
      </c>
      <c r="AS144" s="131" t="n">
        <f aca="false">SUM(AS141:AS143)</f>
        <v>0.140194166666667</v>
      </c>
      <c r="AT144" s="131" t="n">
        <f aca="false">SUM(AT141:AT143)</f>
        <v>0.140194166666667</v>
      </c>
      <c r="AU144" s="131" t="n">
        <f aca="false">SUM(AU141:AU143)</f>
        <v>0.140194166666667</v>
      </c>
      <c r="AV144" s="131" t="n">
        <f aca="false">SUM(AV141:AV143)</f>
        <v>0</v>
      </c>
      <c r="AW144" s="131" t="n">
        <f aca="false">SUM(AW141:AW143)</f>
        <v>0</v>
      </c>
      <c r="AX144" s="131" t="n">
        <f aca="false">SUM(AX141:AX143)</f>
        <v>0</v>
      </c>
      <c r="AY144" s="131" t="n">
        <f aca="false">SUM(AY141:AY143)</f>
        <v>0</v>
      </c>
      <c r="AZ144" s="131" t="n">
        <f aca="false">SUM(AZ141:AZ143)</f>
        <v>0</v>
      </c>
      <c r="BA144" s="131" t="n">
        <f aca="false">SUM(BA141:BA143)</f>
        <v>0</v>
      </c>
      <c r="BB144" s="131" t="n">
        <f aca="false">SUM(BB141:BB143)</f>
        <v>0</v>
      </c>
      <c r="BC144" s="131" t="n">
        <f aca="false">SUM(BC141:BC143)</f>
        <v>0</v>
      </c>
      <c r="BD144" s="131" t="n">
        <f aca="false">SUM(BD141:BD143)</f>
        <v>0</v>
      </c>
      <c r="BE144" s="131" t="n">
        <f aca="false">SUM(BE141:BE143)</f>
        <v>0</v>
      </c>
      <c r="BF144" s="131" t="n">
        <f aca="false">SUM(BF141:BF143)</f>
        <v>0</v>
      </c>
      <c r="BG144" s="131" t="n">
        <f aca="false">SUM(BG141:BG143)</f>
        <v>0</v>
      </c>
      <c r="BH144" s="131" t="n">
        <f aca="false">SUM(BH141:BH143)</f>
        <v>0</v>
      </c>
      <c r="BI144" s="131" t="n">
        <f aca="false">SUM(BI141:BI143)</f>
        <v>0</v>
      </c>
      <c r="BJ144" s="131" t="n">
        <f aca="false">SUM(BJ141:BJ143)</f>
        <v>0</v>
      </c>
      <c r="BK144" s="131" t="n">
        <f aca="false">SUM(BK141:BK143)</f>
        <v>0</v>
      </c>
      <c r="BL144" s="131" t="n">
        <f aca="false">SUM(BL141:BL143)</f>
        <v>0</v>
      </c>
      <c r="BM144" s="131" t="n">
        <f aca="false">SUM(BM141:BM143)</f>
        <v>0</v>
      </c>
      <c r="BN144" s="131" t="n">
        <f aca="false">SUM(BN141:BN143)</f>
        <v>0</v>
      </c>
      <c r="BO144" s="131" t="n">
        <f aca="false">SUM(BO141:BO143)</f>
        <v>0</v>
      </c>
      <c r="BP144" s="131" t="n">
        <f aca="false">SUM(BP141:BP143)</f>
        <v>0</v>
      </c>
      <c r="BQ144" s="131" t="n">
        <f aca="false">SUM(BQ141:BQ143)</f>
        <v>0</v>
      </c>
      <c r="BR144" s="131" t="n">
        <f aca="false">SUM(BR141:BR143)</f>
        <v>0</v>
      </c>
      <c r="BS144" s="131" t="n">
        <f aca="false">SUM(BS141:BS143)</f>
        <v>0</v>
      </c>
      <c r="BT144" s="131" t="n">
        <f aca="false">SUM(BT141:BT143)</f>
        <v>0</v>
      </c>
      <c r="BU144" s="131" t="n">
        <f aca="false">SUM(BU141:BU143)</f>
        <v>0</v>
      </c>
      <c r="BV144" s="131" t="n">
        <f aca="false">SUM(BV141:BV143)</f>
        <v>0</v>
      </c>
      <c r="BW144" s="131" t="n">
        <f aca="false">SUM(BW141:BW143)</f>
        <v>0</v>
      </c>
      <c r="BX144" s="131" t="n">
        <f aca="false">SUM(BX141:BX143)</f>
        <v>0</v>
      </c>
      <c r="BY144" s="131" t="n">
        <f aca="false">SUM(BY141:BY143)</f>
        <v>0</v>
      </c>
      <c r="BZ144" s="136" t="n">
        <f aca="false">SUM(BZ141:BZ143)</f>
        <v>0</v>
      </c>
      <c r="CA144" s="136" t="n">
        <f aca="false">SUM(CA141:CA143)</f>
        <v>0</v>
      </c>
      <c r="CC144" s="136" t="n">
        <f aca="false">SUM(CC141:CC143)</f>
        <v>0</v>
      </c>
      <c r="CD144" s="136" t="n">
        <f aca="false">SUM(CD141:CD143)</f>
        <v>4.25399666666667</v>
      </c>
      <c r="CE144" s="136" t="n">
        <f aca="false">SUM(CE141:CE143)</f>
        <v>0.652443333333334</v>
      </c>
      <c r="CF144" s="136" t="n">
        <f aca="false">SUM(CF141:CF143)</f>
        <v>0</v>
      </c>
      <c r="CG144" s="136" t="n">
        <f aca="false">SUM(CG141:CG143)</f>
        <v>0</v>
      </c>
      <c r="CI144" s="136" t="n">
        <f aca="false">CC144=L144</f>
        <v>1</v>
      </c>
      <c r="CJ144" s="136" t="n">
        <f aca="false">CD144=M144</f>
        <v>1</v>
      </c>
      <c r="CK144" s="136" t="n">
        <f aca="false">CE144=N144</f>
        <v>1</v>
      </c>
      <c r="CL144" s="136" t="n">
        <f aca="false">CF144=O144</f>
        <v>1</v>
      </c>
      <c r="CM144" s="136" t="n">
        <f aca="false">CG144=P144</f>
        <v>1</v>
      </c>
    </row>
    <row r="145" s="14" customFormat="true" ht="16.5" hidden="false" customHeight="true" outlineLevel="0" collapsed="false">
      <c r="E145" s="96"/>
      <c r="L145" s="82"/>
      <c r="M145" s="82"/>
      <c r="N145" s="82"/>
      <c r="O145" s="82"/>
      <c r="P145" s="82"/>
      <c r="Q145" s="16"/>
      <c r="R145" s="16"/>
      <c r="T145" s="131"/>
      <c r="U145" s="131"/>
      <c r="V145" s="131"/>
      <c r="W145" s="131"/>
      <c r="X145" s="131"/>
      <c r="Y145" s="131"/>
      <c r="Z145" s="131"/>
      <c r="AA145" s="131"/>
      <c r="AB145" s="131"/>
      <c r="AC145" s="131"/>
      <c r="AD145" s="131"/>
      <c r="AE145" s="131"/>
      <c r="AF145" s="131"/>
      <c r="AG145" s="131"/>
      <c r="AH145" s="131"/>
      <c r="AI145" s="131"/>
      <c r="AJ145" s="131"/>
      <c r="AK145" s="131"/>
      <c r="AL145" s="131"/>
      <c r="AM145" s="131"/>
      <c r="AN145" s="131"/>
      <c r="AO145" s="131"/>
      <c r="AP145" s="131"/>
      <c r="AQ145" s="131"/>
      <c r="AR145" s="131"/>
      <c r="AS145" s="131"/>
      <c r="AT145" s="131"/>
      <c r="AU145" s="131"/>
      <c r="AV145" s="131"/>
      <c r="AW145" s="131"/>
      <c r="AX145" s="131"/>
      <c r="AY145" s="131"/>
      <c r="AZ145" s="131"/>
      <c r="BA145" s="131"/>
      <c r="BB145" s="131"/>
      <c r="BC145" s="131"/>
      <c r="BD145" s="131"/>
      <c r="BE145" s="131"/>
      <c r="BF145" s="131"/>
      <c r="BG145" s="131"/>
      <c r="BH145" s="131"/>
      <c r="BI145" s="131"/>
      <c r="BJ145" s="131"/>
      <c r="BK145" s="131"/>
      <c r="BL145" s="131"/>
      <c r="BM145" s="131"/>
      <c r="BN145" s="131"/>
      <c r="BO145" s="131"/>
      <c r="BP145" s="131"/>
      <c r="BQ145" s="131"/>
      <c r="BR145" s="131"/>
      <c r="BS145" s="131"/>
      <c r="BT145" s="131"/>
      <c r="BU145" s="131"/>
      <c r="BV145" s="131"/>
      <c r="BW145" s="131"/>
      <c r="BX145" s="131"/>
      <c r="BY145" s="131"/>
      <c r="BZ145" s="136"/>
      <c r="CA145" s="136"/>
    </row>
    <row r="146" s="14" customFormat="true" ht="16.5" hidden="false" customHeight="true" outlineLevel="0" collapsed="false">
      <c r="E146" s="96"/>
      <c r="L146" s="82"/>
      <c r="M146" s="82"/>
      <c r="N146" s="82"/>
      <c r="O146" s="82"/>
      <c r="P146" s="82"/>
      <c r="Q146" s="16"/>
      <c r="R146" s="16"/>
      <c r="T146" s="131"/>
      <c r="U146" s="131"/>
      <c r="V146" s="131"/>
      <c r="W146" s="131"/>
      <c r="X146" s="131"/>
      <c r="Y146" s="131"/>
      <c r="Z146" s="131"/>
      <c r="AA146" s="131"/>
      <c r="AB146" s="131"/>
      <c r="AC146" s="131"/>
      <c r="AD146" s="131"/>
      <c r="AE146" s="131"/>
      <c r="AF146" s="131"/>
      <c r="AG146" s="131"/>
      <c r="AH146" s="131"/>
      <c r="AI146" s="131"/>
      <c r="AJ146" s="131"/>
      <c r="AK146" s="131"/>
      <c r="AL146" s="131"/>
      <c r="AM146" s="131"/>
      <c r="AN146" s="131"/>
      <c r="AO146" s="131"/>
      <c r="AP146" s="131"/>
      <c r="AQ146" s="131"/>
      <c r="AR146" s="131"/>
      <c r="AS146" s="131"/>
      <c r="AT146" s="131"/>
      <c r="AU146" s="131"/>
      <c r="AV146" s="131"/>
      <c r="AW146" s="131"/>
      <c r="AX146" s="131"/>
      <c r="AY146" s="131"/>
      <c r="AZ146" s="131"/>
      <c r="BA146" s="131"/>
      <c r="BB146" s="131"/>
      <c r="BC146" s="131"/>
      <c r="BD146" s="131"/>
      <c r="BE146" s="131"/>
      <c r="BF146" s="131"/>
      <c r="BG146" s="131"/>
      <c r="BH146" s="131"/>
      <c r="BI146" s="131"/>
      <c r="BJ146" s="131"/>
      <c r="BK146" s="131"/>
      <c r="BL146" s="131"/>
      <c r="BM146" s="131"/>
      <c r="BN146" s="131"/>
      <c r="BO146" s="131"/>
      <c r="BP146" s="131"/>
      <c r="BQ146" s="131"/>
      <c r="BR146" s="131"/>
      <c r="BS146" s="131"/>
      <c r="BT146" s="131"/>
      <c r="BU146" s="131"/>
      <c r="BV146" s="131"/>
      <c r="BW146" s="131"/>
      <c r="BX146" s="131"/>
      <c r="BY146" s="131"/>
      <c r="BZ146" s="136"/>
      <c r="CA146" s="136"/>
    </row>
    <row r="147" s="14" customFormat="true" ht="16.5" hidden="false" customHeight="true" outlineLevel="0" collapsed="false">
      <c r="E147" s="109" t="s">
        <v>163</v>
      </c>
      <c r="F147" s="109"/>
      <c r="G147" s="109"/>
      <c r="H147" s="109"/>
      <c r="I147" s="132"/>
      <c r="J147" s="132"/>
      <c r="K147" s="132"/>
      <c r="L147" s="120" t="n">
        <f aca="false">SUM(L138, L144)</f>
        <v>0</v>
      </c>
      <c r="M147" s="120" t="n">
        <f aca="false">SUM(M138, M144)</f>
        <v>4.25399666666667</v>
      </c>
      <c r="N147" s="120" t="n">
        <f aca="false">SUM(N138, N144)</f>
        <v>0.652443333333334</v>
      </c>
      <c r="O147" s="120" t="n">
        <f aca="false">SUM(O138, O144)</f>
        <v>0</v>
      </c>
      <c r="P147" s="120" t="n">
        <f aca="false">SUM(P138, P144)</f>
        <v>0</v>
      </c>
      <c r="Q147" s="139"/>
      <c r="R147" s="139"/>
      <c r="T147" s="120" t="n">
        <f aca="false">SUM(T138, T144)</f>
        <v>0</v>
      </c>
      <c r="U147" s="120" t="n">
        <f aca="false">SUM(U138, U144)</f>
        <v>0</v>
      </c>
      <c r="V147" s="120" t="n">
        <f aca="false">SUM(V138, V144)</f>
        <v>0</v>
      </c>
      <c r="W147" s="120" t="n">
        <f aca="false">SUM(W138, W144)</f>
        <v>0</v>
      </c>
      <c r="X147" s="120" t="n">
        <f aca="false">SUM(X138, X144)</f>
        <v>0</v>
      </c>
      <c r="Y147" s="120" t="n">
        <f aca="false">SUM(Y138, Y144)</f>
        <v>0</v>
      </c>
      <c r="Z147" s="120" t="n">
        <f aca="false">SUM(Z138, Z144)</f>
        <v>0</v>
      </c>
      <c r="AA147" s="120" t="n">
        <f aca="false">SUM(AA138, AA144)</f>
        <v>0</v>
      </c>
      <c r="AB147" s="120" t="n">
        <f aca="false">SUM(AB138, AB144)</f>
        <v>0</v>
      </c>
      <c r="AC147" s="120" t="n">
        <f aca="false">SUM(AC138, AC144)</f>
        <v>0</v>
      </c>
      <c r="AD147" s="120" t="n">
        <f aca="false">SUM(AD138, AD144)</f>
        <v>0</v>
      </c>
      <c r="AE147" s="120" t="n">
        <f aca="false">SUM(AE138, AE144)</f>
        <v>0</v>
      </c>
      <c r="AF147" s="120" t="n">
        <f aca="false">SUM(AF138, AF144)</f>
        <v>0.195194166666667</v>
      </c>
      <c r="AG147" s="120" t="n">
        <f aca="false">SUM(AG138, AG144)</f>
        <v>0.195194166666667</v>
      </c>
      <c r="AH147" s="120" t="n">
        <f aca="false">SUM(AH138, AH144)</f>
        <v>0.5585275</v>
      </c>
      <c r="AI147" s="120" t="n">
        <f aca="false">SUM(AI138, AI144)</f>
        <v>0.5585275</v>
      </c>
      <c r="AJ147" s="120" t="n">
        <f aca="false">SUM(AJ138, AJ144)</f>
        <v>0.4685275</v>
      </c>
      <c r="AK147" s="120" t="n">
        <f aca="false">SUM(AK138, AK144)</f>
        <v>0.4685275</v>
      </c>
      <c r="AL147" s="120" t="n">
        <f aca="false">SUM(AL138, AL144)</f>
        <v>0.4685275</v>
      </c>
      <c r="AM147" s="120" t="n">
        <f aca="false">SUM(AM138, AM144)</f>
        <v>0.4135275</v>
      </c>
      <c r="AN147" s="120" t="n">
        <f aca="false">SUM(AN138, AN144)</f>
        <v>0.231860833333333</v>
      </c>
      <c r="AO147" s="120" t="n">
        <f aca="false">SUM(AO138, AO144)</f>
        <v>0.231860833333333</v>
      </c>
      <c r="AP147" s="120" t="n">
        <f aca="false">SUM(AP138, AP144)</f>
        <v>0.231860833333333</v>
      </c>
      <c r="AQ147" s="120" t="n">
        <f aca="false">SUM(AQ138, AQ144)</f>
        <v>0.231860833333333</v>
      </c>
      <c r="AR147" s="120" t="n">
        <f aca="false">SUM(AR138, AR144)</f>
        <v>0.231860833333333</v>
      </c>
      <c r="AS147" s="120" t="n">
        <f aca="false">SUM(AS138, AS144)</f>
        <v>0.140194166666667</v>
      </c>
      <c r="AT147" s="120" t="n">
        <f aca="false">SUM(AT138, AT144)</f>
        <v>0.140194166666667</v>
      </c>
      <c r="AU147" s="120" t="n">
        <f aca="false">SUM(AU138, AU144)</f>
        <v>0.140194166666667</v>
      </c>
      <c r="AV147" s="120" t="n">
        <f aca="false">SUM(AV138, AV144)</f>
        <v>0</v>
      </c>
      <c r="AW147" s="120" t="n">
        <f aca="false">SUM(AW138, AW144)</f>
        <v>0</v>
      </c>
      <c r="AX147" s="120" t="n">
        <f aca="false">SUM(AX138, AX144)</f>
        <v>0</v>
      </c>
      <c r="AY147" s="120" t="n">
        <f aca="false">SUM(AY138, AY144)</f>
        <v>0</v>
      </c>
      <c r="AZ147" s="120" t="n">
        <f aca="false">SUM(AZ138, AZ144)</f>
        <v>0</v>
      </c>
      <c r="BA147" s="120" t="n">
        <f aca="false">SUM(BA138, BA144)</f>
        <v>0</v>
      </c>
      <c r="BB147" s="120" t="n">
        <f aca="false">SUM(BB138, BB144)</f>
        <v>0</v>
      </c>
      <c r="BC147" s="120" t="n">
        <f aca="false">SUM(BC138, BC144)</f>
        <v>0</v>
      </c>
      <c r="BD147" s="120" t="n">
        <f aca="false">SUM(BD138, BD144)</f>
        <v>0</v>
      </c>
      <c r="BE147" s="120" t="n">
        <f aca="false">SUM(BE138, BE144)</f>
        <v>0</v>
      </c>
      <c r="BF147" s="120" t="n">
        <f aca="false">SUM(BF138, BF144)</f>
        <v>0</v>
      </c>
      <c r="BG147" s="120" t="n">
        <f aca="false">SUM(BG138, BG144)</f>
        <v>0</v>
      </c>
      <c r="BH147" s="120" t="n">
        <f aca="false">SUM(BH138, BH144)</f>
        <v>0</v>
      </c>
      <c r="BI147" s="120" t="n">
        <f aca="false">SUM(BI138, BI144)</f>
        <v>0</v>
      </c>
      <c r="BJ147" s="120" t="n">
        <f aca="false">SUM(BJ138, BJ144)</f>
        <v>0</v>
      </c>
      <c r="BK147" s="120" t="n">
        <f aca="false">SUM(BK138, BK144)</f>
        <v>0</v>
      </c>
      <c r="BL147" s="120" t="n">
        <f aca="false">SUM(BL138, BL144)</f>
        <v>0</v>
      </c>
      <c r="BM147" s="120" t="n">
        <f aca="false">SUM(BM138, BM144)</f>
        <v>0</v>
      </c>
      <c r="BN147" s="120" t="n">
        <f aca="false">SUM(BN138, BN144)</f>
        <v>0</v>
      </c>
      <c r="BO147" s="120" t="n">
        <f aca="false">SUM(BO138, BO144)</f>
        <v>0</v>
      </c>
      <c r="BP147" s="120" t="n">
        <f aca="false">SUM(BP138, BP144)</f>
        <v>0</v>
      </c>
      <c r="BQ147" s="120" t="n">
        <f aca="false">SUM(BQ138, BQ144)</f>
        <v>0</v>
      </c>
      <c r="BR147" s="120" t="n">
        <f aca="false">SUM(BR138, BR144)</f>
        <v>0</v>
      </c>
      <c r="BS147" s="120" t="n">
        <f aca="false">SUM(BS138, BS144)</f>
        <v>0</v>
      </c>
      <c r="BT147" s="120" t="n">
        <f aca="false">SUM(BT138, BT144)</f>
        <v>0</v>
      </c>
      <c r="BU147" s="120" t="n">
        <f aca="false">SUM(BU138, BU144)</f>
        <v>0</v>
      </c>
      <c r="BV147" s="120" t="n">
        <f aca="false">SUM(BV138, BV144)</f>
        <v>0</v>
      </c>
      <c r="BW147" s="120" t="n">
        <f aca="false">SUM(BW138, BW144)</f>
        <v>0</v>
      </c>
      <c r="BX147" s="120" t="n">
        <f aca="false">SUM(BX138, BX144)</f>
        <v>0</v>
      </c>
      <c r="BY147" s="120" t="n">
        <f aca="false">SUM(BY138, BY144)</f>
        <v>0</v>
      </c>
      <c r="BZ147" s="120" t="n">
        <f aca="false">SUM(BZ138, BZ144)</f>
        <v>0</v>
      </c>
      <c r="CA147" s="120" t="n">
        <f aca="false">SUM(CA138, CA144)</f>
        <v>0</v>
      </c>
      <c r="CC147" s="120" t="n">
        <f aca="false">SUM(CC138, CC144)</f>
        <v>0</v>
      </c>
      <c r="CD147" s="120" t="n">
        <f aca="false">SUM(CD138, CD144)</f>
        <v>4.25399666666667</v>
      </c>
      <c r="CE147" s="120" t="n">
        <f aca="false">SUM(CE138, CE144)</f>
        <v>0.652443333333334</v>
      </c>
      <c r="CF147" s="120" t="n">
        <f aca="false">SUM(CF138, CF144)</f>
        <v>0</v>
      </c>
      <c r="CG147" s="120" t="n">
        <f aca="false">SUM(CG138, CG144)</f>
        <v>0</v>
      </c>
      <c r="CI147" s="140" t="n">
        <f aca="false">CC147=L147</f>
        <v>1</v>
      </c>
      <c r="CJ147" s="140" t="n">
        <f aca="false">CD147=M147</f>
        <v>1</v>
      </c>
      <c r="CK147" s="140" t="n">
        <f aca="false">CE147=N147</f>
        <v>1</v>
      </c>
      <c r="CL147" s="140" t="n">
        <f aca="false">CF147=O147</f>
        <v>1</v>
      </c>
      <c r="CM147" s="140" t="n">
        <f aca="false">CG147=P147</f>
        <v>1</v>
      </c>
    </row>
    <row r="148" s="14" customFormat="true" ht="16.5" hidden="false" customHeight="true" outlineLevel="0" collapsed="false">
      <c r="E148" s="21"/>
      <c r="L148" s="88"/>
      <c r="M148" s="88"/>
      <c r="N148" s="88"/>
      <c r="O148" s="88"/>
      <c r="P148" s="88"/>
      <c r="Q148" s="121"/>
      <c r="R148" s="121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7"/>
      <c r="AH148" s="137"/>
      <c r="AI148" s="137"/>
      <c r="AJ148" s="137"/>
      <c r="AK148" s="137"/>
      <c r="AL148" s="137"/>
      <c r="AM148" s="137"/>
      <c r="AN148" s="137"/>
      <c r="AO148" s="137"/>
      <c r="AP148" s="137"/>
      <c r="AQ148" s="137"/>
      <c r="AR148" s="137"/>
      <c r="AS148" s="137"/>
      <c r="AT148" s="137"/>
      <c r="AU148" s="137"/>
      <c r="AV148" s="137"/>
      <c r="AW148" s="137"/>
      <c r="AX148" s="137"/>
      <c r="AY148" s="137"/>
      <c r="AZ148" s="137"/>
      <c r="BA148" s="137"/>
      <c r="BB148" s="137"/>
      <c r="BC148" s="137"/>
      <c r="BD148" s="137"/>
      <c r="BE148" s="137"/>
      <c r="BF148" s="137"/>
      <c r="BG148" s="137"/>
      <c r="BH148" s="137"/>
      <c r="BI148" s="137"/>
      <c r="BJ148" s="137"/>
      <c r="BK148" s="137"/>
      <c r="BL148" s="137"/>
      <c r="BM148" s="137"/>
      <c r="BN148" s="137"/>
      <c r="BO148" s="137"/>
      <c r="BP148" s="137"/>
      <c r="BQ148" s="137"/>
      <c r="BR148" s="137"/>
      <c r="BS148" s="137"/>
      <c r="BT148" s="137"/>
      <c r="BU148" s="137"/>
      <c r="BV148" s="137"/>
      <c r="BW148" s="137"/>
      <c r="BX148" s="137"/>
      <c r="BY148" s="137"/>
      <c r="BZ148" s="121"/>
      <c r="CA148" s="121"/>
    </row>
    <row r="149" s="14" customFormat="true" ht="16.5" hidden="false" customHeight="true" outlineLevel="0" collapsed="false">
      <c r="E149" s="141" t="s">
        <v>429</v>
      </c>
      <c r="F149" s="123"/>
      <c r="G149" s="123"/>
      <c r="H149" s="123"/>
      <c r="I149" s="126"/>
      <c r="J149" s="126"/>
      <c r="K149" s="142"/>
      <c r="L149" s="125" t="n">
        <f aca="false">SUM(L130, -L147)</f>
        <v>0</v>
      </c>
      <c r="M149" s="125" t="n">
        <f aca="false">SUM(M130, -M147)</f>
        <v>-4.25399666666667</v>
      </c>
      <c r="N149" s="125" t="n">
        <f aca="false">SUM(N130, -N147)</f>
        <v>-0.652443333333334</v>
      </c>
      <c r="O149" s="125" t="n">
        <f aca="false">SUM(O130, -O147)</f>
        <v>0</v>
      </c>
      <c r="P149" s="125" t="n">
        <f aca="false">SUM(P130, -P147)</f>
        <v>0</v>
      </c>
      <c r="Q149" s="143"/>
      <c r="R149" s="143"/>
      <c r="T149" s="144" t="n">
        <f aca="false">SUM(T130, -T147)</f>
        <v>0</v>
      </c>
      <c r="U149" s="144" t="n">
        <f aca="false">SUM(U130, -U147)</f>
        <v>0</v>
      </c>
      <c r="V149" s="144" t="n">
        <f aca="false">SUM(V130, -V147)</f>
        <v>0</v>
      </c>
      <c r="W149" s="144" t="n">
        <f aca="false">SUM(W130, -W147)</f>
        <v>0</v>
      </c>
      <c r="X149" s="144" t="n">
        <f aca="false">SUM(X130, -X147)</f>
        <v>0</v>
      </c>
      <c r="Y149" s="144" t="n">
        <f aca="false">SUM(Y130, -Y147)</f>
        <v>0</v>
      </c>
      <c r="Z149" s="144" t="n">
        <f aca="false">SUM(Z130, -Z147)</f>
        <v>0</v>
      </c>
      <c r="AA149" s="144" t="n">
        <f aca="false">SUM(AA130, -AA147)</f>
        <v>0</v>
      </c>
      <c r="AB149" s="144" t="n">
        <f aca="false">SUM(AB130, -AB147)</f>
        <v>0</v>
      </c>
      <c r="AC149" s="144" t="n">
        <f aca="false">SUM(AC130, -AC147)</f>
        <v>0</v>
      </c>
      <c r="AD149" s="144" t="n">
        <f aca="false">SUM(AD130, -AD147)</f>
        <v>0</v>
      </c>
      <c r="AE149" s="144" t="n">
        <f aca="false">SUM(AE130, -AE147)</f>
        <v>0</v>
      </c>
      <c r="AF149" s="144" t="n">
        <f aca="false">SUM(AF130, -AF147)</f>
        <v>-0.195194166666667</v>
      </c>
      <c r="AG149" s="144" t="n">
        <f aca="false">SUM(AG130, -AG147)</f>
        <v>-0.195194166666667</v>
      </c>
      <c r="AH149" s="144" t="n">
        <f aca="false">SUM(AH130, -AH147)</f>
        <v>-0.5585275</v>
      </c>
      <c r="AI149" s="144" t="n">
        <f aca="false">SUM(AI130, -AI147)</f>
        <v>-0.5585275</v>
      </c>
      <c r="AJ149" s="144" t="n">
        <f aca="false">SUM(AJ130, -AJ147)</f>
        <v>-0.4685275</v>
      </c>
      <c r="AK149" s="144" t="n">
        <f aca="false">SUM(AK130, -AK147)</f>
        <v>-0.4685275</v>
      </c>
      <c r="AL149" s="144" t="n">
        <f aca="false">SUM(AL130, -AL147)</f>
        <v>-0.4685275</v>
      </c>
      <c r="AM149" s="144" t="n">
        <f aca="false">SUM(AM130, -AM147)</f>
        <v>-0.4135275</v>
      </c>
      <c r="AN149" s="144" t="n">
        <f aca="false">SUM(AN130, -AN147)</f>
        <v>-0.231860833333333</v>
      </c>
      <c r="AO149" s="144" t="n">
        <f aca="false">SUM(AO130, -AO147)</f>
        <v>-0.231860833333333</v>
      </c>
      <c r="AP149" s="144" t="n">
        <f aca="false">SUM(AP130, -AP147)</f>
        <v>-0.231860833333333</v>
      </c>
      <c r="AQ149" s="144" t="n">
        <f aca="false">SUM(AQ130, -AQ147)</f>
        <v>-0.231860833333333</v>
      </c>
      <c r="AR149" s="144" t="n">
        <f aca="false">SUM(AR130, -AR147)</f>
        <v>-0.231860833333333</v>
      </c>
      <c r="AS149" s="144" t="n">
        <f aca="false">SUM(AS130, -AS147)</f>
        <v>-0.140194166666667</v>
      </c>
      <c r="AT149" s="144" t="n">
        <f aca="false">SUM(AT130, -AT147)</f>
        <v>-0.140194166666667</v>
      </c>
      <c r="AU149" s="144" t="n">
        <f aca="false">SUM(AU130, -AU147)</f>
        <v>-0.140194166666667</v>
      </c>
      <c r="AV149" s="144" t="n">
        <f aca="false">SUM(AV130, -AV147)</f>
        <v>0</v>
      </c>
      <c r="AW149" s="144" t="n">
        <f aca="false">SUM(AW130, -AW147)</f>
        <v>0</v>
      </c>
      <c r="AX149" s="144" t="n">
        <f aca="false">SUM(AX130, -AX147)</f>
        <v>0</v>
      </c>
      <c r="AY149" s="144" t="n">
        <f aca="false">SUM(AY130, -AY147)</f>
        <v>0</v>
      </c>
      <c r="AZ149" s="144" t="n">
        <f aca="false">SUM(AZ130, -AZ147)</f>
        <v>0</v>
      </c>
      <c r="BA149" s="144" t="n">
        <f aca="false">SUM(BA130, -BA147)</f>
        <v>0</v>
      </c>
      <c r="BB149" s="144" t="n">
        <f aca="false">SUM(BB130, -BB147)</f>
        <v>0</v>
      </c>
      <c r="BC149" s="144" t="n">
        <f aca="false">SUM(BC130, -BC147)</f>
        <v>0</v>
      </c>
      <c r="BD149" s="144" t="n">
        <f aca="false">SUM(BD130, -BD147)</f>
        <v>0</v>
      </c>
      <c r="BE149" s="144" t="n">
        <f aca="false">SUM(BE130, -BE147)</f>
        <v>0</v>
      </c>
      <c r="BF149" s="144" t="n">
        <f aca="false">SUM(BF130, -BF147)</f>
        <v>0</v>
      </c>
      <c r="BG149" s="144" t="n">
        <f aca="false">SUM(BG130, -BG147)</f>
        <v>0</v>
      </c>
      <c r="BH149" s="144" t="n">
        <f aca="false">SUM(BH130, -BH147)</f>
        <v>0</v>
      </c>
      <c r="BI149" s="144" t="n">
        <f aca="false">SUM(BI130, -BI147)</f>
        <v>0</v>
      </c>
      <c r="BJ149" s="144" t="n">
        <f aca="false">SUM(BJ130, -BJ147)</f>
        <v>0</v>
      </c>
      <c r="BK149" s="144" t="n">
        <f aca="false">SUM(BK130, -BK147)</f>
        <v>0</v>
      </c>
      <c r="BL149" s="144" t="n">
        <f aca="false">SUM(BL130, -BL147)</f>
        <v>0</v>
      </c>
      <c r="BM149" s="144" t="n">
        <f aca="false">SUM(BM130, -BM147)</f>
        <v>0</v>
      </c>
      <c r="BN149" s="144" t="n">
        <f aca="false">SUM(BN130, -BN147)</f>
        <v>0</v>
      </c>
      <c r="BO149" s="144" t="n">
        <f aca="false">SUM(BO130, -BO147)</f>
        <v>0</v>
      </c>
      <c r="BP149" s="144" t="n">
        <f aca="false">SUM(BP130, -BP147)</f>
        <v>0</v>
      </c>
      <c r="BQ149" s="144" t="n">
        <f aca="false">SUM(BQ130, -BQ147)</f>
        <v>0</v>
      </c>
      <c r="BR149" s="144" t="n">
        <f aca="false">SUM(BR130, -BR147)</f>
        <v>0</v>
      </c>
      <c r="BS149" s="144" t="n">
        <f aca="false">SUM(BS130, -BS147)</f>
        <v>0</v>
      </c>
      <c r="BT149" s="144" t="n">
        <f aca="false">SUM(BT130, -BT147)</f>
        <v>0</v>
      </c>
      <c r="BU149" s="144" t="n">
        <f aca="false">SUM(BU130, -BU147)</f>
        <v>0</v>
      </c>
      <c r="BV149" s="144" t="n">
        <f aca="false">SUM(BV130, -BV147)</f>
        <v>0</v>
      </c>
      <c r="BW149" s="144" t="n">
        <f aca="false">SUM(BW130, -BW147)</f>
        <v>0</v>
      </c>
      <c r="BX149" s="144" t="n">
        <f aca="false">SUM(BX130, -BX147)</f>
        <v>0</v>
      </c>
      <c r="BY149" s="144" t="n">
        <f aca="false">SUM(BY130, -BY147)</f>
        <v>0</v>
      </c>
      <c r="BZ149" s="143" t="n">
        <f aca="false">SUM(BZ130, -BZ147)</f>
        <v>0</v>
      </c>
      <c r="CA149" s="143" t="n">
        <f aca="false">SUM(CA130, -CA147)</f>
        <v>0</v>
      </c>
      <c r="CC149" s="143" t="n">
        <f aca="false">SUM(CC130, -CC147)</f>
        <v>0</v>
      </c>
      <c r="CD149" s="143" t="n">
        <f aca="false">SUM(CD130, -CD147)</f>
        <v>-4.25399666666667</v>
      </c>
      <c r="CE149" s="143" t="n">
        <f aca="false">SUM(CE130, -CE147)</f>
        <v>-0.652443333333334</v>
      </c>
      <c r="CF149" s="143" t="n">
        <f aca="false">SUM(CF130, -CF147)</f>
        <v>0</v>
      </c>
      <c r="CG149" s="143" t="n">
        <f aca="false">SUM(CG130, -CG147)</f>
        <v>0</v>
      </c>
      <c r="CI149" s="143" t="n">
        <f aca="false">CC149=L149</f>
        <v>1</v>
      </c>
      <c r="CJ149" s="143" t="n">
        <f aca="false">CD149=M149</f>
        <v>1</v>
      </c>
      <c r="CK149" s="143" t="n">
        <f aca="false">CE149=N149</f>
        <v>1</v>
      </c>
      <c r="CL149" s="143" t="n">
        <f aca="false">CF149=O149</f>
        <v>1</v>
      </c>
      <c r="CM149" s="143" t="n">
        <f aca="false">CG149=P149</f>
        <v>1</v>
      </c>
    </row>
    <row r="150" s="14" customFormat="true" ht="16.5" hidden="false" customHeight="true" outlineLevel="0" collapsed="false">
      <c r="E150" s="21"/>
      <c r="H150" s="21"/>
      <c r="I150" s="21"/>
      <c r="J150" s="21"/>
      <c r="K150" s="21"/>
      <c r="L150" s="21"/>
      <c r="M150" s="21"/>
      <c r="N150" s="21"/>
      <c r="O150" s="21"/>
      <c r="P150" s="21"/>
      <c r="Q150" s="145"/>
      <c r="R150" s="145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</row>
    <row r="151" s="14" customFormat="true" ht="16.5" hidden="false" customHeight="true" outlineLevel="0" collapsed="false">
      <c r="E151" s="21"/>
      <c r="H151" s="21"/>
      <c r="I151" s="21"/>
      <c r="J151" s="21"/>
      <c r="K151" s="21"/>
      <c r="L151" s="21"/>
      <c r="M151" s="21"/>
      <c r="N151" s="21"/>
      <c r="O151" s="21"/>
      <c r="P151" s="21"/>
      <c r="Q151" s="145"/>
      <c r="R151" s="145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</row>
    <row r="152" s="14" customFormat="true" ht="16.5" hidden="true" customHeight="true" outlineLevel="1" collapsed="false">
      <c r="C152" s="19" t="s">
        <v>165</v>
      </c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20"/>
      <c r="R152" s="20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C152" s="19" t="s">
        <v>127</v>
      </c>
      <c r="CD152" s="19"/>
      <c r="CE152" s="19"/>
      <c r="CF152" s="19"/>
      <c r="CG152" s="19"/>
      <c r="CI152" s="19" t="s">
        <v>128</v>
      </c>
      <c r="CJ152" s="19"/>
      <c r="CK152" s="19"/>
      <c r="CL152" s="19"/>
      <c r="CM152" s="19"/>
    </row>
    <row r="153" s="14" customFormat="true" ht="16.5" hidden="true" customHeight="true" outlineLevel="1" collapsed="false">
      <c r="E153" s="21"/>
      <c r="H153" s="21"/>
      <c r="I153" s="21"/>
      <c r="J153" s="21"/>
      <c r="K153" s="21"/>
      <c r="L153" s="21"/>
      <c r="M153" s="21"/>
      <c r="N153" s="21"/>
      <c r="O153" s="21"/>
      <c r="P153" s="21"/>
      <c r="Q153" s="145"/>
      <c r="R153" s="145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</row>
    <row r="154" s="14" customFormat="true" ht="16.5" hidden="true" customHeight="true" outlineLevel="1" collapsed="false">
      <c r="E154" s="21"/>
      <c r="H154" s="21"/>
      <c r="I154" s="21"/>
      <c r="J154" s="21"/>
      <c r="K154" s="21"/>
      <c r="Q154" s="145"/>
      <c r="R154" s="145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</row>
    <row r="155" s="14" customFormat="true" ht="16.5" hidden="true" customHeight="true" outlineLevel="1" collapsed="false">
      <c r="E155" s="30" t="s">
        <v>166</v>
      </c>
      <c r="F155" s="31"/>
      <c r="G155" s="31"/>
      <c r="H155" s="31"/>
      <c r="I155" s="31"/>
      <c r="J155" s="31"/>
      <c r="K155" s="31"/>
      <c r="L155" s="31" t="n">
        <v>2026</v>
      </c>
      <c r="M155" s="31" t="n">
        <f aca="false">L155+1</f>
        <v>2027</v>
      </c>
      <c r="N155" s="31" t="n">
        <f aca="false">M155+1</f>
        <v>2028</v>
      </c>
      <c r="O155" s="31" t="n">
        <f aca="false">N155+1</f>
        <v>2029</v>
      </c>
      <c r="P155" s="31" t="n">
        <f aca="false">O155+1</f>
        <v>2030</v>
      </c>
      <c r="Q155" s="31" t="s">
        <v>167</v>
      </c>
      <c r="R155" s="145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</row>
    <row r="156" s="14" customFormat="true" ht="16.5" hidden="true" customHeight="true" outlineLevel="1" collapsed="false">
      <c r="E156" s="14" t="s">
        <v>168</v>
      </c>
      <c r="H156" s="21"/>
      <c r="I156" s="21"/>
      <c r="J156" s="21"/>
      <c r="K156" s="21"/>
      <c r="L156" s="90" t="n">
        <f aca="false">L117</f>
        <v>0</v>
      </c>
      <c r="M156" s="90" t="n">
        <f aca="false">M117</f>
        <v>1.93756161773202</v>
      </c>
      <c r="N156" s="90" t="n">
        <f aca="false">N117</f>
        <v>27.0465111283856</v>
      </c>
      <c r="O156" s="90" t="n">
        <f aca="false">O117</f>
        <v>29.7007394127843</v>
      </c>
      <c r="P156" s="90" t="n">
        <f aca="false">P117</f>
        <v>29.7007394127843</v>
      </c>
      <c r="Q156" s="146" t="n">
        <f aca="false">SUM(L156:P156)</f>
        <v>88.3855515716862</v>
      </c>
      <c r="R156" s="145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</row>
    <row r="157" s="14" customFormat="true" ht="16.5" hidden="true" customHeight="true" outlineLevel="1" collapsed="false">
      <c r="E157" s="14" t="s">
        <v>169</v>
      </c>
      <c r="L157" s="90" t="n">
        <f aca="false">L130</f>
        <v>0</v>
      </c>
      <c r="M157" s="90" t="n">
        <f aca="false">M130</f>
        <v>0</v>
      </c>
      <c r="N157" s="90" t="n">
        <f aca="false">N130</f>
        <v>0</v>
      </c>
      <c r="O157" s="90" t="n">
        <f aca="false">O130</f>
        <v>0</v>
      </c>
      <c r="P157" s="90" t="n">
        <f aca="false">P130</f>
        <v>0</v>
      </c>
      <c r="Q157" s="146" t="n">
        <f aca="false">SUM(L157:P157)</f>
        <v>0</v>
      </c>
      <c r="R157" s="145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</row>
    <row r="158" s="14" customFormat="true" ht="16.5" hidden="true" customHeight="true" outlineLevel="1" collapsed="false">
      <c r="E158" s="14" t="s">
        <v>170</v>
      </c>
      <c r="L158" s="90" t="n">
        <f aca="false">-L147</f>
        <v>-0</v>
      </c>
      <c r="M158" s="90" t="n">
        <f aca="false">-M147</f>
        <v>-4.25399666666667</v>
      </c>
      <c r="N158" s="90" t="n">
        <f aca="false">-N147</f>
        <v>-0.652443333333334</v>
      </c>
      <c r="O158" s="90" t="n">
        <f aca="false">-O147</f>
        <v>-0</v>
      </c>
      <c r="P158" s="90" t="n">
        <f aca="false">-P147</f>
        <v>-0</v>
      </c>
      <c r="Q158" s="146" t="n">
        <f aca="false">SUM(L158:P158)</f>
        <v>-4.90644</v>
      </c>
      <c r="R158" s="145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</row>
    <row r="159" s="14" customFormat="true" ht="16.5" hidden="true" customHeight="true" outlineLevel="1" collapsed="false">
      <c r="E159" s="228" t="s">
        <v>166</v>
      </c>
      <c r="F159" s="228"/>
      <c r="G159" s="228"/>
      <c r="H159" s="228"/>
      <c r="I159" s="228"/>
      <c r="J159" s="228"/>
      <c r="K159" s="228"/>
      <c r="L159" s="229" t="n">
        <f aca="false">SUM(L156:L158)</f>
        <v>0</v>
      </c>
      <c r="M159" s="229" t="n">
        <f aca="false">SUM(M156:M158)</f>
        <v>-2.31643504893464</v>
      </c>
      <c r="N159" s="229" t="n">
        <f aca="false">SUM(N156:N158)</f>
        <v>26.3940677950523</v>
      </c>
      <c r="O159" s="229" t="n">
        <f aca="false">SUM(O156:O158)</f>
        <v>29.7007394127843</v>
      </c>
      <c r="P159" s="229" t="n">
        <f aca="false">SUM(P156:P158)</f>
        <v>29.7007394127843</v>
      </c>
      <c r="Q159" s="230" t="n">
        <f aca="false">SUM(L159:P159)</f>
        <v>83.4791115716862</v>
      </c>
      <c r="R159" s="145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</row>
    <row r="160" s="14" customFormat="true" ht="16.5" hidden="true" customHeight="true" outlineLevel="1" collapsed="false">
      <c r="E160" s="14" t="s">
        <v>171</v>
      </c>
      <c r="H160" s="21"/>
      <c r="I160" s="21"/>
      <c r="J160" s="21"/>
      <c r="K160" s="21"/>
      <c r="L160" s="90" t="n">
        <f aca="false">L159</f>
        <v>0</v>
      </c>
      <c r="M160" s="90" t="n">
        <f aca="false">L160+M159</f>
        <v>-2.31643504893464</v>
      </c>
      <c r="N160" s="90" t="n">
        <f aca="false">M160+N159</f>
        <v>24.0776327461176</v>
      </c>
      <c r="O160" s="90" t="n">
        <f aca="false">N160+O159</f>
        <v>53.7783721589019</v>
      </c>
      <c r="P160" s="90" t="n">
        <f aca="false">O160+P159</f>
        <v>83.4791115716862</v>
      </c>
      <c r="Q160" s="146" t="n">
        <f aca="false">P160</f>
        <v>83.4791115716862</v>
      </c>
      <c r="R160" s="145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</row>
    <row r="161" s="14" customFormat="true" ht="16.5" hidden="true" customHeight="true" outlineLevel="1" collapsed="false">
      <c r="E161" s="14" t="s">
        <v>172</v>
      </c>
      <c r="H161" s="21"/>
      <c r="I161" s="21"/>
      <c r="J161" s="21"/>
      <c r="K161" s="21"/>
      <c r="L161" s="148" t="n">
        <f aca="false">IF(L160&lt;0,1,0)</f>
        <v>0</v>
      </c>
      <c r="M161" s="148" t="n">
        <f aca="false">IF(M160&lt;0,1,IF(AND(L160&lt;0,M159&gt;0),-L160/M159,0))</f>
        <v>1</v>
      </c>
      <c r="N161" s="148" t="n">
        <f aca="false">IF(N160&lt;0,1,IF(AND(M160&lt;0,N159&gt;0),-M160/N159,0))</f>
        <v>0.0877634727212784</v>
      </c>
      <c r="O161" s="148" t="n">
        <f aca="false">IF(O160&lt;0,1,IF(AND(N160&lt;0,O159&gt;0),-N160/O159,0))</f>
        <v>0</v>
      </c>
      <c r="P161" s="148" t="n">
        <f aca="false">IF(P160&lt;0,1,IF(AND(O160&lt;0,P159&gt;0),-O160/P159,0))</f>
        <v>0</v>
      </c>
      <c r="Q161" s="90"/>
      <c r="R161" s="145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</row>
    <row r="162" s="14" customFormat="true" ht="16.5" hidden="true" customHeight="true" outlineLevel="1" collapsed="false">
      <c r="H162" s="21"/>
      <c r="I162" s="21"/>
      <c r="J162" s="21"/>
      <c r="K162" s="21"/>
      <c r="R162" s="145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</row>
    <row r="163" s="14" customFormat="true" ht="16.5" hidden="true" customHeight="true" outlineLevel="1" collapsed="false">
      <c r="E163" s="21" t="s">
        <v>430</v>
      </c>
      <c r="F163" s="150" t="s">
        <v>431</v>
      </c>
      <c r="G163" s="148" t="n">
        <f aca="false">IFERROR(K117/-SUM(L149:P149),"n/a")</f>
        <v>6.05341946763525</v>
      </c>
      <c r="H163" s="21"/>
      <c r="I163" s="21"/>
      <c r="J163" s="21"/>
      <c r="K163" s="21"/>
      <c r="R163" s="145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</row>
    <row r="164" s="14" customFormat="true" ht="16.5" hidden="true" customHeight="true" outlineLevel="1" collapsed="false">
      <c r="E164" s="21" t="s">
        <v>432</v>
      </c>
      <c r="F164" s="150" t="s">
        <v>433</v>
      </c>
      <c r="G164" s="231" t="n">
        <f aca="false">IFERROR(IRR($L$159:$P$159, 0.2),"n/a")</f>
        <v>11.5018816558222</v>
      </c>
      <c r="H164" s="21"/>
      <c r="I164" s="21"/>
      <c r="J164" s="21"/>
      <c r="K164" s="21"/>
      <c r="R164" s="145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</row>
    <row r="165" s="14" customFormat="true" ht="16.5" hidden="true" customHeight="true" outlineLevel="1" collapsed="false">
      <c r="E165" s="21" t="s">
        <v>434</v>
      </c>
      <c r="F165" s="150" t="s">
        <v>176</v>
      </c>
      <c r="G165" s="148" t="n">
        <f aca="false">IF(SUM(L161:P161)=5,"&gt;5",SUM(L161:P161))</f>
        <v>1.08776347272128</v>
      </c>
      <c r="H165" s="21"/>
      <c r="I165" s="21"/>
      <c r="J165" s="21"/>
      <c r="K165" s="21"/>
      <c r="R165" s="145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</row>
    <row r="166" s="14" customFormat="true" ht="16.5" hidden="true" customHeight="true" outlineLevel="1" collapsed="false">
      <c r="E166" s="21"/>
      <c r="F166" s="150"/>
      <c r="G166" s="148"/>
      <c r="H166" s="21"/>
      <c r="I166" s="21"/>
      <c r="J166" s="21"/>
      <c r="K166" s="21"/>
      <c r="R166" s="145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</row>
    <row r="167" s="14" customFormat="true" ht="16.5" hidden="true" customHeight="true" outlineLevel="1" collapsed="false">
      <c r="E167" s="21" t="s">
        <v>173</v>
      </c>
      <c r="G167" s="149" t="n">
        <v>0.095</v>
      </c>
      <c r="H167" s="21"/>
      <c r="I167" s="21"/>
      <c r="J167" s="21"/>
      <c r="K167" s="21"/>
      <c r="R167" s="145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</row>
    <row r="168" s="14" customFormat="true" ht="16.5" hidden="true" customHeight="true" outlineLevel="1" collapsed="false">
      <c r="E168" s="21" t="s">
        <v>174</v>
      </c>
      <c r="F168" s="150" t="s">
        <v>175</v>
      </c>
      <c r="G168" s="90" t="n">
        <f aca="false">SUM(L168:P168)</f>
        <v>57.6970133408761</v>
      </c>
      <c r="H168" s="21"/>
      <c r="I168" s="21"/>
      <c r="J168" s="21"/>
      <c r="K168" s="21"/>
      <c r="L168" s="90" t="n">
        <f aca="false">L159/(1+$G$167)^L$1</f>
        <v>0</v>
      </c>
      <c r="M168" s="90" t="n">
        <f aca="false">M159/(1+$G$167)^M$1</f>
        <v>-1.93193223572039</v>
      </c>
      <c r="N168" s="90" t="n">
        <f aca="false">N159/(1+$G$167)^N$1</f>
        <v>20.1031433892795</v>
      </c>
      <c r="O168" s="90" t="n">
        <f aca="false">O159/(1+$G$167)^O$1</f>
        <v>20.6590708329891</v>
      </c>
      <c r="P168" s="90" t="n">
        <f aca="false">P159/(1+$G$167)^P$1</f>
        <v>18.8667313543279</v>
      </c>
      <c r="Q168" s="90" t="n">
        <f aca="false">SUM(L168:P168)</f>
        <v>57.6970133408761</v>
      </c>
      <c r="R168" s="145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</row>
    <row r="169" s="14" customFormat="true" ht="16.5" hidden="true" customHeight="true" outlineLevel="1" collapsed="false">
      <c r="Q169" s="16"/>
      <c r="R169" s="16"/>
    </row>
    <row r="170" s="14" customFormat="true" ht="16.5" hidden="false" customHeight="true" outlineLevel="0" collapsed="false">
      <c r="Q170" s="16"/>
      <c r="R170" s="16"/>
    </row>
    <row r="171" s="14" customFormat="true" ht="16.5" hidden="false" customHeight="true" outlineLevel="0" collapsed="false">
      <c r="C171" s="19" t="s">
        <v>178</v>
      </c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20"/>
      <c r="R171" s="20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</row>
  </sheetData>
  <mergeCells count="3">
    <mergeCell ref="F8:J10"/>
    <mergeCell ref="CI62:CM62"/>
    <mergeCell ref="CI90:CM90"/>
  </mergeCells>
  <conditionalFormatting sqref="J26">
    <cfRule type="expression" priority="2" aboveAverage="0" equalAverage="0" bottom="0" percent="0" rank="0" text="" dxfId="0">
      <formula>AND($F26="Yes")</formula>
    </cfRule>
    <cfRule type="expression" priority="3" aboveAverage="0" equalAverage="0" bottom="0" percent="0" rank="0" text="" dxfId="1">
      <formula>AND($F26="No")</formula>
    </cfRule>
  </conditionalFormatting>
  <conditionalFormatting sqref="T79:CA86">
    <cfRule type="expression" priority="4" aboveAverage="0" equalAverage="0" bottom="0" percent="0" rank="0" text="" dxfId="0">
      <formula>AND($F79="Yes")</formula>
    </cfRule>
    <cfRule type="expression" priority="5" aboveAverage="0" equalAverage="0" bottom="0" percent="0" rank="0" text="" dxfId="1">
      <formula>AND($F79="No")</formula>
    </cfRule>
  </conditionalFormatting>
  <conditionalFormatting sqref="I84:P86">
    <cfRule type="expression" priority="6" aboveAverage="0" equalAverage="0" bottom="0" percent="0" rank="0" text="" dxfId="0">
      <formula>AND($F84="Yes")</formula>
    </cfRule>
    <cfRule type="expression" priority="7" aboveAverage="0" equalAverage="0" bottom="0" percent="0" rank="0" text="" dxfId="1">
      <formula>AND($F84="No")</formula>
    </cfRule>
  </conditionalFormatting>
  <conditionalFormatting sqref="I112:K113">
    <cfRule type="expression" priority="8" aboveAverage="0" equalAverage="0" bottom="0" percent="0" rank="0" text="" dxfId="0">
      <formula>AND($F112="Yes")</formula>
    </cfRule>
    <cfRule type="expression" priority="9" aboveAverage="0" equalAverage="0" bottom="0" percent="0" rank="0" text="" dxfId="1">
      <formula>AND($F112="No")</formula>
    </cfRule>
  </conditionalFormatting>
  <conditionalFormatting sqref="E94:E95">
    <cfRule type="expression" priority="10" aboveAverage="0" equalAverage="0" bottom="0" percent="0" rank="0" text="" dxfId="0">
      <formula>AND($F94="Yes")</formula>
    </cfRule>
    <cfRule type="expression" priority="11" aboveAverage="0" equalAverage="0" bottom="0" percent="0" rank="0" text="" dxfId="1">
      <formula>AND($F94="No")</formula>
    </cfRule>
  </conditionalFormatting>
  <conditionalFormatting sqref="E107:E111">
    <cfRule type="expression" priority="12" aboveAverage="0" equalAverage="0" bottom="0" percent="0" rank="0" text="" dxfId="0">
      <formula>AND($F107="Yes")</formula>
    </cfRule>
    <cfRule type="expression" priority="13" aboveAverage="0" equalAverage="0" bottom="0" percent="0" rank="0" text="" dxfId="1">
      <formula>AND($F107="No")</formula>
    </cfRule>
  </conditionalFormatting>
  <conditionalFormatting sqref="E141:E143">
    <cfRule type="expression" priority="14" aboveAverage="0" equalAverage="0" bottom="0" percent="0" rank="0" text="" dxfId="0">
      <formula>AND($F141="Yes")</formula>
    </cfRule>
    <cfRule type="expression" priority="15" aboveAverage="0" equalAverage="0" bottom="0" percent="0" rank="0" text="" dxfId="1">
      <formula>AND($F141="No")</formula>
    </cfRule>
  </conditionalFormatting>
  <conditionalFormatting sqref="E136:E137">
    <cfRule type="expression" priority="16" aboveAverage="0" equalAverage="0" bottom="0" percent="0" rank="0" text="" dxfId="0">
      <formula>AND($F136="Yes")</formula>
    </cfRule>
    <cfRule type="expression" priority="17" aboveAverage="0" equalAverage="0" bottom="0" percent="0" rank="0" text="" dxfId="1">
      <formula>AND($F136="No")</formula>
    </cfRule>
  </conditionalFormatting>
  <conditionalFormatting sqref="E126:E127">
    <cfRule type="expression" priority="18" aboveAverage="0" equalAverage="0" bottom="0" percent="0" rank="0" text="" dxfId="0">
      <formula>AND($F126="Yes")</formula>
    </cfRule>
    <cfRule type="expression" priority="19" aboveAverage="0" equalAverage="0" bottom="0" percent="0" rank="0" text="" dxfId="1">
      <formula>AND($F126="No")</formula>
    </cfRule>
  </conditionalFormatting>
  <conditionalFormatting sqref="E66:E67">
    <cfRule type="expression" priority="20" aboveAverage="0" equalAverage="0" bottom="0" percent="0" rank="0" text="" dxfId="0">
      <formula>AND($F66="Yes")</formula>
    </cfRule>
    <cfRule type="expression" priority="21" aboveAverage="0" equalAverage="0" bottom="0" percent="0" rank="0" text="" dxfId="1">
      <formula>AND($F66="No")</formula>
    </cfRule>
  </conditionalFormatting>
  <conditionalFormatting sqref="CJ152:CM152">
    <cfRule type="containsText" priority="22" operator="containsText" aboveAverage="0" equalAverage="0" bottom="0" percent="0" rank="0" text="FALSE" dxfId="2">
      <formula>NOT(ISERROR(SEARCH("FALSE",CJ152)))</formula>
    </cfRule>
  </conditionalFormatting>
  <conditionalFormatting sqref="Q141:Q143">
    <cfRule type="containsText" priority="23" operator="containsText" aboveAverage="0" equalAverage="0" bottom="0" percent="0" rank="0" text="Error" dxfId="2">
      <formula>NOT(ISERROR(SEARCH("Error",Q141)))</formula>
    </cfRule>
    <cfRule type="containsText" priority="24" operator="containsText" aboveAverage="0" equalAverage="0" bottom="0" percent="0" rank="0" text="FALSE" dxfId="2">
      <formula>NOT(ISERROR(SEARCH("FALSE",Q141)))</formula>
    </cfRule>
  </conditionalFormatting>
  <conditionalFormatting sqref="Q136:Q137">
    <cfRule type="containsText" priority="25" operator="containsText" aboveAverage="0" equalAverage="0" bottom="0" percent="0" rank="0" text="Error" dxfId="2">
      <formula>NOT(ISERROR(SEARCH("Error",Q136)))</formula>
    </cfRule>
    <cfRule type="containsText" priority="26" operator="containsText" aboveAverage="0" equalAverage="0" bottom="0" percent="0" rank="0" text="FALSE" dxfId="2">
      <formula>NOT(ISERROR(SEARCH("FALSE",Q136)))</formula>
    </cfRule>
  </conditionalFormatting>
  <conditionalFormatting sqref="Q126:Q127">
    <cfRule type="containsText" priority="27" operator="containsText" aboveAverage="0" equalAverage="0" bottom="0" percent="0" rank="0" text="Error" dxfId="2">
      <formula>NOT(ISERROR(SEARCH("Error",Q126)))</formula>
    </cfRule>
    <cfRule type="containsText" priority="28" operator="containsText" aboveAverage="0" equalAverage="0" bottom="0" percent="0" rank="0" text="FALSE" dxfId="2">
      <formula>NOT(ISERROR(SEARCH("FALSE",Q126)))</formula>
    </cfRule>
  </conditionalFormatting>
  <conditionalFormatting sqref="J56:J57">
    <cfRule type="expression" priority="29" aboveAverage="0" equalAverage="0" bottom="0" percent="0" rank="0" text="" dxfId="0">
      <formula>AND($F56="Yes")</formula>
    </cfRule>
    <cfRule type="expression" priority="30" aboveAverage="0" equalAverage="0" bottom="0" percent="0" rank="0" text="" dxfId="1">
      <formula>AND($F56="No")</formula>
    </cfRule>
  </conditionalFormatting>
  <conditionalFormatting sqref="J46:J47 J51">
    <cfRule type="expression" priority="31" aboveAverage="0" equalAverage="0" bottom="0" percent="0" rank="0" text="" dxfId="0">
      <formula>AND($F46="Yes")</formula>
    </cfRule>
    <cfRule type="expression" priority="32" aboveAverage="0" equalAverage="0" bottom="0" percent="0" rank="0" text="" dxfId="1">
      <formula>AND($F46="No")</formula>
    </cfRule>
  </conditionalFormatting>
  <conditionalFormatting sqref="J52">
    <cfRule type="expression" priority="33" aboveAverage="0" equalAverage="0" bottom="0" percent="0" rank="0" text="" dxfId="0">
      <formula>AND(#ref!="Yes")</formula>
    </cfRule>
    <cfRule type="expression" priority="34" aboveAverage="0" equalAverage="0" bottom="0" percent="0" rank="0" text="" dxfId="1">
      <formula>AND(#ref!="No")</formula>
    </cfRule>
  </conditionalFormatting>
  <conditionalFormatting sqref="J42:J43">
    <cfRule type="expression" priority="35" aboveAverage="0" equalAverage="0" bottom="0" percent="0" rank="0" text="" dxfId="0">
      <formula>AND($F42="Yes")</formula>
    </cfRule>
    <cfRule type="expression" priority="36" aboveAverage="0" equalAverage="0" bottom="0" percent="0" rank="0" text="" dxfId="1">
      <formula>AND($F42="No")</formula>
    </cfRule>
  </conditionalFormatting>
  <conditionalFormatting sqref="J32:J33 J37">
    <cfRule type="expression" priority="37" aboveAverage="0" equalAverage="0" bottom="0" percent="0" rank="0" text="" dxfId="0">
      <formula>AND($F32="Yes")</formula>
    </cfRule>
    <cfRule type="expression" priority="38" aboveAverage="0" equalAverage="0" bottom="0" percent="0" rank="0" text="" dxfId="1">
      <formula>AND($F32="No")</formula>
    </cfRule>
  </conditionalFormatting>
  <conditionalFormatting sqref="J38">
    <cfRule type="expression" priority="39" aboveAverage="0" equalAverage="0" bottom="0" percent="0" rank="0" text="" dxfId="0">
      <formula>AND(#ref!="Yes")</formula>
    </cfRule>
    <cfRule type="expression" priority="40" aboveAverage="0" equalAverage="0" bottom="0" percent="0" rank="0" text="" dxfId="1">
      <formula>AND(#ref!="No")</formula>
    </cfRule>
  </conditionalFormatting>
  <conditionalFormatting sqref="CJ171:CM171">
    <cfRule type="containsText" priority="41" operator="containsText" aboveAverage="0" equalAverage="0" bottom="0" percent="0" rank="0" text="FALSE" dxfId="2">
      <formula>NOT(ISERROR(SEARCH("FALSE",CJ171)))</formula>
    </cfRule>
  </conditionalFormatting>
  <conditionalFormatting sqref="CJ120:CM120">
    <cfRule type="containsText" priority="42" operator="containsText" aboveAverage="0" equalAverage="0" bottom="0" percent="0" rank="0" text="FALSE" dxfId="2">
      <formula>NOT(ISERROR(SEARCH("FALSE",CJ120)))</formula>
    </cfRule>
  </conditionalFormatting>
  <conditionalFormatting sqref="P18:P21">
    <cfRule type="containsText" priority="43" operator="containsText" aboveAverage="0" equalAverage="0" bottom="0" percent="0" rank="0" text="PASS" dxfId="3">
      <formula>NOT(ISERROR(SEARCH("PASS",P18)))</formula>
    </cfRule>
  </conditionalFormatting>
  <conditionalFormatting sqref="CI141:CM144">
    <cfRule type="expression" priority="44" aboveAverage="0" equalAverage="0" bottom="0" percent="0" rank="0" text="" dxfId="0">
      <formula>AND($F141="Yes")</formula>
    </cfRule>
    <cfRule type="expression" priority="45" aboveAverage="0" equalAverage="0" bottom="0" percent="0" rank="0" text="" dxfId="1">
      <formula>AND($F141="No")</formula>
    </cfRule>
  </conditionalFormatting>
  <conditionalFormatting sqref="CI136:CM138">
    <cfRule type="expression" priority="46" aboveAverage="0" equalAverage="0" bottom="0" percent="0" rank="0" text="" dxfId="0">
      <formula>AND($F136="Yes")</formula>
    </cfRule>
    <cfRule type="expression" priority="47" aboveAverage="0" equalAverage="0" bottom="0" percent="0" rank="0" text="" dxfId="1">
      <formula>AND($F136="No")</formula>
    </cfRule>
  </conditionalFormatting>
  <conditionalFormatting sqref="CC141:CG144">
    <cfRule type="expression" priority="48" aboveAverage="0" equalAverage="0" bottom="0" percent="0" rank="0" text="" dxfId="0">
      <formula>AND($F141="Yes")</formula>
    </cfRule>
    <cfRule type="expression" priority="49" aboveAverage="0" equalAverage="0" bottom="0" percent="0" rank="0" text="" dxfId="1">
      <formula>AND($F141="No")</formula>
    </cfRule>
  </conditionalFormatting>
  <conditionalFormatting sqref="CC136:CG138">
    <cfRule type="expression" priority="50" aboveAverage="0" equalAverage="0" bottom="0" percent="0" rank="0" text="" dxfId="0">
      <formula>AND($F136="Yes")</formula>
    </cfRule>
    <cfRule type="expression" priority="51" aboveAverage="0" equalAverage="0" bottom="0" percent="0" rank="0" text="" dxfId="1">
      <formula>AND($F136="No")</formula>
    </cfRule>
  </conditionalFormatting>
  <conditionalFormatting sqref="V112:CA113">
    <cfRule type="expression" priority="52" aboveAverage="0" equalAverage="0" bottom="0" percent="0" rank="0" text="" dxfId="0">
      <formula>AND($F112="Yes")</formula>
    </cfRule>
    <cfRule type="expression" priority="53" aboveAverage="0" equalAverage="0" bottom="0" percent="0" rank="0" text="" dxfId="1">
      <formula>AND($F112="No")</formula>
    </cfRule>
  </conditionalFormatting>
  <conditionalFormatting sqref="T136:CA138">
    <cfRule type="expression" priority="54" aboveAverage="0" equalAverage="0" bottom="0" percent="0" rank="0" text="" dxfId="0">
      <formula>AND($F136="Yes")</formula>
    </cfRule>
    <cfRule type="expression" priority="55" aboveAverage="0" equalAverage="0" bottom="0" percent="0" rank="0" text="" dxfId="1">
      <formula>AND($F136="No")</formula>
    </cfRule>
  </conditionalFormatting>
  <conditionalFormatting sqref="V85:CA85">
    <cfRule type="expression" priority="56" aboveAverage="0" equalAverage="0" bottom="0" percent="0" rank="0" text="" dxfId="0">
      <formula>AND($F85="Yes")</formula>
    </cfRule>
    <cfRule type="expression" priority="57" aboveAverage="0" equalAverage="0" bottom="0" percent="0" rank="0" text="" dxfId="1">
      <formula>AND($F85="No")</formula>
    </cfRule>
  </conditionalFormatting>
  <conditionalFormatting sqref="T141:CA146">
    <cfRule type="expression" priority="58" aboveAverage="0" equalAverage="0" bottom="0" percent="0" rank="0" text="" dxfId="0">
      <formula>AND($F141="Yes")</formula>
    </cfRule>
    <cfRule type="expression" priority="59" aboveAverage="0" equalAverage="0" bottom="0" percent="0" rank="0" text="" dxfId="1">
      <formula>AND($F141="No")</formula>
    </cfRule>
  </conditionalFormatting>
  <conditionalFormatting sqref="Q63:R113 Q123">
    <cfRule type="containsText" priority="60" operator="containsText" aboveAverage="0" equalAverage="0" bottom="0" percent="0" rank="0" text="Error" dxfId="2">
      <formula>NOT(ISERROR(SEARCH("Error",Q63)))</formula>
    </cfRule>
  </conditionalFormatting>
  <conditionalFormatting sqref="Q66:R90 Q92:R113 CI66:CM119 CI121:CM149">
    <cfRule type="containsText" priority="61" operator="containsText" aboveAverage="0" equalAverage="0" bottom="0" percent="0" rank="0" text="FALSE" dxfId="2">
      <formula>NOT(ISERROR(SEARCH("FALSE",Q66)))</formula>
    </cfRule>
  </conditionalFormatting>
  <conditionalFormatting sqref="L136:P138">
    <cfRule type="expression" priority="62" aboveAverage="0" equalAverage="0" bottom="0" percent="0" rank="0" text="" dxfId="0">
      <formula>AND($F136="Yes")</formula>
    </cfRule>
    <cfRule type="expression" priority="63" aboveAverage="0" equalAverage="0" bottom="0" percent="0" rank="0" text="" dxfId="1">
      <formula>AND($F136="No")</formula>
    </cfRule>
  </conditionalFormatting>
  <conditionalFormatting sqref="Q117:R117">
    <cfRule type="containsText" priority="64" operator="containsText" aboveAverage="0" equalAverage="0" bottom="0" percent="0" rank="0" text="Error" dxfId="2">
      <formula>NOT(ISERROR(SEARCH("Error",Q117)))</formula>
    </cfRule>
    <cfRule type="containsText" priority="65" operator="containsText" aboveAverage="0" equalAverage="0" bottom="0" percent="0" rank="0" text="FALSE" dxfId="2">
      <formula>NOT(ISERROR(SEARCH("FALSE",Q117)))</formula>
    </cfRule>
  </conditionalFormatting>
  <conditionalFormatting sqref="I96:K96">
    <cfRule type="expression" priority="66" aboveAverage="0" equalAverage="0" bottom="0" percent="0" rank="0" text="" dxfId="0">
      <formula>AND($F96="Yes")</formula>
    </cfRule>
    <cfRule type="expression" priority="67" aboveAverage="0" equalAverage="0" bottom="0" percent="0" rank="0" text="" dxfId="1">
      <formula>AND($F96="No")</formula>
    </cfRule>
  </conditionalFormatting>
  <conditionalFormatting sqref="I104:K104">
    <cfRule type="expression" priority="68" aboveAverage="0" equalAverage="0" bottom="0" percent="0" rank="0" text="" dxfId="0">
      <formula>AND($F104="Yes")</formula>
    </cfRule>
    <cfRule type="expression" priority="69" aboveAverage="0" equalAverage="0" bottom="0" percent="0" rank="0" text="" dxfId="1">
      <formula>AND($F104="No")</formula>
    </cfRule>
  </conditionalFormatting>
  <conditionalFormatting sqref="E71:E75 E79:E83 E99:E103 F6:G6 I66:J67 I71:J75 I79:J83 I94:J95 I99:J103 I107:J111 J18:J21 J29 L66:P67 L71:P75 L79:P83 L94:P96 L99:P104 L107:P113 L126:P129 L141:P146 T66:CA68 T71:CA76 T94:CA96 T99:CA104 T107:CA113 T126:CA129 CC66:CG68 CC71:CG76 CC79:CG86 CC94:CG96 CC99:CG104 CC107:CG113 CC126:CG128 CI66:CM68 CI71:CM76 CI79:CM86 CI94:CM96 CI99:CM104 CI107:CM113 CI126:CM128">
    <cfRule type="expression" priority="70" aboveAverage="0" equalAverage="0" bottom="0" percent="0" rank="0" text="" dxfId="0">
      <formula>AND($F6="Yes")</formula>
    </cfRule>
    <cfRule type="expression" priority="71" aboveAverage="0" equalAverage="0" bottom="0" percent="0" rank="0" text="" dxfId="1">
      <formula>AND($F6="No")</formula>
    </cfRule>
  </conditionalFormatting>
  <conditionalFormatting sqref="E97">
    <cfRule type="expression" priority="72" aboveAverage="0" equalAverage="0" bottom="0" percent="0" rank="0" text="" dxfId="4">
      <formula>AND($F97="Yes")</formula>
    </cfRule>
    <cfRule type="expression" priority="73" aboveAverage="0" equalAverage="0" bottom="0" percent="0" rank="0" text="" dxfId="5">
      <formula>AND($F97="No")</formula>
    </cfRule>
  </conditionalFormatting>
  <conditionalFormatting sqref="E114">
    <cfRule type="expression" priority="74" aboveAverage="0" equalAverage="0" bottom="0" percent="0" rank="0" text="" dxfId="4">
      <formula>AND($F114="Yes")</formula>
    </cfRule>
    <cfRule type="expression" priority="75" aboveAverage="0" equalAverage="0" bottom="0" percent="0" rank="0" text="" dxfId="5">
      <formula>AND($F114="No")</formula>
    </cfRule>
  </conditionalFormatting>
  <conditionalFormatting sqref="I68:P68">
    <cfRule type="expression" priority="76" aboveAverage="0" equalAverage="0" bottom="0" percent="0" rank="0" text="" dxfId="0">
      <formula>AND($F68="Yes")</formula>
    </cfRule>
    <cfRule type="expression" priority="77" aboveAverage="0" equalAverage="0" bottom="0" percent="0" rank="0" text="" dxfId="1">
      <formula>AND($F68="No")</formula>
    </cfRule>
  </conditionalFormatting>
  <conditionalFormatting sqref="D136:D137 E69 E132">
    <cfRule type="expression" priority="78" aboveAverage="0" equalAverage="0" bottom="0" percent="0" rank="0" text="" dxfId="4">
      <formula>AND($F69="Yes")</formula>
    </cfRule>
    <cfRule type="expression" priority="79" aboveAverage="0" equalAverage="0" bottom="0" percent="0" rank="0" text="" dxfId="5">
      <formula>AND($F69="No")</formula>
    </cfRule>
  </conditionalFormatting>
  <conditionalFormatting sqref="I76:P76">
    <cfRule type="expression" priority="80" aboveAverage="0" equalAverage="0" bottom="0" percent="0" rank="0" text="" dxfId="0">
      <formula>AND($F76="Yes")</formula>
    </cfRule>
    <cfRule type="expression" priority="81" aboveAverage="0" equalAverage="0" bottom="0" percent="0" rank="0" text="" dxfId="1">
      <formula>AND($F76="No")</formula>
    </cfRule>
  </conditionalFormatting>
  <conditionalFormatting sqref="E87">
    <cfRule type="expression" priority="82" aboveAverage="0" equalAverage="0" bottom="0" percent="0" rank="0" text="" dxfId="4">
      <formula>AND($F87="Yes")</formula>
    </cfRule>
    <cfRule type="expression" priority="83" aboveAverage="0" equalAverage="0" bottom="0" percent="0" rank="0" text="" dxfId="5">
      <formula>AND($F87="No")</formula>
    </cfRule>
  </conditionalFormatting>
  <conditionalFormatting sqref="G167 J24:J25">
    <cfRule type="expression" priority="84" aboveAverage="0" equalAverage="0" bottom="0" percent="0" rank="0" text="" dxfId="0">
      <formula>AND(#ref!="Yes")</formula>
    </cfRule>
    <cfRule type="expression" priority="85" aboveAverage="0" equalAverage="0" bottom="0" percent="0" rank="0" text="" dxfId="1">
      <formula>AND(#ref!="No")</formula>
    </cfRule>
  </conditionalFormatting>
  <printOptions headings="false" gridLines="false" gridLinesSet="true" horizontalCentered="true" verticalCentered="false"/>
  <pageMargins left="0.25" right="0.25" top="0.75" bottom="0.75" header="0.511811023622047" footer="0.511811023622047"/>
  <pageSetup paperSize="1" scale="2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B2:CA1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6" topLeftCell="G7" activePane="bottomRight" state="frozen"/>
      <selection pane="topLeft" activeCell="A1" activeCellId="0" sqref="A1"/>
      <selection pane="topRight" activeCell="G1" activeCellId="0" sqref="G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4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8" min="6" style="0" width="15"/>
    <col collapsed="false" customWidth="true" hidden="false" outlineLevel="0" max="9" min="9" style="0" width="13"/>
    <col collapsed="false" customWidth="true" hidden="false" outlineLevel="0" max="10" min="10" style="0" width="2"/>
    <col collapsed="false" customWidth="true" hidden="false" outlineLevel="0" max="11" min="11" style="0" width="12"/>
    <col collapsed="false" customWidth="true" hidden="false" outlineLevel="0" max="16" min="12" style="0" width="11"/>
    <col collapsed="false" customWidth="true" hidden="false" outlineLevel="0" max="17" min="17" style="0" width="2"/>
    <col collapsed="false" customWidth="true" hidden="false" outlineLevel="0" max="18" min="18" style="0" width="60"/>
    <col collapsed="false" customWidth="true" hidden="false" outlineLevel="0" max="19" min="19" style="0" width="2"/>
    <col collapsed="false" customWidth="true" hidden="false" outlineLevel="0" max="79" min="20" style="0" width="9"/>
  </cols>
  <sheetData>
    <row r="2" customFormat="false" ht="24" hidden="false" customHeight="true" outlineLevel="0" collapsed="false">
      <c r="B2" s="153" t="s">
        <v>588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B3" s="154" t="s">
        <v>589</v>
      </c>
    </row>
    <row r="5" customFormat="false" ht="15" hidden="false" customHeight="false" outlineLevel="0" collapsed="false">
      <c r="T5" s="175" t="n">
        <v>2026</v>
      </c>
      <c r="U5" s="175" t="n">
        <v>2026</v>
      </c>
      <c r="V5" s="175" t="n">
        <v>2026</v>
      </c>
      <c r="W5" s="175" t="n">
        <v>2026</v>
      </c>
      <c r="X5" s="175" t="n">
        <v>2026</v>
      </c>
      <c r="Y5" s="175" t="n">
        <v>2026</v>
      </c>
      <c r="Z5" s="175" t="n">
        <v>2026</v>
      </c>
      <c r="AA5" s="175" t="n">
        <v>2026</v>
      </c>
      <c r="AB5" s="175" t="n">
        <v>2026</v>
      </c>
      <c r="AC5" s="175" t="n">
        <v>2026</v>
      </c>
      <c r="AD5" s="175" t="n">
        <v>2026</v>
      </c>
      <c r="AE5" s="175" t="n">
        <v>2026</v>
      </c>
      <c r="AF5" s="175" t="n">
        <v>2027</v>
      </c>
      <c r="AG5" s="175" t="n">
        <v>2027</v>
      </c>
      <c r="AH5" s="175" t="n">
        <v>2027</v>
      </c>
      <c r="AI5" s="175" t="n">
        <v>2027</v>
      </c>
      <c r="AJ5" s="175" t="n">
        <v>2027</v>
      </c>
      <c r="AK5" s="175" t="n">
        <v>2027</v>
      </c>
      <c r="AL5" s="175" t="n">
        <v>2027</v>
      </c>
      <c r="AM5" s="175" t="n">
        <v>2027</v>
      </c>
      <c r="AN5" s="175" t="n">
        <v>2027</v>
      </c>
      <c r="AO5" s="175" t="n">
        <v>2027</v>
      </c>
      <c r="AP5" s="175" t="n">
        <v>2027</v>
      </c>
      <c r="AQ5" s="175" t="n">
        <v>2027</v>
      </c>
      <c r="AR5" s="175" t="n">
        <v>2028</v>
      </c>
      <c r="AS5" s="175" t="n">
        <v>2028</v>
      </c>
      <c r="AT5" s="175" t="n">
        <v>2028</v>
      </c>
      <c r="AU5" s="175" t="n">
        <v>2028</v>
      </c>
      <c r="AV5" s="175" t="n">
        <v>2028</v>
      </c>
      <c r="AW5" s="175" t="n">
        <v>2028</v>
      </c>
      <c r="AX5" s="175" t="n">
        <v>2028</v>
      </c>
      <c r="AY5" s="175" t="n">
        <v>2028</v>
      </c>
      <c r="AZ5" s="175" t="n">
        <v>2028</v>
      </c>
      <c r="BA5" s="175" t="n">
        <v>2028</v>
      </c>
      <c r="BB5" s="175" t="n">
        <v>2028</v>
      </c>
      <c r="BC5" s="175" t="n">
        <v>2028</v>
      </c>
      <c r="BD5" s="175" t="n">
        <v>2029</v>
      </c>
      <c r="BE5" s="175" t="n">
        <v>2029</v>
      </c>
      <c r="BF5" s="175" t="n">
        <v>2029</v>
      </c>
      <c r="BG5" s="175" t="n">
        <v>2029</v>
      </c>
      <c r="BH5" s="175" t="n">
        <v>2029</v>
      </c>
      <c r="BI5" s="175" t="n">
        <v>2029</v>
      </c>
      <c r="BJ5" s="175" t="n">
        <v>2029</v>
      </c>
      <c r="BK5" s="175" t="n">
        <v>2029</v>
      </c>
      <c r="BL5" s="175" t="n">
        <v>2029</v>
      </c>
      <c r="BM5" s="175" t="n">
        <v>2029</v>
      </c>
      <c r="BN5" s="175" t="n">
        <v>2029</v>
      </c>
      <c r="BO5" s="175" t="n">
        <v>2029</v>
      </c>
      <c r="BP5" s="175" t="n">
        <v>2030</v>
      </c>
      <c r="BQ5" s="175" t="n">
        <v>2030</v>
      </c>
      <c r="BR5" s="175" t="n">
        <v>2030</v>
      </c>
      <c r="BS5" s="175" t="n">
        <v>2030</v>
      </c>
      <c r="BT5" s="175" t="n">
        <v>2030</v>
      </c>
      <c r="BU5" s="175" t="n">
        <v>2030</v>
      </c>
      <c r="BV5" s="175" t="n">
        <v>2030</v>
      </c>
      <c r="BW5" s="175" t="n">
        <v>2030</v>
      </c>
      <c r="BX5" s="175" t="n">
        <v>2030</v>
      </c>
      <c r="BY5" s="175" t="n">
        <v>2030</v>
      </c>
      <c r="BZ5" s="175" t="n">
        <v>2030</v>
      </c>
      <c r="CA5" s="175" t="n">
        <v>2030</v>
      </c>
    </row>
    <row r="6" customFormat="false" ht="15" hidden="false" customHeight="false" outlineLevel="0" collapsed="false">
      <c r="B6" s="161" t="s">
        <v>258</v>
      </c>
      <c r="K6" s="176" t="s">
        <v>259</v>
      </c>
      <c r="L6" s="176" t="n">
        <v>2026</v>
      </c>
      <c r="M6" s="176" t="n">
        <v>2027</v>
      </c>
      <c r="N6" s="176" t="n">
        <v>2028</v>
      </c>
      <c r="O6" s="176" t="n">
        <v>2029</v>
      </c>
      <c r="P6" s="176" t="n">
        <v>2030</v>
      </c>
      <c r="T6" s="177" t="n">
        <f aca="false">DATE(2026,1,31)</f>
        <v>46053</v>
      </c>
      <c r="U6" s="177" t="n">
        <f aca="false">EOMONTH(T6,1)</f>
        <v>46081</v>
      </c>
      <c r="V6" s="177" t="n">
        <f aca="false">EOMONTH(U6,1)</f>
        <v>46112</v>
      </c>
      <c r="W6" s="177" t="n">
        <f aca="false">EOMONTH(V6,1)</f>
        <v>46142</v>
      </c>
      <c r="X6" s="177" t="n">
        <f aca="false">EOMONTH(W6,1)</f>
        <v>46173</v>
      </c>
      <c r="Y6" s="177" t="n">
        <f aca="false">EOMONTH(X6,1)</f>
        <v>46203</v>
      </c>
      <c r="Z6" s="177" t="n">
        <f aca="false">EOMONTH(Y6,1)</f>
        <v>46234</v>
      </c>
      <c r="AA6" s="177" t="n">
        <f aca="false">EOMONTH(Z6,1)</f>
        <v>46265</v>
      </c>
      <c r="AB6" s="177" t="n">
        <f aca="false">EOMONTH(AA6,1)</f>
        <v>46295</v>
      </c>
      <c r="AC6" s="177" t="n">
        <f aca="false">EOMONTH(AB6,1)</f>
        <v>46326</v>
      </c>
      <c r="AD6" s="177" t="n">
        <f aca="false">EOMONTH(AC6,1)</f>
        <v>46356</v>
      </c>
      <c r="AE6" s="177" t="n">
        <f aca="false">EOMONTH(AD6,1)</f>
        <v>46387</v>
      </c>
      <c r="AF6" s="177" t="n">
        <f aca="false">EOMONTH(AE6,1)</f>
        <v>46418</v>
      </c>
      <c r="AG6" s="177" t="n">
        <f aca="false">EOMONTH(AF6,1)</f>
        <v>46446</v>
      </c>
      <c r="AH6" s="177" t="n">
        <f aca="false">EOMONTH(AG6,1)</f>
        <v>46477</v>
      </c>
      <c r="AI6" s="177" t="n">
        <f aca="false">EOMONTH(AH6,1)</f>
        <v>46507</v>
      </c>
      <c r="AJ6" s="177" t="n">
        <f aca="false">EOMONTH(AI6,1)</f>
        <v>46538</v>
      </c>
      <c r="AK6" s="177" t="n">
        <f aca="false">EOMONTH(AJ6,1)</f>
        <v>46568</v>
      </c>
      <c r="AL6" s="177" t="n">
        <f aca="false">EOMONTH(AK6,1)</f>
        <v>46599</v>
      </c>
      <c r="AM6" s="177" t="n">
        <f aca="false">EOMONTH(AL6,1)</f>
        <v>46630</v>
      </c>
      <c r="AN6" s="177" t="n">
        <f aca="false">EOMONTH(AM6,1)</f>
        <v>46660</v>
      </c>
      <c r="AO6" s="177" t="n">
        <f aca="false">EOMONTH(AN6,1)</f>
        <v>46691</v>
      </c>
      <c r="AP6" s="177" t="n">
        <f aca="false">EOMONTH(AO6,1)</f>
        <v>46721</v>
      </c>
      <c r="AQ6" s="177" t="n">
        <f aca="false">EOMONTH(AP6,1)</f>
        <v>46752</v>
      </c>
      <c r="AR6" s="177" t="n">
        <f aca="false">EOMONTH(AQ6,1)</f>
        <v>46783</v>
      </c>
      <c r="AS6" s="177" t="n">
        <f aca="false">EOMONTH(AR6,1)</f>
        <v>46812</v>
      </c>
      <c r="AT6" s="177" t="n">
        <f aca="false">EOMONTH(AS6,1)</f>
        <v>46843</v>
      </c>
      <c r="AU6" s="177" t="n">
        <f aca="false">EOMONTH(AT6,1)</f>
        <v>46873</v>
      </c>
      <c r="AV6" s="177" t="n">
        <f aca="false">EOMONTH(AU6,1)</f>
        <v>46904</v>
      </c>
      <c r="AW6" s="177" t="n">
        <f aca="false">EOMONTH(AV6,1)</f>
        <v>46934</v>
      </c>
      <c r="AX6" s="177" t="n">
        <f aca="false">EOMONTH(AW6,1)</f>
        <v>46965</v>
      </c>
      <c r="AY6" s="177" t="n">
        <f aca="false">EOMONTH(AX6,1)</f>
        <v>46996</v>
      </c>
      <c r="AZ6" s="177" t="n">
        <f aca="false">EOMONTH(AY6,1)</f>
        <v>47026</v>
      </c>
      <c r="BA6" s="177" t="n">
        <f aca="false">EOMONTH(AZ6,1)</f>
        <v>47057</v>
      </c>
      <c r="BB6" s="177" t="n">
        <f aca="false">EOMONTH(BA6,1)</f>
        <v>47087</v>
      </c>
      <c r="BC6" s="177" t="n">
        <f aca="false">EOMONTH(BB6,1)</f>
        <v>47118</v>
      </c>
      <c r="BD6" s="177" t="n">
        <f aca="false">EOMONTH(BC6,1)</f>
        <v>47149</v>
      </c>
      <c r="BE6" s="177" t="n">
        <f aca="false">EOMONTH(BD6,1)</f>
        <v>47177</v>
      </c>
      <c r="BF6" s="177" t="n">
        <f aca="false">EOMONTH(BE6,1)</f>
        <v>47208</v>
      </c>
      <c r="BG6" s="177" t="n">
        <f aca="false">EOMONTH(BF6,1)</f>
        <v>47238</v>
      </c>
      <c r="BH6" s="177" t="n">
        <f aca="false">EOMONTH(BG6,1)</f>
        <v>47269</v>
      </c>
      <c r="BI6" s="177" t="n">
        <f aca="false">EOMONTH(BH6,1)</f>
        <v>47299</v>
      </c>
      <c r="BJ6" s="177" t="n">
        <f aca="false">EOMONTH(BI6,1)</f>
        <v>47330</v>
      </c>
      <c r="BK6" s="177" t="n">
        <f aca="false">EOMONTH(BJ6,1)</f>
        <v>47361</v>
      </c>
      <c r="BL6" s="177" t="n">
        <f aca="false">EOMONTH(BK6,1)</f>
        <v>47391</v>
      </c>
      <c r="BM6" s="177" t="n">
        <f aca="false">EOMONTH(BL6,1)</f>
        <v>47422</v>
      </c>
      <c r="BN6" s="177" t="n">
        <f aca="false">EOMONTH(BM6,1)</f>
        <v>47452</v>
      </c>
      <c r="BO6" s="177" t="n">
        <f aca="false">EOMONTH(BN6,1)</f>
        <v>47483</v>
      </c>
      <c r="BP6" s="177" t="n">
        <f aca="false">EOMONTH(BO6,1)</f>
        <v>47514</v>
      </c>
      <c r="BQ6" s="177" t="n">
        <f aca="false">EOMONTH(BP6,1)</f>
        <v>47542</v>
      </c>
      <c r="BR6" s="177" t="n">
        <f aca="false">EOMONTH(BQ6,1)</f>
        <v>47573</v>
      </c>
      <c r="BS6" s="177" t="n">
        <f aca="false">EOMONTH(BR6,1)</f>
        <v>47603</v>
      </c>
      <c r="BT6" s="177" t="n">
        <f aca="false">EOMONTH(BS6,1)</f>
        <v>47634</v>
      </c>
      <c r="BU6" s="177" t="n">
        <f aca="false">EOMONTH(BT6,1)</f>
        <v>47664</v>
      </c>
      <c r="BV6" s="177" t="n">
        <f aca="false">EOMONTH(BU6,1)</f>
        <v>47695</v>
      </c>
      <c r="BW6" s="177" t="n">
        <f aca="false">EOMONTH(BV6,1)</f>
        <v>47726</v>
      </c>
      <c r="BX6" s="177" t="n">
        <f aca="false">EOMONTH(BW6,1)</f>
        <v>47756</v>
      </c>
      <c r="BY6" s="177" t="n">
        <f aca="false">EOMONTH(BX6,1)</f>
        <v>47787</v>
      </c>
      <c r="BZ6" s="177" t="n">
        <f aca="false">EOMONTH(BY6,1)</f>
        <v>47817</v>
      </c>
      <c r="CA6" s="177" t="n">
        <f aca="false">EOMONTH(BZ6,1)</f>
        <v>47848</v>
      </c>
    </row>
    <row r="8" customFormat="false" ht="18" hidden="false" customHeight="true" outlineLevel="0" collapsed="false">
      <c r="B8" s="5" t="s">
        <v>260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10" customFormat="false" ht="15" hidden="false" customHeight="false" outlineLevel="0" collapsed="false">
      <c r="B10" s="10" t="s">
        <v>261</v>
      </c>
      <c r="D10" s="9" t="s">
        <v>590</v>
      </c>
      <c r="E10" s="9"/>
      <c r="F10" s="9"/>
      <c r="G10" s="9"/>
      <c r="H10" s="9"/>
    </row>
    <row r="11" customFormat="false" ht="22.35" hidden="false" customHeight="false" outlineLevel="0" collapsed="false">
      <c r="B11" s="10" t="s">
        <v>263</v>
      </c>
      <c r="D11" s="9" t="s">
        <v>264</v>
      </c>
      <c r="E11" s="9"/>
      <c r="F11" s="9"/>
      <c r="G11" s="9"/>
      <c r="H11" s="9"/>
      <c r="I11" s="155" t="s">
        <v>265</v>
      </c>
    </row>
    <row r="12" customFormat="false" ht="15" hidden="false" customHeight="false" outlineLevel="0" collapsed="false">
      <c r="B12" s="10" t="s">
        <v>132</v>
      </c>
      <c r="D12" s="9" t="s">
        <v>266</v>
      </c>
      <c r="E12" s="9"/>
      <c r="F12" s="9"/>
      <c r="G12" s="9"/>
      <c r="H12" s="9"/>
    </row>
    <row r="13" customFormat="false" ht="22.35" hidden="false" customHeight="false" outlineLevel="0" collapsed="false">
      <c r="B13" s="3" t="s">
        <v>267</v>
      </c>
      <c r="D13" s="178" t="n">
        <f aca="false">DATE(2027,7,1)</f>
        <v>46569</v>
      </c>
      <c r="I13" s="155" t="s">
        <v>268</v>
      </c>
    </row>
    <row r="15" customFormat="false" ht="15" hidden="false" customHeight="false" outlineLevel="0" collapsed="false">
      <c r="B15" s="167" t="s">
        <v>269</v>
      </c>
    </row>
    <row r="16" customFormat="false" ht="15" hidden="false" customHeight="false" outlineLevel="0" collapsed="false">
      <c r="B16" s="167" t="s">
        <v>270</v>
      </c>
    </row>
    <row r="17" customFormat="false" ht="15" hidden="false" customHeight="false" outlineLevel="0" collapsed="false">
      <c r="B17" s="179" t="s">
        <v>271</v>
      </c>
    </row>
    <row r="18" customFormat="false" ht="15" hidden="false" customHeight="false" outlineLevel="0" collapsed="false">
      <c r="B18" s="180" t="s">
        <v>591</v>
      </c>
    </row>
    <row r="19" customFormat="false" ht="15" hidden="false" customHeight="false" outlineLevel="0" collapsed="false">
      <c r="B19" s="180" t="s">
        <v>592</v>
      </c>
    </row>
    <row r="20" customFormat="false" ht="15" hidden="false" customHeight="false" outlineLevel="0" collapsed="false">
      <c r="B20" s="180" t="s">
        <v>593</v>
      </c>
    </row>
    <row r="22" customFormat="false" ht="18" hidden="false" customHeight="true" outlineLevel="0" collapsed="false">
      <c r="B22" s="5" t="s">
        <v>275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4" customFormat="false" ht="15" hidden="false" customHeight="false" outlineLevel="0" collapsed="false">
      <c r="B24" s="181" t="s">
        <v>594</v>
      </c>
    </row>
    <row r="25" customFormat="false" ht="210.4" hidden="false" customHeight="false" outlineLevel="0" collapsed="false">
      <c r="B25" s="182" t="s">
        <v>595</v>
      </c>
      <c r="D25" s="158" t="n">
        <v>93163951.04</v>
      </c>
      <c r="E25" s="167" t="s">
        <v>278</v>
      </c>
      <c r="F25" s="155" t="s">
        <v>443</v>
      </c>
    </row>
    <row r="26" customFormat="false" ht="15" hidden="false" customHeight="false" outlineLevel="0" collapsed="false">
      <c r="B26" s="181" t="s">
        <v>596</v>
      </c>
    </row>
    <row r="27" customFormat="false" ht="32.8" hidden="false" customHeight="false" outlineLevel="0" collapsed="false">
      <c r="B27" s="182" t="s">
        <v>597</v>
      </c>
      <c r="D27" s="168" t="n">
        <v>0.1</v>
      </c>
      <c r="E27" s="167" t="s">
        <v>282</v>
      </c>
      <c r="F27" s="155" t="s">
        <v>598</v>
      </c>
    </row>
    <row r="28" customFormat="false" ht="15" hidden="false" customHeight="false" outlineLevel="0" collapsed="false">
      <c r="B28" s="182" t="s">
        <v>599</v>
      </c>
      <c r="D28" s="168" t="n">
        <v>0.75</v>
      </c>
      <c r="E28" s="167" t="s">
        <v>282</v>
      </c>
      <c r="F28" s="155" t="s">
        <v>600</v>
      </c>
    </row>
    <row r="29" customFormat="false" ht="53.7" hidden="false" customHeight="false" outlineLevel="0" collapsed="false">
      <c r="B29" s="182" t="s">
        <v>601</v>
      </c>
      <c r="D29" s="187" t="n">
        <v>0.5608617199</v>
      </c>
      <c r="E29" s="167" t="s">
        <v>282</v>
      </c>
      <c r="F29" s="155" t="s">
        <v>602</v>
      </c>
    </row>
    <row r="30" customFormat="false" ht="15" hidden="false" customHeight="false" outlineLevel="0" collapsed="false">
      <c r="B30" s="181" t="s">
        <v>603</v>
      </c>
    </row>
    <row r="31" customFormat="false" ht="15" hidden="false" customHeight="false" outlineLevel="0" collapsed="false">
      <c r="B31" s="182" t="s">
        <v>604</v>
      </c>
      <c r="D31" s="187" t="n">
        <v>0.808142857142857</v>
      </c>
      <c r="E31" s="167" t="s">
        <v>282</v>
      </c>
      <c r="F31" s="155" t="s">
        <v>605</v>
      </c>
    </row>
    <row r="32" customFormat="false" ht="43.25" hidden="false" customHeight="false" outlineLevel="0" collapsed="false">
      <c r="B32" s="182" t="s">
        <v>606</v>
      </c>
      <c r="D32" s="187" t="n">
        <v>0.85</v>
      </c>
      <c r="E32" s="167" t="s">
        <v>282</v>
      </c>
      <c r="F32" s="155" t="s">
        <v>607</v>
      </c>
    </row>
    <row r="33" customFormat="false" ht="53.7" hidden="false" customHeight="false" outlineLevel="0" collapsed="false">
      <c r="B33" s="182" t="s">
        <v>608</v>
      </c>
      <c r="D33" s="187" t="n">
        <v>0.408571428571429</v>
      </c>
      <c r="E33" s="167" t="s">
        <v>282</v>
      </c>
      <c r="F33" s="155" t="s">
        <v>609</v>
      </c>
    </row>
    <row r="34" customFormat="false" ht="43.25" hidden="false" customHeight="false" outlineLevel="0" collapsed="false">
      <c r="B34" s="182" t="s">
        <v>610</v>
      </c>
      <c r="D34" s="168" t="n">
        <v>0.85</v>
      </c>
      <c r="E34" s="167" t="s">
        <v>282</v>
      </c>
      <c r="F34" s="155" t="s">
        <v>611</v>
      </c>
    </row>
    <row r="35" customFormat="false" ht="15" hidden="false" customHeight="false" outlineLevel="0" collapsed="false">
      <c r="B35" s="181" t="s">
        <v>280</v>
      </c>
    </row>
    <row r="36" customFormat="false" ht="15" hidden="false" customHeight="false" outlineLevel="0" collapsed="false">
      <c r="B36" s="182" t="s">
        <v>281</v>
      </c>
      <c r="D36" s="168" t="n">
        <v>0.08</v>
      </c>
      <c r="E36" s="167" t="s">
        <v>282</v>
      </c>
    </row>
    <row r="37" customFormat="false" ht="15" hidden="false" customHeight="false" outlineLevel="0" collapsed="false">
      <c r="B37" s="182" t="s">
        <v>284</v>
      </c>
      <c r="D37" s="168" t="n">
        <v>0.1</v>
      </c>
      <c r="E37" s="167" t="s">
        <v>282</v>
      </c>
    </row>
    <row r="38" customFormat="false" ht="15" hidden="false" customHeight="false" outlineLevel="0" collapsed="false">
      <c r="B38" s="182" t="s">
        <v>612</v>
      </c>
      <c r="D38" s="183" t="n">
        <v>4</v>
      </c>
      <c r="E38" s="167" t="s">
        <v>287</v>
      </c>
      <c r="F38" s="155" t="s">
        <v>613</v>
      </c>
    </row>
    <row r="39" customFormat="false" ht="15" hidden="false" customHeight="false" outlineLevel="0" collapsed="false">
      <c r="B39" s="182" t="s">
        <v>289</v>
      </c>
      <c r="D39" s="158" t="n">
        <v>180000</v>
      </c>
      <c r="E39" s="167" t="s">
        <v>290</v>
      </c>
    </row>
    <row r="40" customFormat="false" ht="15" hidden="false" customHeight="false" outlineLevel="0" collapsed="false">
      <c r="B40" s="182" t="s">
        <v>614</v>
      </c>
      <c r="D40" s="183" t="n">
        <v>236.9179</v>
      </c>
      <c r="E40" s="167" t="s">
        <v>287</v>
      </c>
      <c r="F40" s="155" t="s">
        <v>615</v>
      </c>
    </row>
    <row r="41" customFormat="false" ht="15" hidden="false" customHeight="false" outlineLevel="0" collapsed="false">
      <c r="B41" s="182" t="s">
        <v>616</v>
      </c>
      <c r="D41" s="183" t="n">
        <v>135.2216</v>
      </c>
      <c r="E41" s="167" t="s">
        <v>287</v>
      </c>
      <c r="F41" s="155" t="s">
        <v>617</v>
      </c>
    </row>
    <row r="42" customFormat="false" ht="15" hidden="false" customHeight="false" outlineLevel="0" collapsed="false">
      <c r="B42" s="182" t="s">
        <v>292</v>
      </c>
      <c r="D42" s="9"/>
    </row>
    <row r="43" customFormat="false" ht="15" hidden="false" customHeight="false" outlineLevel="0" collapsed="false">
      <c r="B43" s="182" t="s">
        <v>292</v>
      </c>
      <c r="D43" s="9"/>
    </row>
    <row r="45" customFormat="false" ht="18" hidden="false" customHeight="true" outlineLevel="0" collapsed="false">
      <c r="B45" s="5" t="s">
        <v>310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7" customFormat="false" ht="22.35" hidden="false" customHeight="false" outlineLevel="0" collapsed="false">
      <c r="B47" s="182" t="s">
        <v>618</v>
      </c>
      <c r="D47" s="159" t="n">
        <f aca="false">$D$25*$D$27*$D$28*$D$29</f>
        <v>3918907.03597303</v>
      </c>
      <c r="E47" s="167" t="s">
        <v>278</v>
      </c>
      <c r="F47" s="155" t="s">
        <v>619</v>
      </c>
    </row>
    <row r="48" customFormat="false" ht="15" hidden="false" customHeight="false" outlineLevel="0" collapsed="false">
      <c r="B48" s="182" t="s">
        <v>620</v>
      </c>
      <c r="D48" s="159" t="n">
        <f aca="false">$D$25-$D$47</f>
        <v>89245044.004027</v>
      </c>
      <c r="E48" s="167" t="s">
        <v>278</v>
      </c>
      <c r="F48" s="155" t="s">
        <v>621</v>
      </c>
    </row>
    <row r="49" customFormat="false" ht="15" hidden="false" customHeight="false" outlineLevel="0" collapsed="false">
      <c r="B49" s="182" t="s">
        <v>622</v>
      </c>
      <c r="D49" s="233" t="n">
        <f aca="false">(1-$D$33)*$D$31</f>
        <v>0.477958775510204</v>
      </c>
      <c r="E49" s="167" t="s">
        <v>282</v>
      </c>
      <c r="F49" s="155" t="s">
        <v>623</v>
      </c>
    </row>
    <row r="50" customFormat="false" ht="15" hidden="false" customHeight="false" outlineLevel="0" collapsed="false">
      <c r="B50" s="182" t="s">
        <v>624</v>
      </c>
      <c r="D50" s="233" t="n">
        <f aca="false">(1-$D$33)*$D$32</f>
        <v>0.502714285714285</v>
      </c>
      <c r="E50" s="167" t="s">
        <v>282</v>
      </c>
      <c r="F50" s="155" t="s">
        <v>625</v>
      </c>
    </row>
    <row r="51" customFormat="false" ht="15" hidden="false" customHeight="false" outlineLevel="0" collapsed="false">
      <c r="B51" s="182" t="s">
        <v>626</v>
      </c>
      <c r="D51" s="233" t="n">
        <f aca="false">1-$D$49/$D$50</f>
        <v>0.0492436974789917</v>
      </c>
      <c r="E51" s="167" t="s">
        <v>282</v>
      </c>
      <c r="F51" s="155" t="s">
        <v>627</v>
      </c>
    </row>
    <row r="52" customFormat="false" ht="15" hidden="false" customHeight="false" outlineLevel="0" collapsed="false">
      <c r="B52" s="182" t="s">
        <v>628</v>
      </c>
      <c r="D52" s="233" t="n">
        <f aca="false">$D$51*$D$34</f>
        <v>0.041857142857143</v>
      </c>
      <c r="E52" s="167" t="s">
        <v>282</v>
      </c>
      <c r="F52" s="155" t="s">
        <v>629</v>
      </c>
    </row>
    <row r="53" customFormat="false" ht="22.35" hidden="false" customHeight="false" outlineLevel="0" collapsed="false">
      <c r="B53" s="182" t="s">
        <v>630</v>
      </c>
      <c r="D53" s="159" t="n">
        <f aca="false">$D$48*$D$52</f>
        <v>3735542.55616857</v>
      </c>
      <c r="E53" s="167" t="s">
        <v>278</v>
      </c>
      <c r="F53" s="155" t="s">
        <v>631</v>
      </c>
    </row>
    <row r="54" customFormat="false" ht="22.35" hidden="false" customHeight="false" outlineLevel="0" collapsed="false">
      <c r="B54" s="182" t="s">
        <v>311</v>
      </c>
      <c r="D54" s="159" t="n">
        <f aca="false">$D$47+$D$53</f>
        <v>7654449.5921416</v>
      </c>
      <c r="E54" s="167" t="s">
        <v>278</v>
      </c>
      <c r="F54" s="155" t="s">
        <v>632</v>
      </c>
    </row>
    <row r="55" customFormat="false" ht="15" hidden="false" customHeight="false" outlineLevel="0" collapsed="false">
      <c r="B55" s="182" t="s">
        <v>536</v>
      </c>
      <c r="D55" s="188" t="n">
        <f aca="false">$D$40+$D$41</f>
        <v>372.1395</v>
      </c>
      <c r="E55" s="167" t="s">
        <v>287</v>
      </c>
    </row>
    <row r="56" customFormat="false" ht="15" hidden="false" customHeight="false" outlineLevel="0" collapsed="false">
      <c r="B56" s="182" t="s">
        <v>633</v>
      </c>
      <c r="D56" s="159" t="n">
        <f aca="false">$D$48-$D$53</f>
        <v>85509501.4478584</v>
      </c>
      <c r="E56" s="167" t="s">
        <v>278</v>
      </c>
      <c r="F56" s="155" t="s">
        <v>634</v>
      </c>
    </row>
    <row r="58" customFormat="false" ht="18" hidden="false" customHeight="true" outlineLevel="0" collapsed="false">
      <c r="B58" s="5" t="s">
        <v>317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60" customFormat="false" ht="53.7" hidden="false" customHeight="false" outlineLevel="0" collapsed="false">
      <c r="B60" s="3" t="s">
        <v>318</v>
      </c>
      <c r="D60" s="156" t="n">
        <v>6</v>
      </c>
      <c r="F60" s="155" t="s">
        <v>319</v>
      </c>
    </row>
    <row r="61" customFormat="false" ht="15" hidden="false" customHeight="false" outlineLevel="0" collapsed="false">
      <c r="B61" s="10" t="s">
        <v>320</v>
      </c>
      <c r="T61" s="190" t="n">
        <f aca="false">MIN(1,MAX(0,((YEAR(T$6)-YEAR($D$13))*12+MONTH(T$6)-MONTH($D$13)+0.5)/MAX($D$60,0.5)))</f>
        <v>0</v>
      </c>
      <c r="U61" s="190" t="n">
        <f aca="false">MIN(1,MAX(0,((YEAR(U$6)-YEAR($D$13))*12+MONTH(U$6)-MONTH($D$13)+0.5)/MAX($D$60,0.5)))</f>
        <v>0</v>
      </c>
      <c r="V61" s="190" t="n">
        <f aca="false">MIN(1,MAX(0,((YEAR(V$6)-YEAR($D$13))*12+MONTH(V$6)-MONTH($D$13)+0.5)/MAX($D$60,0.5)))</f>
        <v>0</v>
      </c>
      <c r="W61" s="190" t="n">
        <f aca="false">MIN(1,MAX(0,((YEAR(W$6)-YEAR($D$13))*12+MONTH(W$6)-MONTH($D$13)+0.5)/MAX($D$60,0.5)))</f>
        <v>0</v>
      </c>
      <c r="X61" s="190" t="n">
        <f aca="false">MIN(1,MAX(0,((YEAR(X$6)-YEAR($D$13))*12+MONTH(X$6)-MONTH($D$13)+0.5)/MAX($D$60,0.5)))</f>
        <v>0</v>
      </c>
      <c r="Y61" s="190" t="n">
        <f aca="false">MIN(1,MAX(0,((YEAR(Y$6)-YEAR($D$13))*12+MONTH(Y$6)-MONTH($D$13)+0.5)/MAX($D$60,0.5)))</f>
        <v>0</v>
      </c>
      <c r="Z61" s="190" t="n">
        <f aca="false">MIN(1,MAX(0,((YEAR(Z$6)-YEAR($D$13))*12+MONTH(Z$6)-MONTH($D$13)+0.5)/MAX($D$60,0.5)))</f>
        <v>0</v>
      </c>
      <c r="AA61" s="190" t="n">
        <f aca="false">MIN(1,MAX(0,((YEAR(AA$6)-YEAR($D$13))*12+MONTH(AA$6)-MONTH($D$13)+0.5)/MAX($D$60,0.5)))</f>
        <v>0</v>
      </c>
      <c r="AB61" s="190" t="n">
        <f aca="false">MIN(1,MAX(0,((YEAR(AB$6)-YEAR($D$13))*12+MONTH(AB$6)-MONTH($D$13)+0.5)/MAX($D$60,0.5)))</f>
        <v>0</v>
      </c>
      <c r="AC61" s="190" t="n">
        <f aca="false">MIN(1,MAX(0,((YEAR(AC$6)-YEAR($D$13))*12+MONTH(AC$6)-MONTH($D$13)+0.5)/MAX($D$60,0.5)))</f>
        <v>0</v>
      </c>
      <c r="AD61" s="190" t="n">
        <f aca="false">MIN(1,MAX(0,((YEAR(AD$6)-YEAR($D$13))*12+MONTH(AD$6)-MONTH($D$13)+0.5)/MAX($D$60,0.5)))</f>
        <v>0</v>
      </c>
      <c r="AE61" s="190" t="n">
        <f aca="false">MIN(1,MAX(0,((YEAR(AE$6)-YEAR($D$13))*12+MONTH(AE$6)-MONTH($D$13)+0.5)/MAX($D$60,0.5)))</f>
        <v>0</v>
      </c>
      <c r="AF61" s="190" t="n">
        <f aca="false">MIN(1,MAX(0,((YEAR(AF$6)-YEAR($D$13))*12+MONTH(AF$6)-MONTH($D$13)+0.5)/MAX($D$60,0.5)))</f>
        <v>0</v>
      </c>
      <c r="AG61" s="190" t="n">
        <f aca="false">MIN(1,MAX(0,((YEAR(AG$6)-YEAR($D$13))*12+MONTH(AG$6)-MONTH($D$13)+0.5)/MAX($D$60,0.5)))</f>
        <v>0</v>
      </c>
      <c r="AH61" s="190" t="n">
        <f aca="false">MIN(1,MAX(0,((YEAR(AH$6)-YEAR($D$13))*12+MONTH(AH$6)-MONTH($D$13)+0.5)/MAX($D$60,0.5)))</f>
        <v>0</v>
      </c>
      <c r="AI61" s="190" t="n">
        <f aca="false">MIN(1,MAX(0,((YEAR(AI$6)-YEAR($D$13))*12+MONTH(AI$6)-MONTH($D$13)+0.5)/MAX($D$60,0.5)))</f>
        <v>0</v>
      </c>
      <c r="AJ61" s="190" t="n">
        <f aca="false">MIN(1,MAX(0,((YEAR(AJ$6)-YEAR($D$13))*12+MONTH(AJ$6)-MONTH($D$13)+0.5)/MAX($D$60,0.5)))</f>
        <v>0</v>
      </c>
      <c r="AK61" s="190" t="n">
        <f aca="false">MIN(1,MAX(0,((YEAR(AK$6)-YEAR($D$13))*12+MONTH(AK$6)-MONTH($D$13)+0.5)/MAX($D$60,0.5)))</f>
        <v>0</v>
      </c>
      <c r="AL61" s="190" t="n">
        <f aca="false">MIN(1,MAX(0,((YEAR(AL$6)-YEAR($D$13))*12+MONTH(AL$6)-MONTH($D$13)+0.5)/MAX($D$60,0.5)))</f>
        <v>0.0833333333333333</v>
      </c>
      <c r="AM61" s="190" t="n">
        <f aca="false">MIN(1,MAX(0,((YEAR(AM$6)-YEAR($D$13))*12+MONTH(AM$6)-MONTH($D$13)+0.5)/MAX($D$60,0.5)))</f>
        <v>0.25</v>
      </c>
      <c r="AN61" s="190" t="n">
        <f aca="false">MIN(1,MAX(0,((YEAR(AN$6)-YEAR($D$13))*12+MONTH(AN$6)-MONTH($D$13)+0.5)/MAX($D$60,0.5)))</f>
        <v>0.416666666666667</v>
      </c>
      <c r="AO61" s="190" t="n">
        <f aca="false">MIN(1,MAX(0,((YEAR(AO$6)-YEAR($D$13))*12+MONTH(AO$6)-MONTH($D$13)+0.5)/MAX($D$60,0.5)))</f>
        <v>0.583333333333333</v>
      </c>
      <c r="AP61" s="190" t="n">
        <f aca="false">MIN(1,MAX(0,((YEAR(AP$6)-YEAR($D$13))*12+MONTH(AP$6)-MONTH($D$13)+0.5)/MAX($D$60,0.5)))</f>
        <v>0.75</v>
      </c>
      <c r="AQ61" s="190" t="n">
        <f aca="false">MIN(1,MAX(0,((YEAR(AQ$6)-YEAR($D$13))*12+MONTH(AQ$6)-MONTH($D$13)+0.5)/MAX($D$60,0.5)))</f>
        <v>0.916666666666667</v>
      </c>
      <c r="AR61" s="190" t="n">
        <f aca="false">MIN(1,MAX(0,((YEAR(AR$6)-YEAR($D$13))*12+MONTH(AR$6)-MONTH($D$13)+0.5)/MAX($D$60,0.5)))</f>
        <v>1</v>
      </c>
      <c r="AS61" s="190" t="n">
        <f aca="false">MIN(1,MAX(0,((YEAR(AS$6)-YEAR($D$13))*12+MONTH(AS$6)-MONTH($D$13)+0.5)/MAX($D$60,0.5)))</f>
        <v>1</v>
      </c>
      <c r="AT61" s="190" t="n">
        <f aca="false">MIN(1,MAX(0,((YEAR(AT$6)-YEAR($D$13))*12+MONTH(AT$6)-MONTH($D$13)+0.5)/MAX($D$60,0.5)))</f>
        <v>1</v>
      </c>
      <c r="AU61" s="190" t="n">
        <f aca="false">MIN(1,MAX(0,((YEAR(AU$6)-YEAR($D$13))*12+MONTH(AU$6)-MONTH($D$13)+0.5)/MAX($D$60,0.5)))</f>
        <v>1</v>
      </c>
      <c r="AV61" s="190" t="n">
        <f aca="false">MIN(1,MAX(0,((YEAR(AV$6)-YEAR($D$13))*12+MONTH(AV$6)-MONTH($D$13)+0.5)/MAX($D$60,0.5)))</f>
        <v>1</v>
      </c>
      <c r="AW61" s="190" t="n">
        <f aca="false">MIN(1,MAX(0,((YEAR(AW$6)-YEAR($D$13))*12+MONTH(AW$6)-MONTH($D$13)+0.5)/MAX($D$60,0.5)))</f>
        <v>1</v>
      </c>
      <c r="AX61" s="190" t="n">
        <f aca="false">MIN(1,MAX(0,((YEAR(AX$6)-YEAR($D$13))*12+MONTH(AX$6)-MONTH($D$13)+0.5)/MAX($D$60,0.5)))</f>
        <v>1</v>
      </c>
      <c r="AY61" s="190" t="n">
        <f aca="false">MIN(1,MAX(0,((YEAR(AY$6)-YEAR($D$13))*12+MONTH(AY$6)-MONTH($D$13)+0.5)/MAX($D$60,0.5)))</f>
        <v>1</v>
      </c>
      <c r="AZ61" s="190" t="n">
        <f aca="false">MIN(1,MAX(0,((YEAR(AZ$6)-YEAR($D$13))*12+MONTH(AZ$6)-MONTH($D$13)+0.5)/MAX($D$60,0.5)))</f>
        <v>1</v>
      </c>
      <c r="BA61" s="190" t="n">
        <f aca="false">MIN(1,MAX(0,((YEAR(BA$6)-YEAR($D$13))*12+MONTH(BA$6)-MONTH($D$13)+0.5)/MAX($D$60,0.5)))</f>
        <v>1</v>
      </c>
      <c r="BB61" s="190" t="n">
        <f aca="false">MIN(1,MAX(0,((YEAR(BB$6)-YEAR($D$13))*12+MONTH(BB$6)-MONTH($D$13)+0.5)/MAX($D$60,0.5)))</f>
        <v>1</v>
      </c>
      <c r="BC61" s="190" t="n">
        <f aca="false">MIN(1,MAX(0,((YEAR(BC$6)-YEAR($D$13))*12+MONTH(BC$6)-MONTH($D$13)+0.5)/MAX($D$60,0.5)))</f>
        <v>1</v>
      </c>
      <c r="BD61" s="190" t="n">
        <f aca="false">MIN(1,MAX(0,((YEAR(BD$6)-YEAR($D$13))*12+MONTH(BD$6)-MONTH($D$13)+0.5)/MAX($D$60,0.5)))</f>
        <v>1</v>
      </c>
      <c r="BE61" s="190" t="n">
        <f aca="false">MIN(1,MAX(0,((YEAR(BE$6)-YEAR($D$13))*12+MONTH(BE$6)-MONTH($D$13)+0.5)/MAX($D$60,0.5)))</f>
        <v>1</v>
      </c>
      <c r="BF61" s="190" t="n">
        <f aca="false">MIN(1,MAX(0,((YEAR(BF$6)-YEAR($D$13))*12+MONTH(BF$6)-MONTH($D$13)+0.5)/MAX($D$60,0.5)))</f>
        <v>1</v>
      </c>
      <c r="BG61" s="190" t="n">
        <f aca="false">MIN(1,MAX(0,((YEAR(BG$6)-YEAR($D$13))*12+MONTH(BG$6)-MONTH($D$13)+0.5)/MAX($D$60,0.5)))</f>
        <v>1</v>
      </c>
      <c r="BH61" s="190" t="n">
        <f aca="false">MIN(1,MAX(0,((YEAR(BH$6)-YEAR($D$13))*12+MONTH(BH$6)-MONTH($D$13)+0.5)/MAX($D$60,0.5)))</f>
        <v>1</v>
      </c>
      <c r="BI61" s="190" t="n">
        <f aca="false">MIN(1,MAX(0,((YEAR(BI$6)-YEAR($D$13))*12+MONTH(BI$6)-MONTH($D$13)+0.5)/MAX($D$60,0.5)))</f>
        <v>1</v>
      </c>
      <c r="BJ61" s="190" t="n">
        <f aca="false">MIN(1,MAX(0,((YEAR(BJ$6)-YEAR($D$13))*12+MONTH(BJ$6)-MONTH($D$13)+0.5)/MAX($D$60,0.5)))</f>
        <v>1</v>
      </c>
      <c r="BK61" s="190" t="n">
        <f aca="false">MIN(1,MAX(0,((YEAR(BK$6)-YEAR($D$13))*12+MONTH(BK$6)-MONTH($D$13)+0.5)/MAX($D$60,0.5)))</f>
        <v>1</v>
      </c>
      <c r="BL61" s="190" t="n">
        <f aca="false">MIN(1,MAX(0,((YEAR(BL$6)-YEAR($D$13))*12+MONTH(BL$6)-MONTH($D$13)+0.5)/MAX($D$60,0.5)))</f>
        <v>1</v>
      </c>
      <c r="BM61" s="190" t="n">
        <f aca="false">MIN(1,MAX(0,((YEAR(BM$6)-YEAR($D$13))*12+MONTH(BM$6)-MONTH($D$13)+0.5)/MAX($D$60,0.5)))</f>
        <v>1</v>
      </c>
      <c r="BN61" s="190" t="n">
        <f aca="false">MIN(1,MAX(0,((YEAR(BN$6)-YEAR($D$13))*12+MONTH(BN$6)-MONTH($D$13)+0.5)/MAX($D$60,0.5)))</f>
        <v>1</v>
      </c>
      <c r="BO61" s="190" t="n">
        <f aca="false">MIN(1,MAX(0,((YEAR(BO$6)-YEAR($D$13))*12+MONTH(BO$6)-MONTH($D$13)+0.5)/MAX($D$60,0.5)))</f>
        <v>1</v>
      </c>
      <c r="BP61" s="190" t="n">
        <f aca="false">MIN(1,MAX(0,((YEAR(BP$6)-YEAR($D$13))*12+MONTH(BP$6)-MONTH($D$13)+0.5)/MAX($D$60,0.5)))</f>
        <v>1</v>
      </c>
      <c r="BQ61" s="190" t="n">
        <f aca="false">MIN(1,MAX(0,((YEAR(BQ$6)-YEAR($D$13))*12+MONTH(BQ$6)-MONTH($D$13)+0.5)/MAX($D$60,0.5)))</f>
        <v>1</v>
      </c>
      <c r="BR61" s="190" t="n">
        <f aca="false">MIN(1,MAX(0,((YEAR(BR$6)-YEAR($D$13))*12+MONTH(BR$6)-MONTH($D$13)+0.5)/MAX($D$60,0.5)))</f>
        <v>1</v>
      </c>
      <c r="BS61" s="190" t="n">
        <f aca="false">MIN(1,MAX(0,((YEAR(BS$6)-YEAR($D$13))*12+MONTH(BS$6)-MONTH($D$13)+0.5)/MAX($D$60,0.5)))</f>
        <v>1</v>
      </c>
      <c r="BT61" s="190" t="n">
        <f aca="false">MIN(1,MAX(0,((YEAR(BT$6)-YEAR($D$13))*12+MONTH(BT$6)-MONTH($D$13)+0.5)/MAX($D$60,0.5)))</f>
        <v>1</v>
      </c>
      <c r="BU61" s="190" t="n">
        <f aca="false">MIN(1,MAX(0,((YEAR(BU$6)-YEAR($D$13))*12+MONTH(BU$6)-MONTH($D$13)+0.5)/MAX($D$60,0.5)))</f>
        <v>1</v>
      </c>
      <c r="BV61" s="190" t="n">
        <f aca="false">MIN(1,MAX(0,((YEAR(BV$6)-YEAR($D$13))*12+MONTH(BV$6)-MONTH($D$13)+0.5)/MAX($D$60,0.5)))</f>
        <v>1</v>
      </c>
      <c r="BW61" s="190" t="n">
        <f aca="false">MIN(1,MAX(0,((YEAR(BW$6)-YEAR($D$13))*12+MONTH(BW$6)-MONTH($D$13)+0.5)/MAX($D$60,0.5)))</f>
        <v>1</v>
      </c>
      <c r="BX61" s="190" t="n">
        <f aca="false">MIN(1,MAX(0,((YEAR(BX$6)-YEAR($D$13))*12+MONTH(BX$6)-MONTH($D$13)+0.5)/MAX($D$60,0.5)))</f>
        <v>1</v>
      </c>
      <c r="BY61" s="190" t="n">
        <f aca="false">MIN(1,MAX(0,((YEAR(BY$6)-YEAR($D$13))*12+MONTH(BY$6)-MONTH($D$13)+0.5)/MAX($D$60,0.5)))</f>
        <v>1</v>
      </c>
      <c r="BZ61" s="190" t="n">
        <f aca="false">MIN(1,MAX(0,((YEAR(BZ$6)-YEAR($D$13))*12+MONTH(BZ$6)-MONTH($D$13)+0.5)/MAX($D$60,0.5)))</f>
        <v>1</v>
      </c>
      <c r="CA61" s="190" t="n">
        <f aca="false">MIN(1,MAX(0,((YEAR(CA$6)-YEAR($D$13))*12+MONTH(CA$6)-MONTH($D$13)+0.5)/MAX($D$60,0.5)))</f>
        <v>1</v>
      </c>
    </row>
    <row r="62" customFormat="false" ht="15" hidden="false" customHeight="false" outlineLevel="0" collapsed="false">
      <c r="B62" s="10" t="s">
        <v>321</v>
      </c>
      <c r="L62" s="190" t="n">
        <f aca="false">SUMIFS($T61:$CA61,$T$5:$CA$5,2026)/12</f>
        <v>0</v>
      </c>
      <c r="M62" s="190" t="n">
        <f aca="false">SUMIFS($T61:$CA61,$T$5:$CA$5,2027)/12</f>
        <v>0.25</v>
      </c>
      <c r="N62" s="190" t="n">
        <f aca="false">SUMIFS($T61:$CA61,$T$5:$CA$5,2028)/12</f>
        <v>1</v>
      </c>
      <c r="O62" s="190" t="n">
        <f aca="false">SUMIFS($T61:$CA61,$T$5:$CA$5,2029)/12</f>
        <v>1</v>
      </c>
      <c r="P62" s="190" t="n">
        <f aca="false">SUMIFS($T61:$CA61,$T$5:$CA$5,2030)/12</f>
        <v>1</v>
      </c>
    </row>
    <row r="64" customFormat="false" ht="18" hidden="false" customHeight="true" outlineLevel="0" collapsed="false">
      <c r="B64" s="5" t="s">
        <v>322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6" customFormat="false" ht="15" hidden="false" customHeight="false" outlineLevel="0" collapsed="false">
      <c r="B66" s="191" t="s">
        <v>323</v>
      </c>
      <c r="D66" s="169" t="s">
        <v>324</v>
      </c>
      <c r="K66" s="192" t="s">
        <v>259</v>
      </c>
    </row>
    <row r="67" customFormat="false" ht="15" hidden="false" customHeight="false" outlineLevel="0" collapsed="false">
      <c r="B67" s="10" t="s">
        <v>635</v>
      </c>
      <c r="D67" s="193" t="n">
        <f aca="false">$D$25/1000000</f>
        <v>93.16395104</v>
      </c>
      <c r="K67" s="193" t="n">
        <f aca="false">SUMIFS($T67:$CA67,$T$5:$CA$5,2030)</f>
        <v>3.91890703597303</v>
      </c>
      <c r="L67" s="193" t="n">
        <f aca="false">SUMIFS($T67:$CA67,$T$5:$CA$5,2026)</f>
        <v>0</v>
      </c>
      <c r="M67" s="193" t="n">
        <f aca="false">SUMIFS($T67:$CA67,$T$5:$CA$5,2027)</f>
        <v>0.979726758993259</v>
      </c>
      <c r="N67" s="193" t="n">
        <f aca="false">SUMIFS($T67:$CA67,$T$5:$CA$5,2028)</f>
        <v>3.91890703597303</v>
      </c>
      <c r="O67" s="193" t="n">
        <f aca="false">SUMIFS($T67:$CA67,$T$5:$CA$5,2029)</f>
        <v>3.91890703597303</v>
      </c>
      <c r="P67" s="193" t="n">
        <f aca="false">SUMIFS($T67:$CA67,$T$5:$CA$5,2030)</f>
        <v>3.91890703597303</v>
      </c>
      <c r="R67" s="10"/>
      <c r="T67" s="193" t="n">
        <f aca="false">($D$47)/1000000/12*T$61</f>
        <v>0</v>
      </c>
      <c r="U67" s="193" t="n">
        <f aca="false">($D$47)/1000000/12*U$61</f>
        <v>0</v>
      </c>
      <c r="V67" s="193" t="n">
        <f aca="false">($D$47)/1000000/12*V$61</f>
        <v>0</v>
      </c>
      <c r="W67" s="193" t="n">
        <f aca="false">($D$47)/1000000/12*W$61</f>
        <v>0</v>
      </c>
      <c r="X67" s="193" t="n">
        <f aca="false">($D$47)/1000000/12*X$61</f>
        <v>0</v>
      </c>
      <c r="Y67" s="193" t="n">
        <f aca="false">($D$47)/1000000/12*Y$61</f>
        <v>0</v>
      </c>
      <c r="Z67" s="193" t="n">
        <f aca="false">($D$47)/1000000/12*Z$61</f>
        <v>0</v>
      </c>
      <c r="AA67" s="193" t="n">
        <f aca="false">($D$47)/1000000/12*AA$61</f>
        <v>0</v>
      </c>
      <c r="AB67" s="193" t="n">
        <f aca="false">($D$47)/1000000/12*AB$61</f>
        <v>0</v>
      </c>
      <c r="AC67" s="193" t="n">
        <f aca="false">($D$47)/1000000/12*AC$61</f>
        <v>0</v>
      </c>
      <c r="AD67" s="193" t="n">
        <f aca="false">($D$47)/1000000/12*AD$61</f>
        <v>0</v>
      </c>
      <c r="AE67" s="193" t="n">
        <f aca="false">($D$47)/1000000/12*AE$61</f>
        <v>0</v>
      </c>
      <c r="AF67" s="193" t="n">
        <f aca="false">($D$47)/1000000/12*AF$61</f>
        <v>0</v>
      </c>
      <c r="AG67" s="193" t="n">
        <f aca="false">($D$47)/1000000/12*AG$61</f>
        <v>0</v>
      </c>
      <c r="AH67" s="193" t="n">
        <f aca="false">($D$47)/1000000/12*AH$61</f>
        <v>0</v>
      </c>
      <c r="AI67" s="193" t="n">
        <f aca="false">($D$47)/1000000/12*AI$61</f>
        <v>0</v>
      </c>
      <c r="AJ67" s="193" t="n">
        <f aca="false">($D$47)/1000000/12*AJ$61</f>
        <v>0</v>
      </c>
      <c r="AK67" s="193" t="n">
        <f aca="false">($D$47)/1000000/12*AK$61</f>
        <v>0</v>
      </c>
      <c r="AL67" s="193" t="n">
        <f aca="false">($D$47)/1000000/12*AL$61</f>
        <v>0.0272146321942572</v>
      </c>
      <c r="AM67" s="193" t="n">
        <f aca="false">($D$47)/1000000/12*AM$61</f>
        <v>0.0816438965827716</v>
      </c>
      <c r="AN67" s="193" t="n">
        <f aca="false">($D$47)/1000000/12*AN$61</f>
        <v>0.136073160971286</v>
      </c>
      <c r="AO67" s="193" t="n">
        <f aca="false">($D$47)/1000000/12*AO$61</f>
        <v>0.1905024253598</v>
      </c>
      <c r="AP67" s="193" t="n">
        <f aca="false">($D$47)/1000000/12*AP$61</f>
        <v>0.244931689748315</v>
      </c>
      <c r="AQ67" s="193" t="n">
        <f aca="false">($D$47)/1000000/12*AQ$61</f>
        <v>0.299360954136829</v>
      </c>
      <c r="AR67" s="193" t="n">
        <f aca="false">($D$47)/1000000/12*AR$61</f>
        <v>0.326575586331086</v>
      </c>
      <c r="AS67" s="193" t="n">
        <f aca="false">($D$47)/1000000/12*AS$61</f>
        <v>0.326575586331086</v>
      </c>
      <c r="AT67" s="193" t="n">
        <f aca="false">($D$47)/1000000/12*AT$61</f>
        <v>0.326575586331086</v>
      </c>
      <c r="AU67" s="193" t="n">
        <f aca="false">($D$47)/1000000/12*AU$61</f>
        <v>0.326575586331086</v>
      </c>
      <c r="AV67" s="193" t="n">
        <f aca="false">($D$47)/1000000/12*AV$61</f>
        <v>0.326575586331086</v>
      </c>
      <c r="AW67" s="193" t="n">
        <f aca="false">($D$47)/1000000/12*AW$61</f>
        <v>0.326575586331086</v>
      </c>
      <c r="AX67" s="193" t="n">
        <f aca="false">($D$47)/1000000/12*AX$61</f>
        <v>0.326575586331086</v>
      </c>
      <c r="AY67" s="193" t="n">
        <f aca="false">($D$47)/1000000/12*AY$61</f>
        <v>0.326575586331086</v>
      </c>
      <c r="AZ67" s="193" t="n">
        <f aca="false">($D$47)/1000000/12*AZ$61</f>
        <v>0.326575586331086</v>
      </c>
      <c r="BA67" s="193" t="n">
        <f aca="false">($D$47)/1000000/12*BA$61</f>
        <v>0.326575586331086</v>
      </c>
      <c r="BB67" s="193" t="n">
        <f aca="false">($D$47)/1000000/12*BB$61</f>
        <v>0.326575586331086</v>
      </c>
      <c r="BC67" s="193" t="n">
        <f aca="false">($D$47)/1000000/12*BC$61</f>
        <v>0.326575586331086</v>
      </c>
      <c r="BD67" s="193" t="n">
        <f aca="false">($D$47)/1000000/12*BD$61</f>
        <v>0.326575586331086</v>
      </c>
      <c r="BE67" s="193" t="n">
        <f aca="false">($D$47)/1000000/12*BE$61</f>
        <v>0.326575586331086</v>
      </c>
      <c r="BF67" s="193" t="n">
        <f aca="false">($D$47)/1000000/12*BF$61</f>
        <v>0.326575586331086</v>
      </c>
      <c r="BG67" s="193" t="n">
        <f aca="false">($D$47)/1000000/12*BG$61</f>
        <v>0.326575586331086</v>
      </c>
      <c r="BH67" s="193" t="n">
        <f aca="false">($D$47)/1000000/12*BH$61</f>
        <v>0.326575586331086</v>
      </c>
      <c r="BI67" s="193" t="n">
        <f aca="false">($D$47)/1000000/12*BI$61</f>
        <v>0.326575586331086</v>
      </c>
      <c r="BJ67" s="193" t="n">
        <f aca="false">($D$47)/1000000/12*BJ$61</f>
        <v>0.326575586331086</v>
      </c>
      <c r="BK67" s="193" t="n">
        <f aca="false">($D$47)/1000000/12*BK$61</f>
        <v>0.326575586331086</v>
      </c>
      <c r="BL67" s="193" t="n">
        <f aca="false">($D$47)/1000000/12*BL$61</f>
        <v>0.326575586331086</v>
      </c>
      <c r="BM67" s="193" t="n">
        <f aca="false">($D$47)/1000000/12*BM$61</f>
        <v>0.326575586331086</v>
      </c>
      <c r="BN67" s="193" t="n">
        <f aca="false">($D$47)/1000000/12*BN$61</f>
        <v>0.326575586331086</v>
      </c>
      <c r="BO67" s="193" t="n">
        <f aca="false">($D$47)/1000000/12*BO$61</f>
        <v>0.326575586331086</v>
      </c>
      <c r="BP67" s="193" t="n">
        <f aca="false">($D$47)/1000000/12*BP$61</f>
        <v>0.326575586331086</v>
      </c>
      <c r="BQ67" s="193" t="n">
        <f aca="false">($D$47)/1000000/12*BQ$61</f>
        <v>0.326575586331086</v>
      </c>
      <c r="BR67" s="193" t="n">
        <f aca="false">($D$47)/1000000/12*BR$61</f>
        <v>0.326575586331086</v>
      </c>
      <c r="BS67" s="193" t="n">
        <f aca="false">($D$47)/1000000/12*BS$61</f>
        <v>0.326575586331086</v>
      </c>
      <c r="BT67" s="193" t="n">
        <f aca="false">($D$47)/1000000/12*BT$61</f>
        <v>0.326575586331086</v>
      </c>
      <c r="BU67" s="193" t="n">
        <f aca="false">($D$47)/1000000/12*BU$61</f>
        <v>0.326575586331086</v>
      </c>
      <c r="BV67" s="193" t="n">
        <f aca="false">($D$47)/1000000/12*BV$61</f>
        <v>0.326575586331086</v>
      </c>
      <c r="BW67" s="193" t="n">
        <f aca="false">($D$47)/1000000/12*BW$61</f>
        <v>0.326575586331086</v>
      </c>
      <c r="BX67" s="193" t="n">
        <f aca="false">($D$47)/1000000/12*BX$61</f>
        <v>0.326575586331086</v>
      </c>
      <c r="BY67" s="193" t="n">
        <f aca="false">($D$47)/1000000/12*BY$61</f>
        <v>0.326575586331086</v>
      </c>
      <c r="BZ67" s="193" t="n">
        <f aca="false">($D$47)/1000000/12*BZ$61</f>
        <v>0.326575586331086</v>
      </c>
      <c r="CA67" s="193" t="n">
        <f aca="false">($D$47)/1000000/12*CA$61</f>
        <v>0.326575586331086</v>
      </c>
    </row>
    <row r="68" customFormat="false" ht="15" hidden="false" customHeight="false" outlineLevel="0" collapsed="false">
      <c r="B68" s="10" t="s">
        <v>636</v>
      </c>
      <c r="D68" s="193" t="n">
        <f aca="false">$D$48/1000000</f>
        <v>89.245044004027</v>
      </c>
      <c r="K68" s="193" t="n">
        <f aca="false">SUMIFS($T68:$CA68,$T$5:$CA$5,2030)</f>
        <v>3.73554255616857</v>
      </c>
      <c r="L68" s="193" t="n">
        <f aca="false">SUMIFS($T68:$CA68,$T$5:$CA$5,2026)</f>
        <v>0</v>
      </c>
      <c r="M68" s="193" t="n">
        <f aca="false">SUMIFS($T68:$CA68,$T$5:$CA$5,2027)</f>
        <v>0.933885639042142</v>
      </c>
      <c r="N68" s="193" t="n">
        <f aca="false">SUMIFS($T68:$CA68,$T$5:$CA$5,2028)</f>
        <v>3.73554255616857</v>
      </c>
      <c r="O68" s="193" t="n">
        <f aca="false">SUMIFS($T68:$CA68,$T$5:$CA$5,2029)</f>
        <v>3.73554255616857</v>
      </c>
      <c r="P68" s="193" t="n">
        <f aca="false">SUMIFS($T68:$CA68,$T$5:$CA$5,2030)</f>
        <v>3.73554255616857</v>
      </c>
      <c r="R68" s="10"/>
      <c r="T68" s="193" t="n">
        <f aca="false">($D$53)/1000000/12*T$61</f>
        <v>0</v>
      </c>
      <c r="U68" s="193" t="n">
        <f aca="false">($D$53)/1000000/12*U$61</f>
        <v>0</v>
      </c>
      <c r="V68" s="193" t="n">
        <f aca="false">($D$53)/1000000/12*V$61</f>
        <v>0</v>
      </c>
      <c r="W68" s="193" t="n">
        <f aca="false">($D$53)/1000000/12*W$61</f>
        <v>0</v>
      </c>
      <c r="X68" s="193" t="n">
        <f aca="false">($D$53)/1000000/12*X$61</f>
        <v>0</v>
      </c>
      <c r="Y68" s="193" t="n">
        <f aca="false">($D$53)/1000000/12*Y$61</f>
        <v>0</v>
      </c>
      <c r="Z68" s="193" t="n">
        <f aca="false">($D$53)/1000000/12*Z$61</f>
        <v>0</v>
      </c>
      <c r="AA68" s="193" t="n">
        <f aca="false">($D$53)/1000000/12*AA$61</f>
        <v>0</v>
      </c>
      <c r="AB68" s="193" t="n">
        <f aca="false">($D$53)/1000000/12*AB$61</f>
        <v>0</v>
      </c>
      <c r="AC68" s="193" t="n">
        <f aca="false">($D$53)/1000000/12*AC$61</f>
        <v>0</v>
      </c>
      <c r="AD68" s="193" t="n">
        <f aca="false">($D$53)/1000000/12*AD$61</f>
        <v>0</v>
      </c>
      <c r="AE68" s="193" t="n">
        <f aca="false">($D$53)/1000000/12*AE$61</f>
        <v>0</v>
      </c>
      <c r="AF68" s="193" t="n">
        <f aca="false">($D$53)/1000000/12*AF$61</f>
        <v>0</v>
      </c>
      <c r="AG68" s="193" t="n">
        <f aca="false">($D$53)/1000000/12*AG$61</f>
        <v>0</v>
      </c>
      <c r="AH68" s="193" t="n">
        <f aca="false">($D$53)/1000000/12*AH$61</f>
        <v>0</v>
      </c>
      <c r="AI68" s="193" t="n">
        <f aca="false">($D$53)/1000000/12*AI$61</f>
        <v>0</v>
      </c>
      <c r="AJ68" s="193" t="n">
        <f aca="false">($D$53)/1000000/12*AJ$61</f>
        <v>0</v>
      </c>
      <c r="AK68" s="193" t="n">
        <f aca="false">($D$53)/1000000/12*AK$61</f>
        <v>0</v>
      </c>
      <c r="AL68" s="193" t="n">
        <f aca="false">($D$53)/1000000/12*AL$61</f>
        <v>0.0259412677511706</v>
      </c>
      <c r="AM68" s="193" t="n">
        <f aca="false">($D$53)/1000000/12*AM$61</f>
        <v>0.0778238032535118</v>
      </c>
      <c r="AN68" s="193" t="n">
        <f aca="false">($D$53)/1000000/12*AN$61</f>
        <v>0.129706338755853</v>
      </c>
      <c r="AO68" s="193" t="n">
        <f aca="false">($D$53)/1000000/12*AO$61</f>
        <v>0.181588874258194</v>
      </c>
      <c r="AP68" s="193" t="n">
        <f aca="false">($D$53)/1000000/12*AP$61</f>
        <v>0.233471409760535</v>
      </c>
      <c r="AQ68" s="193" t="n">
        <f aca="false">($D$53)/1000000/12*AQ$61</f>
        <v>0.285353945262877</v>
      </c>
      <c r="AR68" s="193" t="n">
        <f aca="false">($D$53)/1000000/12*AR$61</f>
        <v>0.311295213014047</v>
      </c>
      <c r="AS68" s="193" t="n">
        <f aca="false">($D$53)/1000000/12*AS$61</f>
        <v>0.311295213014047</v>
      </c>
      <c r="AT68" s="193" t="n">
        <f aca="false">($D$53)/1000000/12*AT$61</f>
        <v>0.311295213014047</v>
      </c>
      <c r="AU68" s="193" t="n">
        <f aca="false">($D$53)/1000000/12*AU$61</f>
        <v>0.311295213014047</v>
      </c>
      <c r="AV68" s="193" t="n">
        <f aca="false">($D$53)/1000000/12*AV$61</f>
        <v>0.311295213014047</v>
      </c>
      <c r="AW68" s="193" t="n">
        <f aca="false">($D$53)/1000000/12*AW$61</f>
        <v>0.311295213014047</v>
      </c>
      <c r="AX68" s="193" t="n">
        <f aca="false">($D$53)/1000000/12*AX$61</f>
        <v>0.311295213014047</v>
      </c>
      <c r="AY68" s="193" t="n">
        <f aca="false">($D$53)/1000000/12*AY$61</f>
        <v>0.311295213014047</v>
      </c>
      <c r="AZ68" s="193" t="n">
        <f aca="false">($D$53)/1000000/12*AZ$61</f>
        <v>0.311295213014047</v>
      </c>
      <c r="BA68" s="193" t="n">
        <f aca="false">($D$53)/1000000/12*BA$61</f>
        <v>0.311295213014047</v>
      </c>
      <c r="BB68" s="193" t="n">
        <f aca="false">($D$53)/1000000/12*BB$61</f>
        <v>0.311295213014047</v>
      </c>
      <c r="BC68" s="193" t="n">
        <f aca="false">($D$53)/1000000/12*BC$61</f>
        <v>0.311295213014047</v>
      </c>
      <c r="BD68" s="193" t="n">
        <f aca="false">($D$53)/1000000/12*BD$61</f>
        <v>0.311295213014047</v>
      </c>
      <c r="BE68" s="193" t="n">
        <f aca="false">($D$53)/1000000/12*BE$61</f>
        <v>0.311295213014047</v>
      </c>
      <c r="BF68" s="193" t="n">
        <f aca="false">($D$53)/1000000/12*BF$61</f>
        <v>0.311295213014047</v>
      </c>
      <c r="BG68" s="193" t="n">
        <f aca="false">($D$53)/1000000/12*BG$61</f>
        <v>0.311295213014047</v>
      </c>
      <c r="BH68" s="193" t="n">
        <f aca="false">($D$53)/1000000/12*BH$61</f>
        <v>0.311295213014047</v>
      </c>
      <c r="BI68" s="193" t="n">
        <f aca="false">($D$53)/1000000/12*BI$61</f>
        <v>0.311295213014047</v>
      </c>
      <c r="BJ68" s="193" t="n">
        <f aca="false">($D$53)/1000000/12*BJ$61</f>
        <v>0.311295213014047</v>
      </c>
      <c r="BK68" s="193" t="n">
        <f aca="false">($D$53)/1000000/12*BK$61</f>
        <v>0.311295213014047</v>
      </c>
      <c r="BL68" s="193" t="n">
        <f aca="false">($D$53)/1000000/12*BL$61</f>
        <v>0.311295213014047</v>
      </c>
      <c r="BM68" s="193" t="n">
        <f aca="false">($D$53)/1000000/12*BM$61</f>
        <v>0.311295213014047</v>
      </c>
      <c r="BN68" s="193" t="n">
        <f aca="false">($D$53)/1000000/12*BN$61</f>
        <v>0.311295213014047</v>
      </c>
      <c r="BO68" s="193" t="n">
        <f aca="false">($D$53)/1000000/12*BO$61</f>
        <v>0.311295213014047</v>
      </c>
      <c r="BP68" s="193" t="n">
        <f aca="false">($D$53)/1000000/12*BP$61</f>
        <v>0.311295213014047</v>
      </c>
      <c r="BQ68" s="193" t="n">
        <f aca="false">($D$53)/1000000/12*BQ$61</f>
        <v>0.311295213014047</v>
      </c>
      <c r="BR68" s="193" t="n">
        <f aca="false">($D$53)/1000000/12*BR$61</f>
        <v>0.311295213014047</v>
      </c>
      <c r="BS68" s="193" t="n">
        <f aca="false">($D$53)/1000000/12*BS$61</f>
        <v>0.311295213014047</v>
      </c>
      <c r="BT68" s="193" t="n">
        <f aca="false">($D$53)/1000000/12*BT$61</f>
        <v>0.311295213014047</v>
      </c>
      <c r="BU68" s="193" t="n">
        <f aca="false">($D$53)/1000000/12*BU$61</f>
        <v>0.311295213014047</v>
      </c>
      <c r="BV68" s="193" t="n">
        <f aca="false">($D$53)/1000000/12*BV$61</f>
        <v>0.311295213014047</v>
      </c>
      <c r="BW68" s="193" t="n">
        <f aca="false">($D$53)/1000000/12*BW$61</f>
        <v>0.311295213014047</v>
      </c>
      <c r="BX68" s="193" t="n">
        <f aca="false">($D$53)/1000000/12*BX$61</f>
        <v>0.311295213014047</v>
      </c>
      <c r="BY68" s="193" t="n">
        <f aca="false">($D$53)/1000000/12*BY$61</f>
        <v>0.311295213014047</v>
      </c>
      <c r="BZ68" s="193" t="n">
        <f aca="false">($D$53)/1000000/12*BZ$61</f>
        <v>0.311295213014047</v>
      </c>
      <c r="CA68" s="193" t="n">
        <f aca="false">($D$53)/1000000/12*CA$61</f>
        <v>0.311295213014047</v>
      </c>
    </row>
    <row r="69" customFormat="false" ht="15" hidden="false" customHeight="false" outlineLevel="0" collapsed="false">
      <c r="B69" s="3" t="s">
        <v>326</v>
      </c>
      <c r="K69" s="193" t="n">
        <f aca="false">SUM(K67:K68)</f>
        <v>7.6544495921416</v>
      </c>
      <c r="L69" s="193" t="n">
        <f aca="false">SUM(L67:L68)</f>
        <v>0</v>
      </c>
      <c r="M69" s="193" t="n">
        <f aca="false">SUM(M67:M68)</f>
        <v>1.9136123980354</v>
      </c>
      <c r="N69" s="193" t="n">
        <f aca="false">SUM(N67:N68)</f>
        <v>7.6544495921416</v>
      </c>
      <c r="O69" s="193" t="n">
        <f aca="false">SUM(O67:O68)</f>
        <v>7.6544495921416</v>
      </c>
      <c r="P69" s="193" t="n">
        <f aca="false">SUM(P67:P68)</f>
        <v>7.6544495921416</v>
      </c>
    </row>
    <row r="71" customFormat="false" ht="18" hidden="false" customHeight="true" outlineLevel="0" collapsed="false">
      <c r="B71" s="5" t="s">
        <v>327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</row>
    <row r="73" customFormat="false" ht="15" hidden="false" customHeight="false" outlineLevel="0" collapsed="false">
      <c r="B73" s="184" t="s">
        <v>637</v>
      </c>
    </row>
    <row r="74" customFormat="false" ht="22.35" hidden="false" customHeight="false" outlineLevel="0" collapsed="false">
      <c r="B74" s="169" t="s">
        <v>221</v>
      </c>
      <c r="C74" s="169" t="s">
        <v>328</v>
      </c>
      <c r="D74" s="169" t="s">
        <v>329</v>
      </c>
      <c r="E74" s="169" t="s">
        <v>330</v>
      </c>
      <c r="F74" s="169" t="s">
        <v>331</v>
      </c>
      <c r="G74" s="169" t="s">
        <v>332</v>
      </c>
      <c r="H74" s="169" t="s">
        <v>333</v>
      </c>
      <c r="I74" s="169" t="s">
        <v>334</v>
      </c>
      <c r="K74" s="169" t="s">
        <v>335</v>
      </c>
    </row>
    <row r="75" customFormat="false" ht="30" hidden="false" customHeight="true" outlineLevel="0" collapsed="false">
      <c r="C75" s="185" t="s">
        <v>336</v>
      </c>
      <c r="E75" s="185" t="s">
        <v>337</v>
      </c>
      <c r="F75" s="185" t="s">
        <v>338</v>
      </c>
      <c r="G75" s="185" t="s">
        <v>339</v>
      </c>
      <c r="I75" s="185" t="s">
        <v>340</v>
      </c>
    </row>
    <row r="76" customFormat="false" ht="42" hidden="false" customHeight="true" outlineLevel="0" collapsed="false">
      <c r="B76" s="186" t="s">
        <v>224</v>
      </c>
      <c r="C76" s="194" t="s">
        <v>638</v>
      </c>
      <c r="D76" s="183" t="n">
        <v>3</v>
      </c>
      <c r="E76" s="183" t="n">
        <v>1</v>
      </c>
      <c r="F76" s="168" t="n">
        <v>0.1</v>
      </c>
      <c r="G76" s="159" t="n">
        <f aca="false">D76*E76*IF(K76="",'Rate Card'!$G$29,K76)*(1+F76)</f>
        <v>55000</v>
      </c>
      <c r="H76" s="178" t="n">
        <f aca="false">DATE(2027,1,1)</f>
        <v>46388</v>
      </c>
      <c r="I76" s="195" t="n">
        <f aca="false">'Rate Card'!$C$45</f>
        <v>0</v>
      </c>
      <c r="K76" s="158"/>
    </row>
    <row r="77" customFormat="false" ht="42" hidden="false" customHeight="true" outlineLevel="0" collapsed="false">
      <c r="B77" s="186" t="s">
        <v>225</v>
      </c>
      <c r="C77" s="194" t="s">
        <v>546</v>
      </c>
      <c r="D77" s="183" t="n">
        <v>8</v>
      </c>
      <c r="E77" s="183" t="n">
        <v>5</v>
      </c>
      <c r="F77" s="168" t="n">
        <v>0.1</v>
      </c>
      <c r="G77" s="159" t="n">
        <f aca="false">D77*E77*IF(K77="",'Rate Card'!$G$29,K77)*(1+F77)</f>
        <v>733333.333333334</v>
      </c>
      <c r="H77" s="178" t="n">
        <f aca="false">DATE(2027,2,1)</f>
        <v>46419</v>
      </c>
      <c r="I77" s="195" t="n">
        <f aca="false">'Rate Card'!$C$46</f>
        <v>0</v>
      </c>
      <c r="K77" s="158"/>
    </row>
    <row r="78" customFormat="false" ht="42" hidden="false" customHeight="true" outlineLevel="0" collapsed="false">
      <c r="B78" s="186" t="s">
        <v>226</v>
      </c>
      <c r="C78" s="194" t="s">
        <v>639</v>
      </c>
      <c r="D78" s="183" t="n">
        <v>4</v>
      </c>
      <c r="E78" s="183" t="n">
        <v>6</v>
      </c>
      <c r="F78" s="168" t="n">
        <v>0.1</v>
      </c>
      <c r="G78" s="159" t="n">
        <f aca="false">D78*E78*IF(K78="",'Rate Card'!$G$29,K78)*(1+F78)</f>
        <v>440000</v>
      </c>
      <c r="H78" s="178" t="n">
        <f aca="false">DATE(2027,7,1)</f>
        <v>46569</v>
      </c>
      <c r="I78" s="195" t="n">
        <f aca="false">'Rate Card'!$C$47</f>
        <v>0</v>
      </c>
      <c r="K78" s="158"/>
    </row>
    <row r="79" customFormat="false" ht="42" hidden="false" customHeight="true" outlineLevel="0" collapsed="false">
      <c r="B79" s="186" t="s">
        <v>227</v>
      </c>
      <c r="C79" s="194" t="s">
        <v>544</v>
      </c>
      <c r="D79" s="183" t="n">
        <v>0</v>
      </c>
      <c r="E79" s="183" t="n">
        <v>0</v>
      </c>
      <c r="F79" s="168" t="n">
        <v>0.1</v>
      </c>
      <c r="G79" s="159" t="n">
        <f aca="false">D79*E79*IF(K79="",'Rate Card'!$G$29,K79)*(1+F79)</f>
        <v>0</v>
      </c>
      <c r="H79" s="178" t="n">
        <f aca="false">DATE(2028,1,1)</f>
        <v>46753</v>
      </c>
      <c r="I79" s="195" t="n">
        <f aca="false">'Rate Card'!$C$48</f>
        <v>0</v>
      </c>
      <c r="K79" s="158"/>
    </row>
    <row r="81" customFormat="false" ht="15" hidden="false" customHeight="false" outlineLevel="0" collapsed="false">
      <c r="B81" s="184" t="s">
        <v>640</v>
      </c>
    </row>
    <row r="82" customFormat="false" ht="22.35" hidden="false" customHeight="false" outlineLevel="0" collapsed="false">
      <c r="B82" s="169" t="s">
        <v>221</v>
      </c>
      <c r="C82" s="169" t="s">
        <v>328</v>
      </c>
      <c r="D82" s="169" t="s">
        <v>329</v>
      </c>
      <c r="E82" s="169" t="s">
        <v>330</v>
      </c>
      <c r="F82" s="169" t="s">
        <v>331</v>
      </c>
      <c r="G82" s="169" t="s">
        <v>332</v>
      </c>
      <c r="H82" s="169" t="s">
        <v>333</v>
      </c>
      <c r="I82" s="169" t="s">
        <v>334</v>
      </c>
      <c r="K82" s="169" t="s">
        <v>335</v>
      </c>
    </row>
    <row r="83" customFormat="false" ht="42" hidden="false" customHeight="true" outlineLevel="0" collapsed="false">
      <c r="B83" s="186" t="s">
        <v>224</v>
      </c>
      <c r="C83" s="194" t="s">
        <v>638</v>
      </c>
      <c r="D83" s="183" t="n">
        <v>3</v>
      </c>
      <c r="E83" s="183" t="n">
        <v>1</v>
      </c>
      <c r="F83" s="168" t="n">
        <v>0.1</v>
      </c>
      <c r="G83" s="159" t="n">
        <f aca="false">D83*E83*IF(K83="",'Rate Card'!$G$29,K83)*(1+F83)</f>
        <v>55000</v>
      </c>
      <c r="H83" s="178" t="n">
        <f aca="false">DATE(2027,1,1)</f>
        <v>46388</v>
      </c>
      <c r="I83" s="195" t="n">
        <f aca="false">'Rate Card'!$C$45</f>
        <v>0</v>
      </c>
      <c r="K83" s="158"/>
    </row>
    <row r="84" customFormat="false" ht="42" hidden="false" customHeight="true" outlineLevel="0" collapsed="false">
      <c r="B84" s="186" t="s">
        <v>225</v>
      </c>
      <c r="C84" s="194" t="s">
        <v>546</v>
      </c>
      <c r="D84" s="183" t="n">
        <v>8</v>
      </c>
      <c r="E84" s="183" t="n">
        <v>5</v>
      </c>
      <c r="F84" s="168" t="n">
        <v>0.1</v>
      </c>
      <c r="G84" s="159" t="n">
        <f aca="false">D84*E84*IF(K84="",'Rate Card'!$G$29,K84)*(1+F84)</f>
        <v>733333.333333334</v>
      </c>
      <c r="H84" s="178" t="n">
        <f aca="false">DATE(2027,2,1)</f>
        <v>46419</v>
      </c>
      <c r="I84" s="195" t="n">
        <f aca="false">'Rate Card'!$C$46</f>
        <v>0</v>
      </c>
      <c r="K84" s="158"/>
    </row>
    <row r="85" customFormat="false" ht="42" hidden="false" customHeight="true" outlineLevel="0" collapsed="false">
      <c r="B85" s="186" t="s">
        <v>226</v>
      </c>
      <c r="C85" s="194" t="s">
        <v>639</v>
      </c>
      <c r="D85" s="183" t="n">
        <v>4</v>
      </c>
      <c r="E85" s="183" t="n">
        <v>6</v>
      </c>
      <c r="F85" s="168" t="n">
        <v>0.1</v>
      </c>
      <c r="G85" s="159" t="n">
        <f aca="false">D85*E85*IF(K85="",'Rate Card'!$G$29,K85)*(1+F85)</f>
        <v>440000</v>
      </c>
      <c r="H85" s="178" t="n">
        <f aca="false">DATE(2027,7,1)</f>
        <v>46569</v>
      </c>
      <c r="I85" s="195" t="n">
        <f aca="false">'Rate Card'!$C$47</f>
        <v>0</v>
      </c>
      <c r="K85" s="158"/>
    </row>
    <row r="86" customFormat="false" ht="42" hidden="false" customHeight="true" outlineLevel="0" collapsed="false">
      <c r="B86" s="186" t="s">
        <v>227</v>
      </c>
      <c r="C86" s="194" t="s">
        <v>544</v>
      </c>
      <c r="D86" s="183" t="n">
        <v>0</v>
      </c>
      <c r="E86" s="183" t="n">
        <v>0</v>
      </c>
      <c r="F86" s="168" t="n">
        <v>0.1</v>
      </c>
      <c r="G86" s="159" t="n">
        <f aca="false">D86*E86*IF(K86="",'Rate Card'!$G$29,K86)*(1+F86)</f>
        <v>0</v>
      </c>
      <c r="H86" s="178" t="n">
        <f aca="false">DATE(2028,1,1)</f>
        <v>46753</v>
      </c>
      <c r="I86" s="195" t="n">
        <f aca="false">'Rate Card'!$C$48</f>
        <v>0</v>
      </c>
      <c r="K86" s="158"/>
    </row>
    <row r="88" customFormat="false" ht="15" hidden="false" customHeight="false" outlineLevel="0" collapsed="false">
      <c r="B88" s="167" t="s">
        <v>345</v>
      </c>
    </row>
    <row r="89" customFormat="false" ht="15" hidden="false" customHeight="false" outlineLevel="0" collapsed="false">
      <c r="B89" s="196" t="s">
        <v>641</v>
      </c>
      <c r="T89" s="159" t="n">
        <f aca="false">IF(AND(T$6&gt;=EOMONTH($H$76,0),T$6&lt;=EOMONTH(EDATE($H$76,$E$76-1),0)),$G$76/MAX($E$76,1),0)</f>
        <v>0</v>
      </c>
      <c r="U89" s="159" t="n">
        <f aca="false">IF(AND(U$6&gt;=EOMONTH($H$76,0),U$6&lt;=EOMONTH(EDATE($H$76,$E$76-1),0)),$G$76/MAX($E$76,1),0)</f>
        <v>0</v>
      </c>
      <c r="V89" s="159" t="n">
        <f aca="false">IF(AND(V$6&gt;=EOMONTH($H$76,0),V$6&lt;=EOMONTH(EDATE($H$76,$E$76-1),0)),$G$76/MAX($E$76,1),0)</f>
        <v>0</v>
      </c>
      <c r="W89" s="159" t="n">
        <f aca="false">IF(AND(W$6&gt;=EOMONTH($H$76,0),W$6&lt;=EOMONTH(EDATE($H$76,$E$76-1),0)),$G$76/MAX($E$76,1),0)</f>
        <v>0</v>
      </c>
      <c r="X89" s="159" t="n">
        <f aca="false">IF(AND(X$6&gt;=EOMONTH($H$76,0),X$6&lt;=EOMONTH(EDATE($H$76,$E$76-1),0)),$G$76/MAX($E$76,1),0)</f>
        <v>0</v>
      </c>
      <c r="Y89" s="159" t="n">
        <f aca="false">IF(AND(Y$6&gt;=EOMONTH($H$76,0),Y$6&lt;=EOMONTH(EDATE($H$76,$E$76-1),0)),$G$76/MAX($E$76,1),0)</f>
        <v>0</v>
      </c>
      <c r="Z89" s="159" t="n">
        <f aca="false">IF(AND(Z$6&gt;=EOMONTH($H$76,0),Z$6&lt;=EOMONTH(EDATE($H$76,$E$76-1),0)),$G$76/MAX($E$76,1),0)</f>
        <v>0</v>
      </c>
      <c r="AA89" s="159" t="n">
        <f aca="false">IF(AND(AA$6&gt;=EOMONTH($H$76,0),AA$6&lt;=EOMONTH(EDATE($H$76,$E$76-1),0)),$G$76/MAX($E$76,1),0)</f>
        <v>0</v>
      </c>
      <c r="AB89" s="159" t="n">
        <f aca="false">IF(AND(AB$6&gt;=EOMONTH($H$76,0),AB$6&lt;=EOMONTH(EDATE($H$76,$E$76-1),0)),$G$76/MAX($E$76,1),0)</f>
        <v>0</v>
      </c>
      <c r="AC89" s="159" t="n">
        <f aca="false">IF(AND(AC$6&gt;=EOMONTH($H$76,0),AC$6&lt;=EOMONTH(EDATE($H$76,$E$76-1),0)),$G$76/MAX($E$76,1),0)</f>
        <v>0</v>
      </c>
      <c r="AD89" s="159" t="n">
        <f aca="false">IF(AND(AD$6&gt;=EOMONTH($H$76,0),AD$6&lt;=EOMONTH(EDATE($H$76,$E$76-1),0)),$G$76/MAX($E$76,1),0)</f>
        <v>0</v>
      </c>
      <c r="AE89" s="159" t="n">
        <f aca="false">IF(AND(AE$6&gt;=EOMONTH($H$76,0),AE$6&lt;=EOMONTH(EDATE($H$76,$E$76-1),0)),$G$76/MAX($E$76,1),0)</f>
        <v>0</v>
      </c>
      <c r="AF89" s="159" t="n">
        <f aca="false">IF(AND(AF$6&gt;=EOMONTH($H$76,0),AF$6&lt;=EOMONTH(EDATE($H$76,$E$76-1),0)),$G$76/MAX($E$76,1),0)</f>
        <v>55000</v>
      </c>
      <c r="AG89" s="159" t="n">
        <f aca="false">IF(AND(AG$6&gt;=EOMONTH($H$76,0),AG$6&lt;=EOMONTH(EDATE($H$76,$E$76-1),0)),$G$76/MAX($E$76,1),0)</f>
        <v>0</v>
      </c>
      <c r="AH89" s="159" t="n">
        <f aca="false">IF(AND(AH$6&gt;=EOMONTH($H$76,0),AH$6&lt;=EOMONTH(EDATE($H$76,$E$76-1),0)),$G$76/MAX($E$76,1),0)</f>
        <v>0</v>
      </c>
      <c r="AI89" s="159" t="n">
        <f aca="false">IF(AND(AI$6&gt;=EOMONTH($H$76,0),AI$6&lt;=EOMONTH(EDATE($H$76,$E$76-1),0)),$G$76/MAX($E$76,1),0)</f>
        <v>0</v>
      </c>
      <c r="AJ89" s="159" t="n">
        <f aca="false">IF(AND(AJ$6&gt;=EOMONTH($H$76,0),AJ$6&lt;=EOMONTH(EDATE($H$76,$E$76-1),0)),$G$76/MAX($E$76,1),0)</f>
        <v>0</v>
      </c>
      <c r="AK89" s="159" t="n">
        <f aca="false">IF(AND(AK$6&gt;=EOMONTH($H$76,0),AK$6&lt;=EOMONTH(EDATE($H$76,$E$76-1),0)),$G$76/MAX($E$76,1),0)</f>
        <v>0</v>
      </c>
      <c r="AL89" s="159" t="n">
        <f aca="false">IF(AND(AL$6&gt;=EOMONTH($H$76,0),AL$6&lt;=EOMONTH(EDATE($H$76,$E$76-1),0)),$G$76/MAX($E$76,1),0)</f>
        <v>0</v>
      </c>
      <c r="AM89" s="159" t="n">
        <f aca="false">IF(AND(AM$6&gt;=EOMONTH($H$76,0),AM$6&lt;=EOMONTH(EDATE($H$76,$E$76-1),0)),$G$76/MAX($E$76,1),0)</f>
        <v>0</v>
      </c>
      <c r="AN89" s="159" t="n">
        <f aca="false">IF(AND(AN$6&gt;=EOMONTH($H$76,0),AN$6&lt;=EOMONTH(EDATE($H$76,$E$76-1),0)),$G$76/MAX($E$76,1),0)</f>
        <v>0</v>
      </c>
      <c r="AO89" s="159" t="n">
        <f aca="false">IF(AND(AO$6&gt;=EOMONTH($H$76,0),AO$6&lt;=EOMONTH(EDATE($H$76,$E$76-1),0)),$G$76/MAX($E$76,1),0)</f>
        <v>0</v>
      </c>
      <c r="AP89" s="159" t="n">
        <f aca="false">IF(AND(AP$6&gt;=EOMONTH($H$76,0),AP$6&lt;=EOMONTH(EDATE($H$76,$E$76-1),0)),$G$76/MAX($E$76,1),0)</f>
        <v>0</v>
      </c>
      <c r="AQ89" s="159" t="n">
        <f aca="false">IF(AND(AQ$6&gt;=EOMONTH($H$76,0),AQ$6&lt;=EOMONTH(EDATE($H$76,$E$76-1),0)),$G$76/MAX($E$76,1),0)</f>
        <v>0</v>
      </c>
      <c r="AR89" s="159" t="n">
        <f aca="false">IF(AND(AR$6&gt;=EOMONTH($H$76,0),AR$6&lt;=EOMONTH(EDATE($H$76,$E$76-1),0)),$G$76/MAX($E$76,1),0)</f>
        <v>0</v>
      </c>
      <c r="AS89" s="159" t="n">
        <f aca="false">IF(AND(AS$6&gt;=EOMONTH($H$76,0),AS$6&lt;=EOMONTH(EDATE($H$76,$E$76-1),0)),$G$76/MAX($E$76,1),0)</f>
        <v>0</v>
      </c>
      <c r="AT89" s="159" t="n">
        <f aca="false">IF(AND(AT$6&gt;=EOMONTH($H$76,0),AT$6&lt;=EOMONTH(EDATE($H$76,$E$76-1),0)),$G$76/MAX($E$76,1),0)</f>
        <v>0</v>
      </c>
      <c r="AU89" s="159" t="n">
        <f aca="false">IF(AND(AU$6&gt;=EOMONTH($H$76,0),AU$6&lt;=EOMONTH(EDATE($H$76,$E$76-1),0)),$G$76/MAX($E$76,1),0)</f>
        <v>0</v>
      </c>
      <c r="AV89" s="159" t="n">
        <f aca="false">IF(AND(AV$6&gt;=EOMONTH($H$76,0),AV$6&lt;=EOMONTH(EDATE($H$76,$E$76-1),0)),$G$76/MAX($E$76,1),0)</f>
        <v>0</v>
      </c>
      <c r="AW89" s="159" t="n">
        <f aca="false">IF(AND(AW$6&gt;=EOMONTH($H$76,0),AW$6&lt;=EOMONTH(EDATE($H$76,$E$76-1),0)),$G$76/MAX($E$76,1),0)</f>
        <v>0</v>
      </c>
      <c r="AX89" s="159" t="n">
        <f aca="false">IF(AND(AX$6&gt;=EOMONTH($H$76,0),AX$6&lt;=EOMONTH(EDATE($H$76,$E$76-1),0)),$G$76/MAX($E$76,1),0)</f>
        <v>0</v>
      </c>
      <c r="AY89" s="159" t="n">
        <f aca="false">IF(AND(AY$6&gt;=EOMONTH($H$76,0),AY$6&lt;=EOMONTH(EDATE($H$76,$E$76-1),0)),$G$76/MAX($E$76,1),0)</f>
        <v>0</v>
      </c>
      <c r="AZ89" s="159" t="n">
        <f aca="false">IF(AND(AZ$6&gt;=EOMONTH($H$76,0),AZ$6&lt;=EOMONTH(EDATE($H$76,$E$76-1),0)),$G$76/MAX($E$76,1),0)</f>
        <v>0</v>
      </c>
      <c r="BA89" s="159" t="n">
        <f aca="false">IF(AND(BA$6&gt;=EOMONTH($H$76,0),BA$6&lt;=EOMONTH(EDATE($H$76,$E$76-1),0)),$G$76/MAX($E$76,1),0)</f>
        <v>0</v>
      </c>
      <c r="BB89" s="159" t="n">
        <f aca="false">IF(AND(BB$6&gt;=EOMONTH($H$76,0),BB$6&lt;=EOMONTH(EDATE($H$76,$E$76-1),0)),$G$76/MAX($E$76,1),0)</f>
        <v>0</v>
      </c>
      <c r="BC89" s="159" t="n">
        <f aca="false">IF(AND(BC$6&gt;=EOMONTH($H$76,0),BC$6&lt;=EOMONTH(EDATE($H$76,$E$76-1),0)),$G$76/MAX($E$76,1),0)</f>
        <v>0</v>
      </c>
      <c r="BD89" s="159" t="n">
        <f aca="false">IF(AND(BD$6&gt;=EOMONTH($H$76,0),BD$6&lt;=EOMONTH(EDATE($H$76,$E$76-1),0)),$G$76/MAX($E$76,1),0)</f>
        <v>0</v>
      </c>
      <c r="BE89" s="159" t="n">
        <f aca="false">IF(AND(BE$6&gt;=EOMONTH($H$76,0),BE$6&lt;=EOMONTH(EDATE($H$76,$E$76-1),0)),$G$76/MAX($E$76,1),0)</f>
        <v>0</v>
      </c>
      <c r="BF89" s="159" t="n">
        <f aca="false">IF(AND(BF$6&gt;=EOMONTH($H$76,0),BF$6&lt;=EOMONTH(EDATE($H$76,$E$76-1),0)),$G$76/MAX($E$76,1),0)</f>
        <v>0</v>
      </c>
      <c r="BG89" s="159" t="n">
        <f aca="false">IF(AND(BG$6&gt;=EOMONTH($H$76,0),BG$6&lt;=EOMONTH(EDATE($H$76,$E$76-1),0)),$G$76/MAX($E$76,1),0)</f>
        <v>0</v>
      </c>
      <c r="BH89" s="159" t="n">
        <f aca="false">IF(AND(BH$6&gt;=EOMONTH($H$76,0),BH$6&lt;=EOMONTH(EDATE($H$76,$E$76-1),0)),$G$76/MAX($E$76,1),0)</f>
        <v>0</v>
      </c>
      <c r="BI89" s="159" t="n">
        <f aca="false">IF(AND(BI$6&gt;=EOMONTH($H$76,0),BI$6&lt;=EOMONTH(EDATE($H$76,$E$76-1),0)),$G$76/MAX($E$76,1),0)</f>
        <v>0</v>
      </c>
      <c r="BJ89" s="159" t="n">
        <f aca="false">IF(AND(BJ$6&gt;=EOMONTH($H$76,0),BJ$6&lt;=EOMONTH(EDATE($H$76,$E$76-1),0)),$G$76/MAX($E$76,1),0)</f>
        <v>0</v>
      </c>
      <c r="BK89" s="159" t="n">
        <f aca="false">IF(AND(BK$6&gt;=EOMONTH($H$76,0),BK$6&lt;=EOMONTH(EDATE($H$76,$E$76-1),0)),$G$76/MAX($E$76,1),0)</f>
        <v>0</v>
      </c>
      <c r="BL89" s="159" t="n">
        <f aca="false">IF(AND(BL$6&gt;=EOMONTH($H$76,0),BL$6&lt;=EOMONTH(EDATE($H$76,$E$76-1),0)),$G$76/MAX($E$76,1),0)</f>
        <v>0</v>
      </c>
      <c r="BM89" s="159" t="n">
        <f aca="false">IF(AND(BM$6&gt;=EOMONTH($H$76,0),BM$6&lt;=EOMONTH(EDATE($H$76,$E$76-1),0)),$G$76/MAX($E$76,1),0)</f>
        <v>0</v>
      </c>
      <c r="BN89" s="159" t="n">
        <f aca="false">IF(AND(BN$6&gt;=EOMONTH($H$76,0),BN$6&lt;=EOMONTH(EDATE($H$76,$E$76-1),0)),$G$76/MAX($E$76,1),0)</f>
        <v>0</v>
      </c>
      <c r="BO89" s="159" t="n">
        <f aca="false">IF(AND(BO$6&gt;=EOMONTH($H$76,0),BO$6&lt;=EOMONTH(EDATE($H$76,$E$76-1),0)),$G$76/MAX($E$76,1),0)</f>
        <v>0</v>
      </c>
      <c r="BP89" s="159" t="n">
        <f aca="false">IF(AND(BP$6&gt;=EOMONTH($H$76,0),BP$6&lt;=EOMONTH(EDATE($H$76,$E$76-1),0)),$G$76/MAX($E$76,1),0)</f>
        <v>0</v>
      </c>
      <c r="BQ89" s="159" t="n">
        <f aca="false">IF(AND(BQ$6&gt;=EOMONTH($H$76,0),BQ$6&lt;=EOMONTH(EDATE($H$76,$E$76-1),0)),$G$76/MAX($E$76,1),0)</f>
        <v>0</v>
      </c>
      <c r="BR89" s="159" t="n">
        <f aca="false">IF(AND(BR$6&gt;=EOMONTH($H$76,0),BR$6&lt;=EOMONTH(EDATE($H$76,$E$76-1),0)),$G$76/MAX($E$76,1),0)</f>
        <v>0</v>
      </c>
      <c r="BS89" s="159" t="n">
        <f aca="false">IF(AND(BS$6&gt;=EOMONTH($H$76,0),BS$6&lt;=EOMONTH(EDATE($H$76,$E$76-1),0)),$G$76/MAX($E$76,1),0)</f>
        <v>0</v>
      </c>
      <c r="BT89" s="159" t="n">
        <f aca="false">IF(AND(BT$6&gt;=EOMONTH($H$76,0),BT$6&lt;=EOMONTH(EDATE($H$76,$E$76-1),0)),$G$76/MAX($E$76,1),0)</f>
        <v>0</v>
      </c>
      <c r="BU89" s="159" t="n">
        <f aca="false">IF(AND(BU$6&gt;=EOMONTH($H$76,0),BU$6&lt;=EOMONTH(EDATE($H$76,$E$76-1),0)),$G$76/MAX($E$76,1),0)</f>
        <v>0</v>
      </c>
      <c r="BV89" s="159" t="n">
        <f aca="false">IF(AND(BV$6&gt;=EOMONTH($H$76,0),BV$6&lt;=EOMONTH(EDATE($H$76,$E$76-1),0)),$G$76/MAX($E$76,1),0)</f>
        <v>0</v>
      </c>
      <c r="BW89" s="159" t="n">
        <f aca="false">IF(AND(BW$6&gt;=EOMONTH($H$76,0),BW$6&lt;=EOMONTH(EDATE($H$76,$E$76-1),0)),$G$76/MAX($E$76,1),0)</f>
        <v>0</v>
      </c>
      <c r="BX89" s="159" t="n">
        <f aca="false">IF(AND(BX$6&gt;=EOMONTH($H$76,0),BX$6&lt;=EOMONTH(EDATE($H$76,$E$76-1),0)),$G$76/MAX($E$76,1),0)</f>
        <v>0</v>
      </c>
      <c r="BY89" s="159" t="n">
        <f aca="false">IF(AND(BY$6&gt;=EOMONTH($H$76,0),BY$6&lt;=EOMONTH(EDATE($H$76,$E$76-1),0)),$G$76/MAX($E$76,1),0)</f>
        <v>0</v>
      </c>
      <c r="BZ89" s="159" t="n">
        <f aca="false">IF(AND(BZ$6&gt;=EOMONTH($H$76,0),BZ$6&lt;=EOMONTH(EDATE($H$76,$E$76-1),0)),$G$76/MAX($E$76,1),0)</f>
        <v>0</v>
      </c>
      <c r="CA89" s="159" t="n">
        <f aca="false">IF(AND(CA$6&gt;=EOMONTH($H$76,0),CA$6&lt;=EOMONTH(EDATE($H$76,$E$76-1),0)),$G$76/MAX($E$76,1),0)</f>
        <v>0</v>
      </c>
    </row>
    <row r="90" customFormat="false" ht="15" hidden="false" customHeight="false" outlineLevel="0" collapsed="false">
      <c r="B90" s="196" t="s">
        <v>642</v>
      </c>
      <c r="T90" s="159" t="n">
        <f aca="false">IF(AND(T$6&gt;=EOMONTH($H$77,0),T$6&lt;=EOMONTH(EDATE($H$77,$E$77-1),0)),$G$77/MAX($E$77,1),0)</f>
        <v>0</v>
      </c>
      <c r="U90" s="159" t="n">
        <f aca="false">IF(AND(U$6&gt;=EOMONTH($H$77,0),U$6&lt;=EOMONTH(EDATE($H$77,$E$77-1),0)),$G$77/MAX($E$77,1),0)</f>
        <v>0</v>
      </c>
      <c r="V90" s="159" t="n">
        <f aca="false">IF(AND(V$6&gt;=EOMONTH($H$77,0),V$6&lt;=EOMONTH(EDATE($H$77,$E$77-1),0)),$G$77/MAX($E$77,1),0)</f>
        <v>0</v>
      </c>
      <c r="W90" s="159" t="n">
        <f aca="false">IF(AND(W$6&gt;=EOMONTH($H$77,0),W$6&lt;=EOMONTH(EDATE($H$77,$E$77-1),0)),$G$77/MAX($E$77,1),0)</f>
        <v>0</v>
      </c>
      <c r="X90" s="159" t="n">
        <f aca="false">IF(AND(X$6&gt;=EOMONTH($H$77,0),X$6&lt;=EOMONTH(EDATE($H$77,$E$77-1),0)),$G$77/MAX($E$77,1),0)</f>
        <v>0</v>
      </c>
      <c r="Y90" s="159" t="n">
        <f aca="false">IF(AND(Y$6&gt;=EOMONTH($H$77,0),Y$6&lt;=EOMONTH(EDATE($H$77,$E$77-1),0)),$G$77/MAX($E$77,1),0)</f>
        <v>0</v>
      </c>
      <c r="Z90" s="159" t="n">
        <f aca="false">IF(AND(Z$6&gt;=EOMONTH($H$77,0),Z$6&lt;=EOMONTH(EDATE($H$77,$E$77-1),0)),$G$77/MAX($E$77,1),0)</f>
        <v>0</v>
      </c>
      <c r="AA90" s="159" t="n">
        <f aca="false">IF(AND(AA$6&gt;=EOMONTH($H$77,0),AA$6&lt;=EOMONTH(EDATE($H$77,$E$77-1),0)),$G$77/MAX($E$77,1),0)</f>
        <v>0</v>
      </c>
      <c r="AB90" s="159" t="n">
        <f aca="false">IF(AND(AB$6&gt;=EOMONTH($H$77,0),AB$6&lt;=EOMONTH(EDATE($H$77,$E$77-1),0)),$G$77/MAX($E$77,1),0)</f>
        <v>0</v>
      </c>
      <c r="AC90" s="159" t="n">
        <f aca="false">IF(AND(AC$6&gt;=EOMONTH($H$77,0),AC$6&lt;=EOMONTH(EDATE($H$77,$E$77-1),0)),$G$77/MAX($E$77,1),0)</f>
        <v>0</v>
      </c>
      <c r="AD90" s="159" t="n">
        <f aca="false">IF(AND(AD$6&gt;=EOMONTH($H$77,0),AD$6&lt;=EOMONTH(EDATE($H$77,$E$77-1),0)),$G$77/MAX($E$77,1),0)</f>
        <v>0</v>
      </c>
      <c r="AE90" s="159" t="n">
        <f aca="false">IF(AND(AE$6&gt;=EOMONTH($H$77,0),AE$6&lt;=EOMONTH(EDATE($H$77,$E$77-1),0)),$G$77/MAX($E$77,1),0)</f>
        <v>0</v>
      </c>
      <c r="AF90" s="159" t="n">
        <f aca="false">IF(AND(AF$6&gt;=EOMONTH($H$77,0),AF$6&lt;=EOMONTH(EDATE($H$77,$E$77-1),0)),$G$77/MAX($E$77,1),0)</f>
        <v>0</v>
      </c>
      <c r="AG90" s="159" t="n">
        <f aca="false">IF(AND(AG$6&gt;=EOMONTH($H$77,0),AG$6&lt;=EOMONTH(EDATE($H$77,$E$77-1),0)),$G$77/MAX($E$77,1),0)</f>
        <v>146666.666666667</v>
      </c>
      <c r="AH90" s="159" t="n">
        <f aca="false">IF(AND(AH$6&gt;=EOMONTH($H$77,0),AH$6&lt;=EOMONTH(EDATE($H$77,$E$77-1),0)),$G$77/MAX($E$77,1),0)</f>
        <v>146666.666666667</v>
      </c>
      <c r="AI90" s="159" t="n">
        <f aca="false">IF(AND(AI$6&gt;=EOMONTH($H$77,0),AI$6&lt;=EOMONTH(EDATE($H$77,$E$77-1),0)),$G$77/MAX($E$77,1),0)</f>
        <v>146666.666666667</v>
      </c>
      <c r="AJ90" s="159" t="n">
        <f aca="false">IF(AND(AJ$6&gt;=EOMONTH($H$77,0),AJ$6&lt;=EOMONTH(EDATE($H$77,$E$77-1),0)),$G$77/MAX($E$77,1),0)</f>
        <v>146666.666666667</v>
      </c>
      <c r="AK90" s="159" t="n">
        <f aca="false">IF(AND(AK$6&gt;=EOMONTH($H$77,0),AK$6&lt;=EOMONTH(EDATE($H$77,$E$77-1),0)),$G$77/MAX($E$77,1),0)</f>
        <v>146666.666666667</v>
      </c>
      <c r="AL90" s="159" t="n">
        <f aca="false">IF(AND(AL$6&gt;=EOMONTH($H$77,0),AL$6&lt;=EOMONTH(EDATE($H$77,$E$77-1),0)),$G$77/MAX($E$77,1),0)</f>
        <v>0</v>
      </c>
      <c r="AM90" s="159" t="n">
        <f aca="false">IF(AND(AM$6&gt;=EOMONTH($H$77,0),AM$6&lt;=EOMONTH(EDATE($H$77,$E$77-1),0)),$G$77/MAX($E$77,1),0)</f>
        <v>0</v>
      </c>
      <c r="AN90" s="159" t="n">
        <f aca="false">IF(AND(AN$6&gt;=EOMONTH($H$77,0),AN$6&lt;=EOMONTH(EDATE($H$77,$E$77-1),0)),$G$77/MAX($E$77,1),0)</f>
        <v>0</v>
      </c>
      <c r="AO90" s="159" t="n">
        <f aca="false">IF(AND(AO$6&gt;=EOMONTH($H$77,0),AO$6&lt;=EOMONTH(EDATE($H$77,$E$77-1),0)),$G$77/MAX($E$77,1),0)</f>
        <v>0</v>
      </c>
      <c r="AP90" s="159" t="n">
        <f aca="false">IF(AND(AP$6&gt;=EOMONTH($H$77,0),AP$6&lt;=EOMONTH(EDATE($H$77,$E$77-1),0)),$G$77/MAX($E$77,1),0)</f>
        <v>0</v>
      </c>
      <c r="AQ90" s="159" t="n">
        <f aca="false">IF(AND(AQ$6&gt;=EOMONTH($H$77,0),AQ$6&lt;=EOMONTH(EDATE($H$77,$E$77-1),0)),$G$77/MAX($E$77,1),0)</f>
        <v>0</v>
      </c>
      <c r="AR90" s="159" t="n">
        <f aca="false">IF(AND(AR$6&gt;=EOMONTH($H$77,0),AR$6&lt;=EOMONTH(EDATE($H$77,$E$77-1),0)),$G$77/MAX($E$77,1),0)</f>
        <v>0</v>
      </c>
      <c r="AS90" s="159" t="n">
        <f aca="false">IF(AND(AS$6&gt;=EOMONTH($H$77,0),AS$6&lt;=EOMONTH(EDATE($H$77,$E$77-1),0)),$G$77/MAX($E$77,1),0)</f>
        <v>0</v>
      </c>
      <c r="AT90" s="159" t="n">
        <f aca="false">IF(AND(AT$6&gt;=EOMONTH($H$77,0),AT$6&lt;=EOMONTH(EDATE($H$77,$E$77-1),0)),$G$77/MAX($E$77,1),0)</f>
        <v>0</v>
      </c>
      <c r="AU90" s="159" t="n">
        <f aca="false">IF(AND(AU$6&gt;=EOMONTH($H$77,0),AU$6&lt;=EOMONTH(EDATE($H$77,$E$77-1),0)),$G$77/MAX($E$77,1),0)</f>
        <v>0</v>
      </c>
      <c r="AV90" s="159" t="n">
        <f aca="false">IF(AND(AV$6&gt;=EOMONTH($H$77,0),AV$6&lt;=EOMONTH(EDATE($H$77,$E$77-1),0)),$G$77/MAX($E$77,1),0)</f>
        <v>0</v>
      </c>
      <c r="AW90" s="159" t="n">
        <f aca="false">IF(AND(AW$6&gt;=EOMONTH($H$77,0),AW$6&lt;=EOMONTH(EDATE($H$77,$E$77-1),0)),$G$77/MAX($E$77,1),0)</f>
        <v>0</v>
      </c>
      <c r="AX90" s="159" t="n">
        <f aca="false">IF(AND(AX$6&gt;=EOMONTH($H$77,0),AX$6&lt;=EOMONTH(EDATE($H$77,$E$77-1),0)),$G$77/MAX($E$77,1),0)</f>
        <v>0</v>
      </c>
      <c r="AY90" s="159" t="n">
        <f aca="false">IF(AND(AY$6&gt;=EOMONTH($H$77,0),AY$6&lt;=EOMONTH(EDATE($H$77,$E$77-1),0)),$G$77/MAX($E$77,1),0)</f>
        <v>0</v>
      </c>
      <c r="AZ90" s="159" t="n">
        <f aca="false">IF(AND(AZ$6&gt;=EOMONTH($H$77,0),AZ$6&lt;=EOMONTH(EDATE($H$77,$E$77-1),0)),$G$77/MAX($E$77,1),0)</f>
        <v>0</v>
      </c>
      <c r="BA90" s="159" t="n">
        <f aca="false">IF(AND(BA$6&gt;=EOMONTH($H$77,0),BA$6&lt;=EOMONTH(EDATE($H$77,$E$77-1),0)),$G$77/MAX($E$77,1),0)</f>
        <v>0</v>
      </c>
      <c r="BB90" s="159" t="n">
        <f aca="false">IF(AND(BB$6&gt;=EOMONTH($H$77,0),BB$6&lt;=EOMONTH(EDATE($H$77,$E$77-1),0)),$G$77/MAX($E$77,1),0)</f>
        <v>0</v>
      </c>
      <c r="BC90" s="159" t="n">
        <f aca="false">IF(AND(BC$6&gt;=EOMONTH($H$77,0),BC$6&lt;=EOMONTH(EDATE($H$77,$E$77-1),0)),$G$77/MAX($E$77,1),0)</f>
        <v>0</v>
      </c>
      <c r="BD90" s="159" t="n">
        <f aca="false">IF(AND(BD$6&gt;=EOMONTH($H$77,0),BD$6&lt;=EOMONTH(EDATE($H$77,$E$77-1),0)),$G$77/MAX($E$77,1),0)</f>
        <v>0</v>
      </c>
      <c r="BE90" s="159" t="n">
        <f aca="false">IF(AND(BE$6&gt;=EOMONTH($H$77,0),BE$6&lt;=EOMONTH(EDATE($H$77,$E$77-1),0)),$G$77/MAX($E$77,1),0)</f>
        <v>0</v>
      </c>
      <c r="BF90" s="159" t="n">
        <f aca="false">IF(AND(BF$6&gt;=EOMONTH($H$77,0),BF$6&lt;=EOMONTH(EDATE($H$77,$E$77-1),0)),$G$77/MAX($E$77,1),0)</f>
        <v>0</v>
      </c>
      <c r="BG90" s="159" t="n">
        <f aca="false">IF(AND(BG$6&gt;=EOMONTH($H$77,0),BG$6&lt;=EOMONTH(EDATE($H$77,$E$77-1),0)),$G$77/MAX($E$77,1),0)</f>
        <v>0</v>
      </c>
      <c r="BH90" s="159" t="n">
        <f aca="false">IF(AND(BH$6&gt;=EOMONTH($H$77,0),BH$6&lt;=EOMONTH(EDATE($H$77,$E$77-1),0)),$G$77/MAX($E$77,1),0)</f>
        <v>0</v>
      </c>
      <c r="BI90" s="159" t="n">
        <f aca="false">IF(AND(BI$6&gt;=EOMONTH($H$77,0),BI$6&lt;=EOMONTH(EDATE($H$77,$E$77-1),0)),$G$77/MAX($E$77,1),0)</f>
        <v>0</v>
      </c>
      <c r="BJ90" s="159" t="n">
        <f aca="false">IF(AND(BJ$6&gt;=EOMONTH($H$77,0),BJ$6&lt;=EOMONTH(EDATE($H$77,$E$77-1),0)),$G$77/MAX($E$77,1),0)</f>
        <v>0</v>
      </c>
      <c r="BK90" s="159" t="n">
        <f aca="false">IF(AND(BK$6&gt;=EOMONTH($H$77,0),BK$6&lt;=EOMONTH(EDATE($H$77,$E$77-1),0)),$G$77/MAX($E$77,1),0)</f>
        <v>0</v>
      </c>
      <c r="BL90" s="159" t="n">
        <f aca="false">IF(AND(BL$6&gt;=EOMONTH($H$77,0),BL$6&lt;=EOMONTH(EDATE($H$77,$E$77-1),0)),$G$77/MAX($E$77,1),0)</f>
        <v>0</v>
      </c>
      <c r="BM90" s="159" t="n">
        <f aca="false">IF(AND(BM$6&gt;=EOMONTH($H$77,0),BM$6&lt;=EOMONTH(EDATE($H$77,$E$77-1),0)),$G$77/MAX($E$77,1),0)</f>
        <v>0</v>
      </c>
      <c r="BN90" s="159" t="n">
        <f aca="false">IF(AND(BN$6&gt;=EOMONTH($H$77,0),BN$6&lt;=EOMONTH(EDATE($H$77,$E$77-1),0)),$G$77/MAX($E$77,1),0)</f>
        <v>0</v>
      </c>
      <c r="BO90" s="159" t="n">
        <f aca="false">IF(AND(BO$6&gt;=EOMONTH($H$77,0),BO$6&lt;=EOMONTH(EDATE($H$77,$E$77-1),0)),$G$77/MAX($E$77,1),0)</f>
        <v>0</v>
      </c>
      <c r="BP90" s="159" t="n">
        <f aca="false">IF(AND(BP$6&gt;=EOMONTH($H$77,0),BP$6&lt;=EOMONTH(EDATE($H$77,$E$77-1),0)),$G$77/MAX($E$77,1),0)</f>
        <v>0</v>
      </c>
      <c r="BQ90" s="159" t="n">
        <f aca="false">IF(AND(BQ$6&gt;=EOMONTH($H$77,0),BQ$6&lt;=EOMONTH(EDATE($H$77,$E$77-1),0)),$G$77/MAX($E$77,1),0)</f>
        <v>0</v>
      </c>
      <c r="BR90" s="159" t="n">
        <f aca="false">IF(AND(BR$6&gt;=EOMONTH($H$77,0),BR$6&lt;=EOMONTH(EDATE($H$77,$E$77-1),0)),$G$77/MAX($E$77,1),0)</f>
        <v>0</v>
      </c>
      <c r="BS90" s="159" t="n">
        <f aca="false">IF(AND(BS$6&gt;=EOMONTH($H$77,0),BS$6&lt;=EOMONTH(EDATE($H$77,$E$77-1),0)),$G$77/MAX($E$77,1),0)</f>
        <v>0</v>
      </c>
      <c r="BT90" s="159" t="n">
        <f aca="false">IF(AND(BT$6&gt;=EOMONTH($H$77,0),BT$6&lt;=EOMONTH(EDATE($H$77,$E$77-1),0)),$G$77/MAX($E$77,1),0)</f>
        <v>0</v>
      </c>
      <c r="BU90" s="159" t="n">
        <f aca="false">IF(AND(BU$6&gt;=EOMONTH($H$77,0),BU$6&lt;=EOMONTH(EDATE($H$77,$E$77-1),0)),$G$77/MAX($E$77,1),0)</f>
        <v>0</v>
      </c>
      <c r="BV90" s="159" t="n">
        <f aca="false">IF(AND(BV$6&gt;=EOMONTH($H$77,0),BV$6&lt;=EOMONTH(EDATE($H$77,$E$77-1),0)),$G$77/MAX($E$77,1),0)</f>
        <v>0</v>
      </c>
      <c r="BW90" s="159" t="n">
        <f aca="false">IF(AND(BW$6&gt;=EOMONTH($H$77,0),BW$6&lt;=EOMONTH(EDATE($H$77,$E$77-1),0)),$G$77/MAX($E$77,1),0)</f>
        <v>0</v>
      </c>
      <c r="BX90" s="159" t="n">
        <f aca="false">IF(AND(BX$6&gt;=EOMONTH($H$77,0),BX$6&lt;=EOMONTH(EDATE($H$77,$E$77-1),0)),$G$77/MAX($E$77,1),0)</f>
        <v>0</v>
      </c>
      <c r="BY90" s="159" t="n">
        <f aca="false">IF(AND(BY$6&gt;=EOMONTH($H$77,0),BY$6&lt;=EOMONTH(EDATE($H$77,$E$77-1),0)),$G$77/MAX($E$77,1),0)</f>
        <v>0</v>
      </c>
      <c r="BZ90" s="159" t="n">
        <f aca="false">IF(AND(BZ$6&gt;=EOMONTH($H$77,0),BZ$6&lt;=EOMONTH(EDATE($H$77,$E$77-1),0)),$G$77/MAX($E$77,1),0)</f>
        <v>0</v>
      </c>
      <c r="CA90" s="159" t="n">
        <f aca="false">IF(AND(CA$6&gt;=EOMONTH($H$77,0),CA$6&lt;=EOMONTH(EDATE($H$77,$E$77-1),0)),$G$77/MAX($E$77,1),0)</f>
        <v>0</v>
      </c>
    </row>
    <row r="91" customFormat="false" ht="15" hidden="false" customHeight="false" outlineLevel="0" collapsed="false">
      <c r="B91" s="196" t="s">
        <v>643</v>
      </c>
      <c r="T91" s="159" t="n">
        <f aca="false">IF(AND(T$6&gt;=EOMONTH($H$78,0),T$6&lt;=EOMONTH(EDATE($H$78,$E$78-1),0)),$G$78/MAX($E$78,1),0)</f>
        <v>0</v>
      </c>
      <c r="U91" s="159" t="n">
        <f aca="false">IF(AND(U$6&gt;=EOMONTH($H$78,0),U$6&lt;=EOMONTH(EDATE($H$78,$E$78-1),0)),$G$78/MAX($E$78,1),0)</f>
        <v>0</v>
      </c>
      <c r="V91" s="159" t="n">
        <f aca="false">IF(AND(V$6&gt;=EOMONTH($H$78,0),V$6&lt;=EOMONTH(EDATE($H$78,$E$78-1),0)),$G$78/MAX($E$78,1),0)</f>
        <v>0</v>
      </c>
      <c r="W91" s="159" t="n">
        <f aca="false">IF(AND(W$6&gt;=EOMONTH($H$78,0),W$6&lt;=EOMONTH(EDATE($H$78,$E$78-1),0)),$G$78/MAX($E$78,1),0)</f>
        <v>0</v>
      </c>
      <c r="X91" s="159" t="n">
        <f aca="false">IF(AND(X$6&gt;=EOMONTH($H$78,0),X$6&lt;=EOMONTH(EDATE($H$78,$E$78-1),0)),$G$78/MAX($E$78,1),0)</f>
        <v>0</v>
      </c>
      <c r="Y91" s="159" t="n">
        <f aca="false">IF(AND(Y$6&gt;=EOMONTH($H$78,0),Y$6&lt;=EOMONTH(EDATE($H$78,$E$78-1),0)),$G$78/MAX($E$78,1),0)</f>
        <v>0</v>
      </c>
      <c r="Z91" s="159" t="n">
        <f aca="false">IF(AND(Z$6&gt;=EOMONTH($H$78,0),Z$6&lt;=EOMONTH(EDATE($H$78,$E$78-1),0)),$G$78/MAX($E$78,1),0)</f>
        <v>0</v>
      </c>
      <c r="AA91" s="159" t="n">
        <f aca="false">IF(AND(AA$6&gt;=EOMONTH($H$78,0),AA$6&lt;=EOMONTH(EDATE($H$78,$E$78-1),0)),$G$78/MAX($E$78,1),0)</f>
        <v>0</v>
      </c>
      <c r="AB91" s="159" t="n">
        <f aca="false">IF(AND(AB$6&gt;=EOMONTH($H$78,0),AB$6&lt;=EOMONTH(EDATE($H$78,$E$78-1),0)),$G$78/MAX($E$78,1),0)</f>
        <v>0</v>
      </c>
      <c r="AC91" s="159" t="n">
        <f aca="false">IF(AND(AC$6&gt;=EOMONTH($H$78,0),AC$6&lt;=EOMONTH(EDATE($H$78,$E$78-1),0)),$G$78/MAX($E$78,1),0)</f>
        <v>0</v>
      </c>
      <c r="AD91" s="159" t="n">
        <f aca="false">IF(AND(AD$6&gt;=EOMONTH($H$78,0),AD$6&lt;=EOMONTH(EDATE($H$78,$E$78-1),0)),$G$78/MAX($E$78,1),0)</f>
        <v>0</v>
      </c>
      <c r="AE91" s="159" t="n">
        <f aca="false">IF(AND(AE$6&gt;=EOMONTH($H$78,0),AE$6&lt;=EOMONTH(EDATE($H$78,$E$78-1),0)),$G$78/MAX($E$78,1),0)</f>
        <v>0</v>
      </c>
      <c r="AF91" s="159" t="n">
        <f aca="false">IF(AND(AF$6&gt;=EOMONTH($H$78,0),AF$6&lt;=EOMONTH(EDATE($H$78,$E$78-1),0)),$G$78/MAX($E$78,1),0)</f>
        <v>0</v>
      </c>
      <c r="AG91" s="159" t="n">
        <f aca="false">IF(AND(AG$6&gt;=EOMONTH($H$78,0),AG$6&lt;=EOMONTH(EDATE($H$78,$E$78-1),0)),$G$78/MAX($E$78,1),0)</f>
        <v>0</v>
      </c>
      <c r="AH91" s="159" t="n">
        <f aca="false">IF(AND(AH$6&gt;=EOMONTH($H$78,0),AH$6&lt;=EOMONTH(EDATE($H$78,$E$78-1),0)),$G$78/MAX($E$78,1),0)</f>
        <v>0</v>
      </c>
      <c r="AI91" s="159" t="n">
        <f aca="false">IF(AND(AI$6&gt;=EOMONTH($H$78,0),AI$6&lt;=EOMONTH(EDATE($H$78,$E$78-1),0)),$G$78/MAX($E$78,1),0)</f>
        <v>0</v>
      </c>
      <c r="AJ91" s="159" t="n">
        <f aca="false">IF(AND(AJ$6&gt;=EOMONTH($H$78,0),AJ$6&lt;=EOMONTH(EDATE($H$78,$E$78-1),0)),$G$78/MAX($E$78,1),0)</f>
        <v>0</v>
      </c>
      <c r="AK91" s="159" t="n">
        <f aca="false">IF(AND(AK$6&gt;=EOMONTH($H$78,0),AK$6&lt;=EOMONTH(EDATE($H$78,$E$78-1),0)),$G$78/MAX($E$78,1),0)</f>
        <v>0</v>
      </c>
      <c r="AL91" s="159" t="n">
        <f aca="false">IF(AND(AL$6&gt;=EOMONTH($H$78,0),AL$6&lt;=EOMONTH(EDATE($H$78,$E$78-1),0)),$G$78/MAX($E$78,1),0)</f>
        <v>73333.3333333333</v>
      </c>
      <c r="AM91" s="159" t="n">
        <f aca="false">IF(AND(AM$6&gt;=EOMONTH($H$78,0),AM$6&lt;=EOMONTH(EDATE($H$78,$E$78-1),0)),$G$78/MAX($E$78,1),0)</f>
        <v>73333.3333333333</v>
      </c>
      <c r="AN91" s="159" t="n">
        <f aca="false">IF(AND(AN$6&gt;=EOMONTH($H$78,0),AN$6&lt;=EOMONTH(EDATE($H$78,$E$78-1),0)),$G$78/MAX($E$78,1),0)</f>
        <v>73333.3333333333</v>
      </c>
      <c r="AO91" s="159" t="n">
        <f aca="false">IF(AND(AO$6&gt;=EOMONTH($H$78,0),AO$6&lt;=EOMONTH(EDATE($H$78,$E$78-1),0)),$G$78/MAX($E$78,1),0)</f>
        <v>73333.3333333333</v>
      </c>
      <c r="AP91" s="159" t="n">
        <f aca="false">IF(AND(AP$6&gt;=EOMONTH($H$78,0),AP$6&lt;=EOMONTH(EDATE($H$78,$E$78-1),0)),$G$78/MAX($E$78,1),0)</f>
        <v>73333.3333333333</v>
      </c>
      <c r="AQ91" s="159" t="n">
        <f aca="false">IF(AND(AQ$6&gt;=EOMONTH($H$78,0),AQ$6&lt;=EOMONTH(EDATE($H$78,$E$78-1),0)),$G$78/MAX($E$78,1),0)</f>
        <v>73333.3333333333</v>
      </c>
      <c r="AR91" s="159" t="n">
        <f aca="false">IF(AND(AR$6&gt;=EOMONTH($H$78,0),AR$6&lt;=EOMONTH(EDATE($H$78,$E$78-1),0)),$G$78/MAX($E$78,1),0)</f>
        <v>0</v>
      </c>
      <c r="AS91" s="159" t="n">
        <f aca="false">IF(AND(AS$6&gt;=EOMONTH($H$78,0),AS$6&lt;=EOMONTH(EDATE($H$78,$E$78-1),0)),$G$78/MAX($E$78,1),0)</f>
        <v>0</v>
      </c>
      <c r="AT91" s="159" t="n">
        <f aca="false">IF(AND(AT$6&gt;=EOMONTH($H$78,0),AT$6&lt;=EOMONTH(EDATE($H$78,$E$78-1),0)),$G$78/MAX($E$78,1),0)</f>
        <v>0</v>
      </c>
      <c r="AU91" s="159" t="n">
        <f aca="false">IF(AND(AU$6&gt;=EOMONTH($H$78,0),AU$6&lt;=EOMONTH(EDATE($H$78,$E$78-1),0)),$G$78/MAX($E$78,1),0)</f>
        <v>0</v>
      </c>
      <c r="AV91" s="159" t="n">
        <f aca="false">IF(AND(AV$6&gt;=EOMONTH($H$78,0),AV$6&lt;=EOMONTH(EDATE($H$78,$E$78-1),0)),$G$78/MAX($E$78,1),0)</f>
        <v>0</v>
      </c>
      <c r="AW91" s="159" t="n">
        <f aca="false">IF(AND(AW$6&gt;=EOMONTH($H$78,0),AW$6&lt;=EOMONTH(EDATE($H$78,$E$78-1),0)),$G$78/MAX($E$78,1),0)</f>
        <v>0</v>
      </c>
      <c r="AX91" s="159" t="n">
        <f aca="false">IF(AND(AX$6&gt;=EOMONTH($H$78,0),AX$6&lt;=EOMONTH(EDATE($H$78,$E$78-1),0)),$G$78/MAX($E$78,1),0)</f>
        <v>0</v>
      </c>
      <c r="AY91" s="159" t="n">
        <f aca="false">IF(AND(AY$6&gt;=EOMONTH($H$78,0),AY$6&lt;=EOMONTH(EDATE($H$78,$E$78-1),0)),$G$78/MAX($E$78,1),0)</f>
        <v>0</v>
      </c>
      <c r="AZ91" s="159" t="n">
        <f aca="false">IF(AND(AZ$6&gt;=EOMONTH($H$78,0),AZ$6&lt;=EOMONTH(EDATE($H$78,$E$78-1),0)),$G$78/MAX($E$78,1),0)</f>
        <v>0</v>
      </c>
      <c r="BA91" s="159" t="n">
        <f aca="false">IF(AND(BA$6&gt;=EOMONTH($H$78,0),BA$6&lt;=EOMONTH(EDATE($H$78,$E$78-1),0)),$G$78/MAX($E$78,1),0)</f>
        <v>0</v>
      </c>
      <c r="BB91" s="159" t="n">
        <f aca="false">IF(AND(BB$6&gt;=EOMONTH($H$78,0),BB$6&lt;=EOMONTH(EDATE($H$78,$E$78-1),0)),$G$78/MAX($E$78,1),0)</f>
        <v>0</v>
      </c>
      <c r="BC91" s="159" t="n">
        <f aca="false">IF(AND(BC$6&gt;=EOMONTH($H$78,0),BC$6&lt;=EOMONTH(EDATE($H$78,$E$78-1),0)),$G$78/MAX($E$78,1),0)</f>
        <v>0</v>
      </c>
      <c r="BD91" s="159" t="n">
        <f aca="false">IF(AND(BD$6&gt;=EOMONTH($H$78,0),BD$6&lt;=EOMONTH(EDATE($H$78,$E$78-1),0)),$G$78/MAX($E$78,1),0)</f>
        <v>0</v>
      </c>
      <c r="BE91" s="159" t="n">
        <f aca="false">IF(AND(BE$6&gt;=EOMONTH($H$78,0),BE$6&lt;=EOMONTH(EDATE($H$78,$E$78-1),0)),$G$78/MAX($E$78,1),0)</f>
        <v>0</v>
      </c>
      <c r="BF91" s="159" t="n">
        <f aca="false">IF(AND(BF$6&gt;=EOMONTH($H$78,0),BF$6&lt;=EOMONTH(EDATE($H$78,$E$78-1),0)),$G$78/MAX($E$78,1),0)</f>
        <v>0</v>
      </c>
      <c r="BG91" s="159" t="n">
        <f aca="false">IF(AND(BG$6&gt;=EOMONTH($H$78,0),BG$6&lt;=EOMONTH(EDATE($H$78,$E$78-1),0)),$G$78/MAX($E$78,1),0)</f>
        <v>0</v>
      </c>
      <c r="BH91" s="159" t="n">
        <f aca="false">IF(AND(BH$6&gt;=EOMONTH($H$78,0),BH$6&lt;=EOMONTH(EDATE($H$78,$E$78-1),0)),$G$78/MAX($E$78,1),0)</f>
        <v>0</v>
      </c>
      <c r="BI91" s="159" t="n">
        <f aca="false">IF(AND(BI$6&gt;=EOMONTH($H$78,0),BI$6&lt;=EOMONTH(EDATE($H$78,$E$78-1),0)),$G$78/MAX($E$78,1),0)</f>
        <v>0</v>
      </c>
      <c r="BJ91" s="159" t="n">
        <f aca="false">IF(AND(BJ$6&gt;=EOMONTH($H$78,0),BJ$6&lt;=EOMONTH(EDATE($H$78,$E$78-1),0)),$G$78/MAX($E$78,1),0)</f>
        <v>0</v>
      </c>
      <c r="BK91" s="159" t="n">
        <f aca="false">IF(AND(BK$6&gt;=EOMONTH($H$78,0),BK$6&lt;=EOMONTH(EDATE($H$78,$E$78-1),0)),$G$78/MAX($E$78,1),0)</f>
        <v>0</v>
      </c>
      <c r="BL91" s="159" t="n">
        <f aca="false">IF(AND(BL$6&gt;=EOMONTH($H$78,0),BL$6&lt;=EOMONTH(EDATE($H$78,$E$78-1),0)),$G$78/MAX($E$78,1),0)</f>
        <v>0</v>
      </c>
      <c r="BM91" s="159" t="n">
        <f aca="false">IF(AND(BM$6&gt;=EOMONTH($H$78,0),BM$6&lt;=EOMONTH(EDATE($H$78,$E$78-1),0)),$G$78/MAX($E$78,1),0)</f>
        <v>0</v>
      </c>
      <c r="BN91" s="159" t="n">
        <f aca="false">IF(AND(BN$6&gt;=EOMONTH($H$78,0),BN$6&lt;=EOMONTH(EDATE($H$78,$E$78-1),0)),$G$78/MAX($E$78,1),0)</f>
        <v>0</v>
      </c>
      <c r="BO91" s="159" t="n">
        <f aca="false">IF(AND(BO$6&gt;=EOMONTH($H$78,0),BO$6&lt;=EOMONTH(EDATE($H$78,$E$78-1),0)),$G$78/MAX($E$78,1),0)</f>
        <v>0</v>
      </c>
      <c r="BP91" s="159" t="n">
        <f aca="false">IF(AND(BP$6&gt;=EOMONTH($H$78,0),BP$6&lt;=EOMONTH(EDATE($H$78,$E$78-1),0)),$G$78/MAX($E$78,1),0)</f>
        <v>0</v>
      </c>
      <c r="BQ91" s="159" t="n">
        <f aca="false">IF(AND(BQ$6&gt;=EOMONTH($H$78,0),BQ$6&lt;=EOMONTH(EDATE($H$78,$E$78-1),0)),$G$78/MAX($E$78,1),0)</f>
        <v>0</v>
      </c>
      <c r="BR91" s="159" t="n">
        <f aca="false">IF(AND(BR$6&gt;=EOMONTH($H$78,0),BR$6&lt;=EOMONTH(EDATE($H$78,$E$78-1),0)),$G$78/MAX($E$78,1),0)</f>
        <v>0</v>
      </c>
      <c r="BS91" s="159" t="n">
        <f aca="false">IF(AND(BS$6&gt;=EOMONTH($H$78,0),BS$6&lt;=EOMONTH(EDATE($H$78,$E$78-1),0)),$G$78/MAX($E$78,1),0)</f>
        <v>0</v>
      </c>
      <c r="BT91" s="159" t="n">
        <f aca="false">IF(AND(BT$6&gt;=EOMONTH($H$78,0),BT$6&lt;=EOMONTH(EDATE($H$78,$E$78-1),0)),$G$78/MAX($E$78,1),0)</f>
        <v>0</v>
      </c>
      <c r="BU91" s="159" t="n">
        <f aca="false">IF(AND(BU$6&gt;=EOMONTH($H$78,0),BU$6&lt;=EOMONTH(EDATE($H$78,$E$78-1),0)),$G$78/MAX($E$78,1),0)</f>
        <v>0</v>
      </c>
      <c r="BV91" s="159" t="n">
        <f aca="false">IF(AND(BV$6&gt;=EOMONTH($H$78,0),BV$6&lt;=EOMONTH(EDATE($H$78,$E$78-1),0)),$G$78/MAX($E$78,1),0)</f>
        <v>0</v>
      </c>
      <c r="BW91" s="159" t="n">
        <f aca="false">IF(AND(BW$6&gt;=EOMONTH($H$78,0),BW$6&lt;=EOMONTH(EDATE($H$78,$E$78-1),0)),$G$78/MAX($E$78,1),0)</f>
        <v>0</v>
      </c>
      <c r="BX91" s="159" t="n">
        <f aca="false">IF(AND(BX$6&gt;=EOMONTH($H$78,0),BX$6&lt;=EOMONTH(EDATE($H$78,$E$78-1),0)),$G$78/MAX($E$78,1),0)</f>
        <v>0</v>
      </c>
      <c r="BY91" s="159" t="n">
        <f aca="false">IF(AND(BY$6&gt;=EOMONTH($H$78,0),BY$6&lt;=EOMONTH(EDATE($H$78,$E$78-1),0)),$G$78/MAX($E$78,1),0)</f>
        <v>0</v>
      </c>
      <c r="BZ91" s="159" t="n">
        <f aca="false">IF(AND(BZ$6&gt;=EOMONTH($H$78,0),BZ$6&lt;=EOMONTH(EDATE($H$78,$E$78-1),0)),$G$78/MAX($E$78,1),0)</f>
        <v>0</v>
      </c>
      <c r="CA91" s="159" t="n">
        <f aca="false">IF(AND(CA$6&gt;=EOMONTH($H$78,0),CA$6&lt;=EOMONTH(EDATE($H$78,$E$78-1),0)),$G$78/MAX($E$78,1),0)</f>
        <v>0</v>
      </c>
    </row>
    <row r="92" customFormat="false" ht="15" hidden="false" customHeight="false" outlineLevel="0" collapsed="false">
      <c r="B92" s="196" t="s">
        <v>644</v>
      </c>
      <c r="T92" s="159" t="n">
        <f aca="false">IF(AND(T$6&gt;=EOMONTH($H$79,0),T$6&lt;=EOMONTH(EDATE($H$79,$E$79-1),0)),$G$79/MAX($E$79,1),0)</f>
        <v>0</v>
      </c>
      <c r="U92" s="159" t="n">
        <f aca="false">IF(AND(U$6&gt;=EOMONTH($H$79,0),U$6&lt;=EOMONTH(EDATE($H$79,$E$79-1),0)),$G$79/MAX($E$79,1),0)</f>
        <v>0</v>
      </c>
      <c r="V92" s="159" t="n">
        <f aca="false">IF(AND(V$6&gt;=EOMONTH($H$79,0),V$6&lt;=EOMONTH(EDATE($H$79,$E$79-1),0)),$G$79/MAX($E$79,1),0)</f>
        <v>0</v>
      </c>
      <c r="W92" s="159" t="n">
        <f aca="false">IF(AND(W$6&gt;=EOMONTH($H$79,0),W$6&lt;=EOMONTH(EDATE($H$79,$E$79-1),0)),$G$79/MAX($E$79,1),0)</f>
        <v>0</v>
      </c>
      <c r="X92" s="159" t="n">
        <f aca="false">IF(AND(X$6&gt;=EOMONTH($H$79,0),X$6&lt;=EOMONTH(EDATE($H$79,$E$79-1),0)),$G$79/MAX($E$79,1),0)</f>
        <v>0</v>
      </c>
      <c r="Y92" s="159" t="n">
        <f aca="false">IF(AND(Y$6&gt;=EOMONTH($H$79,0),Y$6&lt;=EOMONTH(EDATE($H$79,$E$79-1),0)),$G$79/MAX($E$79,1),0)</f>
        <v>0</v>
      </c>
      <c r="Z92" s="159" t="n">
        <f aca="false">IF(AND(Z$6&gt;=EOMONTH($H$79,0),Z$6&lt;=EOMONTH(EDATE($H$79,$E$79-1),0)),$G$79/MAX($E$79,1),0)</f>
        <v>0</v>
      </c>
      <c r="AA92" s="159" t="n">
        <f aca="false">IF(AND(AA$6&gt;=EOMONTH($H$79,0),AA$6&lt;=EOMONTH(EDATE($H$79,$E$79-1),0)),$G$79/MAX($E$79,1),0)</f>
        <v>0</v>
      </c>
      <c r="AB92" s="159" t="n">
        <f aca="false">IF(AND(AB$6&gt;=EOMONTH($H$79,0),AB$6&lt;=EOMONTH(EDATE($H$79,$E$79-1),0)),$G$79/MAX($E$79,1),0)</f>
        <v>0</v>
      </c>
      <c r="AC92" s="159" t="n">
        <f aca="false">IF(AND(AC$6&gt;=EOMONTH($H$79,0),AC$6&lt;=EOMONTH(EDATE($H$79,$E$79-1),0)),$G$79/MAX($E$79,1),0)</f>
        <v>0</v>
      </c>
      <c r="AD92" s="159" t="n">
        <f aca="false">IF(AND(AD$6&gt;=EOMONTH($H$79,0),AD$6&lt;=EOMONTH(EDATE($H$79,$E$79-1),0)),$G$79/MAX($E$79,1),0)</f>
        <v>0</v>
      </c>
      <c r="AE92" s="159" t="n">
        <f aca="false">IF(AND(AE$6&gt;=EOMONTH($H$79,0),AE$6&lt;=EOMONTH(EDATE($H$79,$E$79-1),0)),$G$79/MAX($E$79,1),0)</f>
        <v>0</v>
      </c>
      <c r="AF92" s="159" t="n">
        <f aca="false">IF(AND(AF$6&gt;=EOMONTH($H$79,0),AF$6&lt;=EOMONTH(EDATE($H$79,$E$79-1),0)),$G$79/MAX($E$79,1),0)</f>
        <v>0</v>
      </c>
      <c r="AG92" s="159" t="n">
        <f aca="false">IF(AND(AG$6&gt;=EOMONTH($H$79,0),AG$6&lt;=EOMONTH(EDATE($H$79,$E$79-1),0)),$G$79/MAX($E$79,1),0)</f>
        <v>0</v>
      </c>
      <c r="AH92" s="159" t="n">
        <f aca="false">IF(AND(AH$6&gt;=EOMONTH($H$79,0),AH$6&lt;=EOMONTH(EDATE($H$79,$E$79-1),0)),$G$79/MAX($E$79,1),0)</f>
        <v>0</v>
      </c>
      <c r="AI92" s="159" t="n">
        <f aca="false">IF(AND(AI$6&gt;=EOMONTH($H$79,0),AI$6&lt;=EOMONTH(EDATE($H$79,$E$79-1),0)),$G$79/MAX($E$79,1),0)</f>
        <v>0</v>
      </c>
      <c r="AJ92" s="159" t="n">
        <f aca="false">IF(AND(AJ$6&gt;=EOMONTH($H$79,0),AJ$6&lt;=EOMONTH(EDATE($H$79,$E$79-1),0)),$G$79/MAX($E$79,1),0)</f>
        <v>0</v>
      </c>
      <c r="AK92" s="159" t="n">
        <f aca="false">IF(AND(AK$6&gt;=EOMONTH($H$79,0),AK$6&lt;=EOMONTH(EDATE($H$79,$E$79-1),0)),$G$79/MAX($E$79,1),0)</f>
        <v>0</v>
      </c>
      <c r="AL92" s="159" t="n">
        <f aca="false">IF(AND(AL$6&gt;=EOMONTH($H$79,0),AL$6&lt;=EOMONTH(EDATE($H$79,$E$79-1),0)),$G$79/MAX($E$79,1),0)</f>
        <v>0</v>
      </c>
      <c r="AM92" s="159" t="n">
        <f aca="false">IF(AND(AM$6&gt;=EOMONTH($H$79,0),AM$6&lt;=EOMONTH(EDATE($H$79,$E$79-1),0)),$G$79/MAX($E$79,1),0)</f>
        <v>0</v>
      </c>
      <c r="AN92" s="159" t="n">
        <f aca="false">IF(AND(AN$6&gt;=EOMONTH($H$79,0),AN$6&lt;=EOMONTH(EDATE($H$79,$E$79-1),0)),$G$79/MAX($E$79,1),0)</f>
        <v>0</v>
      </c>
      <c r="AO92" s="159" t="n">
        <f aca="false">IF(AND(AO$6&gt;=EOMONTH($H$79,0),AO$6&lt;=EOMONTH(EDATE($H$79,$E$79-1),0)),$G$79/MAX($E$79,1),0)</f>
        <v>0</v>
      </c>
      <c r="AP92" s="159" t="n">
        <f aca="false">IF(AND(AP$6&gt;=EOMONTH($H$79,0),AP$6&lt;=EOMONTH(EDATE($H$79,$E$79-1),0)),$G$79/MAX($E$79,1),0)</f>
        <v>0</v>
      </c>
      <c r="AQ92" s="159" t="n">
        <f aca="false">IF(AND(AQ$6&gt;=EOMONTH($H$79,0),AQ$6&lt;=EOMONTH(EDATE($H$79,$E$79-1),0)),$G$79/MAX($E$79,1),0)</f>
        <v>0</v>
      </c>
      <c r="AR92" s="159" t="n">
        <f aca="false">IF(AND(AR$6&gt;=EOMONTH($H$79,0),AR$6&lt;=EOMONTH(EDATE($H$79,$E$79-1),0)),$G$79/MAX($E$79,1),0)</f>
        <v>0</v>
      </c>
      <c r="AS92" s="159" t="n">
        <f aca="false">IF(AND(AS$6&gt;=EOMONTH($H$79,0),AS$6&lt;=EOMONTH(EDATE($H$79,$E$79-1),0)),$G$79/MAX($E$79,1),0)</f>
        <v>0</v>
      </c>
      <c r="AT92" s="159" t="n">
        <f aca="false">IF(AND(AT$6&gt;=EOMONTH($H$79,0),AT$6&lt;=EOMONTH(EDATE($H$79,$E$79-1),0)),$G$79/MAX($E$79,1),0)</f>
        <v>0</v>
      </c>
      <c r="AU92" s="159" t="n">
        <f aca="false">IF(AND(AU$6&gt;=EOMONTH($H$79,0),AU$6&lt;=EOMONTH(EDATE($H$79,$E$79-1),0)),$G$79/MAX($E$79,1),0)</f>
        <v>0</v>
      </c>
      <c r="AV92" s="159" t="n">
        <f aca="false">IF(AND(AV$6&gt;=EOMONTH($H$79,0),AV$6&lt;=EOMONTH(EDATE($H$79,$E$79-1),0)),$G$79/MAX($E$79,1),0)</f>
        <v>0</v>
      </c>
      <c r="AW92" s="159" t="n">
        <f aca="false">IF(AND(AW$6&gt;=EOMONTH($H$79,0),AW$6&lt;=EOMONTH(EDATE($H$79,$E$79-1),0)),$G$79/MAX($E$79,1),0)</f>
        <v>0</v>
      </c>
      <c r="AX92" s="159" t="n">
        <f aca="false">IF(AND(AX$6&gt;=EOMONTH($H$79,0),AX$6&lt;=EOMONTH(EDATE($H$79,$E$79-1),0)),$G$79/MAX($E$79,1),0)</f>
        <v>0</v>
      </c>
      <c r="AY92" s="159" t="n">
        <f aca="false">IF(AND(AY$6&gt;=EOMONTH($H$79,0),AY$6&lt;=EOMONTH(EDATE($H$79,$E$79-1),0)),$G$79/MAX($E$79,1),0)</f>
        <v>0</v>
      </c>
      <c r="AZ92" s="159" t="n">
        <f aca="false">IF(AND(AZ$6&gt;=EOMONTH($H$79,0),AZ$6&lt;=EOMONTH(EDATE($H$79,$E$79-1),0)),$G$79/MAX($E$79,1),0)</f>
        <v>0</v>
      </c>
      <c r="BA92" s="159" t="n">
        <f aca="false">IF(AND(BA$6&gt;=EOMONTH($H$79,0),BA$6&lt;=EOMONTH(EDATE($H$79,$E$79-1),0)),$G$79/MAX($E$79,1),0)</f>
        <v>0</v>
      </c>
      <c r="BB92" s="159" t="n">
        <f aca="false">IF(AND(BB$6&gt;=EOMONTH($H$79,0),BB$6&lt;=EOMONTH(EDATE($H$79,$E$79-1),0)),$G$79/MAX($E$79,1),0)</f>
        <v>0</v>
      </c>
      <c r="BC92" s="159" t="n">
        <f aca="false">IF(AND(BC$6&gt;=EOMONTH($H$79,0),BC$6&lt;=EOMONTH(EDATE($H$79,$E$79-1),0)),$G$79/MAX($E$79,1),0)</f>
        <v>0</v>
      </c>
      <c r="BD92" s="159" t="n">
        <f aca="false">IF(AND(BD$6&gt;=EOMONTH($H$79,0),BD$6&lt;=EOMONTH(EDATE($H$79,$E$79-1),0)),$G$79/MAX($E$79,1),0)</f>
        <v>0</v>
      </c>
      <c r="BE92" s="159" t="n">
        <f aca="false">IF(AND(BE$6&gt;=EOMONTH($H$79,0),BE$6&lt;=EOMONTH(EDATE($H$79,$E$79-1),0)),$G$79/MAX($E$79,1),0)</f>
        <v>0</v>
      </c>
      <c r="BF92" s="159" t="n">
        <f aca="false">IF(AND(BF$6&gt;=EOMONTH($H$79,0),BF$6&lt;=EOMONTH(EDATE($H$79,$E$79-1),0)),$G$79/MAX($E$79,1),0)</f>
        <v>0</v>
      </c>
      <c r="BG92" s="159" t="n">
        <f aca="false">IF(AND(BG$6&gt;=EOMONTH($H$79,0),BG$6&lt;=EOMONTH(EDATE($H$79,$E$79-1),0)),$G$79/MAX($E$79,1),0)</f>
        <v>0</v>
      </c>
      <c r="BH92" s="159" t="n">
        <f aca="false">IF(AND(BH$6&gt;=EOMONTH($H$79,0),BH$6&lt;=EOMONTH(EDATE($H$79,$E$79-1),0)),$G$79/MAX($E$79,1),0)</f>
        <v>0</v>
      </c>
      <c r="BI92" s="159" t="n">
        <f aca="false">IF(AND(BI$6&gt;=EOMONTH($H$79,0),BI$6&lt;=EOMONTH(EDATE($H$79,$E$79-1),0)),$G$79/MAX($E$79,1),0)</f>
        <v>0</v>
      </c>
      <c r="BJ92" s="159" t="n">
        <f aca="false">IF(AND(BJ$6&gt;=EOMONTH($H$79,0),BJ$6&lt;=EOMONTH(EDATE($H$79,$E$79-1),0)),$G$79/MAX($E$79,1),0)</f>
        <v>0</v>
      </c>
      <c r="BK92" s="159" t="n">
        <f aca="false">IF(AND(BK$6&gt;=EOMONTH($H$79,0),BK$6&lt;=EOMONTH(EDATE($H$79,$E$79-1),0)),$G$79/MAX($E$79,1),0)</f>
        <v>0</v>
      </c>
      <c r="BL92" s="159" t="n">
        <f aca="false">IF(AND(BL$6&gt;=EOMONTH($H$79,0),BL$6&lt;=EOMONTH(EDATE($H$79,$E$79-1),0)),$G$79/MAX($E$79,1),0)</f>
        <v>0</v>
      </c>
      <c r="BM92" s="159" t="n">
        <f aca="false">IF(AND(BM$6&gt;=EOMONTH($H$79,0),BM$6&lt;=EOMONTH(EDATE($H$79,$E$79-1),0)),$G$79/MAX($E$79,1),0)</f>
        <v>0</v>
      </c>
      <c r="BN92" s="159" t="n">
        <f aca="false">IF(AND(BN$6&gt;=EOMONTH($H$79,0),BN$6&lt;=EOMONTH(EDATE($H$79,$E$79-1),0)),$G$79/MAX($E$79,1),0)</f>
        <v>0</v>
      </c>
      <c r="BO92" s="159" t="n">
        <f aca="false">IF(AND(BO$6&gt;=EOMONTH($H$79,0),BO$6&lt;=EOMONTH(EDATE($H$79,$E$79-1),0)),$G$79/MAX($E$79,1),0)</f>
        <v>0</v>
      </c>
      <c r="BP92" s="159" t="n">
        <f aca="false">IF(AND(BP$6&gt;=EOMONTH($H$79,0),BP$6&lt;=EOMONTH(EDATE($H$79,$E$79-1),0)),$G$79/MAX($E$79,1),0)</f>
        <v>0</v>
      </c>
      <c r="BQ92" s="159" t="n">
        <f aca="false">IF(AND(BQ$6&gt;=EOMONTH($H$79,0),BQ$6&lt;=EOMONTH(EDATE($H$79,$E$79-1),0)),$G$79/MAX($E$79,1),0)</f>
        <v>0</v>
      </c>
      <c r="BR92" s="159" t="n">
        <f aca="false">IF(AND(BR$6&gt;=EOMONTH($H$79,0),BR$6&lt;=EOMONTH(EDATE($H$79,$E$79-1),0)),$G$79/MAX($E$79,1),0)</f>
        <v>0</v>
      </c>
      <c r="BS92" s="159" t="n">
        <f aca="false">IF(AND(BS$6&gt;=EOMONTH($H$79,0),BS$6&lt;=EOMONTH(EDATE($H$79,$E$79-1),0)),$G$79/MAX($E$79,1),0)</f>
        <v>0</v>
      </c>
      <c r="BT92" s="159" t="n">
        <f aca="false">IF(AND(BT$6&gt;=EOMONTH($H$79,0),BT$6&lt;=EOMONTH(EDATE($H$79,$E$79-1),0)),$G$79/MAX($E$79,1),0)</f>
        <v>0</v>
      </c>
      <c r="BU92" s="159" t="n">
        <f aca="false">IF(AND(BU$6&gt;=EOMONTH($H$79,0),BU$6&lt;=EOMONTH(EDATE($H$79,$E$79-1),0)),$G$79/MAX($E$79,1),0)</f>
        <v>0</v>
      </c>
      <c r="BV92" s="159" t="n">
        <f aca="false">IF(AND(BV$6&gt;=EOMONTH($H$79,0),BV$6&lt;=EOMONTH(EDATE($H$79,$E$79-1),0)),$G$79/MAX($E$79,1),0)</f>
        <v>0</v>
      </c>
      <c r="BW92" s="159" t="n">
        <f aca="false">IF(AND(BW$6&gt;=EOMONTH($H$79,0),BW$6&lt;=EOMONTH(EDATE($H$79,$E$79-1),0)),$G$79/MAX($E$79,1),0)</f>
        <v>0</v>
      </c>
      <c r="BX92" s="159" t="n">
        <f aca="false">IF(AND(BX$6&gt;=EOMONTH($H$79,0),BX$6&lt;=EOMONTH(EDATE($H$79,$E$79-1),0)),$G$79/MAX($E$79,1),0)</f>
        <v>0</v>
      </c>
      <c r="BY92" s="159" t="n">
        <f aca="false">IF(AND(BY$6&gt;=EOMONTH($H$79,0),BY$6&lt;=EOMONTH(EDATE($H$79,$E$79-1),0)),$G$79/MAX($E$79,1),0)</f>
        <v>0</v>
      </c>
      <c r="BZ92" s="159" t="n">
        <f aca="false">IF(AND(BZ$6&gt;=EOMONTH($H$79,0),BZ$6&lt;=EOMONTH(EDATE($H$79,$E$79-1),0)),$G$79/MAX($E$79,1),0)</f>
        <v>0</v>
      </c>
      <c r="CA92" s="159" t="n">
        <f aca="false">IF(AND(CA$6&gt;=EOMONTH($H$79,0),CA$6&lt;=EOMONTH(EDATE($H$79,$E$79-1),0)),$G$79/MAX($E$79,1),0)</f>
        <v>0</v>
      </c>
    </row>
    <row r="93" customFormat="false" ht="15" hidden="false" customHeight="false" outlineLevel="0" collapsed="false">
      <c r="B93" s="196" t="s">
        <v>645</v>
      </c>
      <c r="T93" s="159" t="n">
        <f aca="false">IF(AND(T$6&gt;=EOMONTH($H$83,0),T$6&lt;=EOMONTH(EDATE($H$83,$E$83-1),0)),$G$83/MAX($E$83,1),0)</f>
        <v>0</v>
      </c>
      <c r="U93" s="159" t="n">
        <f aca="false">IF(AND(U$6&gt;=EOMONTH($H$83,0),U$6&lt;=EOMONTH(EDATE($H$83,$E$83-1),0)),$G$83/MAX($E$83,1),0)</f>
        <v>0</v>
      </c>
      <c r="V93" s="159" t="n">
        <f aca="false">IF(AND(V$6&gt;=EOMONTH($H$83,0),V$6&lt;=EOMONTH(EDATE($H$83,$E$83-1),0)),$G$83/MAX($E$83,1),0)</f>
        <v>0</v>
      </c>
      <c r="W93" s="159" t="n">
        <f aca="false">IF(AND(W$6&gt;=EOMONTH($H$83,0),W$6&lt;=EOMONTH(EDATE($H$83,$E$83-1),0)),$G$83/MAX($E$83,1),0)</f>
        <v>0</v>
      </c>
      <c r="X93" s="159" t="n">
        <f aca="false">IF(AND(X$6&gt;=EOMONTH($H$83,0),X$6&lt;=EOMONTH(EDATE($H$83,$E$83-1),0)),$G$83/MAX($E$83,1),0)</f>
        <v>0</v>
      </c>
      <c r="Y93" s="159" t="n">
        <f aca="false">IF(AND(Y$6&gt;=EOMONTH($H$83,0),Y$6&lt;=EOMONTH(EDATE($H$83,$E$83-1),0)),$G$83/MAX($E$83,1),0)</f>
        <v>0</v>
      </c>
      <c r="Z93" s="159" t="n">
        <f aca="false">IF(AND(Z$6&gt;=EOMONTH($H$83,0),Z$6&lt;=EOMONTH(EDATE($H$83,$E$83-1),0)),$G$83/MAX($E$83,1),0)</f>
        <v>0</v>
      </c>
      <c r="AA93" s="159" t="n">
        <f aca="false">IF(AND(AA$6&gt;=EOMONTH($H$83,0),AA$6&lt;=EOMONTH(EDATE($H$83,$E$83-1),0)),$G$83/MAX($E$83,1),0)</f>
        <v>0</v>
      </c>
      <c r="AB93" s="159" t="n">
        <f aca="false">IF(AND(AB$6&gt;=EOMONTH($H$83,0),AB$6&lt;=EOMONTH(EDATE($H$83,$E$83-1),0)),$G$83/MAX($E$83,1),0)</f>
        <v>0</v>
      </c>
      <c r="AC93" s="159" t="n">
        <f aca="false">IF(AND(AC$6&gt;=EOMONTH($H$83,0),AC$6&lt;=EOMONTH(EDATE($H$83,$E$83-1),0)),$G$83/MAX($E$83,1),0)</f>
        <v>0</v>
      </c>
      <c r="AD93" s="159" t="n">
        <f aca="false">IF(AND(AD$6&gt;=EOMONTH($H$83,0),AD$6&lt;=EOMONTH(EDATE($H$83,$E$83-1),0)),$G$83/MAX($E$83,1),0)</f>
        <v>0</v>
      </c>
      <c r="AE93" s="159" t="n">
        <f aca="false">IF(AND(AE$6&gt;=EOMONTH($H$83,0),AE$6&lt;=EOMONTH(EDATE($H$83,$E$83-1),0)),$G$83/MAX($E$83,1),0)</f>
        <v>0</v>
      </c>
      <c r="AF93" s="159" t="n">
        <f aca="false">IF(AND(AF$6&gt;=EOMONTH($H$83,0),AF$6&lt;=EOMONTH(EDATE($H$83,$E$83-1),0)),$G$83/MAX($E$83,1),0)</f>
        <v>55000</v>
      </c>
      <c r="AG93" s="159" t="n">
        <f aca="false">IF(AND(AG$6&gt;=EOMONTH($H$83,0),AG$6&lt;=EOMONTH(EDATE($H$83,$E$83-1),0)),$G$83/MAX($E$83,1),0)</f>
        <v>0</v>
      </c>
      <c r="AH93" s="159" t="n">
        <f aca="false">IF(AND(AH$6&gt;=EOMONTH($H$83,0),AH$6&lt;=EOMONTH(EDATE($H$83,$E$83-1),0)),$G$83/MAX($E$83,1),0)</f>
        <v>0</v>
      </c>
      <c r="AI93" s="159" t="n">
        <f aca="false">IF(AND(AI$6&gt;=EOMONTH($H$83,0),AI$6&lt;=EOMONTH(EDATE($H$83,$E$83-1),0)),$G$83/MAX($E$83,1),0)</f>
        <v>0</v>
      </c>
      <c r="AJ93" s="159" t="n">
        <f aca="false">IF(AND(AJ$6&gt;=EOMONTH($H$83,0),AJ$6&lt;=EOMONTH(EDATE($H$83,$E$83-1),0)),$G$83/MAX($E$83,1),0)</f>
        <v>0</v>
      </c>
      <c r="AK93" s="159" t="n">
        <f aca="false">IF(AND(AK$6&gt;=EOMONTH($H$83,0),AK$6&lt;=EOMONTH(EDATE($H$83,$E$83-1),0)),$G$83/MAX($E$83,1),0)</f>
        <v>0</v>
      </c>
      <c r="AL93" s="159" t="n">
        <f aca="false">IF(AND(AL$6&gt;=EOMONTH($H$83,0),AL$6&lt;=EOMONTH(EDATE($H$83,$E$83-1),0)),$G$83/MAX($E$83,1),0)</f>
        <v>0</v>
      </c>
      <c r="AM93" s="159" t="n">
        <f aca="false">IF(AND(AM$6&gt;=EOMONTH($H$83,0),AM$6&lt;=EOMONTH(EDATE($H$83,$E$83-1),0)),$G$83/MAX($E$83,1),0)</f>
        <v>0</v>
      </c>
      <c r="AN93" s="159" t="n">
        <f aca="false">IF(AND(AN$6&gt;=EOMONTH($H$83,0),AN$6&lt;=EOMONTH(EDATE($H$83,$E$83-1),0)),$G$83/MAX($E$83,1),0)</f>
        <v>0</v>
      </c>
      <c r="AO93" s="159" t="n">
        <f aca="false">IF(AND(AO$6&gt;=EOMONTH($H$83,0),AO$6&lt;=EOMONTH(EDATE($H$83,$E$83-1),0)),$G$83/MAX($E$83,1),0)</f>
        <v>0</v>
      </c>
      <c r="AP93" s="159" t="n">
        <f aca="false">IF(AND(AP$6&gt;=EOMONTH($H$83,0),AP$6&lt;=EOMONTH(EDATE($H$83,$E$83-1),0)),$G$83/MAX($E$83,1),0)</f>
        <v>0</v>
      </c>
      <c r="AQ93" s="159" t="n">
        <f aca="false">IF(AND(AQ$6&gt;=EOMONTH($H$83,0),AQ$6&lt;=EOMONTH(EDATE($H$83,$E$83-1),0)),$G$83/MAX($E$83,1),0)</f>
        <v>0</v>
      </c>
      <c r="AR93" s="159" t="n">
        <f aca="false">IF(AND(AR$6&gt;=EOMONTH($H$83,0),AR$6&lt;=EOMONTH(EDATE($H$83,$E$83-1),0)),$G$83/MAX($E$83,1),0)</f>
        <v>0</v>
      </c>
      <c r="AS93" s="159" t="n">
        <f aca="false">IF(AND(AS$6&gt;=EOMONTH($H$83,0),AS$6&lt;=EOMONTH(EDATE($H$83,$E$83-1),0)),$G$83/MAX($E$83,1),0)</f>
        <v>0</v>
      </c>
      <c r="AT93" s="159" t="n">
        <f aca="false">IF(AND(AT$6&gt;=EOMONTH($H$83,0),AT$6&lt;=EOMONTH(EDATE($H$83,$E$83-1),0)),$G$83/MAX($E$83,1),0)</f>
        <v>0</v>
      </c>
      <c r="AU93" s="159" t="n">
        <f aca="false">IF(AND(AU$6&gt;=EOMONTH($H$83,0),AU$6&lt;=EOMONTH(EDATE($H$83,$E$83-1),0)),$G$83/MAX($E$83,1),0)</f>
        <v>0</v>
      </c>
      <c r="AV93" s="159" t="n">
        <f aca="false">IF(AND(AV$6&gt;=EOMONTH($H$83,0),AV$6&lt;=EOMONTH(EDATE($H$83,$E$83-1),0)),$G$83/MAX($E$83,1),0)</f>
        <v>0</v>
      </c>
      <c r="AW93" s="159" t="n">
        <f aca="false">IF(AND(AW$6&gt;=EOMONTH($H$83,0),AW$6&lt;=EOMONTH(EDATE($H$83,$E$83-1),0)),$G$83/MAX($E$83,1),0)</f>
        <v>0</v>
      </c>
      <c r="AX93" s="159" t="n">
        <f aca="false">IF(AND(AX$6&gt;=EOMONTH($H$83,0),AX$6&lt;=EOMONTH(EDATE($H$83,$E$83-1),0)),$G$83/MAX($E$83,1),0)</f>
        <v>0</v>
      </c>
      <c r="AY93" s="159" t="n">
        <f aca="false">IF(AND(AY$6&gt;=EOMONTH($H$83,0),AY$6&lt;=EOMONTH(EDATE($H$83,$E$83-1),0)),$G$83/MAX($E$83,1),0)</f>
        <v>0</v>
      </c>
      <c r="AZ93" s="159" t="n">
        <f aca="false">IF(AND(AZ$6&gt;=EOMONTH($H$83,0),AZ$6&lt;=EOMONTH(EDATE($H$83,$E$83-1),0)),$G$83/MAX($E$83,1),0)</f>
        <v>0</v>
      </c>
      <c r="BA93" s="159" t="n">
        <f aca="false">IF(AND(BA$6&gt;=EOMONTH($H$83,0),BA$6&lt;=EOMONTH(EDATE($H$83,$E$83-1),0)),$G$83/MAX($E$83,1),0)</f>
        <v>0</v>
      </c>
      <c r="BB93" s="159" t="n">
        <f aca="false">IF(AND(BB$6&gt;=EOMONTH($H$83,0),BB$6&lt;=EOMONTH(EDATE($H$83,$E$83-1),0)),$G$83/MAX($E$83,1),0)</f>
        <v>0</v>
      </c>
      <c r="BC93" s="159" t="n">
        <f aca="false">IF(AND(BC$6&gt;=EOMONTH($H$83,0),BC$6&lt;=EOMONTH(EDATE($H$83,$E$83-1),0)),$G$83/MAX($E$83,1),0)</f>
        <v>0</v>
      </c>
      <c r="BD93" s="159" t="n">
        <f aca="false">IF(AND(BD$6&gt;=EOMONTH($H$83,0),BD$6&lt;=EOMONTH(EDATE($H$83,$E$83-1),0)),$G$83/MAX($E$83,1),0)</f>
        <v>0</v>
      </c>
      <c r="BE93" s="159" t="n">
        <f aca="false">IF(AND(BE$6&gt;=EOMONTH($H$83,0),BE$6&lt;=EOMONTH(EDATE($H$83,$E$83-1),0)),$G$83/MAX($E$83,1),0)</f>
        <v>0</v>
      </c>
      <c r="BF93" s="159" t="n">
        <f aca="false">IF(AND(BF$6&gt;=EOMONTH($H$83,0),BF$6&lt;=EOMONTH(EDATE($H$83,$E$83-1),0)),$G$83/MAX($E$83,1),0)</f>
        <v>0</v>
      </c>
      <c r="BG93" s="159" t="n">
        <f aca="false">IF(AND(BG$6&gt;=EOMONTH($H$83,0),BG$6&lt;=EOMONTH(EDATE($H$83,$E$83-1),0)),$G$83/MAX($E$83,1),0)</f>
        <v>0</v>
      </c>
      <c r="BH93" s="159" t="n">
        <f aca="false">IF(AND(BH$6&gt;=EOMONTH($H$83,0),BH$6&lt;=EOMONTH(EDATE($H$83,$E$83-1),0)),$G$83/MAX($E$83,1),0)</f>
        <v>0</v>
      </c>
      <c r="BI93" s="159" t="n">
        <f aca="false">IF(AND(BI$6&gt;=EOMONTH($H$83,0),BI$6&lt;=EOMONTH(EDATE($H$83,$E$83-1),0)),$G$83/MAX($E$83,1),0)</f>
        <v>0</v>
      </c>
      <c r="BJ93" s="159" t="n">
        <f aca="false">IF(AND(BJ$6&gt;=EOMONTH($H$83,0),BJ$6&lt;=EOMONTH(EDATE($H$83,$E$83-1),0)),$G$83/MAX($E$83,1),0)</f>
        <v>0</v>
      </c>
      <c r="BK93" s="159" t="n">
        <f aca="false">IF(AND(BK$6&gt;=EOMONTH($H$83,0),BK$6&lt;=EOMONTH(EDATE($H$83,$E$83-1),0)),$G$83/MAX($E$83,1),0)</f>
        <v>0</v>
      </c>
      <c r="BL93" s="159" t="n">
        <f aca="false">IF(AND(BL$6&gt;=EOMONTH($H$83,0),BL$6&lt;=EOMONTH(EDATE($H$83,$E$83-1),0)),$G$83/MAX($E$83,1),0)</f>
        <v>0</v>
      </c>
      <c r="BM93" s="159" t="n">
        <f aca="false">IF(AND(BM$6&gt;=EOMONTH($H$83,0),BM$6&lt;=EOMONTH(EDATE($H$83,$E$83-1),0)),$G$83/MAX($E$83,1),0)</f>
        <v>0</v>
      </c>
      <c r="BN93" s="159" t="n">
        <f aca="false">IF(AND(BN$6&gt;=EOMONTH($H$83,0),BN$6&lt;=EOMONTH(EDATE($H$83,$E$83-1),0)),$G$83/MAX($E$83,1),0)</f>
        <v>0</v>
      </c>
      <c r="BO93" s="159" t="n">
        <f aca="false">IF(AND(BO$6&gt;=EOMONTH($H$83,0),BO$6&lt;=EOMONTH(EDATE($H$83,$E$83-1),0)),$G$83/MAX($E$83,1),0)</f>
        <v>0</v>
      </c>
      <c r="BP93" s="159" t="n">
        <f aca="false">IF(AND(BP$6&gt;=EOMONTH($H$83,0),BP$6&lt;=EOMONTH(EDATE($H$83,$E$83-1),0)),$G$83/MAX($E$83,1),0)</f>
        <v>0</v>
      </c>
      <c r="BQ93" s="159" t="n">
        <f aca="false">IF(AND(BQ$6&gt;=EOMONTH($H$83,0),BQ$6&lt;=EOMONTH(EDATE($H$83,$E$83-1),0)),$G$83/MAX($E$83,1),0)</f>
        <v>0</v>
      </c>
      <c r="BR93" s="159" t="n">
        <f aca="false">IF(AND(BR$6&gt;=EOMONTH($H$83,0),BR$6&lt;=EOMONTH(EDATE($H$83,$E$83-1),0)),$G$83/MAX($E$83,1),0)</f>
        <v>0</v>
      </c>
      <c r="BS93" s="159" t="n">
        <f aca="false">IF(AND(BS$6&gt;=EOMONTH($H$83,0),BS$6&lt;=EOMONTH(EDATE($H$83,$E$83-1),0)),$G$83/MAX($E$83,1),0)</f>
        <v>0</v>
      </c>
      <c r="BT93" s="159" t="n">
        <f aca="false">IF(AND(BT$6&gt;=EOMONTH($H$83,0),BT$6&lt;=EOMONTH(EDATE($H$83,$E$83-1),0)),$G$83/MAX($E$83,1),0)</f>
        <v>0</v>
      </c>
      <c r="BU93" s="159" t="n">
        <f aca="false">IF(AND(BU$6&gt;=EOMONTH($H$83,0),BU$6&lt;=EOMONTH(EDATE($H$83,$E$83-1),0)),$G$83/MAX($E$83,1),0)</f>
        <v>0</v>
      </c>
      <c r="BV93" s="159" t="n">
        <f aca="false">IF(AND(BV$6&gt;=EOMONTH($H$83,0),BV$6&lt;=EOMONTH(EDATE($H$83,$E$83-1),0)),$G$83/MAX($E$83,1),0)</f>
        <v>0</v>
      </c>
      <c r="BW93" s="159" t="n">
        <f aca="false">IF(AND(BW$6&gt;=EOMONTH($H$83,0),BW$6&lt;=EOMONTH(EDATE($H$83,$E$83-1),0)),$G$83/MAX($E$83,1),0)</f>
        <v>0</v>
      </c>
      <c r="BX93" s="159" t="n">
        <f aca="false">IF(AND(BX$6&gt;=EOMONTH($H$83,0),BX$6&lt;=EOMONTH(EDATE($H$83,$E$83-1),0)),$G$83/MAX($E$83,1),0)</f>
        <v>0</v>
      </c>
      <c r="BY93" s="159" t="n">
        <f aca="false">IF(AND(BY$6&gt;=EOMONTH($H$83,0),BY$6&lt;=EOMONTH(EDATE($H$83,$E$83-1),0)),$G$83/MAX($E$83,1),0)</f>
        <v>0</v>
      </c>
      <c r="BZ93" s="159" t="n">
        <f aca="false">IF(AND(BZ$6&gt;=EOMONTH($H$83,0),BZ$6&lt;=EOMONTH(EDATE($H$83,$E$83-1),0)),$G$83/MAX($E$83,1),0)</f>
        <v>0</v>
      </c>
      <c r="CA93" s="159" t="n">
        <f aca="false">IF(AND(CA$6&gt;=EOMONTH($H$83,0),CA$6&lt;=EOMONTH(EDATE($H$83,$E$83-1),0)),$G$83/MAX($E$83,1),0)</f>
        <v>0</v>
      </c>
    </row>
    <row r="94" customFormat="false" ht="15" hidden="false" customHeight="false" outlineLevel="0" collapsed="false">
      <c r="B94" s="196" t="s">
        <v>646</v>
      </c>
      <c r="T94" s="159" t="n">
        <f aca="false">IF(AND(T$6&gt;=EOMONTH($H$84,0),T$6&lt;=EOMONTH(EDATE($H$84,$E$84-1),0)),$G$84/MAX($E$84,1),0)</f>
        <v>0</v>
      </c>
      <c r="U94" s="159" t="n">
        <f aca="false">IF(AND(U$6&gt;=EOMONTH($H$84,0),U$6&lt;=EOMONTH(EDATE($H$84,$E$84-1),0)),$G$84/MAX($E$84,1),0)</f>
        <v>0</v>
      </c>
      <c r="V94" s="159" t="n">
        <f aca="false">IF(AND(V$6&gt;=EOMONTH($H$84,0),V$6&lt;=EOMONTH(EDATE($H$84,$E$84-1),0)),$G$84/MAX($E$84,1),0)</f>
        <v>0</v>
      </c>
      <c r="W94" s="159" t="n">
        <f aca="false">IF(AND(W$6&gt;=EOMONTH($H$84,0),W$6&lt;=EOMONTH(EDATE($H$84,$E$84-1),0)),$G$84/MAX($E$84,1),0)</f>
        <v>0</v>
      </c>
      <c r="X94" s="159" t="n">
        <f aca="false">IF(AND(X$6&gt;=EOMONTH($H$84,0),X$6&lt;=EOMONTH(EDATE($H$84,$E$84-1),0)),$G$84/MAX($E$84,1),0)</f>
        <v>0</v>
      </c>
      <c r="Y94" s="159" t="n">
        <f aca="false">IF(AND(Y$6&gt;=EOMONTH($H$84,0),Y$6&lt;=EOMONTH(EDATE($H$84,$E$84-1),0)),$G$84/MAX($E$84,1),0)</f>
        <v>0</v>
      </c>
      <c r="Z94" s="159" t="n">
        <f aca="false">IF(AND(Z$6&gt;=EOMONTH($H$84,0),Z$6&lt;=EOMONTH(EDATE($H$84,$E$84-1),0)),$G$84/MAX($E$84,1),0)</f>
        <v>0</v>
      </c>
      <c r="AA94" s="159" t="n">
        <f aca="false">IF(AND(AA$6&gt;=EOMONTH($H$84,0),AA$6&lt;=EOMONTH(EDATE($H$84,$E$84-1),0)),$G$84/MAX($E$84,1),0)</f>
        <v>0</v>
      </c>
      <c r="AB94" s="159" t="n">
        <f aca="false">IF(AND(AB$6&gt;=EOMONTH($H$84,0),AB$6&lt;=EOMONTH(EDATE($H$84,$E$84-1),0)),$G$84/MAX($E$84,1),0)</f>
        <v>0</v>
      </c>
      <c r="AC94" s="159" t="n">
        <f aca="false">IF(AND(AC$6&gt;=EOMONTH($H$84,0),AC$6&lt;=EOMONTH(EDATE($H$84,$E$84-1),0)),$G$84/MAX($E$84,1),0)</f>
        <v>0</v>
      </c>
      <c r="AD94" s="159" t="n">
        <f aca="false">IF(AND(AD$6&gt;=EOMONTH($H$84,0),AD$6&lt;=EOMONTH(EDATE($H$84,$E$84-1),0)),$G$84/MAX($E$84,1),0)</f>
        <v>0</v>
      </c>
      <c r="AE94" s="159" t="n">
        <f aca="false">IF(AND(AE$6&gt;=EOMONTH($H$84,0),AE$6&lt;=EOMONTH(EDATE($H$84,$E$84-1),0)),$G$84/MAX($E$84,1),0)</f>
        <v>0</v>
      </c>
      <c r="AF94" s="159" t="n">
        <f aca="false">IF(AND(AF$6&gt;=EOMONTH($H$84,0),AF$6&lt;=EOMONTH(EDATE($H$84,$E$84-1),0)),$G$84/MAX($E$84,1),0)</f>
        <v>0</v>
      </c>
      <c r="AG94" s="159" t="n">
        <f aca="false">IF(AND(AG$6&gt;=EOMONTH($H$84,0),AG$6&lt;=EOMONTH(EDATE($H$84,$E$84-1),0)),$G$84/MAX($E$84,1),0)</f>
        <v>146666.666666667</v>
      </c>
      <c r="AH94" s="159" t="n">
        <f aca="false">IF(AND(AH$6&gt;=EOMONTH($H$84,0),AH$6&lt;=EOMONTH(EDATE($H$84,$E$84-1),0)),$G$84/MAX($E$84,1),0)</f>
        <v>146666.666666667</v>
      </c>
      <c r="AI94" s="159" t="n">
        <f aca="false">IF(AND(AI$6&gt;=EOMONTH($H$84,0),AI$6&lt;=EOMONTH(EDATE($H$84,$E$84-1),0)),$G$84/MAX($E$84,1),0)</f>
        <v>146666.666666667</v>
      </c>
      <c r="AJ94" s="159" t="n">
        <f aca="false">IF(AND(AJ$6&gt;=EOMONTH($H$84,0),AJ$6&lt;=EOMONTH(EDATE($H$84,$E$84-1),0)),$G$84/MAX($E$84,1),0)</f>
        <v>146666.666666667</v>
      </c>
      <c r="AK94" s="159" t="n">
        <f aca="false">IF(AND(AK$6&gt;=EOMONTH($H$84,0),AK$6&lt;=EOMONTH(EDATE($H$84,$E$84-1),0)),$G$84/MAX($E$84,1),0)</f>
        <v>146666.666666667</v>
      </c>
      <c r="AL94" s="159" t="n">
        <f aca="false">IF(AND(AL$6&gt;=EOMONTH($H$84,0),AL$6&lt;=EOMONTH(EDATE($H$84,$E$84-1),0)),$G$84/MAX($E$84,1),0)</f>
        <v>0</v>
      </c>
      <c r="AM94" s="159" t="n">
        <f aca="false">IF(AND(AM$6&gt;=EOMONTH($H$84,0),AM$6&lt;=EOMONTH(EDATE($H$84,$E$84-1),0)),$G$84/MAX($E$84,1),0)</f>
        <v>0</v>
      </c>
      <c r="AN94" s="159" t="n">
        <f aca="false">IF(AND(AN$6&gt;=EOMONTH($H$84,0),AN$6&lt;=EOMONTH(EDATE($H$84,$E$84-1),0)),$G$84/MAX($E$84,1),0)</f>
        <v>0</v>
      </c>
      <c r="AO94" s="159" t="n">
        <f aca="false">IF(AND(AO$6&gt;=EOMONTH($H$84,0),AO$6&lt;=EOMONTH(EDATE($H$84,$E$84-1),0)),$G$84/MAX($E$84,1),0)</f>
        <v>0</v>
      </c>
      <c r="AP94" s="159" t="n">
        <f aca="false">IF(AND(AP$6&gt;=EOMONTH($H$84,0),AP$6&lt;=EOMONTH(EDATE($H$84,$E$84-1),0)),$G$84/MAX($E$84,1),0)</f>
        <v>0</v>
      </c>
      <c r="AQ94" s="159" t="n">
        <f aca="false">IF(AND(AQ$6&gt;=EOMONTH($H$84,0),AQ$6&lt;=EOMONTH(EDATE($H$84,$E$84-1),0)),$G$84/MAX($E$84,1),0)</f>
        <v>0</v>
      </c>
      <c r="AR94" s="159" t="n">
        <f aca="false">IF(AND(AR$6&gt;=EOMONTH($H$84,0),AR$6&lt;=EOMONTH(EDATE($H$84,$E$84-1),0)),$G$84/MAX($E$84,1),0)</f>
        <v>0</v>
      </c>
      <c r="AS94" s="159" t="n">
        <f aca="false">IF(AND(AS$6&gt;=EOMONTH($H$84,0),AS$6&lt;=EOMONTH(EDATE($H$84,$E$84-1),0)),$G$84/MAX($E$84,1),0)</f>
        <v>0</v>
      </c>
      <c r="AT94" s="159" t="n">
        <f aca="false">IF(AND(AT$6&gt;=EOMONTH($H$84,0),AT$6&lt;=EOMONTH(EDATE($H$84,$E$84-1),0)),$G$84/MAX($E$84,1),0)</f>
        <v>0</v>
      </c>
      <c r="AU94" s="159" t="n">
        <f aca="false">IF(AND(AU$6&gt;=EOMONTH($H$84,0),AU$6&lt;=EOMONTH(EDATE($H$84,$E$84-1),0)),$G$84/MAX($E$84,1),0)</f>
        <v>0</v>
      </c>
      <c r="AV94" s="159" t="n">
        <f aca="false">IF(AND(AV$6&gt;=EOMONTH($H$84,0),AV$6&lt;=EOMONTH(EDATE($H$84,$E$84-1),0)),$G$84/MAX($E$84,1),0)</f>
        <v>0</v>
      </c>
      <c r="AW94" s="159" t="n">
        <f aca="false">IF(AND(AW$6&gt;=EOMONTH($H$84,0),AW$6&lt;=EOMONTH(EDATE($H$84,$E$84-1),0)),$G$84/MAX($E$84,1),0)</f>
        <v>0</v>
      </c>
      <c r="AX94" s="159" t="n">
        <f aca="false">IF(AND(AX$6&gt;=EOMONTH($H$84,0),AX$6&lt;=EOMONTH(EDATE($H$84,$E$84-1),0)),$G$84/MAX($E$84,1),0)</f>
        <v>0</v>
      </c>
      <c r="AY94" s="159" t="n">
        <f aca="false">IF(AND(AY$6&gt;=EOMONTH($H$84,0),AY$6&lt;=EOMONTH(EDATE($H$84,$E$84-1),0)),$G$84/MAX($E$84,1),0)</f>
        <v>0</v>
      </c>
      <c r="AZ94" s="159" t="n">
        <f aca="false">IF(AND(AZ$6&gt;=EOMONTH($H$84,0),AZ$6&lt;=EOMONTH(EDATE($H$84,$E$84-1),0)),$G$84/MAX($E$84,1),0)</f>
        <v>0</v>
      </c>
      <c r="BA94" s="159" t="n">
        <f aca="false">IF(AND(BA$6&gt;=EOMONTH($H$84,0),BA$6&lt;=EOMONTH(EDATE($H$84,$E$84-1),0)),$G$84/MAX($E$84,1),0)</f>
        <v>0</v>
      </c>
      <c r="BB94" s="159" t="n">
        <f aca="false">IF(AND(BB$6&gt;=EOMONTH($H$84,0),BB$6&lt;=EOMONTH(EDATE($H$84,$E$84-1),0)),$G$84/MAX($E$84,1),0)</f>
        <v>0</v>
      </c>
      <c r="BC94" s="159" t="n">
        <f aca="false">IF(AND(BC$6&gt;=EOMONTH($H$84,0),BC$6&lt;=EOMONTH(EDATE($H$84,$E$84-1),0)),$G$84/MAX($E$84,1),0)</f>
        <v>0</v>
      </c>
      <c r="BD94" s="159" t="n">
        <f aca="false">IF(AND(BD$6&gt;=EOMONTH($H$84,0),BD$6&lt;=EOMONTH(EDATE($H$84,$E$84-1),0)),$G$84/MAX($E$84,1),0)</f>
        <v>0</v>
      </c>
      <c r="BE94" s="159" t="n">
        <f aca="false">IF(AND(BE$6&gt;=EOMONTH($H$84,0),BE$6&lt;=EOMONTH(EDATE($H$84,$E$84-1),0)),$G$84/MAX($E$84,1),0)</f>
        <v>0</v>
      </c>
      <c r="BF94" s="159" t="n">
        <f aca="false">IF(AND(BF$6&gt;=EOMONTH($H$84,0),BF$6&lt;=EOMONTH(EDATE($H$84,$E$84-1),0)),$G$84/MAX($E$84,1),0)</f>
        <v>0</v>
      </c>
      <c r="BG94" s="159" t="n">
        <f aca="false">IF(AND(BG$6&gt;=EOMONTH($H$84,0),BG$6&lt;=EOMONTH(EDATE($H$84,$E$84-1),0)),$G$84/MAX($E$84,1),0)</f>
        <v>0</v>
      </c>
      <c r="BH94" s="159" t="n">
        <f aca="false">IF(AND(BH$6&gt;=EOMONTH($H$84,0),BH$6&lt;=EOMONTH(EDATE($H$84,$E$84-1),0)),$G$84/MAX($E$84,1),0)</f>
        <v>0</v>
      </c>
      <c r="BI94" s="159" t="n">
        <f aca="false">IF(AND(BI$6&gt;=EOMONTH($H$84,0),BI$6&lt;=EOMONTH(EDATE($H$84,$E$84-1),0)),$G$84/MAX($E$84,1),0)</f>
        <v>0</v>
      </c>
      <c r="BJ94" s="159" t="n">
        <f aca="false">IF(AND(BJ$6&gt;=EOMONTH($H$84,0),BJ$6&lt;=EOMONTH(EDATE($H$84,$E$84-1),0)),$G$84/MAX($E$84,1),0)</f>
        <v>0</v>
      </c>
      <c r="BK94" s="159" t="n">
        <f aca="false">IF(AND(BK$6&gt;=EOMONTH($H$84,0),BK$6&lt;=EOMONTH(EDATE($H$84,$E$84-1),0)),$G$84/MAX($E$84,1),0)</f>
        <v>0</v>
      </c>
      <c r="BL94" s="159" t="n">
        <f aca="false">IF(AND(BL$6&gt;=EOMONTH($H$84,0),BL$6&lt;=EOMONTH(EDATE($H$84,$E$84-1),0)),$G$84/MAX($E$84,1),0)</f>
        <v>0</v>
      </c>
      <c r="BM94" s="159" t="n">
        <f aca="false">IF(AND(BM$6&gt;=EOMONTH($H$84,0),BM$6&lt;=EOMONTH(EDATE($H$84,$E$84-1),0)),$G$84/MAX($E$84,1),0)</f>
        <v>0</v>
      </c>
      <c r="BN94" s="159" t="n">
        <f aca="false">IF(AND(BN$6&gt;=EOMONTH($H$84,0),BN$6&lt;=EOMONTH(EDATE($H$84,$E$84-1),0)),$G$84/MAX($E$84,1),0)</f>
        <v>0</v>
      </c>
      <c r="BO94" s="159" t="n">
        <f aca="false">IF(AND(BO$6&gt;=EOMONTH($H$84,0),BO$6&lt;=EOMONTH(EDATE($H$84,$E$84-1),0)),$G$84/MAX($E$84,1),0)</f>
        <v>0</v>
      </c>
      <c r="BP94" s="159" t="n">
        <f aca="false">IF(AND(BP$6&gt;=EOMONTH($H$84,0),BP$6&lt;=EOMONTH(EDATE($H$84,$E$84-1),0)),$G$84/MAX($E$84,1),0)</f>
        <v>0</v>
      </c>
      <c r="BQ94" s="159" t="n">
        <f aca="false">IF(AND(BQ$6&gt;=EOMONTH($H$84,0),BQ$6&lt;=EOMONTH(EDATE($H$84,$E$84-1),0)),$G$84/MAX($E$84,1),0)</f>
        <v>0</v>
      </c>
      <c r="BR94" s="159" t="n">
        <f aca="false">IF(AND(BR$6&gt;=EOMONTH($H$84,0),BR$6&lt;=EOMONTH(EDATE($H$84,$E$84-1),0)),$G$84/MAX($E$84,1),0)</f>
        <v>0</v>
      </c>
      <c r="BS94" s="159" t="n">
        <f aca="false">IF(AND(BS$6&gt;=EOMONTH($H$84,0),BS$6&lt;=EOMONTH(EDATE($H$84,$E$84-1),0)),$G$84/MAX($E$84,1),0)</f>
        <v>0</v>
      </c>
      <c r="BT94" s="159" t="n">
        <f aca="false">IF(AND(BT$6&gt;=EOMONTH($H$84,0),BT$6&lt;=EOMONTH(EDATE($H$84,$E$84-1),0)),$G$84/MAX($E$84,1),0)</f>
        <v>0</v>
      </c>
      <c r="BU94" s="159" t="n">
        <f aca="false">IF(AND(BU$6&gt;=EOMONTH($H$84,0),BU$6&lt;=EOMONTH(EDATE($H$84,$E$84-1),0)),$G$84/MAX($E$84,1),0)</f>
        <v>0</v>
      </c>
      <c r="BV94" s="159" t="n">
        <f aca="false">IF(AND(BV$6&gt;=EOMONTH($H$84,0),BV$6&lt;=EOMONTH(EDATE($H$84,$E$84-1),0)),$G$84/MAX($E$84,1),0)</f>
        <v>0</v>
      </c>
      <c r="BW94" s="159" t="n">
        <f aca="false">IF(AND(BW$6&gt;=EOMONTH($H$84,0),BW$6&lt;=EOMONTH(EDATE($H$84,$E$84-1),0)),$G$84/MAX($E$84,1),0)</f>
        <v>0</v>
      </c>
      <c r="BX94" s="159" t="n">
        <f aca="false">IF(AND(BX$6&gt;=EOMONTH($H$84,0),BX$6&lt;=EOMONTH(EDATE($H$84,$E$84-1),0)),$G$84/MAX($E$84,1),0)</f>
        <v>0</v>
      </c>
      <c r="BY94" s="159" t="n">
        <f aca="false">IF(AND(BY$6&gt;=EOMONTH($H$84,0),BY$6&lt;=EOMONTH(EDATE($H$84,$E$84-1),0)),$G$84/MAX($E$84,1),0)</f>
        <v>0</v>
      </c>
      <c r="BZ94" s="159" t="n">
        <f aca="false">IF(AND(BZ$6&gt;=EOMONTH($H$84,0),BZ$6&lt;=EOMONTH(EDATE($H$84,$E$84-1),0)),$G$84/MAX($E$84,1),0)</f>
        <v>0</v>
      </c>
      <c r="CA94" s="159" t="n">
        <f aca="false">IF(AND(CA$6&gt;=EOMONTH($H$84,0),CA$6&lt;=EOMONTH(EDATE($H$84,$E$84-1),0)),$G$84/MAX($E$84,1),0)</f>
        <v>0</v>
      </c>
    </row>
    <row r="95" customFormat="false" ht="15" hidden="false" customHeight="false" outlineLevel="0" collapsed="false">
      <c r="B95" s="196" t="s">
        <v>647</v>
      </c>
      <c r="T95" s="159" t="n">
        <f aca="false">IF(AND(T$6&gt;=EOMONTH($H$85,0),T$6&lt;=EOMONTH(EDATE($H$85,$E$85-1),0)),$G$85/MAX($E$85,1),0)</f>
        <v>0</v>
      </c>
      <c r="U95" s="159" t="n">
        <f aca="false">IF(AND(U$6&gt;=EOMONTH($H$85,0),U$6&lt;=EOMONTH(EDATE($H$85,$E$85-1),0)),$G$85/MAX($E$85,1),0)</f>
        <v>0</v>
      </c>
      <c r="V95" s="159" t="n">
        <f aca="false">IF(AND(V$6&gt;=EOMONTH($H$85,0),V$6&lt;=EOMONTH(EDATE($H$85,$E$85-1),0)),$G$85/MAX($E$85,1),0)</f>
        <v>0</v>
      </c>
      <c r="W95" s="159" t="n">
        <f aca="false">IF(AND(W$6&gt;=EOMONTH($H$85,0),W$6&lt;=EOMONTH(EDATE($H$85,$E$85-1),0)),$G$85/MAX($E$85,1),0)</f>
        <v>0</v>
      </c>
      <c r="X95" s="159" t="n">
        <f aca="false">IF(AND(X$6&gt;=EOMONTH($H$85,0),X$6&lt;=EOMONTH(EDATE($H$85,$E$85-1),0)),$G$85/MAX($E$85,1),0)</f>
        <v>0</v>
      </c>
      <c r="Y95" s="159" t="n">
        <f aca="false">IF(AND(Y$6&gt;=EOMONTH($H$85,0),Y$6&lt;=EOMONTH(EDATE($H$85,$E$85-1),0)),$G$85/MAX($E$85,1),0)</f>
        <v>0</v>
      </c>
      <c r="Z95" s="159" t="n">
        <f aca="false">IF(AND(Z$6&gt;=EOMONTH($H$85,0),Z$6&lt;=EOMONTH(EDATE($H$85,$E$85-1),0)),$G$85/MAX($E$85,1),0)</f>
        <v>0</v>
      </c>
      <c r="AA95" s="159" t="n">
        <f aca="false">IF(AND(AA$6&gt;=EOMONTH($H$85,0),AA$6&lt;=EOMONTH(EDATE($H$85,$E$85-1),0)),$G$85/MAX($E$85,1),0)</f>
        <v>0</v>
      </c>
      <c r="AB95" s="159" t="n">
        <f aca="false">IF(AND(AB$6&gt;=EOMONTH($H$85,0),AB$6&lt;=EOMONTH(EDATE($H$85,$E$85-1),0)),$G$85/MAX($E$85,1),0)</f>
        <v>0</v>
      </c>
      <c r="AC95" s="159" t="n">
        <f aca="false">IF(AND(AC$6&gt;=EOMONTH($H$85,0),AC$6&lt;=EOMONTH(EDATE($H$85,$E$85-1),0)),$G$85/MAX($E$85,1),0)</f>
        <v>0</v>
      </c>
      <c r="AD95" s="159" t="n">
        <f aca="false">IF(AND(AD$6&gt;=EOMONTH($H$85,0),AD$6&lt;=EOMONTH(EDATE($H$85,$E$85-1),0)),$G$85/MAX($E$85,1),0)</f>
        <v>0</v>
      </c>
      <c r="AE95" s="159" t="n">
        <f aca="false">IF(AND(AE$6&gt;=EOMONTH($H$85,0),AE$6&lt;=EOMONTH(EDATE($H$85,$E$85-1),0)),$G$85/MAX($E$85,1),0)</f>
        <v>0</v>
      </c>
      <c r="AF95" s="159" t="n">
        <f aca="false">IF(AND(AF$6&gt;=EOMONTH($H$85,0),AF$6&lt;=EOMONTH(EDATE($H$85,$E$85-1),0)),$G$85/MAX($E$85,1),0)</f>
        <v>0</v>
      </c>
      <c r="AG95" s="159" t="n">
        <f aca="false">IF(AND(AG$6&gt;=EOMONTH($H$85,0),AG$6&lt;=EOMONTH(EDATE($H$85,$E$85-1),0)),$G$85/MAX($E$85,1),0)</f>
        <v>0</v>
      </c>
      <c r="AH95" s="159" t="n">
        <f aca="false">IF(AND(AH$6&gt;=EOMONTH($H$85,0),AH$6&lt;=EOMONTH(EDATE($H$85,$E$85-1),0)),$G$85/MAX($E$85,1),0)</f>
        <v>0</v>
      </c>
      <c r="AI95" s="159" t="n">
        <f aca="false">IF(AND(AI$6&gt;=EOMONTH($H$85,0),AI$6&lt;=EOMONTH(EDATE($H$85,$E$85-1),0)),$G$85/MAX($E$85,1),0)</f>
        <v>0</v>
      </c>
      <c r="AJ95" s="159" t="n">
        <f aca="false">IF(AND(AJ$6&gt;=EOMONTH($H$85,0),AJ$6&lt;=EOMONTH(EDATE($H$85,$E$85-1),0)),$G$85/MAX($E$85,1),0)</f>
        <v>0</v>
      </c>
      <c r="AK95" s="159" t="n">
        <f aca="false">IF(AND(AK$6&gt;=EOMONTH($H$85,0),AK$6&lt;=EOMONTH(EDATE($H$85,$E$85-1),0)),$G$85/MAX($E$85,1),0)</f>
        <v>0</v>
      </c>
      <c r="AL95" s="159" t="n">
        <f aca="false">IF(AND(AL$6&gt;=EOMONTH($H$85,0),AL$6&lt;=EOMONTH(EDATE($H$85,$E$85-1),0)),$G$85/MAX($E$85,1),0)</f>
        <v>73333.3333333333</v>
      </c>
      <c r="AM95" s="159" t="n">
        <f aca="false">IF(AND(AM$6&gt;=EOMONTH($H$85,0),AM$6&lt;=EOMONTH(EDATE($H$85,$E$85-1),0)),$G$85/MAX($E$85,1),0)</f>
        <v>73333.3333333333</v>
      </c>
      <c r="AN95" s="159" t="n">
        <f aca="false">IF(AND(AN$6&gt;=EOMONTH($H$85,0),AN$6&lt;=EOMONTH(EDATE($H$85,$E$85-1),0)),$G$85/MAX($E$85,1),0)</f>
        <v>73333.3333333333</v>
      </c>
      <c r="AO95" s="159" t="n">
        <f aca="false">IF(AND(AO$6&gt;=EOMONTH($H$85,0),AO$6&lt;=EOMONTH(EDATE($H$85,$E$85-1),0)),$G$85/MAX($E$85,1),0)</f>
        <v>73333.3333333333</v>
      </c>
      <c r="AP95" s="159" t="n">
        <f aca="false">IF(AND(AP$6&gt;=EOMONTH($H$85,0),AP$6&lt;=EOMONTH(EDATE($H$85,$E$85-1),0)),$G$85/MAX($E$85,1),0)</f>
        <v>73333.3333333333</v>
      </c>
      <c r="AQ95" s="159" t="n">
        <f aca="false">IF(AND(AQ$6&gt;=EOMONTH($H$85,0),AQ$6&lt;=EOMONTH(EDATE($H$85,$E$85-1),0)),$G$85/MAX($E$85,1),0)</f>
        <v>73333.3333333333</v>
      </c>
      <c r="AR95" s="159" t="n">
        <f aca="false">IF(AND(AR$6&gt;=EOMONTH($H$85,0),AR$6&lt;=EOMONTH(EDATE($H$85,$E$85-1),0)),$G$85/MAX($E$85,1),0)</f>
        <v>0</v>
      </c>
      <c r="AS95" s="159" t="n">
        <f aca="false">IF(AND(AS$6&gt;=EOMONTH($H$85,0),AS$6&lt;=EOMONTH(EDATE($H$85,$E$85-1),0)),$G$85/MAX($E$85,1),0)</f>
        <v>0</v>
      </c>
      <c r="AT95" s="159" t="n">
        <f aca="false">IF(AND(AT$6&gt;=EOMONTH($H$85,0),AT$6&lt;=EOMONTH(EDATE($H$85,$E$85-1),0)),$G$85/MAX($E$85,1),0)</f>
        <v>0</v>
      </c>
      <c r="AU95" s="159" t="n">
        <f aca="false">IF(AND(AU$6&gt;=EOMONTH($H$85,0),AU$6&lt;=EOMONTH(EDATE($H$85,$E$85-1),0)),$G$85/MAX($E$85,1),0)</f>
        <v>0</v>
      </c>
      <c r="AV95" s="159" t="n">
        <f aca="false">IF(AND(AV$6&gt;=EOMONTH($H$85,0),AV$6&lt;=EOMONTH(EDATE($H$85,$E$85-1),0)),$G$85/MAX($E$85,1),0)</f>
        <v>0</v>
      </c>
      <c r="AW95" s="159" t="n">
        <f aca="false">IF(AND(AW$6&gt;=EOMONTH($H$85,0),AW$6&lt;=EOMONTH(EDATE($H$85,$E$85-1),0)),$G$85/MAX($E$85,1),0)</f>
        <v>0</v>
      </c>
      <c r="AX95" s="159" t="n">
        <f aca="false">IF(AND(AX$6&gt;=EOMONTH($H$85,0),AX$6&lt;=EOMONTH(EDATE($H$85,$E$85-1),0)),$G$85/MAX($E$85,1),0)</f>
        <v>0</v>
      </c>
      <c r="AY95" s="159" t="n">
        <f aca="false">IF(AND(AY$6&gt;=EOMONTH($H$85,0),AY$6&lt;=EOMONTH(EDATE($H$85,$E$85-1),0)),$G$85/MAX($E$85,1),0)</f>
        <v>0</v>
      </c>
      <c r="AZ95" s="159" t="n">
        <f aca="false">IF(AND(AZ$6&gt;=EOMONTH($H$85,0),AZ$6&lt;=EOMONTH(EDATE($H$85,$E$85-1),0)),$G$85/MAX($E$85,1),0)</f>
        <v>0</v>
      </c>
      <c r="BA95" s="159" t="n">
        <f aca="false">IF(AND(BA$6&gt;=EOMONTH($H$85,0),BA$6&lt;=EOMONTH(EDATE($H$85,$E$85-1),0)),$G$85/MAX($E$85,1),0)</f>
        <v>0</v>
      </c>
      <c r="BB95" s="159" t="n">
        <f aca="false">IF(AND(BB$6&gt;=EOMONTH($H$85,0),BB$6&lt;=EOMONTH(EDATE($H$85,$E$85-1),0)),$G$85/MAX($E$85,1),0)</f>
        <v>0</v>
      </c>
      <c r="BC95" s="159" t="n">
        <f aca="false">IF(AND(BC$6&gt;=EOMONTH($H$85,0),BC$6&lt;=EOMONTH(EDATE($H$85,$E$85-1),0)),$G$85/MAX($E$85,1),0)</f>
        <v>0</v>
      </c>
      <c r="BD95" s="159" t="n">
        <f aca="false">IF(AND(BD$6&gt;=EOMONTH($H$85,0),BD$6&lt;=EOMONTH(EDATE($H$85,$E$85-1),0)),$G$85/MAX($E$85,1),0)</f>
        <v>0</v>
      </c>
      <c r="BE95" s="159" t="n">
        <f aca="false">IF(AND(BE$6&gt;=EOMONTH($H$85,0),BE$6&lt;=EOMONTH(EDATE($H$85,$E$85-1),0)),$G$85/MAX($E$85,1),0)</f>
        <v>0</v>
      </c>
      <c r="BF95" s="159" t="n">
        <f aca="false">IF(AND(BF$6&gt;=EOMONTH($H$85,0),BF$6&lt;=EOMONTH(EDATE($H$85,$E$85-1),0)),$G$85/MAX($E$85,1),0)</f>
        <v>0</v>
      </c>
      <c r="BG95" s="159" t="n">
        <f aca="false">IF(AND(BG$6&gt;=EOMONTH($H$85,0),BG$6&lt;=EOMONTH(EDATE($H$85,$E$85-1),0)),$G$85/MAX($E$85,1),0)</f>
        <v>0</v>
      </c>
      <c r="BH95" s="159" t="n">
        <f aca="false">IF(AND(BH$6&gt;=EOMONTH($H$85,0),BH$6&lt;=EOMONTH(EDATE($H$85,$E$85-1),0)),$G$85/MAX($E$85,1),0)</f>
        <v>0</v>
      </c>
      <c r="BI95" s="159" t="n">
        <f aca="false">IF(AND(BI$6&gt;=EOMONTH($H$85,0),BI$6&lt;=EOMONTH(EDATE($H$85,$E$85-1),0)),$G$85/MAX($E$85,1),0)</f>
        <v>0</v>
      </c>
      <c r="BJ95" s="159" t="n">
        <f aca="false">IF(AND(BJ$6&gt;=EOMONTH($H$85,0),BJ$6&lt;=EOMONTH(EDATE($H$85,$E$85-1),0)),$G$85/MAX($E$85,1),0)</f>
        <v>0</v>
      </c>
      <c r="BK95" s="159" t="n">
        <f aca="false">IF(AND(BK$6&gt;=EOMONTH($H$85,0),BK$6&lt;=EOMONTH(EDATE($H$85,$E$85-1),0)),$G$85/MAX($E$85,1),0)</f>
        <v>0</v>
      </c>
      <c r="BL95" s="159" t="n">
        <f aca="false">IF(AND(BL$6&gt;=EOMONTH($H$85,0),BL$6&lt;=EOMONTH(EDATE($H$85,$E$85-1),0)),$G$85/MAX($E$85,1),0)</f>
        <v>0</v>
      </c>
      <c r="BM95" s="159" t="n">
        <f aca="false">IF(AND(BM$6&gt;=EOMONTH($H$85,0),BM$6&lt;=EOMONTH(EDATE($H$85,$E$85-1),0)),$G$85/MAX($E$85,1),0)</f>
        <v>0</v>
      </c>
      <c r="BN95" s="159" t="n">
        <f aca="false">IF(AND(BN$6&gt;=EOMONTH($H$85,0),BN$6&lt;=EOMONTH(EDATE($H$85,$E$85-1),0)),$G$85/MAX($E$85,1),0)</f>
        <v>0</v>
      </c>
      <c r="BO95" s="159" t="n">
        <f aca="false">IF(AND(BO$6&gt;=EOMONTH($H$85,0),BO$6&lt;=EOMONTH(EDATE($H$85,$E$85-1),0)),$G$85/MAX($E$85,1),0)</f>
        <v>0</v>
      </c>
      <c r="BP95" s="159" t="n">
        <f aca="false">IF(AND(BP$6&gt;=EOMONTH($H$85,0),BP$6&lt;=EOMONTH(EDATE($H$85,$E$85-1),0)),$G$85/MAX($E$85,1),0)</f>
        <v>0</v>
      </c>
      <c r="BQ95" s="159" t="n">
        <f aca="false">IF(AND(BQ$6&gt;=EOMONTH($H$85,0),BQ$6&lt;=EOMONTH(EDATE($H$85,$E$85-1),0)),$G$85/MAX($E$85,1),0)</f>
        <v>0</v>
      </c>
      <c r="BR95" s="159" t="n">
        <f aca="false">IF(AND(BR$6&gt;=EOMONTH($H$85,0),BR$6&lt;=EOMONTH(EDATE($H$85,$E$85-1),0)),$G$85/MAX($E$85,1),0)</f>
        <v>0</v>
      </c>
      <c r="BS95" s="159" t="n">
        <f aca="false">IF(AND(BS$6&gt;=EOMONTH($H$85,0),BS$6&lt;=EOMONTH(EDATE($H$85,$E$85-1),0)),$G$85/MAX($E$85,1),0)</f>
        <v>0</v>
      </c>
      <c r="BT95" s="159" t="n">
        <f aca="false">IF(AND(BT$6&gt;=EOMONTH($H$85,0),BT$6&lt;=EOMONTH(EDATE($H$85,$E$85-1),0)),$G$85/MAX($E$85,1),0)</f>
        <v>0</v>
      </c>
      <c r="BU95" s="159" t="n">
        <f aca="false">IF(AND(BU$6&gt;=EOMONTH($H$85,0),BU$6&lt;=EOMONTH(EDATE($H$85,$E$85-1),0)),$G$85/MAX($E$85,1),0)</f>
        <v>0</v>
      </c>
      <c r="BV95" s="159" t="n">
        <f aca="false">IF(AND(BV$6&gt;=EOMONTH($H$85,0),BV$6&lt;=EOMONTH(EDATE($H$85,$E$85-1),0)),$G$85/MAX($E$85,1),0)</f>
        <v>0</v>
      </c>
      <c r="BW95" s="159" t="n">
        <f aca="false">IF(AND(BW$6&gt;=EOMONTH($H$85,0),BW$6&lt;=EOMONTH(EDATE($H$85,$E$85-1),0)),$G$85/MAX($E$85,1),0)</f>
        <v>0</v>
      </c>
      <c r="BX95" s="159" t="n">
        <f aca="false">IF(AND(BX$6&gt;=EOMONTH($H$85,0),BX$6&lt;=EOMONTH(EDATE($H$85,$E$85-1),0)),$G$85/MAX($E$85,1),0)</f>
        <v>0</v>
      </c>
      <c r="BY95" s="159" t="n">
        <f aca="false">IF(AND(BY$6&gt;=EOMONTH($H$85,0),BY$6&lt;=EOMONTH(EDATE($H$85,$E$85-1),0)),$G$85/MAX($E$85,1),0)</f>
        <v>0</v>
      </c>
      <c r="BZ95" s="159" t="n">
        <f aca="false">IF(AND(BZ$6&gt;=EOMONTH($H$85,0),BZ$6&lt;=EOMONTH(EDATE($H$85,$E$85-1),0)),$G$85/MAX($E$85,1),0)</f>
        <v>0</v>
      </c>
      <c r="CA95" s="159" t="n">
        <f aca="false">IF(AND(CA$6&gt;=EOMONTH($H$85,0),CA$6&lt;=EOMONTH(EDATE($H$85,$E$85-1),0)),$G$85/MAX($E$85,1),0)</f>
        <v>0</v>
      </c>
    </row>
    <row r="96" customFormat="false" ht="15" hidden="false" customHeight="false" outlineLevel="0" collapsed="false">
      <c r="B96" s="196" t="s">
        <v>648</v>
      </c>
      <c r="T96" s="159" t="n">
        <f aca="false">IF(AND(T$6&gt;=EOMONTH($H$86,0),T$6&lt;=EOMONTH(EDATE($H$86,$E$86-1),0)),$G$86/MAX($E$86,1),0)</f>
        <v>0</v>
      </c>
      <c r="U96" s="159" t="n">
        <f aca="false">IF(AND(U$6&gt;=EOMONTH($H$86,0),U$6&lt;=EOMONTH(EDATE($H$86,$E$86-1),0)),$G$86/MAX($E$86,1),0)</f>
        <v>0</v>
      </c>
      <c r="V96" s="159" t="n">
        <f aca="false">IF(AND(V$6&gt;=EOMONTH($H$86,0),V$6&lt;=EOMONTH(EDATE($H$86,$E$86-1),0)),$G$86/MAX($E$86,1),0)</f>
        <v>0</v>
      </c>
      <c r="W96" s="159" t="n">
        <f aca="false">IF(AND(W$6&gt;=EOMONTH($H$86,0),W$6&lt;=EOMONTH(EDATE($H$86,$E$86-1),0)),$G$86/MAX($E$86,1),0)</f>
        <v>0</v>
      </c>
      <c r="X96" s="159" t="n">
        <f aca="false">IF(AND(X$6&gt;=EOMONTH($H$86,0),X$6&lt;=EOMONTH(EDATE($H$86,$E$86-1),0)),$G$86/MAX($E$86,1),0)</f>
        <v>0</v>
      </c>
      <c r="Y96" s="159" t="n">
        <f aca="false">IF(AND(Y$6&gt;=EOMONTH($H$86,0),Y$6&lt;=EOMONTH(EDATE($H$86,$E$86-1),0)),$G$86/MAX($E$86,1),0)</f>
        <v>0</v>
      </c>
      <c r="Z96" s="159" t="n">
        <f aca="false">IF(AND(Z$6&gt;=EOMONTH($H$86,0),Z$6&lt;=EOMONTH(EDATE($H$86,$E$86-1),0)),$G$86/MAX($E$86,1),0)</f>
        <v>0</v>
      </c>
      <c r="AA96" s="159" t="n">
        <f aca="false">IF(AND(AA$6&gt;=EOMONTH($H$86,0),AA$6&lt;=EOMONTH(EDATE($H$86,$E$86-1),0)),$G$86/MAX($E$86,1),0)</f>
        <v>0</v>
      </c>
      <c r="AB96" s="159" t="n">
        <f aca="false">IF(AND(AB$6&gt;=EOMONTH($H$86,0),AB$6&lt;=EOMONTH(EDATE($H$86,$E$86-1),0)),$G$86/MAX($E$86,1),0)</f>
        <v>0</v>
      </c>
      <c r="AC96" s="159" t="n">
        <f aca="false">IF(AND(AC$6&gt;=EOMONTH($H$86,0),AC$6&lt;=EOMONTH(EDATE($H$86,$E$86-1),0)),$G$86/MAX($E$86,1),0)</f>
        <v>0</v>
      </c>
      <c r="AD96" s="159" t="n">
        <f aca="false">IF(AND(AD$6&gt;=EOMONTH($H$86,0),AD$6&lt;=EOMONTH(EDATE($H$86,$E$86-1),0)),$G$86/MAX($E$86,1),0)</f>
        <v>0</v>
      </c>
      <c r="AE96" s="159" t="n">
        <f aca="false">IF(AND(AE$6&gt;=EOMONTH($H$86,0),AE$6&lt;=EOMONTH(EDATE($H$86,$E$86-1),0)),$G$86/MAX($E$86,1),0)</f>
        <v>0</v>
      </c>
      <c r="AF96" s="159" t="n">
        <f aca="false">IF(AND(AF$6&gt;=EOMONTH($H$86,0),AF$6&lt;=EOMONTH(EDATE($H$86,$E$86-1),0)),$G$86/MAX($E$86,1),0)</f>
        <v>0</v>
      </c>
      <c r="AG96" s="159" t="n">
        <f aca="false">IF(AND(AG$6&gt;=EOMONTH($H$86,0),AG$6&lt;=EOMONTH(EDATE($H$86,$E$86-1),0)),$G$86/MAX($E$86,1),0)</f>
        <v>0</v>
      </c>
      <c r="AH96" s="159" t="n">
        <f aca="false">IF(AND(AH$6&gt;=EOMONTH($H$86,0),AH$6&lt;=EOMONTH(EDATE($H$86,$E$86-1),0)),$G$86/MAX($E$86,1),0)</f>
        <v>0</v>
      </c>
      <c r="AI96" s="159" t="n">
        <f aca="false">IF(AND(AI$6&gt;=EOMONTH($H$86,0),AI$6&lt;=EOMONTH(EDATE($H$86,$E$86-1),0)),$G$86/MAX($E$86,1),0)</f>
        <v>0</v>
      </c>
      <c r="AJ96" s="159" t="n">
        <f aca="false">IF(AND(AJ$6&gt;=EOMONTH($H$86,0),AJ$6&lt;=EOMONTH(EDATE($H$86,$E$86-1),0)),$G$86/MAX($E$86,1),0)</f>
        <v>0</v>
      </c>
      <c r="AK96" s="159" t="n">
        <f aca="false">IF(AND(AK$6&gt;=EOMONTH($H$86,0),AK$6&lt;=EOMONTH(EDATE($H$86,$E$86-1),0)),$G$86/MAX($E$86,1),0)</f>
        <v>0</v>
      </c>
      <c r="AL96" s="159" t="n">
        <f aca="false">IF(AND(AL$6&gt;=EOMONTH($H$86,0),AL$6&lt;=EOMONTH(EDATE($H$86,$E$86-1),0)),$G$86/MAX($E$86,1),0)</f>
        <v>0</v>
      </c>
      <c r="AM96" s="159" t="n">
        <f aca="false">IF(AND(AM$6&gt;=EOMONTH($H$86,0),AM$6&lt;=EOMONTH(EDATE($H$86,$E$86-1),0)),$G$86/MAX($E$86,1),0)</f>
        <v>0</v>
      </c>
      <c r="AN96" s="159" t="n">
        <f aca="false">IF(AND(AN$6&gt;=EOMONTH($H$86,0),AN$6&lt;=EOMONTH(EDATE($H$86,$E$86-1),0)),$G$86/MAX($E$86,1),0)</f>
        <v>0</v>
      </c>
      <c r="AO96" s="159" t="n">
        <f aca="false">IF(AND(AO$6&gt;=EOMONTH($H$86,0),AO$6&lt;=EOMONTH(EDATE($H$86,$E$86-1),0)),$G$86/MAX($E$86,1),0)</f>
        <v>0</v>
      </c>
      <c r="AP96" s="159" t="n">
        <f aca="false">IF(AND(AP$6&gt;=EOMONTH($H$86,0),AP$6&lt;=EOMONTH(EDATE($H$86,$E$86-1),0)),$G$86/MAX($E$86,1),0)</f>
        <v>0</v>
      </c>
      <c r="AQ96" s="159" t="n">
        <f aca="false">IF(AND(AQ$6&gt;=EOMONTH($H$86,0),AQ$6&lt;=EOMONTH(EDATE($H$86,$E$86-1),0)),$G$86/MAX($E$86,1),0)</f>
        <v>0</v>
      </c>
      <c r="AR96" s="159" t="n">
        <f aca="false">IF(AND(AR$6&gt;=EOMONTH($H$86,0),AR$6&lt;=EOMONTH(EDATE($H$86,$E$86-1),0)),$G$86/MAX($E$86,1),0)</f>
        <v>0</v>
      </c>
      <c r="AS96" s="159" t="n">
        <f aca="false">IF(AND(AS$6&gt;=EOMONTH($H$86,0),AS$6&lt;=EOMONTH(EDATE($H$86,$E$86-1),0)),$G$86/MAX($E$86,1),0)</f>
        <v>0</v>
      </c>
      <c r="AT96" s="159" t="n">
        <f aca="false">IF(AND(AT$6&gt;=EOMONTH($H$86,0),AT$6&lt;=EOMONTH(EDATE($H$86,$E$86-1),0)),$G$86/MAX($E$86,1),0)</f>
        <v>0</v>
      </c>
      <c r="AU96" s="159" t="n">
        <f aca="false">IF(AND(AU$6&gt;=EOMONTH($H$86,0),AU$6&lt;=EOMONTH(EDATE($H$86,$E$86-1),0)),$G$86/MAX($E$86,1),0)</f>
        <v>0</v>
      </c>
      <c r="AV96" s="159" t="n">
        <f aca="false">IF(AND(AV$6&gt;=EOMONTH($H$86,0),AV$6&lt;=EOMONTH(EDATE($H$86,$E$86-1),0)),$G$86/MAX($E$86,1),0)</f>
        <v>0</v>
      </c>
      <c r="AW96" s="159" t="n">
        <f aca="false">IF(AND(AW$6&gt;=EOMONTH($H$86,0),AW$6&lt;=EOMONTH(EDATE($H$86,$E$86-1),0)),$G$86/MAX($E$86,1),0)</f>
        <v>0</v>
      </c>
      <c r="AX96" s="159" t="n">
        <f aca="false">IF(AND(AX$6&gt;=EOMONTH($H$86,0),AX$6&lt;=EOMONTH(EDATE($H$86,$E$86-1),0)),$G$86/MAX($E$86,1),0)</f>
        <v>0</v>
      </c>
      <c r="AY96" s="159" t="n">
        <f aca="false">IF(AND(AY$6&gt;=EOMONTH($H$86,0),AY$6&lt;=EOMONTH(EDATE($H$86,$E$86-1),0)),$G$86/MAX($E$86,1),0)</f>
        <v>0</v>
      </c>
      <c r="AZ96" s="159" t="n">
        <f aca="false">IF(AND(AZ$6&gt;=EOMONTH($H$86,0),AZ$6&lt;=EOMONTH(EDATE($H$86,$E$86-1),0)),$G$86/MAX($E$86,1),0)</f>
        <v>0</v>
      </c>
      <c r="BA96" s="159" t="n">
        <f aca="false">IF(AND(BA$6&gt;=EOMONTH($H$86,0),BA$6&lt;=EOMONTH(EDATE($H$86,$E$86-1),0)),$G$86/MAX($E$86,1),0)</f>
        <v>0</v>
      </c>
      <c r="BB96" s="159" t="n">
        <f aca="false">IF(AND(BB$6&gt;=EOMONTH($H$86,0),BB$6&lt;=EOMONTH(EDATE($H$86,$E$86-1),0)),$G$86/MAX($E$86,1),0)</f>
        <v>0</v>
      </c>
      <c r="BC96" s="159" t="n">
        <f aca="false">IF(AND(BC$6&gt;=EOMONTH($H$86,0),BC$6&lt;=EOMONTH(EDATE($H$86,$E$86-1),0)),$G$86/MAX($E$86,1),0)</f>
        <v>0</v>
      </c>
      <c r="BD96" s="159" t="n">
        <f aca="false">IF(AND(BD$6&gt;=EOMONTH($H$86,0),BD$6&lt;=EOMONTH(EDATE($H$86,$E$86-1),0)),$G$86/MAX($E$86,1),0)</f>
        <v>0</v>
      </c>
      <c r="BE96" s="159" t="n">
        <f aca="false">IF(AND(BE$6&gt;=EOMONTH($H$86,0),BE$6&lt;=EOMONTH(EDATE($H$86,$E$86-1),0)),$G$86/MAX($E$86,1),0)</f>
        <v>0</v>
      </c>
      <c r="BF96" s="159" t="n">
        <f aca="false">IF(AND(BF$6&gt;=EOMONTH($H$86,0),BF$6&lt;=EOMONTH(EDATE($H$86,$E$86-1),0)),$G$86/MAX($E$86,1),0)</f>
        <v>0</v>
      </c>
      <c r="BG96" s="159" t="n">
        <f aca="false">IF(AND(BG$6&gt;=EOMONTH($H$86,0),BG$6&lt;=EOMONTH(EDATE($H$86,$E$86-1),0)),$G$86/MAX($E$86,1),0)</f>
        <v>0</v>
      </c>
      <c r="BH96" s="159" t="n">
        <f aca="false">IF(AND(BH$6&gt;=EOMONTH($H$86,0),BH$6&lt;=EOMONTH(EDATE($H$86,$E$86-1),0)),$G$86/MAX($E$86,1),0)</f>
        <v>0</v>
      </c>
      <c r="BI96" s="159" t="n">
        <f aca="false">IF(AND(BI$6&gt;=EOMONTH($H$86,0),BI$6&lt;=EOMONTH(EDATE($H$86,$E$86-1),0)),$G$86/MAX($E$86,1),0)</f>
        <v>0</v>
      </c>
      <c r="BJ96" s="159" t="n">
        <f aca="false">IF(AND(BJ$6&gt;=EOMONTH($H$86,0),BJ$6&lt;=EOMONTH(EDATE($H$86,$E$86-1),0)),$G$86/MAX($E$86,1),0)</f>
        <v>0</v>
      </c>
      <c r="BK96" s="159" t="n">
        <f aca="false">IF(AND(BK$6&gt;=EOMONTH($H$86,0),BK$6&lt;=EOMONTH(EDATE($H$86,$E$86-1),0)),$G$86/MAX($E$86,1),0)</f>
        <v>0</v>
      </c>
      <c r="BL96" s="159" t="n">
        <f aca="false">IF(AND(BL$6&gt;=EOMONTH($H$86,0),BL$6&lt;=EOMONTH(EDATE($H$86,$E$86-1),0)),$G$86/MAX($E$86,1),0)</f>
        <v>0</v>
      </c>
      <c r="BM96" s="159" t="n">
        <f aca="false">IF(AND(BM$6&gt;=EOMONTH($H$86,0),BM$6&lt;=EOMONTH(EDATE($H$86,$E$86-1),0)),$G$86/MAX($E$86,1),0)</f>
        <v>0</v>
      </c>
      <c r="BN96" s="159" t="n">
        <f aca="false">IF(AND(BN$6&gt;=EOMONTH($H$86,0),BN$6&lt;=EOMONTH(EDATE($H$86,$E$86-1),0)),$G$86/MAX($E$86,1),0)</f>
        <v>0</v>
      </c>
      <c r="BO96" s="159" t="n">
        <f aca="false">IF(AND(BO$6&gt;=EOMONTH($H$86,0),BO$6&lt;=EOMONTH(EDATE($H$86,$E$86-1),0)),$G$86/MAX($E$86,1),0)</f>
        <v>0</v>
      </c>
      <c r="BP96" s="159" t="n">
        <f aca="false">IF(AND(BP$6&gt;=EOMONTH($H$86,0),BP$6&lt;=EOMONTH(EDATE($H$86,$E$86-1),0)),$G$86/MAX($E$86,1),0)</f>
        <v>0</v>
      </c>
      <c r="BQ96" s="159" t="n">
        <f aca="false">IF(AND(BQ$6&gt;=EOMONTH($H$86,0),BQ$6&lt;=EOMONTH(EDATE($H$86,$E$86-1),0)),$G$86/MAX($E$86,1),0)</f>
        <v>0</v>
      </c>
      <c r="BR96" s="159" t="n">
        <f aca="false">IF(AND(BR$6&gt;=EOMONTH($H$86,0),BR$6&lt;=EOMONTH(EDATE($H$86,$E$86-1),0)),$G$86/MAX($E$86,1),0)</f>
        <v>0</v>
      </c>
      <c r="BS96" s="159" t="n">
        <f aca="false">IF(AND(BS$6&gt;=EOMONTH($H$86,0),BS$6&lt;=EOMONTH(EDATE($H$86,$E$86-1),0)),$G$86/MAX($E$86,1),0)</f>
        <v>0</v>
      </c>
      <c r="BT96" s="159" t="n">
        <f aca="false">IF(AND(BT$6&gt;=EOMONTH($H$86,0),BT$6&lt;=EOMONTH(EDATE($H$86,$E$86-1),0)),$G$86/MAX($E$86,1),0)</f>
        <v>0</v>
      </c>
      <c r="BU96" s="159" t="n">
        <f aca="false">IF(AND(BU$6&gt;=EOMONTH($H$86,0),BU$6&lt;=EOMONTH(EDATE($H$86,$E$86-1),0)),$G$86/MAX($E$86,1),0)</f>
        <v>0</v>
      </c>
      <c r="BV96" s="159" t="n">
        <f aca="false">IF(AND(BV$6&gt;=EOMONTH($H$86,0),BV$6&lt;=EOMONTH(EDATE($H$86,$E$86-1),0)),$G$86/MAX($E$86,1),0)</f>
        <v>0</v>
      </c>
      <c r="BW96" s="159" t="n">
        <f aca="false">IF(AND(BW$6&gt;=EOMONTH($H$86,0),BW$6&lt;=EOMONTH(EDATE($H$86,$E$86-1),0)),$G$86/MAX($E$86,1),0)</f>
        <v>0</v>
      </c>
      <c r="BX96" s="159" t="n">
        <f aca="false">IF(AND(BX$6&gt;=EOMONTH($H$86,0),BX$6&lt;=EOMONTH(EDATE($H$86,$E$86-1),0)),$G$86/MAX($E$86,1),0)</f>
        <v>0</v>
      </c>
      <c r="BY96" s="159" t="n">
        <f aca="false">IF(AND(BY$6&gt;=EOMONTH($H$86,0),BY$6&lt;=EOMONTH(EDATE($H$86,$E$86-1),0)),$G$86/MAX($E$86,1),0)</f>
        <v>0</v>
      </c>
      <c r="BZ96" s="159" t="n">
        <f aca="false">IF(AND(BZ$6&gt;=EOMONTH($H$86,0),BZ$6&lt;=EOMONTH(EDATE($H$86,$E$86-1),0)),$G$86/MAX($E$86,1),0)</f>
        <v>0</v>
      </c>
      <c r="CA96" s="159" t="n">
        <f aca="false">IF(AND(CA$6&gt;=EOMONTH($H$86,0),CA$6&lt;=EOMONTH(EDATE($H$86,$E$86-1),0)),$G$86/MAX($E$86,1),0)</f>
        <v>0</v>
      </c>
    </row>
    <row r="97" customFormat="false" ht="15" hidden="false" customHeight="false" outlineLevel="0" collapsed="false">
      <c r="B97" s="3" t="s">
        <v>350</v>
      </c>
      <c r="G97" s="159" t="n">
        <f aca="false">SUM(G76:G79)+SUM(G83:G86)</f>
        <v>2456666.66666667</v>
      </c>
    </row>
    <row r="99" customFormat="false" ht="15" hidden="false" customHeight="false" outlineLevel="0" collapsed="false">
      <c r="B99" s="197" t="s">
        <v>351</v>
      </c>
    </row>
    <row r="100" customFormat="false" ht="15" hidden="false" customHeight="false" outlineLevel="0" collapsed="false">
      <c r="B100" s="169" t="s">
        <v>352</v>
      </c>
      <c r="C100" s="169" t="s">
        <v>353</v>
      </c>
      <c r="D100" s="169" t="s">
        <v>354</v>
      </c>
      <c r="E100" s="169" t="s">
        <v>355</v>
      </c>
      <c r="H100" s="169" t="s">
        <v>333</v>
      </c>
      <c r="I100" s="169" t="s">
        <v>222</v>
      </c>
    </row>
    <row r="101" customFormat="false" ht="15" hidden="false" customHeight="false" outlineLevel="0" collapsed="false">
      <c r="B101" s="9" t="s">
        <v>356</v>
      </c>
      <c r="C101" s="194" t="s">
        <v>649</v>
      </c>
      <c r="D101" s="158" t="n">
        <v>90000</v>
      </c>
      <c r="E101" s="156" t="n">
        <v>2</v>
      </c>
      <c r="H101" s="178" t="n">
        <f aca="false">DATE(2027,2,1)</f>
        <v>46419</v>
      </c>
      <c r="I101" s="168" t="n">
        <v>0</v>
      </c>
    </row>
    <row r="102" customFormat="false" ht="15" hidden="false" customHeight="false" outlineLevel="0" collapsed="false">
      <c r="B102" s="9" t="s">
        <v>358</v>
      </c>
      <c r="C102" s="194" t="s">
        <v>650</v>
      </c>
      <c r="D102" s="158" t="n">
        <v>200000</v>
      </c>
      <c r="E102" s="156" t="n">
        <v>5</v>
      </c>
      <c r="H102" s="178" t="n">
        <f aca="false">DATE(2027,2,1)</f>
        <v>46419</v>
      </c>
      <c r="I102" s="168" t="n">
        <v>0</v>
      </c>
    </row>
    <row r="103" customFormat="false" ht="15" hidden="false" customHeight="false" outlineLevel="0" collapsed="false">
      <c r="B103" s="9" t="s">
        <v>360</v>
      </c>
      <c r="C103" s="194" t="s">
        <v>651</v>
      </c>
      <c r="D103" s="158" t="n">
        <v>160000</v>
      </c>
      <c r="E103" s="156" t="n">
        <v>5</v>
      </c>
      <c r="H103" s="178" t="n">
        <f aca="false">DATE(2027,2,1)</f>
        <v>46419</v>
      </c>
      <c r="I103" s="168" t="n">
        <v>0</v>
      </c>
    </row>
    <row r="104" customFormat="false" ht="15" hidden="false" customHeight="false" outlineLevel="0" collapsed="false">
      <c r="B104" s="9" t="s">
        <v>362</v>
      </c>
      <c r="C104" s="194" t="s">
        <v>652</v>
      </c>
      <c r="D104" s="158" t="n">
        <v>70000</v>
      </c>
      <c r="E104" s="156" t="n">
        <v>5</v>
      </c>
      <c r="H104" s="178" t="n">
        <f aca="false">DATE(2027,2,1)</f>
        <v>46419</v>
      </c>
      <c r="I104" s="168" t="n">
        <v>0</v>
      </c>
    </row>
    <row r="105" customFormat="false" ht="15" hidden="false" customHeight="false" outlineLevel="0" collapsed="false">
      <c r="B105" s="9" t="s">
        <v>363</v>
      </c>
      <c r="C105" s="194" t="s">
        <v>464</v>
      </c>
      <c r="D105" s="159" t="n">
        <f aca="false">$D$36*($G$97+$D$101+$D$102+$D$103+$D$104)</f>
        <v>238133.333333333</v>
      </c>
      <c r="E105" s="156" t="n">
        <v>12</v>
      </c>
      <c r="H105" s="178" t="n">
        <f aca="false">DATE(2027,1,1)</f>
        <v>46388</v>
      </c>
      <c r="I105" s="168" t="n">
        <v>0</v>
      </c>
    </row>
    <row r="106" customFormat="false" ht="28.35" hidden="false" customHeight="false" outlineLevel="0" collapsed="false">
      <c r="B106" s="9" t="s">
        <v>365</v>
      </c>
      <c r="C106" s="194" t="s">
        <v>653</v>
      </c>
      <c r="D106" s="159" t="n">
        <f aca="false">$D$37*($G$97+$D$101+$D$102+$D$103+$D$104+$D$105)</f>
        <v>321480</v>
      </c>
      <c r="E106" s="156" t="n">
        <v>12</v>
      </c>
      <c r="H106" s="178" t="n">
        <f aca="false">DATE(2027,1,1)</f>
        <v>46388</v>
      </c>
      <c r="I106" s="168" t="n">
        <v>0</v>
      </c>
    </row>
    <row r="107" customFormat="false" ht="15" hidden="false" customHeight="false" outlineLevel="0" collapsed="false">
      <c r="B107" s="9" t="s">
        <v>367</v>
      </c>
      <c r="C107" s="194"/>
      <c r="D107" s="158" t="n">
        <v>0</v>
      </c>
      <c r="E107" s="156" t="n">
        <v>1</v>
      </c>
      <c r="H107" s="178" t="n">
        <f aca="false">DATE(2027,7,1)</f>
        <v>46569</v>
      </c>
      <c r="I107" s="168" t="n">
        <v>0</v>
      </c>
    </row>
    <row r="109" customFormat="false" ht="15" hidden="false" customHeight="false" outlineLevel="0" collapsed="false">
      <c r="B109" s="167" t="s">
        <v>368</v>
      </c>
    </row>
    <row r="110" customFormat="false" ht="15" hidden="false" customHeight="false" outlineLevel="0" collapsed="false">
      <c r="B110" s="196" t="s">
        <v>369</v>
      </c>
      <c r="T110" s="159" t="n">
        <f aca="false">IF(AND(T$6&gt;=EOMONTH($H$101,0),T$6&lt;=EOMONTH(EDATE($H$101,$E$101-1),0)),$D$101/MAX($E$101,1),0)</f>
        <v>0</v>
      </c>
      <c r="U110" s="159" t="n">
        <f aca="false">IF(AND(U$6&gt;=EOMONTH($H$101,0),U$6&lt;=EOMONTH(EDATE($H$101,$E$101-1),0)),$D$101/MAX($E$101,1),0)</f>
        <v>0</v>
      </c>
      <c r="V110" s="159" t="n">
        <f aca="false">IF(AND(V$6&gt;=EOMONTH($H$101,0),V$6&lt;=EOMONTH(EDATE($H$101,$E$101-1),0)),$D$101/MAX($E$101,1),0)</f>
        <v>0</v>
      </c>
      <c r="W110" s="159" t="n">
        <f aca="false">IF(AND(W$6&gt;=EOMONTH($H$101,0),W$6&lt;=EOMONTH(EDATE($H$101,$E$101-1),0)),$D$101/MAX($E$101,1),0)</f>
        <v>0</v>
      </c>
      <c r="X110" s="159" t="n">
        <f aca="false">IF(AND(X$6&gt;=EOMONTH($H$101,0),X$6&lt;=EOMONTH(EDATE($H$101,$E$101-1),0)),$D$101/MAX($E$101,1),0)</f>
        <v>0</v>
      </c>
      <c r="Y110" s="159" t="n">
        <f aca="false">IF(AND(Y$6&gt;=EOMONTH($H$101,0),Y$6&lt;=EOMONTH(EDATE($H$101,$E$101-1),0)),$D$101/MAX($E$101,1),0)</f>
        <v>0</v>
      </c>
      <c r="Z110" s="159" t="n">
        <f aca="false">IF(AND(Z$6&gt;=EOMONTH($H$101,0),Z$6&lt;=EOMONTH(EDATE($H$101,$E$101-1),0)),$D$101/MAX($E$101,1),0)</f>
        <v>0</v>
      </c>
      <c r="AA110" s="159" t="n">
        <f aca="false">IF(AND(AA$6&gt;=EOMONTH($H$101,0),AA$6&lt;=EOMONTH(EDATE($H$101,$E$101-1),0)),$D$101/MAX($E$101,1),0)</f>
        <v>0</v>
      </c>
      <c r="AB110" s="159" t="n">
        <f aca="false">IF(AND(AB$6&gt;=EOMONTH($H$101,0),AB$6&lt;=EOMONTH(EDATE($H$101,$E$101-1),0)),$D$101/MAX($E$101,1),0)</f>
        <v>0</v>
      </c>
      <c r="AC110" s="159" t="n">
        <f aca="false">IF(AND(AC$6&gt;=EOMONTH($H$101,0),AC$6&lt;=EOMONTH(EDATE($H$101,$E$101-1),0)),$D$101/MAX($E$101,1),0)</f>
        <v>0</v>
      </c>
      <c r="AD110" s="159" t="n">
        <f aca="false">IF(AND(AD$6&gt;=EOMONTH($H$101,0),AD$6&lt;=EOMONTH(EDATE($H$101,$E$101-1),0)),$D$101/MAX($E$101,1),0)</f>
        <v>0</v>
      </c>
      <c r="AE110" s="159" t="n">
        <f aca="false">IF(AND(AE$6&gt;=EOMONTH($H$101,0),AE$6&lt;=EOMONTH(EDATE($H$101,$E$101-1),0)),$D$101/MAX($E$101,1),0)</f>
        <v>0</v>
      </c>
      <c r="AF110" s="159" t="n">
        <f aca="false">IF(AND(AF$6&gt;=EOMONTH($H$101,0),AF$6&lt;=EOMONTH(EDATE($H$101,$E$101-1),0)),$D$101/MAX($E$101,1),0)</f>
        <v>0</v>
      </c>
      <c r="AG110" s="159" t="n">
        <f aca="false">IF(AND(AG$6&gt;=EOMONTH($H$101,0),AG$6&lt;=EOMONTH(EDATE($H$101,$E$101-1),0)),$D$101/MAX($E$101,1),0)</f>
        <v>45000</v>
      </c>
      <c r="AH110" s="159" t="n">
        <f aca="false">IF(AND(AH$6&gt;=EOMONTH($H$101,0),AH$6&lt;=EOMONTH(EDATE($H$101,$E$101-1),0)),$D$101/MAX($E$101,1),0)</f>
        <v>45000</v>
      </c>
      <c r="AI110" s="159" t="n">
        <f aca="false">IF(AND(AI$6&gt;=EOMONTH($H$101,0),AI$6&lt;=EOMONTH(EDATE($H$101,$E$101-1),0)),$D$101/MAX($E$101,1),0)</f>
        <v>0</v>
      </c>
      <c r="AJ110" s="159" t="n">
        <f aca="false">IF(AND(AJ$6&gt;=EOMONTH($H$101,0),AJ$6&lt;=EOMONTH(EDATE($H$101,$E$101-1),0)),$D$101/MAX($E$101,1),0)</f>
        <v>0</v>
      </c>
      <c r="AK110" s="159" t="n">
        <f aca="false">IF(AND(AK$6&gt;=EOMONTH($H$101,0),AK$6&lt;=EOMONTH(EDATE($H$101,$E$101-1),0)),$D$101/MAX($E$101,1),0)</f>
        <v>0</v>
      </c>
      <c r="AL110" s="159" t="n">
        <f aca="false">IF(AND(AL$6&gt;=EOMONTH($H$101,0),AL$6&lt;=EOMONTH(EDATE($H$101,$E$101-1),0)),$D$101/MAX($E$101,1),0)</f>
        <v>0</v>
      </c>
      <c r="AM110" s="159" t="n">
        <f aca="false">IF(AND(AM$6&gt;=EOMONTH($H$101,0),AM$6&lt;=EOMONTH(EDATE($H$101,$E$101-1),0)),$D$101/MAX($E$101,1),0)</f>
        <v>0</v>
      </c>
      <c r="AN110" s="159" t="n">
        <f aca="false">IF(AND(AN$6&gt;=EOMONTH($H$101,0),AN$6&lt;=EOMONTH(EDATE($H$101,$E$101-1),0)),$D$101/MAX($E$101,1),0)</f>
        <v>0</v>
      </c>
      <c r="AO110" s="159" t="n">
        <f aca="false">IF(AND(AO$6&gt;=EOMONTH($H$101,0),AO$6&lt;=EOMONTH(EDATE($H$101,$E$101-1),0)),$D$101/MAX($E$101,1),0)</f>
        <v>0</v>
      </c>
      <c r="AP110" s="159" t="n">
        <f aca="false">IF(AND(AP$6&gt;=EOMONTH($H$101,0),AP$6&lt;=EOMONTH(EDATE($H$101,$E$101-1),0)),$D$101/MAX($E$101,1),0)</f>
        <v>0</v>
      </c>
      <c r="AQ110" s="159" t="n">
        <f aca="false">IF(AND(AQ$6&gt;=EOMONTH($H$101,0),AQ$6&lt;=EOMONTH(EDATE($H$101,$E$101-1),0)),$D$101/MAX($E$101,1),0)</f>
        <v>0</v>
      </c>
      <c r="AR110" s="159" t="n">
        <f aca="false">IF(AND(AR$6&gt;=EOMONTH($H$101,0),AR$6&lt;=EOMONTH(EDATE($H$101,$E$101-1),0)),$D$101/MAX($E$101,1),0)</f>
        <v>0</v>
      </c>
      <c r="AS110" s="159" t="n">
        <f aca="false">IF(AND(AS$6&gt;=EOMONTH($H$101,0),AS$6&lt;=EOMONTH(EDATE($H$101,$E$101-1),0)),$D$101/MAX($E$101,1),0)</f>
        <v>0</v>
      </c>
      <c r="AT110" s="159" t="n">
        <f aca="false">IF(AND(AT$6&gt;=EOMONTH($H$101,0),AT$6&lt;=EOMONTH(EDATE($H$101,$E$101-1),0)),$D$101/MAX($E$101,1),0)</f>
        <v>0</v>
      </c>
      <c r="AU110" s="159" t="n">
        <f aca="false">IF(AND(AU$6&gt;=EOMONTH($H$101,0),AU$6&lt;=EOMONTH(EDATE($H$101,$E$101-1),0)),$D$101/MAX($E$101,1),0)</f>
        <v>0</v>
      </c>
      <c r="AV110" s="159" t="n">
        <f aca="false">IF(AND(AV$6&gt;=EOMONTH($H$101,0),AV$6&lt;=EOMONTH(EDATE($H$101,$E$101-1),0)),$D$101/MAX($E$101,1),0)</f>
        <v>0</v>
      </c>
      <c r="AW110" s="159" t="n">
        <f aca="false">IF(AND(AW$6&gt;=EOMONTH($H$101,0),AW$6&lt;=EOMONTH(EDATE($H$101,$E$101-1),0)),$D$101/MAX($E$101,1),0)</f>
        <v>0</v>
      </c>
      <c r="AX110" s="159" t="n">
        <f aca="false">IF(AND(AX$6&gt;=EOMONTH($H$101,0),AX$6&lt;=EOMONTH(EDATE($H$101,$E$101-1),0)),$D$101/MAX($E$101,1),0)</f>
        <v>0</v>
      </c>
      <c r="AY110" s="159" t="n">
        <f aca="false">IF(AND(AY$6&gt;=EOMONTH($H$101,0),AY$6&lt;=EOMONTH(EDATE($H$101,$E$101-1),0)),$D$101/MAX($E$101,1),0)</f>
        <v>0</v>
      </c>
      <c r="AZ110" s="159" t="n">
        <f aca="false">IF(AND(AZ$6&gt;=EOMONTH($H$101,0),AZ$6&lt;=EOMONTH(EDATE($H$101,$E$101-1),0)),$D$101/MAX($E$101,1),0)</f>
        <v>0</v>
      </c>
      <c r="BA110" s="159" t="n">
        <f aca="false">IF(AND(BA$6&gt;=EOMONTH($H$101,0),BA$6&lt;=EOMONTH(EDATE($H$101,$E$101-1),0)),$D$101/MAX($E$101,1),0)</f>
        <v>0</v>
      </c>
      <c r="BB110" s="159" t="n">
        <f aca="false">IF(AND(BB$6&gt;=EOMONTH($H$101,0),BB$6&lt;=EOMONTH(EDATE($H$101,$E$101-1),0)),$D$101/MAX($E$101,1),0)</f>
        <v>0</v>
      </c>
      <c r="BC110" s="159" t="n">
        <f aca="false">IF(AND(BC$6&gt;=EOMONTH($H$101,0),BC$6&lt;=EOMONTH(EDATE($H$101,$E$101-1),0)),$D$101/MAX($E$101,1),0)</f>
        <v>0</v>
      </c>
      <c r="BD110" s="159" t="n">
        <f aca="false">IF(AND(BD$6&gt;=EOMONTH($H$101,0),BD$6&lt;=EOMONTH(EDATE($H$101,$E$101-1),0)),$D$101/MAX($E$101,1),0)</f>
        <v>0</v>
      </c>
      <c r="BE110" s="159" t="n">
        <f aca="false">IF(AND(BE$6&gt;=EOMONTH($H$101,0),BE$6&lt;=EOMONTH(EDATE($H$101,$E$101-1),0)),$D$101/MAX($E$101,1),0)</f>
        <v>0</v>
      </c>
      <c r="BF110" s="159" t="n">
        <f aca="false">IF(AND(BF$6&gt;=EOMONTH($H$101,0),BF$6&lt;=EOMONTH(EDATE($H$101,$E$101-1),0)),$D$101/MAX($E$101,1),0)</f>
        <v>0</v>
      </c>
      <c r="BG110" s="159" t="n">
        <f aca="false">IF(AND(BG$6&gt;=EOMONTH($H$101,0),BG$6&lt;=EOMONTH(EDATE($H$101,$E$101-1),0)),$D$101/MAX($E$101,1),0)</f>
        <v>0</v>
      </c>
      <c r="BH110" s="159" t="n">
        <f aca="false">IF(AND(BH$6&gt;=EOMONTH($H$101,0),BH$6&lt;=EOMONTH(EDATE($H$101,$E$101-1),0)),$D$101/MAX($E$101,1),0)</f>
        <v>0</v>
      </c>
      <c r="BI110" s="159" t="n">
        <f aca="false">IF(AND(BI$6&gt;=EOMONTH($H$101,0),BI$6&lt;=EOMONTH(EDATE($H$101,$E$101-1),0)),$D$101/MAX($E$101,1),0)</f>
        <v>0</v>
      </c>
      <c r="BJ110" s="159" t="n">
        <f aca="false">IF(AND(BJ$6&gt;=EOMONTH($H$101,0),BJ$6&lt;=EOMONTH(EDATE($H$101,$E$101-1),0)),$D$101/MAX($E$101,1),0)</f>
        <v>0</v>
      </c>
      <c r="BK110" s="159" t="n">
        <f aca="false">IF(AND(BK$6&gt;=EOMONTH($H$101,0),BK$6&lt;=EOMONTH(EDATE($H$101,$E$101-1),0)),$D$101/MAX($E$101,1),0)</f>
        <v>0</v>
      </c>
      <c r="BL110" s="159" t="n">
        <f aca="false">IF(AND(BL$6&gt;=EOMONTH($H$101,0),BL$6&lt;=EOMONTH(EDATE($H$101,$E$101-1),0)),$D$101/MAX($E$101,1),0)</f>
        <v>0</v>
      </c>
      <c r="BM110" s="159" t="n">
        <f aca="false">IF(AND(BM$6&gt;=EOMONTH($H$101,0),BM$6&lt;=EOMONTH(EDATE($H$101,$E$101-1),0)),$D$101/MAX($E$101,1),0)</f>
        <v>0</v>
      </c>
      <c r="BN110" s="159" t="n">
        <f aca="false">IF(AND(BN$6&gt;=EOMONTH($H$101,0),BN$6&lt;=EOMONTH(EDATE($H$101,$E$101-1),0)),$D$101/MAX($E$101,1),0)</f>
        <v>0</v>
      </c>
      <c r="BO110" s="159" t="n">
        <f aca="false">IF(AND(BO$6&gt;=EOMONTH($H$101,0),BO$6&lt;=EOMONTH(EDATE($H$101,$E$101-1),0)),$D$101/MAX($E$101,1),0)</f>
        <v>0</v>
      </c>
      <c r="BP110" s="159" t="n">
        <f aca="false">IF(AND(BP$6&gt;=EOMONTH($H$101,0),BP$6&lt;=EOMONTH(EDATE($H$101,$E$101-1),0)),$D$101/MAX($E$101,1),0)</f>
        <v>0</v>
      </c>
      <c r="BQ110" s="159" t="n">
        <f aca="false">IF(AND(BQ$6&gt;=EOMONTH($H$101,0),BQ$6&lt;=EOMONTH(EDATE($H$101,$E$101-1),0)),$D$101/MAX($E$101,1),0)</f>
        <v>0</v>
      </c>
      <c r="BR110" s="159" t="n">
        <f aca="false">IF(AND(BR$6&gt;=EOMONTH($H$101,0),BR$6&lt;=EOMONTH(EDATE($H$101,$E$101-1),0)),$D$101/MAX($E$101,1),0)</f>
        <v>0</v>
      </c>
      <c r="BS110" s="159" t="n">
        <f aca="false">IF(AND(BS$6&gt;=EOMONTH($H$101,0),BS$6&lt;=EOMONTH(EDATE($H$101,$E$101-1),0)),$D$101/MAX($E$101,1),0)</f>
        <v>0</v>
      </c>
      <c r="BT110" s="159" t="n">
        <f aca="false">IF(AND(BT$6&gt;=EOMONTH($H$101,0),BT$6&lt;=EOMONTH(EDATE($H$101,$E$101-1),0)),$D$101/MAX($E$101,1),0)</f>
        <v>0</v>
      </c>
      <c r="BU110" s="159" t="n">
        <f aca="false">IF(AND(BU$6&gt;=EOMONTH($H$101,0),BU$6&lt;=EOMONTH(EDATE($H$101,$E$101-1),0)),$D$101/MAX($E$101,1),0)</f>
        <v>0</v>
      </c>
      <c r="BV110" s="159" t="n">
        <f aca="false">IF(AND(BV$6&gt;=EOMONTH($H$101,0),BV$6&lt;=EOMONTH(EDATE($H$101,$E$101-1),0)),$D$101/MAX($E$101,1),0)</f>
        <v>0</v>
      </c>
      <c r="BW110" s="159" t="n">
        <f aca="false">IF(AND(BW$6&gt;=EOMONTH($H$101,0),BW$6&lt;=EOMONTH(EDATE($H$101,$E$101-1),0)),$D$101/MAX($E$101,1),0)</f>
        <v>0</v>
      </c>
      <c r="BX110" s="159" t="n">
        <f aca="false">IF(AND(BX$6&gt;=EOMONTH($H$101,0),BX$6&lt;=EOMONTH(EDATE($H$101,$E$101-1),0)),$D$101/MAX($E$101,1),0)</f>
        <v>0</v>
      </c>
      <c r="BY110" s="159" t="n">
        <f aca="false">IF(AND(BY$6&gt;=EOMONTH($H$101,0),BY$6&lt;=EOMONTH(EDATE($H$101,$E$101-1),0)),$D$101/MAX($E$101,1),0)</f>
        <v>0</v>
      </c>
      <c r="BZ110" s="159" t="n">
        <f aca="false">IF(AND(BZ$6&gt;=EOMONTH($H$101,0),BZ$6&lt;=EOMONTH(EDATE($H$101,$E$101-1),0)),$D$101/MAX($E$101,1),0)</f>
        <v>0</v>
      </c>
      <c r="CA110" s="159" t="n">
        <f aca="false">IF(AND(CA$6&gt;=EOMONTH($H$101,0),CA$6&lt;=EOMONTH(EDATE($H$101,$E$101-1),0)),$D$101/MAX($E$101,1),0)</f>
        <v>0</v>
      </c>
    </row>
    <row r="111" customFormat="false" ht="15" hidden="false" customHeight="false" outlineLevel="0" collapsed="false">
      <c r="B111" s="196" t="s">
        <v>370</v>
      </c>
      <c r="T111" s="159" t="n">
        <f aca="false">IF(AND(T$6&gt;=EOMONTH($H$102,0),T$6&lt;=EOMONTH(EDATE($H$102,$E$102-1),0)),$D$102/MAX($E$102,1),0)</f>
        <v>0</v>
      </c>
      <c r="U111" s="159" t="n">
        <f aca="false">IF(AND(U$6&gt;=EOMONTH($H$102,0),U$6&lt;=EOMONTH(EDATE($H$102,$E$102-1),0)),$D$102/MAX($E$102,1),0)</f>
        <v>0</v>
      </c>
      <c r="V111" s="159" t="n">
        <f aca="false">IF(AND(V$6&gt;=EOMONTH($H$102,0),V$6&lt;=EOMONTH(EDATE($H$102,$E$102-1),0)),$D$102/MAX($E$102,1),0)</f>
        <v>0</v>
      </c>
      <c r="W111" s="159" t="n">
        <f aca="false">IF(AND(W$6&gt;=EOMONTH($H$102,0),W$6&lt;=EOMONTH(EDATE($H$102,$E$102-1),0)),$D$102/MAX($E$102,1),0)</f>
        <v>0</v>
      </c>
      <c r="X111" s="159" t="n">
        <f aca="false">IF(AND(X$6&gt;=EOMONTH($H$102,0),X$6&lt;=EOMONTH(EDATE($H$102,$E$102-1),0)),$D$102/MAX($E$102,1),0)</f>
        <v>0</v>
      </c>
      <c r="Y111" s="159" t="n">
        <f aca="false">IF(AND(Y$6&gt;=EOMONTH($H$102,0),Y$6&lt;=EOMONTH(EDATE($H$102,$E$102-1),0)),$D$102/MAX($E$102,1),0)</f>
        <v>0</v>
      </c>
      <c r="Z111" s="159" t="n">
        <f aca="false">IF(AND(Z$6&gt;=EOMONTH($H$102,0),Z$6&lt;=EOMONTH(EDATE($H$102,$E$102-1),0)),$D$102/MAX($E$102,1),0)</f>
        <v>0</v>
      </c>
      <c r="AA111" s="159" t="n">
        <f aca="false">IF(AND(AA$6&gt;=EOMONTH($H$102,0),AA$6&lt;=EOMONTH(EDATE($H$102,$E$102-1),0)),$D$102/MAX($E$102,1),0)</f>
        <v>0</v>
      </c>
      <c r="AB111" s="159" t="n">
        <f aca="false">IF(AND(AB$6&gt;=EOMONTH($H$102,0),AB$6&lt;=EOMONTH(EDATE($H$102,$E$102-1),0)),$D$102/MAX($E$102,1),0)</f>
        <v>0</v>
      </c>
      <c r="AC111" s="159" t="n">
        <f aca="false">IF(AND(AC$6&gt;=EOMONTH($H$102,0),AC$6&lt;=EOMONTH(EDATE($H$102,$E$102-1),0)),$D$102/MAX($E$102,1),0)</f>
        <v>0</v>
      </c>
      <c r="AD111" s="159" t="n">
        <f aca="false">IF(AND(AD$6&gt;=EOMONTH($H$102,0),AD$6&lt;=EOMONTH(EDATE($H$102,$E$102-1),0)),$D$102/MAX($E$102,1),0)</f>
        <v>0</v>
      </c>
      <c r="AE111" s="159" t="n">
        <f aca="false">IF(AND(AE$6&gt;=EOMONTH($H$102,0),AE$6&lt;=EOMONTH(EDATE($H$102,$E$102-1),0)),$D$102/MAX($E$102,1),0)</f>
        <v>0</v>
      </c>
      <c r="AF111" s="159" t="n">
        <f aca="false">IF(AND(AF$6&gt;=EOMONTH($H$102,0),AF$6&lt;=EOMONTH(EDATE($H$102,$E$102-1),0)),$D$102/MAX($E$102,1),0)</f>
        <v>0</v>
      </c>
      <c r="AG111" s="159" t="n">
        <f aca="false">IF(AND(AG$6&gt;=EOMONTH($H$102,0),AG$6&lt;=EOMONTH(EDATE($H$102,$E$102-1),0)),$D$102/MAX($E$102,1),0)</f>
        <v>40000</v>
      </c>
      <c r="AH111" s="159" t="n">
        <f aca="false">IF(AND(AH$6&gt;=EOMONTH($H$102,0),AH$6&lt;=EOMONTH(EDATE($H$102,$E$102-1),0)),$D$102/MAX($E$102,1),0)</f>
        <v>40000</v>
      </c>
      <c r="AI111" s="159" t="n">
        <f aca="false">IF(AND(AI$6&gt;=EOMONTH($H$102,0),AI$6&lt;=EOMONTH(EDATE($H$102,$E$102-1),0)),$D$102/MAX($E$102,1),0)</f>
        <v>40000</v>
      </c>
      <c r="AJ111" s="159" t="n">
        <f aca="false">IF(AND(AJ$6&gt;=EOMONTH($H$102,0),AJ$6&lt;=EOMONTH(EDATE($H$102,$E$102-1),0)),$D$102/MAX($E$102,1),0)</f>
        <v>40000</v>
      </c>
      <c r="AK111" s="159" t="n">
        <f aca="false">IF(AND(AK$6&gt;=EOMONTH($H$102,0),AK$6&lt;=EOMONTH(EDATE($H$102,$E$102-1),0)),$D$102/MAX($E$102,1),0)</f>
        <v>40000</v>
      </c>
      <c r="AL111" s="159" t="n">
        <f aca="false">IF(AND(AL$6&gt;=EOMONTH($H$102,0),AL$6&lt;=EOMONTH(EDATE($H$102,$E$102-1),0)),$D$102/MAX($E$102,1),0)</f>
        <v>0</v>
      </c>
      <c r="AM111" s="159" t="n">
        <f aca="false">IF(AND(AM$6&gt;=EOMONTH($H$102,0),AM$6&lt;=EOMONTH(EDATE($H$102,$E$102-1),0)),$D$102/MAX($E$102,1),0)</f>
        <v>0</v>
      </c>
      <c r="AN111" s="159" t="n">
        <f aca="false">IF(AND(AN$6&gt;=EOMONTH($H$102,0),AN$6&lt;=EOMONTH(EDATE($H$102,$E$102-1),0)),$D$102/MAX($E$102,1),0)</f>
        <v>0</v>
      </c>
      <c r="AO111" s="159" t="n">
        <f aca="false">IF(AND(AO$6&gt;=EOMONTH($H$102,0),AO$6&lt;=EOMONTH(EDATE($H$102,$E$102-1),0)),$D$102/MAX($E$102,1),0)</f>
        <v>0</v>
      </c>
      <c r="AP111" s="159" t="n">
        <f aca="false">IF(AND(AP$6&gt;=EOMONTH($H$102,0),AP$6&lt;=EOMONTH(EDATE($H$102,$E$102-1),0)),$D$102/MAX($E$102,1),0)</f>
        <v>0</v>
      </c>
      <c r="AQ111" s="159" t="n">
        <f aca="false">IF(AND(AQ$6&gt;=EOMONTH($H$102,0),AQ$6&lt;=EOMONTH(EDATE($H$102,$E$102-1),0)),$D$102/MAX($E$102,1),0)</f>
        <v>0</v>
      </c>
      <c r="AR111" s="159" t="n">
        <f aca="false">IF(AND(AR$6&gt;=EOMONTH($H$102,0),AR$6&lt;=EOMONTH(EDATE($H$102,$E$102-1),0)),$D$102/MAX($E$102,1),0)</f>
        <v>0</v>
      </c>
      <c r="AS111" s="159" t="n">
        <f aca="false">IF(AND(AS$6&gt;=EOMONTH($H$102,0),AS$6&lt;=EOMONTH(EDATE($H$102,$E$102-1),0)),$D$102/MAX($E$102,1),0)</f>
        <v>0</v>
      </c>
      <c r="AT111" s="159" t="n">
        <f aca="false">IF(AND(AT$6&gt;=EOMONTH($H$102,0),AT$6&lt;=EOMONTH(EDATE($H$102,$E$102-1),0)),$D$102/MAX($E$102,1),0)</f>
        <v>0</v>
      </c>
      <c r="AU111" s="159" t="n">
        <f aca="false">IF(AND(AU$6&gt;=EOMONTH($H$102,0),AU$6&lt;=EOMONTH(EDATE($H$102,$E$102-1),0)),$D$102/MAX($E$102,1),0)</f>
        <v>0</v>
      </c>
      <c r="AV111" s="159" t="n">
        <f aca="false">IF(AND(AV$6&gt;=EOMONTH($H$102,0),AV$6&lt;=EOMONTH(EDATE($H$102,$E$102-1),0)),$D$102/MAX($E$102,1),0)</f>
        <v>0</v>
      </c>
      <c r="AW111" s="159" t="n">
        <f aca="false">IF(AND(AW$6&gt;=EOMONTH($H$102,0),AW$6&lt;=EOMONTH(EDATE($H$102,$E$102-1),0)),$D$102/MAX($E$102,1),0)</f>
        <v>0</v>
      </c>
      <c r="AX111" s="159" t="n">
        <f aca="false">IF(AND(AX$6&gt;=EOMONTH($H$102,0),AX$6&lt;=EOMONTH(EDATE($H$102,$E$102-1),0)),$D$102/MAX($E$102,1),0)</f>
        <v>0</v>
      </c>
      <c r="AY111" s="159" t="n">
        <f aca="false">IF(AND(AY$6&gt;=EOMONTH($H$102,0),AY$6&lt;=EOMONTH(EDATE($H$102,$E$102-1),0)),$D$102/MAX($E$102,1),0)</f>
        <v>0</v>
      </c>
      <c r="AZ111" s="159" t="n">
        <f aca="false">IF(AND(AZ$6&gt;=EOMONTH($H$102,0),AZ$6&lt;=EOMONTH(EDATE($H$102,$E$102-1),0)),$D$102/MAX($E$102,1),0)</f>
        <v>0</v>
      </c>
      <c r="BA111" s="159" t="n">
        <f aca="false">IF(AND(BA$6&gt;=EOMONTH($H$102,0),BA$6&lt;=EOMONTH(EDATE($H$102,$E$102-1),0)),$D$102/MAX($E$102,1),0)</f>
        <v>0</v>
      </c>
      <c r="BB111" s="159" t="n">
        <f aca="false">IF(AND(BB$6&gt;=EOMONTH($H$102,0),BB$6&lt;=EOMONTH(EDATE($H$102,$E$102-1),0)),$D$102/MAX($E$102,1),0)</f>
        <v>0</v>
      </c>
      <c r="BC111" s="159" t="n">
        <f aca="false">IF(AND(BC$6&gt;=EOMONTH($H$102,0),BC$6&lt;=EOMONTH(EDATE($H$102,$E$102-1),0)),$D$102/MAX($E$102,1),0)</f>
        <v>0</v>
      </c>
      <c r="BD111" s="159" t="n">
        <f aca="false">IF(AND(BD$6&gt;=EOMONTH($H$102,0),BD$6&lt;=EOMONTH(EDATE($H$102,$E$102-1),0)),$D$102/MAX($E$102,1),0)</f>
        <v>0</v>
      </c>
      <c r="BE111" s="159" t="n">
        <f aca="false">IF(AND(BE$6&gt;=EOMONTH($H$102,0),BE$6&lt;=EOMONTH(EDATE($H$102,$E$102-1),0)),$D$102/MAX($E$102,1),0)</f>
        <v>0</v>
      </c>
      <c r="BF111" s="159" t="n">
        <f aca="false">IF(AND(BF$6&gt;=EOMONTH($H$102,0),BF$6&lt;=EOMONTH(EDATE($H$102,$E$102-1),0)),$D$102/MAX($E$102,1),0)</f>
        <v>0</v>
      </c>
      <c r="BG111" s="159" t="n">
        <f aca="false">IF(AND(BG$6&gt;=EOMONTH($H$102,0),BG$6&lt;=EOMONTH(EDATE($H$102,$E$102-1),0)),$D$102/MAX($E$102,1),0)</f>
        <v>0</v>
      </c>
      <c r="BH111" s="159" t="n">
        <f aca="false">IF(AND(BH$6&gt;=EOMONTH($H$102,0),BH$6&lt;=EOMONTH(EDATE($H$102,$E$102-1),0)),$D$102/MAX($E$102,1),0)</f>
        <v>0</v>
      </c>
      <c r="BI111" s="159" t="n">
        <f aca="false">IF(AND(BI$6&gt;=EOMONTH($H$102,0),BI$6&lt;=EOMONTH(EDATE($H$102,$E$102-1),0)),$D$102/MAX($E$102,1),0)</f>
        <v>0</v>
      </c>
      <c r="BJ111" s="159" t="n">
        <f aca="false">IF(AND(BJ$6&gt;=EOMONTH($H$102,0),BJ$6&lt;=EOMONTH(EDATE($H$102,$E$102-1),0)),$D$102/MAX($E$102,1),0)</f>
        <v>0</v>
      </c>
      <c r="BK111" s="159" t="n">
        <f aca="false">IF(AND(BK$6&gt;=EOMONTH($H$102,0),BK$6&lt;=EOMONTH(EDATE($H$102,$E$102-1),0)),$D$102/MAX($E$102,1),0)</f>
        <v>0</v>
      </c>
      <c r="BL111" s="159" t="n">
        <f aca="false">IF(AND(BL$6&gt;=EOMONTH($H$102,0),BL$6&lt;=EOMONTH(EDATE($H$102,$E$102-1),0)),$D$102/MAX($E$102,1),0)</f>
        <v>0</v>
      </c>
      <c r="BM111" s="159" t="n">
        <f aca="false">IF(AND(BM$6&gt;=EOMONTH($H$102,0),BM$6&lt;=EOMONTH(EDATE($H$102,$E$102-1),0)),$D$102/MAX($E$102,1),0)</f>
        <v>0</v>
      </c>
      <c r="BN111" s="159" t="n">
        <f aca="false">IF(AND(BN$6&gt;=EOMONTH($H$102,0),BN$6&lt;=EOMONTH(EDATE($H$102,$E$102-1),0)),$D$102/MAX($E$102,1),0)</f>
        <v>0</v>
      </c>
      <c r="BO111" s="159" t="n">
        <f aca="false">IF(AND(BO$6&gt;=EOMONTH($H$102,0),BO$6&lt;=EOMONTH(EDATE($H$102,$E$102-1),0)),$D$102/MAX($E$102,1),0)</f>
        <v>0</v>
      </c>
      <c r="BP111" s="159" t="n">
        <f aca="false">IF(AND(BP$6&gt;=EOMONTH($H$102,0),BP$6&lt;=EOMONTH(EDATE($H$102,$E$102-1),0)),$D$102/MAX($E$102,1),0)</f>
        <v>0</v>
      </c>
      <c r="BQ111" s="159" t="n">
        <f aca="false">IF(AND(BQ$6&gt;=EOMONTH($H$102,0),BQ$6&lt;=EOMONTH(EDATE($H$102,$E$102-1),0)),$D$102/MAX($E$102,1),0)</f>
        <v>0</v>
      </c>
      <c r="BR111" s="159" t="n">
        <f aca="false">IF(AND(BR$6&gt;=EOMONTH($H$102,0),BR$6&lt;=EOMONTH(EDATE($H$102,$E$102-1),0)),$D$102/MAX($E$102,1),0)</f>
        <v>0</v>
      </c>
      <c r="BS111" s="159" t="n">
        <f aca="false">IF(AND(BS$6&gt;=EOMONTH($H$102,0),BS$6&lt;=EOMONTH(EDATE($H$102,$E$102-1),0)),$D$102/MAX($E$102,1),0)</f>
        <v>0</v>
      </c>
      <c r="BT111" s="159" t="n">
        <f aca="false">IF(AND(BT$6&gt;=EOMONTH($H$102,0),BT$6&lt;=EOMONTH(EDATE($H$102,$E$102-1),0)),$D$102/MAX($E$102,1),0)</f>
        <v>0</v>
      </c>
      <c r="BU111" s="159" t="n">
        <f aca="false">IF(AND(BU$6&gt;=EOMONTH($H$102,0),BU$6&lt;=EOMONTH(EDATE($H$102,$E$102-1),0)),$D$102/MAX($E$102,1),0)</f>
        <v>0</v>
      </c>
      <c r="BV111" s="159" t="n">
        <f aca="false">IF(AND(BV$6&gt;=EOMONTH($H$102,0),BV$6&lt;=EOMONTH(EDATE($H$102,$E$102-1),0)),$D$102/MAX($E$102,1),0)</f>
        <v>0</v>
      </c>
      <c r="BW111" s="159" t="n">
        <f aca="false">IF(AND(BW$6&gt;=EOMONTH($H$102,0),BW$6&lt;=EOMONTH(EDATE($H$102,$E$102-1),0)),$D$102/MAX($E$102,1),0)</f>
        <v>0</v>
      </c>
      <c r="BX111" s="159" t="n">
        <f aca="false">IF(AND(BX$6&gt;=EOMONTH($H$102,0),BX$6&lt;=EOMONTH(EDATE($H$102,$E$102-1),0)),$D$102/MAX($E$102,1),0)</f>
        <v>0</v>
      </c>
      <c r="BY111" s="159" t="n">
        <f aca="false">IF(AND(BY$6&gt;=EOMONTH($H$102,0),BY$6&lt;=EOMONTH(EDATE($H$102,$E$102-1),0)),$D$102/MAX($E$102,1),0)</f>
        <v>0</v>
      </c>
      <c r="BZ111" s="159" t="n">
        <f aca="false">IF(AND(BZ$6&gt;=EOMONTH($H$102,0),BZ$6&lt;=EOMONTH(EDATE($H$102,$E$102-1),0)),$D$102/MAX($E$102,1),0)</f>
        <v>0</v>
      </c>
      <c r="CA111" s="159" t="n">
        <f aca="false">IF(AND(CA$6&gt;=EOMONTH($H$102,0),CA$6&lt;=EOMONTH(EDATE($H$102,$E$102-1),0)),$D$102/MAX($E$102,1),0)</f>
        <v>0</v>
      </c>
    </row>
    <row r="112" customFormat="false" ht="15" hidden="false" customHeight="false" outlineLevel="0" collapsed="false">
      <c r="B112" s="196" t="s">
        <v>371</v>
      </c>
      <c r="T112" s="159" t="n">
        <f aca="false">IF(AND(T$6&gt;=EOMONTH($H$103,0),T$6&lt;=EOMONTH(EDATE($H$103,$E$103-1),0)),$D$103/MAX($E$103,1),0)</f>
        <v>0</v>
      </c>
      <c r="U112" s="159" t="n">
        <f aca="false">IF(AND(U$6&gt;=EOMONTH($H$103,0),U$6&lt;=EOMONTH(EDATE($H$103,$E$103-1),0)),$D$103/MAX($E$103,1),0)</f>
        <v>0</v>
      </c>
      <c r="V112" s="159" t="n">
        <f aca="false">IF(AND(V$6&gt;=EOMONTH($H$103,0),V$6&lt;=EOMONTH(EDATE($H$103,$E$103-1),0)),$D$103/MAX($E$103,1),0)</f>
        <v>0</v>
      </c>
      <c r="W112" s="159" t="n">
        <f aca="false">IF(AND(W$6&gt;=EOMONTH($H$103,0),W$6&lt;=EOMONTH(EDATE($H$103,$E$103-1),0)),$D$103/MAX($E$103,1),0)</f>
        <v>0</v>
      </c>
      <c r="X112" s="159" t="n">
        <f aca="false">IF(AND(X$6&gt;=EOMONTH($H$103,0),X$6&lt;=EOMONTH(EDATE($H$103,$E$103-1),0)),$D$103/MAX($E$103,1),0)</f>
        <v>0</v>
      </c>
      <c r="Y112" s="159" t="n">
        <f aca="false">IF(AND(Y$6&gt;=EOMONTH($H$103,0),Y$6&lt;=EOMONTH(EDATE($H$103,$E$103-1),0)),$D$103/MAX($E$103,1),0)</f>
        <v>0</v>
      </c>
      <c r="Z112" s="159" t="n">
        <f aca="false">IF(AND(Z$6&gt;=EOMONTH($H$103,0),Z$6&lt;=EOMONTH(EDATE($H$103,$E$103-1),0)),$D$103/MAX($E$103,1),0)</f>
        <v>0</v>
      </c>
      <c r="AA112" s="159" t="n">
        <f aca="false">IF(AND(AA$6&gt;=EOMONTH($H$103,0),AA$6&lt;=EOMONTH(EDATE($H$103,$E$103-1),0)),$D$103/MAX($E$103,1),0)</f>
        <v>0</v>
      </c>
      <c r="AB112" s="159" t="n">
        <f aca="false">IF(AND(AB$6&gt;=EOMONTH($H$103,0),AB$6&lt;=EOMONTH(EDATE($H$103,$E$103-1),0)),$D$103/MAX($E$103,1),0)</f>
        <v>0</v>
      </c>
      <c r="AC112" s="159" t="n">
        <f aca="false">IF(AND(AC$6&gt;=EOMONTH($H$103,0),AC$6&lt;=EOMONTH(EDATE($H$103,$E$103-1),0)),$D$103/MAX($E$103,1),0)</f>
        <v>0</v>
      </c>
      <c r="AD112" s="159" t="n">
        <f aca="false">IF(AND(AD$6&gt;=EOMONTH($H$103,0),AD$6&lt;=EOMONTH(EDATE($H$103,$E$103-1),0)),$D$103/MAX($E$103,1),0)</f>
        <v>0</v>
      </c>
      <c r="AE112" s="159" t="n">
        <f aca="false">IF(AND(AE$6&gt;=EOMONTH($H$103,0),AE$6&lt;=EOMONTH(EDATE($H$103,$E$103-1),0)),$D$103/MAX($E$103,1),0)</f>
        <v>0</v>
      </c>
      <c r="AF112" s="159" t="n">
        <f aca="false">IF(AND(AF$6&gt;=EOMONTH($H$103,0),AF$6&lt;=EOMONTH(EDATE($H$103,$E$103-1),0)),$D$103/MAX($E$103,1),0)</f>
        <v>0</v>
      </c>
      <c r="AG112" s="159" t="n">
        <f aca="false">IF(AND(AG$6&gt;=EOMONTH($H$103,0),AG$6&lt;=EOMONTH(EDATE($H$103,$E$103-1),0)),$D$103/MAX($E$103,1),0)</f>
        <v>32000</v>
      </c>
      <c r="AH112" s="159" t="n">
        <f aca="false">IF(AND(AH$6&gt;=EOMONTH($H$103,0),AH$6&lt;=EOMONTH(EDATE($H$103,$E$103-1),0)),$D$103/MAX($E$103,1),0)</f>
        <v>32000</v>
      </c>
      <c r="AI112" s="159" t="n">
        <f aca="false">IF(AND(AI$6&gt;=EOMONTH($H$103,0),AI$6&lt;=EOMONTH(EDATE($H$103,$E$103-1),0)),$D$103/MAX($E$103,1),0)</f>
        <v>32000</v>
      </c>
      <c r="AJ112" s="159" t="n">
        <f aca="false">IF(AND(AJ$6&gt;=EOMONTH($H$103,0),AJ$6&lt;=EOMONTH(EDATE($H$103,$E$103-1),0)),$D$103/MAX($E$103,1),0)</f>
        <v>32000</v>
      </c>
      <c r="AK112" s="159" t="n">
        <f aca="false">IF(AND(AK$6&gt;=EOMONTH($H$103,0),AK$6&lt;=EOMONTH(EDATE($H$103,$E$103-1),0)),$D$103/MAX($E$103,1),0)</f>
        <v>32000</v>
      </c>
      <c r="AL112" s="159" t="n">
        <f aca="false">IF(AND(AL$6&gt;=EOMONTH($H$103,0),AL$6&lt;=EOMONTH(EDATE($H$103,$E$103-1),0)),$D$103/MAX($E$103,1),0)</f>
        <v>0</v>
      </c>
      <c r="AM112" s="159" t="n">
        <f aca="false">IF(AND(AM$6&gt;=EOMONTH($H$103,0),AM$6&lt;=EOMONTH(EDATE($H$103,$E$103-1),0)),$D$103/MAX($E$103,1),0)</f>
        <v>0</v>
      </c>
      <c r="AN112" s="159" t="n">
        <f aca="false">IF(AND(AN$6&gt;=EOMONTH($H$103,0),AN$6&lt;=EOMONTH(EDATE($H$103,$E$103-1),0)),$D$103/MAX($E$103,1),0)</f>
        <v>0</v>
      </c>
      <c r="AO112" s="159" t="n">
        <f aca="false">IF(AND(AO$6&gt;=EOMONTH($H$103,0),AO$6&lt;=EOMONTH(EDATE($H$103,$E$103-1),0)),$D$103/MAX($E$103,1),0)</f>
        <v>0</v>
      </c>
      <c r="AP112" s="159" t="n">
        <f aca="false">IF(AND(AP$6&gt;=EOMONTH($H$103,0),AP$6&lt;=EOMONTH(EDATE($H$103,$E$103-1),0)),$D$103/MAX($E$103,1),0)</f>
        <v>0</v>
      </c>
      <c r="AQ112" s="159" t="n">
        <f aca="false">IF(AND(AQ$6&gt;=EOMONTH($H$103,0),AQ$6&lt;=EOMONTH(EDATE($H$103,$E$103-1),0)),$D$103/MAX($E$103,1),0)</f>
        <v>0</v>
      </c>
      <c r="AR112" s="159" t="n">
        <f aca="false">IF(AND(AR$6&gt;=EOMONTH($H$103,0),AR$6&lt;=EOMONTH(EDATE($H$103,$E$103-1),0)),$D$103/MAX($E$103,1),0)</f>
        <v>0</v>
      </c>
      <c r="AS112" s="159" t="n">
        <f aca="false">IF(AND(AS$6&gt;=EOMONTH($H$103,0),AS$6&lt;=EOMONTH(EDATE($H$103,$E$103-1),0)),$D$103/MAX($E$103,1),0)</f>
        <v>0</v>
      </c>
      <c r="AT112" s="159" t="n">
        <f aca="false">IF(AND(AT$6&gt;=EOMONTH($H$103,0),AT$6&lt;=EOMONTH(EDATE($H$103,$E$103-1),0)),$D$103/MAX($E$103,1),0)</f>
        <v>0</v>
      </c>
      <c r="AU112" s="159" t="n">
        <f aca="false">IF(AND(AU$6&gt;=EOMONTH($H$103,0),AU$6&lt;=EOMONTH(EDATE($H$103,$E$103-1),0)),$D$103/MAX($E$103,1),0)</f>
        <v>0</v>
      </c>
      <c r="AV112" s="159" t="n">
        <f aca="false">IF(AND(AV$6&gt;=EOMONTH($H$103,0),AV$6&lt;=EOMONTH(EDATE($H$103,$E$103-1),0)),$D$103/MAX($E$103,1),0)</f>
        <v>0</v>
      </c>
      <c r="AW112" s="159" t="n">
        <f aca="false">IF(AND(AW$6&gt;=EOMONTH($H$103,0),AW$6&lt;=EOMONTH(EDATE($H$103,$E$103-1),0)),$D$103/MAX($E$103,1),0)</f>
        <v>0</v>
      </c>
      <c r="AX112" s="159" t="n">
        <f aca="false">IF(AND(AX$6&gt;=EOMONTH($H$103,0),AX$6&lt;=EOMONTH(EDATE($H$103,$E$103-1),0)),$D$103/MAX($E$103,1),0)</f>
        <v>0</v>
      </c>
      <c r="AY112" s="159" t="n">
        <f aca="false">IF(AND(AY$6&gt;=EOMONTH($H$103,0),AY$6&lt;=EOMONTH(EDATE($H$103,$E$103-1),0)),$D$103/MAX($E$103,1),0)</f>
        <v>0</v>
      </c>
      <c r="AZ112" s="159" t="n">
        <f aca="false">IF(AND(AZ$6&gt;=EOMONTH($H$103,0),AZ$6&lt;=EOMONTH(EDATE($H$103,$E$103-1),0)),$D$103/MAX($E$103,1),0)</f>
        <v>0</v>
      </c>
      <c r="BA112" s="159" t="n">
        <f aca="false">IF(AND(BA$6&gt;=EOMONTH($H$103,0),BA$6&lt;=EOMONTH(EDATE($H$103,$E$103-1),0)),$D$103/MAX($E$103,1),0)</f>
        <v>0</v>
      </c>
      <c r="BB112" s="159" t="n">
        <f aca="false">IF(AND(BB$6&gt;=EOMONTH($H$103,0),BB$6&lt;=EOMONTH(EDATE($H$103,$E$103-1),0)),$D$103/MAX($E$103,1),0)</f>
        <v>0</v>
      </c>
      <c r="BC112" s="159" t="n">
        <f aca="false">IF(AND(BC$6&gt;=EOMONTH($H$103,0),BC$6&lt;=EOMONTH(EDATE($H$103,$E$103-1),0)),$D$103/MAX($E$103,1),0)</f>
        <v>0</v>
      </c>
      <c r="BD112" s="159" t="n">
        <f aca="false">IF(AND(BD$6&gt;=EOMONTH($H$103,0),BD$6&lt;=EOMONTH(EDATE($H$103,$E$103-1),0)),$D$103/MAX($E$103,1),0)</f>
        <v>0</v>
      </c>
      <c r="BE112" s="159" t="n">
        <f aca="false">IF(AND(BE$6&gt;=EOMONTH($H$103,0),BE$6&lt;=EOMONTH(EDATE($H$103,$E$103-1),0)),$D$103/MAX($E$103,1),0)</f>
        <v>0</v>
      </c>
      <c r="BF112" s="159" t="n">
        <f aca="false">IF(AND(BF$6&gt;=EOMONTH($H$103,0),BF$6&lt;=EOMONTH(EDATE($H$103,$E$103-1),0)),$D$103/MAX($E$103,1),0)</f>
        <v>0</v>
      </c>
      <c r="BG112" s="159" t="n">
        <f aca="false">IF(AND(BG$6&gt;=EOMONTH($H$103,0),BG$6&lt;=EOMONTH(EDATE($H$103,$E$103-1),0)),$D$103/MAX($E$103,1),0)</f>
        <v>0</v>
      </c>
      <c r="BH112" s="159" t="n">
        <f aca="false">IF(AND(BH$6&gt;=EOMONTH($H$103,0),BH$6&lt;=EOMONTH(EDATE($H$103,$E$103-1),0)),$D$103/MAX($E$103,1),0)</f>
        <v>0</v>
      </c>
      <c r="BI112" s="159" t="n">
        <f aca="false">IF(AND(BI$6&gt;=EOMONTH($H$103,0),BI$6&lt;=EOMONTH(EDATE($H$103,$E$103-1),0)),$D$103/MAX($E$103,1),0)</f>
        <v>0</v>
      </c>
      <c r="BJ112" s="159" t="n">
        <f aca="false">IF(AND(BJ$6&gt;=EOMONTH($H$103,0),BJ$6&lt;=EOMONTH(EDATE($H$103,$E$103-1),0)),$D$103/MAX($E$103,1),0)</f>
        <v>0</v>
      </c>
      <c r="BK112" s="159" t="n">
        <f aca="false">IF(AND(BK$6&gt;=EOMONTH($H$103,0),BK$6&lt;=EOMONTH(EDATE($H$103,$E$103-1),0)),$D$103/MAX($E$103,1),0)</f>
        <v>0</v>
      </c>
      <c r="BL112" s="159" t="n">
        <f aca="false">IF(AND(BL$6&gt;=EOMONTH($H$103,0),BL$6&lt;=EOMONTH(EDATE($H$103,$E$103-1),0)),$D$103/MAX($E$103,1),0)</f>
        <v>0</v>
      </c>
      <c r="BM112" s="159" t="n">
        <f aca="false">IF(AND(BM$6&gt;=EOMONTH($H$103,0),BM$6&lt;=EOMONTH(EDATE($H$103,$E$103-1),0)),$D$103/MAX($E$103,1),0)</f>
        <v>0</v>
      </c>
      <c r="BN112" s="159" t="n">
        <f aca="false">IF(AND(BN$6&gt;=EOMONTH($H$103,0),BN$6&lt;=EOMONTH(EDATE($H$103,$E$103-1),0)),$D$103/MAX($E$103,1),0)</f>
        <v>0</v>
      </c>
      <c r="BO112" s="159" t="n">
        <f aca="false">IF(AND(BO$6&gt;=EOMONTH($H$103,0),BO$6&lt;=EOMONTH(EDATE($H$103,$E$103-1),0)),$D$103/MAX($E$103,1),0)</f>
        <v>0</v>
      </c>
      <c r="BP112" s="159" t="n">
        <f aca="false">IF(AND(BP$6&gt;=EOMONTH($H$103,0),BP$6&lt;=EOMONTH(EDATE($H$103,$E$103-1),0)),$D$103/MAX($E$103,1),0)</f>
        <v>0</v>
      </c>
      <c r="BQ112" s="159" t="n">
        <f aca="false">IF(AND(BQ$6&gt;=EOMONTH($H$103,0),BQ$6&lt;=EOMONTH(EDATE($H$103,$E$103-1),0)),$D$103/MAX($E$103,1),0)</f>
        <v>0</v>
      </c>
      <c r="BR112" s="159" t="n">
        <f aca="false">IF(AND(BR$6&gt;=EOMONTH($H$103,0),BR$6&lt;=EOMONTH(EDATE($H$103,$E$103-1),0)),$D$103/MAX($E$103,1),0)</f>
        <v>0</v>
      </c>
      <c r="BS112" s="159" t="n">
        <f aca="false">IF(AND(BS$6&gt;=EOMONTH($H$103,0),BS$6&lt;=EOMONTH(EDATE($H$103,$E$103-1),0)),$D$103/MAX($E$103,1),0)</f>
        <v>0</v>
      </c>
      <c r="BT112" s="159" t="n">
        <f aca="false">IF(AND(BT$6&gt;=EOMONTH($H$103,0),BT$6&lt;=EOMONTH(EDATE($H$103,$E$103-1),0)),$D$103/MAX($E$103,1),0)</f>
        <v>0</v>
      </c>
      <c r="BU112" s="159" t="n">
        <f aca="false">IF(AND(BU$6&gt;=EOMONTH($H$103,0),BU$6&lt;=EOMONTH(EDATE($H$103,$E$103-1),0)),$D$103/MAX($E$103,1),0)</f>
        <v>0</v>
      </c>
      <c r="BV112" s="159" t="n">
        <f aca="false">IF(AND(BV$6&gt;=EOMONTH($H$103,0),BV$6&lt;=EOMONTH(EDATE($H$103,$E$103-1),0)),$D$103/MAX($E$103,1),0)</f>
        <v>0</v>
      </c>
      <c r="BW112" s="159" t="n">
        <f aca="false">IF(AND(BW$6&gt;=EOMONTH($H$103,0),BW$6&lt;=EOMONTH(EDATE($H$103,$E$103-1),0)),$D$103/MAX($E$103,1),0)</f>
        <v>0</v>
      </c>
      <c r="BX112" s="159" t="n">
        <f aca="false">IF(AND(BX$6&gt;=EOMONTH($H$103,0),BX$6&lt;=EOMONTH(EDATE($H$103,$E$103-1),0)),$D$103/MAX($E$103,1),0)</f>
        <v>0</v>
      </c>
      <c r="BY112" s="159" t="n">
        <f aca="false">IF(AND(BY$6&gt;=EOMONTH($H$103,0),BY$6&lt;=EOMONTH(EDATE($H$103,$E$103-1),0)),$D$103/MAX($E$103,1),0)</f>
        <v>0</v>
      </c>
      <c r="BZ112" s="159" t="n">
        <f aca="false">IF(AND(BZ$6&gt;=EOMONTH($H$103,0),BZ$6&lt;=EOMONTH(EDATE($H$103,$E$103-1),0)),$D$103/MAX($E$103,1),0)</f>
        <v>0</v>
      </c>
      <c r="CA112" s="159" t="n">
        <f aca="false">IF(AND(CA$6&gt;=EOMONTH($H$103,0),CA$6&lt;=EOMONTH(EDATE($H$103,$E$103-1),0)),$D$103/MAX($E$103,1),0)</f>
        <v>0</v>
      </c>
    </row>
    <row r="113" customFormat="false" ht="15" hidden="false" customHeight="false" outlineLevel="0" collapsed="false">
      <c r="B113" s="196" t="s">
        <v>372</v>
      </c>
      <c r="T113" s="159" t="n">
        <f aca="false">IF(AND(T$6&gt;=EOMONTH($H$104,0),T$6&lt;=EOMONTH(EDATE($H$104,$E$104-1),0)),$D$104/MAX($E$104,1),0)</f>
        <v>0</v>
      </c>
      <c r="U113" s="159" t="n">
        <f aca="false">IF(AND(U$6&gt;=EOMONTH($H$104,0),U$6&lt;=EOMONTH(EDATE($H$104,$E$104-1),0)),$D$104/MAX($E$104,1),0)</f>
        <v>0</v>
      </c>
      <c r="V113" s="159" t="n">
        <f aca="false">IF(AND(V$6&gt;=EOMONTH($H$104,0),V$6&lt;=EOMONTH(EDATE($H$104,$E$104-1),0)),$D$104/MAX($E$104,1),0)</f>
        <v>0</v>
      </c>
      <c r="W113" s="159" t="n">
        <f aca="false">IF(AND(W$6&gt;=EOMONTH($H$104,0),W$6&lt;=EOMONTH(EDATE($H$104,$E$104-1),0)),$D$104/MAX($E$104,1),0)</f>
        <v>0</v>
      </c>
      <c r="X113" s="159" t="n">
        <f aca="false">IF(AND(X$6&gt;=EOMONTH($H$104,0),X$6&lt;=EOMONTH(EDATE($H$104,$E$104-1),0)),$D$104/MAX($E$104,1),0)</f>
        <v>0</v>
      </c>
      <c r="Y113" s="159" t="n">
        <f aca="false">IF(AND(Y$6&gt;=EOMONTH($H$104,0),Y$6&lt;=EOMONTH(EDATE($H$104,$E$104-1),0)),$D$104/MAX($E$104,1),0)</f>
        <v>0</v>
      </c>
      <c r="Z113" s="159" t="n">
        <f aca="false">IF(AND(Z$6&gt;=EOMONTH($H$104,0),Z$6&lt;=EOMONTH(EDATE($H$104,$E$104-1),0)),$D$104/MAX($E$104,1),0)</f>
        <v>0</v>
      </c>
      <c r="AA113" s="159" t="n">
        <f aca="false">IF(AND(AA$6&gt;=EOMONTH($H$104,0),AA$6&lt;=EOMONTH(EDATE($H$104,$E$104-1),0)),$D$104/MAX($E$104,1),0)</f>
        <v>0</v>
      </c>
      <c r="AB113" s="159" t="n">
        <f aca="false">IF(AND(AB$6&gt;=EOMONTH($H$104,0),AB$6&lt;=EOMONTH(EDATE($H$104,$E$104-1),0)),$D$104/MAX($E$104,1),0)</f>
        <v>0</v>
      </c>
      <c r="AC113" s="159" t="n">
        <f aca="false">IF(AND(AC$6&gt;=EOMONTH($H$104,0),AC$6&lt;=EOMONTH(EDATE($H$104,$E$104-1),0)),$D$104/MAX($E$104,1),0)</f>
        <v>0</v>
      </c>
      <c r="AD113" s="159" t="n">
        <f aca="false">IF(AND(AD$6&gt;=EOMONTH($H$104,0),AD$6&lt;=EOMONTH(EDATE($H$104,$E$104-1),0)),$D$104/MAX($E$104,1),0)</f>
        <v>0</v>
      </c>
      <c r="AE113" s="159" t="n">
        <f aca="false">IF(AND(AE$6&gt;=EOMONTH($H$104,0),AE$6&lt;=EOMONTH(EDATE($H$104,$E$104-1),0)),$D$104/MAX($E$104,1),0)</f>
        <v>0</v>
      </c>
      <c r="AF113" s="159" t="n">
        <f aca="false">IF(AND(AF$6&gt;=EOMONTH($H$104,0),AF$6&lt;=EOMONTH(EDATE($H$104,$E$104-1),0)),$D$104/MAX($E$104,1),0)</f>
        <v>0</v>
      </c>
      <c r="AG113" s="159" t="n">
        <f aca="false">IF(AND(AG$6&gt;=EOMONTH($H$104,0),AG$6&lt;=EOMONTH(EDATE($H$104,$E$104-1),0)),$D$104/MAX($E$104,1),0)</f>
        <v>14000</v>
      </c>
      <c r="AH113" s="159" t="n">
        <f aca="false">IF(AND(AH$6&gt;=EOMONTH($H$104,0),AH$6&lt;=EOMONTH(EDATE($H$104,$E$104-1),0)),$D$104/MAX($E$104,1),0)</f>
        <v>14000</v>
      </c>
      <c r="AI113" s="159" t="n">
        <f aca="false">IF(AND(AI$6&gt;=EOMONTH($H$104,0),AI$6&lt;=EOMONTH(EDATE($H$104,$E$104-1),0)),$D$104/MAX($E$104,1),0)</f>
        <v>14000</v>
      </c>
      <c r="AJ113" s="159" t="n">
        <f aca="false">IF(AND(AJ$6&gt;=EOMONTH($H$104,0),AJ$6&lt;=EOMONTH(EDATE($H$104,$E$104-1),0)),$D$104/MAX($E$104,1),0)</f>
        <v>14000</v>
      </c>
      <c r="AK113" s="159" t="n">
        <f aca="false">IF(AND(AK$6&gt;=EOMONTH($H$104,0),AK$6&lt;=EOMONTH(EDATE($H$104,$E$104-1),0)),$D$104/MAX($E$104,1),0)</f>
        <v>14000</v>
      </c>
      <c r="AL113" s="159" t="n">
        <f aca="false">IF(AND(AL$6&gt;=EOMONTH($H$104,0),AL$6&lt;=EOMONTH(EDATE($H$104,$E$104-1),0)),$D$104/MAX($E$104,1),0)</f>
        <v>0</v>
      </c>
      <c r="AM113" s="159" t="n">
        <f aca="false">IF(AND(AM$6&gt;=EOMONTH($H$104,0),AM$6&lt;=EOMONTH(EDATE($H$104,$E$104-1),0)),$D$104/MAX($E$104,1),0)</f>
        <v>0</v>
      </c>
      <c r="AN113" s="159" t="n">
        <f aca="false">IF(AND(AN$6&gt;=EOMONTH($H$104,0),AN$6&lt;=EOMONTH(EDATE($H$104,$E$104-1),0)),$D$104/MAX($E$104,1),0)</f>
        <v>0</v>
      </c>
      <c r="AO113" s="159" t="n">
        <f aca="false">IF(AND(AO$6&gt;=EOMONTH($H$104,0),AO$6&lt;=EOMONTH(EDATE($H$104,$E$104-1),0)),$D$104/MAX($E$104,1),0)</f>
        <v>0</v>
      </c>
      <c r="AP113" s="159" t="n">
        <f aca="false">IF(AND(AP$6&gt;=EOMONTH($H$104,0),AP$6&lt;=EOMONTH(EDATE($H$104,$E$104-1),0)),$D$104/MAX($E$104,1),0)</f>
        <v>0</v>
      </c>
      <c r="AQ113" s="159" t="n">
        <f aca="false">IF(AND(AQ$6&gt;=EOMONTH($H$104,0),AQ$6&lt;=EOMONTH(EDATE($H$104,$E$104-1),0)),$D$104/MAX($E$104,1),0)</f>
        <v>0</v>
      </c>
      <c r="AR113" s="159" t="n">
        <f aca="false">IF(AND(AR$6&gt;=EOMONTH($H$104,0),AR$6&lt;=EOMONTH(EDATE($H$104,$E$104-1),0)),$D$104/MAX($E$104,1),0)</f>
        <v>0</v>
      </c>
      <c r="AS113" s="159" t="n">
        <f aca="false">IF(AND(AS$6&gt;=EOMONTH($H$104,0),AS$6&lt;=EOMONTH(EDATE($H$104,$E$104-1),0)),$D$104/MAX($E$104,1),0)</f>
        <v>0</v>
      </c>
      <c r="AT113" s="159" t="n">
        <f aca="false">IF(AND(AT$6&gt;=EOMONTH($H$104,0),AT$6&lt;=EOMONTH(EDATE($H$104,$E$104-1),0)),$D$104/MAX($E$104,1),0)</f>
        <v>0</v>
      </c>
      <c r="AU113" s="159" t="n">
        <f aca="false">IF(AND(AU$6&gt;=EOMONTH($H$104,0),AU$6&lt;=EOMONTH(EDATE($H$104,$E$104-1),0)),$D$104/MAX($E$104,1),0)</f>
        <v>0</v>
      </c>
      <c r="AV113" s="159" t="n">
        <f aca="false">IF(AND(AV$6&gt;=EOMONTH($H$104,0),AV$6&lt;=EOMONTH(EDATE($H$104,$E$104-1),0)),$D$104/MAX($E$104,1),0)</f>
        <v>0</v>
      </c>
      <c r="AW113" s="159" t="n">
        <f aca="false">IF(AND(AW$6&gt;=EOMONTH($H$104,0),AW$6&lt;=EOMONTH(EDATE($H$104,$E$104-1),0)),$D$104/MAX($E$104,1),0)</f>
        <v>0</v>
      </c>
      <c r="AX113" s="159" t="n">
        <f aca="false">IF(AND(AX$6&gt;=EOMONTH($H$104,0),AX$6&lt;=EOMONTH(EDATE($H$104,$E$104-1),0)),$D$104/MAX($E$104,1),0)</f>
        <v>0</v>
      </c>
      <c r="AY113" s="159" t="n">
        <f aca="false">IF(AND(AY$6&gt;=EOMONTH($H$104,0),AY$6&lt;=EOMONTH(EDATE($H$104,$E$104-1),0)),$D$104/MAX($E$104,1),0)</f>
        <v>0</v>
      </c>
      <c r="AZ113" s="159" t="n">
        <f aca="false">IF(AND(AZ$6&gt;=EOMONTH($H$104,0),AZ$6&lt;=EOMONTH(EDATE($H$104,$E$104-1),0)),$D$104/MAX($E$104,1),0)</f>
        <v>0</v>
      </c>
      <c r="BA113" s="159" t="n">
        <f aca="false">IF(AND(BA$6&gt;=EOMONTH($H$104,0),BA$6&lt;=EOMONTH(EDATE($H$104,$E$104-1),0)),$D$104/MAX($E$104,1),0)</f>
        <v>0</v>
      </c>
      <c r="BB113" s="159" t="n">
        <f aca="false">IF(AND(BB$6&gt;=EOMONTH($H$104,0),BB$6&lt;=EOMONTH(EDATE($H$104,$E$104-1),0)),$D$104/MAX($E$104,1),0)</f>
        <v>0</v>
      </c>
      <c r="BC113" s="159" t="n">
        <f aca="false">IF(AND(BC$6&gt;=EOMONTH($H$104,0),BC$6&lt;=EOMONTH(EDATE($H$104,$E$104-1),0)),$D$104/MAX($E$104,1),0)</f>
        <v>0</v>
      </c>
      <c r="BD113" s="159" t="n">
        <f aca="false">IF(AND(BD$6&gt;=EOMONTH($H$104,0),BD$6&lt;=EOMONTH(EDATE($H$104,$E$104-1),0)),$D$104/MAX($E$104,1),0)</f>
        <v>0</v>
      </c>
      <c r="BE113" s="159" t="n">
        <f aca="false">IF(AND(BE$6&gt;=EOMONTH($H$104,0),BE$6&lt;=EOMONTH(EDATE($H$104,$E$104-1),0)),$D$104/MAX($E$104,1),0)</f>
        <v>0</v>
      </c>
      <c r="BF113" s="159" t="n">
        <f aca="false">IF(AND(BF$6&gt;=EOMONTH($H$104,0),BF$6&lt;=EOMONTH(EDATE($H$104,$E$104-1),0)),$D$104/MAX($E$104,1),0)</f>
        <v>0</v>
      </c>
      <c r="BG113" s="159" t="n">
        <f aca="false">IF(AND(BG$6&gt;=EOMONTH($H$104,0),BG$6&lt;=EOMONTH(EDATE($H$104,$E$104-1),0)),$D$104/MAX($E$104,1),0)</f>
        <v>0</v>
      </c>
      <c r="BH113" s="159" t="n">
        <f aca="false">IF(AND(BH$6&gt;=EOMONTH($H$104,0),BH$6&lt;=EOMONTH(EDATE($H$104,$E$104-1),0)),$D$104/MAX($E$104,1),0)</f>
        <v>0</v>
      </c>
      <c r="BI113" s="159" t="n">
        <f aca="false">IF(AND(BI$6&gt;=EOMONTH($H$104,0),BI$6&lt;=EOMONTH(EDATE($H$104,$E$104-1),0)),$D$104/MAX($E$104,1),0)</f>
        <v>0</v>
      </c>
      <c r="BJ113" s="159" t="n">
        <f aca="false">IF(AND(BJ$6&gt;=EOMONTH($H$104,0),BJ$6&lt;=EOMONTH(EDATE($H$104,$E$104-1),0)),$D$104/MAX($E$104,1),0)</f>
        <v>0</v>
      </c>
      <c r="BK113" s="159" t="n">
        <f aca="false">IF(AND(BK$6&gt;=EOMONTH($H$104,0),BK$6&lt;=EOMONTH(EDATE($H$104,$E$104-1),0)),$D$104/MAX($E$104,1),0)</f>
        <v>0</v>
      </c>
      <c r="BL113" s="159" t="n">
        <f aca="false">IF(AND(BL$6&gt;=EOMONTH($H$104,0),BL$6&lt;=EOMONTH(EDATE($H$104,$E$104-1),0)),$D$104/MAX($E$104,1),0)</f>
        <v>0</v>
      </c>
      <c r="BM113" s="159" t="n">
        <f aca="false">IF(AND(BM$6&gt;=EOMONTH($H$104,0),BM$6&lt;=EOMONTH(EDATE($H$104,$E$104-1),0)),$D$104/MAX($E$104,1),0)</f>
        <v>0</v>
      </c>
      <c r="BN113" s="159" t="n">
        <f aca="false">IF(AND(BN$6&gt;=EOMONTH($H$104,0),BN$6&lt;=EOMONTH(EDATE($H$104,$E$104-1),0)),$D$104/MAX($E$104,1),0)</f>
        <v>0</v>
      </c>
      <c r="BO113" s="159" t="n">
        <f aca="false">IF(AND(BO$6&gt;=EOMONTH($H$104,0),BO$6&lt;=EOMONTH(EDATE($H$104,$E$104-1),0)),$D$104/MAX($E$104,1),0)</f>
        <v>0</v>
      </c>
      <c r="BP113" s="159" t="n">
        <f aca="false">IF(AND(BP$6&gt;=EOMONTH($H$104,0),BP$6&lt;=EOMONTH(EDATE($H$104,$E$104-1),0)),$D$104/MAX($E$104,1),0)</f>
        <v>0</v>
      </c>
      <c r="BQ113" s="159" t="n">
        <f aca="false">IF(AND(BQ$6&gt;=EOMONTH($H$104,0),BQ$6&lt;=EOMONTH(EDATE($H$104,$E$104-1),0)),$D$104/MAX($E$104,1),0)</f>
        <v>0</v>
      </c>
      <c r="BR113" s="159" t="n">
        <f aca="false">IF(AND(BR$6&gt;=EOMONTH($H$104,0),BR$6&lt;=EOMONTH(EDATE($H$104,$E$104-1),0)),$D$104/MAX($E$104,1),0)</f>
        <v>0</v>
      </c>
      <c r="BS113" s="159" t="n">
        <f aca="false">IF(AND(BS$6&gt;=EOMONTH($H$104,0),BS$6&lt;=EOMONTH(EDATE($H$104,$E$104-1),0)),$D$104/MAX($E$104,1),0)</f>
        <v>0</v>
      </c>
      <c r="BT113" s="159" t="n">
        <f aca="false">IF(AND(BT$6&gt;=EOMONTH($H$104,0),BT$6&lt;=EOMONTH(EDATE($H$104,$E$104-1),0)),$D$104/MAX($E$104,1),0)</f>
        <v>0</v>
      </c>
      <c r="BU113" s="159" t="n">
        <f aca="false">IF(AND(BU$6&gt;=EOMONTH($H$104,0),BU$6&lt;=EOMONTH(EDATE($H$104,$E$104-1),0)),$D$104/MAX($E$104,1),0)</f>
        <v>0</v>
      </c>
      <c r="BV113" s="159" t="n">
        <f aca="false">IF(AND(BV$6&gt;=EOMONTH($H$104,0),BV$6&lt;=EOMONTH(EDATE($H$104,$E$104-1),0)),$D$104/MAX($E$104,1),0)</f>
        <v>0</v>
      </c>
      <c r="BW113" s="159" t="n">
        <f aca="false">IF(AND(BW$6&gt;=EOMONTH($H$104,0),BW$6&lt;=EOMONTH(EDATE($H$104,$E$104-1),0)),$D$104/MAX($E$104,1),0)</f>
        <v>0</v>
      </c>
      <c r="BX113" s="159" t="n">
        <f aca="false">IF(AND(BX$6&gt;=EOMONTH($H$104,0),BX$6&lt;=EOMONTH(EDATE($H$104,$E$104-1),0)),$D$104/MAX($E$104,1),0)</f>
        <v>0</v>
      </c>
      <c r="BY113" s="159" t="n">
        <f aca="false">IF(AND(BY$6&gt;=EOMONTH($H$104,0),BY$6&lt;=EOMONTH(EDATE($H$104,$E$104-1),0)),$D$104/MAX($E$104,1),0)</f>
        <v>0</v>
      </c>
      <c r="BZ113" s="159" t="n">
        <f aca="false">IF(AND(BZ$6&gt;=EOMONTH($H$104,0),BZ$6&lt;=EOMONTH(EDATE($H$104,$E$104-1),0)),$D$104/MAX($E$104,1),0)</f>
        <v>0</v>
      </c>
      <c r="CA113" s="159" t="n">
        <f aca="false">IF(AND(CA$6&gt;=EOMONTH($H$104,0),CA$6&lt;=EOMONTH(EDATE($H$104,$E$104-1),0)),$D$104/MAX($E$104,1),0)</f>
        <v>0</v>
      </c>
    </row>
    <row r="114" customFormat="false" ht="15" hidden="false" customHeight="false" outlineLevel="0" collapsed="false">
      <c r="B114" s="196" t="s">
        <v>373</v>
      </c>
      <c r="T114" s="159" t="n">
        <f aca="false">IF(AND(T$6&gt;=EOMONTH($H$105,0),T$6&lt;=EOMONTH(EDATE($H$105,$E$105-1),0)),$D$105/MAX($E$105,1),0)</f>
        <v>0</v>
      </c>
      <c r="U114" s="159" t="n">
        <f aca="false">IF(AND(U$6&gt;=EOMONTH($H$105,0),U$6&lt;=EOMONTH(EDATE($H$105,$E$105-1),0)),$D$105/MAX($E$105,1),0)</f>
        <v>0</v>
      </c>
      <c r="V114" s="159" t="n">
        <f aca="false">IF(AND(V$6&gt;=EOMONTH($H$105,0),V$6&lt;=EOMONTH(EDATE($H$105,$E$105-1),0)),$D$105/MAX($E$105,1),0)</f>
        <v>0</v>
      </c>
      <c r="W114" s="159" t="n">
        <f aca="false">IF(AND(W$6&gt;=EOMONTH($H$105,0),W$6&lt;=EOMONTH(EDATE($H$105,$E$105-1),0)),$D$105/MAX($E$105,1),0)</f>
        <v>0</v>
      </c>
      <c r="X114" s="159" t="n">
        <f aca="false">IF(AND(X$6&gt;=EOMONTH($H$105,0),X$6&lt;=EOMONTH(EDATE($H$105,$E$105-1),0)),$D$105/MAX($E$105,1),0)</f>
        <v>0</v>
      </c>
      <c r="Y114" s="159" t="n">
        <f aca="false">IF(AND(Y$6&gt;=EOMONTH($H$105,0),Y$6&lt;=EOMONTH(EDATE($H$105,$E$105-1),0)),$D$105/MAX($E$105,1),0)</f>
        <v>0</v>
      </c>
      <c r="Z114" s="159" t="n">
        <f aca="false">IF(AND(Z$6&gt;=EOMONTH($H$105,0),Z$6&lt;=EOMONTH(EDATE($H$105,$E$105-1),0)),$D$105/MAX($E$105,1),0)</f>
        <v>0</v>
      </c>
      <c r="AA114" s="159" t="n">
        <f aca="false">IF(AND(AA$6&gt;=EOMONTH($H$105,0),AA$6&lt;=EOMONTH(EDATE($H$105,$E$105-1),0)),$D$105/MAX($E$105,1),0)</f>
        <v>0</v>
      </c>
      <c r="AB114" s="159" t="n">
        <f aca="false">IF(AND(AB$6&gt;=EOMONTH($H$105,0),AB$6&lt;=EOMONTH(EDATE($H$105,$E$105-1),0)),$D$105/MAX($E$105,1),0)</f>
        <v>0</v>
      </c>
      <c r="AC114" s="159" t="n">
        <f aca="false">IF(AND(AC$6&gt;=EOMONTH($H$105,0),AC$6&lt;=EOMONTH(EDATE($H$105,$E$105-1),0)),$D$105/MAX($E$105,1),0)</f>
        <v>0</v>
      </c>
      <c r="AD114" s="159" t="n">
        <f aca="false">IF(AND(AD$6&gt;=EOMONTH($H$105,0),AD$6&lt;=EOMONTH(EDATE($H$105,$E$105-1),0)),$D$105/MAX($E$105,1),0)</f>
        <v>0</v>
      </c>
      <c r="AE114" s="159" t="n">
        <f aca="false">IF(AND(AE$6&gt;=EOMONTH($H$105,0),AE$6&lt;=EOMONTH(EDATE($H$105,$E$105-1),0)),$D$105/MAX($E$105,1),0)</f>
        <v>0</v>
      </c>
      <c r="AF114" s="159" t="n">
        <f aca="false">IF(AND(AF$6&gt;=EOMONTH($H$105,0),AF$6&lt;=EOMONTH(EDATE($H$105,$E$105-1),0)),$D$105/MAX($E$105,1),0)</f>
        <v>19844.4444444445</v>
      </c>
      <c r="AG114" s="159" t="n">
        <f aca="false">IF(AND(AG$6&gt;=EOMONTH($H$105,0),AG$6&lt;=EOMONTH(EDATE($H$105,$E$105-1),0)),$D$105/MAX($E$105,1),0)</f>
        <v>19844.4444444445</v>
      </c>
      <c r="AH114" s="159" t="n">
        <f aca="false">IF(AND(AH$6&gt;=EOMONTH($H$105,0),AH$6&lt;=EOMONTH(EDATE($H$105,$E$105-1),0)),$D$105/MAX($E$105,1),0)</f>
        <v>19844.4444444445</v>
      </c>
      <c r="AI114" s="159" t="n">
        <f aca="false">IF(AND(AI$6&gt;=EOMONTH($H$105,0),AI$6&lt;=EOMONTH(EDATE($H$105,$E$105-1),0)),$D$105/MAX($E$105,1),0)</f>
        <v>19844.4444444445</v>
      </c>
      <c r="AJ114" s="159" t="n">
        <f aca="false">IF(AND(AJ$6&gt;=EOMONTH($H$105,0),AJ$6&lt;=EOMONTH(EDATE($H$105,$E$105-1),0)),$D$105/MAX($E$105,1),0)</f>
        <v>19844.4444444445</v>
      </c>
      <c r="AK114" s="159" t="n">
        <f aca="false">IF(AND(AK$6&gt;=EOMONTH($H$105,0),AK$6&lt;=EOMONTH(EDATE($H$105,$E$105-1),0)),$D$105/MAX($E$105,1),0)</f>
        <v>19844.4444444445</v>
      </c>
      <c r="AL114" s="159" t="n">
        <f aca="false">IF(AND(AL$6&gt;=EOMONTH($H$105,0),AL$6&lt;=EOMONTH(EDATE($H$105,$E$105-1),0)),$D$105/MAX($E$105,1),0)</f>
        <v>19844.4444444445</v>
      </c>
      <c r="AM114" s="159" t="n">
        <f aca="false">IF(AND(AM$6&gt;=EOMONTH($H$105,0),AM$6&lt;=EOMONTH(EDATE($H$105,$E$105-1),0)),$D$105/MAX($E$105,1),0)</f>
        <v>19844.4444444445</v>
      </c>
      <c r="AN114" s="159" t="n">
        <f aca="false">IF(AND(AN$6&gt;=EOMONTH($H$105,0),AN$6&lt;=EOMONTH(EDATE($H$105,$E$105-1),0)),$D$105/MAX($E$105,1),0)</f>
        <v>19844.4444444445</v>
      </c>
      <c r="AO114" s="159" t="n">
        <f aca="false">IF(AND(AO$6&gt;=EOMONTH($H$105,0),AO$6&lt;=EOMONTH(EDATE($H$105,$E$105-1),0)),$D$105/MAX($E$105,1),0)</f>
        <v>19844.4444444445</v>
      </c>
      <c r="AP114" s="159" t="n">
        <f aca="false">IF(AND(AP$6&gt;=EOMONTH($H$105,0),AP$6&lt;=EOMONTH(EDATE($H$105,$E$105-1),0)),$D$105/MAX($E$105,1),0)</f>
        <v>19844.4444444445</v>
      </c>
      <c r="AQ114" s="159" t="n">
        <f aca="false">IF(AND(AQ$6&gt;=EOMONTH($H$105,0),AQ$6&lt;=EOMONTH(EDATE($H$105,$E$105-1),0)),$D$105/MAX($E$105,1),0)</f>
        <v>19844.4444444445</v>
      </c>
      <c r="AR114" s="159" t="n">
        <f aca="false">IF(AND(AR$6&gt;=EOMONTH($H$105,0),AR$6&lt;=EOMONTH(EDATE($H$105,$E$105-1),0)),$D$105/MAX($E$105,1),0)</f>
        <v>0</v>
      </c>
      <c r="AS114" s="159" t="n">
        <f aca="false">IF(AND(AS$6&gt;=EOMONTH($H$105,0),AS$6&lt;=EOMONTH(EDATE($H$105,$E$105-1),0)),$D$105/MAX($E$105,1),0)</f>
        <v>0</v>
      </c>
      <c r="AT114" s="159" t="n">
        <f aca="false">IF(AND(AT$6&gt;=EOMONTH($H$105,0),AT$6&lt;=EOMONTH(EDATE($H$105,$E$105-1),0)),$D$105/MAX($E$105,1),0)</f>
        <v>0</v>
      </c>
      <c r="AU114" s="159" t="n">
        <f aca="false">IF(AND(AU$6&gt;=EOMONTH($H$105,0),AU$6&lt;=EOMONTH(EDATE($H$105,$E$105-1),0)),$D$105/MAX($E$105,1),0)</f>
        <v>0</v>
      </c>
      <c r="AV114" s="159" t="n">
        <f aca="false">IF(AND(AV$6&gt;=EOMONTH($H$105,0),AV$6&lt;=EOMONTH(EDATE($H$105,$E$105-1),0)),$D$105/MAX($E$105,1),0)</f>
        <v>0</v>
      </c>
      <c r="AW114" s="159" t="n">
        <f aca="false">IF(AND(AW$6&gt;=EOMONTH($H$105,0),AW$6&lt;=EOMONTH(EDATE($H$105,$E$105-1),0)),$D$105/MAX($E$105,1),0)</f>
        <v>0</v>
      </c>
      <c r="AX114" s="159" t="n">
        <f aca="false">IF(AND(AX$6&gt;=EOMONTH($H$105,0),AX$6&lt;=EOMONTH(EDATE($H$105,$E$105-1),0)),$D$105/MAX($E$105,1),0)</f>
        <v>0</v>
      </c>
      <c r="AY114" s="159" t="n">
        <f aca="false">IF(AND(AY$6&gt;=EOMONTH($H$105,0),AY$6&lt;=EOMONTH(EDATE($H$105,$E$105-1),0)),$D$105/MAX($E$105,1),0)</f>
        <v>0</v>
      </c>
      <c r="AZ114" s="159" t="n">
        <f aca="false">IF(AND(AZ$6&gt;=EOMONTH($H$105,0),AZ$6&lt;=EOMONTH(EDATE($H$105,$E$105-1),0)),$D$105/MAX($E$105,1),0)</f>
        <v>0</v>
      </c>
      <c r="BA114" s="159" t="n">
        <f aca="false">IF(AND(BA$6&gt;=EOMONTH($H$105,0),BA$6&lt;=EOMONTH(EDATE($H$105,$E$105-1),0)),$D$105/MAX($E$105,1),0)</f>
        <v>0</v>
      </c>
      <c r="BB114" s="159" t="n">
        <f aca="false">IF(AND(BB$6&gt;=EOMONTH($H$105,0),BB$6&lt;=EOMONTH(EDATE($H$105,$E$105-1),0)),$D$105/MAX($E$105,1),0)</f>
        <v>0</v>
      </c>
      <c r="BC114" s="159" t="n">
        <f aca="false">IF(AND(BC$6&gt;=EOMONTH($H$105,0),BC$6&lt;=EOMONTH(EDATE($H$105,$E$105-1),0)),$D$105/MAX($E$105,1),0)</f>
        <v>0</v>
      </c>
      <c r="BD114" s="159" t="n">
        <f aca="false">IF(AND(BD$6&gt;=EOMONTH($H$105,0),BD$6&lt;=EOMONTH(EDATE($H$105,$E$105-1),0)),$D$105/MAX($E$105,1),0)</f>
        <v>0</v>
      </c>
      <c r="BE114" s="159" t="n">
        <f aca="false">IF(AND(BE$6&gt;=EOMONTH($H$105,0),BE$6&lt;=EOMONTH(EDATE($H$105,$E$105-1),0)),$D$105/MAX($E$105,1),0)</f>
        <v>0</v>
      </c>
      <c r="BF114" s="159" t="n">
        <f aca="false">IF(AND(BF$6&gt;=EOMONTH($H$105,0),BF$6&lt;=EOMONTH(EDATE($H$105,$E$105-1),0)),$D$105/MAX($E$105,1),0)</f>
        <v>0</v>
      </c>
      <c r="BG114" s="159" t="n">
        <f aca="false">IF(AND(BG$6&gt;=EOMONTH($H$105,0),BG$6&lt;=EOMONTH(EDATE($H$105,$E$105-1),0)),$D$105/MAX($E$105,1),0)</f>
        <v>0</v>
      </c>
      <c r="BH114" s="159" t="n">
        <f aca="false">IF(AND(BH$6&gt;=EOMONTH($H$105,0),BH$6&lt;=EOMONTH(EDATE($H$105,$E$105-1),0)),$D$105/MAX($E$105,1),0)</f>
        <v>0</v>
      </c>
      <c r="BI114" s="159" t="n">
        <f aca="false">IF(AND(BI$6&gt;=EOMONTH($H$105,0),BI$6&lt;=EOMONTH(EDATE($H$105,$E$105-1),0)),$D$105/MAX($E$105,1),0)</f>
        <v>0</v>
      </c>
      <c r="BJ114" s="159" t="n">
        <f aca="false">IF(AND(BJ$6&gt;=EOMONTH($H$105,0),BJ$6&lt;=EOMONTH(EDATE($H$105,$E$105-1),0)),$D$105/MAX($E$105,1),0)</f>
        <v>0</v>
      </c>
      <c r="BK114" s="159" t="n">
        <f aca="false">IF(AND(BK$6&gt;=EOMONTH($H$105,0),BK$6&lt;=EOMONTH(EDATE($H$105,$E$105-1),0)),$D$105/MAX($E$105,1),0)</f>
        <v>0</v>
      </c>
      <c r="BL114" s="159" t="n">
        <f aca="false">IF(AND(BL$6&gt;=EOMONTH($H$105,0),BL$6&lt;=EOMONTH(EDATE($H$105,$E$105-1),0)),$D$105/MAX($E$105,1),0)</f>
        <v>0</v>
      </c>
      <c r="BM114" s="159" t="n">
        <f aca="false">IF(AND(BM$6&gt;=EOMONTH($H$105,0),BM$6&lt;=EOMONTH(EDATE($H$105,$E$105-1),0)),$D$105/MAX($E$105,1),0)</f>
        <v>0</v>
      </c>
      <c r="BN114" s="159" t="n">
        <f aca="false">IF(AND(BN$6&gt;=EOMONTH($H$105,0),BN$6&lt;=EOMONTH(EDATE($H$105,$E$105-1),0)),$D$105/MAX($E$105,1),0)</f>
        <v>0</v>
      </c>
      <c r="BO114" s="159" t="n">
        <f aca="false">IF(AND(BO$6&gt;=EOMONTH($H$105,0),BO$6&lt;=EOMONTH(EDATE($H$105,$E$105-1),0)),$D$105/MAX($E$105,1),0)</f>
        <v>0</v>
      </c>
      <c r="BP114" s="159" t="n">
        <f aca="false">IF(AND(BP$6&gt;=EOMONTH($H$105,0),BP$6&lt;=EOMONTH(EDATE($H$105,$E$105-1),0)),$D$105/MAX($E$105,1),0)</f>
        <v>0</v>
      </c>
      <c r="BQ114" s="159" t="n">
        <f aca="false">IF(AND(BQ$6&gt;=EOMONTH($H$105,0),BQ$6&lt;=EOMONTH(EDATE($H$105,$E$105-1),0)),$D$105/MAX($E$105,1),0)</f>
        <v>0</v>
      </c>
      <c r="BR114" s="159" t="n">
        <f aca="false">IF(AND(BR$6&gt;=EOMONTH($H$105,0),BR$6&lt;=EOMONTH(EDATE($H$105,$E$105-1),0)),$D$105/MAX($E$105,1),0)</f>
        <v>0</v>
      </c>
      <c r="BS114" s="159" t="n">
        <f aca="false">IF(AND(BS$6&gt;=EOMONTH($H$105,0),BS$6&lt;=EOMONTH(EDATE($H$105,$E$105-1),0)),$D$105/MAX($E$105,1),0)</f>
        <v>0</v>
      </c>
      <c r="BT114" s="159" t="n">
        <f aca="false">IF(AND(BT$6&gt;=EOMONTH($H$105,0),BT$6&lt;=EOMONTH(EDATE($H$105,$E$105-1),0)),$D$105/MAX($E$105,1),0)</f>
        <v>0</v>
      </c>
      <c r="BU114" s="159" t="n">
        <f aca="false">IF(AND(BU$6&gt;=EOMONTH($H$105,0),BU$6&lt;=EOMONTH(EDATE($H$105,$E$105-1),0)),$D$105/MAX($E$105,1),0)</f>
        <v>0</v>
      </c>
      <c r="BV114" s="159" t="n">
        <f aca="false">IF(AND(BV$6&gt;=EOMONTH($H$105,0),BV$6&lt;=EOMONTH(EDATE($H$105,$E$105-1),0)),$D$105/MAX($E$105,1),0)</f>
        <v>0</v>
      </c>
      <c r="BW114" s="159" t="n">
        <f aca="false">IF(AND(BW$6&gt;=EOMONTH($H$105,0),BW$6&lt;=EOMONTH(EDATE($H$105,$E$105-1),0)),$D$105/MAX($E$105,1),0)</f>
        <v>0</v>
      </c>
      <c r="BX114" s="159" t="n">
        <f aca="false">IF(AND(BX$6&gt;=EOMONTH($H$105,0),BX$6&lt;=EOMONTH(EDATE($H$105,$E$105-1),0)),$D$105/MAX($E$105,1),0)</f>
        <v>0</v>
      </c>
      <c r="BY114" s="159" t="n">
        <f aca="false">IF(AND(BY$6&gt;=EOMONTH($H$105,0),BY$6&lt;=EOMONTH(EDATE($H$105,$E$105-1),0)),$D$105/MAX($E$105,1),0)</f>
        <v>0</v>
      </c>
      <c r="BZ114" s="159" t="n">
        <f aca="false">IF(AND(BZ$6&gt;=EOMONTH($H$105,0),BZ$6&lt;=EOMONTH(EDATE($H$105,$E$105-1),0)),$D$105/MAX($E$105,1),0)</f>
        <v>0</v>
      </c>
      <c r="CA114" s="159" t="n">
        <f aca="false">IF(AND(CA$6&gt;=EOMONTH($H$105,0),CA$6&lt;=EOMONTH(EDATE($H$105,$E$105-1),0)),$D$105/MAX($E$105,1),0)</f>
        <v>0</v>
      </c>
    </row>
    <row r="115" customFormat="false" ht="15" hidden="false" customHeight="false" outlineLevel="0" collapsed="false">
      <c r="B115" s="196" t="s">
        <v>374</v>
      </c>
      <c r="T115" s="159" t="n">
        <f aca="false">IF(AND(T$6&gt;=EOMONTH($H$106,0),T$6&lt;=EOMONTH(EDATE($H$106,$E$106-1),0)),$D$106/MAX($E$106,1),0)</f>
        <v>0</v>
      </c>
      <c r="U115" s="159" t="n">
        <f aca="false">IF(AND(U$6&gt;=EOMONTH($H$106,0),U$6&lt;=EOMONTH(EDATE($H$106,$E$106-1),0)),$D$106/MAX($E$106,1),0)</f>
        <v>0</v>
      </c>
      <c r="V115" s="159" t="n">
        <f aca="false">IF(AND(V$6&gt;=EOMONTH($H$106,0),V$6&lt;=EOMONTH(EDATE($H$106,$E$106-1),0)),$D$106/MAX($E$106,1),0)</f>
        <v>0</v>
      </c>
      <c r="W115" s="159" t="n">
        <f aca="false">IF(AND(W$6&gt;=EOMONTH($H$106,0),W$6&lt;=EOMONTH(EDATE($H$106,$E$106-1),0)),$D$106/MAX($E$106,1),0)</f>
        <v>0</v>
      </c>
      <c r="X115" s="159" t="n">
        <f aca="false">IF(AND(X$6&gt;=EOMONTH($H$106,0),X$6&lt;=EOMONTH(EDATE($H$106,$E$106-1),0)),$D$106/MAX($E$106,1),0)</f>
        <v>0</v>
      </c>
      <c r="Y115" s="159" t="n">
        <f aca="false">IF(AND(Y$6&gt;=EOMONTH($H$106,0),Y$6&lt;=EOMONTH(EDATE($H$106,$E$106-1),0)),$D$106/MAX($E$106,1),0)</f>
        <v>0</v>
      </c>
      <c r="Z115" s="159" t="n">
        <f aca="false">IF(AND(Z$6&gt;=EOMONTH($H$106,0),Z$6&lt;=EOMONTH(EDATE($H$106,$E$106-1),0)),$D$106/MAX($E$106,1),0)</f>
        <v>0</v>
      </c>
      <c r="AA115" s="159" t="n">
        <f aca="false">IF(AND(AA$6&gt;=EOMONTH($H$106,0),AA$6&lt;=EOMONTH(EDATE($H$106,$E$106-1),0)),$D$106/MAX($E$106,1),0)</f>
        <v>0</v>
      </c>
      <c r="AB115" s="159" t="n">
        <f aca="false">IF(AND(AB$6&gt;=EOMONTH($H$106,0),AB$6&lt;=EOMONTH(EDATE($H$106,$E$106-1),0)),$D$106/MAX($E$106,1),0)</f>
        <v>0</v>
      </c>
      <c r="AC115" s="159" t="n">
        <f aca="false">IF(AND(AC$6&gt;=EOMONTH($H$106,0),AC$6&lt;=EOMONTH(EDATE($H$106,$E$106-1),0)),$D$106/MAX($E$106,1),0)</f>
        <v>0</v>
      </c>
      <c r="AD115" s="159" t="n">
        <f aca="false">IF(AND(AD$6&gt;=EOMONTH($H$106,0),AD$6&lt;=EOMONTH(EDATE($H$106,$E$106-1),0)),$D$106/MAX($E$106,1),0)</f>
        <v>0</v>
      </c>
      <c r="AE115" s="159" t="n">
        <f aca="false">IF(AND(AE$6&gt;=EOMONTH($H$106,0),AE$6&lt;=EOMONTH(EDATE($H$106,$E$106-1),0)),$D$106/MAX($E$106,1),0)</f>
        <v>0</v>
      </c>
      <c r="AF115" s="159" t="n">
        <f aca="false">IF(AND(AF$6&gt;=EOMONTH($H$106,0),AF$6&lt;=EOMONTH(EDATE($H$106,$E$106-1),0)),$D$106/MAX($E$106,1),0)</f>
        <v>26790</v>
      </c>
      <c r="AG115" s="159" t="n">
        <f aca="false">IF(AND(AG$6&gt;=EOMONTH($H$106,0),AG$6&lt;=EOMONTH(EDATE($H$106,$E$106-1),0)),$D$106/MAX($E$106,1),0)</f>
        <v>26790</v>
      </c>
      <c r="AH115" s="159" t="n">
        <f aca="false">IF(AND(AH$6&gt;=EOMONTH($H$106,0),AH$6&lt;=EOMONTH(EDATE($H$106,$E$106-1),0)),$D$106/MAX($E$106,1),0)</f>
        <v>26790</v>
      </c>
      <c r="AI115" s="159" t="n">
        <f aca="false">IF(AND(AI$6&gt;=EOMONTH($H$106,0),AI$6&lt;=EOMONTH(EDATE($H$106,$E$106-1),0)),$D$106/MAX($E$106,1),0)</f>
        <v>26790</v>
      </c>
      <c r="AJ115" s="159" t="n">
        <f aca="false">IF(AND(AJ$6&gt;=EOMONTH($H$106,0),AJ$6&lt;=EOMONTH(EDATE($H$106,$E$106-1),0)),$D$106/MAX($E$106,1),0)</f>
        <v>26790</v>
      </c>
      <c r="AK115" s="159" t="n">
        <f aca="false">IF(AND(AK$6&gt;=EOMONTH($H$106,0),AK$6&lt;=EOMONTH(EDATE($H$106,$E$106-1),0)),$D$106/MAX($E$106,1),0)</f>
        <v>26790</v>
      </c>
      <c r="AL115" s="159" t="n">
        <f aca="false">IF(AND(AL$6&gt;=EOMONTH($H$106,0),AL$6&lt;=EOMONTH(EDATE($H$106,$E$106-1),0)),$D$106/MAX($E$106,1),0)</f>
        <v>26790</v>
      </c>
      <c r="AM115" s="159" t="n">
        <f aca="false">IF(AND(AM$6&gt;=EOMONTH($H$106,0),AM$6&lt;=EOMONTH(EDATE($H$106,$E$106-1),0)),$D$106/MAX($E$106,1),0)</f>
        <v>26790</v>
      </c>
      <c r="AN115" s="159" t="n">
        <f aca="false">IF(AND(AN$6&gt;=EOMONTH($H$106,0),AN$6&lt;=EOMONTH(EDATE($H$106,$E$106-1),0)),$D$106/MAX($E$106,1),0)</f>
        <v>26790</v>
      </c>
      <c r="AO115" s="159" t="n">
        <f aca="false">IF(AND(AO$6&gt;=EOMONTH($H$106,0),AO$6&lt;=EOMONTH(EDATE($H$106,$E$106-1),0)),$D$106/MAX($E$106,1),0)</f>
        <v>26790</v>
      </c>
      <c r="AP115" s="159" t="n">
        <f aca="false">IF(AND(AP$6&gt;=EOMONTH($H$106,0),AP$6&lt;=EOMONTH(EDATE($H$106,$E$106-1),0)),$D$106/MAX($E$106,1),0)</f>
        <v>26790</v>
      </c>
      <c r="AQ115" s="159" t="n">
        <f aca="false">IF(AND(AQ$6&gt;=EOMONTH($H$106,0),AQ$6&lt;=EOMONTH(EDATE($H$106,$E$106-1),0)),$D$106/MAX($E$106,1),0)</f>
        <v>26790</v>
      </c>
      <c r="AR115" s="159" t="n">
        <f aca="false">IF(AND(AR$6&gt;=EOMONTH($H$106,0),AR$6&lt;=EOMONTH(EDATE($H$106,$E$106-1),0)),$D$106/MAX($E$106,1),0)</f>
        <v>0</v>
      </c>
      <c r="AS115" s="159" t="n">
        <f aca="false">IF(AND(AS$6&gt;=EOMONTH($H$106,0),AS$6&lt;=EOMONTH(EDATE($H$106,$E$106-1),0)),$D$106/MAX($E$106,1),0)</f>
        <v>0</v>
      </c>
      <c r="AT115" s="159" t="n">
        <f aca="false">IF(AND(AT$6&gt;=EOMONTH($H$106,0),AT$6&lt;=EOMONTH(EDATE($H$106,$E$106-1),0)),$D$106/MAX($E$106,1),0)</f>
        <v>0</v>
      </c>
      <c r="AU115" s="159" t="n">
        <f aca="false">IF(AND(AU$6&gt;=EOMONTH($H$106,0),AU$6&lt;=EOMONTH(EDATE($H$106,$E$106-1),0)),$D$106/MAX($E$106,1),0)</f>
        <v>0</v>
      </c>
      <c r="AV115" s="159" t="n">
        <f aca="false">IF(AND(AV$6&gt;=EOMONTH($H$106,0),AV$6&lt;=EOMONTH(EDATE($H$106,$E$106-1),0)),$D$106/MAX($E$106,1),0)</f>
        <v>0</v>
      </c>
      <c r="AW115" s="159" t="n">
        <f aca="false">IF(AND(AW$6&gt;=EOMONTH($H$106,0),AW$6&lt;=EOMONTH(EDATE($H$106,$E$106-1),0)),$D$106/MAX($E$106,1),0)</f>
        <v>0</v>
      </c>
      <c r="AX115" s="159" t="n">
        <f aca="false">IF(AND(AX$6&gt;=EOMONTH($H$106,0),AX$6&lt;=EOMONTH(EDATE($H$106,$E$106-1),0)),$D$106/MAX($E$106,1),0)</f>
        <v>0</v>
      </c>
      <c r="AY115" s="159" t="n">
        <f aca="false">IF(AND(AY$6&gt;=EOMONTH($H$106,0),AY$6&lt;=EOMONTH(EDATE($H$106,$E$106-1),0)),$D$106/MAX($E$106,1),0)</f>
        <v>0</v>
      </c>
      <c r="AZ115" s="159" t="n">
        <f aca="false">IF(AND(AZ$6&gt;=EOMONTH($H$106,0),AZ$6&lt;=EOMONTH(EDATE($H$106,$E$106-1),0)),$D$106/MAX($E$106,1),0)</f>
        <v>0</v>
      </c>
      <c r="BA115" s="159" t="n">
        <f aca="false">IF(AND(BA$6&gt;=EOMONTH($H$106,0),BA$6&lt;=EOMONTH(EDATE($H$106,$E$106-1),0)),$D$106/MAX($E$106,1),0)</f>
        <v>0</v>
      </c>
      <c r="BB115" s="159" t="n">
        <f aca="false">IF(AND(BB$6&gt;=EOMONTH($H$106,0),BB$6&lt;=EOMONTH(EDATE($H$106,$E$106-1),0)),$D$106/MAX($E$106,1),0)</f>
        <v>0</v>
      </c>
      <c r="BC115" s="159" t="n">
        <f aca="false">IF(AND(BC$6&gt;=EOMONTH($H$106,0),BC$6&lt;=EOMONTH(EDATE($H$106,$E$106-1),0)),$D$106/MAX($E$106,1),0)</f>
        <v>0</v>
      </c>
      <c r="BD115" s="159" t="n">
        <f aca="false">IF(AND(BD$6&gt;=EOMONTH($H$106,0),BD$6&lt;=EOMONTH(EDATE($H$106,$E$106-1),0)),$D$106/MAX($E$106,1),0)</f>
        <v>0</v>
      </c>
      <c r="BE115" s="159" t="n">
        <f aca="false">IF(AND(BE$6&gt;=EOMONTH($H$106,0),BE$6&lt;=EOMONTH(EDATE($H$106,$E$106-1),0)),$D$106/MAX($E$106,1),0)</f>
        <v>0</v>
      </c>
      <c r="BF115" s="159" t="n">
        <f aca="false">IF(AND(BF$6&gt;=EOMONTH($H$106,0),BF$6&lt;=EOMONTH(EDATE($H$106,$E$106-1),0)),$D$106/MAX($E$106,1),0)</f>
        <v>0</v>
      </c>
      <c r="BG115" s="159" t="n">
        <f aca="false">IF(AND(BG$6&gt;=EOMONTH($H$106,0),BG$6&lt;=EOMONTH(EDATE($H$106,$E$106-1),0)),$D$106/MAX($E$106,1),0)</f>
        <v>0</v>
      </c>
      <c r="BH115" s="159" t="n">
        <f aca="false">IF(AND(BH$6&gt;=EOMONTH($H$106,0),BH$6&lt;=EOMONTH(EDATE($H$106,$E$106-1),0)),$D$106/MAX($E$106,1),0)</f>
        <v>0</v>
      </c>
      <c r="BI115" s="159" t="n">
        <f aca="false">IF(AND(BI$6&gt;=EOMONTH($H$106,0),BI$6&lt;=EOMONTH(EDATE($H$106,$E$106-1),0)),$D$106/MAX($E$106,1),0)</f>
        <v>0</v>
      </c>
      <c r="BJ115" s="159" t="n">
        <f aca="false">IF(AND(BJ$6&gt;=EOMONTH($H$106,0),BJ$6&lt;=EOMONTH(EDATE($H$106,$E$106-1),0)),$D$106/MAX($E$106,1),0)</f>
        <v>0</v>
      </c>
      <c r="BK115" s="159" t="n">
        <f aca="false">IF(AND(BK$6&gt;=EOMONTH($H$106,0),BK$6&lt;=EOMONTH(EDATE($H$106,$E$106-1),0)),$D$106/MAX($E$106,1),0)</f>
        <v>0</v>
      </c>
      <c r="BL115" s="159" t="n">
        <f aca="false">IF(AND(BL$6&gt;=EOMONTH($H$106,0),BL$6&lt;=EOMONTH(EDATE($H$106,$E$106-1),0)),$D$106/MAX($E$106,1),0)</f>
        <v>0</v>
      </c>
      <c r="BM115" s="159" t="n">
        <f aca="false">IF(AND(BM$6&gt;=EOMONTH($H$106,0),BM$6&lt;=EOMONTH(EDATE($H$106,$E$106-1),0)),$D$106/MAX($E$106,1),0)</f>
        <v>0</v>
      </c>
      <c r="BN115" s="159" t="n">
        <f aca="false">IF(AND(BN$6&gt;=EOMONTH($H$106,0),BN$6&lt;=EOMONTH(EDATE($H$106,$E$106-1),0)),$D$106/MAX($E$106,1),0)</f>
        <v>0</v>
      </c>
      <c r="BO115" s="159" t="n">
        <f aca="false">IF(AND(BO$6&gt;=EOMONTH($H$106,0),BO$6&lt;=EOMONTH(EDATE($H$106,$E$106-1),0)),$D$106/MAX($E$106,1),0)</f>
        <v>0</v>
      </c>
      <c r="BP115" s="159" t="n">
        <f aca="false">IF(AND(BP$6&gt;=EOMONTH($H$106,0),BP$6&lt;=EOMONTH(EDATE($H$106,$E$106-1),0)),$D$106/MAX($E$106,1),0)</f>
        <v>0</v>
      </c>
      <c r="BQ115" s="159" t="n">
        <f aca="false">IF(AND(BQ$6&gt;=EOMONTH($H$106,0),BQ$6&lt;=EOMONTH(EDATE($H$106,$E$106-1),0)),$D$106/MAX($E$106,1),0)</f>
        <v>0</v>
      </c>
      <c r="BR115" s="159" t="n">
        <f aca="false">IF(AND(BR$6&gt;=EOMONTH($H$106,0),BR$6&lt;=EOMONTH(EDATE($H$106,$E$106-1),0)),$D$106/MAX($E$106,1),0)</f>
        <v>0</v>
      </c>
      <c r="BS115" s="159" t="n">
        <f aca="false">IF(AND(BS$6&gt;=EOMONTH($H$106,0),BS$6&lt;=EOMONTH(EDATE($H$106,$E$106-1),0)),$D$106/MAX($E$106,1),0)</f>
        <v>0</v>
      </c>
      <c r="BT115" s="159" t="n">
        <f aca="false">IF(AND(BT$6&gt;=EOMONTH($H$106,0),BT$6&lt;=EOMONTH(EDATE($H$106,$E$106-1),0)),$D$106/MAX($E$106,1),0)</f>
        <v>0</v>
      </c>
      <c r="BU115" s="159" t="n">
        <f aca="false">IF(AND(BU$6&gt;=EOMONTH($H$106,0),BU$6&lt;=EOMONTH(EDATE($H$106,$E$106-1),0)),$D$106/MAX($E$106,1),0)</f>
        <v>0</v>
      </c>
      <c r="BV115" s="159" t="n">
        <f aca="false">IF(AND(BV$6&gt;=EOMONTH($H$106,0),BV$6&lt;=EOMONTH(EDATE($H$106,$E$106-1),0)),$D$106/MAX($E$106,1),0)</f>
        <v>0</v>
      </c>
      <c r="BW115" s="159" t="n">
        <f aca="false">IF(AND(BW$6&gt;=EOMONTH($H$106,0),BW$6&lt;=EOMONTH(EDATE($H$106,$E$106-1),0)),$D$106/MAX($E$106,1),0)</f>
        <v>0</v>
      </c>
      <c r="BX115" s="159" t="n">
        <f aca="false">IF(AND(BX$6&gt;=EOMONTH($H$106,0),BX$6&lt;=EOMONTH(EDATE($H$106,$E$106-1),0)),$D$106/MAX($E$106,1),0)</f>
        <v>0</v>
      </c>
      <c r="BY115" s="159" t="n">
        <f aca="false">IF(AND(BY$6&gt;=EOMONTH($H$106,0),BY$6&lt;=EOMONTH(EDATE($H$106,$E$106-1),0)),$D$106/MAX($E$106,1),0)</f>
        <v>0</v>
      </c>
      <c r="BZ115" s="159" t="n">
        <f aca="false">IF(AND(BZ$6&gt;=EOMONTH($H$106,0),BZ$6&lt;=EOMONTH(EDATE($H$106,$E$106-1),0)),$D$106/MAX($E$106,1),0)</f>
        <v>0</v>
      </c>
      <c r="CA115" s="159" t="n">
        <f aca="false">IF(AND(CA$6&gt;=EOMONTH($H$106,0),CA$6&lt;=EOMONTH(EDATE($H$106,$E$106-1),0)),$D$106/MAX($E$106,1),0)</f>
        <v>0</v>
      </c>
    </row>
    <row r="116" customFormat="false" ht="15" hidden="false" customHeight="false" outlineLevel="0" collapsed="false">
      <c r="B116" s="196" t="s">
        <v>375</v>
      </c>
      <c r="T116" s="159" t="n">
        <f aca="false">IF(AND(T$6&gt;=EOMONTH($H$107,0),T$6&lt;=EOMONTH(EDATE($H$107,$E$107-1),0)),$D$107/MAX($E$107,1),0)</f>
        <v>0</v>
      </c>
      <c r="U116" s="159" t="n">
        <f aca="false">IF(AND(U$6&gt;=EOMONTH($H$107,0),U$6&lt;=EOMONTH(EDATE($H$107,$E$107-1),0)),$D$107/MAX($E$107,1),0)</f>
        <v>0</v>
      </c>
      <c r="V116" s="159" t="n">
        <f aca="false">IF(AND(V$6&gt;=EOMONTH($H$107,0),V$6&lt;=EOMONTH(EDATE($H$107,$E$107-1),0)),$D$107/MAX($E$107,1),0)</f>
        <v>0</v>
      </c>
      <c r="W116" s="159" t="n">
        <f aca="false">IF(AND(W$6&gt;=EOMONTH($H$107,0),W$6&lt;=EOMONTH(EDATE($H$107,$E$107-1),0)),$D$107/MAX($E$107,1),0)</f>
        <v>0</v>
      </c>
      <c r="X116" s="159" t="n">
        <f aca="false">IF(AND(X$6&gt;=EOMONTH($H$107,0),X$6&lt;=EOMONTH(EDATE($H$107,$E$107-1),0)),$D$107/MAX($E$107,1),0)</f>
        <v>0</v>
      </c>
      <c r="Y116" s="159" t="n">
        <f aca="false">IF(AND(Y$6&gt;=EOMONTH($H$107,0),Y$6&lt;=EOMONTH(EDATE($H$107,$E$107-1),0)),$D$107/MAX($E$107,1),0)</f>
        <v>0</v>
      </c>
      <c r="Z116" s="159" t="n">
        <f aca="false">IF(AND(Z$6&gt;=EOMONTH($H$107,0),Z$6&lt;=EOMONTH(EDATE($H$107,$E$107-1),0)),$D$107/MAX($E$107,1),0)</f>
        <v>0</v>
      </c>
      <c r="AA116" s="159" t="n">
        <f aca="false">IF(AND(AA$6&gt;=EOMONTH($H$107,0),AA$6&lt;=EOMONTH(EDATE($H$107,$E$107-1),0)),$D$107/MAX($E$107,1),0)</f>
        <v>0</v>
      </c>
      <c r="AB116" s="159" t="n">
        <f aca="false">IF(AND(AB$6&gt;=EOMONTH($H$107,0),AB$6&lt;=EOMONTH(EDATE($H$107,$E$107-1),0)),$D$107/MAX($E$107,1),0)</f>
        <v>0</v>
      </c>
      <c r="AC116" s="159" t="n">
        <f aca="false">IF(AND(AC$6&gt;=EOMONTH($H$107,0),AC$6&lt;=EOMONTH(EDATE($H$107,$E$107-1),0)),$D$107/MAX($E$107,1),0)</f>
        <v>0</v>
      </c>
      <c r="AD116" s="159" t="n">
        <f aca="false">IF(AND(AD$6&gt;=EOMONTH($H$107,0),AD$6&lt;=EOMONTH(EDATE($H$107,$E$107-1),0)),$D$107/MAX($E$107,1),0)</f>
        <v>0</v>
      </c>
      <c r="AE116" s="159" t="n">
        <f aca="false">IF(AND(AE$6&gt;=EOMONTH($H$107,0),AE$6&lt;=EOMONTH(EDATE($H$107,$E$107-1),0)),$D$107/MAX($E$107,1),0)</f>
        <v>0</v>
      </c>
      <c r="AF116" s="159" t="n">
        <f aca="false">IF(AND(AF$6&gt;=EOMONTH($H$107,0),AF$6&lt;=EOMONTH(EDATE($H$107,$E$107-1),0)),$D$107/MAX($E$107,1),0)</f>
        <v>0</v>
      </c>
      <c r="AG116" s="159" t="n">
        <f aca="false">IF(AND(AG$6&gt;=EOMONTH($H$107,0),AG$6&lt;=EOMONTH(EDATE($H$107,$E$107-1),0)),$D$107/MAX($E$107,1),0)</f>
        <v>0</v>
      </c>
      <c r="AH116" s="159" t="n">
        <f aca="false">IF(AND(AH$6&gt;=EOMONTH($H$107,0),AH$6&lt;=EOMONTH(EDATE($H$107,$E$107-1),0)),$D$107/MAX($E$107,1),0)</f>
        <v>0</v>
      </c>
      <c r="AI116" s="159" t="n">
        <f aca="false">IF(AND(AI$6&gt;=EOMONTH($H$107,0),AI$6&lt;=EOMONTH(EDATE($H$107,$E$107-1),0)),$D$107/MAX($E$107,1),0)</f>
        <v>0</v>
      </c>
      <c r="AJ116" s="159" t="n">
        <f aca="false">IF(AND(AJ$6&gt;=EOMONTH($H$107,0),AJ$6&lt;=EOMONTH(EDATE($H$107,$E$107-1),0)),$D$107/MAX($E$107,1),0)</f>
        <v>0</v>
      </c>
      <c r="AK116" s="159" t="n">
        <f aca="false">IF(AND(AK$6&gt;=EOMONTH($H$107,0),AK$6&lt;=EOMONTH(EDATE($H$107,$E$107-1),0)),$D$107/MAX($E$107,1),0)</f>
        <v>0</v>
      </c>
      <c r="AL116" s="159" t="n">
        <f aca="false">IF(AND(AL$6&gt;=EOMONTH($H$107,0),AL$6&lt;=EOMONTH(EDATE($H$107,$E$107-1),0)),$D$107/MAX($E$107,1),0)</f>
        <v>0</v>
      </c>
      <c r="AM116" s="159" t="n">
        <f aca="false">IF(AND(AM$6&gt;=EOMONTH($H$107,0),AM$6&lt;=EOMONTH(EDATE($H$107,$E$107-1),0)),$D$107/MAX($E$107,1),0)</f>
        <v>0</v>
      </c>
      <c r="AN116" s="159" t="n">
        <f aca="false">IF(AND(AN$6&gt;=EOMONTH($H$107,0),AN$6&lt;=EOMONTH(EDATE($H$107,$E$107-1),0)),$D$107/MAX($E$107,1),0)</f>
        <v>0</v>
      </c>
      <c r="AO116" s="159" t="n">
        <f aca="false">IF(AND(AO$6&gt;=EOMONTH($H$107,0),AO$6&lt;=EOMONTH(EDATE($H$107,$E$107-1),0)),$D$107/MAX($E$107,1),0)</f>
        <v>0</v>
      </c>
      <c r="AP116" s="159" t="n">
        <f aca="false">IF(AND(AP$6&gt;=EOMONTH($H$107,0),AP$6&lt;=EOMONTH(EDATE($H$107,$E$107-1),0)),$D$107/MAX($E$107,1),0)</f>
        <v>0</v>
      </c>
      <c r="AQ116" s="159" t="n">
        <f aca="false">IF(AND(AQ$6&gt;=EOMONTH($H$107,0),AQ$6&lt;=EOMONTH(EDATE($H$107,$E$107-1),0)),$D$107/MAX($E$107,1),0)</f>
        <v>0</v>
      </c>
      <c r="AR116" s="159" t="n">
        <f aca="false">IF(AND(AR$6&gt;=EOMONTH($H$107,0),AR$6&lt;=EOMONTH(EDATE($H$107,$E$107-1),0)),$D$107/MAX($E$107,1),0)</f>
        <v>0</v>
      </c>
      <c r="AS116" s="159" t="n">
        <f aca="false">IF(AND(AS$6&gt;=EOMONTH($H$107,0),AS$6&lt;=EOMONTH(EDATE($H$107,$E$107-1),0)),$D$107/MAX($E$107,1),0)</f>
        <v>0</v>
      </c>
      <c r="AT116" s="159" t="n">
        <f aca="false">IF(AND(AT$6&gt;=EOMONTH($H$107,0),AT$6&lt;=EOMONTH(EDATE($H$107,$E$107-1),0)),$D$107/MAX($E$107,1),0)</f>
        <v>0</v>
      </c>
      <c r="AU116" s="159" t="n">
        <f aca="false">IF(AND(AU$6&gt;=EOMONTH($H$107,0),AU$6&lt;=EOMONTH(EDATE($H$107,$E$107-1),0)),$D$107/MAX($E$107,1),0)</f>
        <v>0</v>
      </c>
      <c r="AV116" s="159" t="n">
        <f aca="false">IF(AND(AV$6&gt;=EOMONTH($H$107,0),AV$6&lt;=EOMONTH(EDATE($H$107,$E$107-1),0)),$D$107/MAX($E$107,1),0)</f>
        <v>0</v>
      </c>
      <c r="AW116" s="159" t="n">
        <f aca="false">IF(AND(AW$6&gt;=EOMONTH($H$107,0),AW$6&lt;=EOMONTH(EDATE($H$107,$E$107-1),0)),$D$107/MAX($E$107,1),0)</f>
        <v>0</v>
      </c>
      <c r="AX116" s="159" t="n">
        <f aca="false">IF(AND(AX$6&gt;=EOMONTH($H$107,0),AX$6&lt;=EOMONTH(EDATE($H$107,$E$107-1),0)),$D$107/MAX($E$107,1),0)</f>
        <v>0</v>
      </c>
      <c r="AY116" s="159" t="n">
        <f aca="false">IF(AND(AY$6&gt;=EOMONTH($H$107,0),AY$6&lt;=EOMONTH(EDATE($H$107,$E$107-1),0)),$D$107/MAX($E$107,1),0)</f>
        <v>0</v>
      </c>
      <c r="AZ116" s="159" t="n">
        <f aca="false">IF(AND(AZ$6&gt;=EOMONTH($H$107,0),AZ$6&lt;=EOMONTH(EDATE($H$107,$E$107-1),0)),$D$107/MAX($E$107,1),0)</f>
        <v>0</v>
      </c>
      <c r="BA116" s="159" t="n">
        <f aca="false">IF(AND(BA$6&gt;=EOMONTH($H$107,0),BA$6&lt;=EOMONTH(EDATE($H$107,$E$107-1),0)),$D$107/MAX($E$107,1),0)</f>
        <v>0</v>
      </c>
      <c r="BB116" s="159" t="n">
        <f aca="false">IF(AND(BB$6&gt;=EOMONTH($H$107,0),BB$6&lt;=EOMONTH(EDATE($H$107,$E$107-1),0)),$D$107/MAX($E$107,1),0)</f>
        <v>0</v>
      </c>
      <c r="BC116" s="159" t="n">
        <f aca="false">IF(AND(BC$6&gt;=EOMONTH($H$107,0),BC$6&lt;=EOMONTH(EDATE($H$107,$E$107-1),0)),$D$107/MAX($E$107,1),0)</f>
        <v>0</v>
      </c>
      <c r="BD116" s="159" t="n">
        <f aca="false">IF(AND(BD$6&gt;=EOMONTH($H$107,0),BD$6&lt;=EOMONTH(EDATE($H$107,$E$107-1),0)),$D$107/MAX($E$107,1),0)</f>
        <v>0</v>
      </c>
      <c r="BE116" s="159" t="n">
        <f aca="false">IF(AND(BE$6&gt;=EOMONTH($H$107,0),BE$6&lt;=EOMONTH(EDATE($H$107,$E$107-1),0)),$D$107/MAX($E$107,1),0)</f>
        <v>0</v>
      </c>
      <c r="BF116" s="159" t="n">
        <f aca="false">IF(AND(BF$6&gt;=EOMONTH($H$107,0),BF$6&lt;=EOMONTH(EDATE($H$107,$E$107-1),0)),$D$107/MAX($E$107,1),0)</f>
        <v>0</v>
      </c>
      <c r="BG116" s="159" t="n">
        <f aca="false">IF(AND(BG$6&gt;=EOMONTH($H$107,0),BG$6&lt;=EOMONTH(EDATE($H$107,$E$107-1),0)),$D$107/MAX($E$107,1),0)</f>
        <v>0</v>
      </c>
      <c r="BH116" s="159" t="n">
        <f aca="false">IF(AND(BH$6&gt;=EOMONTH($H$107,0),BH$6&lt;=EOMONTH(EDATE($H$107,$E$107-1),0)),$D$107/MAX($E$107,1),0)</f>
        <v>0</v>
      </c>
      <c r="BI116" s="159" t="n">
        <f aca="false">IF(AND(BI$6&gt;=EOMONTH($H$107,0),BI$6&lt;=EOMONTH(EDATE($H$107,$E$107-1),0)),$D$107/MAX($E$107,1),0)</f>
        <v>0</v>
      </c>
      <c r="BJ116" s="159" t="n">
        <f aca="false">IF(AND(BJ$6&gt;=EOMONTH($H$107,0),BJ$6&lt;=EOMONTH(EDATE($H$107,$E$107-1),0)),$D$107/MAX($E$107,1),0)</f>
        <v>0</v>
      </c>
      <c r="BK116" s="159" t="n">
        <f aca="false">IF(AND(BK$6&gt;=EOMONTH($H$107,0),BK$6&lt;=EOMONTH(EDATE($H$107,$E$107-1),0)),$D$107/MAX($E$107,1),0)</f>
        <v>0</v>
      </c>
      <c r="BL116" s="159" t="n">
        <f aca="false">IF(AND(BL$6&gt;=EOMONTH($H$107,0),BL$6&lt;=EOMONTH(EDATE($H$107,$E$107-1),0)),$D$107/MAX($E$107,1),0)</f>
        <v>0</v>
      </c>
      <c r="BM116" s="159" t="n">
        <f aca="false">IF(AND(BM$6&gt;=EOMONTH($H$107,0),BM$6&lt;=EOMONTH(EDATE($H$107,$E$107-1),0)),$D$107/MAX($E$107,1),0)</f>
        <v>0</v>
      </c>
      <c r="BN116" s="159" t="n">
        <f aca="false">IF(AND(BN$6&gt;=EOMONTH($H$107,0),BN$6&lt;=EOMONTH(EDATE($H$107,$E$107-1),0)),$D$107/MAX($E$107,1),0)</f>
        <v>0</v>
      </c>
      <c r="BO116" s="159" t="n">
        <f aca="false">IF(AND(BO$6&gt;=EOMONTH($H$107,0),BO$6&lt;=EOMONTH(EDATE($H$107,$E$107-1),0)),$D$107/MAX($E$107,1),0)</f>
        <v>0</v>
      </c>
      <c r="BP116" s="159" t="n">
        <f aca="false">IF(AND(BP$6&gt;=EOMONTH($H$107,0),BP$6&lt;=EOMONTH(EDATE($H$107,$E$107-1),0)),$D$107/MAX($E$107,1),0)</f>
        <v>0</v>
      </c>
      <c r="BQ116" s="159" t="n">
        <f aca="false">IF(AND(BQ$6&gt;=EOMONTH($H$107,0),BQ$6&lt;=EOMONTH(EDATE($H$107,$E$107-1),0)),$D$107/MAX($E$107,1),0)</f>
        <v>0</v>
      </c>
      <c r="BR116" s="159" t="n">
        <f aca="false">IF(AND(BR$6&gt;=EOMONTH($H$107,0),BR$6&lt;=EOMONTH(EDATE($H$107,$E$107-1),0)),$D$107/MAX($E$107,1),0)</f>
        <v>0</v>
      </c>
      <c r="BS116" s="159" t="n">
        <f aca="false">IF(AND(BS$6&gt;=EOMONTH($H$107,0),BS$6&lt;=EOMONTH(EDATE($H$107,$E$107-1),0)),$D$107/MAX($E$107,1),0)</f>
        <v>0</v>
      </c>
      <c r="BT116" s="159" t="n">
        <f aca="false">IF(AND(BT$6&gt;=EOMONTH($H$107,0),BT$6&lt;=EOMONTH(EDATE($H$107,$E$107-1),0)),$D$107/MAX($E$107,1),0)</f>
        <v>0</v>
      </c>
      <c r="BU116" s="159" t="n">
        <f aca="false">IF(AND(BU$6&gt;=EOMONTH($H$107,0),BU$6&lt;=EOMONTH(EDATE($H$107,$E$107-1),0)),$D$107/MAX($E$107,1),0)</f>
        <v>0</v>
      </c>
      <c r="BV116" s="159" t="n">
        <f aca="false">IF(AND(BV$6&gt;=EOMONTH($H$107,0),BV$6&lt;=EOMONTH(EDATE($H$107,$E$107-1),0)),$D$107/MAX($E$107,1),0)</f>
        <v>0</v>
      </c>
      <c r="BW116" s="159" t="n">
        <f aca="false">IF(AND(BW$6&gt;=EOMONTH($H$107,0),BW$6&lt;=EOMONTH(EDATE($H$107,$E$107-1),0)),$D$107/MAX($E$107,1),0)</f>
        <v>0</v>
      </c>
      <c r="BX116" s="159" t="n">
        <f aca="false">IF(AND(BX$6&gt;=EOMONTH($H$107,0),BX$6&lt;=EOMONTH(EDATE($H$107,$E$107-1),0)),$D$107/MAX($E$107,1),0)</f>
        <v>0</v>
      </c>
      <c r="BY116" s="159" t="n">
        <f aca="false">IF(AND(BY$6&gt;=EOMONTH($H$107,0),BY$6&lt;=EOMONTH(EDATE($H$107,$E$107-1),0)),$D$107/MAX($E$107,1),0)</f>
        <v>0</v>
      </c>
      <c r="BZ116" s="159" t="n">
        <f aca="false">IF(AND(BZ$6&gt;=EOMONTH($H$107,0),BZ$6&lt;=EOMONTH(EDATE($H$107,$E$107-1),0)),$D$107/MAX($E$107,1),0)</f>
        <v>0</v>
      </c>
      <c r="CA116" s="159" t="n">
        <f aca="false">IF(AND(CA$6&gt;=EOMONTH($H$107,0),CA$6&lt;=EOMONTH(EDATE($H$107,$E$107-1),0)),$D$107/MAX($E$107,1),0)</f>
        <v>0</v>
      </c>
    </row>
    <row r="118" customFormat="false" ht="15" hidden="false" customHeight="false" outlineLevel="0" collapsed="false">
      <c r="B118" s="197" t="s">
        <v>376</v>
      </c>
    </row>
    <row r="119" customFormat="false" ht="15" hidden="false" customHeight="false" outlineLevel="0" collapsed="false">
      <c r="B119" s="10" t="s">
        <v>377</v>
      </c>
      <c r="L119" s="193" t="n">
        <f aca="false">SUMIFS($T119:$CA119,$T$5:$CA$5,2026)</f>
        <v>0</v>
      </c>
      <c r="M119" s="193" t="n">
        <f aca="false">SUMIFS($T119:$CA119,$T$5:$CA$5,2027)</f>
        <v>0</v>
      </c>
      <c r="N119" s="193" t="n">
        <f aca="false">SUMIFS($T119:$CA119,$T$5:$CA$5,2028)</f>
        <v>0</v>
      </c>
      <c r="O119" s="193" t="n">
        <f aca="false">SUMIFS($T119:$CA119,$T$5:$CA$5,2029)</f>
        <v>0</v>
      </c>
      <c r="P119" s="193" t="n">
        <f aca="false">SUMIFS($T119:$CA119,$T$5:$CA$5,2030)</f>
        <v>0</v>
      </c>
      <c r="T119" s="193" t="n">
        <f aca="false">(SUMPRODUCT(T89:T92,$I$76:$I$79)+SUMPRODUCT(T93:T96,$I$83:$I$86))/1000000</f>
        <v>0</v>
      </c>
      <c r="U119" s="193" t="n">
        <f aca="false">(SUMPRODUCT(U89:U92,$I$76:$I$79)+SUMPRODUCT(U93:U96,$I$83:$I$86))/1000000</f>
        <v>0</v>
      </c>
      <c r="V119" s="193" t="n">
        <f aca="false">(SUMPRODUCT(V89:V92,$I$76:$I$79)+SUMPRODUCT(V93:V96,$I$83:$I$86))/1000000</f>
        <v>0</v>
      </c>
      <c r="W119" s="193" t="n">
        <f aca="false">(SUMPRODUCT(W89:W92,$I$76:$I$79)+SUMPRODUCT(W93:W96,$I$83:$I$86))/1000000</f>
        <v>0</v>
      </c>
      <c r="X119" s="193" t="n">
        <f aca="false">(SUMPRODUCT(X89:X92,$I$76:$I$79)+SUMPRODUCT(X93:X96,$I$83:$I$86))/1000000</f>
        <v>0</v>
      </c>
      <c r="Y119" s="193" t="n">
        <f aca="false">(SUMPRODUCT(Y89:Y92,$I$76:$I$79)+SUMPRODUCT(Y93:Y96,$I$83:$I$86))/1000000</f>
        <v>0</v>
      </c>
      <c r="Z119" s="193" t="n">
        <f aca="false">(SUMPRODUCT(Z89:Z92,$I$76:$I$79)+SUMPRODUCT(Z93:Z96,$I$83:$I$86))/1000000</f>
        <v>0</v>
      </c>
      <c r="AA119" s="193" t="n">
        <f aca="false">(SUMPRODUCT(AA89:AA92,$I$76:$I$79)+SUMPRODUCT(AA93:AA96,$I$83:$I$86))/1000000</f>
        <v>0</v>
      </c>
      <c r="AB119" s="193" t="n">
        <f aca="false">(SUMPRODUCT(AB89:AB92,$I$76:$I$79)+SUMPRODUCT(AB93:AB96,$I$83:$I$86))/1000000</f>
        <v>0</v>
      </c>
      <c r="AC119" s="193" t="n">
        <f aca="false">(SUMPRODUCT(AC89:AC92,$I$76:$I$79)+SUMPRODUCT(AC93:AC96,$I$83:$I$86))/1000000</f>
        <v>0</v>
      </c>
      <c r="AD119" s="193" t="n">
        <f aca="false">(SUMPRODUCT(AD89:AD92,$I$76:$I$79)+SUMPRODUCT(AD93:AD96,$I$83:$I$86))/1000000</f>
        <v>0</v>
      </c>
      <c r="AE119" s="193" t="n">
        <f aca="false">(SUMPRODUCT(AE89:AE92,$I$76:$I$79)+SUMPRODUCT(AE93:AE96,$I$83:$I$86))/1000000</f>
        <v>0</v>
      </c>
      <c r="AF119" s="193" t="n">
        <f aca="false">(SUMPRODUCT(AF89:AF92,$I$76:$I$79)+SUMPRODUCT(AF93:AF96,$I$83:$I$86))/1000000</f>
        <v>0</v>
      </c>
      <c r="AG119" s="193" t="n">
        <f aca="false">(SUMPRODUCT(AG89:AG92,$I$76:$I$79)+SUMPRODUCT(AG93:AG96,$I$83:$I$86))/1000000</f>
        <v>0</v>
      </c>
      <c r="AH119" s="193" t="n">
        <f aca="false">(SUMPRODUCT(AH89:AH92,$I$76:$I$79)+SUMPRODUCT(AH93:AH96,$I$83:$I$86))/1000000</f>
        <v>0</v>
      </c>
      <c r="AI119" s="193" t="n">
        <f aca="false">(SUMPRODUCT(AI89:AI92,$I$76:$I$79)+SUMPRODUCT(AI93:AI96,$I$83:$I$86))/1000000</f>
        <v>0</v>
      </c>
      <c r="AJ119" s="193" t="n">
        <f aca="false">(SUMPRODUCT(AJ89:AJ92,$I$76:$I$79)+SUMPRODUCT(AJ93:AJ96,$I$83:$I$86))/1000000</f>
        <v>0</v>
      </c>
      <c r="AK119" s="193" t="n">
        <f aca="false">(SUMPRODUCT(AK89:AK92,$I$76:$I$79)+SUMPRODUCT(AK93:AK96,$I$83:$I$86))/1000000</f>
        <v>0</v>
      </c>
      <c r="AL119" s="193" t="n">
        <f aca="false">(SUMPRODUCT(AL89:AL92,$I$76:$I$79)+SUMPRODUCT(AL93:AL96,$I$83:$I$86))/1000000</f>
        <v>0</v>
      </c>
      <c r="AM119" s="193" t="n">
        <f aca="false">(SUMPRODUCT(AM89:AM92,$I$76:$I$79)+SUMPRODUCT(AM93:AM96,$I$83:$I$86))/1000000</f>
        <v>0</v>
      </c>
      <c r="AN119" s="193" t="n">
        <f aca="false">(SUMPRODUCT(AN89:AN92,$I$76:$I$79)+SUMPRODUCT(AN93:AN96,$I$83:$I$86))/1000000</f>
        <v>0</v>
      </c>
      <c r="AO119" s="193" t="n">
        <f aca="false">(SUMPRODUCT(AO89:AO92,$I$76:$I$79)+SUMPRODUCT(AO93:AO96,$I$83:$I$86))/1000000</f>
        <v>0</v>
      </c>
      <c r="AP119" s="193" t="n">
        <f aca="false">(SUMPRODUCT(AP89:AP92,$I$76:$I$79)+SUMPRODUCT(AP93:AP96,$I$83:$I$86))/1000000</f>
        <v>0</v>
      </c>
      <c r="AQ119" s="193" t="n">
        <f aca="false">(SUMPRODUCT(AQ89:AQ92,$I$76:$I$79)+SUMPRODUCT(AQ93:AQ96,$I$83:$I$86))/1000000</f>
        <v>0</v>
      </c>
      <c r="AR119" s="193" t="n">
        <f aca="false">(SUMPRODUCT(AR89:AR92,$I$76:$I$79)+SUMPRODUCT(AR93:AR96,$I$83:$I$86))/1000000</f>
        <v>0</v>
      </c>
      <c r="AS119" s="193" t="n">
        <f aca="false">(SUMPRODUCT(AS89:AS92,$I$76:$I$79)+SUMPRODUCT(AS93:AS96,$I$83:$I$86))/1000000</f>
        <v>0</v>
      </c>
      <c r="AT119" s="193" t="n">
        <f aca="false">(SUMPRODUCT(AT89:AT92,$I$76:$I$79)+SUMPRODUCT(AT93:AT96,$I$83:$I$86))/1000000</f>
        <v>0</v>
      </c>
      <c r="AU119" s="193" t="n">
        <f aca="false">(SUMPRODUCT(AU89:AU92,$I$76:$I$79)+SUMPRODUCT(AU93:AU96,$I$83:$I$86))/1000000</f>
        <v>0</v>
      </c>
      <c r="AV119" s="193" t="n">
        <f aca="false">(SUMPRODUCT(AV89:AV92,$I$76:$I$79)+SUMPRODUCT(AV93:AV96,$I$83:$I$86))/1000000</f>
        <v>0</v>
      </c>
      <c r="AW119" s="193" t="n">
        <f aca="false">(SUMPRODUCT(AW89:AW92,$I$76:$I$79)+SUMPRODUCT(AW93:AW96,$I$83:$I$86))/1000000</f>
        <v>0</v>
      </c>
      <c r="AX119" s="193" t="n">
        <f aca="false">(SUMPRODUCT(AX89:AX92,$I$76:$I$79)+SUMPRODUCT(AX93:AX96,$I$83:$I$86))/1000000</f>
        <v>0</v>
      </c>
      <c r="AY119" s="193" t="n">
        <f aca="false">(SUMPRODUCT(AY89:AY92,$I$76:$I$79)+SUMPRODUCT(AY93:AY96,$I$83:$I$86))/1000000</f>
        <v>0</v>
      </c>
      <c r="AZ119" s="193" t="n">
        <f aca="false">(SUMPRODUCT(AZ89:AZ92,$I$76:$I$79)+SUMPRODUCT(AZ93:AZ96,$I$83:$I$86))/1000000</f>
        <v>0</v>
      </c>
      <c r="BA119" s="193" t="n">
        <f aca="false">(SUMPRODUCT(BA89:BA92,$I$76:$I$79)+SUMPRODUCT(BA93:BA96,$I$83:$I$86))/1000000</f>
        <v>0</v>
      </c>
      <c r="BB119" s="193" t="n">
        <f aca="false">(SUMPRODUCT(BB89:BB92,$I$76:$I$79)+SUMPRODUCT(BB93:BB96,$I$83:$I$86))/1000000</f>
        <v>0</v>
      </c>
      <c r="BC119" s="193" t="n">
        <f aca="false">(SUMPRODUCT(BC89:BC92,$I$76:$I$79)+SUMPRODUCT(BC93:BC96,$I$83:$I$86))/1000000</f>
        <v>0</v>
      </c>
      <c r="BD119" s="193" t="n">
        <f aca="false">(SUMPRODUCT(BD89:BD92,$I$76:$I$79)+SUMPRODUCT(BD93:BD96,$I$83:$I$86))/1000000</f>
        <v>0</v>
      </c>
      <c r="BE119" s="193" t="n">
        <f aca="false">(SUMPRODUCT(BE89:BE92,$I$76:$I$79)+SUMPRODUCT(BE93:BE96,$I$83:$I$86))/1000000</f>
        <v>0</v>
      </c>
      <c r="BF119" s="193" t="n">
        <f aca="false">(SUMPRODUCT(BF89:BF92,$I$76:$I$79)+SUMPRODUCT(BF93:BF96,$I$83:$I$86))/1000000</f>
        <v>0</v>
      </c>
      <c r="BG119" s="193" t="n">
        <f aca="false">(SUMPRODUCT(BG89:BG92,$I$76:$I$79)+SUMPRODUCT(BG93:BG96,$I$83:$I$86))/1000000</f>
        <v>0</v>
      </c>
      <c r="BH119" s="193" t="n">
        <f aca="false">(SUMPRODUCT(BH89:BH92,$I$76:$I$79)+SUMPRODUCT(BH93:BH96,$I$83:$I$86))/1000000</f>
        <v>0</v>
      </c>
      <c r="BI119" s="193" t="n">
        <f aca="false">(SUMPRODUCT(BI89:BI92,$I$76:$I$79)+SUMPRODUCT(BI93:BI96,$I$83:$I$86))/1000000</f>
        <v>0</v>
      </c>
      <c r="BJ119" s="193" t="n">
        <f aca="false">(SUMPRODUCT(BJ89:BJ92,$I$76:$I$79)+SUMPRODUCT(BJ93:BJ96,$I$83:$I$86))/1000000</f>
        <v>0</v>
      </c>
      <c r="BK119" s="193" t="n">
        <f aca="false">(SUMPRODUCT(BK89:BK92,$I$76:$I$79)+SUMPRODUCT(BK93:BK96,$I$83:$I$86))/1000000</f>
        <v>0</v>
      </c>
      <c r="BL119" s="193" t="n">
        <f aca="false">(SUMPRODUCT(BL89:BL92,$I$76:$I$79)+SUMPRODUCT(BL93:BL96,$I$83:$I$86))/1000000</f>
        <v>0</v>
      </c>
      <c r="BM119" s="193" t="n">
        <f aca="false">(SUMPRODUCT(BM89:BM92,$I$76:$I$79)+SUMPRODUCT(BM93:BM96,$I$83:$I$86))/1000000</f>
        <v>0</v>
      </c>
      <c r="BN119" s="193" t="n">
        <f aca="false">(SUMPRODUCT(BN89:BN92,$I$76:$I$79)+SUMPRODUCT(BN93:BN96,$I$83:$I$86))/1000000</f>
        <v>0</v>
      </c>
      <c r="BO119" s="193" t="n">
        <f aca="false">(SUMPRODUCT(BO89:BO92,$I$76:$I$79)+SUMPRODUCT(BO93:BO96,$I$83:$I$86))/1000000</f>
        <v>0</v>
      </c>
      <c r="BP119" s="193" t="n">
        <f aca="false">(SUMPRODUCT(BP89:BP92,$I$76:$I$79)+SUMPRODUCT(BP93:BP96,$I$83:$I$86))/1000000</f>
        <v>0</v>
      </c>
      <c r="BQ119" s="193" t="n">
        <f aca="false">(SUMPRODUCT(BQ89:BQ92,$I$76:$I$79)+SUMPRODUCT(BQ93:BQ96,$I$83:$I$86))/1000000</f>
        <v>0</v>
      </c>
      <c r="BR119" s="193" t="n">
        <f aca="false">(SUMPRODUCT(BR89:BR92,$I$76:$I$79)+SUMPRODUCT(BR93:BR96,$I$83:$I$86))/1000000</f>
        <v>0</v>
      </c>
      <c r="BS119" s="193" t="n">
        <f aca="false">(SUMPRODUCT(BS89:BS92,$I$76:$I$79)+SUMPRODUCT(BS93:BS96,$I$83:$I$86))/1000000</f>
        <v>0</v>
      </c>
      <c r="BT119" s="193" t="n">
        <f aca="false">(SUMPRODUCT(BT89:BT92,$I$76:$I$79)+SUMPRODUCT(BT93:BT96,$I$83:$I$86))/1000000</f>
        <v>0</v>
      </c>
      <c r="BU119" s="193" t="n">
        <f aca="false">(SUMPRODUCT(BU89:BU92,$I$76:$I$79)+SUMPRODUCT(BU93:BU96,$I$83:$I$86))/1000000</f>
        <v>0</v>
      </c>
      <c r="BV119" s="193" t="n">
        <f aca="false">(SUMPRODUCT(BV89:BV92,$I$76:$I$79)+SUMPRODUCT(BV93:BV96,$I$83:$I$86))/1000000</f>
        <v>0</v>
      </c>
      <c r="BW119" s="193" t="n">
        <f aca="false">(SUMPRODUCT(BW89:BW92,$I$76:$I$79)+SUMPRODUCT(BW93:BW96,$I$83:$I$86))/1000000</f>
        <v>0</v>
      </c>
      <c r="BX119" s="193" t="n">
        <f aca="false">(SUMPRODUCT(BX89:BX92,$I$76:$I$79)+SUMPRODUCT(BX93:BX96,$I$83:$I$86))/1000000</f>
        <v>0</v>
      </c>
      <c r="BY119" s="193" t="n">
        <f aca="false">(SUMPRODUCT(BY89:BY92,$I$76:$I$79)+SUMPRODUCT(BY93:BY96,$I$83:$I$86))/1000000</f>
        <v>0</v>
      </c>
      <c r="BZ119" s="193" t="n">
        <f aca="false">(SUMPRODUCT(BZ89:BZ92,$I$76:$I$79)+SUMPRODUCT(BZ93:BZ96,$I$83:$I$86))/1000000</f>
        <v>0</v>
      </c>
      <c r="CA119" s="193" t="n">
        <f aca="false">(SUMPRODUCT(CA89:CA92,$I$76:$I$79)+SUMPRODUCT(CA93:CA96,$I$83:$I$86))/1000000</f>
        <v>0</v>
      </c>
    </row>
    <row r="120" customFormat="false" ht="15" hidden="false" customHeight="false" outlineLevel="0" collapsed="false">
      <c r="B120" s="10" t="s">
        <v>378</v>
      </c>
      <c r="L120" s="193" t="n">
        <f aca="false">SUMIFS($T120:$CA120,$T$5:$CA$5,2026)</f>
        <v>0</v>
      </c>
      <c r="M120" s="193" t="n">
        <f aca="false">SUMIFS($T120:$CA120,$T$5:$CA$5,2027)</f>
        <v>0</v>
      </c>
      <c r="N120" s="193" t="n">
        <f aca="false">SUMIFS($T120:$CA120,$T$5:$CA$5,2028)</f>
        <v>0</v>
      </c>
      <c r="O120" s="193" t="n">
        <f aca="false">SUMIFS($T120:$CA120,$T$5:$CA$5,2029)</f>
        <v>0</v>
      </c>
      <c r="P120" s="193" t="n">
        <f aca="false">SUMIFS($T120:$CA120,$T$5:$CA$5,2030)</f>
        <v>0</v>
      </c>
      <c r="T120" s="193" t="n">
        <f aca="false">SUMPRODUCT(T110:T116,$I$101:$I$107)/1000000</f>
        <v>0</v>
      </c>
      <c r="U120" s="193" t="n">
        <f aca="false">SUMPRODUCT(U110:U116,$I$101:$I$107)/1000000</f>
        <v>0</v>
      </c>
      <c r="V120" s="193" t="n">
        <f aca="false">SUMPRODUCT(V110:V116,$I$101:$I$107)/1000000</f>
        <v>0</v>
      </c>
      <c r="W120" s="193" t="n">
        <f aca="false">SUMPRODUCT(W110:W116,$I$101:$I$107)/1000000</f>
        <v>0</v>
      </c>
      <c r="X120" s="193" t="n">
        <f aca="false">SUMPRODUCT(X110:X116,$I$101:$I$107)/1000000</f>
        <v>0</v>
      </c>
      <c r="Y120" s="193" t="n">
        <f aca="false">SUMPRODUCT(Y110:Y116,$I$101:$I$107)/1000000</f>
        <v>0</v>
      </c>
      <c r="Z120" s="193" t="n">
        <f aca="false">SUMPRODUCT(Z110:Z116,$I$101:$I$107)/1000000</f>
        <v>0</v>
      </c>
      <c r="AA120" s="193" t="n">
        <f aca="false">SUMPRODUCT(AA110:AA116,$I$101:$I$107)/1000000</f>
        <v>0</v>
      </c>
      <c r="AB120" s="193" t="n">
        <f aca="false">SUMPRODUCT(AB110:AB116,$I$101:$I$107)/1000000</f>
        <v>0</v>
      </c>
      <c r="AC120" s="193" t="n">
        <f aca="false">SUMPRODUCT(AC110:AC116,$I$101:$I$107)/1000000</f>
        <v>0</v>
      </c>
      <c r="AD120" s="193" t="n">
        <f aca="false">SUMPRODUCT(AD110:AD116,$I$101:$I$107)/1000000</f>
        <v>0</v>
      </c>
      <c r="AE120" s="193" t="n">
        <f aca="false">SUMPRODUCT(AE110:AE116,$I$101:$I$107)/1000000</f>
        <v>0</v>
      </c>
      <c r="AF120" s="193" t="n">
        <f aca="false">SUMPRODUCT(AF110:AF116,$I$101:$I$107)/1000000</f>
        <v>0</v>
      </c>
      <c r="AG120" s="193" t="n">
        <f aca="false">SUMPRODUCT(AG110:AG116,$I$101:$I$107)/1000000</f>
        <v>0</v>
      </c>
      <c r="AH120" s="193" t="n">
        <f aca="false">SUMPRODUCT(AH110:AH116,$I$101:$I$107)/1000000</f>
        <v>0</v>
      </c>
      <c r="AI120" s="193" t="n">
        <f aca="false">SUMPRODUCT(AI110:AI116,$I$101:$I$107)/1000000</f>
        <v>0</v>
      </c>
      <c r="AJ120" s="193" t="n">
        <f aca="false">SUMPRODUCT(AJ110:AJ116,$I$101:$I$107)/1000000</f>
        <v>0</v>
      </c>
      <c r="AK120" s="193" t="n">
        <f aca="false">SUMPRODUCT(AK110:AK116,$I$101:$I$107)/1000000</f>
        <v>0</v>
      </c>
      <c r="AL120" s="193" t="n">
        <f aca="false">SUMPRODUCT(AL110:AL116,$I$101:$I$107)/1000000</f>
        <v>0</v>
      </c>
      <c r="AM120" s="193" t="n">
        <f aca="false">SUMPRODUCT(AM110:AM116,$I$101:$I$107)/1000000</f>
        <v>0</v>
      </c>
      <c r="AN120" s="193" t="n">
        <f aca="false">SUMPRODUCT(AN110:AN116,$I$101:$I$107)/1000000</f>
        <v>0</v>
      </c>
      <c r="AO120" s="193" t="n">
        <f aca="false">SUMPRODUCT(AO110:AO116,$I$101:$I$107)/1000000</f>
        <v>0</v>
      </c>
      <c r="AP120" s="193" t="n">
        <f aca="false">SUMPRODUCT(AP110:AP116,$I$101:$I$107)/1000000</f>
        <v>0</v>
      </c>
      <c r="AQ120" s="193" t="n">
        <f aca="false">SUMPRODUCT(AQ110:AQ116,$I$101:$I$107)/1000000</f>
        <v>0</v>
      </c>
      <c r="AR120" s="193" t="n">
        <f aca="false">SUMPRODUCT(AR110:AR116,$I$101:$I$107)/1000000</f>
        <v>0</v>
      </c>
      <c r="AS120" s="193" t="n">
        <f aca="false">SUMPRODUCT(AS110:AS116,$I$101:$I$107)/1000000</f>
        <v>0</v>
      </c>
      <c r="AT120" s="193" t="n">
        <f aca="false">SUMPRODUCT(AT110:AT116,$I$101:$I$107)/1000000</f>
        <v>0</v>
      </c>
      <c r="AU120" s="193" t="n">
        <f aca="false">SUMPRODUCT(AU110:AU116,$I$101:$I$107)/1000000</f>
        <v>0</v>
      </c>
      <c r="AV120" s="193" t="n">
        <f aca="false">SUMPRODUCT(AV110:AV116,$I$101:$I$107)/1000000</f>
        <v>0</v>
      </c>
      <c r="AW120" s="193" t="n">
        <f aca="false">SUMPRODUCT(AW110:AW116,$I$101:$I$107)/1000000</f>
        <v>0</v>
      </c>
      <c r="AX120" s="193" t="n">
        <f aca="false">SUMPRODUCT(AX110:AX116,$I$101:$I$107)/1000000</f>
        <v>0</v>
      </c>
      <c r="AY120" s="193" t="n">
        <f aca="false">SUMPRODUCT(AY110:AY116,$I$101:$I$107)/1000000</f>
        <v>0</v>
      </c>
      <c r="AZ120" s="193" t="n">
        <f aca="false">SUMPRODUCT(AZ110:AZ116,$I$101:$I$107)/1000000</f>
        <v>0</v>
      </c>
      <c r="BA120" s="193" t="n">
        <f aca="false">SUMPRODUCT(BA110:BA116,$I$101:$I$107)/1000000</f>
        <v>0</v>
      </c>
      <c r="BB120" s="193" t="n">
        <f aca="false">SUMPRODUCT(BB110:BB116,$I$101:$I$107)/1000000</f>
        <v>0</v>
      </c>
      <c r="BC120" s="193" t="n">
        <f aca="false">SUMPRODUCT(BC110:BC116,$I$101:$I$107)/1000000</f>
        <v>0</v>
      </c>
      <c r="BD120" s="193" t="n">
        <f aca="false">SUMPRODUCT(BD110:BD116,$I$101:$I$107)/1000000</f>
        <v>0</v>
      </c>
      <c r="BE120" s="193" t="n">
        <f aca="false">SUMPRODUCT(BE110:BE116,$I$101:$I$107)/1000000</f>
        <v>0</v>
      </c>
      <c r="BF120" s="193" t="n">
        <f aca="false">SUMPRODUCT(BF110:BF116,$I$101:$I$107)/1000000</f>
        <v>0</v>
      </c>
      <c r="BG120" s="193" t="n">
        <f aca="false">SUMPRODUCT(BG110:BG116,$I$101:$I$107)/1000000</f>
        <v>0</v>
      </c>
      <c r="BH120" s="193" t="n">
        <f aca="false">SUMPRODUCT(BH110:BH116,$I$101:$I$107)/1000000</f>
        <v>0</v>
      </c>
      <c r="BI120" s="193" t="n">
        <f aca="false">SUMPRODUCT(BI110:BI116,$I$101:$I$107)/1000000</f>
        <v>0</v>
      </c>
      <c r="BJ120" s="193" t="n">
        <f aca="false">SUMPRODUCT(BJ110:BJ116,$I$101:$I$107)/1000000</f>
        <v>0</v>
      </c>
      <c r="BK120" s="193" t="n">
        <f aca="false">SUMPRODUCT(BK110:BK116,$I$101:$I$107)/1000000</f>
        <v>0</v>
      </c>
      <c r="BL120" s="193" t="n">
        <f aca="false">SUMPRODUCT(BL110:BL116,$I$101:$I$107)/1000000</f>
        <v>0</v>
      </c>
      <c r="BM120" s="193" t="n">
        <f aca="false">SUMPRODUCT(BM110:BM116,$I$101:$I$107)/1000000</f>
        <v>0</v>
      </c>
      <c r="BN120" s="193" t="n">
        <f aca="false">SUMPRODUCT(BN110:BN116,$I$101:$I$107)/1000000</f>
        <v>0</v>
      </c>
      <c r="BO120" s="193" t="n">
        <f aca="false">SUMPRODUCT(BO110:BO116,$I$101:$I$107)/1000000</f>
        <v>0</v>
      </c>
      <c r="BP120" s="193" t="n">
        <f aca="false">SUMPRODUCT(BP110:BP116,$I$101:$I$107)/1000000</f>
        <v>0</v>
      </c>
      <c r="BQ120" s="193" t="n">
        <f aca="false">SUMPRODUCT(BQ110:BQ116,$I$101:$I$107)/1000000</f>
        <v>0</v>
      </c>
      <c r="BR120" s="193" t="n">
        <f aca="false">SUMPRODUCT(BR110:BR116,$I$101:$I$107)/1000000</f>
        <v>0</v>
      </c>
      <c r="BS120" s="193" t="n">
        <f aca="false">SUMPRODUCT(BS110:BS116,$I$101:$I$107)/1000000</f>
        <v>0</v>
      </c>
      <c r="BT120" s="193" t="n">
        <f aca="false">SUMPRODUCT(BT110:BT116,$I$101:$I$107)/1000000</f>
        <v>0</v>
      </c>
      <c r="BU120" s="193" t="n">
        <f aca="false">SUMPRODUCT(BU110:BU116,$I$101:$I$107)/1000000</f>
        <v>0</v>
      </c>
      <c r="BV120" s="193" t="n">
        <f aca="false">SUMPRODUCT(BV110:BV116,$I$101:$I$107)/1000000</f>
        <v>0</v>
      </c>
      <c r="BW120" s="193" t="n">
        <f aca="false">SUMPRODUCT(BW110:BW116,$I$101:$I$107)/1000000</f>
        <v>0</v>
      </c>
      <c r="BX120" s="193" t="n">
        <f aca="false">SUMPRODUCT(BX110:BX116,$I$101:$I$107)/1000000</f>
        <v>0</v>
      </c>
      <c r="BY120" s="193" t="n">
        <f aca="false">SUMPRODUCT(BY110:BY116,$I$101:$I$107)/1000000</f>
        <v>0</v>
      </c>
      <c r="BZ120" s="193" t="n">
        <f aca="false">SUMPRODUCT(BZ110:BZ116,$I$101:$I$107)/1000000</f>
        <v>0</v>
      </c>
      <c r="CA120" s="193" t="n">
        <f aca="false">SUMPRODUCT(CA110:CA116,$I$101:$I$107)/1000000</f>
        <v>0</v>
      </c>
    </row>
    <row r="121" customFormat="false" ht="15" hidden="false" customHeight="false" outlineLevel="0" collapsed="false">
      <c r="B121" s="10" t="s">
        <v>379</v>
      </c>
      <c r="L121" s="193" t="n">
        <f aca="false">SUMIFS($T121:$CA121,$T$5:$CA$5,2026)</f>
        <v>0</v>
      </c>
      <c r="M121" s="193" t="n">
        <f aca="false">SUMIFS($T121:$CA121,$T$5:$CA$5,2027)</f>
        <v>2.45666666666667</v>
      </c>
      <c r="N121" s="193" t="n">
        <f aca="false">SUMIFS($T121:$CA121,$T$5:$CA$5,2028)</f>
        <v>0</v>
      </c>
      <c r="O121" s="193" t="n">
        <f aca="false">SUMIFS($T121:$CA121,$T$5:$CA$5,2029)</f>
        <v>0</v>
      </c>
      <c r="P121" s="193" t="n">
        <f aca="false">SUMIFS($T121:$CA121,$T$5:$CA$5,2030)</f>
        <v>0</v>
      </c>
      <c r="T121" s="193" t="n">
        <f aca="false">(SUMPRODUCT(T89:T92,1-$I$76:$I$79)+SUMPRODUCT(T93:T96,1-$I$83:$I$86))/1000000</f>
        <v>0</v>
      </c>
      <c r="U121" s="193" t="n">
        <f aca="false">(SUMPRODUCT(U89:U92,1-$I$76:$I$79)+SUMPRODUCT(U93:U96,1-$I$83:$I$86))/1000000</f>
        <v>0</v>
      </c>
      <c r="V121" s="193" t="n">
        <f aca="false">(SUMPRODUCT(V89:V92,1-$I$76:$I$79)+SUMPRODUCT(V93:V96,1-$I$83:$I$86))/1000000</f>
        <v>0</v>
      </c>
      <c r="W121" s="193" t="n">
        <f aca="false">(SUMPRODUCT(W89:W92,1-$I$76:$I$79)+SUMPRODUCT(W93:W96,1-$I$83:$I$86))/1000000</f>
        <v>0</v>
      </c>
      <c r="X121" s="193" t="n">
        <f aca="false">(SUMPRODUCT(X89:X92,1-$I$76:$I$79)+SUMPRODUCT(X93:X96,1-$I$83:$I$86))/1000000</f>
        <v>0</v>
      </c>
      <c r="Y121" s="193" t="n">
        <f aca="false">(SUMPRODUCT(Y89:Y92,1-$I$76:$I$79)+SUMPRODUCT(Y93:Y96,1-$I$83:$I$86))/1000000</f>
        <v>0</v>
      </c>
      <c r="Z121" s="193" t="n">
        <f aca="false">(SUMPRODUCT(Z89:Z92,1-$I$76:$I$79)+SUMPRODUCT(Z93:Z96,1-$I$83:$I$86))/1000000</f>
        <v>0</v>
      </c>
      <c r="AA121" s="193" t="n">
        <f aca="false">(SUMPRODUCT(AA89:AA92,1-$I$76:$I$79)+SUMPRODUCT(AA93:AA96,1-$I$83:$I$86))/1000000</f>
        <v>0</v>
      </c>
      <c r="AB121" s="193" t="n">
        <f aca="false">(SUMPRODUCT(AB89:AB92,1-$I$76:$I$79)+SUMPRODUCT(AB93:AB96,1-$I$83:$I$86))/1000000</f>
        <v>0</v>
      </c>
      <c r="AC121" s="193" t="n">
        <f aca="false">(SUMPRODUCT(AC89:AC92,1-$I$76:$I$79)+SUMPRODUCT(AC93:AC96,1-$I$83:$I$86))/1000000</f>
        <v>0</v>
      </c>
      <c r="AD121" s="193" t="n">
        <f aca="false">(SUMPRODUCT(AD89:AD92,1-$I$76:$I$79)+SUMPRODUCT(AD93:AD96,1-$I$83:$I$86))/1000000</f>
        <v>0</v>
      </c>
      <c r="AE121" s="193" t="n">
        <f aca="false">(SUMPRODUCT(AE89:AE92,1-$I$76:$I$79)+SUMPRODUCT(AE93:AE96,1-$I$83:$I$86))/1000000</f>
        <v>0</v>
      </c>
      <c r="AF121" s="193" t="n">
        <f aca="false">(SUMPRODUCT(AF89:AF92,1-$I$76:$I$79)+SUMPRODUCT(AF93:AF96,1-$I$83:$I$86))/1000000</f>
        <v>0.11</v>
      </c>
      <c r="AG121" s="193" t="n">
        <f aca="false">(SUMPRODUCT(AG89:AG92,1-$I$76:$I$79)+SUMPRODUCT(AG93:AG96,1-$I$83:$I$86))/1000000</f>
        <v>0.293333333333333</v>
      </c>
      <c r="AH121" s="193" t="n">
        <f aca="false">(SUMPRODUCT(AH89:AH92,1-$I$76:$I$79)+SUMPRODUCT(AH93:AH96,1-$I$83:$I$86))/1000000</f>
        <v>0.293333333333333</v>
      </c>
      <c r="AI121" s="193" t="n">
        <f aca="false">(SUMPRODUCT(AI89:AI92,1-$I$76:$I$79)+SUMPRODUCT(AI93:AI96,1-$I$83:$I$86))/1000000</f>
        <v>0.293333333333333</v>
      </c>
      <c r="AJ121" s="193" t="n">
        <f aca="false">(SUMPRODUCT(AJ89:AJ92,1-$I$76:$I$79)+SUMPRODUCT(AJ93:AJ96,1-$I$83:$I$86))/1000000</f>
        <v>0.293333333333333</v>
      </c>
      <c r="AK121" s="193" t="n">
        <f aca="false">(SUMPRODUCT(AK89:AK92,1-$I$76:$I$79)+SUMPRODUCT(AK93:AK96,1-$I$83:$I$86))/1000000</f>
        <v>0.293333333333333</v>
      </c>
      <c r="AL121" s="193" t="n">
        <f aca="false">(SUMPRODUCT(AL89:AL92,1-$I$76:$I$79)+SUMPRODUCT(AL93:AL96,1-$I$83:$I$86))/1000000</f>
        <v>0.146666666666667</v>
      </c>
      <c r="AM121" s="193" t="n">
        <f aca="false">(SUMPRODUCT(AM89:AM92,1-$I$76:$I$79)+SUMPRODUCT(AM93:AM96,1-$I$83:$I$86))/1000000</f>
        <v>0.146666666666667</v>
      </c>
      <c r="AN121" s="193" t="n">
        <f aca="false">(SUMPRODUCT(AN89:AN92,1-$I$76:$I$79)+SUMPRODUCT(AN93:AN96,1-$I$83:$I$86))/1000000</f>
        <v>0.146666666666667</v>
      </c>
      <c r="AO121" s="193" t="n">
        <f aca="false">(SUMPRODUCT(AO89:AO92,1-$I$76:$I$79)+SUMPRODUCT(AO93:AO96,1-$I$83:$I$86))/1000000</f>
        <v>0.146666666666667</v>
      </c>
      <c r="AP121" s="193" t="n">
        <f aca="false">(SUMPRODUCT(AP89:AP92,1-$I$76:$I$79)+SUMPRODUCT(AP93:AP96,1-$I$83:$I$86))/1000000</f>
        <v>0.146666666666667</v>
      </c>
      <c r="AQ121" s="193" t="n">
        <f aca="false">(SUMPRODUCT(AQ89:AQ92,1-$I$76:$I$79)+SUMPRODUCT(AQ93:AQ96,1-$I$83:$I$86))/1000000</f>
        <v>0.146666666666667</v>
      </c>
      <c r="AR121" s="193" t="n">
        <f aca="false">(SUMPRODUCT(AR89:AR92,1-$I$76:$I$79)+SUMPRODUCT(AR93:AR96,1-$I$83:$I$86))/1000000</f>
        <v>0</v>
      </c>
      <c r="AS121" s="193" t="n">
        <f aca="false">(SUMPRODUCT(AS89:AS92,1-$I$76:$I$79)+SUMPRODUCT(AS93:AS96,1-$I$83:$I$86))/1000000</f>
        <v>0</v>
      </c>
      <c r="AT121" s="193" t="n">
        <f aca="false">(SUMPRODUCT(AT89:AT92,1-$I$76:$I$79)+SUMPRODUCT(AT93:AT96,1-$I$83:$I$86))/1000000</f>
        <v>0</v>
      </c>
      <c r="AU121" s="193" t="n">
        <f aca="false">(SUMPRODUCT(AU89:AU92,1-$I$76:$I$79)+SUMPRODUCT(AU93:AU96,1-$I$83:$I$86))/1000000</f>
        <v>0</v>
      </c>
      <c r="AV121" s="193" t="n">
        <f aca="false">(SUMPRODUCT(AV89:AV92,1-$I$76:$I$79)+SUMPRODUCT(AV93:AV96,1-$I$83:$I$86))/1000000</f>
        <v>0</v>
      </c>
      <c r="AW121" s="193" t="n">
        <f aca="false">(SUMPRODUCT(AW89:AW92,1-$I$76:$I$79)+SUMPRODUCT(AW93:AW96,1-$I$83:$I$86))/1000000</f>
        <v>0</v>
      </c>
      <c r="AX121" s="193" t="n">
        <f aca="false">(SUMPRODUCT(AX89:AX92,1-$I$76:$I$79)+SUMPRODUCT(AX93:AX96,1-$I$83:$I$86))/1000000</f>
        <v>0</v>
      </c>
      <c r="AY121" s="193" t="n">
        <f aca="false">(SUMPRODUCT(AY89:AY92,1-$I$76:$I$79)+SUMPRODUCT(AY93:AY96,1-$I$83:$I$86))/1000000</f>
        <v>0</v>
      </c>
      <c r="AZ121" s="193" t="n">
        <f aca="false">(SUMPRODUCT(AZ89:AZ92,1-$I$76:$I$79)+SUMPRODUCT(AZ93:AZ96,1-$I$83:$I$86))/1000000</f>
        <v>0</v>
      </c>
      <c r="BA121" s="193" t="n">
        <f aca="false">(SUMPRODUCT(BA89:BA92,1-$I$76:$I$79)+SUMPRODUCT(BA93:BA96,1-$I$83:$I$86))/1000000</f>
        <v>0</v>
      </c>
      <c r="BB121" s="193" t="n">
        <f aca="false">(SUMPRODUCT(BB89:BB92,1-$I$76:$I$79)+SUMPRODUCT(BB93:BB96,1-$I$83:$I$86))/1000000</f>
        <v>0</v>
      </c>
      <c r="BC121" s="193" t="n">
        <f aca="false">(SUMPRODUCT(BC89:BC92,1-$I$76:$I$79)+SUMPRODUCT(BC93:BC96,1-$I$83:$I$86))/1000000</f>
        <v>0</v>
      </c>
      <c r="BD121" s="193" t="n">
        <f aca="false">(SUMPRODUCT(BD89:BD92,1-$I$76:$I$79)+SUMPRODUCT(BD93:BD96,1-$I$83:$I$86))/1000000</f>
        <v>0</v>
      </c>
      <c r="BE121" s="193" t="n">
        <f aca="false">(SUMPRODUCT(BE89:BE92,1-$I$76:$I$79)+SUMPRODUCT(BE93:BE96,1-$I$83:$I$86))/1000000</f>
        <v>0</v>
      </c>
      <c r="BF121" s="193" t="n">
        <f aca="false">(SUMPRODUCT(BF89:BF92,1-$I$76:$I$79)+SUMPRODUCT(BF93:BF96,1-$I$83:$I$86))/1000000</f>
        <v>0</v>
      </c>
      <c r="BG121" s="193" t="n">
        <f aca="false">(SUMPRODUCT(BG89:BG92,1-$I$76:$I$79)+SUMPRODUCT(BG93:BG96,1-$I$83:$I$86))/1000000</f>
        <v>0</v>
      </c>
      <c r="BH121" s="193" t="n">
        <f aca="false">(SUMPRODUCT(BH89:BH92,1-$I$76:$I$79)+SUMPRODUCT(BH93:BH96,1-$I$83:$I$86))/1000000</f>
        <v>0</v>
      </c>
      <c r="BI121" s="193" t="n">
        <f aca="false">(SUMPRODUCT(BI89:BI92,1-$I$76:$I$79)+SUMPRODUCT(BI93:BI96,1-$I$83:$I$86))/1000000</f>
        <v>0</v>
      </c>
      <c r="BJ121" s="193" t="n">
        <f aca="false">(SUMPRODUCT(BJ89:BJ92,1-$I$76:$I$79)+SUMPRODUCT(BJ93:BJ96,1-$I$83:$I$86))/1000000</f>
        <v>0</v>
      </c>
      <c r="BK121" s="193" t="n">
        <f aca="false">(SUMPRODUCT(BK89:BK92,1-$I$76:$I$79)+SUMPRODUCT(BK93:BK96,1-$I$83:$I$86))/1000000</f>
        <v>0</v>
      </c>
      <c r="BL121" s="193" t="n">
        <f aca="false">(SUMPRODUCT(BL89:BL92,1-$I$76:$I$79)+SUMPRODUCT(BL93:BL96,1-$I$83:$I$86))/1000000</f>
        <v>0</v>
      </c>
      <c r="BM121" s="193" t="n">
        <f aca="false">(SUMPRODUCT(BM89:BM92,1-$I$76:$I$79)+SUMPRODUCT(BM93:BM96,1-$I$83:$I$86))/1000000</f>
        <v>0</v>
      </c>
      <c r="BN121" s="193" t="n">
        <f aca="false">(SUMPRODUCT(BN89:BN92,1-$I$76:$I$79)+SUMPRODUCT(BN93:BN96,1-$I$83:$I$86))/1000000</f>
        <v>0</v>
      </c>
      <c r="BO121" s="193" t="n">
        <f aca="false">(SUMPRODUCT(BO89:BO92,1-$I$76:$I$79)+SUMPRODUCT(BO93:BO96,1-$I$83:$I$86))/1000000</f>
        <v>0</v>
      </c>
      <c r="BP121" s="193" t="n">
        <f aca="false">(SUMPRODUCT(BP89:BP92,1-$I$76:$I$79)+SUMPRODUCT(BP93:BP96,1-$I$83:$I$86))/1000000</f>
        <v>0</v>
      </c>
      <c r="BQ121" s="193" t="n">
        <f aca="false">(SUMPRODUCT(BQ89:BQ92,1-$I$76:$I$79)+SUMPRODUCT(BQ93:BQ96,1-$I$83:$I$86))/1000000</f>
        <v>0</v>
      </c>
      <c r="BR121" s="193" t="n">
        <f aca="false">(SUMPRODUCT(BR89:BR92,1-$I$76:$I$79)+SUMPRODUCT(BR93:BR96,1-$I$83:$I$86))/1000000</f>
        <v>0</v>
      </c>
      <c r="BS121" s="193" t="n">
        <f aca="false">(SUMPRODUCT(BS89:BS92,1-$I$76:$I$79)+SUMPRODUCT(BS93:BS96,1-$I$83:$I$86))/1000000</f>
        <v>0</v>
      </c>
      <c r="BT121" s="193" t="n">
        <f aca="false">(SUMPRODUCT(BT89:BT92,1-$I$76:$I$79)+SUMPRODUCT(BT93:BT96,1-$I$83:$I$86))/1000000</f>
        <v>0</v>
      </c>
      <c r="BU121" s="193" t="n">
        <f aca="false">(SUMPRODUCT(BU89:BU92,1-$I$76:$I$79)+SUMPRODUCT(BU93:BU96,1-$I$83:$I$86))/1000000</f>
        <v>0</v>
      </c>
      <c r="BV121" s="193" t="n">
        <f aca="false">(SUMPRODUCT(BV89:BV92,1-$I$76:$I$79)+SUMPRODUCT(BV93:BV96,1-$I$83:$I$86))/1000000</f>
        <v>0</v>
      </c>
      <c r="BW121" s="193" t="n">
        <f aca="false">(SUMPRODUCT(BW89:BW92,1-$I$76:$I$79)+SUMPRODUCT(BW93:BW96,1-$I$83:$I$86))/1000000</f>
        <v>0</v>
      </c>
      <c r="BX121" s="193" t="n">
        <f aca="false">(SUMPRODUCT(BX89:BX92,1-$I$76:$I$79)+SUMPRODUCT(BX93:BX96,1-$I$83:$I$86))/1000000</f>
        <v>0</v>
      </c>
      <c r="BY121" s="193" t="n">
        <f aca="false">(SUMPRODUCT(BY89:BY92,1-$I$76:$I$79)+SUMPRODUCT(BY93:BY96,1-$I$83:$I$86))/1000000</f>
        <v>0</v>
      </c>
      <c r="BZ121" s="193" t="n">
        <f aca="false">(SUMPRODUCT(BZ89:BZ92,1-$I$76:$I$79)+SUMPRODUCT(BZ93:BZ96,1-$I$83:$I$86))/1000000</f>
        <v>0</v>
      </c>
      <c r="CA121" s="193" t="n">
        <f aca="false">(SUMPRODUCT(CA89:CA92,1-$I$76:$I$79)+SUMPRODUCT(CA93:CA96,1-$I$83:$I$86))/1000000</f>
        <v>0</v>
      </c>
    </row>
    <row r="122" customFormat="false" ht="15" hidden="false" customHeight="false" outlineLevel="0" collapsed="false">
      <c r="B122" s="10" t="s">
        <v>380</v>
      </c>
      <c r="L122" s="193" t="n">
        <f aca="false">SUMIFS($T122:$CA122,$T$5:$CA$5,2026)</f>
        <v>0</v>
      </c>
      <c r="M122" s="193" t="n">
        <f aca="false">SUMIFS($T122:$CA122,$T$5:$CA$5,2027)</f>
        <v>1.07961333333333</v>
      </c>
      <c r="N122" s="193" t="n">
        <f aca="false">SUMIFS($T122:$CA122,$T$5:$CA$5,2028)</f>
        <v>0</v>
      </c>
      <c r="O122" s="193" t="n">
        <f aca="false">SUMIFS($T122:$CA122,$T$5:$CA$5,2029)</f>
        <v>0</v>
      </c>
      <c r="P122" s="193" t="n">
        <f aca="false">SUMIFS($T122:$CA122,$T$5:$CA$5,2030)</f>
        <v>0</v>
      </c>
      <c r="T122" s="193" t="n">
        <f aca="false">SUMPRODUCT(T110:T116,1-$I$101:$I$107)/1000000</f>
        <v>0</v>
      </c>
      <c r="U122" s="193" t="n">
        <f aca="false">SUMPRODUCT(U110:U116,1-$I$101:$I$107)/1000000</f>
        <v>0</v>
      </c>
      <c r="V122" s="193" t="n">
        <f aca="false">SUMPRODUCT(V110:V116,1-$I$101:$I$107)/1000000</f>
        <v>0</v>
      </c>
      <c r="W122" s="193" t="n">
        <f aca="false">SUMPRODUCT(W110:W116,1-$I$101:$I$107)/1000000</f>
        <v>0</v>
      </c>
      <c r="X122" s="193" t="n">
        <f aca="false">SUMPRODUCT(X110:X116,1-$I$101:$I$107)/1000000</f>
        <v>0</v>
      </c>
      <c r="Y122" s="193" t="n">
        <f aca="false">SUMPRODUCT(Y110:Y116,1-$I$101:$I$107)/1000000</f>
        <v>0</v>
      </c>
      <c r="Z122" s="193" t="n">
        <f aca="false">SUMPRODUCT(Z110:Z116,1-$I$101:$I$107)/1000000</f>
        <v>0</v>
      </c>
      <c r="AA122" s="193" t="n">
        <f aca="false">SUMPRODUCT(AA110:AA116,1-$I$101:$I$107)/1000000</f>
        <v>0</v>
      </c>
      <c r="AB122" s="193" t="n">
        <f aca="false">SUMPRODUCT(AB110:AB116,1-$I$101:$I$107)/1000000</f>
        <v>0</v>
      </c>
      <c r="AC122" s="193" t="n">
        <f aca="false">SUMPRODUCT(AC110:AC116,1-$I$101:$I$107)/1000000</f>
        <v>0</v>
      </c>
      <c r="AD122" s="193" t="n">
        <f aca="false">SUMPRODUCT(AD110:AD116,1-$I$101:$I$107)/1000000</f>
        <v>0</v>
      </c>
      <c r="AE122" s="193" t="n">
        <f aca="false">SUMPRODUCT(AE110:AE116,1-$I$101:$I$107)/1000000</f>
        <v>0</v>
      </c>
      <c r="AF122" s="193" t="n">
        <f aca="false">SUMPRODUCT(AF110:AF116,1-$I$101:$I$107)/1000000</f>
        <v>0.0466344444444445</v>
      </c>
      <c r="AG122" s="193" t="n">
        <f aca="false">SUMPRODUCT(AG110:AG116,1-$I$101:$I$107)/1000000</f>
        <v>0.177634444444444</v>
      </c>
      <c r="AH122" s="193" t="n">
        <f aca="false">SUMPRODUCT(AH110:AH116,1-$I$101:$I$107)/1000000</f>
        <v>0.177634444444444</v>
      </c>
      <c r="AI122" s="193" t="n">
        <f aca="false">SUMPRODUCT(AI110:AI116,1-$I$101:$I$107)/1000000</f>
        <v>0.132634444444444</v>
      </c>
      <c r="AJ122" s="193" t="n">
        <f aca="false">SUMPRODUCT(AJ110:AJ116,1-$I$101:$I$107)/1000000</f>
        <v>0.132634444444444</v>
      </c>
      <c r="AK122" s="193" t="n">
        <f aca="false">SUMPRODUCT(AK110:AK116,1-$I$101:$I$107)/1000000</f>
        <v>0.132634444444444</v>
      </c>
      <c r="AL122" s="193" t="n">
        <f aca="false">SUMPRODUCT(AL110:AL116,1-$I$101:$I$107)/1000000</f>
        <v>0.0466344444444445</v>
      </c>
      <c r="AM122" s="193" t="n">
        <f aca="false">SUMPRODUCT(AM110:AM116,1-$I$101:$I$107)/1000000</f>
        <v>0.0466344444444445</v>
      </c>
      <c r="AN122" s="193" t="n">
        <f aca="false">SUMPRODUCT(AN110:AN116,1-$I$101:$I$107)/1000000</f>
        <v>0.0466344444444445</v>
      </c>
      <c r="AO122" s="193" t="n">
        <f aca="false">SUMPRODUCT(AO110:AO116,1-$I$101:$I$107)/1000000</f>
        <v>0.0466344444444445</v>
      </c>
      <c r="AP122" s="193" t="n">
        <f aca="false">SUMPRODUCT(AP110:AP116,1-$I$101:$I$107)/1000000</f>
        <v>0.0466344444444445</v>
      </c>
      <c r="AQ122" s="193" t="n">
        <f aca="false">SUMPRODUCT(AQ110:AQ116,1-$I$101:$I$107)/1000000</f>
        <v>0.0466344444444445</v>
      </c>
      <c r="AR122" s="193" t="n">
        <f aca="false">SUMPRODUCT(AR110:AR116,1-$I$101:$I$107)/1000000</f>
        <v>0</v>
      </c>
      <c r="AS122" s="193" t="n">
        <f aca="false">SUMPRODUCT(AS110:AS116,1-$I$101:$I$107)/1000000</f>
        <v>0</v>
      </c>
      <c r="AT122" s="193" t="n">
        <f aca="false">SUMPRODUCT(AT110:AT116,1-$I$101:$I$107)/1000000</f>
        <v>0</v>
      </c>
      <c r="AU122" s="193" t="n">
        <f aca="false">SUMPRODUCT(AU110:AU116,1-$I$101:$I$107)/1000000</f>
        <v>0</v>
      </c>
      <c r="AV122" s="193" t="n">
        <f aca="false">SUMPRODUCT(AV110:AV116,1-$I$101:$I$107)/1000000</f>
        <v>0</v>
      </c>
      <c r="AW122" s="193" t="n">
        <f aca="false">SUMPRODUCT(AW110:AW116,1-$I$101:$I$107)/1000000</f>
        <v>0</v>
      </c>
      <c r="AX122" s="193" t="n">
        <f aca="false">SUMPRODUCT(AX110:AX116,1-$I$101:$I$107)/1000000</f>
        <v>0</v>
      </c>
      <c r="AY122" s="193" t="n">
        <f aca="false">SUMPRODUCT(AY110:AY116,1-$I$101:$I$107)/1000000</f>
        <v>0</v>
      </c>
      <c r="AZ122" s="193" t="n">
        <f aca="false">SUMPRODUCT(AZ110:AZ116,1-$I$101:$I$107)/1000000</f>
        <v>0</v>
      </c>
      <c r="BA122" s="193" t="n">
        <f aca="false">SUMPRODUCT(BA110:BA116,1-$I$101:$I$107)/1000000</f>
        <v>0</v>
      </c>
      <c r="BB122" s="193" t="n">
        <f aca="false">SUMPRODUCT(BB110:BB116,1-$I$101:$I$107)/1000000</f>
        <v>0</v>
      </c>
      <c r="BC122" s="193" t="n">
        <f aca="false">SUMPRODUCT(BC110:BC116,1-$I$101:$I$107)/1000000</f>
        <v>0</v>
      </c>
      <c r="BD122" s="193" t="n">
        <f aca="false">SUMPRODUCT(BD110:BD116,1-$I$101:$I$107)/1000000</f>
        <v>0</v>
      </c>
      <c r="BE122" s="193" t="n">
        <f aca="false">SUMPRODUCT(BE110:BE116,1-$I$101:$I$107)/1000000</f>
        <v>0</v>
      </c>
      <c r="BF122" s="193" t="n">
        <f aca="false">SUMPRODUCT(BF110:BF116,1-$I$101:$I$107)/1000000</f>
        <v>0</v>
      </c>
      <c r="BG122" s="193" t="n">
        <f aca="false">SUMPRODUCT(BG110:BG116,1-$I$101:$I$107)/1000000</f>
        <v>0</v>
      </c>
      <c r="BH122" s="193" t="n">
        <f aca="false">SUMPRODUCT(BH110:BH116,1-$I$101:$I$107)/1000000</f>
        <v>0</v>
      </c>
      <c r="BI122" s="193" t="n">
        <f aca="false">SUMPRODUCT(BI110:BI116,1-$I$101:$I$107)/1000000</f>
        <v>0</v>
      </c>
      <c r="BJ122" s="193" t="n">
        <f aca="false">SUMPRODUCT(BJ110:BJ116,1-$I$101:$I$107)/1000000</f>
        <v>0</v>
      </c>
      <c r="BK122" s="193" t="n">
        <f aca="false">SUMPRODUCT(BK110:BK116,1-$I$101:$I$107)/1000000</f>
        <v>0</v>
      </c>
      <c r="BL122" s="193" t="n">
        <f aca="false">SUMPRODUCT(BL110:BL116,1-$I$101:$I$107)/1000000</f>
        <v>0</v>
      </c>
      <c r="BM122" s="193" t="n">
        <f aca="false">SUMPRODUCT(BM110:BM116,1-$I$101:$I$107)/1000000</f>
        <v>0</v>
      </c>
      <c r="BN122" s="193" t="n">
        <f aca="false">SUMPRODUCT(BN110:BN116,1-$I$101:$I$107)/1000000</f>
        <v>0</v>
      </c>
      <c r="BO122" s="193" t="n">
        <f aca="false">SUMPRODUCT(BO110:BO116,1-$I$101:$I$107)/1000000</f>
        <v>0</v>
      </c>
      <c r="BP122" s="193" t="n">
        <f aca="false">SUMPRODUCT(BP110:BP116,1-$I$101:$I$107)/1000000</f>
        <v>0</v>
      </c>
      <c r="BQ122" s="193" t="n">
        <f aca="false">SUMPRODUCT(BQ110:BQ116,1-$I$101:$I$107)/1000000</f>
        <v>0</v>
      </c>
      <c r="BR122" s="193" t="n">
        <f aca="false">SUMPRODUCT(BR110:BR116,1-$I$101:$I$107)/1000000</f>
        <v>0</v>
      </c>
      <c r="BS122" s="193" t="n">
        <f aca="false">SUMPRODUCT(BS110:BS116,1-$I$101:$I$107)/1000000</f>
        <v>0</v>
      </c>
      <c r="BT122" s="193" t="n">
        <f aca="false">SUMPRODUCT(BT110:BT116,1-$I$101:$I$107)/1000000</f>
        <v>0</v>
      </c>
      <c r="BU122" s="193" t="n">
        <f aca="false">SUMPRODUCT(BU110:BU116,1-$I$101:$I$107)/1000000</f>
        <v>0</v>
      </c>
      <c r="BV122" s="193" t="n">
        <f aca="false">SUMPRODUCT(BV110:BV116,1-$I$101:$I$107)/1000000</f>
        <v>0</v>
      </c>
      <c r="BW122" s="193" t="n">
        <f aca="false">SUMPRODUCT(BW110:BW116,1-$I$101:$I$107)/1000000</f>
        <v>0</v>
      </c>
      <c r="BX122" s="193" t="n">
        <f aca="false">SUMPRODUCT(BX110:BX116,1-$I$101:$I$107)/1000000</f>
        <v>0</v>
      </c>
      <c r="BY122" s="193" t="n">
        <f aca="false">SUMPRODUCT(BY110:BY116,1-$I$101:$I$107)/1000000</f>
        <v>0</v>
      </c>
      <c r="BZ122" s="193" t="n">
        <f aca="false">SUMPRODUCT(BZ110:BZ116,1-$I$101:$I$107)/1000000</f>
        <v>0</v>
      </c>
      <c r="CA122" s="193" t="n">
        <f aca="false">SUMPRODUCT(CA110:CA116,1-$I$101:$I$107)/1000000</f>
        <v>0</v>
      </c>
    </row>
    <row r="123" customFormat="false" ht="15" hidden="false" customHeight="false" outlineLevel="0" collapsed="false">
      <c r="B123" s="3" t="s">
        <v>381</v>
      </c>
      <c r="L123" s="193" t="n">
        <f aca="false">SUM(L119:L122)</f>
        <v>0</v>
      </c>
      <c r="M123" s="193" t="n">
        <f aca="false">SUM(M119:M122)</f>
        <v>3.53628</v>
      </c>
      <c r="N123" s="193" t="n">
        <f aca="false">SUM(N119:N122)</f>
        <v>0</v>
      </c>
      <c r="O123" s="193" t="n">
        <f aca="false">SUM(O119:O122)</f>
        <v>0</v>
      </c>
      <c r="P123" s="193" t="n">
        <f aca="false">SUM(P119:P122)</f>
        <v>0</v>
      </c>
    </row>
    <row r="125" customFormat="false" ht="18" hidden="false" customHeight="true" outlineLevel="0" collapsed="false">
      <c r="B125" s="5" t="s">
        <v>382</v>
      </c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7" customFormat="false" ht="22.35" hidden="false" customHeight="false" outlineLevel="0" collapsed="false">
      <c r="B127" s="169" t="s">
        <v>383</v>
      </c>
      <c r="C127" s="169" t="s">
        <v>353</v>
      </c>
      <c r="D127" s="169" t="s">
        <v>384</v>
      </c>
      <c r="H127" s="169" t="s">
        <v>333</v>
      </c>
      <c r="I127" s="169" t="s">
        <v>385</v>
      </c>
    </row>
    <row r="128" customFormat="false" ht="15" hidden="false" customHeight="false" outlineLevel="0" collapsed="false">
      <c r="B128" s="10" t="s">
        <v>469</v>
      </c>
      <c r="C128" s="194" t="s">
        <v>654</v>
      </c>
      <c r="D128" s="158" t="n">
        <v>250000</v>
      </c>
      <c r="H128" s="178" t="n">
        <f aca="false">DATE(2027,7,1)</f>
        <v>46569</v>
      </c>
      <c r="I128" s="9" t="s">
        <v>388</v>
      </c>
    </row>
    <row r="129" customFormat="false" ht="15" hidden="false" customHeight="false" outlineLevel="0" collapsed="false">
      <c r="B129" s="10" t="s">
        <v>386</v>
      </c>
      <c r="C129" s="194" t="s">
        <v>655</v>
      </c>
      <c r="D129" s="159" t="n">
        <f aca="false">$D$38*$D$39</f>
        <v>720000</v>
      </c>
      <c r="H129" s="178" t="n">
        <f aca="false">DATE(2027,7,1)</f>
        <v>46569</v>
      </c>
      <c r="I129" s="9" t="s">
        <v>388</v>
      </c>
    </row>
    <row r="130" customFormat="false" ht="15" hidden="false" customHeight="false" outlineLevel="0" collapsed="false">
      <c r="B130" s="10" t="s">
        <v>389</v>
      </c>
      <c r="C130" s="194" t="s">
        <v>654</v>
      </c>
      <c r="D130" s="158" t="n">
        <v>250000</v>
      </c>
      <c r="H130" s="178" t="n">
        <f aca="false">DATE(2027,7,1)</f>
        <v>46569</v>
      </c>
      <c r="I130" s="9" t="s">
        <v>388</v>
      </c>
    </row>
    <row r="131" customFormat="false" ht="15" hidden="false" customHeight="false" outlineLevel="0" collapsed="false">
      <c r="B131" s="10" t="s">
        <v>391</v>
      </c>
      <c r="C131" s="194" t="s">
        <v>656</v>
      </c>
      <c r="D131" s="158" t="n">
        <v>130000</v>
      </c>
      <c r="H131" s="178" t="n">
        <f aca="false">DATE(2027,7,1)</f>
        <v>46569</v>
      </c>
      <c r="I131" s="9" t="s">
        <v>388</v>
      </c>
    </row>
    <row r="133" customFormat="false" ht="15" hidden="false" customHeight="false" outlineLevel="0" collapsed="false">
      <c r="B133" s="197" t="s">
        <v>392</v>
      </c>
    </row>
    <row r="134" customFormat="false" ht="15" hidden="false" customHeight="false" outlineLevel="0" collapsed="false">
      <c r="B134" s="10" t="s">
        <v>472</v>
      </c>
      <c r="K134" s="193" t="n">
        <f aca="false">SUMIFS($T134:$CA134,$T$5:$CA$5,2030)</f>
        <v>0.25</v>
      </c>
      <c r="L134" s="193" t="n">
        <f aca="false">SUMIFS($T134:$CA134,$T$5:$CA$5,2026)</f>
        <v>0</v>
      </c>
      <c r="M134" s="193" t="n">
        <f aca="false">SUMIFS($T134:$CA134,$T$5:$CA$5,2027)</f>
        <v>0.125</v>
      </c>
      <c r="N134" s="193" t="n">
        <f aca="false">SUMIFS($T134:$CA134,$T$5:$CA$5,2028)</f>
        <v>0.25</v>
      </c>
      <c r="O134" s="193" t="n">
        <f aca="false">SUMIFS($T134:$CA134,$T$5:$CA$5,2029)</f>
        <v>0.25</v>
      </c>
      <c r="P134" s="193" t="n">
        <f aca="false">SUMIFS($T134:$CA134,$T$5:$CA$5,2030)</f>
        <v>0.25</v>
      </c>
      <c r="T134" s="193" t="n">
        <f aca="false">$D$128/1000000/12*IF($I$128="Y",T$61,IF(T$6&gt;=EOMONTH($H$128,0),1,0))</f>
        <v>0</v>
      </c>
      <c r="U134" s="193" t="n">
        <f aca="false">$D$128/1000000/12*IF($I$128="Y",U$61,IF(U$6&gt;=EOMONTH($H$128,0),1,0))</f>
        <v>0</v>
      </c>
      <c r="V134" s="193" t="n">
        <f aca="false">$D$128/1000000/12*IF($I$128="Y",V$61,IF(V$6&gt;=EOMONTH($H$128,0),1,0))</f>
        <v>0</v>
      </c>
      <c r="W134" s="193" t="n">
        <f aca="false">$D$128/1000000/12*IF($I$128="Y",W$61,IF(W$6&gt;=EOMONTH($H$128,0),1,0))</f>
        <v>0</v>
      </c>
      <c r="X134" s="193" t="n">
        <f aca="false">$D$128/1000000/12*IF($I$128="Y",X$61,IF(X$6&gt;=EOMONTH($H$128,0),1,0))</f>
        <v>0</v>
      </c>
      <c r="Y134" s="193" t="n">
        <f aca="false">$D$128/1000000/12*IF($I$128="Y",Y$61,IF(Y$6&gt;=EOMONTH($H$128,0),1,0))</f>
        <v>0</v>
      </c>
      <c r="Z134" s="193" t="n">
        <f aca="false">$D$128/1000000/12*IF($I$128="Y",Z$61,IF(Z$6&gt;=EOMONTH($H$128,0),1,0))</f>
        <v>0</v>
      </c>
      <c r="AA134" s="193" t="n">
        <f aca="false">$D$128/1000000/12*IF($I$128="Y",AA$61,IF(AA$6&gt;=EOMONTH($H$128,0),1,0))</f>
        <v>0</v>
      </c>
      <c r="AB134" s="193" t="n">
        <f aca="false">$D$128/1000000/12*IF($I$128="Y",AB$61,IF(AB$6&gt;=EOMONTH($H$128,0),1,0))</f>
        <v>0</v>
      </c>
      <c r="AC134" s="193" t="n">
        <f aca="false">$D$128/1000000/12*IF($I$128="Y",AC$61,IF(AC$6&gt;=EOMONTH($H$128,0),1,0))</f>
        <v>0</v>
      </c>
      <c r="AD134" s="193" t="n">
        <f aca="false">$D$128/1000000/12*IF($I$128="Y",AD$61,IF(AD$6&gt;=EOMONTH($H$128,0),1,0))</f>
        <v>0</v>
      </c>
      <c r="AE134" s="193" t="n">
        <f aca="false">$D$128/1000000/12*IF($I$128="Y",AE$61,IF(AE$6&gt;=EOMONTH($H$128,0),1,0))</f>
        <v>0</v>
      </c>
      <c r="AF134" s="193" t="n">
        <f aca="false">$D$128/1000000/12*IF($I$128="Y",AF$61,IF(AF$6&gt;=EOMONTH($H$128,0),1,0))</f>
        <v>0</v>
      </c>
      <c r="AG134" s="193" t="n">
        <f aca="false">$D$128/1000000/12*IF($I$128="Y",AG$61,IF(AG$6&gt;=EOMONTH($H$128,0),1,0))</f>
        <v>0</v>
      </c>
      <c r="AH134" s="193" t="n">
        <f aca="false">$D$128/1000000/12*IF($I$128="Y",AH$61,IF(AH$6&gt;=EOMONTH($H$128,0),1,0))</f>
        <v>0</v>
      </c>
      <c r="AI134" s="193" t="n">
        <f aca="false">$D$128/1000000/12*IF($I$128="Y",AI$61,IF(AI$6&gt;=EOMONTH($H$128,0),1,0))</f>
        <v>0</v>
      </c>
      <c r="AJ134" s="193" t="n">
        <f aca="false">$D$128/1000000/12*IF($I$128="Y",AJ$61,IF(AJ$6&gt;=EOMONTH($H$128,0),1,0))</f>
        <v>0</v>
      </c>
      <c r="AK134" s="193" t="n">
        <f aca="false">$D$128/1000000/12*IF($I$128="Y",AK$61,IF(AK$6&gt;=EOMONTH($H$128,0),1,0))</f>
        <v>0</v>
      </c>
      <c r="AL134" s="193" t="n">
        <f aca="false">$D$128/1000000/12*IF($I$128="Y",AL$61,IF(AL$6&gt;=EOMONTH($H$128,0),1,0))</f>
        <v>0.0208333333333333</v>
      </c>
      <c r="AM134" s="193" t="n">
        <f aca="false">$D$128/1000000/12*IF($I$128="Y",AM$61,IF(AM$6&gt;=EOMONTH($H$128,0),1,0))</f>
        <v>0.0208333333333333</v>
      </c>
      <c r="AN134" s="193" t="n">
        <f aca="false">$D$128/1000000/12*IF($I$128="Y",AN$61,IF(AN$6&gt;=EOMONTH($H$128,0),1,0))</f>
        <v>0.0208333333333333</v>
      </c>
      <c r="AO134" s="193" t="n">
        <f aca="false">$D$128/1000000/12*IF($I$128="Y",AO$61,IF(AO$6&gt;=EOMONTH($H$128,0),1,0))</f>
        <v>0.0208333333333333</v>
      </c>
      <c r="AP134" s="193" t="n">
        <f aca="false">$D$128/1000000/12*IF($I$128="Y",AP$61,IF(AP$6&gt;=EOMONTH($H$128,0),1,0))</f>
        <v>0.0208333333333333</v>
      </c>
      <c r="AQ134" s="193" t="n">
        <f aca="false">$D$128/1000000/12*IF($I$128="Y",AQ$61,IF(AQ$6&gt;=EOMONTH($H$128,0),1,0))</f>
        <v>0.0208333333333333</v>
      </c>
      <c r="AR134" s="193" t="n">
        <f aca="false">$D$128/1000000/12*IF($I$128="Y",AR$61,IF(AR$6&gt;=EOMONTH($H$128,0),1,0))</f>
        <v>0.0208333333333333</v>
      </c>
      <c r="AS134" s="193" t="n">
        <f aca="false">$D$128/1000000/12*IF($I$128="Y",AS$61,IF(AS$6&gt;=EOMONTH($H$128,0),1,0))</f>
        <v>0.0208333333333333</v>
      </c>
      <c r="AT134" s="193" t="n">
        <f aca="false">$D$128/1000000/12*IF($I$128="Y",AT$61,IF(AT$6&gt;=EOMONTH($H$128,0),1,0))</f>
        <v>0.0208333333333333</v>
      </c>
      <c r="AU134" s="193" t="n">
        <f aca="false">$D$128/1000000/12*IF($I$128="Y",AU$61,IF(AU$6&gt;=EOMONTH($H$128,0),1,0))</f>
        <v>0.0208333333333333</v>
      </c>
      <c r="AV134" s="193" t="n">
        <f aca="false">$D$128/1000000/12*IF($I$128="Y",AV$61,IF(AV$6&gt;=EOMONTH($H$128,0),1,0))</f>
        <v>0.0208333333333333</v>
      </c>
      <c r="AW134" s="193" t="n">
        <f aca="false">$D$128/1000000/12*IF($I$128="Y",AW$61,IF(AW$6&gt;=EOMONTH($H$128,0),1,0))</f>
        <v>0.0208333333333333</v>
      </c>
      <c r="AX134" s="193" t="n">
        <f aca="false">$D$128/1000000/12*IF($I$128="Y",AX$61,IF(AX$6&gt;=EOMONTH($H$128,0),1,0))</f>
        <v>0.0208333333333333</v>
      </c>
      <c r="AY134" s="193" t="n">
        <f aca="false">$D$128/1000000/12*IF($I$128="Y",AY$61,IF(AY$6&gt;=EOMONTH($H$128,0),1,0))</f>
        <v>0.0208333333333333</v>
      </c>
      <c r="AZ134" s="193" t="n">
        <f aca="false">$D$128/1000000/12*IF($I$128="Y",AZ$61,IF(AZ$6&gt;=EOMONTH($H$128,0),1,0))</f>
        <v>0.0208333333333333</v>
      </c>
      <c r="BA134" s="193" t="n">
        <f aca="false">$D$128/1000000/12*IF($I$128="Y",BA$61,IF(BA$6&gt;=EOMONTH($H$128,0),1,0))</f>
        <v>0.0208333333333333</v>
      </c>
      <c r="BB134" s="193" t="n">
        <f aca="false">$D$128/1000000/12*IF($I$128="Y",BB$61,IF(BB$6&gt;=EOMONTH($H$128,0),1,0))</f>
        <v>0.0208333333333333</v>
      </c>
      <c r="BC134" s="193" t="n">
        <f aca="false">$D$128/1000000/12*IF($I$128="Y",BC$61,IF(BC$6&gt;=EOMONTH($H$128,0),1,0))</f>
        <v>0.0208333333333333</v>
      </c>
      <c r="BD134" s="193" t="n">
        <f aca="false">$D$128/1000000/12*IF($I$128="Y",BD$61,IF(BD$6&gt;=EOMONTH($H$128,0),1,0))</f>
        <v>0.0208333333333333</v>
      </c>
      <c r="BE134" s="193" t="n">
        <f aca="false">$D$128/1000000/12*IF($I$128="Y",BE$61,IF(BE$6&gt;=EOMONTH($H$128,0),1,0))</f>
        <v>0.0208333333333333</v>
      </c>
      <c r="BF134" s="193" t="n">
        <f aca="false">$D$128/1000000/12*IF($I$128="Y",BF$61,IF(BF$6&gt;=EOMONTH($H$128,0),1,0))</f>
        <v>0.0208333333333333</v>
      </c>
      <c r="BG134" s="193" t="n">
        <f aca="false">$D$128/1000000/12*IF($I$128="Y",BG$61,IF(BG$6&gt;=EOMONTH($H$128,0),1,0))</f>
        <v>0.0208333333333333</v>
      </c>
      <c r="BH134" s="193" t="n">
        <f aca="false">$D$128/1000000/12*IF($I$128="Y",BH$61,IF(BH$6&gt;=EOMONTH($H$128,0),1,0))</f>
        <v>0.0208333333333333</v>
      </c>
      <c r="BI134" s="193" t="n">
        <f aca="false">$D$128/1000000/12*IF($I$128="Y",BI$61,IF(BI$6&gt;=EOMONTH($H$128,0),1,0))</f>
        <v>0.0208333333333333</v>
      </c>
      <c r="BJ134" s="193" t="n">
        <f aca="false">$D$128/1000000/12*IF($I$128="Y",BJ$61,IF(BJ$6&gt;=EOMONTH($H$128,0),1,0))</f>
        <v>0.0208333333333333</v>
      </c>
      <c r="BK134" s="193" t="n">
        <f aca="false">$D$128/1000000/12*IF($I$128="Y",BK$61,IF(BK$6&gt;=EOMONTH($H$128,0),1,0))</f>
        <v>0.0208333333333333</v>
      </c>
      <c r="BL134" s="193" t="n">
        <f aca="false">$D$128/1000000/12*IF($I$128="Y",BL$61,IF(BL$6&gt;=EOMONTH($H$128,0),1,0))</f>
        <v>0.0208333333333333</v>
      </c>
      <c r="BM134" s="193" t="n">
        <f aca="false">$D$128/1000000/12*IF($I$128="Y",BM$61,IF(BM$6&gt;=EOMONTH($H$128,0),1,0))</f>
        <v>0.0208333333333333</v>
      </c>
      <c r="BN134" s="193" t="n">
        <f aca="false">$D$128/1000000/12*IF($I$128="Y",BN$61,IF(BN$6&gt;=EOMONTH($H$128,0),1,0))</f>
        <v>0.0208333333333333</v>
      </c>
      <c r="BO134" s="193" t="n">
        <f aca="false">$D$128/1000000/12*IF($I$128="Y",BO$61,IF(BO$6&gt;=EOMONTH($H$128,0),1,0))</f>
        <v>0.0208333333333333</v>
      </c>
      <c r="BP134" s="193" t="n">
        <f aca="false">$D$128/1000000/12*IF($I$128="Y",BP$61,IF(BP$6&gt;=EOMONTH($H$128,0),1,0))</f>
        <v>0.0208333333333333</v>
      </c>
      <c r="BQ134" s="193" t="n">
        <f aca="false">$D$128/1000000/12*IF($I$128="Y",BQ$61,IF(BQ$6&gt;=EOMONTH($H$128,0),1,0))</f>
        <v>0.0208333333333333</v>
      </c>
      <c r="BR134" s="193" t="n">
        <f aca="false">$D$128/1000000/12*IF($I$128="Y",BR$61,IF(BR$6&gt;=EOMONTH($H$128,0),1,0))</f>
        <v>0.0208333333333333</v>
      </c>
      <c r="BS134" s="193" t="n">
        <f aca="false">$D$128/1000000/12*IF($I$128="Y",BS$61,IF(BS$6&gt;=EOMONTH($H$128,0),1,0))</f>
        <v>0.0208333333333333</v>
      </c>
      <c r="BT134" s="193" t="n">
        <f aca="false">$D$128/1000000/12*IF($I$128="Y",BT$61,IF(BT$6&gt;=EOMONTH($H$128,0),1,0))</f>
        <v>0.0208333333333333</v>
      </c>
      <c r="BU134" s="193" t="n">
        <f aca="false">$D$128/1000000/12*IF($I$128="Y",BU$61,IF(BU$6&gt;=EOMONTH($H$128,0),1,0))</f>
        <v>0.0208333333333333</v>
      </c>
      <c r="BV134" s="193" t="n">
        <f aca="false">$D$128/1000000/12*IF($I$128="Y",BV$61,IF(BV$6&gt;=EOMONTH($H$128,0),1,0))</f>
        <v>0.0208333333333333</v>
      </c>
      <c r="BW134" s="193" t="n">
        <f aca="false">$D$128/1000000/12*IF($I$128="Y",BW$61,IF(BW$6&gt;=EOMONTH($H$128,0),1,0))</f>
        <v>0.0208333333333333</v>
      </c>
      <c r="BX134" s="193" t="n">
        <f aca="false">$D$128/1000000/12*IF($I$128="Y",BX$61,IF(BX$6&gt;=EOMONTH($H$128,0),1,0))</f>
        <v>0.0208333333333333</v>
      </c>
      <c r="BY134" s="193" t="n">
        <f aca="false">$D$128/1000000/12*IF($I$128="Y",BY$61,IF(BY$6&gt;=EOMONTH($H$128,0),1,0))</f>
        <v>0.0208333333333333</v>
      </c>
      <c r="BZ134" s="193" t="n">
        <f aca="false">$D$128/1000000/12*IF($I$128="Y",BZ$61,IF(BZ$6&gt;=EOMONTH($H$128,0),1,0))</f>
        <v>0.0208333333333333</v>
      </c>
      <c r="CA134" s="193" t="n">
        <f aca="false">$D$128/1000000/12*IF($I$128="Y",CA$61,IF(CA$6&gt;=EOMONTH($H$128,0),1,0))</f>
        <v>0.0208333333333333</v>
      </c>
    </row>
    <row r="135" customFormat="false" ht="15" hidden="false" customHeight="false" outlineLevel="0" collapsed="false">
      <c r="B135" s="10" t="s">
        <v>393</v>
      </c>
      <c r="K135" s="193" t="n">
        <f aca="false">SUMIFS($T135:$CA135,$T$5:$CA$5,2030)</f>
        <v>0.72</v>
      </c>
      <c r="L135" s="193" t="n">
        <f aca="false">SUMIFS($T135:$CA135,$T$5:$CA$5,2026)</f>
        <v>0</v>
      </c>
      <c r="M135" s="193" t="n">
        <f aca="false">SUMIFS($T135:$CA135,$T$5:$CA$5,2027)</f>
        <v>0.36</v>
      </c>
      <c r="N135" s="193" t="n">
        <f aca="false">SUMIFS($T135:$CA135,$T$5:$CA$5,2028)</f>
        <v>0.72</v>
      </c>
      <c r="O135" s="193" t="n">
        <f aca="false">SUMIFS($T135:$CA135,$T$5:$CA$5,2029)</f>
        <v>0.72</v>
      </c>
      <c r="P135" s="193" t="n">
        <f aca="false">SUMIFS($T135:$CA135,$T$5:$CA$5,2030)</f>
        <v>0.72</v>
      </c>
      <c r="T135" s="193" t="n">
        <f aca="false">$D$129/1000000/12*IF($I$129="Y",T$61,IF(T$6&gt;=EOMONTH($H$129,0),1,0))</f>
        <v>0</v>
      </c>
      <c r="U135" s="193" t="n">
        <f aca="false">$D$129/1000000/12*IF($I$129="Y",U$61,IF(U$6&gt;=EOMONTH($H$129,0),1,0))</f>
        <v>0</v>
      </c>
      <c r="V135" s="193" t="n">
        <f aca="false">$D$129/1000000/12*IF($I$129="Y",V$61,IF(V$6&gt;=EOMONTH($H$129,0),1,0))</f>
        <v>0</v>
      </c>
      <c r="W135" s="193" t="n">
        <f aca="false">$D$129/1000000/12*IF($I$129="Y",W$61,IF(W$6&gt;=EOMONTH($H$129,0),1,0))</f>
        <v>0</v>
      </c>
      <c r="X135" s="193" t="n">
        <f aca="false">$D$129/1000000/12*IF($I$129="Y",X$61,IF(X$6&gt;=EOMONTH($H$129,0),1,0))</f>
        <v>0</v>
      </c>
      <c r="Y135" s="193" t="n">
        <f aca="false">$D$129/1000000/12*IF($I$129="Y",Y$61,IF(Y$6&gt;=EOMONTH($H$129,0),1,0))</f>
        <v>0</v>
      </c>
      <c r="Z135" s="193" t="n">
        <f aca="false">$D$129/1000000/12*IF($I$129="Y",Z$61,IF(Z$6&gt;=EOMONTH($H$129,0),1,0))</f>
        <v>0</v>
      </c>
      <c r="AA135" s="193" t="n">
        <f aca="false">$D$129/1000000/12*IF($I$129="Y",AA$61,IF(AA$6&gt;=EOMONTH($H$129,0),1,0))</f>
        <v>0</v>
      </c>
      <c r="AB135" s="193" t="n">
        <f aca="false">$D$129/1000000/12*IF($I$129="Y",AB$61,IF(AB$6&gt;=EOMONTH($H$129,0),1,0))</f>
        <v>0</v>
      </c>
      <c r="AC135" s="193" t="n">
        <f aca="false">$D$129/1000000/12*IF($I$129="Y",AC$61,IF(AC$6&gt;=EOMONTH($H$129,0),1,0))</f>
        <v>0</v>
      </c>
      <c r="AD135" s="193" t="n">
        <f aca="false">$D$129/1000000/12*IF($I$129="Y",AD$61,IF(AD$6&gt;=EOMONTH($H$129,0),1,0))</f>
        <v>0</v>
      </c>
      <c r="AE135" s="193" t="n">
        <f aca="false">$D$129/1000000/12*IF($I$129="Y",AE$61,IF(AE$6&gt;=EOMONTH($H$129,0),1,0))</f>
        <v>0</v>
      </c>
      <c r="AF135" s="193" t="n">
        <f aca="false">$D$129/1000000/12*IF($I$129="Y",AF$61,IF(AF$6&gt;=EOMONTH($H$129,0),1,0))</f>
        <v>0</v>
      </c>
      <c r="AG135" s="193" t="n">
        <f aca="false">$D$129/1000000/12*IF($I$129="Y",AG$61,IF(AG$6&gt;=EOMONTH($H$129,0),1,0))</f>
        <v>0</v>
      </c>
      <c r="AH135" s="193" t="n">
        <f aca="false">$D$129/1000000/12*IF($I$129="Y",AH$61,IF(AH$6&gt;=EOMONTH($H$129,0),1,0))</f>
        <v>0</v>
      </c>
      <c r="AI135" s="193" t="n">
        <f aca="false">$D$129/1000000/12*IF($I$129="Y",AI$61,IF(AI$6&gt;=EOMONTH($H$129,0),1,0))</f>
        <v>0</v>
      </c>
      <c r="AJ135" s="193" t="n">
        <f aca="false">$D$129/1000000/12*IF($I$129="Y",AJ$61,IF(AJ$6&gt;=EOMONTH($H$129,0),1,0))</f>
        <v>0</v>
      </c>
      <c r="AK135" s="193" t="n">
        <f aca="false">$D$129/1000000/12*IF($I$129="Y",AK$61,IF(AK$6&gt;=EOMONTH($H$129,0),1,0))</f>
        <v>0</v>
      </c>
      <c r="AL135" s="193" t="n">
        <f aca="false">$D$129/1000000/12*IF($I$129="Y",AL$61,IF(AL$6&gt;=EOMONTH($H$129,0),1,0))</f>
        <v>0.06</v>
      </c>
      <c r="AM135" s="193" t="n">
        <f aca="false">$D$129/1000000/12*IF($I$129="Y",AM$61,IF(AM$6&gt;=EOMONTH($H$129,0),1,0))</f>
        <v>0.06</v>
      </c>
      <c r="AN135" s="193" t="n">
        <f aca="false">$D$129/1000000/12*IF($I$129="Y",AN$61,IF(AN$6&gt;=EOMONTH($H$129,0),1,0))</f>
        <v>0.06</v>
      </c>
      <c r="AO135" s="193" t="n">
        <f aca="false">$D$129/1000000/12*IF($I$129="Y",AO$61,IF(AO$6&gt;=EOMONTH($H$129,0),1,0))</f>
        <v>0.06</v>
      </c>
      <c r="AP135" s="193" t="n">
        <f aca="false">$D$129/1000000/12*IF($I$129="Y",AP$61,IF(AP$6&gt;=EOMONTH($H$129,0),1,0))</f>
        <v>0.06</v>
      </c>
      <c r="AQ135" s="193" t="n">
        <f aca="false">$D$129/1000000/12*IF($I$129="Y",AQ$61,IF(AQ$6&gt;=EOMONTH($H$129,0),1,0))</f>
        <v>0.06</v>
      </c>
      <c r="AR135" s="193" t="n">
        <f aca="false">$D$129/1000000/12*IF($I$129="Y",AR$61,IF(AR$6&gt;=EOMONTH($H$129,0),1,0))</f>
        <v>0.06</v>
      </c>
      <c r="AS135" s="193" t="n">
        <f aca="false">$D$129/1000000/12*IF($I$129="Y",AS$61,IF(AS$6&gt;=EOMONTH($H$129,0),1,0))</f>
        <v>0.06</v>
      </c>
      <c r="AT135" s="193" t="n">
        <f aca="false">$D$129/1000000/12*IF($I$129="Y",AT$61,IF(AT$6&gt;=EOMONTH($H$129,0),1,0))</f>
        <v>0.06</v>
      </c>
      <c r="AU135" s="193" t="n">
        <f aca="false">$D$129/1000000/12*IF($I$129="Y",AU$61,IF(AU$6&gt;=EOMONTH($H$129,0),1,0))</f>
        <v>0.06</v>
      </c>
      <c r="AV135" s="193" t="n">
        <f aca="false">$D$129/1000000/12*IF($I$129="Y",AV$61,IF(AV$6&gt;=EOMONTH($H$129,0),1,0))</f>
        <v>0.06</v>
      </c>
      <c r="AW135" s="193" t="n">
        <f aca="false">$D$129/1000000/12*IF($I$129="Y",AW$61,IF(AW$6&gt;=EOMONTH($H$129,0),1,0))</f>
        <v>0.06</v>
      </c>
      <c r="AX135" s="193" t="n">
        <f aca="false">$D$129/1000000/12*IF($I$129="Y",AX$61,IF(AX$6&gt;=EOMONTH($H$129,0),1,0))</f>
        <v>0.06</v>
      </c>
      <c r="AY135" s="193" t="n">
        <f aca="false">$D$129/1000000/12*IF($I$129="Y",AY$61,IF(AY$6&gt;=EOMONTH($H$129,0),1,0))</f>
        <v>0.06</v>
      </c>
      <c r="AZ135" s="193" t="n">
        <f aca="false">$D$129/1000000/12*IF($I$129="Y",AZ$61,IF(AZ$6&gt;=EOMONTH($H$129,0),1,0))</f>
        <v>0.06</v>
      </c>
      <c r="BA135" s="193" t="n">
        <f aca="false">$D$129/1000000/12*IF($I$129="Y",BA$61,IF(BA$6&gt;=EOMONTH($H$129,0),1,0))</f>
        <v>0.06</v>
      </c>
      <c r="BB135" s="193" t="n">
        <f aca="false">$D$129/1000000/12*IF($I$129="Y",BB$61,IF(BB$6&gt;=EOMONTH($H$129,0),1,0))</f>
        <v>0.06</v>
      </c>
      <c r="BC135" s="193" t="n">
        <f aca="false">$D$129/1000000/12*IF($I$129="Y",BC$61,IF(BC$6&gt;=EOMONTH($H$129,0),1,0))</f>
        <v>0.06</v>
      </c>
      <c r="BD135" s="193" t="n">
        <f aca="false">$D$129/1000000/12*IF($I$129="Y",BD$61,IF(BD$6&gt;=EOMONTH($H$129,0),1,0))</f>
        <v>0.06</v>
      </c>
      <c r="BE135" s="193" t="n">
        <f aca="false">$D$129/1000000/12*IF($I$129="Y",BE$61,IF(BE$6&gt;=EOMONTH($H$129,0),1,0))</f>
        <v>0.06</v>
      </c>
      <c r="BF135" s="193" t="n">
        <f aca="false">$D$129/1000000/12*IF($I$129="Y",BF$61,IF(BF$6&gt;=EOMONTH($H$129,0),1,0))</f>
        <v>0.06</v>
      </c>
      <c r="BG135" s="193" t="n">
        <f aca="false">$D$129/1000000/12*IF($I$129="Y",BG$61,IF(BG$6&gt;=EOMONTH($H$129,0),1,0))</f>
        <v>0.06</v>
      </c>
      <c r="BH135" s="193" t="n">
        <f aca="false">$D$129/1000000/12*IF($I$129="Y",BH$61,IF(BH$6&gt;=EOMONTH($H$129,0),1,0))</f>
        <v>0.06</v>
      </c>
      <c r="BI135" s="193" t="n">
        <f aca="false">$D$129/1000000/12*IF($I$129="Y",BI$61,IF(BI$6&gt;=EOMONTH($H$129,0),1,0))</f>
        <v>0.06</v>
      </c>
      <c r="BJ135" s="193" t="n">
        <f aca="false">$D$129/1000000/12*IF($I$129="Y",BJ$61,IF(BJ$6&gt;=EOMONTH($H$129,0),1,0))</f>
        <v>0.06</v>
      </c>
      <c r="BK135" s="193" t="n">
        <f aca="false">$D$129/1000000/12*IF($I$129="Y",BK$61,IF(BK$6&gt;=EOMONTH($H$129,0),1,0))</f>
        <v>0.06</v>
      </c>
      <c r="BL135" s="193" t="n">
        <f aca="false">$D$129/1000000/12*IF($I$129="Y",BL$61,IF(BL$6&gt;=EOMONTH($H$129,0),1,0))</f>
        <v>0.06</v>
      </c>
      <c r="BM135" s="193" t="n">
        <f aca="false">$D$129/1000000/12*IF($I$129="Y",BM$61,IF(BM$6&gt;=EOMONTH($H$129,0),1,0))</f>
        <v>0.06</v>
      </c>
      <c r="BN135" s="193" t="n">
        <f aca="false">$D$129/1000000/12*IF($I$129="Y",BN$61,IF(BN$6&gt;=EOMONTH($H$129,0),1,0))</f>
        <v>0.06</v>
      </c>
      <c r="BO135" s="193" t="n">
        <f aca="false">$D$129/1000000/12*IF($I$129="Y",BO$61,IF(BO$6&gt;=EOMONTH($H$129,0),1,0))</f>
        <v>0.06</v>
      </c>
      <c r="BP135" s="193" t="n">
        <f aca="false">$D$129/1000000/12*IF($I$129="Y",BP$61,IF(BP$6&gt;=EOMONTH($H$129,0),1,0))</f>
        <v>0.06</v>
      </c>
      <c r="BQ135" s="193" t="n">
        <f aca="false">$D$129/1000000/12*IF($I$129="Y",BQ$61,IF(BQ$6&gt;=EOMONTH($H$129,0),1,0))</f>
        <v>0.06</v>
      </c>
      <c r="BR135" s="193" t="n">
        <f aca="false">$D$129/1000000/12*IF($I$129="Y",BR$61,IF(BR$6&gt;=EOMONTH($H$129,0),1,0))</f>
        <v>0.06</v>
      </c>
      <c r="BS135" s="193" t="n">
        <f aca="false">$D$129/1000000/12*IF($I$129="Y",BS$61,IF(BS$6&gt;=EOMONTH($H$129,0),1,0))</f>
        <v>0.06</v>
      </c>
      <c r="BT135" s="193" t="n">
        <f aca="false">$D$129/1000000/12*IF($I$129="Y",BT$61,IF(BT$6&gt;=EOMONTH($H$129,0),1,0))</f>
        <v>0.06</v>
      </c>
      <c r="BU135" s="193" t="n">
        <f aca="false">$D$129/1000000/12*IF($I$129="Y",BU$61,IF(BU$6&gt;=EOMONTH($H$129,0),1,0))</f>
        <v>0.06</v>
      </c>
      <c r="BV135" s="193" t="n">
        <f aca="false">$D$129/1000000/12*IF($I$129="Y",BV$61,IF(BV$6&gt;=EOMONTH($H$129,0),1,0))</f>
        <v>0.06</v>
      </c>
      <c r="BW135" s="193" t="n">
        <f aca="false">$D$129/1000000/12*IF($I$129="Y",BW$61,IF(BW$6&gt;=EOMONTH($H$129,0),1,0))</f>
        <v>0.06</v>
      </c>
      <c r="BX135" s="193" t="n">
        <f aca="false">$D$129/1000000/12*IF($I$129="Y",BX$61,IF(BX$6&gt;=EOMONTH($H$129,0),1,0))</f>
        <v>0.06</v>
      </c>
      <c r="BY135" s="193" t="n">
        <f aca="false">$D$129/1000000/12*IF($I$129="Y",BY$61,IF(BY$6&gt;=EOMONTH($H$129,0),1,0))</f>
        <v>0.06</v>
      </c>
      <c r="BZ135" s="193" t="n">
        <f aca="false">$D$129/1000000/12*IF($I$129="Y",BZ$61,IF(BZ$6&gt;=EOMONTH($H$129,0),1,0))</f>
        <v>0.06</v>
      </c>
      <c r="CA135" s="193" t="n">
        <f aca="false">$D$129/1000000/12*IF($I$129="Y",CA$61,IF(CA$6&gt;=EOMONTH($H$129,0),1,0))</f>
        <v>0.06</v>
      </c>
    </row>
    <row r="136" customFormat="false" ht="15" hidden="false" customHeight="false" outlineLevel="0" collapsed="false">
      <c r="B136" s="10" t="s">
        <v>394</v>
      </c>
      <c r="K136" s="193" t="n">
        <f aca="false">SUMIFS($T136:$CA136,$T$5:$CA$5,2030)</f>
        <v>0.25</v>
      </c>
      <c r="L136" s="193" t="n">
        <f aca="false">SUMIFS($T136:$CA136,$T$5:$CA$5,2026)</f>
        <v>0</v>
      </c>
      <c r="M136" s="193" t="n">
        <f aca="false">SUMIFS($T136:$CA136,$T$5:$CA$5,2027)</f>
        <v>0.125</v>
      </c>
      <c r="N136" s="193" t="n">
        <f aca="false">SUMIFS($T136:$CA136,$T$5:$CA$5,2028)</f>
        <v>0.25</v>
      </c>
      <c r="O136" s="193" t="n">
        <f aca="false">SUMIFS($T136:$CA136,$T$5:$CA$5,2029)</f>
        <v>0.25</v>
      </c>
      <c r="P136" s="193" t="n">
        <f aca="false">SUMIFS($T136:$CA136,$T$5:$CA$5,2030)</f>
        <v>0.25</v>
      </c>
      <c r="T136" s="193" t="n">
        <f aca="false">$D$130/1000000/12*IF($I$130="Y",T$61,IF(T$6&gt;=EOMONTH($H$130,0),1,0))</f>
        <v>0</v>
      </c>
      <c r="U136" s="193" t="n">
        <f aca="false">$D$130/1000000/12*IF($I$130="Y",U$61,IF(U$6&gt;=EOMONTH($H$130,0),1,0))</f>
        <v>0</v>
      </c>
      <c r="V136" s="193" t="n">
        <f aca="false">$D$130/1000000/12*IF($I$130="Y",V$61,IF(V$6&gt;=EOMONTH($H$130,0),1,0))</f>
        <v>0</v>
      </c>
      <c r="W136" s="193" t="n">
        <f aca="false">$D$130/1000000/12*IF($I$130="Y",W$61,IF(W$6&gt;=EOMONTH($H$130,0),1,0))</f>
        <v>0</v>
      </c>
      <c r="X136" s="193" t="n">
        <f aca="false">$D$130/1000000/12*IF($I$130="Y",X$61,IF(X$6&gt;=EOMONTH($H$130,0),1,0))</f>
        <v>0</v>
      </c>
      <c r="Y136" s="193" t="n">
        <f aca="false">$D$130/1000000/12*IF($I$130="Y",Y$61,IF(Y$6&gt;=EOMONTH($H$130,0),1,0))</f>
        <v>0</v>
      </c>
      <c r="Z136" s="193" t="n">
        <f aca="false">$D$130/1000000/12*IF($I$130="Y",Z$61,IF(Z$6&gt;=EOMONTH($H$130,0),1,0))</f>
        <v>0</v>
      </c>
      <c r="AA136" s="193" t="n">
        <f aca="false">$D$130/1000000/12*IF($I$130="Y",AA$61,IF(AA$6&gt;=EOMONTH($H$130,0),1,0))</f>
        <v>0</v>
      </c>
      <c r="AB136" s="193" t="n">
        <f aca="false">$D$130/1000000/12*IF($I$130="Y",AB$61,IF(AB$6&gt;=EOMONTH($H$130,0),1,0))</f>
        <v>0</v>
      </c>
      <c r="AC136" s="193" t="n">
        <f aca="false">$D$130/1000000/12*IF($I$130="Y",AC$61,IF(AC$6&gt;=EOMONTH($H$130,0),1,0))</f>
        <v>0</v>
      </c>
      <c r="AD136" s="193" t="n">
        <f aca="false">$D$130/1000000/12*IF($I$130="Y",AD$61,IF(AD$6&gt;=EOMONTH($H$130,0),1,0))</f>
        <v>0</v>
      </c>
      <c r="AE136" s="193" t="n">
        <f aca="false">$D$130/1000000/12*IF($I$130="Y",AE$61,IF(AE$6&gt;=EOMONTH($H$130,0),1,0))</f>
        <v>0</v>
      </c>
      <c r="AF136" s="193" t="n">
        <f aca="false">$D$130/1000000/12*IF($I$130="Y",AF$61,IF(AF$6&gt;=EOMONTH($H$130,0),1,0))</f>
        <v>0</v>
      </c>
      <c r="AG136" s="193" t="n">
        <f aca="false">$D$130/1000000/12*IF($I$130="Y",AG$61,IF(AG$6&gt;=EOMONTH($H$130,0),1,0))</f>
        <v>0</v>
      </c>
      <c r="AH136" s="193" t="n">
        <f aca="false">$D$130/1000000/12*IF($I$130="Y",AH$61,IF(AH$6&gt;=EOMONTH($H$130,0),1,0))</f>
        <v>0</v>
      </c>
      <c r="AI136" s="193" t="n">
        <f aca="false">$D$130/1000000/12*IF($I$130="Y",AI$61,IF(AI$6&gt;=EOMONTH($H$130,0),1,0))</f>
        <v>0</v>
      </c>
      <c r="AJ136" s="193" t="n">
        <f aca="false">$D$130/1000000/12*IF($I$130="Y",AJ$61,IF(AJ$6&gt;=EOMONTH($H$130,0),1,0))</f>
        <v>0</v>
      </c>
      <c r="AK136" s="193" t="n">
        <f aca="false">$D$130/1000000/12*IF($I$130="Y",AK$61,IF(AK$6&gt;=EOMONTH($H$130,0),1,0))</f>
        <v>0</v>
      </c>
      <c r="AL136" s="193" t="n">
        <f aca="false">$D$130/1000000/12*IF($I$130="Y",AL$61,IF(AL$6&gt;=EOMONTH($H$130,0),1,0))</f>
        <v>0.0208333333333333</v>
      </c>
      <c r="AM136" s="193" t="n">
        <f aca="false">$D$130/1000000/12*IF($I$130="Y",AM$61,IF(AM$6&gt;=EOMONTH($H$130,0),1,0))</f>
        <v>0.0208333333333333</v>
      </c>
      <c r="AN136" s="193" t="n">
        <f aca="false">$D$130/1000000/12*IF($I$130="Y",AN$61,IF(AN$6&gt;=EOMONTH($H$130,0),1,0))</f>
        <v>0.0208333333333333</v>
      </c>
      <c r="AO136" s="193" t="n">
        <f aca="false">$D$130/1000000/12*IF($I$130="Y",AO$61,IF(AO$6&gt;=EOMONTH($H$130,0),1,0))</f>
        <v>0.0208333333333333</v>
      </c>
      <c r="AP136" s="193" t="n">
        <f aca="false">$D$130/1000000/12*IF($I$130="Y",AP$61,IF(AP$6&gt;=EOMONTH($H$130,0),1,0))</f>
        <v>0.0208333333333333</v>
      </c>
      <c r="AQ136" s="193" t="n">
        <f aca="false">$D$130/1000000/12*IF($I$130="Y",AQ$61,IF(AQ$6&gt;=EOMONTH($H$130,0),1,0))</f>
        <v>0.0208333333333333</v>
      </c>
      <c r="AR136" s="193" t="n">
        <f aca="false">$D$130/1000000/12*IF($I$130="Y",AR$61,IF(AR$6&gt;=EOMONTH($H$130,0),1,0))</f>
        <v>0.0208333333333333</v>
      </c>
      <c r="AS136" s="193" t="n">
        <f aca="false">$D$130/1000000/12*IF($I$130="Y",AS$61,IF(AS$6&gt;=EOMONTH($H$130,0),1,0))</f>
        <v>0.0208333333333333</v>
      </c>
      <c r="AT136" s="193" t="n">
        <f aca="false">$D$130/1000000/12*IF($I$130="Y",AT$61,IF(AT$6&gt;=EOMONTH($H$130,0),1,0))</f>
        <v>0.0208333333333333</v>
      </c>
      <c r="AU136" s="193" t="n">
        <f aca="false">$D$130/1000000/12*IF($I$130="Y",AU$61,IF(AU$6&gt;=EOMONTH($H$130,0),1,0))</f>
        <v>0.0208333333333333</v>
      </c>
      <c r="AV136" s="193" t="n">
        <f aca="false">$D$130/1000000/12*IF($I$130="Y",AV$61,IF(AV$6&gt;=EOMONTH($H$130,0),1,0))</f>
        <v>0.0208333333333333</v>
      </c>
      <c r="AW136" s="193" t="n">
        <f aca="false">$D$130/1000000/12*IF($I$130="Y",AW$61,IF(AW$6&gt;=EOMONTH($H$130,0),1,0))</f>
        <v>0.0208333333333333</v>
      </c>
      <c r="AX136" s="193" t="n">
        <f aca="false">$D$130/1000000/12*IF($I$130="Y",AX$61,IF(AX$6&gt;=EOMONTH($H$130,0),1,0))</f>
        <v>0.0208333333333333</v>
      </c>
      <c r="AY136" s="193" t="n">
        <f aca="false">$D$130/1000000/12*IF($I$130="Y",AY$61,IF(AY$6&gt;=EOMONTH($H$130,0),1,0))</f>
        <v>0.0208333333333333</v>
      </c>
      <c r="AZ136" s="193" t="n">
        <f aca="false">$D$130/1000000/12*IF($I$130="Y",AZ$61,IF(AZ$6&gt;=EOMONTH($H$130,0),1,0))</f>
        <v>0.0208333333333333</v>
      </c>
      <c r="BA136" s="193" t="n">
        <f aca="false">$D$130/1000000/12*IF($I$130="Y",BA$61,IF(BA$6&gt;=EOMONTH($H$130,0),1,0))</f>
        <v>0.0208333333333333</v>
      </c>
      <c r="BB136" s="193" t="n">
        <f aca="false">$D$130/1000000/12*IF($I$130="Y",BB$61,IF(BB$6&gt;=EOMONTH($H$130,0),1,0))</f>
        <v>0.0208333333333333</v>
      </c>
      <c r="BC136" s="193" t="n">
        <f aca="false">$D$130/1000000/12*IF($I$130="Y",BC$61,IF(BC$6&gt;=EOMONTH($H$130,0),1,0))</f>
        <v>0.0208333333333333</v>
      </c>
      <c r="BD136" s="193" t="n">
        <f aca="false">$D$130/1000000/12*IF($I$130="Y",BD$61,IF(BD$6&gt;=EOMONTH($H$130,0),1,0))</f>
        <v>0.0208333333333333</v>
      </c>
      <c r="BE136" s="193" t="n">
        <f aca="false">$D$130/1000000/12*IF($I$130="Y",BE$61,IF(BE$6&gt;=EOMONTH($H$130,0),1,0))</f>
        <v>0.0208333333333333</v>
      </c>
      <c r="BF136" s="193" t="n">
        <f aca="false">$D$130/1000000/12*IF($I$130="Y",BF$61,IF(BF$6&gt;=EOMONTH($H$130,0),1,0))</f>
        <v>0.0208333333333333</v>
      </c>
      <c r="BG136" s="193" t="n">
        <f aca="false">$D$130/1000000/12*IF($I$130="Y",BG$61,IF(BG$6&gt;=EOMONTH($H$130,0),1,0))</f>
        <v>0.0208333333333333</v>
      </c>
      <c r="BH136" s="193" t="n">
        <f aca="false">$D$130/1000000/12*IF($I$130="Y",BH$61,IF(BH$6&gt;=EOMONTH($H$130,0),1,0))</f>
        <v>0.0208333333333333</v>
      </c>
      <c r="BI136" s="193" t="n">
        <f aca="false">$D$130/1000000/12*IF($I$130="Y",BI$61,IF(BI$6&gt;=EOMONTH($H$130,0),1,0))</f>
        <v>0.0208333333333333</v>
      </c>
      <c r="BJ136" s="193" t="n">
        <f aca="false">$D$130/1000000/12*IF($I$130="Y",BJ$61,IF(BJ$6&gt;=EOMONTH($H$130,0),1,0))</f>
        <v>0.0208333333333333</v>
      </c>
      <c r="BK136" s="193" t="n">
        <f aca="false">$D$130/1000000/12*IF($I$130="Y",BK$61,IF(BK$6&gt;=EOMONTH($H$130,0),1,0))</f>
        <v>0.0208333333333333</v>
      </c>
      <c r="BL136" s="193" t="n">
        <f aca="false">$D$130/1000000/12*IF($I$130="Y",BL$61,IF(BL$6&gt;=EOMONTH($H$130,0),1,0))</f>
        <v>0.0208333333333333</v>
      </c>
      <c r="BM136" s="193" t="n">
        <f aca="false">$D$130/1000000/12*IF($I$130="Y",BM$61,IF(BM$6&gt;=EOMONTH($H$130,0),1,0))</f>
        <v>0.0208333333333333</v>
      </c>
      <c r="BN136" s="193" t="n">
        <f aca="false">$D$130/1000000/12*IF($I$130="Y",BN$61,IF(BN$6&gt;=EOMONTH($H$130,0),1,0))</f>
        <v>0.0208333333333333</v>
      </c>
      <c r="BO136" s="193" t="n">
        <f aca="false">$D$130/1000000/12*IF($I$130="Y",BO$61,IF(BO$6&gt;=EOMONTH($H$130,0),1,0))</f>
        <v>0.0208333333333333</v>
      </c>
      <c r="BP136" s="193" t="n">
        <f aca="false">$D$130/1000000/12*IF($I$130="Y",BP$61,IF(BP$6&gt;=EOMONTH($H$130,0),1,0))</f>
        <v>0.0208333333333333</v>
      </c>
      <c r="BQ136" s="193" t="n">
        <f aca="false">$D$130/1000000/12*IF($I$130="Y",BQ$61,IF(BQ$6&gt;=EOMONTH($H$130,0),1,0))</f>
        <v>0.0208333333333333</v>
      </c>
      <c r="BR136" s="193" t="n">
        <f aca="false">$D$130/1000000/12*IF($I$130="Y",BR$61,IF(BR$6&gt;=EOMONTH($H$130,0),1,0))</f>
        <v>0.0208333333333333</v>
      </c>
      <c r="BS136" s="193" t="n">
        <f aca="false">$D$130/1000000/12*IF($I$130="Y",BS$61,IF(BS$6&gt;=EOMONTH($H$130,0),1,0))</f>
        <v>0.0208333333333333</v>
      </c>
      <c r="BT136" s="193" t="n">
        <f aca="false">$D$130/1000000/12*IF($I$130="Y",BT$61,IF(BT$6&gt;=EOMONTH($H$130,0),1,0))</f>
        <v>0.0208333333333333</v>
      </c>
      <c r="BU136" s="193" t="n">
        <f aca="false">$D$130/1000000/12*IF($I$130="Y",BU$61,IF(BU$6&gt;=EOMONTH($H$130,0),1,0))</f>
        <v>0.0208333333333333</v>
      </c>
      <c r="BV136" s="193" t="n">
        <f aca="false">$D$130/1000000/12*IF($I$130="Y",BV$61,IF(BV$6&gt;=EOMONTH($H$130,0),1,0))</f>
        <v>0.0208333333333333</v>
      </c>
      <c r="BW136" s="193" t="n">
        <f aca="false">$D$130/1000000/12*IF($I$130="Y",BW$61,IF(BW$6&gt;=EOMONTH($H$130,0),1,0))</f>
        <v>0.0208333333333333</v>
      </c>
      <c r="BX136" s="193" t="n">
        <f aca="false">$D$130/1000000/12*IF($I$130="Y",BX$61,IF(BX$6&gt;=EOMONTH($H$130,0),1,0))</f>
        <v>0.0208333333333333</v>
      </c>
      <c r="BY136" s="193" t="n">
        <f aca="false">$D$130/1000000/12*IF($I$130="Y",BY$61,IF(BY$6&gt;=EOMONTH($H$130,0),1,0))</f>
        <v>0.0208333333333333</v>
      </c>
      <c r="BZ136" s="193" t="n">
        <f aca="false">$D$130/1000000/12*IF($I$130="Y",BZ$61,IF(BZ$6&gt;=EOMONTH($H$130,0),1,0))</f>
        <v>0.0208333333333333</v>
      </c>
      <c r="CA136" s="193" t="n">
        <f aca="false">$D$130/1000000/12*IF($I$130="Y",CA$61,IF(CA$6&gt;=EOMONTH($H$130,0),1,0))</f>
        <v>0.0208333333333333</v>
      </c>
    </row>
    <row r="137" customFormat="false" ht="15" hidden="false" customHeight="false" outlineLevel="0" collapsed="false">
      <c r="B137" s="10" t="s">
        <v>395</v>
      </c>
      <c r="K137" s="193" t="n">
        <f aca="false">SUMIFS($T137:$CA137,$T$5:$CA$5,2030)</f>
        <v>0.13</v>
      </c>
      <c r="L137" s="193" t="n">
        <f aca="false">SUMIFS($T137:$CA137,$T$5:$CA$5,2026)</f>
        <v>0</v>
      </c>
      <c r="M137" s="193" t="n">
        <f aca="false">SUMIFS($T137:$CA137,$T$5:$CA$5,2027)</f>
        <v>0.065</v>
      </c>
      <c r="N137" s="193" t="n">
        <f aca="false">SUMIFS($T137:$CA137,$T$5:$CA$5,2028)</f>
        <v>0.13</v>
      </c>
      <c r="O137" s="193" t="n">
        <f aca="false">SUMIFS($T137:$CA137,$T$5:$CA$5,2029)</f>
        <v>0.13</v>
      </c>
      <c r="P137" s="193" t="n">
        <f aca="false">SUMIFS($T137:$CA137,$T$5:$CA$5,2030)</f>
        <v>0.13</v>
      </c>
      <c r="T137" s="193" t="n">
        <f aca="false">$D$131/1000000/12*IF($I$131="Y",T$61,IF(T$6&gt;=EOMONTH($H$131,0),1,0))</f>
        <v>0</v>
      </c>
      <c r="U137" s="193" t="n">
        <f aca="false">$D$131/1000000/12*IF($I$131="Y",U$61,IF(U$6&gt;=EOMONTH($H$131,0),1,0))</f>
        <v>0</v>
      </c>
      <c r="V137" s="193" t="n">
        <f aca="false">$D$131/1000000/12*IF($I$131="Y",V$61,IF(V$6&gt;=EOMONTH($H$131,0),1,0))</f>
        <v>0</v>
      </c>
      <c r="W137" s="193" t="n">
        <f aca="false">$D$131/1000000/12*IF($I$131="Y",W$61,IF(W$6&gt;=EOMONTH($H$131,0),1,0))</f>
        <v>0</v>
      </c>
      <c r="X137" s="193" t="n">
        <f aca="false">$D$131/1000000/12*IF($I$131="Y",X$61,IF(X$6&gt;=EOMONTH($H$131,0),1,0))</f>
        <v>0</v>
      </c>
      <c r="Y137" s="193" t="n">
        <f aca="false">$D$131/1000000/12*IF($I$131="Y",Y$61,IF(Y$6&gt;=EOMONTH($H$131,0),1,0))</f>
        <v>0</v>
      </c>
      <c r="Z137" s="193" t="n">
        <f aca="false">$D$131/1000000/12*IF($I$131="Y",Z$61,IF(Z$6&gt;=EOMONTH($H$131,0),1,0))</f>
        <v>0</v>
      </c>
      <c r="AA137" s="193" t="n">
        <f aca="false">$D$131/1000000/12*IF($I$131="Y",AA$61,IF(AA$6&gt;=EOMONTH($H$131,0),1,0))</f>
        <v>0</v>
      </c>
      <c r="AB137" s="193" t="n">
        <f aca="false">$D$131/1000000/12*IF($I$131="Y",AB$61,IF(AB$6&gt;=EOMONTH($H$131,0),1,0))</f>
        <v>0</v>
      </c>
      <c r="AC137" s="193" t="n">
        <f aca="false">$D$131/1000000/12*IF($I$131="Y",AC$61,IF(AC$6&gt;=EOMONTH($H$131,0),1,0))</f>
        <v>0</v>
      </c>
      <c r="AD137" s="193" t="n">
        <f aca="false">$D$131/1000000/12*IF($I$131="Y",AD$61,IF(AD$6&gt;=EOMONTH($H$131,0),1,0))</f>
        <v>0</v>
      </c>
      <c r="AE137" s="193" t="n">
        <f aca="false">$D$131/1000000/12*IF($I$131="Y",AE$61,IF(AE$6&gt;=EOMONTH($H$131,0),1,0))</f>
        <v>0</v>
      </c>
      <c r="AF137" s="193" t="n">
        <f aca="false">$D$131/1000000/12*IF($I$131="Y",AF$61,IF(AF$6&gt;=EOMONTH($H$131,0),1,0))</f>
        <v>0</v>
      </c>
      <c r="AG137" s="193" t="n">
        <f aca="false">$D$131/1000000/12*IF($I$131="Y",AG$61,IF(AG$6&gt;=EOMONTH($H$131,0),1,0))</f>
        <v>0</v>
      </c>
      <c r="AH137" s="193" t="n">
        <f aca="false">$D$131/1000000/12*IF($I$131="Y",AH$61,IF(AH$6&gt;=EOMONTH($H$131,0),1,0))</f>
        <v>0</v>
      </c>
      <c r="AI137" s="193" t="n">
        <f aca="false">$D$131/1000000/12*IF($I$131="Y",AI$61,IF(AI$6&gt;=EOMONTH($H$131,0),1,0))</f>
        <v>0</v>
      </c>
      <c r="AJ137" s="193" t="n">
        <f aca="false">$D$131/1000000/12*IF($I$131="Y",AJ$61,IF(AJ$6&gt;=EOMONTH($H$131,0),1,0))</f>
        <v>0</v>
      </c>
      <c r="AK137" s="193" t="n">
        <f aca="false">$D$131/1000000/12*IF($I$131="Y",AK$61,IF(AK$6&gt;=EOMONTH($H$131,0),1,0))</f>
        <v>0</v>
      </c>
      <c r="AL137" s="193" t="n">
        <f aca="false">$D$131/1000000/12*IF($I$131="Y",AL$61,IF(AL$6&gt;=EOMONTH($H$131,0),1,0))</f>
        <v>0.0108333333333333</v>
      </c>
      <c r="AM137" s="193" t="n">
        <f aca="false">$D$131/1000000/12*IF($I$131="Y",AM$61,IF(AM$6&gt;=EOMONTH($H$131,0),1,0))</f>
        <v>0.0108333333333333</v>
      </c>
      <c r="AN137" s="193" t="n">
        <f aca="false">$D$131/1000000/12*IF($I$131="Y",AN$61,IF(AN$6&gt;=EOMONTH($H$131,0),1,0))</f>
        <v>0.0108333333333333</v>
      </c>
      <c r="AO137" s="193" t="n">
        <f aca="false">$D$131/1000000/12*IF($I$131="Y",AO$61,IF(AO$6&gt;=EOMONTH($H$131,0),1,0))</f>
        <v>0.0108333333333333</v>
      </c>
      <c r="AP137" s="193" t="n">
        <f aca="false">$D$131/1000000/12*IF($I$131="Y",AP$61,IF(AP$6&gt;=EOMONTH($H$131,0),1,0))</f>
        <v>0.0108333333333333</v>
      </c>
      <c r="AQ137" s="193" t="n">
        <f aca="false">$D$131/1000000/12*IF($I$131="Y",AQ$61,IF(AQ$6&gt;=EOMONTH($H$131,0),1,0))</f>
        <v>0.0108333333333333</v>
      </c>
      <c r="AR137" s="193" t="n">
        <f aca="false">$D$131/1000000/12*IF($I$131="Y",AR$61,IF(AR$6&gt;=EOMONTH($H$131,0),1,0))</f>
        <v>0.0108333333333333</v>
      </c>
      <c r="AS137" s="193" t="n">
        <f aca="false">$D$131/1000000/12*IF($I$131="Y",AS$61,IF(AS$6&gt;=EOMONTH($H$131,0),1,0))</f>
        <v>0.0108333333333333</v>
      </c>
      <c r="AT137" s="193" t="n">
        <f aca="false">$D$131/1000000/12*IF($I$131="Y",AT$61,IF(AT$6&gt;=EOMONTH($H$131,0),1,0))</f>
        <v>0.0108333333333333</v>
      </c>
      <c r="AU137" s="193" t="n">
        <f aca="false">$D$131/1000000/12*IF($I$131="Y",AU$61,IF(AU$6&gt;=EOMONTH($H$131,0),1,0))</f>
        <v>0.0108333333333333</v>
      </c>
      <c r="AV137" s="193" t="n">
        <f aca="false">$D$131/1000000/12*IF($I$131="Y",AV$61,IF(AV$6&gt;=EOMONTH($H$131,0),1,0))</f>
        <v>0.0108333333333333</v>
      </c>
      <c r="AW137" s="193" t="n">
        <f aca="false">$D$131/1000000/12*IF($I$131="Y",AW$61,IF(AW$6&gt;=EOMONTH($H$131,0),1,0))</f>
        <v>0.0108333333333333</v>
      </c>
      <c r="AX137" s="193" t="n">
        <f aca="false">$D$131/1000000/12*IF($I$131="Y",AX$61,IF(AX$6&gt;=EOMONTH($H$131,0),1,0))</f>
        <v>0.0108333333333333</v>
      </c>
      <c r="AY137" s="193" t="n">
        <f aca="false">$D$131/1000000/12*IF($I$131="Y",AY$61,IF(AY$6&gt;=EOMONTH($H$131,0),1,0))</f>
        <v>0.0108333333333333</v>
      </c>
      <c r="AZ137" s="193" t="n">
        <f aca="false">$D$131/1000000/12*IF($I$131="Y",AZ$61,IF(AZ$6&gt;=EOMONTH($H$131,0),1,0))</f>
        <v>0.0108333333333333</v>
      </c>
      <c r="BA137" s="193" t="n">
        <f aca="false">$D$131/1000000/12*IF($I$131="Y",BA$61,IF(BA$6&gt;=EOMONTH($H$131,0),1,0))</f>
        <v>0.0108333333333333</v>
      </c>
      <c r="BB137" s="193" t="n">
        <f aca="false">$D$131/1000000/12*IF($I$131="Y",BB$61,IF(BB$6&gt;=EOMONTH($H$131,0),1,0))</f>
        <v>0.0108333333333333</v>
      </c>
      <c r="BC137" s="193" t="n">
        <f aca="false">$D$131/1000000/12*IF($I$131="Y",BC$61,IF(BC$6&gt;=EOMONTH($H$131,0),1,0))</f>
        <v>0.0108333333333333</v>
      </c>
      <c r="BD137" s="193" t="n">
        <f aca="false">$D$131/1000000/12*IF($I$131="Y",BD$61,IF(BD$6&gt;=EOMONTH($H$131,0),1,0))</f>
        <v>0.0108333333333333</v>
      </c>
      <c r="BE137" s="193" t="n">
        <f aca="false">$D$131/1000000/12*IF($I$131="Y",BE$61,IF(BE$6&gt;=EOMONTH($H$131,0),1,0))</f>
        <v>0.0108333333333333</v>
      </c>
      <c r="BF137" s="193" t="n">
        <f aca="false">$D$131/1000000/12*IF($I$131="Y",BF$61,IF(BF$6&gt;=EOMONTH($H$131,0),1,0))</f>
        <v>0.0108333333333333</v>
      </c>
      <c r="BG137" s="193" t="n">
        <f aca="false">$D$131/1000000/12*IF($I$131="Y",BG$61,IF(BG$6&gt;=EOMONTH($H$131,0),1,0))</f>
        <v>0.0108333333333333</v>
      </c>
      <c r="BH137" s="193" t="n">
        <f aca="false">$D$131/1000000/12*IF($I$131="Y",BH$61,IF(BH$6&gt;=EOMONTH($H$131,0),1,0))</f>
        <v>0.0108333333333333</v>
      </c>
      <c r="BI137" s="193" t="n">
        <f aca="false">$D$131/1000000/12*IF($I$131="Y",BI$61,IF(BI$6&gt;=EOMONTH($H$131,0),1,0))</f>
        <v>0.0108333333333333</v>
      </c>
      <c r="BJ137" s="193" t="n">
        <f aca="false">$D$131/1000000/12*IF($I$131="Y",BJ$61,IF(BJ$6&gt;=EOMONTH($H$131,0),1,0))</f>
        <v>0.0108333333333333</v>
      </c>
      <c r="BK137" s="193" t="n">
        <f aca="false">$D$131/1000000/12*IF($I$131="Y",BK$61,IF(BK$6&gt;=EOMONTH($H$131,0),1,0))</f>
        <v>0.0108333333333333</v>
      </c>
      <c r="BL137" s="193" t="n">
        <f aca="false">$D$131/1000000/12*IF($I$131="Y",BL$61,IF(BL$6&gt;=EOMONTH($H$131,0),1,0))</f>
        <v>0.0108333333333333</v>
      </c>
      <c r="BM137" s="193" t="n">
        <f aca="false">$D$131/1000000/12*IF($I$131="Y",BM$61,IF(BM$6&gt;=EOMONTH($H$131,0),1,0))</f>
        <v>0.0108333333333333</v>
      </c>
      <c r="BN137" s="193" t="n">
        <f aca="false">$D$131/1000000/12*IF($I$131="Y",BN$61,IF(BN$6&gt;=EOMONTH($H$131,0),1,0))</f>
        <v>0.0108333333333333</v>
      </c>
      <c r="BO137" s="193" t="n">
        <f aca="false">$D$131/1000000/12*IF($I$131="Y",BO$61,IF(BO$6&gt;=EOMONTH($H$131,0),1,0))</f>
        <v>0.0108333333333333</v>
      </c>
      <c r="BP137" s="193" t="n">
        <f aca="false">$D$131/1000000/12*IF($I$131="Y",BP$61,IF(BP$6&gt;=EOMONTH($H$131,0),1,0))</f>
        <v>0.0108333333333333</v>
      </c>
      <c r="BQ137" s="193" t="n">
        <f aca="false">$D$131/1000000/12*IF($I$131="Y",BQ$61,IF(BQ$6&gt;=EOMONTH($H$131,0),1,0))</f>
        <v>0.0108333333333333</v>
      </c>
      <c r="BR137" s="193" t="n">
        <f aca="false">$D$131/1000000/12*IF($I$131="Y",BR$61,IF(BR$6&gt;=EOMONTH($H$131,0),1,0))</f>
        <v>0.0108333333333333</v>
      </c>
      <c r="BS137" s="193" t="n">
        <f aca="false">$D$131/1000000/12*IF($I$131="Y",BS$61,IF(BS$6&gt;=EOMONTH($H$131,0),1,0))</f>
        <v>0.0108333333333333</v>
      </c>
      <c r="BT137" s="193" t="n">
        <f aca="false">$D$131/1000000/12*IF($I$131="Y",BT$61,IF(BT$6&gt;=EOMONTH($H$131,0),1,0))</f>
        <v>0.0108333333333333</v>
      </c>
      <c r="BU137" s="193" t="n">
        <f aca="false">$D$131/1000000/12*IF($I$131="Y",BU$61,IF(BU$6&gt;=EOMONTH($H$131,0),1,0))</f>
        <v>0.0108333333333333</v>
      </c>
      <c r="BV137" s="193" t="n">
        <f aca="false">$D$131/1000000/12*IF($I$131="Y",BV$61,IF(BV$6&gt;=EOMONTH($H$131,0),1,0))</f>
        <v>0.0108333333333333</v>
      </c>
      <c r="BW137" s="193" t="n">
        <f aca="false">$D$131/1000000/12*IF($I$131="Y",BW$61,IF(BW$6&gt;=EOMONTH($H$131,0),1,0))</f>
        <v>0.0108333333333333</v>
      </c>
      <c r="BX137" s="193" t="n">
        <f aca="false">$D$131/1000000/12*IF($I$131="Y",BX$61,IF(BX$6&gt;=EOMONTH($H$131,0),1,0))</f>
        <v>0.0108333333333333</v>
      </c>
      <c r="BY137" s="193" t="n">
        <f aca="false">$D$131/1000000/12*IF($I$131="Y",BY$61,IF(BY$6&gt;=EOMONTH($H$131,0),1,0))</f>
        <v>0.0108333333333333</v>
      </c>
      <c r="BZ137" s="193" t="n">
        <f aca="false">$D$131/1000000/12*IF($I$131="Y",BZ$61,IF(BZ$6&gt;=EOMONTH($H$131,0),1,0))</f>
        <v>0.0108333333333333</v>
      </c>
      <c r="CA137" s="193" t="n">
        <f aca="false">$D$131/1000000/12*IF($I$131="Y",CA$61,IF(CA$6&gt;=EOMONTH($H$131,0),1,0))</f>
        <v>0.0108333333333333</v>
      </c>
    </row>
    <row r="138" customFormat="false" ht="15" hidden="false" customHeight="false" outlineLevel="0" collapsed="false">
      <c r="B138" s="3" t="s">
        <v>396</v>
      </c>
      <c r="K138" s="193" t="n">
        <f aca="false">SUM(K134:K137)</f>
        <v>1.35</v>
      </c>
      <c r="L138" s="193" t="n">
        <f aca="false">SUM(L134:L137)</f>
        <v>0</v>
      </c>
      <c r="M138" s="193" t="n">
        <f aca="false">SUM(M134:M137)</f>
        <v>0.675</v>
      </c>
      <c r="N138" s="193" t="n">
        <f aca="false">SUM(N134:N137)</f>
        <v>1.35</v>
      </c>
      <c r="O138" s="193" t="n">
        <f aca="false">SUM(O134:O137)</f>
        <v>1.35</v>
      </c>
      <c r="P138" s="193" t="n">
        <f aca="false">SUM(P134:P137)</f>
        <v>1.35</v>
      </c>
    </row>
    <row r="140" customFormat="false" ht="18" hidden="false" customHeight="true" outlineLevel="0" collapsed="false">
      <c r="B140" s="5" t="s">
        <v>397</v>
      </c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2" customFormat="false" ht="15" hidden="false" customHeight="false" outlineLevel="0" collapsed="false">
      <c r="B142" s="196" t="s">
        <v>657</v>
      </c>
      <c r="F142" s="198" t="s">
        <v>399</v>
      </c>
    </row>
    <row r="143" customFormat="false" ht="15" hidden="false" customHeight="false" outlineLevel="0" collapsed="false">
      <c r="B143" s="196" t="s">
        <v>658</v>
      </c>
      <c r="F143" s="198" t="s">
        <v>568</v>
      </c>
    </row>
    <row r="144" customFormat="false" ht="15" hidden="false" customHeight="false" outlineLevel="0" collapsed="false">
      <c r="B144" s="196" t="s">
        <v>659</v>
      </c>
      <c r="F144" s="198" t="s">
        <v>401</v>
      </c>
    </row>
    <row r="145" customFormat="false" ht="15" hidden="false" customHeight="false" outlineLevel="0" collapsed="false">
      <c r="B145" s="196" t="s">
        <v>660</v>
      </c>
      <c r="F145" s="198" t="s">
        <v>403</v>
      </c>
    </row>
    <row r="146" customFormat="false" ht="15" hidden="false" customHeight="false" outlineLevel="0" collapsed="false">
      <c r="B146" s="196" t="s">
        <v>661</v>
      </c>
      <c r="F146" s="198" t="s">
        <v>405</v>
      </c>
    </row>
    <row r="147" customFormat="false" ht="15" hidden="false" customHeight="false" outlineLevel="0" collapsed="false">
      <c r="B147" s="196" t="s">
        <v>662</v>
      </c>
      <c r="F147" s="198" t="s">
        <v>478</v>
      </c>
    </row>
    <row r="148" customFormat="false" ht="15" hidden="false" customHeight="false" outlineLevel="0" collapsed="false">
      <c r="B148" s="196" t="s">
        <v>663</v>
      </c>
      <c r="F148" s="198" t="s">
        <v>407</v>
      </c>
    </row>
    <row r="149" customFormat="false" ht="15" hidden="false" customHeight="false" outlineLevel="0" collapsed="false">
      <c r="B149" s="196" t="s">
        <v>664</v>
      </c>
      <c r="F149" s="198" t="s">
        <v>409</v>
      </c>
    </row>
    <row r="150" customFormat="false" ht="15" hidden="false" customHeight="false" outlineLevel="0" collapsed="false">
      <c r="B150" s="196" t="s">
        <v>665</v>
      </c>
      <c r="F150" s="198" t="s">
        <v>411</v>
      </c>
    </row>
    <row r="151" customFormat="false" ht="15" hidden="false" customHeight="false" outlineLevel="0" collapsed="false">
      <c r="B151" s="196" t="s">
        <v>666</v>
      </c>
      <c r="F151" s="198" t="s">
        <v>413</v>
      </c>
    </row>
    <row r="153" customFormat="false" ht="18" hidden="false" customHeight="true" outlineLevel="0" collapsed="false">
      <c r="B153" s="5" t="s">
        <v>414</v>
      </c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</row>
  </sheetData>
  <mergeCells count="3">
    <mergeCell ref="D10:H10"/>
    <mergeCell ref="D11:H11"/>
    <mergeCell ref="D12:H12"/>
  </mergeCells>
  <dataValidations count="1">
    <dataValidation allowBlank="true" errorStyle="stop" operator="between" showDropDown="false" showErrorMessage="false" showInputMessage="false" sqref="I128:I131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C1:CM171"/>
  <sheetViews>
    <sheetView showFormulas="false" showGridLines="false" showRowColHeaders="true" showZeros="true" rightToLeft="false" tabSelected="false" showOutlineSymbols="true" defaultGridColor="true" view="normal" topLeftCell="A1" colorId="64" zoomScale="50" zoomScaleNormal="5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5390625" defaultRowHeight="14.25" zeroHeight="false" outlineLevelRow="1" outlineLevelCol="1"/>
  <cols>
    <col collapsed="false" customWidth="true" hidden="false" outlineLevel="0" max="4" min="1" style="0" width="2.81"/>
    <col collapsed="false" customWidth="true" hidden="false" outlineLevel="0" max="5" min="5" style="0" width="65.81"/>
    <col collapsed="false" customWidth="true" hidden="false" outlineLevel="0" max="6" min="6" style="0" width="16.54"/>
    <col collapsed="false" customWidth="true" hidden="false" outlineLevel="0" max="7" min="7" style="0" width="16.18"/>
    <col collapsed="false" customWidth="true" hidden="false" outlineLevel="0" max="8" min="8" style="0" width="22.45"/>
    <col collapsed="false" customWidth="true" hidden="false" outlineLevel="0" max="16" min="9" style="0" width="13.54"/>
    <col collapsed="false" customWidth="true" hidden="false" outlineLevel="0" max="17" min="17" style="13" width="13.54"/>
    <col collapsed="false" customWidth="true" hidden="false" outlineLevel="0" max="18" min="18" style="13" width="16.45"/>
    <col collapsed="false" customWidth="true" hidden="false" outlineLevel="0" max="19" min="19" style="0" width="2.81"/>
    <col collapsed="false" customWidth="true" hidden="false" outlineLevel="0" max="67" min="20" style="0" width="16.54"/>
    <col collapsed="false" customWidth="true" hidden="true" outlineLevel="1" max="79" min="68" style="0" width="16.54"/>
    <col collapsed="false" customWidth="true" hidden="false" outlineLevel="0" max="80" min="80" style="0" width="2.81"/>
    <col collapsed="false" customWidth="true" hidden="false" outlineLevel="0" max="85" min="81" style="0" width="16.54"/>
    <col collapsed="false" customWidth="true" hidden="false" outlineLevel="0" max="86" min="86" style="0" width="2.81"/>
    <col collapsed="false" customWidth="true" hidden="false" outlineLevel="0" max="91" min="87" style="0" width="16.54"/>
  </cols>
  <sheetData>
    <row r="1" s="14" customFormat="true" ht="16.5" hidden="true" customHeight="true" outlineLevel="1" collapsed="false">
      <c r="L1" s="15" t="n">
        <v>1</v>
      </c>
      <c r="M1" s="15" t="n">
        <v>2</v>
      </c>
      <c r="N1" s="15" t="n">
        <v>3</v>
      </c>
      <c r="O1" s="15" t="n">
        <v>4</v>
      </c>
      <c r="P1" s="15" t="n">
        <v>5</v>
      </c>
      <c r="Q1" s="16"/>
      <c r="R1" s="17" t="n">
        <f aca="false">COUNTIFS($R$66:$R$117, "Error")</f>
        <v>0</v>
      </c>
      <c r="T1" s="17" t="n">
        <v>2026</v>
      </c>
      <c r="U1" s="17" t="n">
        <v>2026</v>
      </c>
      <c r="V1" s="17" t="n">
        <v>2026</v>
      </c>
      <c r="W1" s="17" t="n">
        <v>2026</v>
      </c>
      <c r="X1" s="17" t="n">
        <v>2026</v>
      </c>
      <c r="Y1" s="17" t="n">
        <v>2026</v>
      </c>
      <c r="Z1" s="17" t="n">
        <v>2026</v>
      </c>
      <c r="AA1" s="17" t="n">
        <v>2026</v>
      </c>
      <c r="AB1" s="17" t="n">
        <v>2026</v>
      </c>
      <c r="AC1" s="17" t="n">
        <v>2026</v>
      </c>
      <c r="AD1" s="17" t="n">
        <v>2026</v>
      </c>
      <c r="AE1" s="17" t="n">
        <v>2026</v>
      </c>
      <c r="AF1" s="17" t="n">
        <v>2027</v>
      </c>
      <c r="AG1" s="17" t="n">
        <v>2027</v>
      </c>
      <c r="AH1" s="17" t="n">
        <v>2027</v>
      </c>
      <c r="AI1" s="17" t="n">
        <v>2027</v>
      </c>
      <c r="AJ1" s="17" t="n">
        <v>2027</v>
      </c>
      <c r="AK1" s="17" t="n">
        <v>2027</v>
      </c>
      <c r="AL1" s="17" t="n">
        <v>2027</v>
      </c>
      <c r="AM1" s="17" t="n">
        <v>2027</v>
      </c>
      <c r="AN1" s="17" t="n">
        <v>2027</v>
      </c>
      <c r="AO1" s="17" t="n">
        <v>2027</v>
      </c>
      <c r="AP1" s="17" t="n">
        <v>2027</v>
      </c>
      <c r="AQ1" s="17" t="n">
        <v>2027</v>
      </c>
      <c r="AR1" s="17" t="n">
        <v>2028</v>
      </c>
      <c r="AS1" s="17" t="n">
        <v>2028</v>
      </c>
      <c r="AT1" s="17" t="n">
        <v>2028</v>
      </c>
      <c r="AU1" s="17" t="n">
        <v>2028</v>
      </c>
      <c r="AV1" s="17" t="n">
        <v>2028</v>
      </c>
      <c r="AW1" s="17" t="n">
        <v>2028</v>
      </c>
      <c r="AX1" s="17" t="n">
        <v>2028</v>
      </c>
      <c r="AY1" s="17" t="n">
        <v>2028</v>
      </c>
      <c r="AZ1" s="17" t="n">
        <v>2028</v>
      </c>
      <c r="BA1" s="17" t="n">
        <v>2028</v>
      </c>
      <c r="BB1" s="17" t="n">
        <v>2028</v>
      </c>
      <c r="BC1" s="17" t="n">
        <v>2028</v>
      </c>
      <c r="BD1" s="17" t="n">
        <v>2029</v>
      </c>
      <c r="BE1" s="17" t="n">
        <v>2029</v>
      </c>
      <c r="BF1" s="17" t="n">
        <v>2029</v>
      </c>
      <c r="BG1" s="17" t="n">
        <v>2029</v>
      </c>
      <c r="BH1" s="17" t="n">
        <v>2029</v>
      </c>
      <c r="BI1" s="17" t="n">
        <v>2029</v>
      </c>
      <c r="BJ1" s="17" t="n">
        <v>2029</v>
      </c>
      <c r="BK1" s="17" t="n">
        <v>2029</v>
      </c>
      <c r="BL1" s="17" t="n">
        <v>2029</v>
      </c>
      <c r="BM1" s="17" t="n">
        <v>2029</v>
      </c>
      <c r="BN1" s="17" t="n">
        <v>2029</v>
      </c>
      <c r="BO1" s="17" t="n">
        <v>2029</v>
      </c>
      <c r="BP1" s="17" t="n">
        <v>2030</v>
      </c>
      <c r="BQ1" s="17" t="n">
        <v>2030</v>
      </c>
      <c r="BR1" s="17" t="n">
        <v>2030</v>
      </c>
      <c r="BS1" s="17" t="n">
        <v>2030</v>
      </c>
      <c r="BT1" s="17" t="n">
        <v>2030</v>
      </c>
      <c r="BU1" s="17" t="n">
        <v>2030</v>
      </c>
      <c r="BV1" s="17" t="n">
        <v>2030</v>
      </c>
      <c r="BW1" s="17" t="n">
        <v>2030</v>
      </c>
      <c r="BX1" s="17" t="n">
        <v>2030</v>
      </c>
      <c r="BY1" s="17" t="n">
        <v>2030</v>
      </c>
      <c r="BZ1" s="17" t="n">
        <v>2030</v>
      </c>
      <c r="CA1" s="17" t="n">
        <v>2030</v>
      </c>
      <c r="CI1" s="17" t="n">
        <f aca="false">COUNTIFS(CI$66:CI$149, "FALSE")</f>
        <v>0</v>
      </c>
      <c r="CJ1" s="17" t="n">
        <f aca="false">COUNTIFS(CJ$66:CJ$149, "FALSE")</f>
        <v>0</v>
      </c>
      <c r="CK1" s="17" t="n">
        <f aca="false">COUNTIFS(CK$66:CK$149, "FALSE")</f>
        <v>0</v>
      </c>
      <c r="CL1" s="17" t="n">
        <f aca="false">COUNTIFS(CL$66:CL$149, "FALSE")</f>
        <v>0</v>
      </c>
      <c r="CM1" s="17" t="n">
        <f aca="false">COUNTIFS(CM$66:CM$149, "FALSE")</f>
        <v>0</v>
      </c>
    </row>
    <row r="2" s="14" customFormat="true" ht="30.75" hidden="false" customHeight="true" outlineLevel="0" collapsed="false">
      <c r="C2" s="18" t="str">
        <f aca="false">"#"&amp;$F$6&amp;" Initiative Business Case"</f>
        <v>#TBD Initiative Business Case</v>
      </c>
      <c r="Q2" s="16"/>
      <c r="R2" s="16"/>
    </row>
    <row r="3" s="14" customFormat="true" ht="16.5" hidden="false" customHeight="true" outlineLevel="0" collapsed="false">
      <c r="Q3" s="16"/>
      <c r="R3" s="16"/>
    </row>
    <row r="4" s="14" customFormat="true" ht="16.5" hidden="false" customHeight="true" outlineLevel="0" collapsed="false">
      <c r="C4" s="19" t="s">
        <v>61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</row>
    <row r="5" s="14" customFormat="true" ht="16.5" hidden="false" customHeight="true" outlineLevel="0" collapsed="false">
      <c r="Q5" s="16"/>
      <c r="R5" s="16"/>
    </row>
    <row r="6" s="14" customFormat="true" ht="16.5" hidden="false" customHeight="true" outlineLevel="0" collapsed="false">
      <c r="D6" s="21" t="s">
        <v>62</v>
      </c>
      <c r="F6" s="22" t="s">
        <v>415</v>
      </c>
      <c r="G6" s="23"/>
      <c r="Q6" s="16"/>
      <c r="R6" s="16"/>
    </row>
    <row r="7" customFormat="false" ht="16.5" hidden="false" customHeight="true" outlineLevel="0" collapsed="false">
      <c r="D7" s="21" t="s">
        <v>63</v>
      </c>
      <c r="F7" s="199" t="s">
        <v>264</v>
      </c>
      <c r="G7" s="200"/>
      <c r="I7" s="14"/>
      <c r="J7" s="14"/>
      <c r="K7" s="14"/>
    </row>
    <row r="8" s="14" customFormat="true" ht="16.5" hidden="false" customHeight="true" outlineLevel="0" collapsed="false">
      <c r="D8" s="21" t="s">
        <v>65</v>
      </c>
      <c r="F8" s="26" t="s">
        <v>590</v>
      </c>
      <c r="G8" s="26"/>
      <c r="H8" s="26"/>
      <c r="I8" s="26"/>
      <c r="J8" s="26"/>
      <c r="Q8" s="16"/>
      <c r="R8" s="16"/>
    </row>
    <row r="9" s="14" customFormat="true" ht="16.5" hidden="false" customHeight="true" outlineLevel="0" collapsed="false">
      <c r="D9" s="21"/>
      <c r="F9" s="26"/>
      <c r="G9" s="26"/>
      <c r="H9" s="26"/>
      <c r="I9" s="26"/>
      <c r="J9" s="26"/>
      <c r="N9" s="21"/>
      <c r="Q9" s="16"/>
      <c r="R9" s="16"/>
    </row>
    <row r="10" s="14" customFormat="true" ht="16.5" hidden="false" customHeight="true" outlineLevel="0" collapsed="false">
      <c r="F10" s="26"/>
      <c r="G10" s="26"/>
      <c r="H10" s="26"/>
      <c r="I10" s="26"/>
      <c r="J10" s="26"/>
      <c r="Q10" s="16"/>
      <c r="R10" s="16"/>
    </row>
    <row r="11" s="14" customFormat="true" ht="16.5" hidden="false" customHeight="true" outlineLevel="0" collapsed="false">
      <c r="D11" s="21" t="s">
        <v>69</v>
      </c>
      <c r="F11" s="201" t="n">
        <f aca="false">'SVC-4 Model'!$D$13</f>
        <v>46569</v>
      </c>
      <c r="M11" s="21"/>
      <c r="Q11" s="16"/>
      <c r="R11" s="16"/>
    </row>
    <row r="12" s="14" customFormat="true" ht="16.5" hidden="false" customHeight="true" outlineLevel="0" collapsed="false">
      <c r="D12" s="21" t="s">
        <v>70</v>
      </c>
      <c r="F12" s="28" t="n">
        <f aca="false">$K$117</f>
        <v>6.3044495921416</v>
      </c>
      <c r="M12" s="21"/>
      <c r="Q12" s="16"/>
      <c r="R12" s="16"/>
    </row>
    <row r="13" s="14" customFormat="true" ht="17.25" hidden="false" customHeight="true" outlineLevel="0" collapsed="false">
      <c r="Q13" s="16"/>
      <c r="R13" s="16"/>
    </row>
    <row r="14" s="14" customFormat="true" ht="16.5" hidden="false" customHeight="true" outlineLevel="0" collapsed="false">
      <c r="C14" s="19" t="s">
        <v>71</v>
      </c>
      <c r="D14" s="19"/>
      <c r="E14" s="19"/>
      <c r="F14" s="19"/>
      <c r="G14" s="19"/>
      <c r="H14" s="19"/>
      <c r="I14" s="19"/>
      <c r="J14" s="19"/>
      <c r="L14" s="19"/>
      <c r="M14" s="19"/>
      <c r="N14" s="19"/>
      <c r="O14" s="19"/>
      <c r="P14" s="19"/>
      <c r="Q14" s="20"/>
      <c r="R14" s="20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</row>
    <row r="15" s="14" customFormat="true" ht="17.25" hidden="false" customHeight="true" outlineLevel="0" collapsed="false">
      <c r="Q15" s="16"/>
      <c r="R15" s="16"/>
    </row>
    <row r="16" s="14" customFormat="true" ht="17.25" hidden="false" customHeight="true" outlineLevel="0" collapsed="false">
      <c r="D16" s="29" t="s">
        <v>416</v>
      </c>
    </row>
    <row r="17" s="14" customFormat="true" ht="17.25" hidden="false" customHeight="true" outlineLevel="0" collapsed="false">
      <c r="D17" s="32" t="s">
        <v>77</v>
      </c>
      <c r="E17" s="33"/>
      <c r="F17" s="33"/>
      <c r="G17" s="33"/>
      <c r="H17" s="32" t="s">
        <v>78</v>
      </c>
      <c r="I17" s="32" t="s">
        <v>79</v>
      </c>
      <c r="J17" s="34" t="s">
        <v>80</v>
      </c>
    </row>
    <row r="18" s="14" customFormat="true" ht="17.25" hidden="false" customHeight="true" outlineLevel="0" collapsed="false">
      <c r="D18" s="33"/>
      <c r="E18" s="33" t="s">
        <v>667</v>
      </c>
      <c r="F18" s="33"/>
      <c r="G18" s="36"/>
      <c r="H18" s="202" t="s">
        <v>486</v>
      </c>
      <c r="I18" s="37" t="s">
        <v>102</v>
      </c>
      <c r="J18" s="203" t="n">
        <f aca="false">'SVC-4 Model'!$D$25/1000000</f>
        <v>93.16395104</v>
      </c>
      <c r="P18" s="16"/>
      <c r="Q18" s="35"/>
      <c r="R18" s="16"/>
    </row>
    <row r="19" s="14" customFormat="true" ht="17.25" hidden="false" customHeight="true" outlineLevel="0" collapsed="false">
      <c r="D19" s="33"/>
      <c r="E19" s="33" t="s">
        <v>668</v>
      </c>
      <c r="F19" s="33"/>
      <c r="G19" s="36"/>
      <c r="H19" s="202" t="s">
        <v>669</v>
      </c>
      <c r="I19" s="37" t="s">
        <v>282</v>
      </c>
      <c r="J19" s="234" t="n">
        <f aca="false">'SVC-4 Model'!$D$31</f>
        <v>0.808142857142857</v>
      </c>
      <c r="P19" s="16"/>
      <c r="Q19" s="35"/>
      <c r="R19" s="16"/>
    </row>
    <row r="20" s="14" customFormat="true" ht="17.25" hidden="false" customHeight="true" outlineLevel="0" collapsed="false">
      <c r="D20" s="33"/>
      <c r="E20" s="33" t="s">
        <v>670</v>
      </c>
      <c r="F20" s="33"/>
      <c r="G20" s="36"/>
      <c r="H20" s="202" t="s">
        <v>669</v>
      </c>
      <c r="I20" s="37" t="s">
        <v>282</v>
      </c>
      <c r="J20" s="235" t="n">
        <f aca="false">'SVC-4 Model'!$D$49</f>
        <v>0.477958775510204</v>
      </c>
      <c r="L20" s="205"/>
      <c r="P20" s="16"/>
      <c r="Q20" s="35"/>
      <c r="R20" s="16"/>
    </row>
    <row r="21" s="14" customFormat="true" ht="17.25" hidden="false" customHeight="true" outlineLevel="0" collapsed="false">
      <c r="D21" s="33"/>
      <c r="E21" s="40"/>
      <c r="F21" s="40"/>
      <c r="G21" s="41"/>
      <c r="H21" s="206"/>
      <c r="I21" s="42"/>
      <c r="J21" s="55"/>
      <c r="P21" s="16"/>
      <c r="Q21" s="35"/>
      <c r="R21" s="16"/>
    </row>
    <row r="22" s="14" customFormat="true" ht="17.25" hidden="false" customHeight="true" outlineLevel="0" collapsed="false">
      <c r="D22" s="33"/>
      <c r="E22" s="33"/>
      <c r="F22" s="33"/>
      <c r="G22" s="36"/>
      <c r="H22" s="33"/>
      <c r="I22" s="37"/>
      <c r="J22" s="33"/>
      <c r="Q22" s="16"/>
      <c r="R22" s="16"/>
    </row>
    <row r="23" s="14" customFormat="true" ht="17.25" hidden="false" customHeight="true" outlineLevel="0" collapsed="false">
      <c r="D23" s="32" t="s">
        <v>104</v>
      </c>
      <c r="E23" s="33"/>
      <c r="F23" s="33"/>
      <c r="G23" s="36"/>
      <c r="H23" s="32"/>
      <c r="I23" s="32"/>
      <c r="J23" s="34"/>
      <c r="Q23" s="16"/>
      <c r="R23" s="16"/>
    </row>
    <row r="24" s="14" customFormat="true" ht="17.25" hidden="false" customHeight="true" outlineLevel="0" collapsed="false">
      <c r="D24" s="33"/>
      <c r="E24" s="33" t="s">
        <v>671</v>
      </c>
      <c r="F24" s="33"/>
      <c r="G24" s="36"/>
      <c r="H24" s="33" t="s">
        <v>423</v>
      </c>
      <c r="I24" s="37" t="s">
        <v>282</v>
      </c>
      <c r="J24" s="207" t="n">
        <f aca="false">'SVC-4 Model'!$D$32</f>
        <v>0.85</v>
      </c>
      <c r="Q24" s="16"/>
      <c r="R24" s="16"/>
    </row>
    <row r="25" s="14" customFormat="true" ht="17.25" hidden="false" customHeight="true" outlineLevel="0" collapsed="false">
      <c r="D25" s="33"/>
      <c r="E25" s="33" t="s">
        <v>672</v>
      </c>
      <c r="F25" s="33"/>
      <c r="G25" s="36"/>
      <c r="H25" s="33" t="s">
        <v>423</v>
      </c>
      <c r="I25" s="37" t="s">
        <v>282</v>
      </c>
      <c r="J25" s="207" t="n">
        <f aca="false">'SVC-4 Model'!$D$52</f>
        <v>0.041857142857143</v>
      </c>
      <c r="Q25" s="16"/>
      <c r="R25" s="16"/>
    </row>
    <row r="26" s="14" customFormat="true" ht="17.25" hidden="false" customHeight="true" outlineLevel="0" collapsed="false">
      <c r="D26" s="33"/>
      <c r="E26" s="40"/>
      <c r="F26" s="40"/>
      <c r="G26" s="41"/>
      <c r="H26" s="40"/>
      <c r="I26" s="42"/>
      <c r="J26" s="55"/>
      <c r="K26" s="45"/>
      <c r="Q26" s="16"/>
      <c r="R26" s="16"/>
    </row>
    <row r="27" s="14" customFormat="true" ht="17.25" hidden="false" customHeight="true" outlineLevel="0" collapsed="false">
      <c r="D27" s="33"/>
      <c r="E27" s="46"/>
      <c r="F27" s="46"/>
      <c r="G27" s="47"/>
      <c r="H27" s="46"/>
      <c r="I27" s="48"/>
      <c r="J27" s="49"/>
      <c r="K27" s="50"/>
      <c r="Q27" s="16"/>
      <c r="R27" s="16"/>
    </row>
    <row r="28" s="14" customFormat="true" ht="17.25" hidden="false" customHeight="true" outlineLevel="0" collapsed="false">
      <c r="D28" s="32" t="s">
        <v>111</v>
      </c>
      <c r="E28" s="46"/>
      <c r="F28" s="46"/>
      <c r="G28" s="47"/>
      <c r="H28" s="46"/>
      <c r="I28" s="48"/>
      <c r="J28" s="49"/>
      <c r="K28" s="50"/>
      <c r="L28" s="51"/>
      <c r="Q28" s="16"/>
      <c r="R28" s="16"/>
    </row>
    <row r="29" s="14" customFormat="true" ht="17.25" hidden="false" customHeight="true" outlineLevel="0" collapsed="false">
      <c r="D29" s="32"/>
      <c r="E29" s="209" t="s">
        <v>673</v>
      </c>
      <c r="F29" s="40"/>
      <c r="G29" s="41"/>
      <c r="H29" s="40"/>
      <c r="I29" s="42" t="s">
        <v>102</v>
      </c>
      <c r="J29" s="210" t="n">
        <f aca="false">'SVC-4 Model'!$D$54/1000000</f>
        <v>7.6544495921416</v>
      </c>
      <c r="Q29" s="16"/>
      <c r="R29" s="16"/>
    </row>
    <row r="30" s="14" customFormat="true" ht="17.25" hidden="false" customHeight="true" outlineLevel="0" collapsed="false">
      <c r="D30" s="16"/>
      <c r="E30" s="16"/>
      <c r="F30" s="16"/>
      <c r="G30" s="16"/>
      <c r="H30" s="16"/>
      <c r="I30" s="16"/>
      <c r="J30" s="16"/>
      <c r="Q30" s="16"/>
      <c r="R30" s="16"/>
    </row>
    <row r="31" s="14" customFormat="true" ht="17.25" hidden="true" customHeight="true" outlineLevel="1" collapsed="false">
      <c r="D31" s="32"/>
      <c r="E31" s="33"/>
      <c r="F31" s="33"/>
      <c r="G31" s="33"/>
      <c r="H31" s="32"/>
      <c r="I31" s="42"/>
      <c r="J31" s="34"/>
      <c r="Q31" s="16"/>
      <c r="R31" s="16"/>
    </row>
    <row r="32" s="14" customFormat="true" ht="17.25" hidden="true" customHeight="true" outlineLevel="1" collapsed="false">
      <c r="D32" s="33"/>
      <c r="E32" s="33"/>
      <c r="F32" s="33"/>
      <c r="G32" s="36"/>
      <c r="H32" s="202"/>
      <c r="I32" s="37"/>
      <c r="J32" s="38"/>
      <c r="Q32" s="16"/>
      <c r="R32" s="16"/>
    </row>
    <row r="33" s="14" customFormat="true" ht="17.25" hidden="true" customHeight="true" outlineLevel="1" collapsed="false">
      <c r="D33" s="33"/>
      <c r="E33" s="33"/>
      <c r="F33" s="33"/>
      <c r="G33" s="36"/>
      <c r="H33" s="33"/>
      <c r="I33" s="37"/>
      <c r="J33" s="39"/>
      <c r="Q33" s="16"/>
      <c r="R33" s="16"/>
    </row>
    <row r="34" s="14" customFormat="true" ht="17.25" hidden="true" customHeight="true" outlineLevel="1" collapsed="false">
      <c r="D34" s="33"/>
      <c r="E34" s="40"/>
      <c r="F34" s="40"/>
      <c r="G34" s="41"/>
      <c r="H34" s="40"/>
      <c r="I34" s="42"/>
      <c r="J34" s="53"/>
      <c r="Q34" s="16"/>
      <c r="R34" s="16"/>
    </row>
    <row r="35" s="14" customFormat="true" ht="17.25" hidden="true" customHeight="true" outlineLevel="1" collapsed="false">
      <c r="D35" s="33"/>
      <c r="E35" s="33"/>
      <c r="F35" s="33"/>
      <c r="G35" s="36"/>
      <c r="H35" s="33"/>
      <c r="I35" s="37"/>
      <c r="J35" s="33"/>
      <c r="Q35" s="16"/>
      <c r="R35" s="16"/>
    </row>
    <row r="36" s="14" customFormat="true" ht="17.25" hidden="true" customHeight="true" outlineLevel="1" collapsed="false">
      <c r="D36" s="32"/>
      <c r="E36" s="33"/>
      <c r="F36" s="33"/>
      <c r="G36" s="36"/>
      <c r="H36" s="32"/>
      <c r="I36" s="32"/>
      <c r="J36" s="34"/>
      <c r="Q36" s="16"/>
      <c r="R36" s="16"/>
    </row>
    <row r="37" s="14" customFormat="true" ht="17.25" hidden="true" customHeight="true" outlineLevel="1" collapsed="false">
      <c r="D37" s="33"/>
      <c r="E37" s="33"/>
      <c r="F37" s="33"/>
      <c r="G37" s="36"/>
      <c r="H37" s="33"/>
      <c r="I37" s="37"/>
      <c r="J37" s="54"/>
      <c r="Q37" s="16"/>
      <c r="R37" s="16"/>
    </row>
    <row r="38" s="14" customFormat="true" ht="17.25" hidden="true" customHeight="true" outlineLevel="1" collapsed="false">
      <c r="D38" s="33"/>
      <c r="E38" s="33"/>
      <c r="F38" s="33"/>
      <c r="G38" s="36"/>
      <c r="H38" s="33"/>
      <c r="I38" s="37"/>
      <c r="J38" s="44"/>
      <c r="Q38" s="16"/>
      <c r="R38" s="16"/>
    </row>
    <row r="39" s="14" customFormat="true" ht="17.25" hidden="true" customHeight="true" outlineLevel="1" collapsed="false">
      <c r="D39" s="33"/>
      <c r="E39" s="40"/>
      <c r="F39" s="40"/>
      <c r="G39" s="41"/>
      <c r="H39" s="40"/>
      <c r="I39" s="42"/>
      <c r="J39" s="53"/>
      <c r="Q39" s="16"/>
      <c r="R39" s="16"/>
    </row>
    <row r="40" s="14" customFormat="true" ht="17.25" hidden="true" customHeight="true" outlineLevel="1" collapsed="false">
      <c r="D40" s="33"/>
      <c r="E40" s="46"/>
      <c r="F40" s="46"/>
      <c r="G40" s="47"/>
      <c r="H40" s="46"/>
      <c r="I40" s="48"/>
      <c r="J40" s="49"/>
      <c r="Q40" s="16"/>
      <c r="R40" s="16"/>
    </row>
    <row r="41" s="14" customFormat="true" ht="17.25" hidden="true" customHeight="true" outlineLevel="1" collapsed="false">
      <c r="D41" s="32"/>
      <c r="E41" s="46"/>
      <c r="F41" s="46"/>
      <c r="G41" s="47"/>
      <c r="H41" s="46"/>
      <c r="I41" s="48"/>
      <c r="J41" s="49"/>
      <c r="Q41" s="16"/>
      <c r="R41" s="16"/>
    </row>
    <row r="42" s="14" customFormat="true" ht="17.25" hidden="true" customHeight="true" outlineLevel="1" collapsed="false">
      <c r="D42" s="32"/>
      <c r="E42" s="33"/>
      <c r="F42" s="46"/>
      <c r="G42" s="36"/>
      <c r="H42" s="46"/>
      <c r="I42" s="37"/>
      <c r="J42" s="52"/>
      <c r="Q42" s="16"/>
      <c r="R42" s="16"/>
    </row>
    <row r="43" s="14" customFormat="true" ht="17.25" hidden="true" customHeight="true" outlineLevel="1" collapsed="false">
      <c r="D43" s="32"/>
      <c r="E43" s="33"/>
      <c r="F43" s="46"/>
      <c r="G43" s="36"/>
      <c r="H43" s="46"/>
      <c r="I43" s="37"/>
      <c r="J43" s="55"/>
      <c r="Q43" s="16"/>
      <c r="R43" s="16"/>
    </row>
    <row r="44" s="14" customFormat="true" ht="17.25" hidden="false" customHeight="true" outlineLevel="0" collapsed="false">
      <c r="E44" s="21"/>
      <c r="F44" s="21"/>
      <c r="G44" s="21"/>
      <c r="H44" s="21"/>
      <c r="I44" s="56"/>
      <c r="J44" s="57"/>
      <c r="Q44" s="16"/>
      <c r="R44" s="16"/>
    </row>
    <row r="45" s="14" customFormat="true" ht="17.25" hidden="true" customHeight="true" outlineLevel="1" collapsed="false">
      <c r="D45" s="32"/>
      <c r="E45" s="33"/>
      <c r="F45" s="33"/>
      <c r="G45" s="33"/>
      <c r="H45" s="32"/>
      <c r="I45" s="32"/>
      <c r="J45" s="34"/>
      <c r="Q45" s="16"/>
      <c r="R45" s="16"/>
    </row>
    <row r="46" s="14" customFormat="true" ht="17.25" hidden="true" customHeight="true" outlineLevel="1" collapsed="false">
      <c r="D46" s="33"/>
      <c r="E46" s="33"/>
      <c r="F46" s="33"/>
      <c r="G46" s="36"/>
      <c r="H46" s="33"/>
      <c r="I46" s="37"/>
      <c r="J46" s="38"/>
      <c r="Q46" s="16"/>
      <c r="R46" s="16"/>
    </row>
    <row r="47" s="14" customFormat="true" ht="17.25" hidden="true" customHeight="true" outlineLevel="1" collapsed="false">
      <c r="D47" s="33"/>
      <c r="E47" s="33"/>
      <c r="F47" s="33"/>
      <c r="G47" s="36"/>
      <c r="H47" s="33"/>
      <c r="I47" s="37"/>
      <c r="J47" s="39"/>
      <c r="Q47" s="16"/>
      <c r="R47" s="16"/>
    </row>
    <row r="48" s="14" customFormat="true" ht="17.25" hidden="true" customHeight="true" outlineLevel="1" collapsed="false">
      <c r="D48" s="33"/>
      <c r="E48" s="40"/>
      <c r="F48" s="40"/>
      <c r="G48" s="41"/>
      <c r="H48" s="40"/>
      <c r="I48" s="42"/>
      <c r="J48" s="53"/>
      <c r="Q48" s="16"/>
      <c r="R48" s="16"/>
    </row>
    <row r="49" s="14" customFormat="true" ht="17.25" hidden="true" customHeight="true" outlineLevel="1" collapsed="false">
      <c r="D49" s="33"/>
      <c r="E49" s="33"/>
      <c r="F49" s="33"/>
      <c r="G49" s="36"/>
      <c r="H49" s="33"/>
      <c r="I49" s="37"/>
      <c r="J49" s="33"/>
      <c r="Q49" s="16"/>
      <c r="R49" s="16"/>
    </row>
    <row r="50" s="14" customFormat="true" ht="17.25" hidden="true" customHeight="true" outlineLevel="1" collapsed="false">
      <c r="D50" s="32"/>
      <c r="E50" s="33"/>
      <c r="F50" s="33"/>
      <c r="G50" s="36"/>
      <c r="H50" s="32"/>
      <c r="I50" s="32"/>
      <c r="J50" s="34"/>
      <c r="Q50" s="16"/>
      <c r="R50" s="16"/>
    </row>
    <row r="51" s="14" customFormat="true" ht="17.25" hidden="true" customHeight="true" outlineLevel="1" collapsed="false">
      <c r="D51" s="33"/>
      <c r="E51" s="33"/>
      <c r="F51" s="33"/>
      <c r="G51" s="36"/>
      <c r="H51" s="33"/>
      <c r="I51" s="37"/>
      <c r="J51" s="54"/>
      <c r="Q51" s="16"/>
      <c r="R51" s="16"/>
    </row>
    <row r="52" s="14" customFormat="true" ht="17.25" hidden="true" customHeight="true" outlineLevel="1" collapsed="false">
      <c r="D52" s="33"/>
      <c r="E52" s="33"/>
      <c r="F52" s="33"/>
      <c r="G52" s="36"/>
      <c r="H52" s="33"/>
      <c r="I52" s="37"/>
      <c r="J52" s="44"/>
      <c r="Q52" s="16"/>
      <c r="R52" s="16"/>
    </row>
    <row r="53" s="14" customFormat="true" ht="17.25" hidden="true" customHeight="true" outlineLevel="1" collapsed="false">
      <c r="D53" s="33"/>
      <c r="E53" s="40"/>
      <c r="F53" s="40"/>
      <c r="G53" s="41"/>
      <c r="H53" s="40"/>
      <c r="I53" s="42"/>
      <c r="J53" s="53"/>
      <c r="Q53" s="16"/>
      <c r="R53" s="16"/>
    </row>
    <row r="54" s="14" customFormat="true" ht="17.25" hidden="true" customHeight="true" outlineLevel="1" collapsed="false">
      <c r="D54" s="33"/>
      <c r="E54" s="46"/>
      <c r="F54" s="46"/>
      <c r="G54" s="47"/>
      <c r="H54" s="46"/>
      <c r="I54" s="48"/>
      <c r="J54" s="49"/>
      <c r="Q54" s="16"/>
      <c r="R54" s="16"/>
    </row>
    <row r="55" s="14" customFormat="true" ht="17.25" hidden="true" customHeight="true" outlineLevel="1" collapsed="false">
      <c r="D55" s="32"/>
      <c r="E55" s="46"/>
      <c r="F55" s="46"/>
      <c r="G55" s="47"/>
      <c r="H55" s="46"/>
      <c r="I55" s="48"/>
      <c r="J55" s="49"/>
      <c r="Q55" s="16"/>
      <c r="R55" s="16"/>
    </row>
    <row r="56" s="14" customFormat="true" ht="17.25" hidden="true" customHeight="true" outlineLevel="1" collapsed="false">
      <c r="D56" s="32"/>
      <c r="E56" s="33"/>
      <c r="F56" s="46"/>
      <c r="G56" s="36"/>
      <c r="H56" s="46"/>
      <c r="I56" s="37"/>
      <c r="J56" s="52"/>
      <c r="Q56" s="16"/>
      <c r="R56" s="16"/>
    </row>
    <row r="57" s="14" customFormat="true" ht="17.25" hidden="true" customHeight="true" outlineLevel="1" collapsed="false">
      <c r="D57" s="32"/>
      <c r="E57" s="33"/>
      <c r="F57" s="46"/>
      <c r="G57" s="36"/>
      <c r="H57" s="46"/>
      <c r="I57" s="37"/>
      <c r="J57" s="55"/>
      <c r="Q57" s="16"/>
      <c r="R57" s="16"/>
    </row>
    <row r="58" s="14" customFormat="true" ht="17.25" hidden="true" customHeight="true" outlineLevel="1" collapsed="false">
      <c r="E58" s="21"/>
      <c r="F58" s="21"/>
      <c r="G58" s="21"/>
      <c r="H58" s="21"/>
      <c r="I58" s="56"/>
      <c r="J58" s="57"/>
      <c r="Q58" s="16"/>
      <c r="R58" s="16"/>
    </row>
    <row r="59" s="14" customFormat="true" ht="16.5" hidden="true" customHeight="true" outlineLevel="1" collapsed="false">
      <c r="H59" s="58"/>
      <c r="Q59" s="16"/>
      <c r="R59" s="16"/>
    </row>
    <row r="60" s="14" customFormat="true" ht="16.5" hidden="false" customHeight="true" outlineLevel="0" collapsed="false">
      <c r="C60" s="19" t="s">
        <v>126</v>
      </c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20"/>
      <c r="R60" s="20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C60" s="19" t="s">
        <v>127</v>
      </c>
      <c r="CD60" s="19"/>
      <c r="CE60" s="19"/>
      <c r="CF60" s="19"/>
      <c r="CG60" s="19"/>
      <c r="CI60" s="19" t="s">
        <v>128</v>
      </c>
      <c r="CJ60" s="19"/>
      <c r="CK60" s="19"/>
      <c r="CL60" s="19"/>
      <c r="CM60" s="19"/>
    </row>
    <row r="61" s="14" customFormat="true" ht="16.5" hidden="false" customHeight="true" outlineLevel="0" collapsed="false">
      <c r="Q61" s="16"/>
    </row>
    <row r="62" s="14" customFormat="true" ht="16.5" hidden="false" customHeight="true" outlineLevel="0" collapsed="false">
      <c r="Q62" s="16"/>
      <c r="R62" s="16"/>
      <c r="T62" s="62" t="n">
        <v>2026</v>
      </c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62" t="n">
        <v>2027</v>
      </c>
      <c r="AG62" s="129"/>
      <c r="AH62" s="129"/>
      <c r="AI62" s="129"/>
      <c r="AJ62" s="129"/>
      <c r="AK62" s="129"/>
      <c r="AL62" s="129"/>
      <c r="AM62" s="129"/>
      <c r="AN62" s="129"/>
      <c r="AO62" s="129"/>
      <c r="AP62" s="129"/>
      <c r="AQ62" s="129"/>
      <c r="AR62" s="62" t="n">
        <v>2028</v>
      </c>
      <c r="AS62" s="129"/>
      <c r="AT62" s="129"/>
      <c r="AU62" s="129"/>
      <c r="AV62" s="129"/>
      <c r="AW62" s="129"/>
      <c r="AX62" s="129"/>
      <c r="AY62" s="129"/>
      <c r="AZ62" s="129"/>
      <c r="BA62" s="129"/>
      <c r="BB62" s="129"/>
      <c r="BC62" s="129"/>
      <c r="BD62" s="62" t="n">
        <v>2029</v>
      </c>
      <c r="BE62" s="129"/>
      <c r="BF62" s="129"/>
      <c r="BG62" s="129"/>
      <c r="BH62" s="129"/>
      <c r="BI62" s="129"/>
      <c r="BJ62" s="129"/>
      <c r="BK62" s="129"/>
      <c r="BL62" s="129"/>
      <c r="BM62" s="129"/>
      <c r="BN62" s="129"/>
      <c r="BO62" s="129"/>
      <c r="BP62" s="62" t="n">
        <v>2030</v>
      </c>
      <c r="BQ62" s="130"/>
      <c r="BR62" s="130"/>
      <c r="BS62" s="130"/>
      <c r="BT62" s="130"/>
      <c r="BU62" s="130"/>
      <c r="BV62" s="130"/>
      <c r="BW62" s="130"/>
      <c r="BX62" s="130"/>
      <c r="BY62" s="130"/>
      <c r="BZ62" s="130"/>
      <c r="CA62" s="130"/>
      <c r="CC62" s="211"/>
      <c r="CD62" s="130"/>
      <c r="CE62" s="130"/>
      <c r="CF62" s="130"/>
      <c r="CG62" s="130"/>
      <c r="CI62" s="211" t="s">
        <v>426</v>
      </c>
      <c r="CJ62" s="211"/>
      <c r="CK62" s="211"/>
      <c r="CL62" s="211"/>
      <c r="CM62" s="211"/>
    </row>
    <row r="63" s="14" customFormat="true" ht="16.5" hidden="false" customHeight="true" outlineLevel="0" collapsed="false">
      <c r="D63" s="30" t="s">
        <v>129</v>
      </c>
      <c r="E63" s="31"/>
      <c r="F63" s="31"/>
      <c r="G63" s="31"/>
      <c r="H63" s="30" t="s">
        <v>130</v>
      </c>
      <c r="I63" s="31" t="s">
        <v>77</v>
      </c>
      <c r="J63" s="31" t="s">
        <v>104</v>
      </c>
      <c r="K63" s="31" t="s">
        <v>131</v>
      </c>
      <c r="L63" s="31" t="n">
        <v>2026</v>
      </c>
      <c r="M63" s="31" t="n">
        <f aca="false">L63+1</f>
        <v>2027</v>
      </c>
      <c r="N63" s="31" t="n">
        <f aca="false">M63+1</f>
        <v>2028</v>
      </c>
      <c r="O63" s="31" t="n">
        <f aca="false">N63+1</f>
        <v>2029</v>
      </c>
      <c r="P63" s="31" t="n">
        <f aca="false">O63+1</f>
        <v>2030</v>
      </c>
      <c r="Q63" s="31" t="s">
        <v>132</v>
      </c>
      <c r="R63" s="31" t="s">
        <v>75</v>
      </c>
      <c r="T63" s="59" t="n">
        <v>46023</v>
      </c>
      <c r="U63" s="60" t="n">
        <f aca="false">EOMONTH(T63, 1)</f>
        <v>46081</v>
      </c>
      <c r="V63" s="60" t="n">
        <f aca="false">EOMONTH(U63, 1)</f>
        <v>46112</v>
      </c>
      <c r="W63" s="60" t="n">
        <f aca="false">EOMONTH(V63, 1)</f>
        <v>46142</v>
      </c>
      <c r="X63" s="60" t="n">
        <f aca="false">EOMONTH(W63, 1)</f>
        <v>46173</v>
      </c>
      <c r="Y63" s="60" t="n">
        <f aca="false">EOMONTH(X63, 1)</f>
        <v>46203</v>
      </c>
      <c r="Z63" s="60" t="n">
        <f aca="false">EOMONTH(Y63, 1)</f>
        <v>46234</v>
      </c>
      <c r="AA63" s="60" t="n">
        <f aca="false">EOMONTH(Z63, 1)</f>
        <v>46265</v>
      </c>
      <c r="AB63" s="60" t="n">
        <f aca="false">EOMONTH(AA63, 1)</f>
        <v>46295</v>
      </c>
      <c r="AC63" s="60" t="n">
        <f aca="false">EOMONTH(AB63, 1)</f>
        <v>46326</v>
      </c>
      <c r="AD63" s="60" t="n">
        <f aca="false">EOMONTH(AC63, 1)</f>
        <v>46356</v>
      </c>
      <c r="AE63" s="61" t="n">
        <f aca="false">EOMONTH(AD63, 1)</f>
        <v>46387</v>
      </c>
      <c r="AF63" s="59" t="n">
        <f aca="false">EOMONTH(AE63, 1)</f>
        <v>46418</v>
      </c>
      <c r="AG63" s="60" t="n">
        <f aca="false">EOMONTH(AF63, 1)</f>
        <v>46446</v>
      </c>
      <c r="AH63" s="60" t="n">
        <f aca="false">EOMONTH(AG63, 1)</f>
        <v>46477</v>
      </c>
      <c r="AI63" s="60" t="n">
        <f aca="false">EOMONTH(AH63, 1)</f>
        <v>46507</v>
      </c>
      <c r="AJ63" s="60" t="n">
        <f aca="false">EOMONTH(AI63, 1)</f>
        <v>46538</v>
      </c>
      <c r="AK63" s="60" t="n">
        <f aca="false">EOMONTH(AJ63, 1)</f>
        <v>46568</v>
      </c>
      <c r="AL63" s="60" t="n">
        <f aca="false">EOMONTH(AK63, 1)</f>
        <v>46599</v>
      </c>
      <c r="AM63" s="60" t="n">
        <f aca="false">EOMONTH(AL63, 1)</f>
        <v>46630</v>
      </c>
      <c r="AN63" s="60" t="n">
        <f aca="false">EOMONTH(AM63, 1)</f>
        <v>46660</v>
      </c>
      <c r="AO63" s="60" t="n">
        <f aca="false">EOMONTH(AN63, 1)</f>
        <v>46691</v>
      </c>
      <c r="AP63" s="60" t="n">
        <f aca="false">EOMONTH(AO63, 1)</f>
        <v>46721</v>
      </c>
      <c r="AQ63" s="61" t="n">
        <f aca="false">EOMONTH(AP63, 1)</f>
        <v>46752</v>
      </c>
      <c r="AR63" s="59" t="n">
        <f aca="false">EOMONTH(AQ63, 1)</f>
        <v>46783</v>
      </c>
      <c r="AS63" s="60" t="n">
        <f aca="false">EOMONTH(AR63, 1)</f>
        <v>46812</v>
      </c>
      <c r="AT63" s="60" t="n">
        <f aca="false">EOMONTH(AS63, 1)</f>
        <v>46843</v>
      </c>
      <c r="AU63" s="60" t="n">
        <f aca="false">EOMONTH(AT63, 1)</f>
        <v>46873</v>
      </c>
      <c r="AV63" s="60" t="n">
        <f aca="false">EOMONTH(AU63, 1)</f>
        <v>46904</v>
      </c>
      <c r="AW63" s="60" t="n">
        <f aca="false">EOMONTH(AV63, 1)</f>
        <v>46934</v>
      </c>
      <c r="AX63" s="60" t="n">
        <f aca="false">EOMONTH(AW63, 1)</f>
        <v>46965</v>
      </c>
      <c r="AY63" s="60" t="n">
        <f aca="false">EOMONTH(AX63, 1)</f>
        <v>46996</v>
      </c>
      <c r="AZ63" s="60" t="n">
        <f aca="false">EOMONTH(AY63, 1)</f>
        <v>47026</v>
      </c>
      <c r="BA63" s="60" t="n">
        <f aca="false">EOMONTH(AZ63, 1)</f>
        <v>47057</v>
      </c>
      <c r="BB63" s="60" t="n">
        <f aca="false">EOMONTH(BA63, 1)</f>
        <v>47087</v>
      </c>
      <c r="BC63" s="61" t="n">
        <f aca="false">EOMONTH(BB63, 1)</f>
        <v>47118</v>
      </c>
      <c r="BD63" s="59" t="n">
        <f aca="false">EOMONTH(BC63, 1)</f>
        <v>47149</v>
      </c>
      <c r="BE63" s="60" t="n">
        <f aca="false">EOMONTH(BD63, 1)</f>
        <v>47177</v>
      </c>
      <c r="BF63" s="60" t="n">
        <f aca="false">EOMONTH(BE63, 1)</f>
        <v>47208</v>
      </c>
      <c r="BG63" s="60" t="n">
        <f aca="false">EOMONTH(BF63, 1)</f>
        <v>47238</v>
      </c>
      <c r="BH63" s="60" t="n">
        <f aca="false">EOMONTH(BG63, 1)</f>
        <v>47269</v>
      </c>
      <c r="BI63" s="60" t="n">
        <f aca="false">EOMONTH(BH63, 1)</f>
        <v>47299</v>
      </c>
      <c r="BJ63" s="60" t="n">
        <f aca="false">EOMONTH(BI63, 1)</f>
        <v>47330</v>
      </c>
      <c r="BK63" s="60" t="n">
        <f aca="false">EOMONTH(BJ63, 1)</f>
        <v>47361</v>
      </c>
      <c r="BL63" s="60" t="n">
        <f aca="false">EOMONTH(BK63, 1)</f>
        <v>47391</v>
      </c>
      <c r="BM63" s="60" t="n">
        <f aca="false">EOMONTH(BL63, 1)</f>
        <v>47422</v>
      </c>
      <c r="BN63" s="60" t="n">
        <f aca="false">EOMONTH(BM63, 1)</f>
        <v>47452</v>
      </c>
      <c r="BO63" s="61" t="n">
        <f aca="false">EOMONTH(BN63, 1)</f>
        <v>47483</v>
      </c>
      <c r="BP63" s="59" t="n">
        <f aca="false">EOMONTH(BO63, 1)</f>
        <v>47514</v>
      </c>
      <c r="BQ63" s="60" t="n">
        <f aca="false">EOMONTH(BP63, 1)</f>
        <v>47542</v>
      </c>
      <c r="BR63" s="60" t="n">
        <f aca="false">EOMONTH(BQ63, 1)</f>
        <v>47573</v>
      </c>
      <c r="BS63" s="60" t="n">
        <f aca="false">EOMONTH(BR63, 1)</f>
        <v>47603</v>
      </c>
      <c r="BT63" s="60" t="n">
        <f aca="false">EOMONTH(BS63, 1)</f>
        <v>47634</v>
      </c>
      <c r="BU63" s="60" t="n">
        <f aca="false">EOMONTH(BT63, 1)</f>
        <v>47664</v>
      </c>
      <c r="BV63" s="60" t="n">
        <f aca="false">EOMONTH(BU63, 1)</f>
        <v>47695</v>
      </c>
      <c r="BW63" s="60" t="n">
        <f aca="false">EOMONTH(BV63, 1)</f>
        <v>47726</v>
      </c>
      <c r="BX63" s="60" t="n">
        <f aca="false">EOMONTH(BW63, 1)</f>
        <v>47756</v>
      </c>
      <c r="BY63" s="60" t="n">
        <f aca="false">EOMONTH(BX63, 1)</f>
        <v>47787</v>
      </c>
      <c r="BZ63" s="60" t="n">
        <f aca="false">EOMONTH(BY63, 1)</f>
        <v>47817</v>
      </c>
      <c r="CA63" s="60" t="n">
        <f aca="false">EOMONTH(BZ63, 1)</f>
        <v>47848</v>
      </c>
      <c r="CC63" s="62" t="n">
        <v>2026</v>
      </c>
      <c r="CD63" s="62" t="n">
        <f aca="false">CC63+1</f>
        <v>2027</v>
      </c>
      <c r="CE63" s="62" t="n">
        <f aca="false">CD63+1</f>
        <v>2028</v>
      </c>
      <c r="CF63" s="62" t="n">
        <f aca="false">CE63+1</f>
        <v>2029</v>
      </c>
      <c r="CG63" s="62" t="n">
        <f aca="false">CF63+1</f>
        <v>2030</v>
      </c>
      <c r="CI63" s="62" t="n">
        <v>2026</v>
      </c>
      <c r="CJ63" s="62" t="n">
        <f aca="false">CI63+1</f>
        <v>2027</v>
      </c>
      <c r="CK63" s="62" t="n">
        <f aca="false">CJ63+1</f>
        <v>2028</v>
      </c>
      <c r="CL63" s="62" t="n">
        <f aca="false">CK63+1</f>
        <v>2029</v>
      </c>
      <c r="CM63" s="62" t="n">
        <f aca="false">CL63+1</f>
        <v>2030</v>
      </c>
    </row>
    <row r="64" s="14" customFormat="true" ht="16.5" hidden="false" customHeight="true" outlineLevel="0" collapsed="false">
      <c r="D64" s="63"/>
      <c r="E64" s="64" t="s">
        <v>102</v>
      </c>
      <c r="H64" s="16"/>
      <c r="I64" s="65" t="str">
        <f aca="false">$H$18</f>
        <v>Post-upstream levers (S2 waterfall)</v>
      </c>
      <c r="J64" s="65" t="s">
        <v>134</v>
      </c>
      <c r="K64" s="65" t="s">
        <v>135</v>
      </c>
      <c r="L64" s="66"/>
      <c r="M64" s="66"/>
      <c r="N64" s="66"/>
      <c r="O64" s="66"/>
      <c r="P64" s="66"/>
      <c r="Q64" s="16"/>
      <c r="R64" s="1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7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7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7"/>
      <c r="BE64" s="66"/>
      <c r="BF64" s="66"/>
      <c r="BG64" s="66"/>
      <c r="BH64" s="66"/>
      <c r="BI64" s="66"/>
      <c r="BJ64" s="66"/>
      <c r="BK64" s="66"/>
      <c r="BL64" s="66"/>
      <c r="BM64" s="66"/>
      <c r="BN64" s="66"/>
      <c r="BO64" s="66"/>
      <c r="BP64" s="67"/>
      <c r="BQ64" s="66"/>
      <c r="BR64" s="66"/>
      <c r="BS64" s="66"/>
      <c r="BT64" s="66"/>
      <c r="BU64" s="66"/>
      <c r="BV64" s="66"/>
      <c r="BW64" s="66"/>
      <c r="BX64" s="66"/>
      <c r="BY64" s="66"/>
      <c r="BZ64" s="66"/>
      <c r="CA64" s="66"/>
    </row>
    <row r="65" s="14" customFormat="true" ht="16.5" hidden="false" customHeight="true" outlineLevel="0" collapsed="false">
      <c r="E65" s="68" t="s">
        <v>136</v>
      </c>
      <c r="F65" s="21"/>
      <c r="G65" s="21"/>
      <c r="H65" s="16"/>
      <c r="I65" s="65"/>
      <c r="J65" s="65"/>
      <c r="K65" s="65"/>
      <c r="Q65" s="16"/>
      <c r="R65" s="16"/>
      <c r="AF65" s="69"/>
      <c r="AR65" s="69"/>
      <c r="BD65" s="69"/>
      <c r="BP65" s="69"/>
    </row>
    <row r="66" s="14" customFormat="true" ht="16.5" hidden="false" customHeight="true" outlineLevel="0" collapsed="false">
      <c r="E66" s="70"/>
      <c r="H66" s="71"/>
      <c r="I66" s="76" t="n">
        <v>0</v>
      </c>
      <c r="J66" s="76" t="n">
        <v>0</v>
      </c>
      <c r="K66" s="212" t="n">
        <f aca="false">J66-I66</f>
        <v>0</v>
      </c>
      <c r="L66" s="76"/>
      <c r="M66" s="76"/>
      <c r="N66" s="76"/>
      <c r="O66" s="76"/>
      <c r="P66" s="77"/>
      <c r="Q66" s="75"/>
      <c r="R66" s="16" t="str">
        <f aca="false">IF(K66=P66, "", "Error")</f>
        <v/>
      </c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7"/>
      <c r="AF66" s="78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7"/>
      <c r="AR66" s="78"/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7"/>
      <c r="BD66" s="78"/>
      <c r="BE66" s="76"/>
      <c r="BF66" s="76"/>
      <c r="BG66" s="76"/>
      <c r="BH66" s="76"/>
      <c r="BI66" s="76"/>
      <c r="BJ66" s="76"/>
      <c r="BK66" s="76"/>
      <c r="BL66" s="76"/>
      <c r="BM66" s="76"/>
      <c r="BN66" s="76"/>
      <c r="BO66" s="77"/>
      <c r="BP66" s="78"/>
      <c r="BQ66" s="76"/>
      <c r="BR66" s="76"/>
      <c r="BS66" s="76"/>
      <c r="BT66" s="76"/>
      <c r="BU66" s="76"/>
      <c r="BV66" s="76"/>
      <c r="BW66" s="76"/>
      <c r="BX66" s="76"/>
      <c r="BY66" s="76"/>
      <c r="BZ66" s="76"/>
      <c r="CA66" s="76"/>
      <c r="CC66" s="79" t="n">
        <f aca="false">SUMIFS($T66:$CA66, $T$1:$CA$1, CC$63)</f>
        <v>0</v>
      </c>
      <c r="CD66" s="79" t="n">
        <f aca="false">SUMIFS($T66:$CA66, $T$1:$CA$1, CD$63)</f>
        <v>0</v>
      </c>
      <c r="CE66" s="79" t="n">
        <f aca="false">SUMIFS($T66:$CA66, $T$1:$CA$1, CE$63)</f>
        <v>0</v>
      </c>
      <c r="CF66" s="79" t="n">
        <f aca="false">SUMIFS($T66:$CA66, $T$1:$CA$1, CF$63)</f>
        <v>0</v>
      </c>
      <c r="CG66" s="79" t="n">
        <f aca="false">SUMIFS($T66:$CA66, $T$1:$CA$1, CG$63)</f>
        <v>0</v>
      </c>
      <c r="CI66" s="79" t="n">
        <f aca="false">CC66=L66</f>
        <v>1</v>
      </c>
      <c r="CJ66" s="79" t="n">
        <f aca="false">CD66=M66</f>
        <v>1</v>
      </c>
      <c r="CK66" s="79" t="n">
        <f aca="false">CE66=N66</f>
        <v>1</v>
      </c>
      <c r="CL66" s="79" t="n">
        <f aca="false">CF66=O66</f>
        <v>1</v>
      </c>
      <c r="CM66" s="79" t="n">
        <f aca="false">CG66=P66</f>
        <v>1</v>
      </c>
    </row>
    <row r="67" s="14" customFormat="true" ht="16.5" hidden="false" customHeight="true" outlineLevel="0" collapsed="false">
      <c r="E67" s="70"/>
      <c r="H67" s="71"/>
      <c r="I67" s="76" t="n">
        <v>0</v>
      </c>
      <c r="J67" s="76" t="n">
        <v>0</v>
      </c>
      <c r="K67" s="212" t="n">
        <f aca="false">J67-I67</f>
        <v>0</v>
      </c>
      <c r="L67" s="76"/>
      <c r="M67" s="76"/>
      <c r="N67" s="76"/>
      <c r="O67" s="76"/>
      <c r="P67" s="77"/>
      <c r="Q67" s="75"/>
      <c r="R67" s="16" t="str">
        <f aca="false">IF(K67=P67, "", "Error")</f>
        <v/>
      </c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7"/>
      <c r="AF67" s="78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7"/>
      <c r="AR67" s="78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7"/>
      <c r="BD67" s="78"/>
      <c r="BE67" s="76"/>
      <c r="BF67" s="76"/>
      <c r="BG67" s="76"/>
      <c r="BH67" s="76"/>
      <c r="BI67" s="76"/>
      <c r="BJ67" s="76"/>
      <c r="BK67" s="76"/>
      <c r="BL67" s="76"/>
      <c r="BM67" s="76"/>
      <c r="BN67" s="76"/>
      <c r="BO67" s="77"/>
      <c r="BP67" s="78"/>
      <c r="BQ67" s="76"/>
      <c r="BR67" s="76"/>
      <c r="BS67" s="76"/>
      <c r="BT67" s="76"/>
      <c r="BU67" s="76"/>
      <c r="BV67" s="76"/>
      <c r="BW67" s="76"/>
      <c r="BX67" s="76"/>
      <c r="BY67" s="76"/>
      <c r="BZ67" s="76"/>
      <c r="CA67" s="76"/>
      <c r="CC67" s="79" t="n">
        <f aca="false">SUMIFS($T67:$CA67, $T$1:$CA$1, CC$63)</f>
        <v>0</v>
      </c>
      <c r="CD67" s="79" t="n">
        <f aca="false">SUMIFS($T67:$CA67, $T$1:$CA$1, CD$63)</f>
        <v>0</v>
      </c>
      <c r="CE67" s="79" t="n">
        <f aca="false">SUMIFS($T67:$CA67, $T$1:$CA$1, CE$63)</f>
        <v>0</v>
      </c>
      <c r="CF67" s="79" t="n">
        <f aca="false">SUMIFS($T67:$CA67, $T$1:$CA$1, CF$63)</f>
        <v>0</v>
      </c>
      <c r="CG67" s="79" t="n">
        <f aca="false">SUMIFS($T67:$CA67, $T$1:$CA$1, CG$63)</f>
        <v>0</v>
      </c>
      <c r="CI67" s="79" t="n">
        <f aca="false">CC67=L67</f>
        <v>1</v>
      </c>
      <c r="CJ67" s="79" t="n">
        <f aca="false">CD67=M67</f>
        <v>1</v>
      </c>
      <c r="CK67" s="79" t="n">
        <f aca="false">CE67=N67</f>
        <v>1</v>
      </c>
      <c r="CL67" s="79" t="n">
        <f aca="false">CF67=O67</f>
        <v>1</v>
      </c>
      <c r="CM67" s="79" t="n">
        <f aca="false">CG67=P67</f>
        <v>1</v>
      </c>
    </row>
    <row r="68" s="14" customFormat="true" ht="16.5" hidden="false" customHeight="true" outlineLevel="0" collapsed="false">
      <c r="E68" s="80" t="s">
        <v>137</v>
      </c>
      <c r="H68" s="71"/>
      <c r="I68" s="82" t="n">
        <f aca="false">SUM(I66:I67)</f>
        <v>0</v>
      </c>
      <c r="J68" s="82" t="n">
        <f aca="false">SUM(J66:J67)</f>
        <v>0</v>
      </c>
      <c r="K68" s="82" t="n">
        <f aca="false">SUM(K66:K67)</f>
        <v>0</v>
      </c>
      <c r="L68" s="82" t="n">
        <f aca="false">SUM(L66:L67)</f>
        <v>0</v>
      </c>
      <c r="M68" s="82" t="n">
        <f aca="false">SUM(M66:M67)</f>
        <v>0</v>
      </c>
      <c r="N68" s="82" t="n">
        <f aca="false">SUM(N66:N67)</f>
        <v>0</v>
      </c>
      <c r="O68" s="82" t="n">
        <f aca="false">SUM(O66:O67)</f>
        <v>0</v>
      </c>
      <c r="P68" s="82" t="n">
        <f aca="false">SUM(P66:P67)</f>
        <v>0</v>
      </c>
      <c r="Q68" s="16"/>
      <c r="R68" s="16"/>
      <c r="T68" s="82" t="n">
        <f aca="false">SUM(T66:T67)</f>
        <v>0</v>
      </c>
      <c r="U68" s="82" t="n">
        <f aca="false">SUM(U66:U67)</f>
        <v>0</v>
      </c>
      <c r="V68" s="82" t="n">
        <f aca="false">SUM(V66:V67)</f>
        <v>0</v>
      </c>
      <c r="W68" s="82" t="n">
        <f aca="false">SUM(W66:W67)</f>
        <v>0</v>
      </c>
      <c r="X68" s="82" t="n">
        <f aca="false">SUM(X66:X67)</f>
        <v>0</v>
      </c>
      <c r="Y68" s="82" t="n">
        <f aca="false">SUM(Y66:Y67)</f>
        <v>0</v>
      </c>
      <c r="Z68" s="82" t="n">
        <f aca="false">SUM(Z66:Z67)</f>
        <v>0</v>
      </c>
      <c r="AA68" s="82" t="n">
        <f aca="false">SUM(AA66:AA67)</f>
        <v>0</v>
      </c>
      <c r="AB68" s="82" t="n">
        <f aca="false">SUM(AB66:AB67)</f>
        <v>0</v>
      </c>
      <c r="AC68" s="82" t="n">
        <f aca="false">SUM(AC66:AC67)</f>
        <v>0</v>
      </c>
      <c r="AD68" s="82" t="n">
        <f aca="false">SUM(AD66:AD67)</f>
        <v>0</v>
      </c>
      <c r="AE68" s="82" t="n">
        <f aca="false">SUM(AE66:AE67)</f>
        <v>0</v>
      </c>
      <c r="AF68" s="83" t="n">
        <f aca="false">SUM(AF66:AF67)</f>
        <v>0</v>
      </c>
      <c r="AG68" s="82" t="n">
        <f aca="false">SUM(AG66:AG67)</f>
        <v>0</v>
      </c>
      <c r="AH68" s="82" t="n">
        <f aca="false">SUM(AH66:AH67)</f>
        <v>0</v>
      </c>
      <c r="AI68" s="82" t="n">
        <f aca="false">SUM(AI66:AI67)</f>
        <v>0</v>
      </c>
      <c r="AJ68" s="82" t="n">
        <f aca="false">SUM(AJ66:AJ67)</f>
        <v>0</v>
      </c>
      <c r="AK68" s="82" t="n">
        <f aca="false">SUM(AK66:AK67)</f>
        <v>0</v>
      </c>
      <c r="AL68" s="82" t="n">
        <f aca="false">SUM(AL66:AL67)</f>
        <v>0</v>
      </c>
      <c r="AM68" s="82" t="n">
        <f aca="false">SUM(AM66:AM67)</f>
        <v>0</v>
      </c>
      <c r="AN68" s="82" t="n">
        <f aca="false">SUM(AN66:AN67)</f>
        <v>0</v>
      </c>
      <c r="AO68" s="82" t="n">
        <f aca="false">SUM(AO66:AO67)</f>
        <v>0</v>
      </c>
      <c r="AP68" s="82" t="n">
        <f aca="false">SUM(AP66:AP67)</f>
        <v>0</v>
      </c>
      <c r="AQ68" s="82" t="n">
        <f aca="false">SUM(AQ66:AQ67)</f>
        <v>0</v>
      </c>
      <c r="AR68" s="83" t="n">
        <f aca="false">SUM(AR66:AR67)</f>
        <v>0</v>
      </c>
      <c r="AS68" s="82" t="n">
        <f aca="false">SUM(AS66:AS67)</f>
        <v>0</v>
      </c>
      <c r="AT68" s="82" t="n">
        <f aca="false">SUM(AT66:AT67)</f>
        <v>0</v>
      </c>
      <c r="AU68" s="82" t="n">
        <f aca="false">SUM(AU66:AU67)</f>
        <v>0</v>
      </c>
      <c r="AV68" s="82" t="n">
        <f aca="false">SUM(AV66:AV67)</f>
        <v>0</v>
      </c>
      <c r="AW68" s="82" t="n">
        <f aca="false">SUM(AW66:AW67)</f>
        <v>0</v>
      </c>
      <c r="AX68" s="82" t="n">
        <f aca="false">SUM(AX66:AX67)</f>
        <v>0</v>
      </c>
      <c r="AY68" s="82" t="n">
        <f aca="false">SUM(AY66:AY67)</f>
        <v>0</v>
      </c>
      <c r="AZ68" s="82" t="n">
        <f aca="false">SUM(AZ66:AZ67)</f>
        <v>0</v>
      </c>
      <c r="BA68" s="82" t="n">
        <f aca="false">SUM(BA66:BA67)</f>
        <v>0</v>
      </c>
      <c r="BB68" s="82" t="n">
        <f aca="false">SUM(BB66:BB67)</f>
        <v>0</v>
      </c>
      <c r="BC68" s="82" t="n">
        <f aca="false">SUM(BC66:BC67)</f>
        <v>0</v>
      </c>
      <c r="BD68" s="83" t="n">
        <f aca="false">SUM(BD66:BD67)</f>
        <v>0</v>
      </c>
      <c r="BE68" s="82" t="n">
        <f aca="false">SUM(BE66:BE67)</f>
        <v>0</v>
      </c>
      <c r="BF68" s="82" t="n">
        <f aca="false">SUM(BF66:BF67)</f>
        <v>0</v>
      </c>
      <c r="BG68" s="82" t="n">
        <f aca="false">SUM(BG66:BG67)</f>
        <v>0</v>
      </c>
      <c r="BH68" s="82" t="n">
        <f aca="false">SUM(BH66:BH67)</f>
        <v>0</v>
      </c>
      <c r="BI68" s="82" t="n">
        <f aca="false">SUM(BI66:BI67)</f>
        <v>0</v>
      </c>
      <c r="BJ68" s="82" t="n">
        <f aca="false">SUM(BJ66:BJ67)</f>
        <v>0</v>
      </c>
      <c r="BK68" s="82" t="n">
        <f aca="false">SUM(BK66:BK67)</f>
        <v>0</v>
      </c>
      <c r="BL68" s="82" t="n">
        <f aca="false">SUM(BL66:BL67)</f>
        <v>0</v>
      </c>
      <c r="BM68" s="82" t="n">
        <f aca="false">SUM(BM66:BM67)</f>
        <v>0</v>
      </c>
      <c r="BN68" s="82" t="n">
        <f aca="false">SUM(BN66:BN67)</f>
        <v>0</v>
      </c>
      <c r="BO68" s="82" t="n">
        <f aca="false">SUM(BO66:BO67)</f>
        <v>0</v>
      </c>
      <c r="BP68" s="83" t="n">
        <f aca="false">SUM(BP66:BP67)</f>
        <v>0</v>
      </c>
      <c r="BQ68" s="82" t="n">
        <f aca="false">SUM(BQ66:BQ67)</f>
        <v>0</v>
      </c>
      <c r="BR68" s="82" t="n">
        <f aca="false">SUM(BR66:BR67)</f>
        <v>0</v>
      </c>
      <c r="BS68" s="82" t="n">
        <f aca="false">SUM(BS66:BS67)</f>
        <v>0</v>
      </c>
      <c r="BT68" s="82" t="n">
        <f aca="false">SUM(BT66:BT67)</f>
        <v>0</v>
      </c>
      <c r="BU68" s="82" t="n">
        <f aca="false">SUM(BU66:BU67)</f>
        <v>0</v>
      </c>
      <c r="BV68" s="82" t="n">
        <f aca="false">SUM(BV66:BV67)</f>
        <v>0</v>
      </c>
      <c r="BW68" s="82" t="n">
        <f aca="false">SUM(BW66:BW67)</f>
        <v>0</v>
      </c>
      <c r="BX68" s="82" t="n">
        <f aca="false">SUM(BX66:BX67)</f>
        <v>0</v>
      </c>
      <c r="BY68" s="82" t="n">
        <f aca="false">SUM(BY66:BY67)</f>
        <v>0</v>
      </c>
      <c r="BZ68" s="82" t="n">
        <f aca="false">SUM(BZ66:BZ67)</f>
        <v>0</v>
      </c>
      <c r="CA68" s="82" t="n">
        <f aca="false">SUM(CA66:CA67)</f>
        <v>0</v>
      </c>
      <c r="CC68" s="84" t="n">
        <f aca="false">SUM(CC66:CC67)</f>
        <v>0</v>
      </c>
      <c r="CD68" s="84" t="n">
        <f aca="false">SUM(CD66:CD67)</f>
        <v>0</v>
      </c>
      <c r="CE68" s="84" t="n">
        <f aca="false">SUM(CE66:CE67)</f>
        <v>0</v>
      </c>
      <c r="CF68" s="84" t="n">
        <f aca="false">SUM(CF66:CF67)</f>
        <v>0</v>
      </c>
      <c r="CG68" s="84" t="n">
        <f aca="false">SUM(CG66:CG67)</f>
        <v>0</v>
      </c>
      <c r="CI68" s="84" t="n">
        <f aca="false">CC68=L68</f>
        <v>1</v>
      </c>
      <c r="CJ68" s="84" t="n">
        <f aca="false">CD68=M68</f>
        <v>1</v>
      </c>
      <c r="CK68" s="84" t="n">
        <f aca="false">CE68=N68</f>
        <v>1</v>
      </c>
      <c r="CL68" s="84" t="n">
        <f aca="false">CF68=O68</f>
        <v>1</v>
      </c>
      <c r="CM68" s="84" t="n">
        <f aca="false">CG68=P68</f>
        <v>1</v>
      </c>
    </row>
    <row r="69" s="14" customFormat="true" ht="16.5" hidden="false" customHeight="true" outlineLevel="0" collapsed="false">
      <c r="E69" s="85"/>
      <c r="H69" s="86"/>
      <c r="I69" s="88"/>
      <c r="J69" s="88"/>
      <c r="K69" s="88"/>
      <c r="L69" s="88"/>
      <c r="M69" s="88"/>
      <c r="N69" s="88"/>
      <c r="O69" s="88"/>
      <c r="P69" s="88"/>
      <c r="Q69" s="16"/>
      <c r="R69" s="16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9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9"/>
      <c r="AS69" s="88"/>
      <c r="AT69" s="88"/>
      <c r="AU69" s="88"/>
      <c r="AV69" s="88"/>
      <c r="AW69" s="88"/>
      <c r="AX69" s="88"/>
      <c r="AY69" s="88"/>
      <c r="AZ69" s="88"/>
      <c r="BA69" s="88"/>
      <c r="BB69" s="88"/>
      <c r="BC69" s="88"/>
      <c r="BD69" s="89"/>
      <c r="BE69" s="88"/>
      <c r="BF69" s="88"/>
      <c r="BG69" s="88"/>
      <c r="BH69" s="88"/>
      <c r="BI69" s="88"/>
      <c r="BJ69" s="88"/>
      <c r="BK69" s="88"/>
      <c r="BL69" s="88"/>
      <c r="BM69" s="88"/>
      <c r="BN69" s="88"/>
      <c r="BO69" s="88"/>
      <c r="BP69" s="89"/>
      <c r="BQ69" s="88"/>
      <c r="BR69" s="88"/>
      <c r="BS69" s="88"/>
      <c r="BT69" s="88"/>
      <c r="BU69" s="88"/>
      <c r="BV69" s="88"/>
      <c r="BW69" s="88"/>
      <c r="BX69" s="88"/>
      <c r="BY69" s="88"/>
      <c r="BZ69" s="88"/>
      <c r="CA69" s="88"/>
      <c r="CC69" s="90"/>
      <c r="CD69" s="90"/>
      <c r="CE69" s="90"/>
      <c r="CF69" s="90"/>
      <c r="CG69" s="90"/>
      <c r="CI69" s="90"/>
      <c r="CJ69" s="90"/>
      <c r="CK69" s="90"/>
      <c r="CL69" s="90"/>
      <c r="CM69" s="90"/>
    </row>
    <row r="70" s="14" customFormat="true" ht="16.5" hidden="false" customHeight="true" outlineLevel="0" collapsed="false">
      <c r="E70" s="21" t="s">
        <v>138</v>
      </c>
      <c r="H70" s="71"/>
      <c r="I70" s="88"/>
      <c r="J70" s="88"/>
      <c r="K70" s="88"/>
      <c r="L70" s="88"/>
      <c r="M70" s="88"/>
      <c r="N70" s="88"/>
      <c r="O70" s="88"/>
      <c r="P70" s="88"/>
      <c r="Q70" s="16"/>
      <c r="R70" s="16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9"/>
      <c r="AG70" s="88"/>
      <c r="AH70" s="88"/>
      <c r="AI70" s="88"/>
      <c r="AJ70" s="88"/>
      <c r="AK70" s="88"/>
      <c r="AL70" s="88"/>
      <c r="AM70" s="88"/>
      <c r="AN70" s="88"/>
      <c r="AO70" s="88"/>
      <c r="AP70" s="88"/>
      <c r="AQ70" s="88"/>
      <c r="AR70" s="89"/>
      <c r="AS70" s="88"/>
      <c r="AT70" s="88"/>
      <c r="AU70" s="88"/>
      <c r="AV70" s="88"/>
      <c r="AW70" s="88"/>
      <c r="AX70" s="88"/>
      <c r="AY70" s="88"/>
      <c r="AZ70" s="88"/>
      <c r="BA70" s="88"/>
      <c r="BB70" s="88"/>
      <c r="BC70" s="88"/>
      <c r="BD70" s="89"/>
      <c r="BE70" s="88"/>
      <c r="BF70" s="88"/>
      <c r="BG70" s="88"/>
      <c r="BH70" s="88"/>
      <c r="BI70" s="88"/>
      <c r="BJ70" s="88"/>
      <c r="BK70" s="88"/>
      <c r="BL70" s="88"/>
      <c r="BM70" s="88"/>
      <c r="BN70" s="88"/>
      <c r="BO70" s="88"/>
      <c r="BP70" s="89"/>
      <c r="BQ70" s="88"/>
      <c r="BR70" s="88"/>
      <c r="BS70" s="88"/>
      <c r="BT70" s="88"/>
      <c r="BU70" s="88"/>
      <c r="BV70" s="88"/>
      <c r="BW70" s="88"/>
      <c r="BX70" s="88"/>
      <c r="BY70" s="88"/>
      <c r="BZ70" s="88"/>
      <c r="CA70" s="88"/>
      <c r="CC70" s="90"/>
      <c r="CD70" s="90"/>
      <c r="CE70" s="90"/>
      <c r="CF70" s="90"/>
      <c r="CG70" s="90"/>
      <c r="CI70" s="90"/>
      <c r="CJ70" s="90"/>
      <c r="CK70" s="90"/>
      <c r="CL70" s="90"/>
      <c r="CM70" s="90"/>
    </row>
    <row r="71" s="14" customFormat="true" ht="16.5" hidden="false" customHeight="true" outlineLevel="0" collapsed="false">
      <c r="E71" s="91"/>
      <c r="H71" s="71"/>
      <c r="I71" s="91"/>
      <c r="J71" s="91"/>
      <c r="K71" s="212" t="n">
        <f aca="false">I71-J71</f>
        <v>0</v>
      </c>
      <c r="L71" s="91"/>
      <c r="M71" s="91"/>
      <c r="N71" s="91"/>
      <c r="O71" s="91"/>
      <c r="P71" s="91"/>
      <c r="Q71" s="93"/>
      <c r="R71" s="16" t="str">
        <f aca="false">IF(K71=P71, "", "Error")</f>
        <v/>
      </c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4"/>
      <c r="AF71" s="95"/>
      <c r="AG71" s="91"/>
      <c r="AH71" s="91"/>
      <c r="AI71" s="91"/>
      <c r="AJ71" s="91"/>
      <c r="AK71" s="91"/>
      <c r="AL71" s="91"/>
      <c r="AM71" s="91"/>
      <c r="AN71" s="91"/>
      <c r="AO71" s="91"/>
      <c r="AP71" s="91"/>
      <c r="AQ71" s="94"/>
      <c r="AR71" s="95"/>
      <c r="AS71" s="91"/>
      <c r="AT71" s="91"/>
      <c r="AU71" s="91"/>
      <c r="AV71" s="91"/>
      <c r="AW71" s="91"/>
      <c r="AX71" s="91"/>
      <c r="AY71" s="91"/>
      <c r="AZ71" s="91"/>
      <c r="BA71" s="91"/>
      <c r="BB71" s="91"/>
      <c r="BC71" s="94"/>
      <c r="BD71" s="95"/>
      <c r="BE71" s="91"/>
      <c r="BF71" s="91"/>
      <c r="BG71" s="91"/>
      <c r="BH71" s="91"/>
      <c r="BI71" s="91"/>
      <c r="BJ71" s="91"/>
      <c r="BK71" s="91"/>
      <c r="BL71" s="91"/>
      <c r="BM71" s="91"/>
      <c r="BN71" s="91"/>
      <c r="BO71" s="94"/>
      <c r="BP71" s="95"/>
      <c r="BQ71" s="91"/>
      <c r="BR71" s="91"/>
      <c r="BS71" s="91"/>
      <c r="BT71" s="91"/>
      <c r="BU71" s="91"/>
      <c r="BV71" s="91"/>
      <c r="BW71" s="91"/>
      <c r="BX71" s="91"/>
      <c r="BY71" s="91"/>
      <c r="BZ71" s="91"/>
      <c r="CA71" s="91"/>
      <c r="CC71" s="79" t="n">
        <f aca="false">SUMIFS($T71:$CA71, $T$1:$CA$1, CC$63)</f>
        <v>0</v>
      </c>
      <c r="CD71" s="79" t="n">
        <f aca="false">SUMIFS($T71:$CA71, $T$1:$CA$1, CD$63)</f>
        <v>0</v>
      </c>
      <c r="CE71" s="79" t="n">
        <f aca="false">SUMIFS($T71:$CA71, $T$1:$CA$1, CE$63)</f>
        <v>0</v>
      </c>
      <c r="CF71" s="79" t="n">
        <f aca="false">SUMIFS($T71:$CA71, $T$1:$CA$1, CF$63)</f>
        <v>0</v>
      </c>
      <c r="CG71" s="79" t="n">
        <f aca="false">SUMIFS($T71:$CA71, $T$1:$CA$1, CG$63)</f>
        <v>0</v>
      </c>
      <c r="CI71" s="79" t="n">
        <f aca="false">CC71=L71</f>
        <v>1</v>
      </c>
      <c r="CJ71" s="79" t="n">
        <f aca="false">CD71=M71</f>
        <v>1</v>
      </c>
      <c r="CK71" s="79" t="n">
        <f aca="false">CE71=N71</f>
        <v>1</v>
      </c>
      <c r="CL71" s="79" t="n">
        <f aca="false">CF71=O71</f>
        <v>1</v>
      </c>
      <c r="CM71" s="79" t="n">
        <f aca="false">CG71=P71</f>
        <v>1</v>
      </c>
    </row>
    <row r="72" s="14" customFormat="true" ht="16.5" hidden="false" customHeight="true" outlineLevel="0" collapsed="false">
      <c r="E72" s="91"/>
      <c r="H72" s="71"/>
      <c r="I72" s="91" t="n">
        <v>0</v>
      </c>
      <c r="J72" s="91" t="n">
        <v>0</v>
      </c>
      <c r="K72" s="212" t="n">
        <f aca="false">I72-J72</f>
        <v>0</v>
      </c>
      <c r="L72" s="91"/>
      <c r="M72" s="91"/>
      <c r="N72" s="91"/>
      <c r="O72" s="91"/>
      <c r="P72" s="91"/>
      <c r="Q72" s="93"/>
      <c r="R72" s="16" t="str">
        <f aca="false">IF(K72=P72, "", "Error")</f>
        <v/>
      </c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4"/>
      <c r="AF72" s="95"/>
      <c r="AG72" s="91"/>
      <c r="AH72" s="91"/>
      <c r="AI72" s="91"/>
      <c r="AJ72" s="91"/>
      <c r="AK72" s="91"/>
      <c r="AL72" s="91"/>
      <c r="AM72" s="91"/>
      <c r="AN72" s="91"/>
      <c r="AO72" s="91"/>
      <c r="AP72" s="91"/>
      <c r="AQ72" s="94"/>
      <c r="AR72" s="95"/>
      <c r="AS72" s="91"/>
      <c r="AT72" s="91"/>
      <c r="AU72" s="91"/>
      <c r="AV72" s="91"/>
      <c r="AW72" s="91"/>
      <c r="AX72" s="91"/>
      <c r="AY72" s="91"/>
      <c r="AZ72" s="91"/>
      <c r="BA72" s="91"/>
      <c r="BB72" s="91"/>
      <c r="BC72" s="94"/>
      <c r="BD72" s="95"/>
      <c r="BE72" s="91"/>
      <c r="BF72" s="91"/>
      <c r="BG72" s="91"/>
      <c r="BH72" s="91"/>
      <c r="BI72" s="91"/>
      <c r="BJ72" s="91"/>
      <c r="BK72" s="91"/>
      <c r="BL72" s="91"/>
      <c r="BM72" s="91"/>
      <c r="BN72" s="91"/>
      <c r="BO72" s="94"/>
      <c r="BP72" s="95"/>
      <c r="BQ72" s="91"/>
      <c r="BR72" s="91"/>
      <c r="BS72" s="91"/>
      <c r="BT72" s="91"/>
      <c r="BU72" s="91"/>
      <c r="BV72" s="91"/>
      <c r="BW72" s="91"/>
      <c r="BX72" s="91"/>
      <c r="BY72" s="91"/>
      <c r="BZ72" s="91"/>
      <c r="CA72" s="91"/>
      <c r="CC72" s="79" t="n">
        <f aca="false">SUMIFS($T72:$CA72, $T$1:$CA$1, CC$63)</f>
        <v>0</v>
      </c>
      <c r="CD72" s="79" t="n">
        <f aca="false">SUMIFS($T72:$CA72, $T$1:$CA$1, CD$63)</f>
        <v>0</v>
      </c>
      <c r="CE72" s="79" t="n">
        <f aca="false">SUMIFS($T72:$CA72, $T$1:$CA$1, CE$63)</f>
        <v>0</v>
      </c>
      <c r="CF72" s="79" t="n">
        <f aca="false">SUMIFS($T72:$CA72, $T$1:$CA$1, CF$63)</f>
        <v>0</v>
      </c>
      <c r="CG72" s="79" t="n">
        <f aca="false">SUMIFS($T72:$CA72, $T$1:$CA$1, CG$63)</f>
        <v>0</v>
      </c>
      <c r="CI72" s="79" t="n">
        <f aca="false">CC72=L72</f>
        <v>1</v>
      </c>
      <c r="CJ72" s="79" t="n">
        <f aca="false">CD72=M72</f>
        <v>1</v>
      </c>
      <c r="CK72" s="79" t="n">
        <f aca="false">CE72=N72</f>
        <v>1</v>
      </c>
      <c r="CL72" s="79" t="n">
        <f aca="false">CF72=O72</f>
        <v>1</v>
      </c>
      <c r="CM72" s="79" t="n">
        <f aca="false">CG72=P72</f>
        <v>1</v>
      </c>
    </row>
    <row r="73" s="14" customFormat="true" ht="16.5" hidden="false" customHeight="true" outlineLevel="0" collapsed="false">
      <c r="E73" s="91"/>
      <c r="H73" s="71"/>
      <c r="I73" s="91" t="n">
        <v>0</v>
      </c>
      <c r="J73" s="91" t="n">
        <v>0</v>
      </c>
      <c r="K73" s="212" t="n">
        <f aca="false">I73-J73</f>
        <v>0</v>
      </c>
      <c r="L73" s="91"/>
      <c r="M73" s="91"/>
      <c r="N73" s="91"/>
      <c r="O73" s="91"/>
      <c r="P73" s="91"/>
      <c r="Q73" s="93"/>
      <c r="R73" s="16" t="str">
        <f aca="false">IF(K73=P73, "", "Error")</f>
        <v/>
      </c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4"/>
      <c r="AF73" s="95"/>
      <c r="AG73" s="91"/>
      <c r="AH73" s="91"/>
      <c r="AI73" s="91"/>
      <c r="AJ73" s="91"/>
      <c r="AK73" s="91"/>
      <c r="AL73" s="91"/>
      <c r="AM73" s="91"/>
      <c r="AN73" s="91"/>
      <c r="AO73" s="91"/>
      <c r="AP73" s="91"/>
      <c r="AQ73" s="94"/>
      <c r="AR73" s="95"/>
      <c r="AS73" s="91"/>
      <c r="AT73" s="91"/>
      <c r="AU73" s="91"/>
      <c r="AV73" s="91"/>
      <c r="AW73" s="91"/>
      <c r="AX73" s="91"/>
      <c r="AY73" s="91"/>
      <c r="AZ73" s="91"/>
      <c r="BA73" s="91"/>
      <c r="BB73" s="91"/>
      <c r="BC73" s="94"/>
      <c r="BD73" s="95"/>
      <c r="BE73" s="91"/>
      <c r="BF73" s="91"/>
      <c r="BG73" s="91"/>
      <c r="BH73" s="91"/>
      <c r="BI73" s="91"/>
      <c r="BJ73" s="91"/>
      <c r="BK73" s="91"/>
      <c r="BL73" s="91"/>
      <c r="BM73" s="91"/>
      <c r="BN73" s="91"/>
      <c r="BO73" s="94"/>
      <c r="BP73" s="95"/>
      <c r="BQ73" s="91"/>
      <c r="BR73" s="91"/>
      <c r="BS73" s="91"/>
      <c r="BT73" s="91"/>
      <c r="BU73" s="91"/>
      <c r="BV73" s="91"/>
      <c r="BW73" s="91"/>
      <c r="BX73" s="91"/>
      <c r="BY73" s="91"/>
      <c r="BZ73" s="91"/>
      <c r="CA73" s="91"/>
      <c r="CC73" s="79" t="n">
        <f aca="false">SUMIFS($T73:$CA73, $T$1:$CA$1, CC$63)</f>
        <v>0</v>
      </c>
      <c r="CD73" s="79" t="n">
        <f aca="false">SUMIFS($T73:$CA73, $T$1:$CA$1, CD$63)</f>
        <v>0</v>
      </c>
      <c r="CE73" s="79" t="n">
        <f aca="false">SUMIFS($T73:$CA73, $T$1:$CA$1, CE$63)</f>
        <v>0</v>
      </c>
      <c r="CF73" s="79" t="n">
        <f aca="false">SUMIFS($T73:$CA73, $T$1:$CA$1, CF$63)</f>
        <v>0</v>
      </c>
      <c r="CG73" s="79" t="n">
        <f aca="false">SUMIFS($T73:$CA73, $T$1:$CA$1, CG$63)</f>
        <v>0</v>
      </c>
      <c r="CI73" s="79" t="n">
        <f aca="false">CC73=L73</f>
        <v>1</v>
      </c>
      <c r="CJ73" s="79" t="n">
        <f aca="false">CD73=M73</f>
        <v>1</v>
      </c>
      <c r="CK73" s="79" t="n">
        <f aca="false">CE73=N73</f>
        <v>1</v>
      </c>
      <c r="CL73" s="79" t="n">
        <f aca="false">CF73=O73</f>
        <v>1</v>
      </c>
      <c r="CM73" s="79" t="n">
        <f aca="false">CG73=P73</f>
        <v>1</v>
      </c>
    </row>
    <row r="74" s="14" customFormat="true" ht="16.5" hidden="false" customHeight="true" outlineLevel="0" collapsed="false">
      <c r="E74" s="91"/>
      <c r="H74" s="71"/>
      <c r="I74" s="91" t="n">
        <v>0</v>
      </c>
      <c r="J74" s="91" t="n">
        <v>0</v>
      </c>
      <c r="K74" s="212" t="n">
        <f aca="false">I74-J74</f>
        <v>0</v>
      </c>
      <c r="L74" s="91"/>
      <c r="M74" s="91"/>
      <c r="N74" s="91"/>
      <c r="O74" s="91"/>
      <c r="P74" s="91"/>
      <c r="Q74" s="93"/>
      <c r="R74" s="16" t="str">
        <f aca="false">IF(K74=P74, "", "Error")</f>
        <v/>
      </c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4"/>
      <c r="AF74" s="95"/>
      <c r="AG74" s="91"/>
      <c r="AH74" s="91"/>
      <c r="AI74" s="91"/>
      <c r="AJ74" s="91"/>
      <c r="AK74" s="91"/>
      <c r="AL74" s="91"/>
      <c r="AM74" s="91"/>
      <c r="AN74" s="91"/>
      <c r="AO74" s="91"/>
      <c r="AP74" s="91"/>
      <c r="AQ74" s="94"/>
      <c r="AR74" s="95"/>
      <c r="AS74" s="91"/>
      <c r="AT74" s="91"/>
      <c r="AU74" s="91"/>
      <c r="AV74" s="91"/>
      <c r="AW74" s="91"/>
      <c r="AX74" s="91"/>
      <c r="AY74" s="91"/>
      <c r="AZ74" s="91"/>
      <c r="BA74" s="91"/>
      <c r="BB74" s="91"/>
      <c r="BC74" s="94"/>
      <c r="BD74" s="95"/>
      <c r="BE74" s="91"/>
      <c r="BF74" s="91"/>
      <c r="BG74" s="91"/>
      <c r="BH74" s="91"/>
      <c r="BI74" s="91"/>
      <c r="BJ74" s="91"/>
      <c r="BK74" s="91"/>
      <c r="BL74" s="91"/>
      <c r="BM74" s="91"/>
      <c r="BN74" s="91"/>
      <c r="BO74" s="94"/>
      <c r="BP74" s="95"/>
      <c r="BQ74" s="91"/>
      <c r="BR74" s="91"/>
      <c r="BS74" s="91"/>
      <c r="BT74" s="91"/>
      <c r="BU74" s="91"/>
      <c r="BV74" s="91"/>
      <c r="BW74" s="91"/>
      <c r="BX74" s="91"/>
      <c r="BY74" s="91"/>
      <c r="BZ74" s="91"/>
      <c r="CA74" s="91"/>
      <c r="CC74" s="79" t="n">
        <f aca="false">SUMIFS($T74:$CA74, $T$1:$CA$1, CC$63)</f>
        <v>0</v>
      </c>
      <c r="CD74" s="79" t="n">
        <f aca="false">SUMIFS($T74:$CA74, $T$1:$CA$1, CD$63)</f>
        <v>0</v>
      </c>
      <c r="CE74" s="79" t="n">
        <f aca="false">SUMIFS($T74:$CA74, $T$1:$CA$1, CE$63)</f>
        <v>0</v>
      </c>
      <c r="CF74" s="79" t="n">
        <f aca="false">SUMIFS($T74:$CA74, $T$1:$CA$1, CF$63)</f>
        <v>0</v>
      </c>
      <c r="CG74" s="79" t="n">
        <f aca="false">SUMIFS($T74:$CA74, $T$1:$CA$1, CG$63)</f>
        <v>0</v>
      </c>
      <c r="CI74" s="79" t="n">
        <f aca="false">CC74=L74</f>
        <v>1</v>
      </c>
      <c r="CJ74" s="79" t="n">
        <f aca="false">CD74=M74</f>
        <v>1</v>
      </c>
      <c r="CK74" s="79" t="n">
        <f aca="false">CE74=N74</f>
        <v>1</v>
      </c>
      <c r="CL74" s="79" t="n">
        <f aca="false">CF74=O74</f>
        <v>1</v>
      </c>
      <c r="CM74" s="79" t="n">
        <f aca="false">CG74=P74</f>
        <v>1</v>
      </c>
    </row>
    <row r="75" s="14" customFormat="true" ht="16.5" hidden="false" customHeight="true" outlineLevel="0" collapsed="false">
      <c r="E75" s="91"/>
      <c r="H75" s="71"/>
      <c r="I75" s="91"/>
      <c r="J75" s="91"/>
      <c r="K75" s="212" t="n">
        <f aca="false">I75-J75</f>
        <v>0</v>
      </c>
      <c r="L75" s="91"/>
      <c r="M75" s="91"/>
      <c r="N75" s="91"/>
      <c r="O75" s="91"/>
      <c r="P75" s="91"/>
      <c r="Q75" s="93"/>
      <c r="R75" s="16" t="str">
        <f aca="false">IF(K75=P75, "", "Error")</f>
        <v/>
      </c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4"/>
      <c r="AF75" s="95"/>
      <c r="AG75" s="91"/>
      <c r="AH75" s="91"/>
      <c r="AI75" s="91"/>
      <c r="AJ75" s="91"/>
      <c r="AK75" s="91"/>
      <c r="AL75" s="91"/>
      <c r="AM75" s="91"/>
      <c r="AN75" s="91"/>
      <c r="AO75" s="91"/>
      <c r="AP75" s="91"/>
      <c r="AQ75" s="94"/>
      <c r="AR75" s="95"/>
      <c r="AS75" s="91"/>
      <c r="AT75" s="91"/>
      <c r="AU75" s="91"/>
      <c r="AV75" s="91"/>
      <c r="AW75" s="91"/>
      <c r="AX75" s="91"/>
      <c r="AY75" s="91"/>
      <c r="AZ75" s="91"/>
      <c r="BA75" s="91"/>
      <c r="BB75" s="91"/>
      <c r="BC75" s="94"/>
      <c r="BD75" s="95"/>
      <c r="BE75" s="91"/>
      <c r="BF75" s="91"/>
      <c r="BG75" s="91"/>
      <c r="BH75" s="91"/>
      <c r="BI75" s="91"/>
      <c r="BJ75" s="91"/>
      <c r="BK75" s="91"/>
      <c r="BL75" s="91"/>
      <c r="BM75" s="91"/>
      <c r="BN75" s="91"/>
      <c r="BO75" s="94"/>
      <c r="BP75" s="95"/>
      <c r="BQ75" s="91"/>
      <c r="BR75" s="91"/>
      <c r="BS75" s="91"/>
      <c r="BT75" s="91"/>
      <c r="BU75" s="91"/>
      <c r="BV75" s="91"/>
      <c r="BW75" s="91"/>
      <c r="BX75" s="91"/>
      <c r="BY75" s="91"/>
      <c r="BZ75" s="91"/>
      <c r="CA75" s="91"/>
      <c r="CC75" s="79" t="n">
        <f aca="false">SUMIFS($T75:$CA75, $T$1:$CA$1, CC$63)</f>
        <v>0</v>
      </c>
      <c r="CD75" s="79" t="n">
        <f aca="false">SUMIFS($T75:$CA75, $T$1:$CA$1, CD$63)</f>
        <v>0</v>
      </c>
      <c r="CE75" s="79" t="n">
        <f aca="false">SUMIFS($T75:$CA75, $T$1:$CA$1, CE$63)</f>
        <v>0</v>
      </c>
      <c r="CF75" s="79" t="n">
        <f aca="false">SUMIFS($T75:$CA75, $T$1:$CA$1, CF$63)</f>
        <v>0</v>
      </c>
      <c r="CG75" s="79" t="n">
        <f aca="false">SUMIFS($T75:$CA75, $T$1:$CA$1, CG$63)</f>
        <v>0</v>
      </c>
      <c r="CI75" s="79" t="n">
        <f aca="false">CC75=L75</f>
        <v>1</v>
      </c>
      <c r="CJ75" s="79" t="n">
        <f aca="false">CD75=M75</f>
        <v>1</v>
      </c>
      <c r="CK75" s="79" t="n">
        <f aca="false">CE75=N75</f>
        <v>1</v>
      </c>
      <c r="CL75" s="79" t="n">
        <f aca="false">CF75=O75</f>
        <v>1</v>
      </c>
      <c r="CM75" s="79" t="n">
        <f aca="false">CG75=P75</f>
        <v>1</v>
      </c>
    </row>
    <row r="76" s="14" customFormat="true" ht="16.5" hidden="false" customHeight="true" outlineLevel="0" collapsed="false">
      <c r="E76" s="96" t="s">
        <v>139</v>
      </c>
      <c r="H76" s="71"/>
      <c r="I76" s="82" t="n">
        <f aca="false">SUM(I71:I75)</f>
        <v>0</v>
      </c>
      <c r="J76" s="82" t="n">
        <f aca="false">SUM(J71:J75)</f>
        <v>0</v>
      </c>
      <c r="K76" s="82" t="n">
        <f aca="false">SUM(K71:K75)</f>
        <v>0</v>
      </c>
      <c r="L76" s="82" t="n">
        <f aca="false">SUM(L71:L75)</f>
        <v>0</v>
      </c>
      <c r="M76" s="82" t="n">
        <f aca="false">SUM(M71:M75)</f>
        <v>0</v>
      </c>
      <c r="N76" s="82" t="n">
        <f aca="false">SUM(N71:N75)</f>
        <v>0</v>
      </c>
      <c r="O76" s="82" t="n">
        <f aca="false">SUM(O71:O75)</f>
        <v>0</v>
      </c>
      <c r="P76" s="82" t="n">
        <f aca="false">SUM(P71:P75)</f>
        <v>0</v>
      </c>
      <c r="Q76" s="16"/>
      <c r="R76" s="16"/>
      <c r="T76" s="82" t="n">
        <f aca="false">SUM(T71:T75)</f>
        <v>0</v>
      </c>
      <c r="U76" s="82" t="n">
        <f aca="false">SUM(U71:U75)</f>
        <v>0</v>
      </c>
      <c r="V76" s="82" t="n">
        <f aca="false">SUM(V71:V75)</f>
        <v>0</v>
      </c>
      <c r="W76" s="82" t="n">
        <f aca="false">SUM(W71:W75)</f>
        <v>0</v>
      </c>
      <c r="X76" s="82" t="n">
        <f aca="false">SUM(X71:X75)</f>
        <v>0</v>
      </c>
      <c r="Y76" s="82" t="n">
        <f aca="false">SUM(Y71:Y75)</f>
        <v>0</v>
      </c>
      <c r="Z76" s="82" t="n">
        <f aca="false">SUM(Z71:Z75)</f>
        <v>0</v>
      </c>
      <c r="AA76" s="82" t="n">
        <f aca="false">SUM(AA71:AA75)</f>
        <v>0</v>
      </c>
      <c r="AB76" s="82" t="n">
        <f aca="false">SUM(AB71:AB75)</f>
        <v>0</v>
      </c>
      <c r="AC76" s="82" t="n">
        <f aca="false">SUM(AC71:AC75)</f>
        <v>0</v>
      </c>
      <c r="AD76" s="82" t="n">
        <f aca="false">SUM(AD71:AD75)</f>
        <v>0</v>
      </c>
      <c r="AE76" s="82" t="n">
        <f aca="false">SUM(AE71:AE75)</f>
        <v>0</v>
      </c>
      <c r="AF76" s="83" t="n">
        <f aca="false">SUM(AF71:AF75)</f>
        <v>0</v>
      </c>
      <c r="AG76" s="82" t="n">
        <f aca="false">SUM(AG71:AG75)</f>
        <v>0</v>
      </c>
      <c r="AH76" s="82" t="n">
        <f aca="false">SUM(AH71:AH75)</f>
        <v>0</v>
      </c>
      <c r="AI76" s="82" t="n">
        <f aca="false">SUM(AI71:AI75)</f>
        <v>0</v>
      </c>
      <c r="AJ76" s="82" t="n">
        <f aca="false">SUM(AJ71:AJ75)</f>
        <v>0</v>
      </c>
      <c r="AK76" s="82" t="n">
        <f aca="false">SUM(AK71:AK75)</f>
        <v>0</v>
      </c>
      <c r="AL76" s="82" t="n">
        <f aca="false">SUM(AL71:AL75)</f>
        <v>0</v>
      </c>
      <c r="AM76" s="82" t="n">
        <f aca="false">SUM(AM71:AM75)</f>
        <v>0</v>
      </c>
      <c r="AN76" s="82" t="n">
        <f aca="false">SUM(AN71:AN75)</f>
        <v>0</v>
      </c>
      <c r="AO76" s="82" t="n">
        <f aca="false">SUM(AO71:AO75)</f>
        <v>0</v>
      </c>
      <c r="AP76" s="82" t="n">
        <f aca="false">SUM(AP71:AP75)</f>
        <v>0</v>
      </c>
      <c r="AQ76" s="82" t="n">
        <f aca="false">SUM(AQ71:AQ75)</f>
        <v>0</v>
      </c>
      <c r="AR76" s="83" t="n">
        <f aca="false">SUM(AR71:AR75)</f>
        <v>0</v>
      </c>
      <c r="AS76" s="82" t="n">
        <f aca="false">SUM(AS71:AS75)</f>
        <v>0</v>
      </c>
      <c r="AT76" s="82" t="n">
        <f aca="false">SUM(AT71:AT75)</f>
        <v>0</v>
      </c>
      <c r="AU76" s="82" t="n">
        <f aca="false">SUM(AU71:AU75)</f>
        <v>0</v>
      </c>
      <c r="AV76" s="82" t="n">
        <f aca="false">SUM(AV71:AV75)</f>
        <v>0</v>
      </c>
      <c r="AW76" s="82" t="n">
        <f aca="false">SUM(AW71:AW75)</f>
        <v>0</v>
      </c>
      <c r="AX76" s="82" t="n">
        <f aca="false">SUM(AX71:AX75)</f>
        <v>0</v>
      </c>
      <c r="AY76" s="82" t="n">
        <f aca="false">SUM(AY71:AY75)</f>
        <v>0</v>
      </c>
      <c r="AZ76" s="82" t="n">
        <f aca="false">SUM(AZ71:AZ75)</f>
        <v>0</v>
      </c>
      <c r="BA76" s="82" t="n">
        <f aca="false">SUM(BA71:BA75)</f>
        <v>0</v>
      </c>
      <c r="BB76" s="82" t="n">
        <f aca="false">SUM(BB71:BB75)</f>
        <v>0</v>
      </c>
      <c r="BC76" s="82" t="n">
        <f aca="false">SUM(BC71:BC75)</f>
        <v>0</v>
      </c>
      <c r="BD76" s="83" t="n">
        <f aca="false">SUM(BD71:BD75)</f>
        <v>0</v>
      </c>
      <c r="BE76" s="82" t="n">
        <f aca="false">SUM(BE71:BE75)</f>
        <v>0</v>
      </c>
      <c r="BF76" s="82" t="n">
        <f aca="false">SUM(BF71:BF75)</f>
        <v>0</v>
      </c>
      <c r="BG76" s="82" t="n">
        <f aca="false">SUM(BG71:BG75)</f>
        <v>0</v>
      </c>
      <c r="BH76" s="82" t="n">
        <f aca="false">SUM(BH71:BH75)</f>
        <v>0</v>
      </c>
      <c r="BI76" s="82" t="n">
        <f aca="false">SUM(BI71:BI75)</f>
        <v>0</v>
      </c>
      <c r="BJ76" s="82" t="n">
        <f aca="false">SUM(BJ71:BJ75)</f>
        <v>0</v>
      </c>
      <c r="BK76" s="82" t="n">
        <f aca="false">SUM(BK71:BK75)</f>
        <v>0</v>
      </c>
      <c r="BL76" s="82" t="n">
        <f aca="false">SUM(BL71:BL75)</f>
        <v>0</v>
      </c>
      <c r="BM76" s="82" t="n">
        <f aca="false">SUM(BM71:BM75)</f>
        <v>0</v>
      </c>
      <c r="BN76" s="82" t="n">
        <f aca="false">SUM(BN71:BN75)</f>
        <v>0</v>
      </c>
      <c r="BO76" s="82" t="n">
        <f aca="false">SUM(BO71:BO75)</f>
        <v>0</v>
      </c>
      <c r="BP76" s="83" t="n">
        <f aca="false">SUM(BP71:BP75)</f>
        <v>0</v>
      </c>
      <c r="BQ76" s="82" t="n">
        <f aca="false">SUM(BQ71:BQ75)</f>
        <v>0</v>
      </c>
      <c r="BR76" s="82" t="n">
        <f aca="false">SUM(BR71:BR75)</f>
        <v>0</v>
      </c>
      <c r="BS76" s="82" t="n">
        <f aca="false">SUM(BS71:BS75)</f>
        <v>0</v>
      </c>
      <c r="BT76" s="82" t="n">
        <f aca="false">SUM(BT71:BT75)</f>
        <v>0</v>
      </c>
      <c r="BU76" s="82" t="n">
        <f aca="false">SUM(BU71:BU75)</f>
        <v>0</v>
      </c>
      <c r="BV76" s="82" t="n">
        <f aca="false">SUM(BV71:BV75)</f>
        <v>0</v>
      </c>
      <c r="BW76" s="82" t="n">
        <f aca="false">SUM(BW71:BW75)</f>
        <v>0</v>
      </c>
      <c r="BX76" s="82" t="n">
        <f aca="false">SUM(BX71:BX75)</f>
        <v>0</v>
      </c>
      <c r="BY76" s="82" t="n">
        <f aca="false">SUM(BY71:BY75)</f>
        <v>0</v>
      </c>
      <c r="BZ76" s="82" t="n">
        <f aca="false">SUM(BZ71:BZ75)</f>
        <v>0</v>
      </c>
      <c r="CA76" s="82" t="n">
        <f aca="false">SUM(CA71:CA75)</f>
        <v>0</v>
      </c>
      <c r="CC76" s="84" t="n">
        <f aca="false">SUM(CC71:CC75)</f>
        <v>0</v>
      </c>
      <c r="CD76" s="84" t="n">
        <f aca="false">SUM(CD71:CD75)</f>
        <v>0</v>
      </c>
      <c r="CE76" s="84" t="n">
        <f aca="false">SUM(CE71:CE75)</f>
        <v>0</v>
      </c>
      <c r="CF76" s="84" t="n">
        <f aca="false">SUM(CF71:CF75)</f>
        <v>0</v>
      </c>
      <c r="CG76" s="84" t="n">
        <f aca="false">SUM(CG71:CG75)</f>
        <v>0</v>
      </c>
      <c r="CI76" s="84" t="n">
        <f aca="false">CC76=L76</f>
        <v>1</v>
      </c>
      <c r="CJ76" s="84" t="n">
        <f aca="false">CD76=M76</f>
        <v>1</v>
      </c>
      <c r="CK76" s="84" t="n">
        <f aca="false">CE76=N76</f>
        <v>1</v>
      </c>
      <c r="CL76" s="84" t="n">
        <f aca="false">CF76=O76</f>
        <v>1</v>
      </c>
      <c r="CM76" s="84" t="n">
        <f aca="false">CG76=P76</f>
        <v>1</v>
      </c>
    </row>
    <row r="77" s="14" customFormat="true" ht="16.5" hidden="false" customHeight="true" outlineLevel="0" collapsed="false">
      <c r="H77" s="71"/>
      <c r="I77" s="88"/>
      <c r="J77" s="88"/>
      <c r="K77" s="88"/>
      <c r="L77" s="88"/>
      <c r="M77" s="88"/>
      <c r="N77" s="88"/>
      <c r="O77" s="88"/>
      <c r="P77" s="88"/>
      <c r="Q77" s="16"/>
      <c r="R77" s="16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9"/>
      <c r="AG77" s="88"/>
      <c r="AH77" s="88"/>
      <c r="AI77" s="88"/>
      <c r="AJ77" s="88"/>
      <c r="AK77" s="88"/>
      <c r="AL77" s="88"/>
      <c r="AM77" s="88"/>
      <c r="AN77" s="88"/>
      <c r="AO77" s="88"/>
      <c r="AP77" s="88"/>
      <c r="AQ77" s="88"/>
      <c r="AR77" s="89"/>
      <c r="AS77" s="88"/>
      <c r="AT77" s="88"/>
      <c r="AU77" s="88"/>
      <c r="AV77" s="88"/>
      <c r="AW77" s="88"/>
      <c r="AX77" s="88"/>
      <c r="AY77" s="88"/>
      <c r="AZ77" s="88"/>
      <c r="BA77" s="88"/>
      <c r="BB77" s="88"/>
      <c r="BC77" s="88"/>
      <c r="BD77" s="89"/>
      <c r="BE77" s="88"/>
      <c r="BF77" s="88"/>
      <c r="BG77" s="88"/>
      <c r="BH77" s="88"/>
      <c r="BI77" s="88"/>
      <c r="BJ77" s="88"/>
      <c r="BK77" s="88"/>
      <c r="BL77" s="88"/>
      <c r="BM77" s="88"/>
      <c r="BN77" s="88"/>
      <c r="BO77" s="88"/>
      <c r="BP77" s="89"/>
      <c r="BQ77" s="88"/>
      <c r="BR77" s="88"/>
      <c r="BS77" s="88"/>
      <c r="BT77" s="88"/>
      <c r="BU77" s="88"/>
      <c r="BV77" s="88"/>
      <c r="BW77" s="88"/>
      <c r="BX77" s="88"/>
      <c r="BY77" s="88"/>
      <c r="BZ77" s="88"/>
      <c r="CA77" s="88"/>
      <c r="CC77" s="90"/>
      <c r="CD77" s="90"/>
      <c r="CE77" s="90"/>
      <c r="CF77" s="90"/>
      <c r="CG77" s="90"/>
      <c r="CI77" s="90"/>
      <c r="CJ77" s="90"/>
      <c r="CK77" s="90"/>
      <c r="CL77" s="90"/>
      <c r="CM77" s="90"/>
    </row>
    <row r="78" s="14" customFormat="true" ht="16.5" hidden="false" customHeight="true" outlineLevel="0" collapsed="false">
      <c r="E78" s="21" t="s">
        <v>140</v>
      </c>
      <c r="H78" s="71"/>
      <c r="I78" s="88"/>
      <c r="J78" s="88"/>
      <c r="K78" s="88"/>
      <c r="L78" s="88"/>
      <c r="M78" s="88"/>
      <c r="N78" s="88"/>
      <c r="O78" s="88"/>
      <c r="P78" s="88"/>
      <c r="Q78" s="16"/>
      <c r="R78" s="16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9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9"/>
      <c r="AS78" s="88"/>
      <c r="AT78" s="88"/>
      <c r="AU78" s="88"/>
      <c r="AV78" s="88"/>
      <c r="AW78" s="88"/>
      <c r="AX78" s="88"/>
      <c r="AY78" s="88"/>
      <c r="AZ78" s="88"/>
      <c r="BA78" s="88"/>
      <c r="BB78" s="88"/>
      <c r="BC78" s="88"/>
      <c r="BD78" s="89"/>
      <c r="BE78" s="88"/>
      <c r="BF78" s="88"/>
      <c r="BG78" s="88"/>
      <c r="BH78" s="88"/>
      <c r="BI78" s="88"/>
      <c r="BJ78" s="88"/>
      <c r="BK78" s="88"/>
      <c r="BL78" s="88"/>
      <c r="BM78" s="88"/>
      <c r="BN78" s="88"/>
      <c r="BO78" s="88"/>
      <c r="BP78" s="89"/>
      <c r="BQ78" s="88"/>
      <c r="BR78" s="88"/>
      <c r="BS78" s="88"/>
      <c r="BT78" s="88"/>
      <c r="BU78" s="88"/>
      <c r="BV78" s="88"/>
      <c r="BW78" s="88"/>
      <c r="BX78" s="88"/>
      <c r="BY78" s="88"/>
      <c r="BZ78" s="88"/>
      <c r="CA78" s="88"/>
      <c r="CC78" s="90"/>
      <c r="CD78" s="90"/>
      <c r="CE78" s="90"/>
      <c r="CF78" s="90"/>
      <c r="CG78" s="90"/>
      <c r="CI78" s="90"/>
      <c r="CJ78" s="90"/>
      <c r="CK78" s="90"/>
      <c r="CL78" s="90"/>
      <c r="CM78" s="90"/>
    </row>
    <row r="79" s="14" customFormat="true" ht="16.5" hidden="false" customHeight="true" outlineLevel="0" collapsed="false">
      <c r="E79" s="91" t="s">
        <v>674</v>
      </c>
      <c r="H79" s="71" t="s">
        <v>675</v>
      </c>
      <c r="I79" s="213" t="n">
        <f aca="false">'SVC-4 Model'!$D$67</f>
        <v>93.16395104</v>
      </c>
      <c r="J79" s="213" t="n">
        <f aca="false">I79-'SVC-4 Model'!$K$67</f>
        <v>89.245044004027</v>
      </c>
      <c r="K79" s="214" t="n">
        <f aca="false">'SVC-4 Model'!$K$67</f>
        <v>3.91890703597303</v>
      </c>
      <c r="L79" s="213" t="n">
        <f aca="false">'SVC-4 Model'!L67</f>
        <v>0</v>
      </c>
      <c r="M79" s="213" t="n">
        <f aca="false">'SVC-4 Model'!M67</f>
        <v>0.979726758993259</v>
      </c>
      <c r="N79" s="213" t="n">
        <f aca="false">'SVC-4 Model'!N67</f>
        <v>3.91890703597303</v>
      </c>
      <c r="O79" s="213" t="n">
        <f aca="false">'SVC-4 Model'!O67</f>
        <v>3.91890703597303</v>
      </c>
      <c r="P79" s="213" t="n">
        <f aca="false">'SVC-4 Model'!P67</f>
        <v>3.91890703597303</v>
      </c>
      <c r="Q79" s="93" t="s">
        <v>266</v>
      </c>
      <c r="R79" s="16" t="str">
        <f aca="false">IF(K79=P79, "", "Error")</f>
        <v/>
      </c>
      <c r="T79" s="213" t="n">
        <f aca="false">'SVC-4 Model'!T67</f>
        <v>0</v>
      </c>
      <c r="U79" s="213" t="n">
        <f aca="false">'SVC-4 Model'!U67</f>
        <v>0</v>
      </c>
      <c r="V79" s="213" t="n">
        <f aca="false">'SVC-4 Model'!V67</f>
        <v>0</v>
      </c>
      <c r="W79" s="213" t="n">
        <f aca="false">'SVC-4 Model'!W67</f>
        <v>0</v>
      </c>
      <c r="X79" s="213" t="n">
        <f aca="false">'SVC-4 Model'!X67</f>
        <v>0</v>
      </c>
      <c r="Y79" s="213" t="n">
        <f aca="false">'SVC-4 Model'!Y67</f>
        <v>0</v>
      </c>
      <c r="Z79" s="213" t="n">
        <f aca="false">'SVC-4 Model'!Z67</f>
        <v>0</v>
      </c>
      <c r="AA79" s="213" t="n">
        <f aca="false">'SVC-4 Model'!AA67</f>
        <v>0</v>
      </c>
      <c r="AB79" s="213" t="n">
        <f aca="false">'SVC-4 Model'!AB67</f>
        <v>0</v>
      </c>
      <c r="AC79" s="213" t="n">
        <f aca="false">'SVC-4 Model'!AC67</f>
        <v>0</v>
      </c>
      <c r="AD79" s="213" t="n">
        <f aca="false">'SVC-4 Model'!AD67</f>
        <v>0</v>
      </c>
      <c r="AE79" s="215" t="n">
        <f aca="false">'SVC-4 Model'!AE67</f>
        <v>0</v>
      </c>
      <c r="AF79" s="216" t="n">
        <f aca="false">'SVC-4 Model'!AF67</f>
        <v>0</v>
      </c>
      <c r="AG79" s="216" t="n">
        <f aca="false">'SVC-4 Model'!AG67</f>
        <v>0</v>
      </c>
      <c r="AH79" s="216" t="n">
        <f aca="false">'SVC-4 Model'!AH67</f>
        <v>0</v>
      </c>
      <c r="AI79" s="216" t="n">
        <f aca="false">'SVC-4 Model'!AI67</f>
        <v>0</v>
      </c>
      <c r="AJ79" s="216" t="n">
        <f aca="false">'SVC-4 Model'!AJ67</f>
        <v>0</v>
      </c>
      <c r="AK79" s="216" t="n">
        <f aca="false">'SVC-4 Model'!AK67</f>
        <v>0</v>
      </c>
      <c r="AL79" s="216" t="n">
        <f aca="false">'SVC-4 Model'!AL67</f>
        <v>0.0272146321942572</v>
      </c>
      <c r="AM79" s="216" t="n">
        <f aca="false">'SVC-4 Model'!AM67</f>
        <v>0.0816438965827716</v>
      </c>
      <c r="AN79" s="216" t="n">
        <f aca="false">'SVC-4 Model'!AN67</f>
        <v>0.136073160971286</v>
      </c>
      <c r="AO79" s="216" t="n">
        <f aca="false">'SVC-4 Model'!AO67</f>
        <v>0.1905024253598</v>
      </c>
      <c r="AP79" s="216" t="n">
        <f aca="false">'SVC-4 Model'!AP67</f>
        <v>0.244931689748315</v>
      </c>
      <c r="AQ79" s="216" t="n">
        <f aca="false">'SVC-4 Model'!AQ67</f>
        <v>0.299360954136829</v>
      </c>
      <c r="AR79" s="216" t="n">
        <f aca="false">'SVC-4 Model'!AR67</f>
        <v>0.326575586331086</v>
      </c>
      <c r="AS79" s="216" t="n">
        <f aca="false">'SVC-4 Model'!AS67</f>
        <v>0.326575586331086</v>
      </c>
      <c r="AT79" s="216" t="n">
        <f aca="false">'SVC-4 Model'!AT67</f>
        <v>0.326575586331086</v>
      </c>
      <c r="AU79" s="216" t="n">
        <f aca="false">'SVC-4 Model'!AU67</f>
        <v>0.326575586331086</v>
      </c>
      <c r="AV79" s="216" t="n">
        <f aca="false">'SVC-4 Model'!AV67</f>
        <v>0.326575586331086</v>
      </c>
      <c r="AW79" s="216" t="n">
        <f aca="false">'SVC-4 Model'!AW67</f>
        <v>0.326575586331086</v>
      </c>
      <c r="AX79" s="216" t="n">
        <f aca="false">'SVC-4 Model'!AX67</f>
        <v>0.326575586331086</v>
      </c>
      <c r="AY79" s="216" t="n">
        <f aca="false">'SVC-4 Model'!AY67</f>
        <v>0.326575586331086</v>
      </c>
      <c r="AZ79" s="216" t="n">
        <f aca="false">'SVC-4 Model'!AZ67</f>
        <v>0.326575586331086</v>
      </c>
      <c r="BA79" s="216" t="n">
        <f aca="false">'SVC-4 Model'!BA67</f>
        <v>0.326575586331086</v>
      </c>
      <c r="BB79" s="216" t="n">
        <f aca="false">'SVC-4 Model'!BB67</f>
        <v>0.326575586331086</v>
      </c>
      <c r="BC79" s="216" t="n">
        <f aca="false">'SVC-4 Model'!BC67</f>
        <v>0.326575586331086</v>
      </c>
      <c r="BD79" s="216" t="n">
        <f aca="false">'SVC-4 Model'!BD67</f>
        <v>0.326575586331086</v>
      </c>
      <c r="BE79" s="216" t="n">
        <f aca="false">'SVC-4 Model'!BE67</f>
        <v>0.326575586331086</v>
      </c>
      <c r="BF79" s="216" t="n">
        <f aca="false">'SVC-4 Model'!BF67</f>
        <v>0.326575586331086</v>
      </c>
      <c r="BG79" s="216" t="n">
        <f aca="false">'SVC-4 Model'!BG67</f>
        <v>0.326575586331086</v>
      </c>
      <c r="BH79" s="216" t="n">
        <f aca="false">'SVC-4 Model'!BH67</f>
        <v>0.326575586331086</v>
      </c>
      <c r="BI79" s="216" t="n">
        <f aca="false">'SVC-4 Model'!BI67</f>
        <v>0.326575586331086</v>
      </c>
      <c r="BJ79" s="216" t="n">
        <f aca="false">'SVC-4 Model'!BJ67</f>
        <v>0.326575586331086</v>
      </c>
      <c r="BK79" s="216" t="n">
        <f aca="false">'SVC-4 Model'!BK67</f>
        <v>0.326575586331086</v>
      </c>
      <c r="BL79" s="216" t="n">
        <f aca="false">'SVC-4 Model'!BL67</f>
        <v>0.326575586331086</v>
      </c>
      <c r="BM79" s="216" t="n">
        <f aca="false">'SVC-4 Model'!BM67</f>
        <v>0.326575586331086</v>
      </c>
      <c r="BN79" s="216" t="n">
        <f aca="false">'SVC-4 Model'!BN67</f>
        <v>0.326575586331086</v>
      </c>
      <c r="BO79" s="216" t="n">
        <f aca="false">'SVC-4 Model'!BO67</f>
        <v>0.326575586331086</v>
      </c>
      <c r="BP79" s="216" t="n">
        <f aca="false">'SVC-4 Model'!BP67</f>
        <v>0.326575586331086</v>
      </c>
      <c r="BQ79" s="216" t="n">
        <f aca="false">'SVC-4 Model'!BQ67</f>
        <v>0.326575586331086</v>
      </c>
      <c r="BR79" s="216" t="n">
        <f aca="false">'SVC-4 Model'!BR67</f>
        <v>0.326575586331086</v>
      </c>
      <c r="BS79" s="216" t="n">
        <f aca="false">'SVC-4 Model'!BS67</f>
        <v>0.326575586331086</v>
      </c>
      <c r="BT79" s="216" t="n">
        <f aca="false">'SVC-4 Model'!BT67</f>
        <v>0.326575586331086</v>
      </c>
      <c r="BU79" s="216" t="n">
        <f aca="false">'SVC-4 Model'!BU67</f>
        <v>0.326575586331086</v>
      </c>
      <c r="BV79" s="216" t="n">
        <f aca="false">'SVC-4 Model'!BV67</f>
        <v>0.326575586331086</v>
      </c>
      <c r="BW79" s="216" t="n">
        <f aca="false">'SVC-4 Model'!BW67</f>
        <v>0.326575586331086</v>
      </c>
      <c r="BX79" s="216" t="n">
        <f aca="false">'SVC-4 Model'!BX67</f>
        <v>0.326575586331086</v>
      </c>
      <c r="BY79" s="216" t="n">
        <f aca="false">'SVC-4 Model'!BY67</f>
        <v>0.326575586331086</v>
      </c>
      <c r="BZ79" s="216" t="n">
        <f aca="false">'SVC-4 Model'!BZ67</f>
        <v>0.326575586331086</v>
      </c>
      <c r="CA79" s="216" t="n">
        <f aca="false">'SVC-4 Model'!CA67</f>
        <v>0.326575586331086</v>
      </c>
      <c r="CC79" s="79" t="n">
        <f aca="false">SUMIFS($T79:$CA79, $T$1:$CA$1, CC$63)</f>
        <v>0</v>
      </c>
      <c r="CD79" s="79" t="n">
        <f aca="false">SUMIFS($T79:$CA79, $T$1:$CA$1, CD$63)</f>
        <v>0.979726758993259</v>
      </c>
      <c r="CE79" s="79" t="n">
        <f aca="false">SUMIFS($T79:$CA79, $T$1:$CA$1, CE$63)</f>
        <v>3.91890703597303</v>
      </c>
      <c r="CF79" s="79" t="n">
        <f aca="false">SUMIFS($T79:$CA79, $T$1:$CA$1, CF$63)</f>
        <v>3.91890703597303</v>
      </c>
      <c r="CG79" s="79" t="n">
        <f aca="false">SUMIFS($T79:$CA79, $T$1:$CA$1, CG$63)</f>
        <v>3.91890703597303</v>
      </c>
      <c r="CI79" s="79" t="n">
        <f aca="false">CC79=L79</f>
        <v>1</v>
      </c>
      <c r="CJ79" s="79" t="n">
        <f aca="false">CD79=M79</f>
        <v>1</v>
      </c>
      <c r="CK79" s="79" t="n">
        <f aca="false">CE79=N79</f>
        <v>1</v>
      </c>
      <c r="CL79" s="79" t="n">
        <f aca="false">CF79=O79</f>
        <v>1</v>
      </c>
      <c r="CM79" s="79" t="n">
        <f aca="false">CG79=P79</f>
        <v>1</v>
      </c>
    </row>
    <row r="80" s="14" customFormat="true" ht="16.5" hidden="false" customHeight="true" outlineLevel="0" collapsed="false">
      <c r="E80" s="91" t="s">
        <v>676</v>
      </c>
      <c r="H80" s="71" t="s">
        <v>677</v>
      </c>
      <c r="I80" s="213" t="n">
        <f aca="false">'SVC-4 Model'!$D$68</f>
        <v>89.245044004027</v>
      </c>
      <c r="J80" s="213" t="n">
        <f aca="false">I80-'SVC-4 Model'!$K$68</f>
        <v>85.5095014478584</v>
      </c>
      <c r="K80" s="214" t="n">
        <f aca="false">'SVC-4 Model'!$K$68</f>
        <v>3.73554255616857</v>
      </c>
      <c r="L80" s="213" t="n">
        <f aca="false">'SVC-4 Model'!L68</f>
        <v>0</v>
      </c>
      <c r="M80" s="213" t="n">
        <f aca="false">'SVC-4 Model'!M68</f>
        <v>0.933885639042142</v>
      </c>
      <c r="N80" s="213" t="n">
        <f aca="false">'SVC-4 Model'!N68</f>
        <v>3.73554255616857</v>
      </c>
      <c r="O80" s="213" t="n">
        <f aca="false">'SVC-4 Model'!O68</f>
        <v>3.73554255616857</v>
      </c>
      <c r="P80" s="213" t="n">
        <f aca="false">'SVC-4 Model'!P68</f>
        <v>3.73554255616857</v>
      </c>
      <c r="Q80" s="93" t="s">
        <v>266</v>
      </c>
      <c r="R80" s="16" t="str">
        <f aca="false">IF(K80=P80, "", "Error")</f>
        <v/>
      </c>
      <c r="T80" s="213" t="n">
        <f aca="false">'SVC-4 Model'!T68</f>
        <v>0</v>
      </c>
      <c r="U80" s="213" t="n">
        <f aca="false">'SVC-4 Model'!U68</f>
        <v>0</v>
      </c>
      <c r="V80" s="213" t="n">
        <f aca="false">'SVC-4 Model'!V68</f>
        <v>0</v>
      </c>
      <c r="W80" s="213" t="n">
        <f aca="false">'SVC-4 Model'!W68</f>
        <v>0</v>
      </c>
      <c r="X80" s="213" t="n">
        <f aca="false">'SVC-4 Model'!X68</f>
        <v>0</v>
      </c>
      <c r="Y80" s="213" t="n">
        <f aca="false">'SVC-4 Model'!Y68</f>
        <v>0</v>
      </c>
      <c r="Z80" s="213" t="n">
        <f aca="false">'SVC-4 Model'!Z68</f>
        <v>0</v>
      </c>
      <c r="AA80" s="213" t="n">
        <f aca="false">'SVC-4 Model'!AA68</f>
        <v>0</v>
      </c>
      <c r="AB80" s="213" t="n">
        <f aca="false">'SVC-4 Model'!AB68</f>
        <v>0</v>
      </c>
      <c r="AC80" s="213" t="n">
        <f aca="false">'SVC-4 Model'!AC68</f>
        <v>0</v>
      </c>
      <c r="AD80" s="213" t="n">
        <f aca="false">'SVC-4 Model'!AD68</f>
        <v>0</v>
      </c>
      <c r="AE80" s="215" t="n">
        <f aca="false">'SVC-4 Model'!AE68</f>
        <v>0</v>
      </c>
      <c r="AF80" s="216" t="n">
        <f aca="false">'SVC-4 Model'!AF68</f>
        <v>0</v>
      </c>
      <c r="AG80" s="213" t="n">
        <f aca="false">'SVC-4 Model'!AG68</f>
        <v>0</v>
      </c>
      <c r="AH80" s="213" t="n">
        <f aca="false">'SVC-4 Model'!AH68</f>
        <v>0</v>
      </c>
      <c r="AI80" s="213" t="n">
        <f aca="false">'SVC-4 Model'!AI68</f>
        <v>0</v>
      </c>
      <c r="AJ80" s="213" t="n">
        <f aca="false">'SVC-4 Model'!AJ68</f>
        <v>0</v>
      </c>
      <c r="AK80" s="213" t="n">
        <f aca="false">'SVC-4 Model'!AK68</f>
        <v>0</v>
      </c>
      <c r="AL80" s="213" t="n">
        <f aca="false">'SVC-4 Model'!AL68</f>
        <v>0.0259412677511706</v>
      </c>
      <c r="AM80" s="213" t="n">
        <f aca="false">'SVC-4 Model'!AM68</f>
        <v>0.0778238032535118</v>
      </c>
      <c r="AN80" s="213" t="n">
        <f aca="false">'SVC-4 Model'!AN68</f>
        <v>0.129706338755853</v>
      </c>
      <c r="AO80" s="213" t="n">
        <f aca="false">'SVC-4 Model'!AO68</f>
        <v>0.181588874258194</v>
      </c>
      <c r="AP80" s="213" t="n">
        <f aca="false">'SVC-4 Model'!AP68</f>
        <v>0.233471409760535</v>
      </c>
      <c r="AQ80" s="215" t="n">
        <f aca="false">'SVC-4 Model'!AQ68</f>
        <v>0.285353945262877</v>
      </c>
      <c r="AR80" s="216" t="n">
        <f aca="false">'SVC-4 Model'!AR68</f>
        <v>0.311295213014047</v>
      </c>
      <c r="AS80" s="213" t="n">
        <f aca="false">'SVC-4 Model'!AS68</f>
        <v>0.311295213014047</v>
      </c>
      <c r="AT80" s="213" t="n">
        <f aca="false">'SVC-4 Model'!AT68</f>
        <v>0.311295213014047</v>
      </c>
      <c r="AU80" s="213" t="n">
        <f aca="false">'SVC-4 Model'!AU68</f>
        <v>0.311295213014047</v>
      </c>
      <c r="AV80" s="213" t="n">
        <f aca="false">'SVC-4 Model'!AV68</f>
        <v>0.311295213014047</v>
      </c>
      <c r="AW80" s="213" t="n">
        <f aca="false">'SVC-4 Model'!AW68</f>
        <v>0.311295213014047</v>
      </c>
      <c r="AX80" s="213" t="n">
        <f aca="false">'SVC-4 Model'!AX68</f>
        <v>0.311295213014047</v>
      </c>
      <c r="AY80" s="213" t="n">
        <f aca="false">'SVC-4 Model'!AY68</f>
        <v>0.311295213014047</v>
      </c>
      <c r="AZ80" s="213" t="n">
        <f aca="false">'SVC-4 Model'!AZ68</f>
        <v>0.311295213014047</v>
      </c>
      <c r="BA80" s="213" t="n">
        <f aca="false">'SVC-4 Model'!BA68</f>
        <v>0.311295213014047</v>
      </c>
      <c r="BB80" s="213" t="n">
        <f aca="false">'SVC-4 Model'!BB68</f>
        <v>0.311295213014047</v>
      </c>
      <c r="BC80" s="215" t="n">
        <f aca="false">'SVC-4 Model'!BC68</f>
        <v>0.311295213014047</v>
      </c>
      <c r="BD80" s="216" t="n">
        <f aca="false">'SVC-4 Model'!BD68</f>
        <v>0.311295213014047</v>
      </c>
      <c r="BE80" s="213" t="n">
        <f aca="false">'SVC-4 Model'!BE68</f>
        <v>0.311295213014047</v>
      </c>
      <c r="BF80" s="213" t="n">
        <f aca="false">'SVC-4 Model'!BF68</f>
        <v>0.311295213014047</v>
      </c>
      <c r="BG80" s="213" t="n">
        <f aca="false">'SVC-4 Model'!BG68</f>
        <v>0.311295213014047</v>
      </c>
      <c r="BH80" s="213" t="n">
        <f aca="false">'SVC-4 Model'!BH68</f>
        <v>0.311295213014047</v>
      </c>
      <c r="BI80" s="213" t="n">
        <f aca="false">'SVC-4 Model'!BI68</f>
        <v>0.311295213014047</v>
      </c>
      <c r="BJ80" s="213" t="n">
        <f aca="false">'SVC-4 Model'!BJ68</f>
        <v>0.311295213014047</v>
      </c>
      <c r="BK80" s="213" t="n">
        <f aca="false">'SVC-4 Model'!BK68</f>
        <v>0.311295213014047</v>
      </c>
      <c r="BL80" s="213" t="n">
        <f aca="false">'SVC-4 Model'!BL68</f>
        <v>0.311295213014047</v>
      </c>
      <c r="BM80" s="213" t="n">
        <f aca="false">'SVC-4 Model'!BM68</f>
        <v>0.311295213014047</v>
      </c>
      <c r="BN80" s="213" t="n">
        <f aca="false">'SVC-4 Model'!BN68</f>
        <v>0.311295213014047</v>
      </c>
      <c r="BO80" s="215" t="n">
        <f aca="false">'SVC-4 Model'!BO68</f>
        <v>0.311295213014047</v>
      </c>
      <c r="BP80" s="216" t="n">
        <f aca="false">'SVC-4 Model'!BP68</f>
        <v>0.311295213014047</v>
      </c>
      <c r="BQ80" s="213" t="n">
        <f aca="false">'SVC-4 Model'!BQ68</f>
        <v>0.311295213014047</v>
      </c>
      <c r="BR80" s="213" t="n">
        <f aca="false">'SVC-4 Model'!BR68</f>
        <v>0.311295213014047</v>
      </c>
      <c r="BS80" s="213" t="n">
        <f aca="false">'SVC-4 Model'!BS68</f>
        <v>0.311295213014047</v>
      </c>
      <c r="BT80" s="213" t="n">
        <f aca="false">'SVC-4 Model'!BT68</f>
        <v>0.311295213014047</v>
      </c>
      <c r="BU80" s="213" t="n">
        <f aca="false">'SVC-4 Model'!BU68</f>
        <v>0.311295213014047</v>
      </c>
      <c r="BV80" s="213" t="n">
        <f aca="false">'SVC-4 Model'!BV68</f>
        <v>0.311295213014047</v>
      </c>
      <c r="BW80" s="213" t="n">
        <f aca="false">'SVC-4 Model'!BW68</f>
        <v>0.311295213014047</v>
      </c>
      <c r="BX80" s="213" t="n">
        <f aca="false">'SVC-4 Model'!BX68</f>
        <v>0.311295213014047</v>
      </c>
      <c r="BY80" s="213" t="n">
        <f aca="false">'SVC-4 Model'!BY68</f>
        <v>0.311295213014047</v>
      </c>
      <c r="BZ80" s="213" t="n">
        <f aca="false">'SVC-4 Model'!BZ68</f>
        <v>0.311295213014047</v>
      </c>
      <c r="CA80" s="213" t="n">
        <f aca="false">'SVC-4 Model'!CA68</f>
        <v>0.311295213014047</v>
      </c>
      <c r="CC80" s="79" t="n">
        <f aca="false">SUMIFS($T80:$CA80, $T$1:$CA$1, CC$63)</f>
        <v>0</v>
      </c>
      <c r="CD80" s="79" t="n">
        <f aca="false">SUMIFS($T80:$CA80, $T$1:$CA$1, CD$63)</f>
        <v>0.933885639042142</v>
      </c>
      <c r="CE80" s="79" t="n">
        <f aca="false">SUMIFS($T80:$CA80, $T$1:$CA$1, CE$63)</f>
        <v>3.73554255616857</v>
      </c>
      <c r="CF80" s="79" t="n">
        <f aca="false">SUMIFS($T80:$CA80, $T$1:$CA$1, CF$63)</f>
        <v>3.73554255616857</v>
      </c>
      <c r="CG80" s="79" t="n">
        <f aca="false">SUMIFS($T80:$CA80, $T$1:$CA$1, CG$63)</f>
        <v>3.73554255616857</v>
      </c>
      <c r="CI80" s="79" t="n">
        <f aca="false">CC80=L80</f>
        <v>1</v>
      </c>
      <c r="CJ80" s="79" t="n">
        <f aca="false">CD80=M80</f>
        <v>1</v>
      </c>
      <c r="CK80" s="79" t="n">
        <f aca="false">CE80=N80</f>
        <v>1</v>
      </c>
      <c r="CL80" s="79" t="n">
        <f aca="false">CF80=O80</f>
        <v>1</v>
      </c>
      <c r="CM80" s="79" t="n">
        <f aca="false">CG80=P80</f>
        <v>1</v>
      </c>
    </row>
    <row r="81" s="14" customFormat="true" ht="16.5" hidden="false" customHeight="true" outlineLevel="0" collapsed="false">
      <c r="E81" s="91"/>
      <c r="H81" s="71"/>
      <c r="I81" s="91" t="n">
        <v>0</v>
      </c>
      <c r="J81" s="91" t="n">
        <v>0</v>
      </c>
      <c r="K81" s="212" t="n">
        <f aca="false">I81-J81</f>
        <v>0</v>
      </c>
      <c r="L81" s="91"/>
      <c r="M81" s="91"/>
      <c r="N81" s="91"/>
      <c r="O81" s="91"/>
      <c r="P81" s="91"/>
      <c r="Q81" s="93"/>
      <c r="R81" s="16" t="str">
        <f aca="false">IF(K81=P81, "", "Error")</f>
        <v/>
      </c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4"/>
      <c r="AF81" s="95"/>
      <c r="AG81" s="91"/>
      <c r="AH81" s="91"/>
      <c r="AI81" s="91"/>
      <c r="AJ81" s="91"/>
      <c r="AK81" s="91"/>
      <c r="AL81" s="91"/>
      <c r="AM81" s="91"/>
      <c r="AN81" s="91"/>
      <c r="AO81" s="91"/>
      <c r="AP81" s="91"/>
      <c r="AQ81" s="94"/>
      <c r="AR81" s="95"/>
      <c r="AS81" s="91"/>
      <c r="AT81" s="91"/>
      <c r="AU81" s="91"/>
      <c r="AV81" s="91"/>
      <c r="AW81" s="91"/>
      <c r="AX81" s="91"/>
      <c r="AY81" s="91"/>
      <c r="AZ81" s="91"/>
      <c r="BA81" s="91"/>
      <c r="BB81" s="91"/>
      <c r="BC81" s="94"/>
      <c r="BD81" s="95"/>
      <c r="BE81" s="91"/>
      <c r="BF81" s="91"/>
      <c r="BG81" s="91"/>
      <c r="BH81" s="91"/>
      <c r="BI81" s="91"/>
      <c r="BJ81" s="91"/>
      <c r="BK81" s="91"/>
      <c r="BL81" s="91"/>
      <c r="BM81" s="91"/>
      <c r="BN81" s="91"/>
      <c r="BO81" s="94"/>
      <c r="BP81" s="95"/>
      <c r="BQ81" s="91"/>
      <c r="BR81" s="91"/>
      <c r="BS81" s="91"/>
      <c r="BT81" s="91"/>
      <c r="BU81" s="91"/>
      <c r="BV81" s="91"/>
      <c r="BW81" s="91"/>
      <c r="BX81" s="91"/>
      <c r="BY81" s="91"/>
      <c r="BZ81" s="91"/>
      <c r="CA81" s="91"/>
      <c r="CC81" s="79" t="n">
        <f aca="false">SUMIFS($T81:$CA81, $T$1:$CA$1, CC$63)</f>
        <v>0</v>
      </c>
      <c r="CD81" s="79" t="n">
        <f aca="false">SUMIFS($T81:$CA81, $T$1:$CA$1, CD$63)</f>
        <v>0</v>
      </c>
      <c r="CE81" s="79" t="n">
        <f aca="false">SUMIFS($T81:$CA81, $T$1:$CA$1, CE$63)</f>
        <v>0</v>
      </c>
      <c r="CF81" s="79" t="n">
        <f aca="false">SUMIFS($T81:$CA81, $T$1:$CA$1, CF$63)</f>
        <v>0</v>
      </c>
      <c r="CG81" s="79" t="n">
        <f aca="false">SUMIFS($T81:$CA81, $T$1:$CA$1, CG$63)</f>
        <v>0</v>
      </c>
      <c r="CI81" s="79" t="n">
        <f aca="false">CC81=L81</f>
        <v>1</v>
      </c>
      <c r="CJ81" s="79" t="n">
        <f aca="false">CD81=M81</f>
        <v>1</v>
      </c>
      <c r="CK81" s="79" t="n">
        <f aca="false">CE81=N81</f>
        <v>1</v>
      </c>
      <c r="CL81" s="79" t="n">
        <f aca="false">CF81=O81</f>
        <v>1</v>
      </c>
      <c r="CM81" s="79" t="n">
        <f aca="false">CG81=P81</f>
        <v>1</v>
      </c>
    </row>
    <row r="82" s="14" customFormat="true" ht="16.5" hidden="false" customHeight="true" outlineLevel="0" collapsed="false">
      <c r="E82" s="91"/>
      <c r="H82" s="71"/>
      <c r="I82" s="91" t="n">
        <v>0</v>
      </c>
      <c r="J82" s="91" t="n">
        <v>0</v>
      </c>
      <c r="K82" s="212" t="n">
        <f aca="false">I82-J82</f>
        <v>0</v>
      </c>
      <c r="L82" s="91"/>
      <c r="M82" s="91"/>
      <c r="N82" s="91"/>
      <c r="O82" s="91"/>
      <c r="P82" s="91"/>
      <c r="Q82" s="93"/>
      <c r="R82" s="16" t="str">
        <f aca="false">IF(K82=P82, "", "Error")</f>
        <v/>
      </c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4"/>
      <c r="AF82" s="95"/>
      <c r="AG82" s="91"/>
      <c r="AH82" s="91"/>
      <c r="AI82" s="91"/>
      <c r="AJ82" s="91"/>
      <c r="AK82" s="91"/>
      <c r="AL82" s="91"/>
      <c r="AM82" s="91"/>
      <c r="AN82" s="91"/>
      <c r="AO82" s="91"/>
      <c r="AP82" s="91"/>
      <c r="AQ82" s="94"/>
      <c r="AR82" s="95"/>
      <c r="AS82" s="91"/>
      <c r="AT82" s="91"/>
      <c r="AU82" s="91"/>
      <c r="AV82" s="91"/>
      <c r="AW82" s="91"/>
      <c r="AX82" s="91"/>
      <c r="AY82" s="91"/>
      <c r="AZ82" s="91"/>
      <c r="BA82" s="91"/>
      <c r="BB82" s="91"/>
      <c r="BC82" s="94"/>
      <c r="BD82" s="95"/>
      <c r="BE82" s="91"/>
      <c r="BF82" s="91"/>
      <c r="BG82" s="91"/>
      <c r="BH82" s="91"/>
      <c r="BI82" s="91"/>
      <c r="BJ82" s="91"/>
      <c r="BK82" s="91"/>
      <c r="BL82" s="91"/>
      <c r="BM82" s="91"/>
      <c r="BN82" s="91"/>
      <c r="BO82" s="94"/>
      <c r="BP82" s="95"/>
      <c r="BQ82" s="91"/>
      <c r="BR82" s="91"/>
      <c r="BS82" s="91"/>
      <c r="BT82" s="91"/>
      <c r="BU82" s="91"/>
      <c r="BV82" s="91"/>
      <c r="BW82" s="91"/>
      <c r="BX82" s="91"/>
      <c r="BY82" s="91"/>
      <c r="BZ82" s="91"/>
      <c r="CA82" s="91"/>
      <c r="CC82" s="79" t="n">
        <f aca="false">SUMIFS($T82:$CA82, $T$1:$CA$1, CC$63)</f>
        <v>0</v>
      </c>
      <c r="CD82" s="79" t="n">
        <f aca="false">SUMIFS($T82:$CA82, $T$1:$CA$1, CD$63)</f>
        <v>0</v>
      </c>
      <c r="CE82" s="79" t="n">
        <f aca="false">SUMIFS($T82:$CA82, $T$1:$CA$1, CE$63)</f>
        <v>0</v>
      </c>
      <c r="CF82" s="79" t="n">
        <f aca="false">SUMIFS($T82:$CA82, $T$1:$CA$1, CF$63)</f>
        <v>0</v>
      </c>
      <c r="CG82" s="79" t="n">
        <f aca="false">SUMIFS($T82:$CA82, $T$1:$CA$1, CG$63)</f>
        <v>0</v>
      </c>
      <c r="CI82" s="79" t="n">
        <f aca="false">CC82=L82</f>
        <v>1</v>
      </c>
      <c r="CJ82" s="79" t="n">
        <f aca="false">CD82=M82</f>
        <v>1</v>
      </c>
      <c r="CK82" s="79" t="n">
        <f aca="false">CE82=N82</f>
        <v>1</v>
      </c>
      <c r="CL82" s="79" t="n">
        <f aca="false">CF82=O82</f>
        <v>1</v>
      </c>
      <c r="CM82" s="79" t="n">
        <f aca="false">CG82=P82</f>
        <v>1</v>
      </c>
    </row>
    <row r="83" s="14" customFormat="true" ht="16.5" hidden="false" customHeight="true" outlineLevel="0" collapsed="false">
      <c r="E83" s="91"/>
      <c r="H83" s="71"/>
      <c r="I83" s="91" t="n">
        <v>0</v>
      </c>
      <c r="J83" s="91" t="n">
        <v>0</v>
      </c>
      <c r="K83" s="212" t="n">
        <f aca="false">I83-J83</f>
        <v>0</v>
      </c>
      <c r="L83" s="91"/>
      <c r="M83" s="91"/>
      <c r="N83" s="91"/>
      <c r="O83" s="91"/>
      <c r="P83" s="91"/>
      <c r="Q83" s="93"/>
      <c r="R83" s="16" t="str">
        <f aca="false">IF(K83=P83, "", "Error")</f>
        <v/>
      </c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4"/>
      <c r="AF83" s="95"/>
      <c r="AG83" s="91"/>
      <c r="AH83" s="91"/>
      <c r="AI83" s="91"/>
      <c r="AJ83" s="91"/>
      <c r="AK83" s="91"/>
      <c r="AL83" s="91"/>
      <c r="AM83" s="91"/>
      <c r="AN83" s="91"/>
      <c r="AO83" s="91"/>
      <c r="AP83" s="91"/>
      <c r="AQ83" s="94"/>
      <c r="AR83" s="95"/>
      <c r="AS83" s="91"/>
      <c r="AT83" s="91"/>
      <c r="AU83" s="91"/>
      <c r="AV83" s="91"/>
      <c r="AW83" s="91"/>
      <c r="AX83" s="91"/>
      <c r="AY83" s="91"/>
      <c r="AZ83" s="91"/>
      <c r="BA83" s="91"/>
      <c r="BB83" s="91"/>
      <c r="BC83" s="94"/>
      <c r="BD83" s="95"/>
      <c r="BE83" s="91"/>
      <c r="BF83" s="91"/>
      <c r="BG83" s="91"/>
      <c r="BH83" s="91"/>
      <c r="BI83" s="91"/>
      <c r="BJ83" s="91"/>
      <c r="BK83" s="91"/>
      <c r="BL83" s="91"/>
      <c r="BM83" s="91"/>
      <c r="BN83" s="91"/>
      <c r="BO83" s="94"/>
      <c r="BP83" s="95"/>
      <c r="BQ83" s="91"/>
      <c r="BR83" s="91"/>
      <c r="BS83" s="91"/>
      <c r="BT83" s="91"/>
      <c r="BU83" s="91"/>
      <c r="BV83" s="91"/>
      <c r="BW83" s="91"/>
      <c r="BX83" s="91"/>
      <c r="BY83" s="91"/>
      <c r="BZ83" s="91"/>
      <c r="CA83" s="91"/>
      <c r="CC83" s="79" t="n">
        <f aca="false">SUMIFS($T83:$CA83, $T$1:$CA$1, CC$63)</f>
        <v>0</v>
      </c>
      <c r="CD83" s="79" t="n">
        <f aca="false">SUMIFS($T83:$CA83, $T$1:$CA$1, CD$63)</f>
        <v>0</v>
      </c>
      <c r="CE83" s="79" t="n">
        <f aca="false">SUMIFS($T83:$CA83, $T$1:$CA$1, CE$63)</f>
        <v>0</v>
      </c>
      <c r="CF83" s="79" t="n">
        <f aca="false">SUMIFS($T83:$CA83, $T$1:$CA$1, CF$63)</f>
        <v>0</v>
      </c>
      <c r="CG83" s="79" t="n">
        <f aca="false">SUMIFS($T83:$CA83, $T$1:$CA$1, CG$63)</f>
        <v>0</v>
      </c>
      <c r="CI83" s="79" t="n">
        <f aca="false">CC83=L83</f>
        <v>1</v>
      </c>
      <c r="CJ83" s="79" t="n">
        <f aca="false">CD83=M83</f>
        <v>1</v>
      </c>
      <c r="CK83" s="79" t="n">
        <f aca="false">CE83=N83</f>
        <v>1</v>
      </c>
      <c r="CL83" s="79" t="n">
        <f aca="false">CF83=O83</f>
        <v>1</v>
      </c>
      <c r="CM83" s="79" t="n">
        <f aca="false">CG83=P83</f>
        <v>1</v>
      </c>
    </row>
    <row r="84" s="14" customFormat="true" ht="16.5" hidden="false" customHeight="true" outlineLevel="0" collapsed="false">
      <c r="E84" s="96" t="s">
        <v>143</v>
      </c>
      <c r="H84" s="71"/>
      <c r="I84" s="82" t="n">
        <f aca="false">SUM(I79:I83)</f>
        <v>182.408995044027</v>
      </c>
      <c r="J84" s="82" t="n">
        <f aca="false">SUM(J79:J83)</f>
        <v>174.754545451885</v>
      </c>
      <c r="K84" s="82" t="n">
        <f aca="false">SUM(K79:K83)</f>
        <v>7.6544495921416</v>
      </c>
      <c r="L84" s="82" t="n">
        <f aca="false">SUM(L79:L83)</f>
        <v>0</v>
      </c>
      <c r="M84" s="82" t="n">
        <f aca="false">SUM(M79:M83)</f>
        <v>1.9136123980354</v>
      </c>
      <c r="N84" s="82" t="n">
        <f aca="false">SUM(N79:N83)</f>
        <v>7.6544495921416</v>
      </c>
      <c r="O84" s="82" t="n">
        <f aca="false">SUM(O79:O83)</f>
        <v>7.6544495921416</v>
      </c>
      <c r="P84" s="82" t="n">
        <f aca="false">SUM(P79:P83)</f>
        <v>7.6544495921416</v>
      </c>
      <c r="Q84" s="103"/>
      <c r="R84" s="103"/>
      <c r="S84" s="104"/>
      <c r="T84" s="82" t="n">
        <f aca="false">SUM(T79:T83)</f>
        <v>0</v>
      </c>
      <c r="U84" s="82" t="n">
        <f aca="false">SUM(U79:U83)</f>
        <v>0</v>
      </c>
      <c r="V84" s="82" t="n">
        <f aca="false">SUM(V79:V83)</f>
        <v>0</v>
      </c>
      <c r="W84" s="82" t="n">
        <f aca="false">SUM(W79:W83)</f>
        <v>0</v>
      </c>
      <c r="X84" s="82" t="n">
        <f aca="false">SUM(X79:X83)</f>
        <v>0</v>
      </c>
      <c r="Y84" s="82" t="n">
        <f aca="false">SUM(Y79:Y83)</f>
        <v>0</v>
      </c>
      <c r="Z84" s="82" t="n">
        <f aca="false">SUM(Z79:Z83)</f>
        <v>0</v>
      </c>
      <c r="AA84" s="82" t="n">
        <f aca="false">SUM(AA79:AA83)</f>
        <v>0</v>
      </c>
      <c r="AB84" s="82" t="n">
        <f aca="false">SUM(AB79:AB83)</f>
        <v>0</v>
      </c>
      <c r="AC84" s="82" t="n">
        <f aca="false">SUM(AC79:AC83)</f>
        <v>0</v>
      </c>
      <c r="AD84" s="82" t="n">
        <f aca="false">SUM(AD79:AD83)</f>
        <v>0</v>
      </c>
      <c r="AE84" s="82" t="n">
        <f aca="false">SUM(AE79:AE83)</f>
        <v>0</v>
      </c>
      <c r="AF84" s="82" t="n">
        <f aca="false">SUM(AF79:AF83)</f>
        <v>0</v>
      </c>
      <c r="AG84" s="82" t="n">
        <f aca="false">SUM(AG79:AG83)</f>
        <v>0</v>
      </c>
      <c r="AH84" s="82" t="n">
        <f aca="false">SUM(AH79:AH83)</f>
        <v>0</v>
      </c>
      <c r="AI84" s="82" t="n">
        <f aca="false">SUM(AI79:AI83)</f>
        <v>0</v>
      </c>
      <c r="AJ84" s="82" t="n">
        <f aca="false">SUM(AJ79:AJ83)</f>
        <v>0</v>
      </c>
      <c r="AK84" s="82" t="n">
        <f aca="false">SUM(AK79:AK83)</f>
        <v>0</v>
      </c>
      <c r="AL84" s="82" t="n">
        <f aca="false">SUM(AL79:AL83)</f>
        <v>0.0531558999454278</v>
      </c>
      <c r="AM84" s="82" t="n">
        <f aca="false">SUM(AM79:AM83)</f>
        <v>0.159467699836283</v>
      </c>
      <c r="AN84" s="82" t="n">
        <f aca="false">SUM(AN79:AN83)</f>
        <v>0.265779499727139</v>
      </c>
      <c r="AO84" s="82" t="n">
        <f aca="false">SUM(AO79:AO83)</f>
        <v>0.372091299617995</v>
      </c>
      <c r="AP84" s="82" t="n">
        <f aca="false">SUM(AP79:AP83)</f>
        <v>0.47840309950885</v>
      </c>
      <c r="AQ84" s="82" t="n">
        <f aca="false">SUM(AQ79:AQ83)</f>
        <v>0.584714899399706</v>
      </c>
      <c r="AR84" s="82" t="n">
        <f aca="false">SUM(AR79:AR83)</f>
        <v>0.637870799345133</v>
      </c>
      <c r="AS84" s="82" t="n">
        <f aca="false">SUM(AS79:AS83)</f>
        <v>0.637870799345133</v>
      </c>
      <c r="AT84" s="82" t="n">
        <f aca="false">SUM(AT79:AT83)</f>
        <v>0.637870799345133</v>
      </c>
      <c r="AU84" s="82" t="n">
        <f aca="false">SUM(AU79:AU83)</f>
        <v>0.637870799345133</v>
      </c>
      <c r="AV84" s="82" t="n">
        <f aca="false">SUM(AV79:AV83)</f>
        <v>0.637870799345133</v>
      </c>
      <c r="AW84" s="82" t="n">
        <f aca="false">SUM(AW79:AW83)</f>
        <v>0.637870799345133</v>
      </c>
      <c r="AX84" s="82" t="n">
        <f aca="false">SUM(AX79:AX83)</f>
        <v>0.637870799345133</v>
      </c>
      <c r="AY84" s="82" t="n">
        <f aca="false">SUM(AY79:AY83)</f>
        <v>0.637870799345133</v>
      </c>
      <c r="AZ84" s="82" t="n">
        <f aca="false">SUM(AZ79:AZ83)</f>
        <v>0.637870799345133</v>
      </c>
      <c r="BA84" s="82" t="n">
        <f aca="false">SUM(BA79:BA83)</f>
        <v>0.637870799345133</v>
      </c>
      <c r="BB84" s="82" t="n">
        <f aca="false">SUM(BB79:BB83)</f>
        <v>0.637870799345133</v>
      </c>
      <c r="BC84" s="82" t="n">
        <f aca="false">SUM(BC79:BC83)</f>
        <v>0.637870799345133</v>
      </c>
      <c r="BD84" s="82" t="n">
        <f aca="false">SUM(BD79:BD83)</f>
        <v>0.637870799345133</v>
      </c>
      <c r="BE84" s="82" t="n">
        <f aca="false">SUM(BE79:BE83)</f>
        <v>0.637870799345133</v>
      </c>
      <c r="BF84" s="82" t="n">
        <f aca="false">SUM(BF79:BF83)</f>
        <v>0.637870799345133</v>
      </c>
      <c r="BG84" s="82" t="n">
        <f aca="false">SUM(BG79:BG83)</f>
        <v>0.637870799345133</v>
      </c>
      <c r="BH84" s="82" t="n">
        <f aca="false">SUM(BH79:BH83)</f>
        <v>0.637870799345133</v>
      </c>
      <c r="BI84" s="82" t="n">
        <f aca="false">SUM(BI79:BI83)</f>
        <v>0.637870799345133</v>
      </c>
      <c r="BJ84" s="82" t="n">
        <f aca="false">SUM(BJ79:BJ83)</f>
        <v>0.637870799345133</v>
      </c>
      <c r="BK84" s="82" t="n">
        <f aca="false">SUM(BK79:BK83)</f>
        <v>0.637870799345133</v>
      </c>
      <c r="BL84" s="82" t="n">
        <f aca="false">SUM(BL79:BL83)</f>
        <v>0.637870799345133</v>
      </c>
      <c r="BM84" s="82" t="n">
        <f aca="false">SUM(BM79:BM83)</f>
        <v>0.637870799345133</v>
      </c>
      <c r="BN84" s="82" t="n">
        <f aca="false">SUM(BN79:BN83)</f>
        <v>0.637870799345133</v>
      </c>
      <c r="BO84" s="82" t="n">
        <f aca="false">SUM(BO79:BO83)</f>
        <v>0.637870799345133</v>
      </c>
      <c r="BP84" s="82" t="n">
        <f aca="false">SUM(BP79:BP83)</f>
        <v>0.637870799345133</v>
      </c>
      <c r="BQ84" s="82" t="n">
        <f aca="false">SUM(BQ79:BQ83)</f>
        <v>0.637870799345133</v>
      </c>
      <c r="BR84" s="82" t="n">
        <f aca="false">SUM(BR79:BR83)</f>
        <v>0.637870799345133</v>
      </c>
      <c r="BS84" s="82" t="n">
        <f aca="false">SUM(BS79:BS83)</f>
        <v>0.637870799345133</v>
      </c>
      <c r="BT84" s="82" t="n">
        <f aca="false">SUM(BT79:BT83)</f>
        <v>0.637870799345133</v>
      </c>
      <c r="BU84" s="82" t="n">
        <f aca="false">SUM(BU79:BU83)</f>
        <v>0.637870799345133</v>
      </c>
      <c r="BV84" s="82" t="n">
        <f aca="false">SUM(BV79:BV83)</f>
        <v>0.637870799345133</v>
      </c>
      <c r="BW84" s="82" t="n">
        <f aca="false">SUM(BW79:BW83)</f>
        <v>0.637870799345133</v>
      </c>
      <c r="BX84" s="82" t="n">
        <f aca="false">SUM(BX79:BX83)</f>
        <v>0.637870799345133</v>
      </c>
      <c r="BY84" s="82" t="n">
        <f aca="false">SUM(BY79:BY83)</f>
        <v>0.637870799345133</v>
      </c>
      <c r="BZ84" s="82" t="n">
        <f aca="false">SUM(BZ79:BZ83)</f>
        <v>0.637870799345133</v>
      </c>
      <c r="CA84" s="82" t="n">
        <f aca="false">SUM(CA79:CA83)</f>
        <v>0.637870799345133</v>
      </c>
      <c r="CB84" s="104"/>
      <c r="CC84" s="105" t="n">
        <f aca="false">SUM(CC79:CC83)</f>
        <v>0</v>
      </c>
      <c r="CD84" s="105" t="n">
        <f aca="false">SUM(CD79:CD83)</f>
        <v>1.9136123980354</v>
      </c>
      <c r="CE84" s="105" t="n">
        <f aca="false">SUM(CE79:CE83)</f>
        <v>7.6544495921416</v>
      </c>
      <c r="CF84" s="105" t="n">
        <f aca="false">SUM(CF79:CF83)</f>
        <v>7.6544495921416</v>
      </c>
      <c r="CG84" s="105" t="n">
        <f aca="false">SUM(CG79:CG83)</f>
        <v>7.6544495921416</v>
      </c>
      <c r="CI84" s="84" t="n">
        <f aca="false">CC84=L84</f>
        <v>1</v>
      </c>
      <c r="CJ84" s="84" t="n">
        <f aca="false">CD84=M84</f>
        <v>1</v>
      </c>
      <c r="CK84" s="84" t="n">
        <f aca="false">CE84=N84</f>
        <v>1</v>
      </c>
      <c r="CL84" s="84" t="n">
        <f aca="false">CF84=O84</f>
        <v>1</v>
      </c>
      <c r="CM84" s="84" t="n">
        <f aca="false">CG84=P84</f>
        <v>1</v>
      </c>
    </row>
    <row r="85" s="14" customFormat="true" ht="16.5" hidden="false" customHeight="true" outlineLevel="0" collapsed="false">
      <c r="E85" s="96"/>
      <c r="H85" s="71"/>
      <c r="I85" s="82"/>
      <c r="J85" s="82"/>
      <c r="K85" s="82"/>
      <c r="L85" s="82"/>
      <c r="M85" s="82"/>
      <c r="N85" s="82"/>
      <c r="O85" s="82"/>
      <c r="P85" s="82"/>
      <c r="Q85" s="16"/>
      <c r="R85" s="16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3"/>
      <c r="AG85" s="82"/>
      <c r="AH85" s="82"/>
      <c r="AI85" s="82"/>
      <c r="AJ85" s="82"/>
      <c r="AK85" s="82"/>
      <c r="AL85" s="82"/>
      <c r="AM85" s="82"/>
      <c r="AN85" s="82"/>
      <c r="AO85" s="82"/>
      <c r="AP85" s="82"/>
      <c r="AQ85" s="82"/>
      <c r="AR85" s="83"/>
      <c r="AS85" s="82"/>
      <c r="AT85" s="82"/>
      <c r="AU85" s="82"/>
      <c r="AV85" s="82"/>
      <c r="AW85" s="82"/>
      <c r="AX85" s="82"/>
      <c r="AY85" s="82"/>
      <c r="AZ85" s="82"/>
      <c r="BA85" s="82"/>
      <c r="BB85" s="82"/>
      <c r="BC85" s="82"/>
      <c r="BD85" s="83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3"/>
      <c r="BQ85" s="82"/>
      <c r="BR85" s="82"/>
      <c r="BS85" s="82"/>
      <c r="BT85" s="82"/>
      <c r="BU85" s="82"/>
      <c r="BV85" s="82"/>
      <c r="BW85" s="82"/>
      <c r="BX85" s="82"/>
      <c r="BY85" s="82"/>
      <c r="BZ85" s="82"/>
      <c r="CA85" s="82"/>
      <c r="CC85" s="84"/>
      <c r="CD85" s="84"/>
      <c r="CE85" s="84"/>
      <c r="CF85" s="84"/>
      <c r="CG85" s="84"/>
      <c r="CI85" s="84"/>
      <c r="CJ85" s="84"/>
      <c r="CK85" s="84"/>
      <c r="CL85" s="84"/>
      <c r="CM85" s="84"/>
    </row>
    <row r="86" s="14" customFormat="true" ht="16.5" hidden="false" customHeight="true" outlineLevel="0" collapsed="false">
      <c r="E86" s="96"/>
      <c r="H86" s="71"/>
      <c r="I86" s="82"/>
      <c r="J86" s="82"/>
      <c r="K86" s="82"/>
      <c r="L86" s="82"/>
      <c r="M86" s="82"/>
      <c r="N86" s="82"/>
      <c r="O86" s="82"/>
      <c r="P86" s="82"/>
      <c r="Q86" s="16"/>
      <c r="R86" s="16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3"/>
      <c r="AG86" s="82"/>
      <c r="AH86" s="82"/>
      <c r="AI86" s="82"/>
      <c r="AJ86" s="82"/>
      <c r="AK86" s="82"/>
      <c r="AL86" s="82"/>
      <c r="AM86" s="82"/>
      <c r="AN86" s="82"/>
      <c r="AO86" s="82"/>
      <c r="AP86" s="82"/>
      <c r="AQ86" s="82"/>
      <c r="AR86" s="83"/>
      <c r="AS86" s="82"/>
      <c r="AT86" s="82"/>
      <c r="AU86" s="82"/>
      <c r="AV86" s="82"/>
      <c r="AW86" s="82"/>
      <c r="AX86" s="82"/>
      <c r="AY86" s="82"/>
      <c r="AZ86" s="82"/>
      <c r="BA86" s="82"/>
      <c r="BB86" s="82"/>
      <c r="BC86" s="82"/>
      <c r="BD86" s="83"/>
      <c r="BE86" s="82"/>
      <c r="BF86" s="82"/>
      <c r="BG86" s="82"/>
      <c r="BH86" s="82"/>
      <c r="BI86" s="82"/>
      <c r="BJ86" s="82"/>
      <c r="BK86" s="82"/>
      <c r="BL86" s="82"/>
      <c r="BM86" s="82"/>
      <c r="BN86" s="82"/>
      <c r="BO86" s="82"/>
      <c r="BP86" s="83"/>
      <c r="BQ86" s="82"/>
      <c r="BR86" s="82"/>
      <c r="BS86" s="82"/>
      <c r="BT86" s="82"/>
      <c r="BU86" s="82"/>
      <c r="BV86" s="82"/>
      <c r="BW86" s="82"/>
      <c r="BX86" s="82"/>
      <c r="BY86" s="82"/>
      <c r="BZ86" s="82"/>
      <c r="CA86" s="82"/>
      <c r="CC86" s="84"/>
      <c r="CD86" s="84"/>
      <c r="CE86" s="84"/>
      <c r="CF86" s="84"/>
      <c r="CG86" s="84"/>
      <c r="CI86" s="84"/>
      <c r="CJ86" s="84"/>
      <c r="CK86" s="84"/>
      <c r="CL86" s="84"/>
      <c r="CM86" s="84"/>
    </row>
    <row r="87" s="14" customFormat="true" ht="16.5" hidden="false" customHeight="true" outlineLevel="0" collapsed="false">
      <c r="E87" s="85"/>
      <c r="H87" s="71"/>
      <c r="I87" s="88"/>
      <c r="J87" s="88"/>
      <c r="K87" s="88"/>
      <c r="L87" s="88"/>
      <c r="M87" s="88"/>
      <c r="N87" s="88"/>
      <c r="O87" s="88"/>
      <c r="P87" s="88"/>
      <c r="Q87" s="16"/>
      <c r="R87" s="16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9"/>
      <c r="AG87" s="88"/>
      <c r="AH87" s="88"/>
      <c r="AI87" s="88"/>
      <c r="AJ87" s="88"/>
      <c r="AK87" s="88"/>
      <c r="AL87" s="88"/>
      <c r="AM87" s="88"/>
      <c r="AN87" s="88"/>
      <c r="AO87" s="88"/>
      <c r="AP87" s="88"/>
      <c r="AQ87" s="88"/>
      <c r="AR87" s="89"/>
      <c r="AS87" s="88"/>
      <c r="AT87" s="88"/>
      <c r="AU87" s="88"/>
      <c r="AV87" s="88"/>
      <c r="AW87" s="88"/>
      <c r="AX87" s="88"/>
      <c r="AY87" s="88"/>
      <c r="AZ87" s="88"/>
      <c r="BA87" s="88"/>
      <c r="BB87" s="88"/>
      <c r="BC87" s="88"/>
      <c r="BD87" s="89"/>
      <c r="BE87" s="88"/>
      <c r="BF87" s="88"/>
      <c r="BG87" s="88"/>
      <c r="BH87" s="88"/>
      <c r="BI87" s="88"/>
      <c r="BJ87" s="88"/>
      <c r="BK87" s="88"/>
      <c r="BL87" s="88"/>
      <c r="BM87" s="88"/>
      <c r="BN87" s="88"/>
      <c r="BO87" s="88"/>
      <c r="BP87" s="89"/>
      <c r="BQ87" s="88"/>
      <c r="BR87" s="88"/>
      <c r="BS87" s="88"/>
      <c r="BT87" s="88"/>
      <c r="BU87" s="88"/>
      <c r="BV87" s="88"/>
      <c r="BW87" s="88"/>
      <c r="BX87" s="88"/>
      <c r="BY87" s="88"/>
      <c r="BZ87" s="88"/>
      <c r="CA87" s="88"/>
      <c r="CC87" s="90"/>
      <c r="CD87" s="90"/>
      <c r="CE87" s="90"/>
      <c r="CF87" s="90"/>
      <c r="CG87" s="90"/>
      <c r="CI87" s="90"/>
      <c r="CJ87" s="90"/>
      <c r="CK87" s="90"/>
      <c r="CL87" s="90"/>
      <c r="CM87" s="90"/>
    </row>
    <row r="88" s="14" customFormat="true" ht="16.5" hidden="false" customHeight="true" outlineLevel="0" collapsed="false">
      <c r="E88" s="109" t="s">
        <v>144</v>
      </c>
      <c r="F88" s="109"/>
      <c r="G88" s="109"/>
      <c r="H88" s="110"/>
      <c r="I88" s="217" t="n">
        <f aca="false">SUM(I68, I76, I84)</f>
        <v>182.408995044027</v>
      </c>
      <c r="J88" s="217" t="n">
        <f aca="false">SUM(J68, J76, J84)</f>
        <v>174.754545451885</v>
      </c>
      <c r="K88" s="217" t="n">
        <f aca="false">SUM(K68, K76, K84)</f>
        <v>7.6544495921416</v>
      </c>
      <c r="L88" s="217" t="n">
        <f aca="false">SUM(L68, L76, L84)</f>
        <v>0</v>
      </c>
      <c r="M88" s="217" t="n">
        <f aca="false">SUM(M68, M76, M84)</f>
        <v>1.9136123980354</v>
      </c>
      <c r="N88" s="217" t="n">
        <f aca="false">SUM(N68, N76, N84)</f>
        <v>7.6544495921416</v>
      </c>
      <c r="O88" s="217" t="n">
        <f aca="false">SUM(O68, O76, O84)</f>
        <v>7.6544495921416</v>
      </c>
      <c r="P88" s="217" t="n">
        <f aca="false">SUM(P68, P76, P84)</f>
        <v>7.6544495921416</v>
      </c>
      <c r="Q88" s="16"/>
      <c r="R88" s="16"/>
      <c r="T88" s="218" t="n">
        <f aca="false">SUM(T68, T76, T84)</f>
        <v>0</v>
      </c>
      <c r="U88" s="218" t="n">
        <f aca="false">SUM(U68, U76, U84)</f>
        <v>0</v>
      </c>
      <c r="V88" s="218" t="n">
        <f aca="false">SUM(V68, V76, V84)</f>
        <v>0</v>
      </c>
      <c r="W88" s="218" t="n">
        <f aca="false">SUM(W68, W76, W84)</f>
        <v>0</v>
      </c>
      <c r="X88" s="218" t="n">
        <f aca="false">SUM(X68, X76, X84)</f>
        <v>0</v>
      </c>
      <c r="Y88" s="218" t="n">
        <f aca="false">SUM(Y68, Y76, Y84)</f>
        <v>0</v>
      </c>
      <c r="Z88" s="218" t="n">
        <f aca="false">SUM(Z68, Z76, Z84)</f>
        <v>0</v>
      </c>
      <c r="AA88" s="218" t="n">
        <f aca="false">SUM(AA68, AA76, AA84)</f>
        <v>0</v>
      </c>
      <c r="AB88" s="218" t="n">
        <f aca="false">SUM(AB68, AB76, AB84)</f>
        <v>0</v>
      </c>
      <c r="AC88" s="218" t="n">
        <f aca="false">SUM(AC68, AC76, AC84)</f>
        <v>0</v>
      </c>
      <c r="AD88" s="218" t="n">
        <f aca="false">SUM(AD68, AD76, AD84)</f>
        <v>0</v>
      </c>
      <c r="AE88" s="218" t="n">
        <f aca="false">SUM(AE68, AE76, AE84)</f>
        <v>0</v>
      </c>
      <c r="AF88" s="218" t="n">
        <f aca="false">SUM(AF68, AF76, AF84)</f>
        <v>0</v>
      </c>
      <c r="AG88" s="218" t="n">
        <f aca="false">SUM(AG68, AG76, AG84)</f>
        <v>0</v>
      </c>
      <c r="AH88" s="218" t="n">
        <f aca="false">SUM(AH68, AH76, AH84)</f>
        <v>0</v>
      </c>
      <c r="AI88" s="218" t="n">
        <f aca="false">SUM(AI68, AI76, AI84)</f>
        <v>0</v>
      </c>
      <c r="AJ88" s="218" t="n">
        <f aca="false">SUM(AJ68, AJ76, AJ84)</f>
        <v>0</v>
      </c>
      <c r="AK88" s="218" t="n">
        <f aca="false">SUM(AK68, AK76, AK84)</f>
        <v>0</v>
      </c>
      <c r="AL88" s="218" t="n">
        <f aca="false">SUM(AL68, AL76, AL84)</f>
        <v>0.0531558999454278</v>
      </c>
      <c r="AM88" s="218" t="n">
        <f aca="false">SUM(AM68, AM76, AM84)</f>
        <v>0.159467699836283</v>
      </c>
      <c r="AN88" s="218" t="n">
        <f aca="false">SUM(AN68, AN76, AN84)</f>
        <v>0.265779499727139</v>
      </c>
      <c r="AO88" s="218" t="n">
        <f aca="false">SUM(AO68, AO76, AO84)</f>
        <v>0.372091299617995</v>
      </c>
      <c r="AP88" s="218" t="n">
        <f aca="false">SUM(AP68, AP76, AP84)</f>
        <v>0.47840309950885</v>
      </c>
      <c r="AQ88" s="218" t="n">
        <f aca="false">SUM(AQ68, AQ76, AQ84)</f>
        <v>0.584714899399706</v>
      </c>
      <c r="AR88" s="218" t="n">
        <f aca="false">SUM(AR68, AR76, AR84)</f>
        <v>0.637870799345133</v>
      </c>
      <c r="AS88" s="218" t="n">
        <f aca="false">SUM(AS68, AS76, AS84)</f>
        <v>0.637870799345133</v>
      </c>
      <c r="AT88" s="218" t="n">
        <f aca="false">SUM(AT68, AT76, AT84)</f>
        <v>0.637870799345133</v>
      </c>
      <c r="AU88" s="218" t="n">
        <f aca="false">SUM(AU68, AU76, AU84)</f>
        <v>0.637870799345133</v>
      </c>
      <c r="AV88" s="218" t="n">
        <f aca="false">SUM(AV68, AV76, AV84)</f>
        <v>0.637870799345133</v>
      </c>
      <c r="AW88" s="218" t="n">
        <f aca="false">SUM(AW68, AW76, AW84)</f>
        <v>0.637870799345133</v>
      </c>
      <c r="AX88" s="218" t="n">
        <f aca="false">SUM(AX68, AX76, AX84)</f>
        <v>0.637870799345133</v>
      </c>
      <c r="AY88" s="218" t="n">
        <f aca="false">SUM(AY68, AY76, AY84)</f>
        <v>0.637870799345133</v>
      </c>
      <c r="AZ88" s="218" t="n">
        <f aca="false">SUM(AZ68, AZ76, AZ84)</f>
        <v>0.637870799345133</v>
      </c>
      <c r="BA88" s="218" t="n">
        <f aca="false">SUM(BA68, BA76, BA84)</f>
        <v>0.637870799345133</v>
      </c>
      <c r="BB88" s="218" t="n">
        <f aca="false">SUM(BB68, BB76, BB84)</f>
        <v>0.637870799345133</v>
      </c>
      <c r="BC88" s="218" t="n">
        <f aca="false">SUM(BC68, BC76, BC84)</f>
        <v>0.637870799345133</v>
      </c>
      <c r="BD88" s="218" t="n">
        <f aca="false">SUM(BD68, BD76, BD84)</f>
        <v>0.637870799345133</v>
      </c>
      <c r="BE88" s="218" t="n">
        <f aca="false">SUM(BE68, BE76, BE84)</f>
        <v>0.637870799345133</v>
      </c>
      <c r="BF88" s="218" t="n">
        <f aca="false">SUM(BF68, BF76, BF84)</f>
        <v>0.637870799345133</v>
      </c>
      <c r="BG88" s="218" t="n">
        <f aca="false">SUM(BG68, BG76, BG84)</f>
        <v>0.637870799345133</v>
      </c>
      <c r="BH88" s="218" t="n">
        <f aca="false">SUM(BH68, BH76, BH84)</f>
        <v>0.637870799345133</v>
      </c>
      <c r="BI88" s="218" t="n">
        <f aca="false">SUM(BI68, BI76, BI84)</f>
        <v>0.637870799345133</v>
      </c>
      <c r="BJ88" s="218" t="n">
        <f aca="false">SUM(BJ68, BJ76, BJ84)</f>
        <v>0.637870799345133</v>
      </c>
      <c r="BK88" s="218" t="n">
        <f aca="false">SUM(BK68, BK76, BK84)</f>
        <v>0.637870799345133</v>
      </c>
      <c r="BL88" s="218" t="n">
        <f aca="false">SUM(BL68, BL76, BL84)</f>
        <v>0.637870799345133</v>
      </c>
      <c r="BM88" s="218" t="n">
        <f aca="false">SUM(BM68, BM76, BM84)</f>
        <v>0.637870799345133</v>
      </c>
      <c r="BN88" s="218" t="n">
        <f aca="false">SUM(BN68, BN76, BN84)</f>
        <v>0.637870799345133</v>
      </c>
      <c r="BO88" s="218" t="n">
        <f aca="false">SUM(BO68, BO76, BO84)</f>
        <v>0.637870799345133</v>
      </c>
      <c r="BP88" s="218" t="n">
        <f aca="false">SUM(BP68, BP76, BP84)</f>
        <v>0.637870799345133</v>
      </c>
      <c r="BQ88" s="218" t="n">
        <f aca="false">SUM(BQ68, BQ76, BQ84)</f>
        <v>0.637870799345133</v>
      </c>
      <c r="BR88" s="218" t="n">
        <f aca="false">SUM(BR68, BR76, BR84)</f>
        <v>0.637870799345133</v>
      </c>
      <c r="BS88" s="218" t="n">
        <f aca="false">SUM(BS68, BS76, BS84)</f>
        <v>0.637870799345133</v>
      </c>
      <c r="BT88" s="218" t="n">
        <f aca="false">SUM(BT68, BT76, BT84)</f>
        <v>0.637870799345133</v>
      </c>
      <c r="BU88" s="218" t="n">
        <f aca="false">SUM(BU68, BU76, BU84)</f>
        <v>0.637870799345133</v>
      </c>
      <c r="BV88" s="218" t="n">
        <f aca="false">SUM(BV68, BV76, BV84)</f>
        <v>0.637870799345133</v>
      </c>
      <c r="BW88" s="218" t="n">
        <f aca="false">SUM(BW68, BW76, BW84)</f>
        <v>0.637870799345133</v>
      </c>
      <c r="BX88" s="218" t="n">
        <f aca="false">SUM(BX68, BX76, BX84)</f>
        <v>0.637870799345133</v>
      </c>
      <c r="BY88" s="218" t="n">
        <f aca="false">SUM(BY68, BY76, BY84)</f>
        <v>0.637870799345133</v>
      </c>
      <c r="BZ88" s="218" t="n">
        <f aca="false">SUM(BZ68, BZ76, BZ84)</f>
        <v>0.637870799345133</v>
      </c>
      <c r="CA88" s="218" t="n">
        <f aca="false">SUM(CA68, CA76, CA84)</f>
        <v>0.637870799345133</v>
      </c>
      <c r="CC88" s="112" t="n">
        <f aca="false">SUM(CC68, CC76, CC84)</f>
        <v>0</v>
      </c>
      <c r="CD88" s="112" t="n">
        <f aca="false">SUM(CD68, CD76, CD84)</f>
        <v>1.9136123980354</v>
      </c>
      <c r="CE88" s="112" t="n">
        <f aca="false">SUM(CE68, CE76, CE84)</f>
        <v>7.6544495921416</v>
      </c>
      <c r="CF88" s="112" t="n">
        <f aca="false">SUM(CF68, CF76, CF84)</f>
        <v>7.6544495921416</v>
      </c>
      <c r="CG88" s="112" t="n">
        <f aca="false">SUM(CG68, CG76, CG84)</f>
        <v>7.6544495921416</v>
      </c>
      <c r="CH88" s="112" t="n">
        <f aca="false">SUM(CH68, CH76, CH84)</f>
        <v>0</v>
      </c>
      <c r="CI88" s="113" t="n">
        <f aca="false">CC88=L88</f>
        <v>1</v>
      </c>
      <c r="CJ88" s="113" t="n">
        <f aca="false">CD88=M88</f>
        <v>1</v>
      </c>
      <c r="CK88" s="113" t="n">
        <f aca="false">CE88=N88</f>
        <v>1</v>
      </c>
      <c r="CL88" s="113" t="n">
        <f aca="false">CF88=O88</f>
        <v>1</v>
      </c>
      <c r="CM88" s="113" t="n">
        <f aca="false">CG88=P88</f>
        <v>1</v>
      </c>
    </row>
    <row r="89" s="14" customFormat="true" ht="16.5" hidden="false" customHeight="true" outlineLevel="0" collapsed="false">
      <c r="H89" s="29"/>
      <c r="Q89" s="16"/>
      <c r="R89" s="16"/>
    </row>
    <row r="90" s="14" customFormat="true" ht="16.5" hidden="false" customHeight="true" outlineLevel="0" collapsed="false">
      <c r="H90" s="29"/>
      <c r="Q90" s="16"/>
      <c r="R90" s="16"/>
      <c r="T90" s="62" t="n">
        <v>2026</v>
      </c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62" t="n">
        <v>2027</v>
      </c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62" t="n">
        <v>2028</v>
      </c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62" t="n">
        <v>2029</v>
      </c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62" t="n">
        <v>2030</v>
      </c>
      <c r="BQ90" s="130"/>
      <c r="BR90" s="130"/>
      <c r="BS90" s="130"/>
      <c r="BT90" s="130"/>
      <c r="BU90" s="130"/>
      <c r="BV90" s="130"/>
      <c r="BW90" s="130"/>
      <c r="BX90" s="130"/>
      <c r="BY90" s="130"/>
      <c r="BZ90" s="130"/>
      <c r="CA90" s="130"/>
      <c r="CI90" s="211" t="s">
        <v>426</v>
      </c>
      <c r="CJ90" s="211"/>
      <c r="CK90" s="211"/>
      <c r="CL90" s="211"/>
      <c r="CM90" s="211"/>
    </row>
    <row r="91" s="14" customFormat="true" ht="16.5" hidden="false" customHeight="true" outlineLevel="0" collapsed="false">
      <c r="D91" s="30" t="s">
        <v>145</v>
      </c>
      <c r="E91" s="31"/>
      <c r="F91" s="31"/>
      <c r="G91" s="31"/>
      <c r="H91" s="219" t="s">
        <v>130</v>
      </c>
      <c r="I91" s="31" t="s">
        <v>77</v>
      </c>
      <c r="J91" s="31" t="s">
        <v>104</v>
      </c>
      <c r="K91" s="31" t="s">
        <v>131</v>
      </c>
      <c r="L91" s="31" t="n">
        <v>2026</v>
      </c>
      <c r="M91" s="31" t="n">
        <f aca="false">L91+1</f>
        <v>2027</v>
      </c>
      <c r="N91" s="31" t="n">
        <f aca="false">M91+1</f>
        <v>2028</v>
      </c>
      <c r="O91" s="31" t="n">
        <f aca="false">N91+1</f>
        <v>2029</v>
      </c>
      <c r="P91" s="31" t="n">
        <f aca="false">O91+1</f>
        <v>2030</v>
      </c>
      <c r="Q91" s="31" t="s">
        <v>132</v>
      </c>
      <c r="R91" s="31" t="s">
        <v>75</v>
      </c>
      <c r="T91" s="59" t="n">
        <v>46023</v>
      </c>
      <c r="U91" s="60" t="n">
        <f aca="false">EOMONTH(T91, 1)</f>
        <v>46081</v>
      </c>
      <c r="V91" s="60" t="n">
        <f aca="false">EOMONTH(U91, 1)</f>
        <v>46112</v>
      </c>
      <c r="W91" s="60" t="n">
        <f aca="false">EOMONTH(V91, 1)</f>
        <v>46142</v>
      </c>
      <c r="X91" s="60" t="n">
        <f aca="false">EOMONTH(W91, 1)</f>
        <v>46173</v>
      </c>
      <c r="Y91" s="60" t="n">
        <f aca="false">EOMONTH(X91, 1)</f>
        <v>46203</v>
      </c>
      <c r="Z91" s="60" t="n">
        <f aca="false">EOMONTH(Y91, 1)</f>
        <v>46234</v>
      </c>
      <c r="AA91" s="60" t="n">
        <f aca="false">EOMONTH(Z91, 1)</f>
        <v>46265</v>
      </c>
      <c r="AB91" s="60" t="n">
        <f aca="false">EOMONTH(AA91, 1)</f>
        <v>46295</v>
      </c>
      <c r="AC91" s="60" t="n">
        <f aca="false">EOMONTH(AB91, 1)</f>
        <v>46326</v>
      </c>
      <c r="AD91" s="60" t="n">
        <f aca="false">EOMONTH(AC91, 1)</f>
        <v>46356</v>
      </c>
      <c r="AE91" s="61" t="n">
        <f aca="false">EOMONTH(AD91, 1)</f>
        <v>46387</v>
      </c>
      <c r="AF91" s="59" t="n">
        <f aca="false">EOMONTH(AE91, 1)</f>
        <v>46418</v>
      </c>
      <c r="AG91" s="60" t="n">
        <f aca="false">EOMONTH(AF91, 1)</f>
        <v>46446</v>
      </c>
      <c r="AH91" s="60" t="n">
        <f aca="false">EOMONTH(AG91, 1)</f>
        <v>46477</v>
      </c>
      <c r="AI91" s="60" t="n">
        <f aca="false">EOMONTH(AH91, 1)</f>
        <v>46507</v>
      </c>
      <c r="AJ91" s="60" t="n">
        <f aca="false">EOMONTH(AI91, 1)</f>
        <v>46538</v>
      </c>
      <c r="AK91" s="60" t="n">
        <f aca="false">EOMONTH(AJ91, 1)</f>
        <v>46568</v>
      </c>
      <c r="AL91" s="60" t="n">
        <f aca="false">EOMONTH(AK91, 1)</f>
        <v>46599</v>
      </c>
      <c r="AM91" s="60" t="n">
        <f aca="false">EOMONTH(AL91, 1)</f>
        <v>46630</v>
      </c>
      <c r="AN91" s="60" t="n">
        <f aca="false">EOMONTH(AM91, 1)</f>
        <v>46660</v>
      </c>
      <c r="AO91" s="60" t="n">
        <f aca="false">EOMONTH(AN91, 1)</f>
        <v>46691</v>
      </c>
      <c r="AP91" s="60" t="n">
        <f aca="false">EOMONTH(AO91, 1)</f>
        <v>46721</v>
      </c>
      <c r="AQ91" s="61" t="n">
        <f aca="false">EOMONTH(AP91, 1)</f>
        <v>46752</v>
      </c>
      <c r="AR91" s="59" t="n">
        <f aca="false">EOMONTH(AQ91, 1)</f>
        <v>46783</v>
      </c>
      <c r="AS91" s="60" t="n">
        <f aca="false">EOMONTH(AR91, 1)</f>
        <v>46812</v>
      </c>
      <c r="AT91" s="60" t="n">
        <f aca="false">EOMONTH(AS91, 1)</f>
        <v>46843</v>
      </c>
      <c r="AU91" s="60" t="n">
        <f aca="false">EOMONTH(AT91, 1)</f>
        <v>46873</v>
      </c>
      <c r="AV91" s="60" t="n">
        <f aca="false">EOMONTH(AU91, 1)</f>
        <v>46904</v>
      </c>
      <c r="AW91" s="60" t="n">
        <f aca="false">EOMONTH(AV91, 1)</f>
        <v>46934</v>
      </c>
      <c r="AX91" s="60" t="n">
        <f aca="false">EOMONTH(AW91, 1)</f>
        <v>46965</v>
      </c>
      <c r="AY91" s="60" t="n">
        <f aca="false">EOMONTH(AX91, 1)</f>
        <v>46996</v>
      </c>
      <c r="AZ91" s="60" t="n">
        <f aca="false">EOMONTH(AY91, 1)</f>
        <v>47026</v>
      </c>
      <c r="BA91" s="60" t="n">
        <f aca="false">EOMONTH(AZ91, 1)</f>
        <v>47057</v>
      </c>
      <c r="BB91" s="60" t="n">
        <f aca="false">EOMONTH(BA91, 1)</f>
        <v>47087</v>
      </c>
      <c r="BC91" s="61" t="n">
        <f aca="false">EOMONTH(BB91, 1)</f>
        <v>47118</v>
      </c>
      <c r="BD91" s="59" t="n">
        <f aca="false">EOMONTH(BC91, 1)</f>
        <v>47149</v>
      </c>
      <c r="BE91" s="60" t="n">
        <f aca="false">EOMONTH(BD91, 1)</f>
        <v>47177</v>
      </c>
      <c r="BF91" s="60" t="n">
        <f aca="false">EOMONTH(BE91, 1)</f>
        <v>47208</v>
      </c>
      <c r="BG91" s="60" t="n">
        <f aca="false">EOMONTH(BF91, 1)</f>
        <v>47238</v>
      </c>
      <c r="BH91" s="60" t="n">
        <f aca="false">EOMONTH(BG91, 1)</f>
        <v>47269</v>
      </c>
      <c r="BI91" s="60" t="n">
        <f aca="false">EOMONTH(BH91, 1)</f>
        <v>47299</v>
      </c>
      <c r="BJ91" s="60" t="n">
        <f aca="false">EOMONTH(BI91, 1)</f>
        <v>47330</v>
      </c>
      <c r="BK91" s="60" t="n">
        <f aca="false">EOMONTH(BJ91, 1)</f>
        <v>47361</v>
      </c>
      <c r="BL91" s="60" t="n">
        <f aca="false">EOMONTH(BK91, 1)</f>
        <v>47391</v>
      </c>
      <c r="BM91" s="60" t="n">
        <f aca="false">EOMONTH(BL91, 1)</f>
        <v>47422</v>
      </c>
      <c r="BN91" s="60" t="n">
        <f aca="false">EOMONTH(BM91, 1)</f>
        <v>47452</v>
      </c>
      <c r="BO91" s="61" t="n">
        <f aca="false">EOMONTH(BN91, 1)</f>
        <v>47483</v>
      </c>
      <c r="BP91" s="59" t="n">
        <f aca="false">EOMONTH(BO91, 1)</f>
        <v>47514</v>
      </c>
      <c r="BQ91" s="60" t="n">
        <f aca="false">EOMONTH(BP91, 1)</f>
        <v>47542</v>
      </c>
      <c r="BR91" s="60" t="n">
        <f aca="false">EOMONTH(BQ91, 1)</f>
        <v>47573</v>
      </c>
      <c r="BS91" s="60" t="n">
        <f aca="false">EOMONTH(BR91, 1)</f>
        <v>47603</v>
      </c>
      <c r="BT91" s="60" t="n">
        <f aca="false">EOMONTH(BS91, 1)</f>
        <v>47634</v>
      </c>
      <c r="BU91" s="60" t="n">
        <f aca="false">EOMONTH(BT91, 1)</f>
        <v>47664</v>
      </c>
      <c r="BV91" s="60" t="n">
        <f aca="false">EOMONTH(BU91, 1)</f>
        <v>47695</v>
      </c>
      <c r="BW91" s="60" t="n">
        <f aca="false">EOMONTH(BV91, 1)</f>
        <v>47726</v>
      </c>
      <c r="BX91" s="60" t="n">
        <f aca="false">EOMONTH(BW91, 1)</f>
        <v>47756</v>
      </c>
      <c r="BY91" s="60" t="n">
        <f aca="false">EOMONTH(BX91, 1)</f>
        <v>47787</v>
      </c>
      <c r="BZ91" s="60" t="n">
        <f aca="false">EOMONTH(BY91, 1)</f>
        <v>47817</v>
      </c>
      <c r="CA91" s="60" t="n">
        <f aca="false">EOMONTH(BZ91, 1)</f>
        <v>47848</v>
      </c>
      <c r="CC91" s="62" t="n">
        <v>2026</v>
      </c>
      <c r="CD91" s="62" t="n">
        <f aca="false">CC91+1</f>
        <v>2027</v>
      </c>
      <c r="CE91" s="62" t="n">
        <f aca="false">CD91+1</f>
        <v>2028</v>
      </c>
      <c r="CF91" s="62" t="n">
        <f aca="false">CE91+1</f>
        <v>2029</v>
      </c>
      <c r="CG91" s="62" t="n">
        <f aca="false">CF91+1</f>
        <v>2030</v>
      </c>
      <c r="CI91" s="62" t="n">
        <v>2026</v>
      </c>
      <c r="CJ91" s="62" t="n">
        <f aca="false">CI91+1</f>
        <v>2027</v>
      </c>
      <c r="CK91" s="62" t="n">
        <f aca="false">CJ91+1</f>
        <v>2028</v>
      </c>
      <c r="CL91" s="62" t="n">
        <f aca="false">CK91+1</f>
        <v>2029</v>
      </c>
      <c r="CM91" s="62" t="n">
        <f aca="false">CL91+1</f>
        <v>2030</v>
      </c>
    </row>
    <row r="92" s="14" customFormat="true" ht="16.5" hidden="false" customHeight="true" outlineLevel="0" collapsed="false">
      <c r="D92" s="63"/>
      <c r="E92" s="64" t="s">
        <v>102</v>
      </c>
      <c r="H92" s="29"/>
      <c r="I92" s="65" t="str">
        <f aca="false">$H$18</f>
        <v>Post-upstream levers (S2 waterfall)</v>
      </c>
      <c r="J92" s="65" t="s">
        <v>134</v>
      </c>
      <c r="K92" s="65" t="s">
        <v>135</v>
      </c>
      <c r="L92" s="66"/>
      <c r="M92" s="66"/>
      <c r="N92" s="66"/>
      <c r="O92" s="66"/>
      <c r="P92" s="66"/>
      <c r="Q92" s="16"/>
      <c r="R92" s="1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7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7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6"/>
      <c r="BD92" s="67"/>
      <c r="BE92" s="66"/>
      <c r="BF92" s="66"/>
      <c r="BG92" s="66"/>
      <c r="BH92" s="66"/>
      <c r="BI92" s="66"/>
      <c r="BJ92" s="66"/>
      <c r="BK92" s="66"/>
      <c r="BL92" s="66"/>
      <c r="BM92" s="66"/>
      <c r="BN92" s="66"/>
      <c r="BO92" s="66"/>
      <c r="BP92" s="67"/>
      <c r="BQ92" s="66"/>
      <c r="BR92" s="66"/>
      <c r="BS92" s="66"/>
      <c r="BT92" s="66"/>
      <c r="BU92" s="66"/>
      <c r="BV92" s="66"/>
      <c r="BW92" s="66"/>
      <c r="BX92" s="66"/>
      <c r="BY92" s="66"/>
      <c r="BZ92" s="66"/>
      <c r="CA92" s="66"/>
    </row>
    <row r="93" s="14" customFormat="true" ht="16.5" hidden="false" customHeight="true" outlineLevel="0" collapsed="false">
      <c r="E93" s="68" t="s">
        <v>136</v>
      </c>
      <c r="F93" s="21"/>
      <c r="G93" s="21"/>
      <c r="H93" s="29"/>
      <c r="I93" s="65"/>
      <c r="J93" s="65"/>
      <c r="K93" s="65"/>
      <c r="Q93" s="16"/>
      <c r="R93" s="16"/>
      <c r="AF93" s="69"/>
      <c r="AR93" s="69"/>
      <c r="BD93" s="69"/>
      <c r="BP93" s="69"/>
    </row>
    <row r="94" s="14" customFormat="true" ht="16.5" hidden="false" customHeight="true" outlineLevel="0" collapsed="false">
      <c r="E94" s="70"/>
      <c r="H94" s="71"/>
      <c r="I94" s="76" t="n">
        <v>0</v>
      </c>
      <c r="J94" s="76" t="n">
        <v>0</v>
      </c>
      <c r="K94" s="212" t="n">
        <f aca="false">J94-I94</f>
        <v>0</v>
      </c>
      <c r="L94" s="76"/>
      <c r="M94" s="76"/>
      <c r="N94" s="76"/>
      <c r="O94" s="76"/>
      <c r="P94" s="77"/>
      <c r="Q94" s="75"/>
      <c r="R94" s="16" t="str">
        <f aca="false">IF(K94=P94, "", "Error")</f>
        <v/>
      </c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7"/>
      <c r="AF94" s="78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7"/>
      <c r="AR94" s="78"/>
      <c r="AS94" s="76"/>
      <c r="AT94" s="76"/>
      <c r="AU94" s="76"/>
      <c r="AV94" s="76"/>
      <c r="AW94" s="76"/>
      <c r="AX94" s="76"/>
      <c r="AY94" s="76"/>
      <c r="AZ94" s="76"/>
      <c r="BA94" s="76"/>
      <c r="BB94" s="76"/>
      <c r="BC94" s="77"/>
      <c r="BD94" s="78"/>
      <c r="BE94" s="76"/>
      <c r="BF94" s="76"/>
      <c r="BG94" s="76"/>
      <c r="BH94" s="76"/>
      <c r="BI94" s="76"/>
      <c r="BJ94" s="76"/>
      <c r="BK94" s="76"/>
      <c r="BL94" s="76"/>
      <c r="BM94" s="76"/>
      <c r="BN94" s="76"/>
      <c r="BO94" s="77"/>
      <c r="BP94" s="78"/>
      <c r="BQ94" s="76"/>
      <c r="BR94" s="76"/>
      <c r="BS94" s="76"/>
      <c r="BT94" s="76"/>
      <c r="BU94" s="76"/>
      <c r="BV94" s="76"/>
      <c r="BW94" s="76"/>
      <c r="BX94" s="76"/>
      <c r="BY94" s="76"/>
      <c r="BZ94" s="76"/>
      <c r="CA94" s="76"/>
      <c r="CC94" s="79" t="n">
        <f aca="false">SUMIFS($T94:$CA94, $T$1:$CA$1, CC$63)</f>
        <v>0</v>
      </c>
      <c r="CD94" s="79" t="n">
        <f aca="false">SUMIFS($T94:$CA94, $T$1:$CA$1, CD$63)</f>
        <v>0</v>
      </c>
      <c r="CE94" s="79" t="n">
        <f aca="false">SUMIFS($T94:$CA94, $T$1:$CA$1, CE$63)</f>
        <v>0</v>
      </c>
      <c r="CF94" s="79" t="n">
        <f aca="false">SUMIFS($T94:$CA94, $T$1:$CA$1, CF$63)</f>
        <v>0</v>
      </c>
      <c r="CG94" s="79" t="n">
        <f aca="false">SUMIFS($T94:$CA94, $T$1:$CA$1, CG$63)</f>
        <v>0</v>
      </c>
      <c r="CI94" s="79" t="n">
        <f aca="false">CC94=L94</f>
        <v>1</v>
      </c>
      <c r="CJ94" s="79" t="n">
        <f aca="false">CD94=M94</f>
        <v>1</v>
      </c>
      <c r="CK94" s="79" t="n">
        <f aca="false">CE94=N94</f>
        <v>1</v>
      </c>
      <c r="CL94" s="79" t="n">
        <f aca="false">CF94=O94</f>
        <v>1</v>
      </c>
      <c r="CM94" s="79" t="n">
        <f aca="false">CG94=P94</f>
        <v>1</v>
      </c>
    </row>
    <row r="95" s="14" customFormat="true" ht="16.5" hidden="false" customHeight="true" outlineLevel="0" collapsed="false">
      <c r="E95" s="70"/>
      <c r="H95" s="71"/>
      <c r="I95" s="76" t="n">
        <v>0</v>
      </c>
      <c r="J95" s="76" t="n">
        <v>0</v>
      </c>
      <c r="K95" s="212" t="n">
        <f aca="false">J95-I95</f>
        <v>0</v>
      </c>
      <c r="L95" s="76"/>
      <c r="M95" s="76"/>
      <c r="N95" s="76"/>
      <c r="O95" s="76"/>
      <c r="P95" s="77"/>
      <c r="Q95" s="75"/>
      <c r="R95" s="16" t="str">
        <f aca="false">IF(K95=P95, "", "Error")</f>
        <v/>
      </c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7"/>
      <c r="AF95" s="78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7"/>
      <c r="AR95" s="78"/>
      <c r="AS95" s="76"/>
      <c r="AT95" s="76"/>
      <c r="AU95" s="76"/>
      <c r="AV95" s="76"/>
      <c r="AW95" s="76"/>
      <c r="AX95" s="76"/>
      <c r="AY95" s="76"/>
      <c r="AZ95" s="76"/>
      <c r="BA95" s="76"/>
      <c r="BB95" s="76"/>
      <c r="BC95" s="77"/>
      <c r="BD95" s="78"/>
      <c r="BE95" s="76"/>
      <c r="BF95" s="76"/>
      <c r="BG95" s="76"/>
      <c r="BH95" s="76"/>
      <c r="BI95" s="76"/>
      <c r="BJ95" s="76"/>
      <c r="BK95" s="76"/>
      <c r="BL95" s="76"/>
      <c r="BM95" s="76"/>
      <c r="BN95" s="76"/>
      <c r="BO95" s="77"/>
      <c r="BP95" s="78"/>
      <c r="BQ95" s="76"/>
      <c r="BR95" s="76"/>
      <c r="BS95" s="76"/>
      <c r="BT95" s="76"/>
      <c r="BU95" s="76"/>
      <c r="BV95" s="76"/>
      <c r="BW95" s="76"/>
      <c r="BX95" s="76"/>
      <c r="BY95" s="76"/>
      <c r="BZ95" s="76"/>
      <c r="CA95" s="76"/>
      <c r="CC95" s="79" t="n">
        <f aca="false">SUMIFS($T95:$CA95, $T$1:$CA$1, CC$63)</f>
        <v>0</v>
      </c>
      <c r="CD95" s="79" t="n">
        <f aca="false">SUMIFS($T95:$CA95, $T$1:$CA$1, CD$63)</f>
        <v>0</v>
      </c>
      <c r="CE95" s="79" t="n">
        <f aca="false">SUMIFS($T95:$CA95, $T$1:$CA$1, CE$63)</f>
        <v>0</v>
      </c>
      <c r="CF95" s="79" t="n">
        <f aca="false">SUMIFS($T95:$CA95, $T$1:$CA$1, CF$63)</f>
        <v>0</v>
      </c>
      <c r="CG95" s="79" t="n">
        <f aca="false">SUMIFS($T95:$CA95, $T$1:$CA$1, CG$63)</f>
        <v>0</v>
      </c>
      <c r="CI95" s="79" t="n">
        <f aca="false">CC95=L95</f>
        <v>1</v>
      </c>
      <c r="CJ95" s="79" t="n">
        <f aca="false">CD95=M95</f>
        <v>1</v>
      </c>
      <c r="CK95" s="79" t="n">
        <f aca="false">CE95=N95</f>
        <v>1</v>
      </c>
      <c r="CL95" s="79" t="n">
        <f aca="false">CF95=O95</f>
        <v>1</v>
      </c>
      <c r="CM95" s="79" t="n">
        <f aca="false">CG95=P95</f>
        <v>1</v>
      </c>
    </row>
    <row r="96" s="14" customFormat="true" ht="16.5" hidden="false" customHeight="true" outlineLevel="0" collapsed="false">
      <c r="E96" s="80" t="s">
        <v>137</v>
      </c>
      <c r="H96" s="29"/>
      <c r="I96" s="82" t="n">
        <f aca="false">SUM(I94:I95)</f>
        <v>0</v>
      </c>
      <c r="J96" s="82" t="n">
        <f aca="false">SUM(J94:J95)</f>
        <v>0</v>
      </c>
      <c r="K96" s="82" t="n">
        <f aca="false">SUM(K94:K95)</f>
        <v>0</v>
      </c>
      <c r="L96" s="82" t="n">
        <f aca="false">SUM(L94:L95)</f>
        <v>0</v>
      </c>
      <c r="M96" s="82" t="n">
        <f aca="false">SUM(M94:M95)</f>
        <v>0</v>
      </c>
      <c r="N96" s="82" t="n">
        <f aca="false">SUM(N94:N95)</f>
        <v>0</v>
      </c>
      <c r="O96" s="82" t="n">
        <f aca="false">SUM(O94:O95)</f>
        <v>0</v>
      </c>
      <c r="P96" s="82" t="n">
        <f aca="false">SUM(P94:P95)</f>
        <v>0</v>
      </c>
      <c r="Q96" s="16"/>
      <c r="R96" s="16"/>
      <c r="T96" s="82" t="n">
        <f aca="false">SUM(T94:T95)</f>
        <v>0</v>
      </c>
      <c r="U96" s="82" t="n">
        <f aca="false">SUM(U94:U95)</f>
        <v>0</v>
      </c>
      <c r="V96" s="82" t="n">
        <f aca="false">SUM(V94:V95)</f>
        <v>0</v>
      </c>
      <c r="W96" s="82" t="n">
        <f aca="false">SUM(W94:W95)</f>
        <v>0</v>
      </c>
      <c r="X96" s="82" t="n">
        <f aca="false">SUM(X94:X95)</f>
        <v>0</v>
      </c>
      <c r="Y96" s="82" t="n">
        <f aca="false">SUM(Y94:Y95)</f>
        <v>0</v>
      </c>
      <c r="Z96" s="82" t="n">
        <f aca="false">SUM(Z94:Z95)</f>
        <v>0</v>
      </c>
      <c r="AA96" s="82" t="n">
        <f aca="false">SUM(AA94:AA95)</f>
        <v>0</v>
      </c>
      <c r="AB96" s="82" t="n">
        <f aca="false">SUM(AB94:AB95)</f>
        <v>0</v>
      </c>
      <c r="AC96" s="82" t="n">
        <f aca="false">SUM(AC94:AC95)</f>
        <v>0</v>
      </c>
      <c r="AD96" s="82" t="n">
        <f aca="false">SUM(AD94:AD95)</f>
        <v>0</v>
      </c>
      <c r="AE96" s="82" t="n">
        <f aca="false">SUM(AE94:AE95)</f>
        <v>0</v>
      </c>
      <c r="AF96" s="83" t="n">
        <f aca="false">SUM(AF94:AF95)</f>
        <v>0</v>
      </c>
      <c r="AG96" s="82" t="n">
        <f aca="false">SUM(AG94:AG95)</f>
        <v>0</v>
      </c>
      <c r="AH96" s="82" t="n">
        <f aca="false">SUM(AH94:AH95)</f>
        <v>0</v>
      </c>
      <c r="AI96" s="82" t="n">
        <f aca="false">SUM(AI94:AI95)</f>
        <v>0</v>
      </c>
      <c r="AJ96" s="82" t="n">
        <f aca="false">SUM(AJ94:AJ95)</f>
        <v>0</v>
      </c>
      <c r="AK96" s="82" t="n">
        <f aca="false">SUM(AK94:AK95)</f>
        <v>0</v>
      </c>
      <c r="AL96" s="82" t="n">
        <f aca="false">SUM(AL94:AL95)</f>
        <v>0</v>
      </c>
      <c r="AM96" s="82" t="n">
        <f aca="false">SUM(AM94:AM95)</f>
        <v>0</v>
      </c>
      <c r="AN96" s="82" t="n">
        <f aca="false">SUM(AN94:AN95)</f>
        <v>0</v>
      </c>
      <c r="AO96" s="82" t="n">
        <f aca="false">SUM(AO94:AO95)</f>
        <v>0</v>
      </c>
      <c r="AP96" s="82" t="n">
        <f aca="false">SUM(AP94:AP95)</f>
        <v>0</v>
      </c>
      <c r="AQ96" s="82" t="n">
        <f aca="false">SUM(AQ94:AQ95)</f>
        <v>0</v>
      </c>
      <c r="AR96" s="83" t="n">
        <f aca="false">SUM(AR94:AR95)</f>
        <v>0</v>
      </c>
      <c r="AS96" s="82" t="n">
        <f aca="false">SUM(AS94:AS95)</f>
        <v>0</v>
      </c>
      <c r="AT96" s="82" t="n">
        <f aca="false">SUM(AT94:AT95)</f>
        <v>0</v>
      </c>
      <c r="AU96" s="82" t="n">
        <f aca="false">SUM(AU94:AU95)</f>
        <v>0</v>
      </c>
      <c r="AV96" s="82" t="n">
        <f aca="false">SUM(AV94:AV95)</f>
        <v>0</v>
      </c>
      <c r="AW96" s="82" t="n">
        <f aca="false">SUM(AW94:AW95)</f>
        <v>0</v>
      </c>
      <c r="AX96" s="82" t="n">
        <f aca="false">SUM(AX94:AX95)</f>
        <v>0</v>
      </c>
      <c r="AY96" s="82" t="n">
        <f aca="false">SUM(AY94:AY95)</f>
        <v>0</v>
      </c>
      <c r="AZ96" s="82" t="n">
        <f aca="false">SUM(AZ94:AZ95)</f>
        <v>0</v>
      </c>
      <c r="BA96" s="82" t="n">
        <f aca="false">SUM(BA94:BA95)</f>
        <v>0</v>
      </c>
      <c r="BB96" s="82" t="n">
        <f aca="false">SUM(BB94:BB95)</f>
        <v>0</v>
      </c>
      <c r="BC96" s="82" t="n">
        <f aca="false">SUM(BC94:BC95)</f>
        <v>0</v>
      </c>
      <c r="BD96" s="83" t="n">
        <f aca="false">SUM(BD94:BD95)</f>
        <v>0</v>
      </c>
      <c r="BE96" s="82" t="n">
        <f aca="false">SUM(BE94:BE95)</f>
        <v>0</v>
      </c>
      <c r="BF96" s="82" t="n">
        <f aca="false">SUM(BF94:BF95)</f>
        <v>0</v>
      </c>
      <c r="BG96" s="82" t="n">
        <f aca="false">SUM(BG94:BG95)</f>
        <v>0</v>
      </c>
      <c r="BH96" s="82" t="n">
        <f aca="false">SUM(BH94:BH95)</f>
        <v>0</v>
      </c>
      <c r="BI96" s="82" t="n">
        <f aca="false">SUM(BI94:BI95)</f>
        <v>0</v>
      </c>
      <c r="BJ96" s="82" t="n">
        <f aca="false">SUM(BJ94:BJ95)</f>
        <v>0</v>
      </c>
      <c r="BK96" s="82" t="n">
        <f aca="false">SUM(BK94:BK95)</f>
        <v>0</v>
      </c>
      <c r="BL96" s="82" t="n">
        <f aca="false">SUM(BL94:BL95)</f>
        <v>0</v>
      </c>
      <c r="BM96" s="82" t="n">
        <f aca="false">SUM(BM94:BM95)</f>
        <v>0</v>
      </c>
      <c r="BN96" s="82" t="n">
        <f aca="false">SUM(BN94:BN95)</f>
        <v>0</v>
      </c>
      <c r="BO96" s="82" t="n">
        <f aca="false">SUM(BO94:BO95)</f>
        <v>0</v>
      </c>
      <c r="BP96" s="83" t="n">
        <f aca="false">SUM(BP94:BP95)</f>
        <v>0</v>
      </c>
      <c r="BQ96" s="82" t="n">
        <f aca="false">SUM(BQ94:BQ95)</f>
        <v>0</v>
      </c>
      <c r="BR96" s="82" t="n">
        <f aca="false">SUM(BR94:BR95)</f>
        <v>0</v>
      </c>
      <c r="BS96" s="82" t="n">
        <f aca="false">SUM(BS94:BS95)</f>
        <v>0</v>
      </c>
      <c r="BT96" s="82" t="n">
        <f aca="false">SUM(BT94:BT95)</f>
        <v>0</v>
      </c>
      <c r="BU96" s="82" t="n">
        <f aca="false">SUM(BU94:BU95)</f>
        <v>0</v>
      </c>
      <c r="BV96" s="82" t="n">
        <f aca="false">SUM(BV94:BV95)</f>
        <v>0</v>
      </c>
      <c r="BW96" s="82" t="n">
        <f aca="false">SUM(BW94:BW95)</f>
        <v>0</v>
      </c>
      <c r="BX96" s="82" t="n">
        <f aca="false">SUM(BX94:BX95)</f>
        <v>0</v>
      </c>
      <c r="BY96" s="82" t="n">
        <f aca="false">SUM(BY94:BY95)</f>
        <v>0</v>
      </c>
      <c r="BZ96" s="82" t="n">
        <f aca="false">SUM(BZ94:BZ95)</f>
        <v>0</v>
      </c>
      <c r="CA96" s="84" t="n">
        <f aca="false">SUM(CA94:CA95)</f>
        <v>0</v>
      </c>
      <c r="CC96" s="84" t="n">
        <f aca="false">SUM(CC94:CC95)</f>
        <v>0</v>
      </c>
      <c r="CD96" s="84" t="n">
        <f aca="false">SUM(CD94:CD95)</f>
        <v>0</v>
      </c>
      <c r="CE96" s="84" t="n">
        <f aca="false">SUM(CE94:CE95)</f>
        <v>0</v>
      </c>
      <c r="CF96" s="84" t="n">
        <f aca="false">SUM(CF94:CF95)</f>
        <v>0</v>
      </c>
      <c r="CG96" s="84" t="n">
        <f aca="false">SUM(CG94:CG95)</f>
        <v>0</v>
      </c>
      <c r="CI96" s="84" t="n">
        <f aca="false">CC96=L96</f>
        <v>1</v>
      </c>
      <c r="CJ96" s="84" t="n">
        <f aca="false">CD96=M96</f>
        <v>1</v>
      </c>
      <c r="CK96" s="84" t="n">
        <f aca="false">CE96=N96</f>
        <v>1</v>
      </c>
      <c r="CL96" s="84" t="n">
        <f aca="false">CF96=O96</f>
        <v>1</v>
      </c>
      <c r="CM96" s="84" t="n">
        <f aca="false">CG96=P96</f>
        <v>1</v>
      </c>
    </row>
    <row r="97" s="14" customFormat="true" ht="16.5" hidden="false" customHeight="true" outlineLevel="0" collapsed="false">
      <c r="E97" s="85"/>
      <c r="H97" s="29"/>
      <c r="I97" s="88"/>
      <c r="J97" s="88"/>
      <c r="K97" s="88"/>
      <c r="L97" s="88"/>
      <c r="M97" s="88"/>
      <c r="N97" s="88"/>
      <c r="O97" s="88"/>
      <c r="P97" s="88"/>
      <c r="Q97" s="16"/>
      <c r="R97" s="16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9"/>
      <c r="AG97" s="88"/>
      <c r="AH97" s="88"/>
      <c r="AI97" s="88"/>
      <c r="AJ97" s="88"/>
      <c r="AK97" s="88"/>
      <c r="AL97" s="88"/>
      <c r="AM97" s="88"/>
      <c r="AN97" s="88"/>
      <c r="AO97" s="88"/>
      <c r="AP97" s="88"/>
      <c r="AQ97" s="88"/>
      <c r="AR97" s="89"/>
      <c r="AS97" s="88"/>
      <c r="AT97" s="88"/>
      <c r="AU97" s="88"/>
      <c r="AV97" s="88"/>
      <c r="AW97" s="88"/>
      <c r="AX97" s="88"/>
      <c r="AY97" s="88"/>
      <c r="AZ97" s="88"/>
      <c r="BA97" s="88"/>
      <c r="BB97" s="88"/>
      <c r="BC97" s="88"/>
      <c r="BD97" s="89"/>
      <c r="BE97" s="88"/>
      <c r="BF97" s="88"/>
      <c r="BG97" s="88"/>
      <c r="BH97" s="88"/>
      <c r="BI97" s="88"/>
      <c r="BJ97" s="88"/>
      <c r="BK97" s="88"/>
      <c r="BL97" s="88"/>
      <c r="BM97" s="88"/>
      <c r="BN97" s="88"/>
      <c r="BO97" s="88"/>
      <c r="BP97" s="89"/>
      <c r="BQ97" s="88"/>
      <c r="BR97" s="88"/>
      <c r="BS97" s="88"/>
      <c r="BT97" s="88"/>
      <c r="BU97" s="88"/>
      <c r="BV97" s="88"/>
      <c r="BW97" s="88"/>
      <c r="BX97" s="88"/>
      <c r="BY97" s="88"/>
      <c r="BZ97" s="88"/>
      <c r="CA97" s="90"/>
      <c r="CC97" s="90"/>
      <c r="CD97" s="90"/>
      <c r="CE97" s="90"/>
      <c r="CF97" s="90"/>
      <c r="CG97" s="90"/>
      <c r="CI97" s="90"/>
      <c r="CJ97" s="90"/>
      <c r="CK97" s="90"/>
      <c r="CL97" s="90"/>
      <c r="CM97" s="90"/>
    </row>
    <row r="98" s="14" customFormat="true" ht="16.5" hidden="false" customHeight="true" outlineLevel="0" collapsed="false">
      <c r="E98" s="21" t="s">
        <v>138</v>
      </c>
      <c r="H98" s="29"/>
      <c r="I98" s="88"/>
      <c r="K98" s="88"/>
      <c r="L98" s="88"/>
      <c r="M98" s="88"/>
      <c r="N98" s="88"/>
      <c r="O98" s="88"/>
      <c r="P98" s="88"/>
      <c r="Q98" s="16"/>
      <c r="R98" s="16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9"/>
      <c r="AG98" s="88"/>
      <c r="AH98" s="88"/>
      <c r="AI98" s="88"/>
      <c r="AJ98" s="88"/>
      <c r="AK98" s="88"/>
      <c r="AL98" s="88"/>
      <c r="AM98" s="88"/>
      <c r="AN98" s="88"/>
      <c r="AO98" s="88"/>
      <c r="AP98" s="88"/>
      <c r="AQ98" s="88"/>
      <c r="AR98" s="89"/>
      <c r="AS98" s="88"/>
      <c r="AT98" s="88"/>
      <c r="AU98" s="88"/>
      <c r="AV98" s="88"/>
      <c r="AW98" s="88"/>
      <c r="AX98" s="88"/>
      <c r="AY98" s="88"/>
      <c r="AZ98" s="88"/>
      <c r="BA98" s="88"/>
      <c r="BB98" s="88"/>
      <c r="BC98" s="88"/>
      <c r="BD98" s="89"/>
      <c r="BE98" s="88"/>
      <c r="BF98" s="88"/>
      <c r="BG98" s="88"/>
      <c r="BH98" s="88"/>
      <c r="BI98" s="88"/>
      <c r="BJ98" s="88"/>
      <c r="BK98" s="88"/>
      <c r="BL98" s="88"/>
      <c r="BM98" s="88"/>
      <c r="BN98" s="88"/>
      <c r="BO98" s="88"/>
      <c r="BP98" s="89"/>
      <c r="BQ98" s="88"/>
      <c r="BR98" s="88"/>
      <c r="BS98" s="88"/>
      <c r="BT98" s="88"/>
      <c r="BU98" s="88"/>
      <c r="BV98" s="88"/>
      <c r="BW98" s="88"/>
      <c r="BX98" s="88"/>
      <c r="BY98" s="88"/>
      <c r="BZ98" s="88"/>
      <c r="CA98" s="90"/>
      <c r="CC98" s="90"/>
      <c r="CD98" s="90"/>
      <c r="CE98" s="90"/>
      <c r="CF98" s="90"/>
      <c r="CG98" s="90"/>
      <c r="CI98" s="90"/>
      <c r="CJ98" s="90"/>
      <c r="CK98" s="90"/>
      <c r="CL98" s="90"/>
      <c r="CM98" s="90"/>
    </row>
    <row r="99" s="14" customFormat="true" ht="16.5" hidden="false" customHeight="true" outlineLevel="0" collapsed="false">
      <c r="E99" s="91"/>
      <c r="H99" s="29"/>
      <c r="I99" s="91" t="n">
        <v>0</v>
      </c>
      <c r="J99" s="91" t="n">
        <v>0</v>
      </c>
      <c r="K99" s="212" t="n">
        <f aca="false">J99-I99</f>
        <v>0</v>
      </c>
      <c r="L99" s="91" t="n">
        <v>0</v>
      </c>
      <c r="M99" s="91" t="n">
        <v>0</v>
      </c>
      <c r="N99" s="91" t="n">
        <v>0</v>
      </c>
      <c r="O99" s="91" t="n">
        <v>0</v>
      </c>
      <c r="P99" s="91" t="n">
        <v>0</v>
      </c>
      <c r="Q99" s="93"/>
      <c r="R99" s="16" t="str">
        <f aca="false">IF(K99=P99, "", "Error")</f>
        <v/>
      </c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4"/>
      <c r="AF99" s="95"/>
      <c r="AG99" s="91"/>
      <c r="AH99" s="91"/>
      <c r="AI99" s="91"/>
      <c r="AJ99" s="91"/>
      <c r="AK99" s="91"/>
      <c r="AL99" s="91"/>
      <c r="AM99" s="91"/>
      <c r="AN99" s="91"/>
      <c r="AO99" s="91"/>
      <c r="AP99" s="91"/>
      <c r="AQ99" s="94"/>
      <c r="AR99" s="95"/>
      <c r="AS99" s="91"/>
      <c r="AT99" s="91"/>
      <c r="AU99" s="91"/>
      <c r="AV99" s="91"/>
      <c r="AW99" s="91"/>
      <c r="AX99" s="91"/>
      <c r="AY99" s="91"/>
      <c r="AZ99" s="91"/>
      <c r="BA99" s="91"/>
      <c r="BB99" s="91"/>
      <c r="BC99" s="94"/>
      <c r="BD99" s="95"/>
      <c r="BE99" s="91"/>
      <c r="BF99" s="91"/>
      <c r="BG99" s="91"/>
      <c r="BH99" s="91"/>
      <c r="BI99" s="91"/>
      <c r="BJ99" s="91"/>
      <c r="BK99" s="91"/>
      <c r="BL99" s="91"/>
      <c r="BM99" s="91"/>
      <c r="BN99" s="91"/>
      <c r="BO99" s="94"/>
      <c r="BP99" s="95"/>
      <c r="BQ99" s="91"/>
      <c r="BR99" s="91"/>
      <c r="BS99" s="91"/>
      <c r="BT99" s="91"/>
      <c r="BU99" s="91"/>
      <c r="BV99" s="91"/>
      <c r="BW99" s="91"/>
      <c r="BX99" s="91"/>
      <c r="BY99" s="91"/>
      <c r="BZ99" s="91"/>
      <c r="CA99" s="119"/>
      <c r="CC99" s="79" t="n">
        <f aca="false">SUMIFS($T99:$CA99, $T$1:$CA$1, CC$63)</f>
        <v>0</v>
      </c>
      <c r="CD99" s="79" t="n">
        <f aca="false">SUMIFS($T99:$CA99, $T$1:$CA$1, CD$63)</f>
        <v>0</v>
      </c>
      <c r="CE99" s="79" t="n">
        <f aca="false">SUMIFS($T99:$CA99, $T$1:$CA$1, CE$63)</f>
        <v>0</v>
      </c>
      <c r="CF99" s="79" t="n">
        <f aca="false">SUMIFS($T99:$CA99, $T$1:$CA$1, CF$63)</f>
        <v>0</v>
      </c>
      <c r="CG99" s="79" t="n">
        <f aca="false">SUMIFS($T99:$CA99, $T$1:$CA$1, CG$63)</f>
        <v>0</v>
      </c>
      <c r="CI99" s="79" t="n">
        <f aca="false">CC99=L99</f>
        <v>1</v>
      </c>
      <c r="CJ99" s="79" t="n">
        <f aca="false">CD99=M99</f>
        <v>1</v>
      </c>
      <c r="CK99" s="79" t="n">
        <f aca="false">CE99=N99</f>
        <v>1</v>
      </c>
      <c r="CL99" s="79" t="n">
        <f aca="false">CF99=O99</f>
        <v>1</v>
      </c>
      <c r="CM99" s="79" t="n">
        <f aca="false">CG99=P99</f>
        <v>1</v>
      </c>
    </row>
    <row r="100" s="14" customFormat="true" ht="16.5" hidden="false" customHeight="true" outlineLevel="0" collapsed="false">
      <c r="E100" s="91"/>
      <c r="H100" s="29"/>
      <c r="I100" s="91" t="n">
        <v>0</v>
      </c>
      <c r="J100" s="91" t="n">
        <v>0</v>
      </c>
      <c r="K100" s="212" t="n">
        <f aca="false">J100-I100</f>
        <v>0</v>
      </c>
      <c r="L100" s="91" t="n">
        <v>0</v>
      </c>
      <c r="M100" s="91" t="n">
        <v>0</v>
      </c>
      <c r="N100" s="91" t="n">
        <v>0</v>
      </c>
      <c r="O100" s="91" t="n">
        <v>0</v>
      </c>
      <c r="P100" s="91" t="n">
        <v>0</v>
      </c>
      <c r="Q100" s="93"/>
      <c r="R100" s="16" t="str">
        <f aca="false">IF(K100=P100, "", "Error")</f>
        <v/>
      </c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4"/>
      <c r="AF100" s="95"/>
      <c r="AG100" s="91"/>
      <c r="AH100" s="91"/>
      <c r="AI100" s="91"/>
      <c r="AJ100" s="91"/>
      <c r="AK100" s="91"/>
      <c r="AL100" s="91"/>
      <c r="AM100" s="91"/>
      <c r="AN100" s="91"/>
      <c r="AO100" s="91"/>
      <c r="AP100" s="91"/>
      <c r="AQ100" s="94"/>
      <c r="AR100" s="95"/>
      <c r="AS100" s="91"/>
      <c r="AT100" s="91"/>
      <c r="AU100" s="91"/>
      <c r="AV100" s="91"/>
      <c r="AW100" s="91"/>
      <c r="AX100" s="91"/>
      <c r="AY100" s="91"/>
      <c r="AZ100" s="91"/>
      <c r="BA100" s="91"/>
      <c r="BB100" s="91"/>
      <c r="BC100" s="94"/>
      <c r="BD100" s="95"/>
      <c r="BE100" s="91"/>
      <c r="BF100" s="91"/>
      <c r="BG100" s="91"/>
      <c r="BH100" s="91"/>
      <c r="BI100" s="91"/>
      <c r="BJ100" s="91"/>
      <c r="BK100" s="91"/>
      <c r="BL100" s="91"/>
      <c r="BM100" s="91"/>
      <c r="BN100" s="91"/>
      <c r="BO100" s="94"/>
      <c r="BP100" s="95"/>
      <c r="BQ100" s="91"/>
      <c r="BR100" s="91"/>
      <c r="BS100" s="91"/>
      <c r="BT100" s="91"/>
      <c r="BU100" s="91"/>
      <c r="BV100" s="91"/>
      <c r="BW100" s="91"/>
      <c r="BX100" s="91"/>
      <c r="BY100" s="91"/>
      <c r="BZ100" s="91"/>
      <c r="CA100" s="119"/>
      <c r="CC100" s="79" t="n">
        <f aca="false">SUMIFS($T100:$CA100, $T$1:$CA$1, CC$63)</f>
        <v>0</v>
      </c>
      <c r="CD100" s="79" t="n">
        <f aca="false">SUMIFS($T100:$CA100, $T$1:$CA$1, CD$63)</f>
        <v>0</v>
      </c>
      <c r="CE100" s="79" t="n">
        <f aca="false">SUMIFS($T100:$CA100, $T$1:$CA$1, CE$63)</f>
        <v>0</v>
      </c>
      <c r="CF100" s="79" t="n">
        <f aca="false">SUMIFS($T100:$CA100, $T$1:$CA$1, CF$63)</f>
        <v>0</v>
      </c>
      <c r="CG100" s="79" t="n">
        <f aca="false">SUMIFS($T100:$CA100, $T$1:$CA$1, CG$63)</f>
        <v>0</v>
      </c>
      <c r="CI100" s="79" t="n">
        <f aca="false">CC100=L100</f>
        <v>1</v>
      </c>
      <c r="CJ100" s="79" t="n">
        <f aca="false">CD100=M100</f>
        <v>1</v>
      </c>
      <c r="CK100" s="79" t="n">
        <f aca="false">CE100=N100</f>
        <v>1</v>
      </c>
      <c r="CL100" s="79" t="n">
        <f aca="false">CF100=O100</f>
        <v>1</v>
      </c>
      <c r="CM100" s="79" t="n">
        <f aca="false">CG100=P100</f>
        <v>1</v>
      </c>
    </row>
    <row r="101" s="14" customFormat="true" ht="16.5" hidden="false" customHeight="true" outlineLevel="0" collapsed="false">
      <c r="E101" s="91"/>
      <c r="H101" s="29"/>
      <c r="I101" s="91" t="n">
        <v>0</v>
      </c>
      <c r="J101" s="91" t="n">
        <v>0</v>
      </c>
      <c r="K101" s="212" t="n">
        <f aca="false">J101-I101</f>
        <v>0</v>
      </c>
      <c r="L101" s="91" t="n">
        <v>0</v>
      </c>
      <c r="M101" s="91" t="n">
        <v>0</v>
      </c>
      <c r="N101" s="91" t="n">
        <v>0</v>
      </c>
      <c r="O101" s="91" t="n">
        <v>0</v>
      </c>
      <c r="P101" s="91" t="n">
        <v>0</v>
      </c>
      <c r="Q101" s="93"/>
      <c r="R101" s="16" t="str">
        <f aca="false">IF(K101=P101, "", "Error")</f>
        <v/>
      </c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4"/>
      <c r="AF101" s="95"/>
      <c r="AG101" s="91"/>
      <c r="AH101" s="91"/>
      <c r="AI101" s="91"/>
      <c r="AJ101" s="91"/>
      <c r="AK101" s="91"/>
      <c r="AL101" s="91"/>
      <c r="AM101" s="91"/>
      <c r="AN101" s="91"/>
      <c r="AO101" s="91"/>
      <c r="AP101" s="91"/>
      <c r="AQ101" s="94"/>
      <c r="AR101" s="95"/>
      <c r="AS101" s="91"/>
      <c r="AT101" s="91"/>
      <c r="AU101" s="91"/>
      <c r="AV101" s="91"/>
      <c r="AW101" s="91"/>
      <c r="AX101" s="91"/>
      <c r="AY101" s="91"/>
      <c r="AZ101" s="91"/>
      <c r="BA101" s="91"/>
      <c r="BB101" s="91"/>
      <c r="BC101" s="94"/>
      <c r="BD101" s="95"/>
      <c r="BE101" s="91"/>
      <c r="BF101" s="91"/>
      <c r="BG101" s="91"/>
      <c r="BH101" s="91"/>
      <c r="BI101" s="91"/>
      <c r="BJ101" s="91"/>
      <c r="BK101" s="91"/>
      <c r="BL101" s="91"/>
      <c r="BM101" s="91"/>
      <c r="BN101" s="91"/>
      <c r="BO101" s="94"/>
      <c r="BP101" s="95"/>
      <c r="BQ101" s="91"/>
      <c r="BR101" s="91"/>
      <c r="BS101" s="91"/>
      <c r="BT101" s="91"/>
      <c r="BU101" s="91"/>
      <c r="BV101" s="91"/>
      <c r="BW101" s="91"/>
      <c r="BX101" s="91"/>
      <c r="BY101" s="91"/>
      <c r="BZ101" s="91"/>
      <c r="CA101" s="119"/>
      <c r="CC101" s="79" t="n">
        <f aca="false">SUMIFS($T101:$CA101, $T$1:$CA$1, CC$63)</f>
        <v>0</v>
      </c>
      <c r="CD101" s="79" t="n">
        <f aca="false">SUMIFS($T101:$CA101, $T$1:$CA$1, CD$63)</f>
        <v>0</v>
      </c>
      <c r="CE101" s="79" t="n">
        <f aca="false">SUMIFS($T101:$CA101, $T$1:$CA$1, CE$63)</f>
        <v>0</v>
      </c>
      <c r="CF101" s="79" t="n">
        <f aca="false">SUMIFS($T101:$CA101, $T$1:$CA$1, CF$63)</f>
        <v>0</v>
      </c>
      <c r="CG101" s="79" t="n">
        <f aca="false">SUMIFS($T101:$CA101, $T$1:$CA$1, CG$63)</f>
        <v>0</v>
      </c>
      <c r="CI101" s="79" t="n">
        <f aca="false">CC101=L101</f>
        <v>1</v>
      </c>
      <c r="CJ101" s="79" t="n">
        <f aca="false">CD101=M101</f>
        <v>1</v>
      </c>
      <c r="CK101" s="79" t="n">
        <f aca="false">CE101=N101</f>
        <v>1</v>
      </c>
      <c r="CL101" s="79" t="n">
        <f aca="false">CF101=O101</f>
        <v>1</v>
      </c>
      <c r="CM101" s="79" t="n">
        <f aca="false">CG101=P101</f>
        <v>1</v>
      </c>
    </row>
    <row r="102" s="14" customFormat="true" ht="16.5" hidden="false" customHeight="true" outlineLevel="0" collapsed="false">
      <c r="E102" s="91"/>
      <c r="H102" s="29"/>
      <c r="I102" s="91" t="n">
        <v>0</v>
      </c>
      <c r="J102" s="91" t="n">
        <v>0</v>
      </c>
      <c r="K102" s="212" t="n">
        <f aca="false">J102-I102</f>
        <v>0</v>
      </c>
      <c r="L102" s="91" t="n">
        <v>0</v>
      </c>
      <c r="M102" s="91" t="n">
        <v>0</v>
      </c>
      <c r="N102" s="91" t="n">
        <v>0</v>
      </c>
      <c r="O102" s="91" t="n">
        <v>0</v>
      </c>
      <c r="P102" s="91" t="n">
        <v>0</v>
      </c>
      <c r="Q102" s="93"/>
      <c r="R102" s="16" t="str">
        <f aca="false">IF(K102=P102, "", "Error")</f>
        <v/>
      </c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4"/>
      <c r="AF102" s="95"/>
      <c r="AG102" s="91"/>
      <c r="AH102" s="91"/>
      <c r="AI102" s="91"/>
      <c r="AJ102" s="91"/>
      <c r="AK102" s="91"/>
      <c r="AL102" s="91"/>
      <c r="AM102" s="91"/>
      <c r="AN102" s="91"/>
      <c r="AO102" s="91"/>
      <c r="AP102" s="91"/>
      <c r="AQ102" s="94"/>
      <c r="AR102" s="95"/>
      <c r="AS102" s="91"/>
      <c r="AT102" s="91"/>
      <c r="AU102" s="91"/>
      <c r="AV102" s="91"/>
      <c r="AW102" s="91"/>
      <c r="AX102" s="91"/>
      <c r="AY102" s="91"/>
      <c r="AZ102" s="91"/>
      <c r="BA102" s="91"/>
      <c r="BB102" s="91"/>
      <c r="BC102" s="94"/>
      <c r="BD102" s="95"/>
      <c r="BE102" s="91"/>
      <c r="BF102" s="91"/>
      <c r="BG102" s="91"/>
      <c r="BH102" s="91"/>
      <c r="BI102" s="91"/>
      <c r="BJ102" s="91"/>
      <c r="BK102" s="91"/>
      <c r="BL102" s="91"/>
      <c r="BM102" s="91"/>
      <c r="BN102" s="91"/>
      <c r="BO102" s="94"/>
      <c r="BP102" s="95"/>
      <c r="BQ102" s="91"/>
      <c r="BR102" s="91"/>
      <c r="BS102" s="91"/>
      <c r="BT102" s="91"/>
      <c r="BU102" s="91"/>
      <c r="BV102" s="91"/>
      <c r="BW102" s="91"/>
      <c r="BX102" s="91"/>
      <c r="BY102" s="91"/>
      <c r="BZ102" s="91"/>
      <c r="CA102" s="119"/>
      <c r="CC102" s="79" t="n">
        <f aca="false">SUMIFS($T102:$CA102, $T$1:$CA$1, CC$63)</f>
        <v>0</v>
      </c>
      <c r="CD102" s="79" t="n">
        <f aca="false">SUMIFS($T102:$CA102, $T$1:$CA$1, CD$63)</f>
        <v>0</v>
      </c>
      <c r="CE102" s="79" t="n">
        <f aca="false">SUMIFS($T102:$CA102, $T$1:$CA$1, CE$63)</f>
        <v>0</v>
      </c>
      <c r="CF102" s="79" t="n">
        <f aca="false">SUMIFS($T102:$CA102, $T$1:$CA$1, CF$63)</f>
        <v>0</v>
      </c>
      <c r="CG102" s="79" t="n">
        <f aca="false">SUMIFS($T102:$CA102, $T$1:$CA$1, CG$63)</f>
        <v>0</v>
      </c>
      <c r="CI102" s="79" t="n">
        <f aca="false">CC102=L102</f>
        <v>1</v>
      </c>
      <c r="CJ102" s="79" t="n">
        <f aca="false">CD102=M102</f>
        <v>1</v>
      </c>
      <c r="CK102" s="79" t="n">
        <f aca="false">CE102=N102</f>
        <v>1</v>
      </c>
      <c r="CL102" s="79" t="n">
        <f aca="false">CF102=O102</f>
        <v>1</v>
      </c>
      <c r="CM102" s="79" t="n">
        <f aca="false">CG102=P102</f>
        <v>1</v>
      </c>
    </row>
    <row r="103" s="14" customFormat="true" ht="16.5" hidden="false" customHeight="true" outlineLevel="0" collapsed="false">
      <c r="E103" s="91"/>
      <c r="H103" s="29"/>
      <c r="I103" s="91"/>
      <c r="J103" s="91"/>
      <c r="K103" s="212" t="n">
        <f aca="false">J103-I103</f>
        <v>0</v>
      </c>
      <c r="L103" s="91" t="n">
        <v>0</v>
      </c>
      <c r="M103" s="91" t="n">
        <v>0</v>
      </c>
      <c r="N103" s="91" t="n">
        <v>0</v>
      </c>
      <c r="O103" s="91" t="n">
        <v>0</v>
      </c>
      <c r="P103" s="91" t="n">
        <v>0</v>
      </c>
      <c r="Q103" s="93"/>
      <c r="R103" s="16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4"/>
      <c r="AF103" s="95"/>
      <c r="AG103" s="91"/>
      <c r="AH103" s="91"/>
      <c r="AI103" s="91"/>
      <c r="AJ103" s="91"/>
      <c r="AK103" s="91"/>
      <c r="AL103" s="91"/>
      <c r="AM103" s="91"/>
      <c r="AN103" s="91"/>
      <c r="AO103" s="91"/>
      <c r="AP103" s="91"/>
      <c r="AQ103" s="94"/>
      <c r="AR103" s="95"/>
      <c r="AS103" s="91"/>
      <c r="AT103" s="91"/>
      <c r="AU103" s="91"/>
      <c r="AV103" s="91"/>
      <c r="AW103" s="91"/>
      <c r="AX103" s="91"/>
      <c r="AY103" s="91"/>
      <c r="AZ103" s="91"/>
      <c r="BA103" s="91"/>
      <c r="BB103" s="91"/>
      <c r="BC103" s="94"/>
      <c r="BD103" s="95"/>
      <c r="BE103" s="91"/>
      <c r="BF103" s="91"/>
      <c r="BG103" s="91"/>
      <c r="BH103" s="91"/>
      <c r="BI103" s="91"/>
      <c r="BJ103" s="91"/>
      <c r="BK103" s="91"/>
      <c r="BL103" s="91"/>
      <c r="BM103" s="91"/>
      <c r="BN103" s="91"/>
      <c r="BO103" s="94"/>
      <c r="BP103" s="95"/>
      <c r="BQ103" s="91"/>
      <c r="BR103" s="91"/>
      <c r="BS103" s="91"/>
      <c r="BT103" s="91"/>
      <c r="BU103" s="91"/>
      <c r="BV103" s="91"/>
      <c r="BW103" s="91"/>
      <c r="BX103" s="91"/>
      <c r="BY103" s="91"/>
      <c r="BZ103" s="91"/>
      <c r="CA103" s="119"/>
      <c r="CC103" s="79"/>
      <c r="CD103" s="79"/>
      <c r="CE103" s="79"/>
      <c r="CF103" s="79"/>
      <c r="CG103" s="79"/>
      <c r="CI103" s="79"/>
      <c r="CJ103" s="79"/>
      <c r="CK103" s="79"/>
      <c r="CL103" s="79"/>
      <c r="CM103" s="79"/>
    </row>
    <row r="104" s="14" customFormat="true" ht="16.5" hidden="false" customHeight="true" outlineLevel="0" collapsed="false">
      <c r="E104" s="96" t="s">
        <v>139</v>
      </c>
      <c r="H104" s="29"/>
      <c r="I104" s="82" t="n">
        <f aca="false">SUM(I99:I103)</f>
        <v>0</v>
      </c>
      <c r="J104" s="82" t="n">
        <f aca="false">SUM(J99:J103)</f>
        <v>0</v>
      </c>
      <c r="K104" s="82" t="n">
        <f aca="false">SUM(K99:K103)</f>
        <v>0</v>
      </c>
      <c r="L104" s="82" t="n">
        <f aca="false">SUM(L99:L103)</f>
        <v>0</v>
      </c>
      <c r="M104" s="82" t="n">
        <f aca="false">SUM(M99:M103)</f>
        <v>0</v>
      </c>
      <c r="N104" s="82" t="n">
        <f aca="false">SUM(N99:N103)</f>
        <v>0</v>
      </c>
      <c r="O104" s="82" t="n">
        <f aca="false">SUM(O99:O103)</f>
        <v>0</v>
      </c>
      <c r="P104" s="82" t="n">
        <f aca="false">SUM(P99:P103)</f>
        <v>0</v>
      </c>
      <c r="Q104" s="16"/>
      <c r="R104" s="16"/>
      <c r="T104" s="82" t="n">
        <f aca="false">SUM(T99:T103)</f>
        <v>0</v>
      </c>
      <c r="U104" s="82" t="n">
        <f aca="false">SUM(U99:U103)</f>
        <v>0</v>
      </c>
      <c r="V104" s="82" t="n">
        <f aca="false">SUM(V99:V103)</f>
        <v>0</v>
      </c>
      <c r="W104" s="82" t="n">
        <f aca="false">SUM(W99:W103)</f>
        <v>0</v>
      </c>
      <c r="X104" s="82" t="n">
        <f aca="false">SUM(X99:X103)</f>
        <v>0</v>
      </c>
      <c r="Y104" s="82" t="n">
        <f aca="false">SUM(Y99:Y103)</f>
        <v>0</v>
      </c>
      <c r="Z104" s="82" t="n">
        <f aca="false">SUM(Z99:Z103)</f>
        <v>0</v>
      </c>
      <c r="AA104" s="82" t="n">
        <f aca="false">SUM(AA99:AA103)</f>
        <v>0</v>
      </c>
      <c r="AB104" s="82" t="n">
        <f aca="false">SUM(AB99:AB103)</f>
        <v>0</v>
      </c>
      <c r="AC104" s="82" t="n">
        <f aca="false">SUM(AC99:AC103)</f>
        <v>0</v>
      </c>
      <c r="AD104" s="82" t="n">
        <f aca="false">SUM(AD99:AD103)</f>
        <v>0</v>
      </c>
      <c r="AE104" s="82" t="n">
        <f aca="false">SUM(AE99:AE103)</f>
        <v>0</v>
      </c>
      <c r="AF104" s="83" t="n">
        <f aca="false">SUM(AF99:AF103)</f>
        <v>0</v>
      </c>
      <c r="AG104" s="82" t="n">
        <f aca="false">SUM(AG99:AG103)</f>
        <v>0</v>
      </c>
      <c r="AH104" s="82" t="n">
        <f aca="false">SUM(AH99:AH103)</f>
        <v>0</v>
      </c>
      <c r="AI104" s="82" t="n">
        <f aca="false">SUM(AI99:AI103)</f>
        <v>0</v>
      </c>
      <c r="AJ104" s="82" t="n">
        <f aca="false">SUM(AJ99:AJ103)</f>
        <v>0</v>
      </c>
      <c r="AK104" s="82" t="n">
        <f aca="false">SUM(AK99:AK103)</f>
        <v>0</v>
      </c>
      <c r="AL104" s="82" t="n">
        <f aca="false">SUM(AL99:AL103)</f>
        <v>0</v>
      </c>
      <c r="AM104" s="82" t="n">
        <f aca="false">SUM(AM99:AM103)</f>
        <v>0</v>
      </c>
      <c r="AN104" s="82" t="n">
        <f aca="false">SUM(AN99:AN103)</f>
        <v>0</v>
      </c>
      <c r="AO104" s="82" t="n">
        <f aca="false">SUM(AO99:AO103)</f>
        <v>0</v>
      </c>
      <c r="AP104" s="82" t="n">
        <f aca="false">SUM(AP99:AP103)</f>
        <v>0</v>
      </c>
      <c r="AQ104" s="82" t="n">
        <f aca="false">SUM(AQ99:AQ103)</f>
        <v>0</v>
      </c>
      <c r="AR104" s="83" t="n">
        <f aca="false">SUM(AR99:AR103)</f>
        <v>0</v>
      </c>
      <c r="AS104" s="82" t="n">
        <f aca="false">SUM(AS99:AS103)</f>
        <v>0</v>
      </c>
      <c r="AT104" s="82" t="n">
        <f aca="false">SUM(AT99:AT103)</f>
        <v>0</v>
      </c>
      <c r="AU104" s="82" t="n">
        <f aca="false">SUM(AU99:AU103)</f>
        <v>0</v>
      </c>
      <c r="AV104" s="82" t="n">
        <f aca="false">SUM(AV99:AV103)</f>
        <v>0</v>
      </c>
      <c r="AW104" s="82" t="n">
        <f aca="false">SUM(AW99:AW103)</f>
        <v>0</v>
      </c>
      <c r="AX104" s="82" t="n">
        <f aca="false">SUM(AX99:AX103)</f>
        <v>0</v>
      </c>
      <c r="AY104" s="82" t="n">
        <f aca="false">SUM(AY99:AY103)</f>
        <v>0</v>
      </c>
      <c r="AZ104" s="82" t="n">
        <f aca="false">SUM(AZ99:AZ103)</f>
        <v>0</v>
      </c>
      <c r="BA104" s="82" t="n">
        <f aca="false">SUM(BA99:BA103)</f>
        <v>0</v>
      </c>
      <c r="BB104" s="82" t="n">
        <f aca="false">SUM(BB99:BB103)</f>
        <v>0</v>
      </c>
      <c r="BC104" s="82" t="n">
        <f aca="false">SUM(BC99:BC103)</f>
        <v>0</v>
      </c>
      <c r="BD104" s="83" t="n">
        <f aca="false">SUM(BD99:BD103)</f>
        <v>0</v>
      </c>
      <c r="BE104" s="82" t="n">
        <f aca="false">SUM(BE99:BE103)</f>
        <v>0</v>
      </c>
      <c r="BF104" s="82" t="n">
        <f aca="false">SUM(BF99:BF103)</f>
        <v>0</v>
      </c>
      <c r="BG104" s="82" t="n">
        <f aca="false">SUM(BG99:BG103)</f>
        <v>0</v>
      </c>
      <c r="BH104" s="82" t="n">
        <f aca="false">SUM(BH99:BH103)</f>
        <v>0</v>
      </c>
      <c r="BI104" s="82" t="n">
        <f aca="false">SUM(BI99:BI103)</f>
        <v>0</v>
      </c>
      <c r="BJ104" s="82" t="n">
        <f aca="false">SUM(BJ99:BJ103)</f>
        <v>0</v>
      </c>
      <c r="BK104" s="82" t="n">
        <f aca="false">SUM(BK99:BK103)</f>
        <v>0</v>
      </c>
      <c r="BL104" s="82" t="n">
        <f aca="false">SUM(BL99:BL103)</f>
        <v>0</v>
      </c>
      <c r="BM104" s="82" t="n">
        <f aca="false">SUM(BM99:BM103)</f>
        <v>0</v>
      </c>
      <c r="BN104" s="82" t="n">
        <f aca="false">SUM(BN99:BN103)</f>
        <v>0</v>
      </c>
      <c r="BO104" s="82" t="n">
        <f aca="false">SUM(BO99:BO103)</f>
        <v>0</v>
      </c>
      <c r="BP104" s="83" t="n">
        <f aca="false">SUM(BP99:BP103)</f>
        <v>0</v>
      </c>
      <c r="BQ104" s="82" t="n">
        <f aca="false">SUM(BQ99:BQ103)</f>
        <v>0</v>
      </c>
      <c r="BR104" s="82" t="n">
        <f aca="false">SUM(BR99:BR103)</f>
        <v>0</v>
      </c>
      <c r="BS104" s="82" t="n">
        <f aca="false">SUM(BS99:BS103)</f>
        <v>0</v>
      </c>
      <c r="BT104" s="82" t="n">
        <f aca="false">SUM(BT99:BT103)</f>
        <v>0</v>
      </c>
      <c r="BU104" s="82" t="n">
        <f aca="false">SUM(BU99:BU103)</f>
        <v>0</v>
      </c>
      <c r="BV104" s="82" t="n">
        <f aca="false">SUM(BV99:BV103)</f>
        <v>0</v>
      </c>
      <c r="BW104" s="82" t="n">
        <f aca="false">SUM(BW99:BW103)</f>
        <v>0</v>
      </c>
      <c r="BX104" s="82" t="n">
        <f aca="false">SUM(BX99:BX103)</f>
        <v>0</v>
      </c>
      <c r="BY104" s="82" t="n">
        <f aca="false">SUM(BY99:BY103)</f>
        <v>0</v>
      </c>
      <c r="BZ104" s="82" t="n">
        <f aca="false">SUM(BZ99:BZ103)</f>
        <v>0</v>
      </c>
      <c r="CA104" s="84" t="n">
        <f aca="false">SUM(CA99:CA103)</f>
        <v>0</v>
      </c>
      <c r="CC104" s="84" t="n">
        <f aca="false">SUM(CC99:CC103)</f>
        <v>0</v>
      </c>
      <c r="CD104" s="84" t="n">
        <f aca="false">SUM(CD99:CD103)</f>
        <v>0</v>
      </c>
      <c r="CE104" s="84" t="n">
        <f aca="false">SUM(CE99:CE103)</f>
        <v>0</v>
      </c>
      <c r="CF104" s="84" t="n">
        <f aca="false">SUM(CF99:CF103)</f>
        <v>0</v>
      </c>
      <c r="CG104" s="84" t="n">
        <f aca="false">SUM(CG99:CG103)</f>
        <v>0</v>
      </c>
      <c r="CI104" s="84" t="n">
        <f aca="false">CC104=L104</f>
        <v>1</v>
      </c>
      <c r="CJ104" s="84" t="n">
        <f aca="false">CD104=M104</f>
        <v>1</v>
      </c>
      <c r="CK104" s="84" t="n">
        <f aca="false">CE104=N104</f>
        <v>1</v>
      </c>
      <c r="CL104" s="84" t="n">
        <f aca="false">CF104=O104</f>
        <v>1</v>
      </c>
      <c r="CM104" s="84" t="n">
        <f aca="false">CG104=P104</f>
        <v>1</v>
      </c>
    </row>
    <row r="105" s="14" customFormat="true" ht="16.5" hidden="false" customHeight="true" outlineLevel="0" collapsed="false">
      <c r="H105" s="29"/>
      <c r="I105" s="88"/>
      <c r="J105" s="88"/>
      <c r="K105" s="88"/>
      <c r="L105" s="88"/>
      <c r="M105" s="88"/>
      <c r="N105" s="88"/>
      <c r="O105" s="88"/>
      <c r="P105" s="88"/>
      <c r="Q105" s="16"/>
      <c r="R105" s="16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9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  <c r="AQ105" s="88"/>
      <c r="AR105" s="89"/>
      <c r="AS105" s="88"/>
      <c r="AT105" s="88"/>
      <c r="AU105" s="88"/>
      <c r="AV105" s="88"/>
      <c r="AW105" s="88"/>
      <c r="AX105" s="88"/>
      <c r="AY105" s="88"/>
      <c r="AZ105" s="88"/>
      <c r="BA105" s="88"/>
      <c r="BB105" s="88"/>
      <c r="BC105" s="88"/>
      <c r="BD105" s="89"/>
      <c r="BE105" s="88"/>
      <c r="BF105" s="88"/>
      <c r="BG105" s="88"/>
      <c r="BH105" s="88"/>
      <c r="BI105" s="88"/>
      <c r="BJ105" s="88"/>
      <c r="BK105" s="88"/>
      <c r="BL105" s="88"/>
      <c r="BM105" s="88"/>
      <c r="BN105" s="88"/>
      <c r="BO105" s="88"/>
      <c r="BP105" s="89"/>
      <c r="BQ105" s="88"/>
      <c r="BR105" s="88"/>
      <c r="BS105" s="88"/>
      <c r="BT105" s="88"/>
      <c r="BU105" s="88"/>
      <c r="BV105" s="88"/>
      <c r="BW105" s="88"/>
      <c r="BX105" s="88"/>
      <c r="BY105" s="88"/>
      <c r="BZ105" s="88"/>
      <c r="CA105" s="90"/>
      <c r="CC105" s="90"/>
      <c r="CD105" s="90"/>
      <c r="CE105" s="90"/>
      <c r="CF105" s="90"/>
      <c r="CG105" s="90"/>
      <c r="CI105" s="90"/>
      <c r="CJ105" s="90"/>
      <c r="CK105" s="90"/>
      <c r="CL105" s="90"/>
      <c r="CM105" s="90"/>
    </row>
    <row r="106" s="14" customFormat="true" ht="16.5" hidden="false" customHeight="true" outlineLevel="0" collapsed="false">
      <c r="E106" s="21" t="s">
        <v>140</v>
      </c>
      <c r="H106" s="29"/>
      <c r="I106" s="88"/>
      <c r="J106" s="88"/>
      <c r="K106" s="88"/>
      <c r="L106" s="88"/>
      <c r="M106" s="88"/>
      <c r="N106" s="88"/>
      <c r="O106" s="88"/>
      <c r="P106" s="88"/>
      <c r="Q106" s="16"/>
      <c r="R106" s="16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9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  <c r="AQ106" s="88"/>
      <c r="AR106" s="89"/>
      <c r="AS106" s="88"/>
      <c r="AT106" s="88"/>
      <c r="AU106" s="88"/>
      <c r="AV106" s="88"/>
      <c r="AW106" s="88"/>
      <c r="AX106" s="88"/>
      <c r="AY106" s="88"/>
      <c r="AZ106" s="88"/>
      <c r="BA106" s="88"/>
      <c r="BB106" s="88"/>
      <c r="BC106" s="88"/>
      <c r="BD106" s="89"/>
      <c r="BE106" s="88"/>
      <c r="BF106" s="88"/>
      <c r="BG106" s="88"/>
      <c r="BH106" s="88"/>
      <c r="BI106" s="88"/>
      <c r="BJ106" s="88"/>
      <c r="BK106" s="88"/>
      <c r="BL106" s="88"/>
      <c r="BM106" s="88"/>
      <c r="BN106" s="88"/>
      <c r="BO106" s="88"/>
      <c r="BP106" s="89"/>
      <c r="BQ106" s="88"/>
      <c r="BR106" s="88"/>
      <c r="BS106" s="88"/>
      <c r="BT106" s="88"/>
      <c r="BU106" s="88"/>
      <c r="BV106" s="88"/>
      <c r="BW106" s="88"/>
      <c r="BX106" s="88"/>
      <c r="BY106" s="88"/>
      <c r="BZ106" s="88"/>
      <c r="CA106" s="90"/>
      <c r="CC106" s="90"/>
      <c r="CD106" s="90"/>
      <c r="CE106" s="90"/>
      <c r="CF106" s="90"/>
      <c r="CG106" s="90"/>
      <c r="CI106" s="90"/>
      <c r="CJ106" s="90"/>
      <c r="CK106" s="90"/>
      <c r="CL106" s="90"/>
      <c r="CM106" s="90"/>
    </row>
    <row r="107" s="14" customFormat="true" ht="16.5" hidden="false" customHeight="true" outlineLevel="0" collapsed="false">
      <c r="E107" s="91" t="s">
        <v>469</v>
      </c>
      <c r="H107" s="29" t="s">
        <v>654</v>
      </c>
      <c r="I107" s="91" t="n">
        <v>0</v>
      </c>
      <c r="J107" s="213" t="n">
        <f aca="false">I107+'SVC-4 Model'!$K$134</f>
        <v>0.25</v>
      </c>
      <c r="K107" s="214" t="n">
        <f aca="false">'SVC-4 Model'!$K$134</f>
        <v>0.25</v>
      </c>
      <c r="L107" s="213" t="n">
        <f aca="false">'SVC-4 Model'!L134</f>
        <v>0</v>
      </c>
      <c r="M107" s="213" t="n">
        <f aca="false">'SVC-4 Model'!M134</f>
        <v>0.125</v>
      </c>
      <c r="N107" s="213" t="n">
        <f aca="false">'SVC-4 Model'!N134</f>
        <v>0.25</v>
      </c>
      <c r="O107" s="213" t="n">
        <f aca="false">'SVC-4 Model'!O134</f>
        <v>0.25</v>
      </c>
      <c r="P107" s="213" t="n">
        <f aca="false">'SVC-4 Model'!P134</f>
        <v>0.25</v>
      </c>
      <c r="Q107" s="93" t="s">
        <v>266</v>
      </c>
      <c r="R107" s="16" t="str">
        <f aca="false">IF(K107=P107, "", "Error")</f>
        <v/>
      </c>
      <c r="T107" s="213" t="n">
        <f aca="false">'SVC-4 Model'!T134</f>
        <v>0</v>
      </c>
      <c r="U107" s="213" t="n">
        <f aca="false">'SVC-4 Model'!U134</f>
        <v>0</v>
      </c>
      <c r="V107" s="213" t="n">
        <f aca="false">'SVC-4 Model'!V134</f>
        <v>0</v>
      </c>
      <c r="W107" s="213" t="n">
        <f aca="false">'SVC-4 Model'!W134</f>
        <v>0</v>
      </c>
      <c r="X107" s="213" t="n">
        <f aca="false">'SVC-4 Model'!X134</f>
        <v>0</v>
      </c>
      <c r="Y107" s="213" t="n">
        <f aca="false">'SVC-4 Model'!Y134</f>
        <v>0</v>
      </c>
      <c r="Z107" s="213" t="n">
        <f aca="false">'SVC-4 Model'!Z134</f>
        <v>0</v>
      </c>
      <c r="AA107" s="213" t="n">
        <f aca="false">'SVC-4 Model'!AA134</f>
        <v>0</v>
      </c>
      <c r="AB107" s="213" t="n">
        <f aca="false">'SVC-4 Model'!AB134</f>
        <v>0</v>
      </c>
      <c r="AC107" s="213" t="n">
        <f aca="false">'SVC-4 Model'!AC134</f>
        <v>0</v>
      </c>
      <c r="AD107" s="213" t="n">
        <f aca="false">'SVC-4 Model'!AD134</f>
        <v>0</v>
      </c>
      <c r="AE107" s="215" t="n">
        <f aca="false">'SVC-4 Model'!AE134</f>
        <v>0</v>
      </c>
      <c r="AF107" s="216" t="n">
        <f aca="false">'SVC-4 Model'!AF134</f>
        <v>0</v>
      </c>
      <c r="AG107" s="216" t="n">
        <f aca="false">'SVC-4 Model'!AG134</f>
        <v>0</v>
      </c>
      <c r="AH107" s="216" t="n">
        <f aca="false">'SVC-4 Model'!AH134</f>
        <v>0</v>
      </c>
      <c r="AI107" s="216" t="n">
        <f aca="false">'SVC-4 Model'!AI134</f>
        <v>0</v>
      </c>
      <c r="AJ107" s="216" t="n">
        <f aca="false">'SVC-4 Model'!AJ134</f>
        <v>0</v>
      </c>
      <c r="AK107" s="216" t="n">
        <f aca="false">'SVC-4 Model'!AK134</f>
        <v>0</v>
      </c>
      <c r="AL107" s="216" t="n">
        <f aca="false">'SVC-4 Model'!AL134</f>
        <v>0.0208333333333333</v>
      </c>
      <c r="AM107" s="216" t="n">
        <f aca="false">'SVC-4 Model'!AM134</f>
        <v>0.0208333333333333</v>
      </c>
      <c r="AN107" s="216" t="n">
        <f aca="false">'SVC-4 Model'!AN134</f>
        <v>0.0208333333333333</v>
      </c>
      <c r="AO107" s="216" t="n">
        <f aca="false">'SVC-4 Model'!AO134</f>
        <v>0.0208333333333333</v>
      </c>
      <c r="AP107" s="216" t="n">
        <f aca="false">'SVC-4 Model'!AP134</f>
        <v>0.0208333333333333</v>
      </c>
      <c r="AQ107" s="216" t="n">
        <f aca="false">'SVC-4 Model'!AQ134</f>
        <v>0.0208333333333333</v>
      </c>
      <c r="AR107" s="216" t="n">
        <f aca="false">'SVC-4 Model'!AR134</f>
        <v>0.0208333333333333</v>
      </c>
      <c r="AS107" s="216" t="n">
        <f aca="false">'SVC-4 Model'!AS134</f>
        <v>0.0208333333333333</v>
      </c>
      <c r="AT107" s="216" t="n">
        <f aca="false">'SVC-4 Model'!AT134</f>
        <v>0.0208333333333333</v>
      </c>
      <c r="AU107" s="216" t="n">
        <f aca="false">'SVC-4 Model'!AU134</f>
        <v>0.0208333333333333</v>
      </c>
      <c r="AV107" s="216" t="n">
        <f aca="false">'SVC-4 Model'!AV134</f>
        <v>0.0208333333333333</v>
      </c>
      <c r="AW107" s="216" t="n">
        <f aca="false">'SVC-4 Model'!AW134</f>
        <v>0.0208333333333333</v>
      </c>
      <c r="AX107" s="216" t="n">
        <f aca="false">'SVC-4 Model'!AX134</f>
        <v>0.0208333333333333</v>
      </c>
      <c r="AY107" s="216" t="n">
        <f aca="false">'SVC-4 Model'!AY134</f>
        <v>0.0208333333333333</v>
      </c>
      <c r="AZ107" s="216" t="n">
        <f aca="false">'SVC-4 Model'!AZ134</f>
        <v>0.0208333333333333</v>
      </c>
      <c r="BA107" s="216" t="n">
        <f aca="false">'SVC-4 Model'!BA134</f>
        <v>0.0208333333333333</v>
      </c>
      <c r="BB107" s="216" t="n">
        <f aca="false">'SVC-4 Model'!BB134</f>
        <v>0.0208333333333333</v>
      </c>
      <c r="BC107" s="216" t="n">
        <f aca="false">'SVC-4 Model'!BC134</f>
        <v>0.0208333333333333</v>
      </c>
      <c r="BD107" s="216" t="n">
        <f aca="false">'SVC-4 Model'!BD134</f>
        <v>0.0208333333333333</v>
      </c>
      <c r="BE107" s="216" t="n">
        <f aca="false">'SVC-4 Model'!BE134</f>
        <v>0.0208333333333333</v>
      </c>
      <c r="BF107" s="216" t="n">
        <f aca="false">'SVC-4 Model'!BF134</f>
        <v>0.0208333333333333</v>
      </c>
      <c r="BG107" s="216" t="n">
        <f aca="false">'SVC-4 Model'!BG134</f>
        <v>0.0208333333333333</v>
      </c>
      <c r="BH107" s="216" t="n">
        <f aca="false">'SVC-4 Model'!BH134</f>
        <v>0.0208333333333333</v>
      </c>
      <c r="BI107" s="216" t="n">
        <f aca="false">'SVC-4 Model'!BI134</f>
        <v>0.0208333333333333</v>
      </c>
      <c r="BJ107" s="216" t="n">
        <f aca="false">'SVC-4 Model'!BJ134</f>
        <v>0.0208333333333333</v>
      </c>
      <c r="BK107" s="216" t="n">
        <f aca="false">'SVC-4 Model'!BK134</f>
        <v>0.0208333333333333</v>
      </c>
      <c r="BL107" s="216" t="n">
        <f aca="false">'SVC-4 Model'!BL134</f>
        <v>0.0208333333333333</v>
      </c>
      <c r="BM107" s="216" t="n">
        <f aca="false">'SVC-4 Model'!BM134</f>
        <v>0.0208333333333333</v>
      </c>
      <c r="BN107" s="216" t="n">
        <f aca="false">'SVC-4 Model'!BN134</f>
        <v>0.0208333333333333</v>
      </c>
      <c r="BO107" s="216" t="n">
        <f aca="false">'SVC-4 Model'!BO134</f>
        <v>0.0208333333333333</v>
      </c>
      <c r="BP107" s="216" t="n">
        <f aca="false">'SVC-4 Model'!BP134</f>
        <v>0.0208333333333333</v>
      </c>
      <c r="BQ107" s="216" t="n">
        <f aca="false">'SVC-4 Model'!BQ134</f>
        <v>0.0208333333333333</v>
      </c>
      <c r="BR107" s="216" t="n">
        <f aca="false">'SVC-4 Model'!BR134</f>
        <v>0.0208333333333333</v>
      </c>
      <c r="BS107" s="216" t="n">
        <f aca="false">'SVC-4 Model'!BS134</f>
        <v>0.0208333333333333</v>
      </c>
      <c r="BT107" s="216" t="n">
        <f aca="false">'SVC-4 Model'!BT134</f>
        <v>0.0208333333333333</v>
      </c>
      <c r="BU107" s="216" t="n">
        <f aca="false">'SVC-4 Model'!BU134</f>
        <v>0.0208333333333333</v>
      </c>
      <c r="BV107" s="216" t="n">
        <f aca="false">'SVC-4 Model'!BV134</f>
        <v>0.0208333333333333</v>
      </c>
      <c r="BW107" s="216" t="n">
        <f aca="false">'SVC-4 Model'!BW134</f>
        <v>0.0208333333333333</v>
      </c>
      <c r="BX107" s="216" t="n">
        <f aca="false">'SVC-4 Model'!BX134</f>
        <v>0.0208333333333333</v>
      </c>
      <c r="BY107" s="216" t="n">
        <f aca="false">'SVC-4 Model'!BY134</f>
        <v>0.0208333333333333</v>
      </c>
      <c r="BZ107" s="216" t="n">
        <f aca="false">'SVC-4 Model'!BZ134</f>
        <v>0.0208333333333333</v>
      </c>
      <c r="CA107" s="216" t="n">
        <f aca="false">'SVC-4 Model'!CA134</f>
        <v>0.0208333333333333</v>
      </c>
      <c r="CC107" s="79" t="n">
        <f aca="false">SUMIFS($T107:$CA107, $T$1:$CA$1, CC$63)</f>
        <v>0</v>
      </c>
      <c r="CD107" s="79" t="n">
        <f aca="false">SUMIFS($T107:$CA107, $T$1:$CA$1, CD$63)</f>
        <v>0.125</v>
      </c>
      <c r="CE107" s="79" t="n">
        <f aca="false">SUMIFS($T107:$CA107, $T$1:$CA$1, CE$63)</f>
        <v>0.25</v>
      </c>
      <c r="CF107" s="79" t="n">
        <f aca="false">SUMIFS($T107:$CA107, $T$1:$CA$1, CF$63)</f>
        <v>0.25</v>
      </c>
      <c r="CG107" s="79" t="n">
        <f aca="false">SUMIFS($T107:$CA107, $T$1:$CA$1, CG$63)</f>
        <v>0.25</v>
      </c>
      <c r="CI107" s="79" t="n">
        <f aca="false">CC107=L107</f>
        <v>1</v>
      </c>
      <c r="CJ107" s="79" t="n">
        <f aca="false">CD107=M107</f>
        <v>1</v>
      </c>
      <c r="CK107" s="79" t="n">
        <f aca="false">CE107=N107</f>
        <v>1</v>
      </c>
      <c r="CL107" s="79" t="n">
        <f aca="false">CF107=O107</f>
        <v>1</v>
      </c>
      <c r="CM107" s="79" t="n">
        <f aca="false">CG107=P107</f>
        <v>1</v>
      </c>
    </row>
    <row r="108" s="14" customFormat="true" ht="16.5" hidden="false" customHeight="true" outlineLevel="0" collapsed="false">
      <c r="E108" s="91" t="s">
        <v>386</v>
      </c>
      <c r="H108" s="29" t="s">
        <v>655</v>
      </c>
      <c r="I108" s="91" t="n">
        <v>0</v>
      </c>
      <c r="J108" s="213" t="n">
        <f aca="false">I108+'SVC-4 Model'!$K$135</f>
        <v>0.72</v>
      </c>
      <c r="K108" s="214" t="n">
        <f aca="false">'SVC-4 Model'!$K$135</f>
        <v>0.72</v>
      </c>
      <c r="L108" s="213" t="n">
        <f aca="false">'SVC-4 Model'!L135</f>
        <v>0</v>
      </c>
      <c r="M108" s="213" t="n">
        <f aca="false">'SVC-4 Model'!M135</f>
        <v>0.36</v>
      </c>
      <c r="N108" s="213" t="n">
        <f aca="false">'SVC-4 Model'!N135</f>
        <v>0.72</v>
      </c>
      <c r="O108" s="213" t="n">
        <f aca="false">'SVC-4 Model'!O135</f>
        <v>0.72</v>
      </c>
      <c r="P108" s="213" t="n">
        <f aca="false">'SVC-4 Model'!P135</f>
        <v>0.72</v>
      </c>
      <c r="Q108" s="93" t="s">
        <v>266</v>
      </c>
      <c r="R108" s="16" t="str">
        <f aca="false">IF(K108=P108, "", "Error")</f>
        <v/>
      </c>
      <c r="T108" s="213" t="n">
        <f aca="false">'SVC-4 Model'!T135</f>
        <v>0</v>
      </c>
      <c r="U108" s="213" t="n">
        <f aca="false">'SVC-4 Model'!U135</f>
        <v>0</v>
      </c>
      <c r="V108" s="213" t="n">
        <f aca="false">'SVC-4 Model'!V135</f>
        <v>0</v>
      </c>
      <c r="W108" s="213" t="n">
        <f aca="false">'SVC-4 Model'!W135</f>
        <v>0</v>
      </c>
      <c r="X108" s="213" t="n">
        <f aca="false">'SVC-4 Model'!X135</f>
        <v>0</v>
      </c>
      <c r="Y108" s="213" t="n">
        <f aca="false">'SVC-4 Model'!Y135</f>
        <v>0</v>
      </c>
      <c r="Z108" s="213" t="n">
        <f aca="false">'SVC-4 Model'!Z135</f>
        <v>0</v>
      </c>
      <c r="AA108" s="213" t="n">
        <f aca="false">'SVC-4 Model'!AA135</f>
        <v>0</v>
      </c>
      <c r="AB108" s="213" t="n">
        <f aca="false">'SVC-4 Model'!AB135</f>
        <v>0</v>
      </c>
      <c r="AC108" s="213" t="n">
        <f aca="false">'SVC-4 Model'!AC135</f>
        <v>0</v>
      </c>
      <c r="AD108" s="213" t="n">
        <f aca="false">'SVC-4 Model'!AD135</f>
        <v>0</v>
      </c>
      <c r="AE108" s="215" t="n">
        <f aca="false">'SVC-4 Model'!AE135</f>
        <v>0</v>
      </c>
      <c r="AF108" s="215" t="n">
        <f aca="false">'SVC-4 Model'!AF135</f>
        <v>0</v>
      </c>
      <c r="AG108" s="215" t="n">
        <f aca="false">'SVC-4 Model'!AG135</f>
        <v>0</v>
      </c>
      <c r="AH108" s="215" t="n">
        <f aca="false">'SVC-4 Model'!AH135</f>
        <v>0</v>
      </c>
      <c r="AI108" s="215" t="n">
        <f aca="false">'SVC-4 Model'!AI135</f>
        <v>0</v>
      </c>
      <c r="AJ108" s="215" t="n">
        <f aca="false">'SVC-4 Model'!AJ135</f>
        <v>0</v>
      </c>
      <c r="AK108" s="215" t="n">
        <f aca="false">'SVC-4 Model'!AK135</f>
        <v>0</v>
      </c>
      <c r="AL108" s="215" t="n">
        <f aca="false">'SVC-4 Model'!AL135</f>
        <v>0.06</v>
      </c>
      <c r="AM108" s="215" t="n">
        <f aca="false">'SVC-4 Model'!AM135</f>
        <v>0.06</v>
      </c>
      <c r="AN108" s="215" t="n">
        <f aca="false">'SVC-4 Model'!AN135</f>
        <v>0.06</v>
      </c>
      <c r="AO108" s="215" t="n">
        <f aca="false">'SVC-4 Model'!AO135</f>
        <v>0.06</v>
      </c>
      <c r="AP108" s="215" t="n">
        <f aca="false">'SVC-4 Model'!AP135</f>
        <v>0.06</v>
      </c>
      <c r="AQ108" s="215" t="n">
        <f aca="false">'SVC-4 Model'!AQ135</f>
        <v>0.06</v>
      </c>
      <c r="AR108" s="215" t="n">
        <f aca="false">'SVC-4 Model'!AR135</f>
        <v>0.06</v>
      </c>
      <c r="AS108" s="215" t="n">
        <f aca="false">'SVC-4 Model'!AS135</f>
        <v>0.06</v>
      </c>
      <c r="AT108" s="215" t="n">
        <f aca="false">'SVC-4 Model'!AT135</f>
        <v>0.06</v>
      </c>
      <c r="AU108" s="215" t="n">
        <f aca="false">'SVC-4 Model'!AU135</f>
        <v>0.06</v>
      </c>
      <c r="AV108" s="215" t="n">
        <f aca="false">'SVC-4 Model'!AV135</f>
        <v>0.06</v>
      </c>
      <c r="AW108" s="215" t="n">
        <f aca="false">'SVC-4 Model'!AW135</f>
        <v>0.06</v>
      </c>
      <c r="AX108" s="215" t="n">
        <f aca="false">'SVC-4 Model'!AX135</f>
        <v>0.06</v>
      </c>
      <c r="AY108" s="215" t="n">
        <f aca="false">'SVC-4 Model'!AY135</f>
        <v>0.06</v>
      </c>
      <c r="AZ108" s="215" t="n">
        <f aca="false">'SVC-4 Model'!AZ135</f>
        <v>0.06</v>
      </c>
      <c r="BA108" s="215" t="n">
        <f aca="false">'SVC-4 Model'!BA135</f>
        <v>0.06</v>
      </c>
      <c r="BB108" s="215" t="n">
        <f aca="false">'SVC-4 Model'!BB135</f>
        <v>0.06</v>
      </c>
      <c r="BC108" s="215" t="n">
        <f aca="false">'SVC-4 Model'!BC135</f>
        <v>0.06</v>
      </c>
      <c r="BD108" s="215" t="n">
        <f aca="false">'SVC-4 Model'!BD135</f>
        <v>0.06</v>
      </c>
      <c r="BE108" s="215" t="n">
        <f aca="false">'SVC-4 Model'!BE135</f>
        <v>0.06</v>
      </c>
      <c r="BF108" s="215" t="n">
        <f aca="false">'SVC-4 Model'!BF135</f>
        <v>0.06</v>
      </c>
      <c r="BG108" s="215" t="n">
        <f aca="false">'SVC-4 Model'!BG135</f>
        <v>0.06</v>
      </c>
      <c r="BH108" s="215" t="n">
        <f aca="false">'SVC-4 Model'!BH135</f>
        <v>0.06</v>
      </c>
      <c r="BI108" s="215" t="n">
        <f aca="false">'SVC-4 Model'!BI135</f>
        <v>0.06</v>
      </c>
      <c r="BJ108" s="215" t="n">
        <f aca="false">'SVC-4 Model'!BJ135</f>
        <v>0.06</v>
      </c>
      <c r="BK108" s="215" t="n">
        <f aca="false">'SVC-4 Model'!BK135</f>
        <v>0.06</v>
      </c>
      <c r="BL108" s="215" t="n">
        <f aca="false">'SVC-4 Model'!BL135</f>
        <v>0.06</v>
      </c>
      <c r="BM108" s="215" t="n">
        <f aca="false">'SVC-4 Model'!BM135</f>
        <v>0.06</v>
      </c>
      <c r="BN108" s="215" t="n">
        <f aca="false">'SVC-4 Model'!BN135</f>
        <v>0.06</v>
      </c>
      <c r="BO108" s="215" t="n">
        <f aca="false">'SVC-4 Model'!BO135</f>
        <v>0.06</v>
      </c>
      <c r="BP108" s="215" t="n">
        <f aca="false">'SVC-4 Model'!BP135</f>
        <v>0.06</v>
      </c>
      <c r="BQ108" s="215" t="n">
        <f aca="false">'SVC-4 Model'!BQ135</f>
        <v>0.06</v>
      </c>
      <c r="BR108" s="215" t="n">
        <f aca="false">'SVC-4 Model'!BR135</f>
        <v>0.06</v>
      </c>
      <c r="BS108" s="215" t="n">
        <f aca="false">'SVC-4 Model'!BS135</f>
        <v>0.06</v>
      </c>
      <c r="BT108" s="215" t="n">
        <f aca="false">'SVC-4 Model'!BT135</f>
        <v>0.06</v>
      </c>
      <c r="BU108" s="215" t="n">
        <f aca="false">'SVC-4 Model'!BU135</f>
        <v>0.06</v>
      </c>
      <c r="BV108" s="215" t="n">
        <f aca="false">'SVC-4 Model'!BV135</f>
        <v>0.06</v>
      </c>
      <c r="BW108" s="215" t="n">
        <f aca="false">'SVC-4 Model'!BW135</f>
        <v>0.06</v>
      </c>
      <c r="BX108" s="215" t="n">
        <f aca="false">'SVC-4 Model'!BX135</f>
        <v>0.06</v>
      </c>
      <c r="BY108" s="215" t="n">
        <f aca="false">'SVC-4 Model'!BY135</f>
        <v>0.06</v>
      </c>
      <c r="BZ108" s="215" t="n">
        <f aca="false">'SVC-4 Model'!BZ135</f>
        <v>0.06</v>
      </c>
      <c r="CA108" s="215" t="n">
        <f aca="false">'SVC-4 Model'!CA135</f>
        <v>0.06</v>
      </c>
      <c r="CC108" s="79" t="n">
        <f aca="false">SUMIFS($T108:$CA108, $T$1:$CA$1, CC$63)</f>
        <v>0</v>
      </c>
      <c r="CD108" s="79" t="n">
        <f aca="false">SUMIFS($T108:$CA108, $T$1:$CA$1, CD$63)</f>
        <v>0.36</v>
      </c>
      <c r="CE108" s="79" t="n">
        <f aca="false">SUMIFS($T108:$CA108, $T$1:$CA$1, CE$63)</f>
        <v>0.72</v>
      </c>
      <c r="CF108" s="79" t="n">
        <f aca="false">SUMIFS($T108:$CA108, $T$1:$CA$1, CF$63)</f>
        <v>0.72</v>
      </c>
      <c r="CG108" s="79" t="n">
        <f aca="false">SUMIFS($T108:$CA108, $T$1:$CA$1, CG$63)</f>
        <v>0.72</v>
      </c>
      <c r="CI108" s="79" t="n">
        <f aca="false">CC108=L108</f>
        <v>1</v>
      </c>
      <c r="CJ108" s="79" t="n">
        <f aca="false">CD108=M108</f>
        <v>1</v>
      </c>
      <c r="CK108" s="79" t="n">
        <f aca="false">CE108=N108</f>
        <v>1</v>
      </c>
      <c r="CL108" s="79" t="n">
        <f aca="false">CF108=O108</f>
        <v>1</v>
      </c>
      <c r="CM108" s="79" t="n">
        <f aca="false">CG108=P108</f>
        <v>1</v>
      </c>
    </row>
    <row r="109" s="14" customFormat="true" ht="16.5" hidden="false" customHeight="true" outlineLevel="0" collapsed="false">
      <c r="E109" s="91" t="s">
        <v>389</v>
      </c>
      <c r="H109" s="29" t="s">
        <v>654</v>
      </c>
      <c r="I109" s="91" t="n">
        <v>0</v>
      </c>
      <c r="J109" s="213" t="n">
        <f aca="false">I109+'SVC-4 Model'!$K$136</f>
        <v>0.25</v>
      </c>
      <c r="K109" s="214" t="n">
        <f aca="false">'SVC-4 Model'!$K$136</f>
        <v>0.25</v>
      </c>
      <c r="L109" s="213" t="n">
        <f aca="false">'SVC-4 Model'!L136</f>
        <v>0</v>
      </c>
      <c r="M109" s="213" t="n">
        <f aca="false">'SVC-4 Model'!M136</f>
        <v>0.125</v>
      </c>
      <c r="N109" s="213" t="n">
        <f aca="false">'SVC-4 Model'!N136</f>
        <v>0.25</v>
      </c>
      <c r="O109" s="213" t="n">
        <f aca="false">'SVC-4 Model'!O136</f>
        <v>0.25</v>
      </c>
      <c r="P109" s="213" t="n">
        <f aca="false">'SVC-4 Model'!P136</f>
        <v>0.25</v>
      </c>
      <c r="Q109" s="93" t="s">
        <v>266</v>
      </c>
      <c r="R109" s="16" t="str">
        <f aca="false">IF(K109=P109, "", "Error")</f>
        <v/>
      </c>
      <c r="T109" s="213" t="n">
        <f aca="false">'SVC-4 Model'!T136</f>
        <v>0</v>
      </c>
      <c r="U109" s="213" t="n">
        <f aca="false">'SVC-4 Model'!U136</f>
        <v>0</v>
      </c>
      <c r="V109" s="213" t="n">
        <f aca="false">'SVC-4 Model'!V136</f>
        <v>0</v>
      </c>
      <c r="W109" s="213" t="n">
        <f aca="false">'SVC-4 Model'!W136</f>
        <v>0</v>
      </c>
      <c r="X109" s="213" t="n">
        <f aca="false">'SVC-4 Model'!X136</f>
        <v>0</v>
      </c>
      <c r="Y109" s="213" t="n">
        <f aca="false">'SVC-4 Model'!Y136</f>
        <v>0</v>
      </c>
      <c r="Z109" s="213" t="n">
        <f aca="false">'SVC-4 Model'!Z136</f>
        <v>0</v>
      </c>
      <c r="AA109" s="213" t="n">
        <f aca="false">'SVC-4 Model'!AA136</f>
        <v>0</v>
      </c>
      <c r="AB109" s="213" t="n">
        <f aca="false">'SVC-4 Model'!AB136</f>
        <v>0</v>
      </c>
      <c r="AC109" s="213" t="n">
        <f aca="false">'SVC-4 Model'!AC136</f>
        <v>0</v>
      </c>
      <c r="AD109" s="213" t="n">
        <f aca="false">'SVC-4 Model'!AD136</f>
        <v>0</v>
      </c>
      <c r="AE109" s="215" t="n">
        <f aca="false">'SVC-4 Model'!AE136</f>
        <v>0</v>
      </c>
      <c r="AF109" s="215" t="n">
        <f aca="false">'SVC-4 Model'!AF136</f>
        <v>0</v>
      </c>
      <c r="AG109" s="215" t="n">
        <f aca="false">'SVC-4 Model'!AG136</f>
        <v>0</v>
      </c>
      <c r="AH109" s="215" t="n">
        <f aca="false">'SVC-4 Model'!AH136</f>
        <v>0</v>
      </c>
      <c r="AI109" s="215" t="n">
        <f aca="false">'SVC-4 Model'!AI136</f>
        <v>0</v>
      </c>
      <c r="AJ109" s="215" t="n">
        <f aca="false">'SVC-4 Model'!AJ136</f>
        <v>0</v>
      </c>
      <c r="AK109" s="215" t="n">
        <f aca="false">'SVC-4 Model'!AK136</f>
        <v>0</v>
      </c>
      <c r="AL109" s="215" t="n">
        <f aca="false">'SVC-4 Model'!AL136</f>
        <v>0.0208333333333333</v>
      </c>
      <c r="AM109" s="215" t="n">
        <f aca="false">'SVC-4 Model'!AM136</f>
        <v>0.0208333333333333</v>
      </c>
      <c r="AN109" s="215" t="n">
        <f aca="false">'SVC-4 Model'!AN136</f>
        <v>0.0208333333333333</v>
      </c>
      <c r="AO109" s="215" t="n">
        <f aca="false">'SVC-4 Model'!AO136</f>
        <v>0.0208333333333333</v>
      </c>
      <c r="AP109" s="215" t="n">
        <f aca="false">'SVC-4 Model'!AP136</f>
        <v>0.0208333333333333</v>
      </c>
      <c r="AQ109" s="215" t="n">
        <f aca="false">'SVC-4 Model'!AQ136</f>
        <v>0.0208333333333333</v>
      </c>
      <c r="AR109" s="215" t="n">
        <f aca="false">'SVC-4 Model'!AR136</f>
        <v>0.0208333333333333</v>
      </c>
      <c r="AS109" s="215" t="n">
        <f aca="false">'SVC-4 Model'!AS136</f>
        <v>0.0208333333333333</v>
      </c>
      <c r="AT109" s="215" t="n">
        <f aca="false">'SVC-4 Model'!AT136</f>
        <v>0.0208333333333333</v>
      </c>
      <c r="AU109" s="215" t="n">
        <f aca="false">'SVC-4 Model'!AU136</f>
        <v>0.0208333333333333</v>
      </c>
      <c r="AV109" s="215" t="n">
        <f aca="false">'SVC-4 Model'!AV136</f>
        <v>0.0208333333333333</v>
      </c>
      <c r="AW109" s="215" t="n">
        <f aca="false">'SVC-4 Model'!AW136</f>
        <v>0.0208333333333333</v>
      </c>
      <c r="AX109" s="215" t="n">
        <f aca="false">'SVC-4 Model'!AX136</f>
        <v>0.0208333333333333</v>
      </c>
      <c r="AY109" s="215" t="n">
        <f aca="false">'SVC-4 Model'!AY136</f>
        <v>0.0208333333333333</v>
      </c>
      <c r="AZ109" s="215" t="n">
        <f aca="false">'SVC-4 Model'!AZ136</f>
        <v>0.0208333333333333</v>
      </c>
      <c r="BA109" s="215" t="n">
        <f aca="false">'SVC-4 Model'!BA136</f>
        <v>0.0208333333333333</v>
      </c>
      <c r="BB109" s="215" t="n">
        <f aca="false">'SVC-4 Model'!BB136</f>
        <v>0.0208333333333333</v>
      </c>
      <c r="BC109" s="215" t="n">
        <f aca="false">'SVC-4 Model'!BC136</f>
        <v>0.0208333333333333</v>
      </c>
      <c r="BD109" s="215" t="n">
        <f aca="false">'SVC-4 Model'!BD136</f>
        <v>0.0208333333333333</v>
      </c>
      <c r="BE109" s="215" t="n">
        <f aca="false">'SVC-4 Model'!BE136</f>
        <v>0.0208333333333333</v>
      </c>
      <c r="BF109" s="215" t="n">
        <f aca="false">'SVC-4 Model'!BF136</f>
        <v>0.0208333333333333</v>
      </c>
      <c r="BG109" s="215" t="n">
        <f aca="false">'SVC-4 Model'!BG136</f>
        <v>0.0208333333333333</v>
      </c>
      <c r="BH109" s="215" t="n">
        <f aca="false">'SVC-4 Model'!BH136</f>
        <v>0.0208333333333333</v>
      </c>
      <c r="BI109" s="215" t="n">
        <f aca="false">'SVC-4 Model'!BI136</f>
        <v>0.0208333333333333</v>
      </c>
      <c r="BJ109" s="215" t="n">
        <f aca="false">'SVC-4 Model'!BJ136</f>
        <v>0.0208333333333333</v>
      </c>
      <c r="BK109" s="215" t="n">
        <f aca="false">'SVC-4 Model'!BK136</f>
        <v>0.0208333333333333</v>
      </c>
      <c r="BL109" s="215" t="n">
        <f aca="false">'SVC-4 Model'!BL136</f>
        <v>0.0208333333333333</v>
      </c>
      <c r="BM109" s="215" t="n">
        <f aca="false">'SVC-4 Model'!BM136</f>
        <v>0.0208333333333333</v>
      </c>
      <c r="BN109" s="215" t="n">
        <f aca="false">'SVC-4 Model'!BN136</f>
        <v>0.0208333333333333</v>
      </c>
      <c r="BO109" s="215" t="n">
        <f aca="false">'SVC-4 Model'!BO136</f>
        <v>0.0208333333333333</v>
      </c>
      <c r="BP109" s="215" t="n">
        <f aca="false">'SVC-4 Model'!BP136</f>
        <v>0.0208333333333333</v>
      </c>
      <c r="BQ109" s="215" t="n">
        <f aca="false">'SVC-4 Model'!BQ136</f>
        <v>0.0208333333333333</v>
      </c>
      <c r="BR109" s="215" t="n">
        <f aca="false">'SVC-4 Model'!BR136</f>
        <v>0.0208333333333333</v>
      </c>
      <c r="BS109" s="215" t="n">
        <f aca="false">'SVC-4 Model'!BS136</f>
        <v>0.0208333333333333</v>
      </c>
      <c r="BT109" s="215" t="n">
        <f aca="false">'SVC-4 Model'!BT136</f>
        <v>0.0208333333333333</v>
      </c>
      <c r="BU109" s="215" t="n">
        <f aca="false">'SVC-4 Model'!BU136</f>
        <v>0.0208333333333333</v>
      </c>
      <c r="BV109" s="215" t="n">
        <f aca="false">'SVC-4 Model'!BV136</f>
        <v>0.0208333333333333</v>
      </c>
      <c r="BW109" s="215" t="n">
        <f aca="false">'SVC-4 Model'!BW136</f>
        <v>0.0208333333333333</v>
      </c>
      <c r="BX109" s="215" t="n">
        <f aca="false">'SVC-4 Model'!BX136</f>
        <v>0.0208333333333333</v>
      </c>
      <c r="BY109" s="215" t="n">
        <f aca="false">'SVC-4 Model'!BY136</f>
        <v>0.0208333333333333</v>
      </c>
      <c r="BZ109" s="215" t="n">
        <f aca="false">'SVC-4 Model'!BZ136</f>
        <v>0.0208333333333333</v>
      </c>
      <c r="CA109" s="215" t="n">
        <f aca="false">'SVC-4 Model'!CA136</f>
        <v>0.0208333333333333</v>
      </c>
      <c r="CC109" s="79" t="n">
        <f aca="false">SUMIFS($T109:$CA109, $T$1:$CA$1, CC$63)</f>
        <v>0</v>
      </c>
      <c r="CD109" s="79" t="n">
        <f aca="false">SUMIFS($T109:$CA109, $T$1:$CA$1, CD$63)</f>
        <v>0.125</v>
      </c>
      <c r="CE109" s="79" t="n">
        <f aca="false">SUMIFS($T109:$CA109, $T$1:$CA$1, CE$63)</f>
        <v>0.25</v>
      </c>
      <c r="CF109" s="79" t="n">
        <f aca="false">SUMIFS($T109:$CA109, $T$1:$CA$1, CF$63)</f>
        <v>0.25</v>
      </c>
      <c r="CG109" s="79" t="n">
        <f aca="false">SUMIFS($T109:$CA109, $T$1:$CA$1, CG$63)</f>
        <v>0.25</v>
      </c>
      <c r="CI109" s="79" t="n">
        <f aca="false">CC109=L109</f>
        <v>1</v>
      </c>
      <c r="CJ109" s="79" t="n">
        <f aca="false">CD109=M109</f>
        <v>1</v>
      </c>
      <c r="CK109" s="79" t="n">
        <f aca="false">CE109=N109</f>
        <v>1</v>
      </c>
      <c r="CL109" s="79" t="n">
        <f aca="false">CF109=O109</f>
        <v>1</v>
      </c>
      <c r="CM109" s="79" t="n">
        <f aca="false">CG109=P109</f>
        <v>1</v>
      </c>
    </row>
    <row r="110" s="14" customFormat="true" ht="16.5" hidden="false" customHeight="true" outlineLevel="0" collapsed="false">
      <c r="E110" s="91" t="s">
        <v>391</v>
      </c>
      <c r="H110" s="29" t="s">
        <v>656</v>
      </c>
      <c r="I110" s="91" t="n">
        <v>0</v>
      </c>
      <c r="J110" s="213" t="n">
        <f aca="false">I110+'SVC-4 Model'!$K$137</f>
        <v>0.13</v>
      </c>
      <c r="K110" s="214" t="n">
        <f aca="false">'SVC-4 Model'!$K$137</f>
        <v>0.13</v>
      </c>
      <c r="L110" s="213" t="n">
        <f aca="false">'SVC-4 Model'!L137</f>
        <v>0</v>
      </c>
      <c r="M110" s="213" t="n">
        <f aca="false">'SVC-4 Model'!M137</f>
        <v>0.065</v>
      </c>
      <c r="N110" s="213" t="n">
        <f aca="false">'SVC-4 Model'!N137</f>
        <v>0.13</v>
      </c>
      <c r="O110" s="213" t="n">
        <f aca="false">'SVC-4 Model'!O137</f>
        <v>0.13</v>
      </c>
      <c r="P110" s="213" t="n">
        <f aca="false">'SVC-4 Model'!P137</f>
        <v>0.13</v>
      </c>
      <c r="Q110" s="93" t="s">
        <v>266</v>
      </c>
      <c r="R110" s="16" t="str">
        <f aca="false">IF(K110=P110, "", "Error")</f>
        <v/>
      </c>
      <c r="T110" s="213" t="n">
        <f aca="false">'SVC-4 Model'!T137</f>
        <v>0</v>
      </c>
      <c r="U110" s="213" t="n">
        <f aca="false">'SVC-4 Model'!U137</f>
        <v>0</v>
      </c>
      <c r="V110" s="213" t="n">
        <f aca="false">'SVC-4 Model'!V137</f>
        <v>0</v>
      </c>
      <c r="W110" s="213" t="n">
        <f aca="false">'SVC-4 Model'!W137</f>
        <v>0</v>
      </c>
      <c r="X110" s="213" t="n">
        <f aca="false">'SVC-4 Model'!X137</f>
        <v>0</v>
      </c>
      <c r="Y110" s="213" t="n">
        <f aca="false">'SVC-4 Model'!Y137</f>
        <v>0</v>
      </c>
      <c r="Z110" s="213" t="n">
        <f aca="false">'SVC-4 Model'!Z137</f>
        <v>0</v>
      </c>
      <c r="AA110" s="213" t="n">
        <f aca="false">'SVC-4 Model'!AA137</f>
        <v>0</v>
      </c>
      <c r="AB110" s="213" t="n">
        <f aca="false">'SVC-4 Model'!AB137</f>
        <v>0</v>
      </c>
      <c r="AC110" s="213" t="n">
        <f aca="false">'SVC-4 Model'!AC137</f>
        <v>0</v>
      </c>
      <c r="AD110" s="213" t="n">
        <f aca="false">'SVC-4 Model'!AD137</f>
        <v>0</v>
      </c>
      <c r="AE110" s="215" t="n">
        <f aca="false">'SVC-4 Model'!AE137</f>
        <v>0</v>
      </c>
      <c r="AF110" s="216" t="n">
        <f aca="false">'SVC-4 Model'!AF137</f>
        <v>0</v>
      </c>
      <c r="AG110" s="213" t="n">
        <f aca="false">'SVC-4 Model'!AG137</f>
        <v>0</v>
      </c>
      <c r="AH110" s="213" t="n">
        <f aca="false">'SVC-4 Model'!AH137</f>
        <v>0</v>
      </c>
      <c r="AI110" s="213" t="n">
        <f aca="false">'SVC-4 Model'!AI137</f>
        <v>0</v>
      </c>
      <c r="AJ110" s="213" t="n">
        <f aca="false">'SVC-4 Model'!AJ137</f>
        <v>0</v>
      </c>
      <c r="AK110" s="213" t="n">
        <f aca="false">'SVC-4 Model'!AK137</f>
        <v>0</v>
      </c>
      <c r="AL110" s="213" t="n">
        <f aca="false">'SVC-4 Model'!AL137</f>
        <v>0.0108333333333333</v>
      </c>
      <c r="AM110" s="213" t="n">
        <f aca="false">'SVC-4 Model'!AM137</f>
        <v>0.0108333333333333</v>
      </c>
      <c r="AN110" s="213" t="n">
        <f aca="false">'SVC-4 Model'!AN137</f>
        <v>0.0108333333333333</v>
      </c>
      <c r="AO110" s="213" t="n">
        <f aca="false">'SVC-4 Model'!AO137</f>
        <v>0.0108333333333333</v>
      </c>
      <c r="AP110" s="213" t="n">
        <f aca="false">'SVC-4 Model'!AP137</f>
        <v>0.0108333333333333</v>
      </c>
      <c r="AQ110" s="215" t="n">
        <f aca="false">'SVC-4 Model'!AQ137</f>
        <v>0.0108333333333333</v>
      </c>
      <c r="AR110" s="216" t="n">
        <f aca="false">'SVC-4 Model'!AR137</f>
        <v>0.0108333333333333</v>
      </c>
      <c r="AS110" s="213" t="n">
        <f aca="false">'SVC-4 Model'!AS137</f>
        <v>0.0108333333333333</v>
      </c>
      <c r="AT110" s="213" t="n">
        <f aca="false">'SVC-4 Model'!AT137</f>
        <v>0.0108333333333333</v>
      </c>
      <c r="AU110" s="213" t="n">
        <f aca="false">'SVC-4 Model'!AU137</f>
        <v>0.0108333333333333</v>
      </c>
      <c r="AV110" s="213" t="n">
        <f aca="false">'SVC-4 Model'!AV137</f>
        <v>0.0108333333333333</v>
      </c>
      <c r="AW110" s="213" t="n">
        <f aca="false">'SVC-4 Model'!AW137</f>
        <v>0.0108333333333333</v>
      </c>
      <c r="AX110" s="213" t="n">
        <f aca="false">'SVC-4 Model'!AX137</f>
        <v>0.0108333333333333</v>
      </c>
      <c r="AY110" s="213" t="n">
        <f aca="false">'SVC-4 Model'!AY137</f>
        <v>0.0108333333333333</v>
      </c>
      <c r="AZ110" s="213" t="n">
        <f aca="false">'SVC-4 Model'!AZ137</f>
        <v>0.0108333333333333</v>
      </c>
      <c r="BA110" s="213" t="n">
        <f aca="false">'SVC-4 Model'!BA137</f>
        <v>0.0108333333333333</v>
      </c>
      <c r="BB110" s="213" t="n">
        <f aca="false">'SVC-4 Model'!BB137</f>
        <v>0.0108333333333333</v>
      </c>
      <c r="BC110" s="215" t="n">
        <f aca="false">'SVC-4 Model'!BC137</f>
        <v>0.0108333333333333</v>
      </c>
      <c r="BD110" s="216" t="n">
        <f aca="false">'SVC-4 Model'!BD137</f>
        <v>0.0108333333333333</v>
      </c>
      <c r="BE110" s="213" t="n">
        <f aca="false">'SVC-4 Model'!BE137</f>
        <v>0.0108333333333333</v>
      </c>
      <c r="BF110" s="213" t="n">
        <f aca="false">'SVC-4 Model'!BF137</f>
        <v>0.0108333333333333</v>
      </c>
      <c r="BG110" s="213" t="n">
        <f aca="false">'SVC-4 Model'!BG137</f>
        <v>0.0108333333333333</v>
      </c>
      <c r="BH110" s="213" t="n">
        <f aca="false">'SVC-4 Model'!BH137</f>
        <v>0.0108333333333333</v>
      </c>
      <c r="BI110" s="213" t="n">
        <f aca="false">'SVC-4 Model'!BI137</f>
        <v>0.0108333333333333</v>
      </c>
      <c r="BJ110" s="213" t="n">
        <f aca="false">'SVC-4 Model'!BJ137</f>
        <v>0.0108333333333333</v>
      </c>
      <c r="BK110" s="213" t="n">
        <f aca="false">'SVC-4 Model'!BK137</f>
        <v>0.0108333333333333</v>
      </c>
      <c r="BL110" s="213" t="n">
        <f aca="false">'SVC-4 Model'!BL137</f>
        <v>0.0108333333333333</v>
      </c>
      <c r="BM110" s="213" t="n">
        <f aca="false">'SVC-4 Model'!BM137</f>
        <v>0.0108333333333333</v>
      </c>
      <c r="BN110" s="213" t="n">
        <f aca="false">'SVC-4 Model'!BN137</f>
        <v>0.0108333333333333</v>
      </c>
      <c r="BO110" s="215" t="n">
        <f aca="false">'SVC-4 Model'!BO137</f>
        <v>0.0108333333333333</v>
      </c>
      <c r="BP110" s="216" t="n">
        <f aca="false">'SVC-4 Model'!BP137</f>
        <v>0.0108333333333333</v>
      </c>
      <c r="BQ110" s="213" t="n">
        <f aca="false">'SVC-4 Model'!BQ137</f>
        <v>0.0108333333333333</v>
      </c>
      <c r="BR110" s="213" t="n">
        <f aca="false">'SVC-4 Model'!BR137</f>
        <v>0.0108333333333333</v>
      </c>
      <c r="BS110" s="213" t="n">
        <f aca="false">'SVC-4 Model'!BS137</f>
        <v>0.0108333333333333</v>
      </c>
      <c r="BT110" s="213" t="n">
        <f aca="false">'SVC-4 Model'!BT137</f>
        <v>0.0108333333333333</v>
      </c>
      <c r="BU110" s="213" t="n">
        <f aca="false">'SVC-4 Model'!BU137</f>
        <v>0.0108333333333333</v>
      </c>
      <c r="BV110" s="213" t="n">
        <f aca="false">'SVC-4 Model'!BV137</f>
        <v>0.0108333333333333</v>
      </c>
      <c r="BW110" s="213" t="n">
        <f aca="false">'SVC-4 Model'!BW137</f>
        <v>0.0108333333333333</v>
      </c>
      <c r="BX110" s="213" t="n">
        <f aca="false">'SVC-4 Model'!BX137</f>
        <v>0.0108333333333333</v>
      </c>
      <c r="BY110" s="213" t="n">
        <f aca="false">'SVC-4 Model'!BY137</f>
        <v>0.0108333333333333</v>
      </c>
      <c r="BZ110" s="213" t="n">
        <f aca="false">'SVC-4 Model'!BZ137</f>
        <v>0.0108333333333333</v>
      </c>
      <c r="CA110" s="226" t="n">
        <f aca="false">'SVC-4 Model'!CA137</f>
        <v>0.0108333333333333</v>
      </c>
      <c r="CC110" s="79" t="n">
        <f aca="false">SUMIFS($T110:$CA110, $T$1:$CA$1, CC$63)</f>
        <v>0</v>
      </c>
      <c r="CD110" s="79" t="n">
        <f aca="false">SUMIFS($T110:$CA110, $T$1:$CA$1, CD$63)</f>
        <v>0.065</v>
      </c>
      <c r="CE110" s="79" t="n">
        <f aca="false">SUMIFS($T110:$CA110, $T$1:$CA$1, CE$63)</f>
        <v>0.13</v>
      </c>
      <c r="CF110" s="79" t="n">
        <f aca="false">SUMIFS($T110:$CA110, $T$1:$CA$1, CF$63)</f>
        <v>0.13</v>
      </c>
      <c r="CG110" s="79" t="n">
        <f aca="false">SUMIFS($T110:$CA110, $T$1:$CA$1, CG$63)</f>
        <v>0.13</v>
      </c>
      <c r="CI110" s="79" t="n">
        <f aca="false">CC110=L110</f>
        <v>1</v>
      </c>
      <c r="CJ110" s="79" t="n">
        <f aca="false">CD110=M110</f>
        <v>1</v>
      </c>
      <c r="CK110" s="79" t="n">
        <f aca="false">CE110=N110</f>
        <v>1</v>
      </c>
      <c r="CL110" s="79" t="n">
        <f aca="false">CF110=O110</f>
        <v>1</v>
      </c>
      <c r="CM110" s="79" t="n">
        <f aca="false">CG110=P110</f>
        <v>1</v>
      </c>
    </row>
    <row r="111" s="14" customFormat="true" ht="16.5" hidden="false" customHeight="true" outlineLevel="0" collapsed="false">
      <c r="E111" s="91"/>
      <c r="H111" s="29"/>
      <c r="I111" s="91" t="n">
        <v>0</v>
      </c>
      <c r="J111" s="91" t="n">
        <v>0</v>
      </c>
      <c r="K111" s="212" t="n">
        <f aca="false">J111-I111</f>
        <v>0</v>
      </c>
      <c r="L111" s="91" t="n">
        <v>0</v>
      </c>
      <c r="M111" s="91" t="n">
        <v>0</v>
      </c>
      <c r="N111" s="91" t="n">
        <v>0</v>
      </c>
      <c r="O111" s="91" t="n">
        <v>0</v>
      </c>
      <c r="P111" s="91" t="n">
        <v>0</v>
      </c>
      <c r="Q111" s="93"/>
      <c r="R111" s="16" t="str">
        <f aca="false">IF(K111=P111, "", "Error")</f>
        <v/>
      </c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4"/>
      <c r="AF111" s="95"/>
      <c r="AG111" s="91"/>
      <c r="AH111" s="91"/>
      <c r="AI111" s="91"/>
      <c r="AJ111" s="91"/>
      <c r="AK111" s="91"/>
      <c r="AL111" s="91"/>
      <c r="AM111" s="91"/>
      <c r="AN111" s="91"/>
      <c r="AO111" s="91"/>
      <c r="AP111" s="91"/>
      <c r="AQ111" s="94"/>
      <c r="AR111" s="95"/>
      <c r="AS111" s="91"/>
      <c r="AT111" s="91"/>
      <c r="AU111" s="91"/>
      <c r="AV111" s="91"/>
      <c r="AW111" s="91"/>
      <c r="AX111" s="91"/>
      <c r="AY111" s="91"/>
      <c r="AZ111" s="91"/>
      <c r="BA111" s="91"/>
      <c r="BB111" s="91"/>
      <c r="BC111" s="94"/>
      <c r="BD111" s="95"/>
      <c r="BE111" s="91"/>
      <c r="BF111" s="91"/>
      <c r="BG111" s="91"/>
      <c r="BH111" s="91"/>
      <c r="BI111" s="91"/>
      <c r="BJ111" s="91"/>
      <c r="BK111" s="91"/>
      <c r="BL111" s="91"/>
      <c r="BM111" s="91"/>
      <c r="BN111" s="91"/>
      <c r="BO111" s="94"/>
      <c r="BP111" s="95"/>
      <c r="BQ111" s="91"/>
      <c r="BR111" s="91"/>
      <c r="BS111" s="91"/>
      <c r="BT111" s="91"/>
      <c r="BU111" s="91"/>
      <c r="BV111" s="91"/>
      <c r="BW111" s="91"/>
      <c r="BX111" s="91"/>
      <c r="BY111" s="91"/>
      <c r="BZ111" s="91"/>
      <c r="CA111" s="119"/>
      <c r="CC111" s="79" t="n">
        <f aca="false">SUMIFS($T111:$CA111, $T$1:$CA$1, CC$63)</f>
        <v>0</v>
      </c>
      <c r="CD111" s="79" t="n">
        <f aca="false">SUMIFS($T111:$CA111, $T$1:$CA$1, CD$63)</f>
        <v>0</v>
      </c>
      <c r="CE111" s="79" t="n">
        <f aca="false">SUMIFS($T111:$CA111, $T$1:$CA$1, CE$63)</f>
        <v>0</v>
      </c>
      <c r="CF111" s="79" t="n">
        <f aca="false">SUMIFS($T111:$CA111, $T$1:$CA$1, CF$63)</f>
        <v>0</v>
      </c>
      <c r="CG111" s="79" t="n">
        <f aca="false">SUMIFS($T111:$CA111, $T$1:$CA$1, CG$63)</f>
        <v>0</v>
      </c>
      <c r="CI111" s="79" t="n">
        <f aca="false">CC111=L111</f>
        <v>1</v>
      </c>
      <c r="CJ111" s="79" t="n">
        <f aca="false">CD111=M111</f>
        <v>1</v>
      </c>
      <c r="CK111" s="79" t="n">
        <f aca="false">CE111=N111</f>
        <v>1</v>
      </c>
      <c r="CL111" s="79" t="n">
        <f aca="false">CF111=O111</f>
        <v>1</v>
      </c>
      <c r="CM111" s="79" t="n">
        <f aca="false">CG111=P111</f>
        <v>1</v>
      </c>
    </row>
    <row r="112" s="14" customFormat="true" ht="16.5" hidden="false" customHeight="true" outlineLevel="0" collapsed="false">
      <c r="E112" s="96" t="s">
        <v>143</v>
      </c>
      <c r="H112" s="29"/>
      <c r="I112" s="82" t="n">
        <f aca="false">SUM(I107:I111)</f>
        <v>0</v>
      </c>
      <c r="J112" s="82" t="n">
        <f aca="false">SUM(J107:J111)</f>
        <v>1.35</v>
      </c>
      <c r="K112" s="82" t="n">
        <f aca="false">SUM(K107:K111)</f>
        <v>1.35</v>
      </c>
      <c r="L112" s="82" t="n">
        <f aca="false">SUM(L107:L111)</f>
        <v>0</v>
      </c>
      <c r="M112" s="82" t="n">
        <f aca="false">SUM(M107:M111)</f>
        <v>0.675</v>
      </c>
      <c r="N112" s="82" t="n">
        <f aca="false">SUM(N107:N111)</f>
        <v>1.35</v>
      </c>
      <c r="O112" s="82" t="n">
        <f aca="false">SUM(O107:O111)</f>
        <v>1.35</v>
      </c>
      <c r="P112" s="82" t="n">
        <f aca="false">SUM(P107:P111)</f>
        <v>1.35</v>
      </c>
      <c r="Q112" s="16"/>
      <c r="R112" s="16"/>
      <c r="T112" s="82" t="n">
        <f aca="false">SUM(T107:T111)</f>
        <v>0</v>
      </c>
      <c r="U112" s="82" t="n">
        <f aca="false">SUM(U107:U111)</f>
        <v>0</v>
      </c>
      <c r="V112" s="82" t="n">
        <f aca="false">SUM(V107:V111)</f>
        <v>0</v>
      </c>
      <c r="W112" s="82" t="n">
        <f aca="false">SUM(W107:W111)</f>
        <v>0</v>
      </c>
      <c r="X112" s="82" t="n">
        <f aca="false">SUM(X107:X111)</f>
        <v>0</v>
      </c>
      <c r="Y112" s="82" t="n">
        <f aca="false">SUM(Y107:Y111)</f>
        <v>0</v>
      </c>
      <c r="Z112" s="82" t="n">
        <f aca="false">SUM(Z107:Z111)</f>
        <v>0</v>
      </c>
      <c r="AA112" s="82" t="n">
        <f aca="false">SUM(AA107:AA111)</f>
        <v>0</v>
      </c>
      <c r="AB112" s="82" t="n">
        <f aca="false">SUM(AB107:AB111)</f>
        <v>0</v>
      </c>
      <c r="AC112" s="82" t="n">
        <f aca="false">SUM(AC107:AC111)</f>
        <v>0</v>
      </c>
      <c r="AD112" s="82" t="n">
        <f aca="false">SUM(AD107:AD111)</f>
        <v>0</v>
      </c>
      <c r="AE112" s="82" t="n">
        <f aca="false">SUM(AE107:AE111)</f>
        <v>0</v>
      </c>
      <c r="AF112" s="83" t="n">
        <f aca="false">SUM(AF107:AF111)</f>
        <v>0</v>
      </c>
      <c r="AG112" s="82" t="n">
        <f aca="false">SUM(AG107:AG111)</f>
        <v>0</v>
      </c>
      <c r="AH112" s="82" t="n">
        <f aca="false">SUM(AH107:AH111)</f>
        <v>0</v>
      </c>
      <c r="AI112" s="82" t="n">
        <f aca="false">SUM(AI107:AI111)</f>
        <v>0</v>
      </c>
      <c r="AJ112" s="82" t="n">
        <f aca="false">SUM(AJ107:AJ111)</f>
        <v>0</v>
      </c>
      <c r="AK112" s="82" t="n">
        <f aca="false">SUM(AK107:AK111)</f>
        <v>0</v>
      </c>
      <c r="AL112" s="82" t="n">
        <f aca="false">SUM(AL107:AL111)</f>
        <v>0.1125</v>
      </c>
      <c r="AM112" s="82" t="n">
        <f aca="false">SUM(AM107:AM111)</f>
        <v>0.1125</v>
      </c>
      <c r="AN112" s="82" t="n">
        <f aca="false">SUM(AN107:AN111)</f>
        <v>0.1125</v>
      </c>
      <c r="AO112" s="82" t="n">
        <f aca="false">SUM(AO107:AO111)</f>
        <v>0.1125</v>
      </c>
      <c r="AP112" s="82" t="n">
        <f aca="false">SUM(AP107:AP111)</f>
        <v>0.1125</v>
      </c>
      <c r="AQ112" s="82" t="n">
        <f aca="false">SUM(AQ107:AQ111)</f>
        <v>0.1125</v>
      </c>
      <c r="AR112" s="83" t="n">
        <f aca="false">SUM(AR107:AR111)</f>
        <v>0.1125</v>
      </c>
      <c r="AS112" s="82" t="n">
        <f aca="false">SUM(AS107:AS111)</f>
        <v>0.1125</v>
      </c>
      <c r="AT112" s="82" t="n">
        <f aca="false">SUM(AT107:AT111)</f>
        <v>0.1125</v>
      </c>
      <c r="AU112" s="82" t="n">
        <f aca="false">SUM(AU107:AU111)</f>
        <v>0.1125</v>
      </c>
      <c r="AV112" s="82" t="n">
        <f aca="false">SUM(AV107:AV111)</f>
        <v>0.1125</v>
      </c>
      <c r="AW112" s="82" t="n">
        <f aca="false">SUM(AW107:AW111)</f>
        <v>0.1125</v>
      </c>
      <c r="AX112" s="82" t="n">
        <f aca="false">SUM(AX107:AX111)</f>
        <v>0.1125</v>
      </c>
      <c r="AY112" s="82" t="n">
        <f aca="false">SUM(AY107:AY111)</f>
        <v>0.1125</v>
      </c>
      <c r="AZ112" s="82" t="n">
        <f aca="false">SUM(AZ107:AZ111)</f>
        <v>0.1125</v>
      </c>
      <c r="BA112" s="82" t="n">
        <f aca="false">SUM(BA107:BA111)</f>
        <v>0.1125</v>
      </c>
      <c r="BB112" s="82" t="n">
        <f aca="false">SUM(BB107:BB111)</f>
        <v>0.1125</v>
      </c>
      <c r="BC112" s="82" t="n">
        <f aca="false">SUM(BC107:BC111)</f>
        <v>0.1125</v>
      </c>
      <c r="BD112" s="83" t="n">
        <f aca="false">SUM(BD107:BD111)</f>
        <v>0.1125</v>
      </c>
      <c r="BE112" s="82" t="n">
        <f aca="false">SUM(BE107:BE111)</f>
        <v>0.1125</v>
      </c>
      <c r="BF112" s="82" t="n">
        <f aca="false">SUM(BF107:BF111)</f>
        <v>0.1125</v>
      </c>
      <c r="BG112" s="82" t="n">
        <f aca="false">SUM(BG107:BG111)</f>
        <v>0.1125</v>
      </c>
      <c r="BH112" s="82" t="n">
        <f aca="false">SUM(BH107:BH111)</f>
        <v>0.1125</v>
      </c>
      <c r="BI112" s="82" t="n">
        <f aca="false">SUM(BI107:BI111)</f>
        <v>0.1125</v>
      </c>
      <c r="BJ112" s="82" t="n">
        <f aca="false">SUM(BJ107:BJ111)</f>
        <v>0.1125</v>
      </c>
      <c r="BK112" s="82" t="n">
        <f aca="false">SUM(BK107:BK111)</f>
        <v>0.1125</v>
      </c>
      <c r="BL112" s="82" t="n">
        <f aca="false">SUM(BL107:BL111)</f>
        <v>0.1125</v>
      </c>
      <c r="BM112" s="82" t="n">
        <f aca="false">SUM(BM107:BM111)</f>
        <v>0.1125</v>
      </c>
      <c r="BN112" s="82" t="n">
        <f aca="false">SUM(BN107:BN111)</f>
        <v>0.1125</v>
      </c>
      <c r="BO112" s="82" t="n">
        <f aca="false">SUM(BO107:BO111)</f>
        <v>0.1125</v>
      </c>
      <c r="BP112" s="83" t="n">
        <f aca="false">SUM(BP107:BP111)</f>
        <v>0.1125</v>
      </c>
      <c r="BQ112" s="82" t="n">
        <f aca="false">SUM(BQ107:BQ111)</f>
        <v>0.1125</v>
      </c>
      <c r="BR112" s="82" t="n">
        <f aca="false">SUM(BR107:BR111)</f>
        <v>0.1125</v>
      </c>
      <c r="BS112" s="82" t="n">
        <f aca="false">SUM(BS107:BS111)</f>
        <v>0.1125</v>
      </c>
      <c r="BT112" s="82" t="n">
        <f aca="false">SUM(BT107:BT111)</f>
        <v>0.1125</v>
      </c>
      <c r="BU112" s="82" t="n">
        <f aca="false">SUM(BU107:BU111)</f>
        <v>0.1125</v>
      </c>
      <c r="BV112" s="82" t="n">
        <f aca="false">SUM(BV107:BV111)</f>
        <v>0.1125</v>
      </c>
      <c r="BW112" s="82" t="n">
        <f aca="false">SUM(BW107:BW111)</f>
        <v>0.1125</v>
      </c>
      <c r="BX112" s="82" t="n">
        <f aca="false">SUM(BX107:BX111)</f>
        <v>0.1125</v>
      </c>
      <c r="BY112" s="82" t="n">
        <f aca="false">SUM(BY107:BY111)</f>
        <v>0.1125</v>
      </c>
      <c r="BZ112" s="82" t="n">
        <f aca="false">SUM(BZ107:BZ111)</f>
        <v>0.1125</v>
      </c>
      <c r="CA112" s="84" t="n">
        <f aca="false">SUM(CA107:CA111)</f>
        <v>0.1125</v>
      </c>
      <c r="CC112" s="84" t="n">
        <f aca="false">SUM(CC107:CC111)</f>
        <v>0</v>
      </c>
      <c r="CD112" s="84" t="n">
        <f aca="false">SUM(CD107:CD111)</f>
        <v>0.675</v>
      </c>
      <c r="CE112" s="84" t="n">
        <f aca="false">SUM(CE107:CE111)</f>
        <v>1.35</v>
      </c>
      <c r="CF112" s="84" t="n">
        <f aca="false">SUM(CF107:CF111)</f>
        <v>1.35</v>
      </c>
      <c r="CG112" s="84" t="n">
        <f aca="false">SUM(CG107:CG111)</f>
        <v>1.35</v>
      </c>
      <c r="CI112" s="84" t="n">
        <f aca="false">CC112=L112</f>
        <v>1</v>
      </c>
      <c r="CJ112" s="84" t="n">
        <f aca="false">CD112=M112</f>
        <v>1</v>
      </c>
      <c r="CK112" s="84" t="n">
        <f aca="false">CE112=N112</f>
        <v>1</v>
      </c>
      <c r="CL112" s="84" t="n">
        <f aca="false">CF112=O112</f>
        <v>1</v>
      </c>
      <c r="CM112" s="84" t="n">
        <f aca="false">CG112=P112</f>
        <v>1</v>
      </c>
    </row>
    <row r="113" s="14" customFormat="true" ht="16.5" hidden="false" customHeight="true" outlineLevel="0" collapsed="false">
      <c r="E113" s="96"/>
      <c r="H113" s="29"/>
      <c r="I113" s="105"/>
      <c r="J113" s="105"/>
      <c r="K113" s="105"/>
      <c r="L113" s="105"/>
      <c r="M113" s="105"/>
      <c r="N113" s="105"/>
      <c r="O113" s="105"/>
      <c r="P113" s="105"/>
      <c r="Q113" s="16"/>
      <c r="R113" s="16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3"/>
      <c r="AG113" s="82"/>
      <c r="AH113" s="82"/>
      <c r="AI113" s="82"/>
      <c r="AJ113" s="82"/>
      <c r="AK113" s="82"/>
      <c r="AL113" s="82"/>
      <c r="AM113" s="82"/>
      <c r="AN113" s="82"/>
      <c r="AO113" s="82"/>
      <c r="AP113" s="82"/>
      <c r="AQ113" s="82"/>
      <c r="AR113" s="83"/>
      <c r="AS113" s="82"/>
      <c r="AT113" s="82"/>
      <c r="AU113" s="82"/>
      <c r="AV113" s="82"/>
      <c r="AW113" s="82"/>
      <c r="AX113" s="82"/>
      <c r="AY113" s="82"/>
      <c r="AZ113" s="82"/>
      <c r="BA113" s="82"/>
      <c r="BB113" s="82"/>
      <c r="BC113" s="82"/>
      <c r="BD113" s="83"/>
      <c r="BE113" s="82"/>
      <c r="BF113" s="82"/>
      <c r="BG113" s="82"/>
      <c r="BH113" s="82"/>
      <c r="BI113" s="82"/>
      <c r="BJ113" s="82"/>
      <c r="BK113" s="82"/>
      <c r="BL113" s="82"/>
      <c r="BM113" s="82"/>
      <c r="BN113" s="82"/>
      <c r="BO113" s="82"/>
      <c r="BP113" s="83"/>
      <c r="BQ113" s="82"/>
      <c r="BR113" s="82"/>
      <c r="BS113" s="82"/>
      <c r="BT113" s="82"/>
      <c r="BU113" s="82"/>
      <c r="BV113" s="82"/>
      <c r="BW113" s="82"/>
      <c r="BX113" s="82"/>
      <c r="BY113" s="82"/>
      <c r="BZ113" s="82"/>
      <c r="CA113" s="84"/>
      <c r="CC113" s="84"/>
      <c r="CD113" s="84"/>
      <c r="CE113" s="84"/>
      <c r="CF113" s="84"/>
      <c r="CG113" s="84"/>
      <c r="CI113" s="84"/>
      <c r="CJ113" s="84"/>
      <c r="CK113" s="84"/>
      <c r="CL113" s="84"/>
      <c r="CM113" s="84"/>
    </row>
    <row r="114" s="14" customFormat="true" ht="16.5" hidden="false" customHeight="true" outlineLevel="0" collapsed="false">
      <c r="E114" s="85"/>
      <c r="I114" s="104"/>
      <c r="J114" s="104"/>
      <c r="K114" s="104"/>
      <c r="L114" s="104"/>
      <c r="M114" s="104"/>
      <c r="N114" s="104"/>
      <c r="O114" s="104"/>
      <c r="P114" s="104"/>
      <c r="Q114" s="16"/>
      <c r="R114" s="16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9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  <c r="AQ114" s="88"/>
      <c r="AR114" s="89"/>
      <c r="AS114" s="88"/>
      <c r="AT114" s="88"/>
      <c r="AU114" s="88"/>
      <c r="AV114" s="88"/>
      <c r="AW114" s="88"/>
      <c r="AX114" s="88"/>
      <c r="AY114" s="88"/>
      <c r="AZ114" s="88"/>
      <c r="BA114" s="88"/>
      <c r="BB114" s="88"/>
      <c r="BC114" s="88"/>
      <c r="BD114" s="89"/>
      <c r="BE114" s="88"/>
      <c r="BF114" s="88"/>
      <c r="BG114" s="88"/>
      <c r="BH114" s="88"/>
      <c r="BI114" s="88"/>
      <c r="BJ114" s="88"/>
      <c r="BK114" s="88"/>
      <c r="BL114" s="88"/>
      <c r="BM114" s="88"/>
      <c r="BN114" s="88"/>
      <c r="BO114" s="88"/>
      <c r="BP114" s="89"/>
      <c r="BQ114" s="88"/>
      <c r="BR114" s="88"/>
      <c r="BS114" s="88"/>
      <c r="BT114" s="88"/>
      <c r="BU114" s="88"/>
      <c r="BV114" s="88"/>
      <c r="BW114" s="88"/>
      <c r="BX114" s="88"/>
      <c r="BY114" s="88"/>
      <c r="BZ114" s="88"/>
      <c r="CA114" s="90"/>
      <c r="CC114" s="90"/>
      <c r="CD114" s="90"/>
      <c r="CE114" s="90"/>
      <c r="CF114" s="90"/>
      <c r="CG114" s="90"/>
      <c r="CI114" s="90"/>
      <c r="CJ114" s="90"/>
      <c r="CK114" s="90"/>
      <c r="CL114" s="90"/>
      <c r="CM114" s="90"/>
    </row>
    <row r="115" s="14" customFormat="true" ht="16.5" hidden="false" customHeight="true" outlineLevel="0" collapsed="false">
      <c r="E115" s="109" t="s">
        <v>150</v>
      </c>
      <c r="F115" s="109"/>
      <c r="G115" s="109"/>
      <c r="H115" s="109"/>
      <c r="I115" s="220" t="n">
        <f aca="false">SUM(-I96, I104, I112)</f>
        <v>0</v>
      </c>
      <c r="J115" s="220" t="n">
        <f aca="false">SUM(-J96, J104, J112)</f>
        <v>1.35</v>
      </c>
      <c r="K115" s="220" t="n">
        <f aca="false">SUM(-K96, K104, K112)</f>
        <v>1.35</v>
      </c>
      <c r="L115" s="220" t="n">
        <f aca="false">SUM(-L96, L104, L112)</f>
        <v>0</v>
      </c>
      <c r="M115" s="220" t="n">
        <f aca="false">SUM(-M96, M104, M112)</f>
        <v>0.675</v>
      </c>
      <c r="N115" s="220" t="n">
        <f aca="false">SUM(-N96, N104, N112)</f>
        <v>1.35</v>
      </c>
      <c r="O115" s="220" t="n">
        <f aca="false">SUM(-O96, O104, O112)</f>
        <v>1.35</v>
      </c>
      <c r="P115" s="220" t="n">
        <f aca="false">SUM(-P96, P104, P112)</f>
        <v>1.35</v>
      </c>
      <c r="Q115" s="16"/>
      <c r="R115" s="16"/>
      <c r="T115" s="120" t="n">
        <f aca="false">SUM(-T96, T104, T112)</f>
        <v>0</v>
      </c>
      <c r="U115" s="120" t="n">
        <f aca="false">SUM(-U96, U104, U112)</f>
        <v>0</v>
      </c>
      <c r="V115" s="120" t="n">
        <f aca="false">SUM(-V96, V104, V112)</f>
        <v>0</v>
      </c>
      <c r="W115" s="120" t="n">
        <f aca="false">SUM(-W96, W104, W112)</f>
        <v>0</v>
      </c>
      <c r="X115" s="120" t="n">
        <f aca="false">SUM(-X96, X104, X112)</f>
        <v>0</v>
      </c>
      <c r="Y115" s="120" t="n">
        <f aca="false">SUM(-Y96, Y104, Y112)</f>
        <v>0</v>
      </c>
      <c r="Z115" s="120" t="n">
        <f aca="false">SUM(-Z96, Z104, Z112)</f>
        <v>0</v>
      </c>
      <c r="AA115" s="120" t="n">
        <f aca="false">SUM(-AA96, AA104, AA112)</f>
        <v>0</v>
      </c>
      <c r="AB115" s="120" t="n">
        <f aca="false">SUM(-AB96, AB104, AB112)</f>
        <v>0</v>
      </c>
      <c r="AC115" s="120" t="n">
        <f aca="false">SUM(-AC96, AC104, AC112)</f>
        <v>0</v>
      </c>
      <c r="AD115" s="120" t="n">
        <f aca="false">SUM(-AD96, AD104, AD112)</f>
        <v>0</v>
      </c>
      <c r="AE115" s="120" t="n">
        <f aca="false">SUM(-AE96, AE104, AE112)</f>
        <v>0</v>
      </c>
      <c r="AF115" s="120" t="n">
        <f aca="false">SUM(-AF96, AF104, AF112)</f>
        <v>0</v>
      </c>
      <c r="AG115" s="120" t="n">
        <f aca="false">SUM(-AG96, AG104, AG112)</f>
        <v>0</v>
      </c>
      <c r="AH115" s="120" t="n">
        <f aca="false">SUM(-AH96, AH104, AH112)</f>
        <v>0</v>
      </c>
      <c r="AI115" s="120" t="n">
        <f aca="false">SUM(-AI96, AI104, AI112)</f>
        <v>0</v>
      </c>
      <c r="AJ115" s="120" t="n">
        <f aca="false">SUM(-AJ96, AJ104, AJ112)</f>
        <v>0</v>
      </c>
      <c r="AK115" s="120" t="n">
        <f aca="false">SUM(-AK96, AK104, AK112)</f>
        <v>0</v>
      </c>
      <c r="AL115" s="120" t="n">
        <f aca="false">SUM(-AL96, AL104, AL112)</f>
        <v>0.1125</v>
      </c>
      <c r="AM115" s="120" t="n">
        <f aca="false">SUM(-AM96, AM104, AM112)</f>
        <v>0.1125</v>
      </c>
      <c r="AN115" s="120" t="n">
        <f aca="false">SUM(-AN96, AN104, AN112)</f>
        <v>0.1125</v>
      </c>
      <c r="AO115" s="120" t="n">
        <f aca="false">SUM(-AO96, AO104, AO112)</f>
        <v>0.1125</v>
      </c>
      <c r="AP115" s="120" t="n">
        <f aca="false">SUM(-AP96, AP104, AP112)</f>
        <v>0.1125</v>
      </c>
      <c r="AQ115" s="120" t="n">
        <f aca="false">SUM(-AQ96, AQ104, AQ112)</f>
        <v>0.1125</v>
      </c>
      <c r="AR115" s="120" t="n">
        <f aca="false">SUM(-AR96, AR104, AR112)</f>
        <v>0.1125</v>
      </c>
      <c r="AS115" s="120" t="n">
        <f aca="false">SUM(-AS96, AS104, AS112)</f>
        <v>0.1125</v>
      </c>
      <c r="AT115" s="120" t="n">
        <f aca="false">SUM(-AT96, AT104, AT112)</f>
        <v>0.1125</v>
      </c>
      <c r="AU115" s="120" t="n">
        <f aca="false">SUM(-AU96, AU104, AU112)</f>
        <v>0.1125</v>
      </c>
      <c r="AV115" s="120" t="n">
        <f aca="false">SUM(-AV96, AV104, AV112)</f>
        <v>0.1125</v>
      </c>
      <c r="AW115" s="120" t="n">
        <f aca="false">SUM(-AW96, AW104, AW112)</f>
        <v>0.1125</v>
      </c>
      <c r="AX115" s="120" t="n">
        <f aca="false">SUM(-AX96, AX104, AX112)</f>
        <v>0.1125</v>
      </c>
      <c r="AY115" s="120" t="n">
        <f aca="false">SUM(-AY96, AY104, AY112)</f>
        <v>0.1125</v>
      </c>
      <c r="AZ115" s="120" t="n">
        <f aca="false">SUM(-AZ96, AZ104, AZ112)</f>
        <v>0.1125</v>
      </c>
      <c r="BA115" s="120" t="n">
        <f aca="false">SUM(-BA96, BA104, BA112)</f>
        <v>0.1125</v>
      </c>
      <c r="BB115" s="120" t="n">
        <f aca="false">SUM(-BB96, BB104, BB112)</f>
        <v>0.1125</v>
      </c>
      <c r="BC115" s="120" t="n">
        <f aca="false">SUM(-BC96, BC104, BC112)</f>
        <v>0.1125</v>
      </c>
      <c r="BD115" s="120" t="n">
        <f aca="false">SUM(-BD96, BD104, BD112)</f>
        <v>0.1125</v>
      </c>
      <c r="BE115" s="120" t="n">
        <f aca="false">SUM(-BE96, BE104, BE112)</f>
        <v>0.1125</v>
      </c>
      <c r="BF115" s="120" t="n">
        <f aca="false">SUM(-BF96, BF104, BF112)</f>
        <v>0.1125</v>
      </c>
      <c r="BG115" s="120" t="n">
        <f aca="false">SUM(-BG96, BG104, BG112)</f>
        <v>0.1125</v>
      </c>
      <c r="BH115" s="120" t="n">
        <f aca="false">SUM(-BH96, BH104, BH112)</f>
        <v>0.1125</v>
      </c>
      <c r="BI115" s="120" t="n">
        <f aca="false">SUM(-BI96, BI104, BI112)</f>
        <v>0.1125</v>
      </c>
      <c r="BJ115" s="120" t="n">
        <f aca="false">SUM(-BJ96, BJ104, BJ112)</f>
        <v>0.1125</v>
      </c>
      <c r="BK115" s="120" t="n">
        <f aca="false">SUM(-BK96, BK104, BK112)</f>
        <v>0.1125</v>
      </c>
      <c r="BL115" s="120" t="n">
        <f aca="false">SUM(-BL96, BL104, BL112)</f>
        <v>0.1125</v>
      </c>
      <c r="BM115" s="120" t="n">
        <f aca="false">SUM(-BM96, BM104, BM112)</f>
        <v>0.1125</v>
      </c>
      <c r="BN115" s="120" t="n">
        <f aca="false">SUM(-BN96, BN104, BN112)</f>
        <v>0.1125</v>
      </c>
      <c r="BO115" s="120" t="n">
        <f aca="false">SUM(-BO96, BO104, BO112)</f>
        <v>0.1125</v>
      </c>
      <c r="BP115" s="120" t="n">
        <f aca="false">SUM(-BP96, BP104, BP112)</f>
        <v>0.1125</v>
      </c>
      <c r="BQ115" s="120" t="n">
        <f aca="false">SUM(-BQ96, BQ104, BQ112)</f>
        <v>0.1125</v>
      </c>
      <c r="BR115" s="120" t="n">
        <f aca="false">SUM(-BR96, BR104, BR112)</f>
        <v>0.1125</v>
      </c>
      <c r="BS115" s="120" t="n">
        <f aca="false">SUM(-BS96, BS104, BS112)</f>
        <v>0.1125</v>
      </c>
      <c r="BT115" s="120" t="n">
        <f aca="false">SUM(-BT96, BT104, BT112)</f>
        <v>0.1125</v>
      </c>
      <c r="BU115" s="120" t="n">
        <f aca="false">SUM(-BU96, BU104, BU112)</f>
        <v>0.1125</v>
      </c>
      <c r="BV115" s="120" t="n">
        <f aca="false">SUM(-BV96, BV104, BV112)</f>
        <v>0.1125</v>
      </c>
      <c r="BW115" s="120" t="n">
        <f aca="false">SUM(-BW96, BW104, BW112)</f>
        <v>0.1125</v>
      </c>
      <c r="BX115" s="120" t="n">
        <f aca="false">SUM(-BX96, BX104, BX112)</f>
        <v>0.1125</v>
      </c>
      <c r="BY115" s="120" t="n">
        <f aca="false">SUM(-BY96, BY104, BY112)</f>
        <v>0.1125</v>
      </c>
      <c r="BZ115" s="120" t="n">
        <f aca="false">SUM(-BZ96, BZ104, BZ112)</f>
        <v>0.1125</v>
      </c>
      <c r="CA115" s="120" t="n">
        <f aca="false">SUM(-CA96, CA104, CA112)</f>
        <v>0.1125</v>
      </c>
      <c r="CC115" s="120" t="n">
        <f aca="false">SUM(-CC96, CC104, CC112)</f>
        <v>0</v>
      </c>
      <c r="CD115" s="120" t="n">
        <f aca="false">SUM(-CD96, CD104, CD112)</f>
        <v>0.675</v>
      </c>
      <c r="CE115" s="120" t="n">
        <f aca="false">SUM(-CE96, CE104, CE112)</f>
        <v>1.35</v>
      </c>
      <c r="CF115" s="120" t="n">
        <f aca="false">SUM(-CF96, CF104, CF112)</f>
        <v>1.35</v>
      </c>
      <c r="CG115" s="120" t="n">
        <f aca="false">SUM(-CG96, CG104, CG112)</f>
        <v>1.35</v>
      </c>
      <c r="CI115" s="113" t="n">
        <f aca="false">CC115=L115</f>
        <v>1</v>
      </c>
      <c r="CJ115" s="113" t="n">
        <f aca="false">CD115=M115</f>
        <v>1</v>
      </c>
      <c r="CK115" s="113" t="n">
        <f aca="false">CE115=N115</f>
        <v>1</v>
      </c>
      <c r="CL115" s="113" t="n">
        <f aca="false">CF115=O115</f>
        <v>1</v>
      </c>
      <c r="CM115" s="113" t="n">
        <f aca="false">CG115=P115</f>
        <v>1</v>
      </c>
    </row>
    <row r="116" s="14" customFormat="true" ht="17.25" hidden="false" customHeight="true" outlineLevel="0" collapsed="false">
      <c r="E116" s="21"/>
      <c r="I116" s="221"/>
      <c r="J116" s="221"/>
      <c r="K116" s="221"/>
      <c r="L116" s="221"/>
      <c r="M116" s="221"/>
      <c r="N116" s="221"/>
      <c r="O116" s="221"/>
      <c r="P116" s="221"/>
      <c r="Q116" s="16"/>
      <c r="R116" s="16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  <c r="AQ116" s="88"/>
      <c r="AR116" s="88"/>
      <c r="AS116" s="88"/>
      <c r="AT116" s="88"/>
      <c r="AU116" s="88"/>
      <c r="AV116" s="88"/>
      <c r="AW116" s="88"/>
      <c r="AX116" s="88"/>
      <c r="AY116" s="88"/>
      <c r="AZ116" s="88"/>
      <c r="BA116" s="88"/>
      <c r="BB116" s="88"/>
      <c r="BC116" s="88"/>
      <c r="BD116" s="88"/>
      <c r="BE116" s="88"/>
      <c r="BF116" s="88"/>
      <c r="BG116" s="88"/>
      <c r="BH116" s="88"/>
      <c r="BI116" s="88"/>
      <c r="BJ116" s="88"/>
      <c r="BK116" s="88"/>
      <c r="BL116" s="88"/>
      <c r="BM116" s="88"/>
      <c r="BN116" s="88"/>
      <c r="BO116" s="88"/>
      <c r="BP116" s="88"/>
      <c r="BQ116" s="88"/>
      <c r="BR116" s="88"/>
      <c r="BS116" s="88"/>
      <c r="BT116" s="88"/>
      <c r="BU116" s="88"/>
      <c r="BV116" s="88"/>
      <c r="BW116" s="88"/>
      <c r="BX116" s="88"/>
      <c r="BY116" s="88"/>
      <c r="BZ116" s="88"/>
      <c r="CA116" s="121"/>
    </row>
    <row r="117" s="14" customFormat="true" ht="17.25" hidden="false" customHeight="true" outlineLevel="0" collapsed="false">
      <c r="E117" s="122" t="s">
        <v>151</v>
      </c>
      <c r="F117" s="123"/>
      <c r="G117" s="123"/>
      <c r="H117" s="123"/>
      <c r="I117" s="222" t="n">
        <f aca="false">SUM(I88, -I115)</f>
        <v>182.408995044027</v>
      </c>
      <c r="J117" s="222" t="n">
        <f aca="false">SUM(J88, -J115)</f>
        <v>173.404545451885</v>
      </c>
      <c r="K117" s="223" t="n">
        <f aca="false">SUM(K88, -K115)</f>
        <v>6.3044495921416</v>
      </c>
      <c r="L117" s="222" t="n">
        <f aca="false">SUM(L88, -L115)</f>
        <v>0</v>
      </c>
      <c r="M117" s="222" t="n">
        <f aca="false">SUM(M88, -M115)</f>
        <v>1.2386123980354</v>
      </c>
      <c r="N117" s="222" t="n">
        <f aca="false">SUM(N88, -N115)</f>
        <v>6.3044495921416</v>
      </c>
      <c r="O117" s="222" t="n">
        <f aca="false">SUM(O88, -O115)</f>
        <v>6.3044495921416</v>
      </c>
      <c r="P117" s="222" t="n">
        <f aca="false">SUM(P88, -P115)</f>
        <v>6.3044495921416</v>
      </c>
      <c r="Q117" s="16"/>
      <c r="R117" s="16" t="str">
        <f aca="false">IF(K117=P117, "", "Error")</f>
        <v/>
      </c>
      <c r="T117" s="125" t="n">
        <f aca="false">SUM(T88, -T115)</f>
        <v>0</v>
      </c>
      <c r="U117" s="125" t="n">
        <f aca="false">SUM(U88, -U115)</f>
        <v>0</v>
      </c>
      <c r="V117" s="125" t="n">
        <f aca="false">SUM(V88, -V115)</f>
        <v>0</v>
      </c>
      <c r="W117" s="125" t="n">
        <f aca="false">SUM(W88, -W115)</f>
        <v>0</v>
      </c>
      <c r="X117" s="125" t="n">
        <f aca="false">SUM(X88, -X115)</f>
        <v>0</v>
      </c>
      <c r="Y117" s="125" t="n">
        <f aca="false">SUM(Y88, -Y115)</f>
        <v>0</v>
      </c>
      <c r="Z117" s="125" t="n">
        <f aca="false">SUM(Z88, -Z115)</f>
        <v>0</v>
      </c>
      <c r="AA117" s="125" t="n">
        <f aca="false">SUM(AA88, -AA115)</f>
        <v>0</v>
      </c>
      <c r="AB117" s="125" t="n">
        <f aca="false">SUM(AB88, -AB115)</f>
        <v>0</v>
      </c>
      <c r="AC117" s="125" t="n">
        <f aca="false">SUM(AC88, -AC115)</f>
        <v>0</v>
      </c>
      <c r="AD117" s="125" t="n">
        <f aca="false">SUM(AD88, -AD115)</f>
        <v>0</v>
      </c>
      <c r="AE117" s="125" t="n">
        <f aca="false">SUM(AE88, -AE115)</f>
        <v>0</v>
      </c>
      <c r="AF117" s="125" t="n">
        <f aca="false">SUM(AF88, -AF115)</f>
        <v>0</v>
      </c>
      <c r="AG117" s="125" t="n">
        <f aca="false">SUM(AG88, -AG115)</f>
        <v>0</v>
      </c>
      <c r="AH117" s="125" t="n">
        <f aca="false">SUM(AH88, -AH115)</f>
        <v>0</v>
      </c>
      <c r="AI117" s="125" t="n">
        <f aca="false">SUM(AI88, -AI115)</f>
        <v>0</v>
      </c>
      <c r="AJ117" s="125" t="n">
        <f aca="false">SUM(AJ88, -AJ115)</f>
        <v>0</v>
      </c>
      <c r="AK117" s="125" t="n">
        <f aca="false">SUM(AK88, -AK115)</f>
        <v>0</v>
      </c>
      <c r="AL117" s="125" t="n">
        <f aca="false">SUM(AL88, -AL115)</f>
        <v>-0.0593441000545722</v>
      </c>
      <c r="AM117" s="125" t="n">
        <f aca="false">SUM(AM88, -AM115)</f>
        <v>0.0469676998362834</v>
      </c>
      <c r="AN117" s="125" t="n">
        <f aca="false">SUM(AN88, -AN115)</f>
        <v>0.153279499727139</v>
      </c>
      <c r="AO117" s="125" t="n">
        <f aca="false">SUM(AO88, -AO115)</f>
        <v>0.259591299617995</v>
      </c>
      <c r="AP117" s="125" t="n">
        <f aca="false">SUM(AP88, -AP115)</f>
        <v>0.36590309950885</v>
      </c>
      <c r="AQ117" s="125" t="n">
        <f aca="false">SUM(AQ88, -AQ115)</f>
        <v>0.472214899399706</v>
      </c>
      <c r="AR117" s="125" t="n">
        <f aca="false">SUM(AR88, -AR115)</f>
        <v>0.525370799345133</v>
      </c>
      <c r="AS117" s="125" t="n">
        <f aca="false">SUM(AS88, -AS115)</f>
        <v>0.525370799345133</v>
      </c>
      <c r="AT117" s="125" t="n">
        <f aca="false">SUM(AT88, -AT115)</f>
        <v>0.525370799345133</v>
      </c>
      <c r="AU117" s="125" t="n">
        <f aca="false">SUM(AU88, -AU115)</f>
        <v>0.525370799345133</v>
      </c>
      <c r="AV117" s="125" t="n">
        <f aca="false">SUM(AV88, -AV115)</f>
        <v>0.525370799345133</v>
      </c>
      <c r="AW117" s="125" t="n">
        <f aca="false">SUM(AW88, -AW115)</f>
        <v>0.525370799345133</v>
      </c>
      <c r="AX117" s="125" t="n">
        <f aca="false">SUM(AX88, -AX115)</f>
        <v>0.525370799345133</v>
      </c>
      <c r="AY117" s="125" t="n">
        <f aca="false">SUM(AY88, -AY115)</f>
        <v>0.525370799345133</v>
      </c>
      <c r="AZ117" s="125" t="n">
        <f aca="false">SUM(AZ88, -AZ115)</f>
        <v>0.525370799345133</v>
      </c>
      <c r="BA117" s="125" t="n">
        <f aca="false">SUM(BA88, -BA115)</f>
        <v>0.525370799345133</v>
      </c>
      <c r="BB117" s="125" t="n">
        <f aca="false">SUM(BB88, -BB115)</f>
        <v>0.525370799345133</v>
      </c>
      <c r="BC117" s="125" t="n">
        <f aca="false">SUM(BC88, -BC115)</f>
        <v>0.525370799345133</v>
      </c>
      <c r="BD117" s="125" t="n">
        <f aca="false">SUM(BD88, -BD115)</f>
        <v>0.525370799345133</v>
      </c>
      <c r="BE117" s="125" t="n">
        <f aca="false">SUM(BE88, -BE115)</f>
        <v>0.525370799345133</v>
      </c>
      <c r="BF117" s="125" t="n">
        <f aca="false">SUM(BF88, -BF115)</f>
        <v>0.525370799345133</v>
      </c>
      <c r="BG117" s="125" t="n">
        <f aca="false">SUM(BG88, -BG115)</f>
        <v>0.525370799345133</v>
      </c>
      <c r="BH117" s="125" t="n">
        <f aca="false">SUM(BH88, -BH115)</f>
        <v>0.525370799345133</v>
      </c>
      <c r="BI117" s="125" t="n">
        <f aca="false">SUM(BI88, -BI115)</f>
        <v>0.525370799345133</v>
      </c>
      <c r="BJ117" s="125" t="n">
        <f aca="false">SUM(BJ88, -BJ115)</f>
        <v>0.525370799345133</v>
      </c>
      <c r="BK117" s="125" t="n">
        <f aca="false">SUM(BK88, -BK115)</f>
        <v>0.525370799345133</v>
      </c>
      <c r="BL117" s="125" t="n">
        <f aca="false">SUM(BL88, -BL115)</f>
        <v>0.525370799345133</v>
      </c>
      <c r="BM117" s="125" t="n">
        <f aca="false">SUM(BM88, -BM115)</f>
        <v>0.525370799345133</v>
      </c>
      <c r="BN117" s="125" t="n">
        <f aca="false">SUM(BN88, -BN115)</f>
        <v>0.525370799345133</v>
      </c>
      <c r="BO117" s="125" t="n">
        <f aca="false">SUM(BO88, -BO115)</f>
        <v>0.525370799345133</v>
      </c>
      <c r="BP117" s="125" t="n">
        <f aca="false">SUM(BP88, -BP115)</f>
        <v>0.525370799345133</v>
      </c>
      <c r="BQ117" s="125" t="n">
        <f aca="false">SUM(BQ88, -BQ115)</f>
        <v>0.525370799345133</v>
      </c>
      <c r="BR117" s="125" t="n">
        <f aca="false">SUM(BR88, -BR115)</f>
        <v>0.525370799345133</v>
      </c>
      <c r="BS117" s="125" t="n">
        <f aca="false">SUM(BS88, -BS115)</f>
        <v>0.525370799345133</v>
      </c>
      <c r="BT117" s="125" t="n">
        <f aca="false">SUM(BT88, -BT115)</f>
        <v>0.525370799345133</v>
      </c>
      <c r="BU117" s="125" t="n">
        <f aca="false">SUM(BU88, -BU115)</f>
        <v>0.525370799345133</v>
      </c>
      <c r="BV117" s="125" t="n">
        <f aca="false">SUM(BV88, -BV115)</f>
        <v>0.525370799345133</v>
      </c>
      <c r="BW117" s="125" t="n">
        <f aca="false">SUM(BW88, -BW115)</f>
        <v>0.525370799345133</v>
      </c>
      <c r="BX117" s="125" t="n">
        <f aca="false">SUM(BX88, -BX115)</f>
        <v>0.525370799345133</v>
      </c>
      <c r="BY117" s="125" t="n">
        <f aca="false">SUM(BY88, -BY115)</f>
        <v>0.525370799345133</v>
      </c>
      <c r="BZ117" s="125" t="n">
        <f aca="false">SUM(BZ88, -BZ115)</f>
        <v>0.525370799345133</v>
      </c>
      <c r="CA117" s="126" t="n">
        <f aca="false">SUM(CA88, -CA115)</f>
        <v>0.525370799345133</v>
      </c>
      <c r="CC117" s="126" t="n">
        <f aca="false">SUM(CC88, -CC115)</f>
        <v>0</v>
      </c>
      <c r="CD117" s="126" t="n">
        <f aca="false">SUM(CD88, -CD115)</f>
        <v>1.2386123980354</v>
      </c>
      <c r="CE117" s="126" t="n">
        <f aca="false">SUM(CE88, -CE115)</f>
        <v>6.3044495921416</v>
      </c>
      <c r="CF117" s="126" t="n">
        <f aca="false">SUM(CF88, -CF115)</f>
        <v>6.3044495921416</v>
      </c>
      <c r="CG117" s="126" t="n">
        <f aca="false">SUM(CG88, -CG115)</f>
        <v>6.3044495921416</v>
      </c>
      <c r="CI117" s="126" t="n">
        <f aca="false">CC117=L117</f>
        <v>1</v>
      </c>
      <c r="CJ117" s="126" t="n">
        <f aca="false">CD117=M117</f>
        <v>1</v>
      </c>
      <c r="CK117" s="126" t="n">
        <f aca="false">CE117=N117</f>
        <v>1</v>
      </c>
      <c r="CL117" s="126" t="n">
        <f aca="false">CF117=O117</f>
        <v>1</v>
      </c>
      <c r="CM117" s="126" t="n">
        <f aca="false">CG117=P117</f>
        <v>1</v>
      </c>
    </row>
    <row r="118" s="14" customFormat="true" ht="17.25" hidden="false" customHeight="true" outlineLevel="0" collapsed="false">
      <c r="K118" s="127"/>
      <c r="Q118" s="16"/>
      <c r="R118" s="16"/>
    </row>
    <row r="119" s="14" customFormat="true" ht="17.25" hidden="false" customHeight="true" outlineLevel="0" collapsed="false">
      <c r="E119" s="128"/>
      <c r="Q119" s="16"/>
      <c r="R119" s="16"/>
    </row>
    <row r="120" s="14" customFormat="true" ht="16.5" hidden="false" customHeight="true" outlineLevel="0" collapsed="false">
      <c r="C120" s="19" t="s">
        <v>152</v>
      </c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20"/>
      <c r="R120" s="20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C120" s="19" t="s">
        <v>127</v>
      </c>
      <c r="CD120" s="19"/>
      <c r="CE120" s="19"/>
      <c r="CF120" s="19"/>
      <c r="CG120" s="19"/>
      <c r="CI120" s="19" t="s">
        <v>128</v>
      </c>
      <c r="CJ120" s="19"/>
      <c r="CK120" s="19"/>
      <c r="CL120" s="19"/>
      <c r="CM120" s="19"/>
    </row>
    <row r="121" s="14" customFormat="true" ht="16.5" hidden="false" customHeight="true" outlineLevel="0" collapsed="false">
      <c r="Q121" s="16"/>
      <c r="R121" s="16"/>
    </row>
    <row r="122" s="14" customFormat="true" ht="16.5" hidden="false" customHeight="true" outlineLevel="0" collapsed="false">
      <c r="Q122" s="16"/>
      <c r="R122" s="16"/>
      <c r="T122" s="62" t="n">
        <v>2026</v>
      </c>
      <c r="U122" s="129"/>
      <c r="V122" s="129"/>
      <c r="W122" s="129"/>
      <c r="X122" s="129"/>
      <c r="Y122" s="129"/>
      <c r="Z122" s="129"/>
      <c r="AA122" s="129"/>
      <c r="AB122" s="129"/>
      <c r="AC122" s="129"/>
      <c r="AD122" s="129"/>
      <c r="AE122" s="129"/>
      <c r="AF122" s="62" t="n">
        <v>2027</v>
      </c>
      <c r="AG122" s="129"/>
      <c r="AH122" s="129"/>
      <c r="AI122" s="129"/>
      <c r="AJ122" s="129"/>
      <c r="AK122" s="129"/>
      <c r="AL122" s="129"/>
      <c r="AM122" s="129"/>
      <c r="AN122" s="129"/>
      <c r="AO122" s="129"/>
      <c r="AP122" s="129"/>
      <c r="AQ122" s="129"/>
      <c r="AR122" s="62" t="n">
        <v>2028</v>
      </c>
      <c r="AS122" s="129"/>
      <c r="AT122" s="129"/>
      <c r="AU122" s="129"/>
      <c r="AV122" s="129"/>
      <c r="AW122" s="129"/>
      <c r="AX122" s="129"/>
      <c r="AY122" s="129"/>
      <c r="AZ122" s="129"/>
      <c r="BA122" s="129"/>
      <c r="BB122" s="129"/>
      <c r="BC122" s="129"/>
      <c r="BD122" s="62" t="n">
        <v>2029</v>
      </c>
      <c r="BE122" s="129"/>
      <c r="BF122" s="129"/>
      <c r="BG122" s="129"/>
      <c r="BH122" s="129"/>
      <c r="BI122" s="129"/>
      <c r="BJ122" s="129"/>
      <c r="BK122" s="129"/>
      <c r="BL122" s="129"/>
      <c r="BM122" s="129"/>
      <c r="BN122" s="129"/>
      <c r="BO122" s="129"/>
      <c r="BP122" s="62" t="n">
        <v>2030</v>
      </c>
      <c r="BQ122" s="130"/>
      <c r="BR122" s="130"/>
      <c r="BS122" s="130"/>
      <c r="BT122" s="130"/>
      <c r="BU122" s="130"/>
      <c r="BV122" s="130"/>
      <c r="BW122" s="130"/>
      <c r="BX122" s="130"/>
      <c r="BY122" s="130"/>
      <c r="BZ122" s="130"/>
      <c r="CA122" s="130"/>
    </row>
    <row r="123" s="14" customFormat="true" ht="16.5" hidden="false" customHeight="true" outlineLevel="0" collapsed="false">
      <c r="D123" s="30" t="s">
        <v>153</v>
      </c>
      <c r="E123" s="31"/>
      <c r="F123" s="31"/>
      <c r="G123" s="31"/>
      <c r="H123" s="31"/>
      <c r="I123" s="31"/>
      <c r="J123" s="31"/>
      <c r="K123" s="30" t="s">
        <v>130</v>
      </c>
      <c r="L123" s="31" t="n">
        <v>2026</v>
      </c>
      <c r="M123" s="31" t="n">
        <f aca="false">L123+1</f>
        <v>2027</v>
      </c>
      <c r="N123" s="31" t="n">
        <f aca="false">M123+1</f>
        <v>2028</v>
      </c>
      <c r="O123" s="31" t="n">
        <f aca="false">N123+1</f>
        <v>2029</v>
      </c>
      <c r="P123" s="31" t="n">
        <f aca="false">O123+1</f>
        <v>2030</v>
      </c>
      <c r="Q123" s="31" t="s">
        <v>132</v>
      </c>
      <c r="R123" s="16"/>
      <c r="T123" s="59" t="n">
        <v>46023</v>
      </c>
      <c r="U123" s="60" t="n">
        <f aca="false">EOMONTH(T123, 1)</f>
        <v>46081</v>
      </c>
      <c r="V123" s="60" t="n">
        <f aca="false">EOMONTH(U123, 1)</f>
        <v>46112</v>
      </c>
      <c r="W123" s="60" t="n">
        <f aca="false">EOMONTH(V123, 1)</f>
        <v>46142</v>
      </c>
      <c r="X123" s="60" t="n">
        <f aca="false">EOMONTH(W123, 1)</f>
        <v>46173</v>
      </c>
      <c r="Y123" s="60" t="n">
        <f aca="false">EOMONTH(X123, 1)</f>
        <v>46203</v>
      </c>
      <c r="Z123" s="60" t="n">
        <f aca="false">EOMONTH(Y123, 1)</f>
        <v>46234</v>
      </c>
      <c r="AA123" s="60" t="n">
        <f aca="false">EOMONTH(Z123, 1)</f>
        <v>46265</v>
      </c>
      <c r="AB123" s="60" t="n">
        <f aca="false">EOMONTH(AA123, 1)</f>
        <v>46295</v>
      </c>
      <c r="AC123" s="60" t="n">
        <f aca="false">EOMONTH(AB123, 1)</f>
        <v>46326</v>
      </c>
      <c r="AD123" s="60" t="n">
        <f aca="false">EOMONTH(AC123, 1)</f>
        <v>46356</v>
      </c>
      <c r="AE123" s="61" t="n">
        <f aca="false">EOMONTH(AD123, 1)</f>
        <v>46387</v>
      </c>
      <c r="AF123" s="59" t="n">
        <f aca="false">EOMONTH(AE123, 1)</f>
        <v>46418</v>
      </c>
      <c r="AG123" s="60" t="n">
        <f aca="false">EOMONTH(AF123, 1)</f>
        <v>46446</v>
      </c>
      <c r="AH123" s="60" t="n">
        <f aca="false">EOMONTH(AG123, 1)</f>
        <v>46477</v>
      </c>
      <c r="AI123" s="60" t="n">
        <f aca="false">EOMONTH(AH123, 1)</f>
        <v>46507</v>
      </c>
      <c r="AJ123" s="60" t="n">
        <f aca="false">EOMONTH(AI123, 1)</f>
        <v>46538</v>
      </c>
      <c r="AK123" s="60" t="n">
        <f aca="false">EOMONTH(AJ123, 1)</f>
        <v>46568</v>
      </c>
      <c r="AL123" s="60" t="n">
        <f aca="false">EOMONTH(AK123, 1)</f>
        <v>46599</v>
      </c>
      <c r="AM123" s="60" t="n">
        <f aca="false">EOMONTH(AL123, 1)</f>
        <v>46630</v>
      </c>
      <c r="AN123" s="60" t="n">
        <f aca="false">EOMONTH(AM123, 1)</f>
        <v>46660</v>
      </c>
      <c r="AO123" s="60" t="n">
        <f aca="false">EOMONTH(AN123, 1)</f>
        <v>46691</v>
      </c>
      <c r="AP123" s="60" t="n">
        <f aca="false">EOMONTH(AO123, 1)</f>
        <v>46721</v>
      </c>
      <c r="AQ123" s="61" t="n">
        <f aca="false">EOMONTH(AP123, 1)</f>
        <v>46752</v>
      </c>
      <c r="AR123" s="59" t="n">
        <f aca="false">EOMONTH(AQ123, 1)</f>
        <v>46783</v>
      </c>
      <c r="AS123" s="60" t="n">
        <f aca="false">EOMONTH(AR123, 1)</f>
        <v>46812</v>
      </c>
      <c r="AT123" s="60" t="n">
        <f aca="false">EOMONTH(AS123, 1)</f>
        <v>46843</v>
      </c>
      <c r="AU123" s="60" t="n">
        <f aca="false">EOMONTH(AT123, 1)</f>
        <v>46873</v>
      </c>
      <c r="AV123" s="60" t="n">
        <f aca="false">EOMONTH(AU123, 1)</f>
        <v>46904</v>
      </c>
      <c r="AW123" s="60" t="n">
        <f aca="false">EOMONTH(AV123, 1)</f>
        <v>46934</v>
      </c>
      <c r="AX123" s="60" t="n">
        <f aca="false">EOMONTH(AW123, 1)</f>
        <v>46965</v>
      </c>
      <c r="AY123" s="60" t="n">
        <f aca="false">EOMONTH(AX123, 1)</f>
        <v>46996</v>
      </c>
      <c r="AZ123" s="60" t="n">
        <f aca="false">EOMONTH(AY123, 1)</f>
        <v>47026</v>
      </c>
      <c r="BA123" s="60" t="n">
        <f aca="false">EOMONTH(AZ123, 1)</f>
        <v>47057</v>
      </c>
      <c r="BB123" s="60" t="n">
        <f aca="false">EOMONTH(BA123, 1)</f>
        <v>47087</v>
      </c>
      <c r="BC123" s="61" t="n">
        <f aca="false">EOMONTH(BB123, 1)</f>
        <v>47118</v>
      </c>
      <c r="BD123" s="59" t="n">
        <f aca="false">EOMONTH(BC123, 1)</f>
        <v>47149</v>
      </c>
      <c r="BE123" s="60" t="n">
        <f aca="false">EOMONTH(BD123, 1)</f>
        <v>47177</v>
      </c>
      <c r="BF123" s="60" t="n">
        <f aca="false">EOMONTH(BE123, 1)</f>
        <v>47208</v>
      </c>
      <c r="BG123" s="60" t="n">
        <f aca="false">EOMONTH(BF123, 1)</f>
        <v>47238</v>
      </c>
      <c r="BH123" s="60" t="n">
        <f aca="false">EOMONTH(BG123, 1)</f>
        <v>47269</v>
      </c>
      <c r="BI123" s="60" t="n">
        <f aca="false">EOMONTH(BH123, 1)</f>
        <v>47299</v>
      </c>
      <c r="BJ123" s="60" t="n">
        <f aca="false">EOMONTH(BI123, 1)</f>
        <v>47330</v>
      </c>
      <c r="BK123" s="60" t="n">
        <f aca="false">EOMONTH(BJ123, 1)</f>
        <v>47361</v>
      </c>
      <c r="BL123" s="60" t="n">
        <f aca="false">EOMONTH(BK123, 1)</f>
        <v>47391</v>
      </c>
      <c r="BM123" s="60" t="n">
        <f aca="false">EOMONTH(BL123, 1)</f>
        <v>47422</v>
      </c>
      <c r="BN123" s="60" t="n">
        <f aca="false">EOMONTH(BM123, 1)</f>
        <v>47452</v>
      </c>
      <c r="BO123" s="61" t="n">
        <f aca="false">EOMONTH(BN123, 1)</f>
        <v>47483</v>
      </c>
      <c r="BP123" s="59" t="n">
        <f aca="false">EOMONTH(BO123, 1)</f>
        <v>47514</v>
      </c>
      <c r="BQ123" s="60" t="n">
        <f aca="false">EOMONTH(BP123, 1)</f>
        <v>47542</v>
      </c>
      <c r="BR123" s="60" t="n">
        <f aca="false">EOMONTH(BQ123, 1)</f>
        <v>47573</v>
      </c>
      <c r="BS123" s="60" t="n">
        <f aca="false">EOMONTH(BR123, 1)</f>
        <v>47603</v>
      </c>
      <c r="BT123" s="60" t="n">
        <f aca="false">EOMONTH(BS123, 1)</f>
        <v>47634</v>
      </c>
      <c r="BU123" s="60" t="n">
        <f aca="false">EOMONTH(BT123, 1)</f>
        <v>47664</v>
      </c>
      <c r="BV123" s="60" t="n">
        <f aca="false">EOMONTH(BU123, 1)</f>
        <v>47695</v>
      </c>
      <c r="BW123" s="60" t="n">
        <f aca="false">EOMONTH(BV123, 1)</f>
        <v>47726</v>
      </c>
      <c r="BX123" s="60" t="n">
        <f aca="false">EOMONTH(BW123, 1)</f>
        <v>47756</v>
      </c>
      <c r="BY123" s="60" t="n">
        <f aca="false">EOMONTH(BX123, 1)</f>
        <v>47787</v>
      </c>
      <c r="BZ123" s="60" t="n">
        <f aca="false">EOMONTH(BY123, 1)</f>
        <v>47817</v>
      </c>
      <c r="CA123" s="60" t="n">
        <f aca="false">EOMONTH(BZ123, 1)</f>
        <v>47848</v>
      </c>
      <c r="CC123" s="62" t="n">
        <v>2026</v>
      </c>
      <c r="CD123" s="62" t="n">
        <f aca="false">CC123+1</f>
        <v>2027</v>
      </c>
      <c r="CE123" s="62" t="n">
        <f aca="false">CD123+1</f>
        <v>2028</v>
      </c>
      <c r="CF123" s="62" t="n">
        <f aca="false">CE123+1</f>
        <v>2029</v>
      </c>
      <c r="CG123" s="62" t="n">
        <f aca="false">CF123+1</f>
        <v>2030</v>
      </c>
      <c r="CI123" s="62" t="n">
        <v>2026</v>
      </c>
      <c r="CJ123" s="62" t="n">
        <f aca="false">CI123+1</f>
        <v>2027</v>
      </c>
      <c r="CK123" s="62" t="n">
        <f aca="false">CJ123+1</f>
        <v>2028</v>
      </c>
      <c r="CL123" s="62" t="n">
        <f aca="false">CK123+1</f>
        <v>2029</v>
      </c>
      <c r="CM123" s="62" t="n">
        <f aca="false">CL123+1</f>
        <v>2030</v>
      </c>
    </row>
    <row r="124" s="14" customFormat="true" ht="16.5" hidden="false" customHeight="true" outlineLevel="0" collapsed="false">
      <c r="E124" s="21"/>
      <c r="F124" s="21"/>
      <c r="G124" s="21"/>
      <c r="K124" s="35"/>
      <c r="Q124" s="16"/>
      <c r="R124" s="16"/>
    </row>
    <row r="125" s="14" customFormat="true" ht="16.5" hidden="false" customHeight="true" outlineLevel="0" collapsed="false">
      <c r="E125" s="21" t="s">
        <v>154</v>
      </c>
      <c r="K125" s="35"/>
      <c r="Q125" s="16"/>
      <c r="R125" s="16"/>
    </row>
    <row r="126" s="14" customFormat="true" ht="16.5" hidden="false" customHeight="true" outlineLevel="0" collapsed="false">
      <c r="E126" s="91"/>
      <c r="K126" s="35"/>
      <c r="L126" s="91"/>
      <c r="M126" s="91"/>
      <c r="N126" s="91"/>
      <c r="O126" s="91"/>
      <c r="P126" s="91"/>
      <c r="Q126" s="93"/>
      <c r="R126" s="16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1"/>
      <c r="AI126" s="91"/>
      <c r="AJ126" s="91"/>
      <c r="AK126" s="91"/>
      <c r="AL126" s="91"/>
      <c r="AM126" s="91"/>
      <c r="AN126" s="91"/>
      <c r="AO126" s="91"/>
      <c r="AP126" s="91"/>
      <c r="AQ126" s="91"/>
      <c r="AR126" s="91"/>
      <c r="AS126" s="91"/>
      <c r="AT126" s="91"/>
      <c r="AU126" s="91"/>
      <c r="AV126" s="91"/>
      <c r="AW126" s="91"/>
      <c r="AX126" s="91"/>
      <c r="AY126" s="91"/>
      <c r="AZ126" s="91"/>
      <c r="BA126" s="91"/>
      <c r="BB126" s="91"/>
      <c r="BC126" s="91"/>
      <c r="BD126" s="91"/>
      <c r="BE126" s="91"/>
      <c r="BF126" s="91"/>
      <c r="BG126" s="91"/>
      <c r="BH126" s="91"/>
      <c r="BI126" s="91"/>
      <c r="BJ126" s="91"/>
      <c r="BK126" s="91"/>
      <c r="BL126" s="91"/>
      <c r="BM126" s="91"/>
      <c r="BN126" s="91"/>
      <c r="BO126" s="91"/>
      <c r="BP126" s="91"/>
      <c r="BQ126" s="91"/>
      <c r="BR126" s="91"/>
      <c r="BS126" s="91"/>
      <c r="BT126" s="91"/>
      <c r="BU126" s="91"/>
      <c r="BV126" s="91"/>
      <c r="BW126" s="91"/>
      <c r="BX126" s="91"/>
      <c r="BY126" s="91"/>
      <c r="BZ126" s="91"/>
      <c r="CA126" s="91"/>
      <c r="CC126" s="79" t="n">
        <f aca="false">SUMIFS($T126:$CA126, $T$1:$CA$1, CC$63)</f>
        <v>0</v>
      </c>
      <c r="CD126" s="79" t="n">
        <f aca="false">SUMIFS($T126:$CA126, $T$1:$CA$1, CD$63)</f>
        <v>0</v>
      </c>
      <c r="CE126" s="79" t="n">
        <f aca="false">SUMIFS($T126:$CA126, $T$1:$CA$1, CE$63)</f>
        <v>0</v>
      </c>
      <c r="CF126" s="79" t="n">
        <f aca="false">SUMIFS($T126:$CA126, $T$1:$CA$1, CF$63)</f>
        <v>0</v>
      </c>
      <c r="CG126" s="79" t="n">
        <f aca="false">SUMIFS($T126:$CA126, $T$1:$CA$1, CG$63)</f>
        <v>0</v>
      </c>
      <c r="CI126" s="79" t="n">
        <f aca="false">CC126=L126</f>
        <v>1</v>
      </c>
      <c r="CJ126" s="79" t="n">
        <f aca="false">CD126=M126</f>
        <v>1</v>
      </c>
      <c r="CK126" s="79" t="n">
        <f aca="false">CE126=N126</f>
        <v>1</v>
      </c>
      <c r="CL126" s="79" t="n">
        <f aca="false">CF126=O126</f>
        <v>1</v>
      </c>
      <c r="CM126" s="79" t="n">
        <f aca="false">CG126=P126</f>
        <v>1</v>
      </c>
    </row>
    <row r="127" s="14" customFormat="true" ht="16.5" hidden="false" customHeight="true" outlineLevel="0" collapsed="false">
      <c r="E127" s="91"/>
      <c r="K127" s="35"/>
      <c r="L127" s="91"/>
      <c r="M127" s="91"/>
      <c r="N127" s="91"/>
      <c r="O127" s="91"/>
      <c r="P127" s="91"/>
      <c r="Q127" s="93"/>
      <c r="R127" s="16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  <c r="AK127" s="91"/>
      <c r="AL127" s="91"/>
      <c r="AM127" s="91"/>
      <c r="AN127" s="91"/>
      <c r="AO127" s="91"/>
      <c r="AP127" s="91"/>
      <c r="AQ127" s="91"/>
      <c r="AR127" s="91"/>
      <c r="AS127" s="91"/>
      <c r="AT127" s="91"/>
      <c r="AU127" s="91"/>
      <c r="AV127" s="91"/>
      <c r="AW127" s="91"/>
      <c r="AX127" s="91"/>
      <c r="AY127" s="91"/>
      <c r="AZ127" s="91"/>
      <c r="BA127" s="91"/>
      <c r="BB127" s="91"/>
      <c r="BC127" s="91"/>
      <c r="BD127" s="91"/>
      <c r="BE127" s="91"/>
      <c r="BF127" s="91"/>
      <c r="BG127" s="91"/>
      <c r="BH127" s="91"/>
      <c r="BI127" s="91"/>
      <c r="BJ127" s="91"/>
      <c r="BK127" s="91"/>
      <c r="BL127" s="91"/>
      <c r="BM127" s="91"/>
      <c r="BN127" s="91"/>
      <c r="BO127" s="91"/>
      <c r="BP127" s="91"/>
      <c r="BQ127" s="91"/>
      <c r="BR127" s="91"/>
      <c r="BS127" s="91"/>
      <c r="BT127" s="91"/>
      <c r="BU127" s="91"/>
      <c r="BV127" s="91"/>
      <c r="BW127" s="91"/>
      <c r="BX127" s="91"/>
      <c r="BY127" s="91"/>
      <c r="BZ127" s="91"/>
      <c r="CA127" s="91"/>
      <c r="CC127" s="79" t="n">
        <f aca="false">SUMIFS($T127:$CA127, $T$1:$CA$1, CC$63)</f>
        <v>0</v>
      </c>
      <c r="CD127" s="79" t="n">
        <f aca="false">SUMIFS($T127:$CA127, $T$1:$CA$1, CD$63)</f>
        <v>0</v>
      </c>
      <c r="CE127" s="79" t="n">
        <f aca="false">SUMIFS($T127:$CA127, $T$1:$CA$1, CE$63)</f>
        <v>0</v>
      </c>
      <c r="CF127" s="79" t="n">
        <f aca="false">SUMIFS($T127:$CA127, $T$1:$CA$1, CF$63)</f>
        <v>0</v>
      </c>
      <c r="CG127" s="79" t="n">
        <f aca="false">SUMIFS($T127:$CA127, $T$1:$CA$1, CG$63)</f>
        <v>0</v>
      </c>
      <c r="CI127" s="79" t="n">
        <f aca="false">CC127=L127</f>
        <v>1</v>
      </c>
      <c r="CJ127" s="79" t="n">
        <f aca="false">CD127=M127</f>
        <v>1</v>
      </c>
      <c r="CK127" s="79" t="n">
        <f aca="false">CE127=N127</f>
        <v>1</v>
      </c>
      <c r="CL127" s="79" t="n">
        <f aca="false">CF127=O127</f>
        <v>1</v>
      </c>
      <c r="CM127" s="79" t="n">
        <f aca="false">CG127=P127</f>
        <v>1</v>
      </c>
    </row>
    <row r="128" s="14" customFormat="true" ht="16.5" hidden="false" customHeight="true" outlineLevel="0" collapsed="false">
      <c r="E128" s="96" t="s">
        <v>155</v>
      </c>
      <c r="K128" s="35"/>
      <c r="L128" s="82" t="n">
        <f aca="false">SUM(L126:L127)</f>
        <v>0</v>
      </c>
      <c r="M128" s="82" t="n">
        <f aca="false">SUM(M126:M127)</f>
        <v>0</v>
      </c>
      <c r="N128" s="82" t="n">
        <f aca="false">SUM(N126:N127)</f>
        <v>0</v>
      </c>
      <c r="O128" s="82" t="n">
        <f aca="false">SUM(O126:O127)</f>
        <v>0</v>
      </c>
      <c r="P128" s="82" t="n">
        <f aca="false">SUM(P126:P127)</f>
        <v>0</v>
      </c>
      <c r="Q128" s="16"/>
      <c r="R128" s="16"/>
      <c r="T128" s="82" t="n">
        <f aca="false">SUM(T126:T127)</f>
        <v>0</v>
      </c>
      <c r="U128" s="82" t="n">
        <f aca="false">SUM(U126:U127)</f>
        <v>0</v>
      </c>
      <c r="V128" s="82" t="n">
        <f aca="false">SUM(V126:V127)</f>
        <v>0</v>
      </c>
      <c r="W128" s="82" t="n">
        <f aca="false">SUM(W126:W127)</f>
        <v>0</v>
      </c>
      <c r="X128" s="82" t="n">
        <f aca="false">SUM(X126:X127)</f>
        <v>0</v>
      </c>
      <c r="Y128" s="82" t="n">
        <f aca="false">SUM(Y126:Y127)</f>
        <v>0</v>
      </c>
      <c r="Z128" s="82" t="n">
        <f aca="false">SUM(Z126:Z127)</f>
        <v>0</v>
      </c>
      <c r="AA128" s="82" t="n">
        <f aca="false">SUM(AA126:AA127)</f>
        <v>0</v>
      </c>
      <c r="AB128" s="82" t="n">
        <f aca="false">SUM(AB126:AB127)</f>
        <v>0</v>
      </c>
      <c r="AC128" s="82" t="n">
        <f aca="false">SUM(AC126:AC127)</f>
        <v>0</v>
      </c>
      <c r="AD128" s="82" t="n">
        <f aca="false">SUM(AD126:AD127)</f>
        <v>0</v>
      </c>
      <c r="AE128" s="82" t="n">
        <f aca="false">SUM(AE126:AE127)</f>
        <v>0</v>
      </c>
      <c r="AF128" s="82" t="n">
        <f aca="false">SUM(AF126:AF127)</f>
        <v>0</v>
      </c>
      <c r="AG128" s="82" t="n">
        <f aca="false">SUM(AG126:AG127)</f>
        <v>0</v>
      </c>
      <c r="AH128" s="82" t="n">
        <f aca="false">SUM(AH126:AH127)</f>
        <v>0</v>
      </c>
      <c r="AI128" s="82" t="n">
        <f aca="false">SUM(AI126:AI127)</f>
        <v>0</v>
      </c>
      <c r="AJ128" s="82" t="n">
        <f aca="false">SUM(AJ126:AJ127)</f>
        <v>0</v>
      </c>
      <c r="AK128" s="82" t="n">
        <f aca="false">SUM(AK126:AK127)</f>
        <v>0</v>
      </c>
      <c r="AL128" s="82" t="n">
        <f aca="false">SUM(AL126:AL127)</f>
        <v>0</v>
      </c>
      <c r="AM128" s="82" t="n">
        <f aca="false">SUM(AM126:AM127)</f>
        <v>0</v>
      </c>
      <c r="AN128" s="82" t="n">
        <f aca="false">SUM(AN126:AN127)</f>
        <v>0</v>
      </c>
      <c r="AO128" s="82" t="n">
        <f aca="false">SUM(AO126:AO127)</f>
        <v>0</v>
      </c>
      <c r="AP128" s="82" t="n">
        <f aca="false">SUM(AP126:AP127)</f>
        <v>0</v>
      </c>
      <c r="AQ128" s="82" t="n">
        <f aca="false">SUM(AQ126:AQ127)</f>
        <v>0</v>
      </c>
      <c r="AR128" s="82" t="n">
        <f aca="false">SUM(AR126:AR127)</f>
        <v>0</v>
      </c>
      <c r="AS128" s="82" t="n">
        <f aca="false">SUM(AS126:AS127)</f>
        <v>0</v>
      </c>
      <c r="AT128" s="82" t="n">
        <f aca="false">SUM(AT126:AT127)</f>
        <v>0</v>
      </c>
      <c r="AU128" s="82" t="n">
        <f aca="false">SUM(AU126:AU127)</f>
        <v>0</v>
      </c>
      <c r="AV128" s="82" t="n">
        <f aca="false">SUM(AV126:AV127)</f>
        <v>0</v>
      </c>
      <c r="AW128" s="82" t="n">
        <f aca="false">SUM(AW126:AW127)</f>
        <v>0</v>
      </c>
      <c r="AX128" s="82" t="n">
        <f aca="false">SUM(AX126:AX127)</f>
        <v>0</v>
      </c>
      <c r="AY128" s="82" t="n">
        <f aca="false">SUM(AY126:AY127)</f>
        <v>0</v>
      </c>
      <c r="AZ128" s="82" t="n">
        <f aca="false">SUM(AZ126:AZ127)</f>
        <v>0</v>
      </c>
      <c r="BA128" s="82" t="n">
        <f aca="false">SUM(BA126:BA127)</f>
        <v>0</v>
      </c>
      <c r="BB128" s="82" t="n">
        <f aca="false">SUM(BB126:BB127)</f>
        <v>0</v>
      </c>
      <c r="BC128" s="82" t="n">
        <f aca="false">SUM(BC126:BC127)</f>
        <v>0</v>
      </c>
      <c r="BD128" s="82" t="n">
        <f aca="false">SUM(BD126:BD127)</f>
        <v>0</v>
      </c>
      <c r="BE128" s="82" t="n">
        <f aca="false">SUM(BE126:BE127)</f>
        <v>0</v>
      </c>
      <c r="BF128" s="82" t="n">
        <f aca="false">SUM(BF126:BF127)</f>
        <v>0</v>
      </c>
      <c r="BG128" s="82" t="n">
        <f aca="false">SUM(BG126:BG127)</f>
        <v>0</v>
      </c>
      <c r="BH128" s="82" t="n">
        <f aca="false">SUM(BH126:BH127)</f>
        <v>0</v>
      </c>
      <c r="BI128" s="82" t="n">
        <f aca="false">SUM(BI126:BI127)</f>
        <v>0</v>
      </c>
      <c r="BJ128" s="82" t="n">
        <f aca="false">SUM(BJ126:BJ127)</f>
        <v>0</v>
      </c>
      <c r="BK128" s="82" t="n">
        <f aca="false">SUM(BK126:BK127)</f>
        <v>0</v>
      </c>
      <c r="BL128" s="82" t="n">
        <f aca="false">SUM(BL126:BL127)</f>
        <v>0</v>
      </c>
      <c r="BM128" s="82" t="n">
        <f aca="false">SUM(BM126:BM127)</f>
        <v>0</v>
      </c>
      <c r="BN128" s="82" t="n">
        <f aca="false">SUM(BN126:BN127)</f>
        <v>0</v>
      </c>
      <c r="BO128" s="82" t="n">
        <f aca="false">SUM(BO126:BO127)</f>
        <v>0</v>
      </c>
      <c r="BP128" s="82" t="n">
        <f aca="false">SUM(BP126:BP127)</f>
        <v>0</v>
      </c>
      <c r="BQ128" s="82" t="n">
        <f aca="false">SUM(BQ126:BQ127)</f>
        <v>0</v>
      </c>
      <c r="BR128" s="82" t="n">
        <f aca="false">SUM(BR126:BR127)</f>
        <v>0</v>
      </c>
      <c r="BS128" s="82" t="n">
        <f aca="false">SUM(BS126:BS127)</f>
        <v>0</v>
      </c>
      <c r="BT128" s="82" t="n">
        <f aca="false">SUM(BT126:BT127)</f>
        <v>0</v>
      </c>
      <c r="BU128" s="82" t="n">
        <f aca="false">SUM(BU126:BU127)</f>
        <v>0</v>
      </c>
      <c r="BV128" s="82" t="n">
        <f aca="false">SUM(BV126:BV127)</f>
        <v>0</v>
      </c>
      <c r="BW128" s="82" t="n">
        <f aca="false">SUM(BW126:BW127)</f>
        <v>0</v>
      </c>
      <c r="BX128" s="82" t="n">
        <f aca="false">SUM(BX126:BX127)</f>
        <v>0</v>
      </c>
      <c r="BY128" s="82" t="n">
        <f aca="false">SUM(BY126:BY127)</f>
        <v>0</v>
      </c>
      <c r="BZ128" s="82" t="n">
        <f aca="false">SUM(BZ126:BZ127)</f>
        <v>0</v>
      </c>
      <c r="CA128" s="82" t="n">
        <f aca="false">SUM(CA126:CA127)</f>
        <v>0</v>
      </c>
      <c r="CC128" s="131" t="n">
        <f aca="false">SUM(CC126:CC127)</f>
        <v>0</v>
      </c>
      <c r="CD128" s="131" t="n">
        <f aca="false">SUM(CD126:CD127)</f>
        <v>0</v>
      </c>
      <c r="CE128" s="131" t="n">
        <f aca="false">SUM(CE126:CE127)</f>
        <v>0</v>
      </c>
      <c r="CF128" s="131" t="n">
        <f aca="false">SUM(CF126:CF127)</f>
        <v>0</v>
      </c>
      <c r="CG128" s="131" t="n">
        <f aca="false">SUM(CG126:CG127)</f>
        <v>0</v>
      </c>
      <c r="CI128" s="131" t="n">
        <f aca="false">CC128=L128</f>
        <v>1</v>
      </c>
      <c r="CJ128" s="131" t="n">
        <f aca="false">CD128=M128</f>
        <v>1</v>
      </c>
      <c r="CK128" s="131" t="n">
        <f aca="false">CE128=N128</f>
        <v>1</v>
      </c>
      <c r="CL128" s="131" t="n">
        <f aca="false">CF128=O128</f>
        <v>1</v>
      </c>
      <c r="CM128" s="131" t="n">
        <f aca="false">CG128=P128</f>
        <v>1</v>
      </c>
    </row>
    <row r="129" s="14" customFormat="true" ht="16.5" hidden="false" customHeight="true" outlineLevel="0" collapsed="false">
      <c r="E129" s="96"/>
      <c r="K129" s="35"/>
      <c r="L129" s="82"/>
      <c r="M129" s="82"/>
      <c r="N129" s="82"/>
      <c r="O129" s="82"/>
      <c r="P129" s="82"/>
      <c r="Q129" s="16"/>
      <c r="R129" s="16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  <c r="AG129" s="82"/>
      <c r="AH129" s="82"/>
      <c r="AI129" s="82"/>
      <c r="AJ129" s="82"/>
      <c r="AK129" s="82"/>
      <c r="AL129" s="82"/>
      <c r="AM129" s="82"/>
      <c r="AN129" s="82"/>
      <c r="AO129" s="82"/>
      <c r="AP129" s="82"/>
      <c r="AQ129" s="82"/>
      <c r="AR129" s="82"/>
      <c r="AS129" s="82"/>
      <c r="AT129" s="82"/>
      <c r="AU129" s="82"/>
      <c r="AV129" s="82"/>
      <c r="AW129" s="82"/>
      <c r="AX129" s="82"/>
      <c r="AY129" s="82"/>
      <c r="AZ129" s="82"/>
      <c r="BA129" s="82"/>
      <c r="BB129" s="82"/>
      <c r="BC129" s="82"/>
      <c r="BD129" s="82"/>
      <c r="BE129" s="82"/>
      <c r="BF129" s="82"/>
      <c r="BG129" s="82"/>
      <c r="BH129" s="82"/>
      <c r="BI129" s="82"/>
      <c r="BJ129" s="82"/>
      <c r="BK129" s="82"/>
      <c r="BL129" s="82"/>
      <c r="BM129" s="82"/>
      <c r="BN129" s="82"/>
      <c r="BO129" s="82"/>
      <c r="BP129" s="82"/>
      <c r="BQ129" s="82"/>
      <c r="BR129" s="82"/>
      <c r="BS129" s="82"/>
      <c r="BT129" s="82"/>
      <c r="BU129" s="82"/>
      <c r="BV129" s="82"/>
      <c r="BW129" s="82"/>
      <c r="BX129" s="82"/>
      <c r="BY129" s="82"/>
      <c r="BZ129" s="82"/>
      <c r="CA129" s="82"/>
    </row>
    <row r="130" s="14" customFormat="true" ht="16.5" hidden="false" customHeight="true" outlineLevel="0" collapsed="false">
      <c r="E130" s="109" t="s">
        <v>156</v>
      </c>
      <c r="F130" s="109"/>
      <c r="G130" s="109"/>
      <c r="H130" s="109"/>
      <c r="I130" s="132"/>
      <c r="J130" s="132"/>
      <c r="K130" s="224"/>
      <c r="L130" s="120" t="n">
        <f aca="false">L128</f>
        <v>0</v>
      </c>
      <c r="M130" s="120" t="n">
        <f aca="false">M128</f>
        <v>0</v>
      </c>
      <c r="N130" s="120" t="n">
        <f aca="false">N128</f>
        <v>0</v>
      </c>
      <c r="O130" s="120" t="n">
        <f aca="false">O128</f>
        <v>0</v>
      </c>
      <c r="P130" s="120" t="n">
        <f aca="false">P128</f>
        <v>0</v>
      </c>
      <c r="Q130" s="16"/>
      <c r="R130" s="16"/>
      <c r="T130" s="120" t="n">
        <f aca="false">T128</f>
        <v>0</v>
      </c>
      <c r="U130" s="120" t="n">
        <f aca="false">U128</f>
        <v>0</v>
      </c>
      <c r="V130" s="120" t="n">
        <f aca="false">V128</f>
        <v>0</v>
      </c>
      <c r="W130" s="120" t="n">
        <f aca="false">W128</f>
        <v>0</v>
      </c>
      <c r="X130" s="120" t="n">
        <f aca="false">X128</f>
        <v>0</v>
      </c>
      <c r="Y130" s="120" t="n">
        <f aca="false">Y128</f>
        <v>0</v>
      </c>
      <c r="Z130" s="120" t="n">
        <f aca="false">Z128</f>
        <v>0</v>
      </c>
      <c r="AA130" s="120" t="n">
        <f aca="false">AA128</f>
        <v>0</v>
      </c>
      <c r="AB130" s="120" t="n">
        <f aca="false">AB128</f>
        <v>0</v>
      </c>
      <c r="AC130" s="120" t="n">
        <f aca="false">AC128</f>
        <v>0</v>
      </c>
      <c r="AD130" s="120" t="n">
        <f aca="false">AD128</f>
        <v>0</v>
      </c>
      <c r="AE130" s="120" t="n">
        <f aca="false">AE128</f>
        <v>0</v>
      </c>
      <c r="AF130" s="120" t="n">
        <f aca="false">AF128</f>
        <v>0</v>
      </c>
      <c r="AG130" s="120" t="n">
        <f aca="false">AG128</f>
        <v>0</v>
      </c>
      <c r="AH130" s="120" t="n">
        <f aca="false">AH128</f>
        <v>0</v>
      </c>
      <c r="AI130" s="120" t="n">
        <f aca="false">AI128</f>
        <v>0</v>
      </c>
      <c r="AJ130" s="120" t="n">
        <f aca="false">AJ128</f>
        <v>0</v>
      </c>
      <c r="AK130" s="120" t="n">
        <f aca="false">AK128</f>
        <v>0</v>
      </c>
      <c r="AL130" s="120" t="n">
        <f aca="false">AL128</f>
        <v>0</v>
      </c>
      <c r="AM130" s="120" t="n">
        <f aca="false">AM128</f>
        <v>0</v>
      </c>
      <c r="AN130" s="120" t="n">
        <f aca="false">AN128</f>
        <v>0</v>
      </c>
      <c r="AO130" s="120" t="n">
        <f aca="false">AO128</f>
        <v>0</v>
      </c>
      <c r="AP130" s="120" t="n">
        <f aca="false">AP128</f>
        <v>0</v>
      </c>
      <c r="AQ130" s="120" t="n">
        <f aca="false">AQ128</f>
        <v>0</v>
      </c>
      <c r="AR130" s="120" t="n">
        <f aca="false">AR128</f>
        <v>0</v>
      </c>
      <c r="AS130" s="120" t="n">
        <f aca="false">AS128</f>
        <v>0</v>
      </c>
      <c r="AT130" s="120" t="n">
        <f aca="false">AT128</f>
        <v>0</v>
      </c>
      <c r="AU130" s="120" t="n">
        <f aca="false">AU128</f>
        <v>0</v>
      </c>
      <c r="AV130" s="120" t="n">
        <f aca="false">AV128</f>
        <v>0</v>
      </c>
      <c r="AW130" s="120" t="n">
        <f aca="false">AW128</f>
        <v>0</v>
      </c>
      <c r="AX130" s="120" t="n">
        <f aca="false">AX128</f>
        <v>0</v>
      </c>
      <c r="AY130" s="120" t="n">
        <f aca="false">AY128</f>
        <v>0</v>
      </c>
      <c r="AZ130" s="120" t="n">
        <f aca="false">AZ128</f>
        <v>0</v>
      </c>
      <c r="BA130" s="120" t="n">
        <f aca="false">BA128</f>
        <v>0</v>
      </c>
      <c r="BB130" s="120" t="n">
        <f aca="false">BB128</f>
        <v>0</v>
      </c>
      <c r="BC130" s="120" t="n">
        <f aca="false">BC128</f>
        <v>0</v>
      </c>
      <c r="BD130" s="120" t="n">
        <f aca="false">BD128</f>
        <v>0</v>
      </c>
      <c r="BE130" s="120" t="n">
        <f aca="false">BE128</f>
        <v>0</v>
      </c>
      <c r="BF130" s="120" t="n">
        <f aca="false">BF128</f>
        <v>0</v>
      </c>
      <c r="BG130" s="120" t="n">
        <f aca="false">BG128</f>
        <v>0</v>
      </c>
      <c r="BH130" s="120" t="n">
        <f aca="false">BH128</f>
        <v>0</v>
      </c>
      <c r="BI130" s="120" t="n">
        <f aca="false">BI128</f>
        <v>0</v>
      </c>
      <c r="BJ130" s="120" t="n">
        <f aca="false">BJ128</f>
        <v>0</v>
      </c>
      <c r="BK130" s="120" t="n">
        <f aca="false">BK128</f>
        <v>0</v>
      </c>
      <c r="BL130" s="120" t="n">
        <f aca="false">BL128</f>
        <v>0</v>
      </c>
      <c r="BM130" s="120" t="n">
        <f aca="false">BM128</f>
        <v>0</v>
      </c>
      <c r="BN130" s="120" t="n">
        <f aca="false">BN128</f>
        <v>0</v>
      </c>
      <c r="BO130" s="120" t="n">
        <f aca="false">BO128</f>
        <v>0</v>
      </c>
      <c r="BP130" s="120" t="n">
        <f aca="false">BP128</f>
        <v>0</v>
      </c>
      <c r="BQ130" s="120" t="n">
        <f aca="false">BQ128</f>
        <v>0</v>
      </c>
      <c r="BR130" s="120" t="n">
        <f aca="false">BR128</f>
        <v>0</v>
      </c>
      <c r="BS130" s="120" t="n">
        <f aca="false">BS128</f>
        <v>0</v>
      </c>
      <c r="BT130" s="120" t="n">
        <f aca="false">BT128</f>
        <v>0</v>
      </c>
      <c r="BU130" s="120" t="n">
        <f aca="false">BU128</f>
        <v>0</v>
      </c>
      <c r="BV130" s="120" t="n">
        <f aca="false">BV128</f>
        <v>0</v>
      </c>
      <c r="BW130" s="120" t="n">
        <f aca="false">BW128</f>
        <v>0</v>
      </c>
      <c r="BX130" s="120" t="n">
        <f aca="false">BX128</f>
        <v>0</v>
      </c>
      <c r="BY130" s="120" t="n">
        <f aca="false">BY128</f>
        <v>0</v>
      </c>
      <c r="BZ130" s="120" t="n">
        <f aca="false">BZ128</f>
        <v>0</v>
      </c>
      <c r="CA130" s="120" t="n">
        <f aca="false">CA128</f>
        <v>0</v>
      </c>
      <c r="CC130" s="132" t="n">
        <f aca="false">CC128</f>
        <v>0</v>
      </c>
      <c r="CD130" s="132" t="n">
        <f aca="false">CD128</f>
        <v>0</v>
      </c>
      <c r="CE130" s="132" t="n">
        <f aca="false">CE128</f>
        <v>0</v>
      </c>
      <c r="CF130" s="132" t="n">
        <f aca="false">CF128</f>
        <v>0</v>
      </c>
      <c r="CG130" s="132" t="n">
        <f aca="false">CG128</f>
        <v>0</v>
      </c>
      <c r="CI130" s="133" t="n">
        <f aca="false">CI128</f>
        <v>1</v>
      </c>
      <c r="CJ130" s="133" t="n">
        <f aca="false">CJ128</f>
        <v>1</v>
      </c>
      <c r="CK130" s="133" t="n">
        <f aca="false">CK128</f>
        <v>1</v>
      </c>
      <c r="CL130" s="133" t="n">
        <f aca="false">CL128</f>
        <v>1</v>
      </c>
      <c r="CM130" s="133" t="n">
        <f aca="false">CM128</f>
        <v>1</v>
      </c>
    </row>
    <row r="131" s="14" customFormat="true" ht="16.5" hidden="false" customHeight="true" outlineLevel="0" collapsed="false">
      <c r="K131" s="35"/>
    </row>
    <row r="132" s="14" customFormat="true" ht="16.5" hidden="false" customHeight="true" outlineLevel="0" collapsed="false">
      <c r="E132" s="85"/>
      <c r="K132" s="35"/>
      <c r="Q132" s="16"/>
      <c r="R132" s="16"/>
      <c r="T132" s="62" t="n">
        <v>2026</v>
      </c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62" t="n">
        <v>2027</v>
      </c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62" t="n">
        <v>2028</v>
      </c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62" t="n">
        <v>2029</v>
      </c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62" t="n">
        <v>2030</v>
      </c>
      <c r="BQ132" s="130"/>
      <c r="BR132" s="130"/>
      <c r="BS132" s="130"/>
      <c r="BT132" s="130"/>
      <c r="BU132" s="130"/>
      <c r="BV132" s="130"/>
      <c r="BW132" s="130"/>
      <c r="BX132" s="130"/>
      <c r="BY132" s="130"/>
      <c r="BZ132" s="130"/>
      <c r="CA132" s="130"/>
    </row>
    <row r="133" s="14" customFormat="true" ht="16.5" hidden="false" customHeight="true" outlineLevel="0" collapsed="false">
      <c r="D133" s="30" t="s">
        <v>157</v>
      </c>
      <c r="E133" s="31"/>
      <c r="F133" s="31"/>
      <c r="G133" s="31"/>
      <c r="H133" s="31"/>
      <c r="I133" s="31"/>
      <c r="J133" s="31"/>
      <c r="K133" s="30" t="s">
        <v>130</v>
      </c>
      <c r="L133" s="31" t="n">
        <v>2026</v>
      </c>
      <c r="M133" s="31" t="n">
        <f aca="false">L133+1</f>
        <v>2027</v>
      </c>
      <c r="N133" s="31" t="n">
        <f aca="false">M133+1</f>
        <v>2028</v>
      </c>
      <c r="O133" s="31" t="n">
        <f aca="false">N133+1</f>
        <v>2029</v>
      </c>
      <c r="P133" s="31" t="n">
        <f aca="false">O133+1</f>
        <v>2030</v>
      </c>
      <c r="Q133" s="16"/>
      <c r="R133" s="16"/>
      <c r="T133" s="59" t="n">
        <v>46023</v>
      </c>
      <c r="U133" s="60" t="n">
        <f aca="false">EOMONTH(T133, 1)</f>
        <v>46081</v>
      </c>
      <c r="V133" s="60" t="n">
        <f aca="false">EOMONTH(U133, 1)</f>
        <v>46112</v>
      </c>
      <c r="W133" s="60" t="n">
        <f aca="false">EOMONTH(V133, 1)</f>
        <v>46142</v>
      </c>
      <c r="X133" s="60" t="n">
        <f aca="false">EOMONTH(W133, 1)</f>
        <v>46173</v>
      </c>
      <c r="Y133" s="60" t="n">
        <f aca="false">EOMONTH(X133, 1)</f>
        <v>46203</v>
      </c>
      <c r="Z133" s="60" t="n">
        <f aca="false">EOMONTH(Y133, 1)</f>
        <v>46234</v>
      </c>
      <c r="AA133" s="60" t="n">
        <f aca="false">EOMONTH(Z133, 1)</f>
        <v>46265</v>
      </c>
      <c r="AB133" s="60" t="n">
        <f aca="false">EOMONTH(AA133, 1)</f>
        <v>46295</v>
      </c>
      <c r="AC133" s="60" t="n">
        <f aca="false">EOMONTH(AB133, 1)</f>
        <v>46326</v>
      </c>
      <c r="AD133" s="60" t="n">
        <f aca="false">EOMONTH(AC133, 1)</f>
        <v>46356</v>
      </c>
      <c r="AE133" s="61" t="n">
        <f aca="false">EOMONTH(AD133, 1)</f>
        <v>46387</v>
      </c>
      <c r="AF133" s="59" t="n">
        <f aca="false">EOMONTH(AE133, 1)</f>
        <v>46418</v>
      </c>
      <c r="AG133" s="60" t="n">
        <f aca="false">EOMONTH(AF133, 1)</f>
        <v>46446</v>
      </c>
      <c r="AH133" s="60" t="n">
        <f aca="false">EOMONTH(AG133, 1)</f>
        <v>46477</v>
      </c>
      <c r="AI133" s="60" t="n">
        <f aca="false">EOMONTH(AH133, 1)</f>
        <v>46507</v>
      </c>
      <c r="AJ133" s="60" t="n">
        <f aca="false">EOMONTH(AI133, 1)</f>
        <v>46538</v>
      </c>
      <c r="AK133" s="60" t="n">
        <f aca="false">EOMONTH(AJ133, 1)</f>
        <v>46568</v>
      </c>
      <c r="AL133" s="60" t="n">
        <f aca="false">EOMONTH(AK133, 1)</f>
        <v>46599</v>
      </c>
      <c r="AM133" s="60" t="n">
        <f aca="false">EOMONTH(AL133, 1)</f>
        <v>46630</v>
      </c>
      <c r="AN133" s="60" t="n">
        <f aca="false">EOMONTH(AM133, 1)</f>
        <v>46660</v>
      </c>
      <c r="AO133" s="60" t="n">
        <f aca="false">EOMONTH(AN133, 1)</f>
        <v>46691</v>
      </c>
      <c r="AP133" s="60" t="n">
        <f aca="false">EOMONTH(AO133, 1)</f>
        <v>46721</v>
      </c>
      <c r="AQ133" s="61" t="n">
        <f aca="false">EOMONTH(AP133, 1)</f>
        <v>46752</v>
      </c>
      <c r="AR133" s="59" t="n">
        <f aca="false">EOMONTH(AQ133, 1)</f>
        <v>46783</v>
      </c>
      <c r="AS133" s="60" t="n">
        <f aca="false">EOMONTH(AR133, 1)</f>
        <v>46812</v>
      </c>
      <c r="AT133" s="60" t="n">
        <f aca="false">EOMONTH(AS133, 1)</f>
        <v>46843</v>
      </c>
      <c r="AU133" s="60" t="n">
        <f aca="false">EOMONTH(AT133, 1)</f>
        <v>46873</v>
      </c>
      <c r="AV133" s="60" t="n">
        <f aca="false">EOMONTH(AU133, 1)</f>
        <v>46904</v>
      </c>
      <c r="AW133" s="60" t="n">
        <f aca="false">EOMONTH(AV133, 1)</f>
        <v>46934</v>
      </c>
      <c r="AX133" s="60" t="n">
        <f aca="false">EOMONTH(AW133, 1)</f>
        <v>46965</v>
      </c>
      <c r="AY133" s="60" t="n">
        <f aca="false">EOMONTH(AX133, 1)</f>
        <v>46996</v>
      </c>
      <c r="AZ133" s="60" t="n">
        <f aca="false">EOMONTH(AY133, 1)</f>
        <v>47026</v>
      </c>
      <c r="BA133" s="60" t="n">
        <f aca="false">EOMONTH(AZ133, 1)</f>
        <v>47057</v>
      </c>
      <c r="BB133" s="60" t="n">
        <f aca="false">EOMONTH(BA133, 1)</f>
        <v>47087</v>
      </c>
      <c r="BC133" s="61" t="n">
        <f aca="false">EOMONTH(BB133, 1)</f>
        <v>47118</v>
      </c>
      <c r="BD133" s="59" t="n">
        <f aca="false">EOMONTH(BC133, 1)</f>
        <v>47149</v>
      </c>
      <c r="BE133" s="60" t="n">
        <f aca="false">EOMONTH(BD133, 1)</f>
        <v>47177</v>
      </c>
      <c r="BF133" s="60" t="n">
        <f aca="false">EOMONTH(BE133, 1)</f>
        <v>47208</v>
      </c>
      <c r="BG133" s="60" t="n">
        <f aca="false">EOMONTH(BF133, 1)</f>
        <v>47238</v>
      </c>
      <c r="BH133" s="60" t="n">
        <f aca="false">EOMONTH(BG133, 1)</f>
        <v>47269</v>
      </c>
      <c r="BI133" s="60" t="n">
        <f aca="false">EOMONTH(BH133, 1)</f>
        <v>47299</v>
      </c>
      <c r="BJ133" s="60" t="n">
        <f aca="false">EOMONTH(BI133, 1)</f>
        <v>47330</v>
      </c>
      <c r="BK133" s="60" t="n">
        <f aca="false">EOMONTH(BJ133, 1)</f>
        <v>47361</v>
      </c>
      <c r="BL133" s="60" t="n">
        <f aca="false">EOMONTH(BK133, 1)</f>
        <v>47391</v>
      </c>
      <c r="BM133" s="60" t="n">
        <f aca="false">EOMONTH(BL133, 1)</f>
        <v>47422</v>
      </c>
      <c r="BN133" s="60" t="n">
        <f aca="false">EOMONTH(BM133, 1)</f>
        <v>47452</v>
      </c>
      <c r="BO133" s="61" t="n">
        <f aca="false">EOMONTH(BN133, 1)</f>
        <v>47483</v>
      </c>
      <c r="BP133" s="59" t="n">
        <f aca="false">EOMONTH(BO133, 1)</f>
        <v>47514</v>
      </c>
      <c r="BQ133" s="60" t="n">
        <f aca="false">EOMONTH(BP133, 1)</f>
        <v>47542</v>
      </c>
      <c r="BR133" s="60" t="n">
        <f aca="false">EOMONTH(BQ133, 1)</f>
        <v>47573</v>
      </c>
      <c r="BS133" s="60" t="n">
        <f aca="false">EOMONTH(BR133, 1)</f>
        <v>47603</v>
      </c>
      <c r="BT133" s="60" t="n">
        <f aca="false">EOMONTH(BS133, 1)</f>
        <v>47634</v>
      </c>
      <c r="BU133" s="60" t="n">
        <f aca="false">EOMONTH(BT133, 1)</f>
        <v>47664</v>
      </c>
      <c r="BV133" s="60" t="n">
        <f aca="false">EOMONTH(BU133, 1)</f>
        <v>47695</v>
      </c>
      <c r="BW133" s="60" t="n">
        <f aca="false">EOMONTH(BV133, 1)</f>
        <v>47726</v>
      </c>
      <c r="BX133" s="60" t="n">
        <f aca="false">EOMONTH(BW133, 1)</f>
        <v>47756</v>
      </c>
      <c r="BY133" s="60" t="n">
        <f aca="false">EOMONTH(BX133, 1)</f>
        <v>47787</v>
      </c>
      <c r="BZ133" s="60" t="n">
        <f aca="false">EOMONTH(BY133, 1)</f>
        <v>47817</v>
      </c>
      <c r="CA133" s="60" t="n">
        <f aca="false">EOMONTH(BZ133, 1)</f>
        <v>47848</v>
      </c>
      <c r="CC133" s="62" t="n">
        <v>2026</v>
      </c>
      <c r="CD133" s="62" t="n">
        <f aca="false">CC133+1</f>
        <v>2027</v>
      </c>
      <c r="CE133" s="62" t="n">
        <f aca="false">CD133+1</f>
        <v>2028</v>
      </c>
      <c r="CF133" s="62" t="n">
        <f aca="false">CE133+1</f>
        <v>2029</v>
      </c>
      <c r="CG133" s="62" t="n">
        <f aca="false">CF133+1</f>
        <v>2030</v>
      </c>
      <c r="CI133" s="62" t="n">
        <v>2026</v>
      </c>
      <c r="CJ133" s="62" t="n">
        <f aca="false">CI133+1</f>
        <v>2027</v>
      </c>
      <c r="CK133" s="62" t="n">
        <f aca="false">CJ133+1</f>
        <v>2028</v>
      </c>
      <c r="CL133" s="62" t="n">
        <f aca="false">CK133+1</f>
        <v>2029</v>
      </c>
      <c r="CM133" s="62" t="n">
        <f aca="false">CL133+1</f>
        <v>2030</v>
      </c>
    </row>
    <row r="134" s="14" customFormat="true" ht="16.5" hidden="false" customHeight="true" outlineLevel="0" collapsed="false">
      <c r="F134" s="21"/>
      <c r="G134" s="21"/>
      <c r="Q134" s="16"/>
      <c r="R134" s="16"/>
    </row>
    <row r="135" s="14" customFormat="true" ht="16.5" hidden="false" customHeight="true" outlineLevel="0" collapsed="false">
      <c r="E135" s="21" t="s">
        <v>158</v>
      </c>
      <c r="Q135" s="16"/>
      <c r="R135" s="16"/>
    </row>
    <row r="136" s="14" customFormat="true" ht="16.5" hidden="false" customHeight="true" outlineLevel="0" collapsed="false">
      <c r="D136" s="134"/>
      <c r="E136" s="91" t="s">
        <v>377</v>
      </c>
      <c r="L136" s="213" t="n">
        <f aca="false">'SVC-4 Model'!L119</f>
        <v>0</v>
      </c>
      <c r="M136" s="213" t="n">
        <f aca="false">'SVC-4 Model'!M119</f>
        <v>0</v>
      </c>
      <c r="N136" s="213" t="n">
        <f aca="false">'SVC-4 Model'!N119</f>
        <v>0</v>
      </c>
      <c r="O136" s="213" t="n">
        <f aca="false">'SVC-4 Model'!O119</f>
        <v>0</v>
      </c>
      <c r="P136" s="213" t="n">
        <f aca="false">'SVC-4 Model'!P119</f>
        <v>0</v>
      </c>
      <c r="Q136" s="93" t="s">
        <v>266</v>
      </c>
      <c r="R136" s="16"/>
      <c r="T136" s="225" t="n">
        <f aca="false">'SVC-4 Model'!T119</f>
        <v>0</v>
      </c>
      <c r="U136" s="225" t="n">
        <f aca="false">'SVC-4 Model'!U119</f>
        <v>0</v>
      </c>
      <c r="V136" s="225" t="n">
        <f aca="false">'SVC-4 Model'!V119</f>
        <v>0</v>
      </c>
      <c r="W136" s="225" t="n">
        <f aca="false">'SVC-4 Model'!W119</f>
        <v>0</v>
      </c>
      <c r="X136" s="225" t="n">
        <f aca="false">'SVC-4 Model'!X119</f>
        <v>0</v>
      </c>
      <c r="Y136" s="225" t="n">
        <f aca="false">'SVC-4 Model'!Y119</f>
        <v>0</v>
      </c>
      <c r="Z136" s="225" t="n">
        <f aca="false">'SVC-4 Model'!Z119</f>
        <v>0</v>
      </c>
      <c r="AA136" s="225" t="n">
        <f aca="false">'SVC-4 Model'!AA119</f>
        <v>0</v>
      </c>
      <c r="AB136" s="225" t="n">
        <f aca="false">'SVC-4 Model'!AB119</f>
        <v>0</v>
      </c>
      <c r="AC136" s="225" t="n">
        <f aca="false">'SVC-4 Model'!AC119</f>
        <v>0</v>
      </c>
      <c r="AD136" s="225" t="n">
        <f aca="false">'SVC-4 Model'!AD119</f>
        <v>0</v>
      </c>
      <c r="AE136" s="225" t="n">
        <f aca="false">'SVC-4 Model'!AE119</f>
        <v>0</v>
      </c>
      <c r="AF136" s="225" t="n">
        <f aca="false">'SVC-4 Model'!AF119</f>
        <v>0</v>
      </c>
      <c r="AG136" s="225" t="n">
        <f aca="false">'SVC-4 Model'!AG119</f>
        <v>0</v>
      </c>
      <c r="AH136" s="225" t="n">
        <f aca="false">'SVC-4 Model'!AH119</f>
        <v>0</v>
      </c>
      <c r="AI136" s="225" t="n">
        <f aca="false">'SVC-4 Model'!AI119</f>
        <v>0</v>
      </c>
      <c r="AJ136" s="225" t="n">
        <f aca="false">'SVC-4 Model'!AJ119</f>
        <v>0</v>
      </c>
      <c r="AK136" s="225" t="n">
        <f aca="false">'SVC-4 Model'!AK119</f>
        <v>0</v>
      </c>
      <c r="AL136" s="225" t="n">
        <f aca="false">'SVC-4 Model'!AL119</f>
        <v>0</v>
      </c>
      <c r="AM136" s="225" t="n">
        <f aca="false">'SVC-4 Model'!AM119</f>
        <v>0</v>
      </c>
      <c r="AN136" s="225" t="n">
        <f aca="false">'SVC-4 Model'!AN119</f>
        <v>0</v>
      </c>
      <c r="AO136" s="225" t="n">
        <f aca="false">'SVC-4 Model'!AO119</f>
        <v>0</v>
      </c>
      <c r="AP136" s="225" t="n">
        <f aca="false">'SVC-4 Model'!AP119</f>
        <v>0</v>
      </c>
      <c r="AQ136" s="225" t="n">
        <f aca="false">'SVC-4 Model'!AQ119</f>
        <v>0</v>
      </c>
      <c r="AR136" s="225" t="n">
        <f aca="false">'SVC-4 Model'!AR119</f>
        <v>0</v>
      </c>
      <c r="AS136" s="225" t="n">
        <f aca="false">'SVC-4 Model'!AS119</f>
        <v>0</v>
      </c>
      <c r="AT136" s="225" t="n">
        <f aca="false">'SVC-4 Model'!AT119</f>
        <v>0</v>
      </c>
      <c r="AU136" s="225" t="n">
        <f aca="false">'SVC-4 Model'!AU119</f>
        <v>0</v>
      </c>
      <c r="AV136" s="225" t="n">
        <f aca="false">'SVC-4 Model'!AV119</f>
        <v>0</v>
      </c>
      <c r="AW136" s="225" t="n">
        <f aca="false">'SVC-4 Model'!AW119</f>
        <v>0</v>
      </c>
      <c r="AX136" s="225" t="n">
        <f aca="false">'SVC-4 Model'!AX119</f>
        <v>0</v>
      </c>
      <c r="AY136" s="225" t="n">
        <f aca="false">'SVC-4 Model'!AY119</f>
        <v>0</v>
      </c>
      <c r="AZ136" s="225" t="n">
        <f aca="false">'SVC-4 Model'!AZ119</f>
        <v>0</v>
      </c>
      <c r="BA136" s="225" t="n">
        <f aca="false">'SVC-4 Model'!BA119</f>
        <v>0</v>
      </c>
      <c r="BB136" s="225" t="n">
        <f aca="false">'SVC-4 Model'!BB119</f>
        <v>0</v>
      </c>
      <c r="BC136" s="225" t="n">
        <f aca="false">'SVC-4 Model'!BC119</f>
        <v>0</v>
      </c>
      <c r="BD136" s="225" t="n">
        <f aca="false">'SVC-4 Model'!BD119</f>
        <v>0</v>
      </c>
      <c r="BE136" s="225" t="n">
        <f aca="false">'SVC-4 Model'!BE119</f>
        <v>0</v>
      </c>
      <c r="BF136" s="225" t="n">
        <f aca="false">'SVC-4 Model'!BF119</f>
        <v>0</v>
      </c>
      <c r="BG136" s="225" t="n">
        <f aca="false">'SVC-4 Model'!BG119</f>
        <v>0</v>
      </c>
      <c r="BH136" s="225" t="n">
        <f aca="false">'SVC-4 Model'!BH119</f>
        <v>0</v>
      </c>
      <c r="BI136" s="225" t="n">
        <f aca="false">'SVC-4 Model'!BI119</f>
        <v>0</v>
      </c>
      <c r="BJ136" s="225" t="n">
        <f aca="false">'SVC-4 Model'!BJ119</f>
        <v>0</v>
      </c>
      <c r="BK136" s="225" t="n">
        <f aca="false">'SVC-4 Model'!BK119</f>
        <v>0</v>
      </c>
      <c r="BL136" s="225" t="n">
        <f aca="false">'SVC-4 Model'!BL119</f>
        <v>0</v>
      </c>
      <c r="BM136" s="225" t="n">
        <f aca="false">'SVC-4 Model'!BM119</f>
        <v>0</v>
      </c>
      <c r="BN136" s="225" t="n">
        <f aca="false">'SVC-4 Model'!BN119</f>
        <v>0</v>
      </c>
      <c r="BO136" s="225" t="n">
        <f aca="false">'SVC-4 Model'!BO119</f>
        <v>0</v>
      </c>
      <c r="BP136" s="225" t="n">
        <f aca="false">'SVC-4 Model'!BP119</f>
        <v>0</v>
      </c>
      <c r="BQ136" s="225" t="n">
        <f aca="false">'SVC-4 Model'!BQ119</f>
        <v>0</v>
      </c>
      <c r="BR136" s="225" t="n">
        <f aca="false">'SVC-4 Model'!BR119</f>
        <v>0</v>
      </c>
      <c r="BS136" s="225" t="n">
        <f aca="false">'SVC-4 Model'!BS119</f>
        <v>0</v>
      </c>
      <c r="BT136" s="225" t="n">
        <f aca="false">'SVC-4 Model'!BT119</f>
        <v>0</v>
      </c>
      <c r="BU136" s="225" t="n">
        <f aca="false">'SVC-4 Model'!BU119</f>
        <v>0</v>
      </c>
      <c r="BV136" s="225" t="n">
        <f aca="false">'SVC-4 Model'!BV119</f>
        <v>0</v>
      </c>
      <c r="BW136" s="225" t="n">
        <f aca="false">'SVC-4 Model'!BW119</f>
        <v>0</v>
      </c>
      <c r="BX136" s="225" t="n">
        <f aca="false">'SVC-4 Model'!BX119</f>
        <v>0</v>
      </c>
      <c r="BY136" s="225" t="n">
        <f aca="false">'SVC-4 Model'!BY119</f>
        <v>0</v>
      </c>
      <c r="BZ136" s="226" t="n">
        <f aca="false">'SVC-4 Model'!BZ119</f>
        <v>0</v>
      </c>
      <c r="CA136" s="226" t="n">
        <f aca="false">'SVC-4 Model'!CA119</f>
        <v>0</v>
      </c>
      <c r="CC136" s="79" t="n">
        <f aca="false">SUMIFS($T136:$CA136, $T$1:$CA$1, CC$63)</f>
        <v>0</v>
      </c>
      <c r="CD136" s="79" t="n">
        <f aca="false">SUMIFS($T136:$CA136, $T$1:$CA$1, CD$63)</f>
        <v>0</v>
      </c>
      <c r="CE136" s="79" t="n">
        <f aca="false">SUMIFS($T136:$CA136, $T$1:$CA$1, CE$63)</f>
        <v>0</v>
      </c>
      <c r="CF136" s="79" t="n">
        <f aca="false">SUMIFS($T136:$CA136, $T$1:$CA$1, CF$63)</f>
        <v>0</v>
      </c>
      <c r="CG136" s="79" t="n">
        <f aca="false">SUMIFS($T136:$CA136, $T$1:$CA$1, CG$63)</f>
        <v>0</v>
      </c>
      <c r="CI136" s="79" t="n">
        <f aca="false">CC136=L136</f>
        <v>1</v>
      </c>
      <c r="CJ136" s="79" t="n">
        <f aca="false">CD136=M136</f>
        <v>1</v>
      </c>
      <c r="CK136" s="79" t="n">
        <f aca="false">CE136=N136</f>
        <v>1</v>
      </c>
      <c r="CL136" s="79" t="n">
        <f aca="false">CF136=O136</f>
        <v>1</v>
      </c>
      <c r="CM136" s="79" t="n">
        <f aca="false">CG136=P136</f>
        <v>1</v>
      </c>
    </row>
    <row r="137" s="14" customFormat="true" ht="16.5" hidden="false" customHeight="true" outlineLevel="0" collapsed="false">
      <c r="D137" s="134"/>
      <c r="E137" s="91" t="s">
        <v>378</v>
      </c>
      <c r="L137" s="213" t="n">
        <f aca="false">'SVC-4 Model'!L120</f>
        <v>0</v>
      </c>
      <c r="M137" s="213" t="n">
        <f aca="false">'SVC-4 Model'!M120</f>
        <v>0</v>
      </c>
      <c r="N137" s="213" t="n">
        <f aca="false">'SVC-4 Model'!N120</f>
        <v>0</v>
      </c>
      <c r="O137" s="213" t="n">
        <f aca="false">'SVC-4 Model'!O120</f>
        <v>0</v>
      </c>
      <c r="P137" s="213" t="n">
        <f aca="false">'SVC-4 Model'!P120</f>
        <v>0</v>
      </c>
      <c r="Q137" s="93" t="s">
        <v>266</v>
      </c>
      <c r="R137" s="16"/>
      <c r="T137" s="225" t="n">
        <f aca="false">'SVC-4 Model'!T120</f>
        <v>0</v>
      </c>
      <c r="U137" s="225" t="n">
        <f aca="false">'SVC-4 Model'!U120</f>
        <v>0</v>
      </c>
      <c r="V137" s="225" t="n">
        <f aca="false">'SVC-4 Model'!V120</f>
        <v>0</v>
      </c>
      <c r="W137" s="225" t="n">
        <f aca="false">'SVC-4 Model'!W120</f>
        <v>0</v>
      </c>
      <c r="X137" s="225" t="n">
        <f aca="false">'SVC-4 Model'!X120</f>
        <v>0</v>
      </c>
      <c r="Y137" s="225" t="n">
        <f aca="false">'SVC-4 Model'!Y120</f>
        <v>0</v>
      </c>
      <c r="Z137" s="225" t="n">
        <f aca="false">'SVC-4 Model'!Z120</f>
        <v>0</v>
      </c>
      <c r="AA137" s="225" t="n">
        <f aca="false">'SVC-4 Model'!AA120</f>
        <v>0</v>
      </c>
      <c r="AB137" s="225" t="n">
        <f aca="false">'SVC-4 Model'!AB120</f>
        <v>0</v>
      </c>
      <c r="AC137" s="225" t="n">
        <f aca="false">'SVC-4 Model'!AC120</f>
        <v>0</v>
      </c>
      <c r="AD137" s="225" t="n">
        <f aca="false">'SVC-4 Model'!AD120</f>
        <v>0</v>
      </c>
      <c r="AE137" s="225" t="n">
        <f aca="false">'SVC-4 Model'!AE120</f>
        <v>0</v>
      </c>
      <c r="AF137" s="225" t="n">
        <f aca="false">'SVC-4 Model'!AF120</f>
        <v>0</v>
      </c>
      <c r="AG137" s="225" t="n">
        <f aca="false">'SVC-4 Model'!AG120</f>
        <v>0</v>
      </c>
      <c r="AH137" s="225" t="n">
        <f aca="false">'SVC-4 Model'!AH120</f>
        <v>0</v>
      </c>
      <c r="AI137" s="225" t="n">
        <f aca="false">'SVC-4 Model'!AI120</f>
        <v>0</v>
      </c>
      <c r="AJ137" s="225" t="n">
        <f aca="false">'SVC-4 Model'!AJ120</f>
        <v>0</v>
      </c>
      <c r="AK137" s="225" t="n">
        <f aca="false">'SVC-4 Model'!AK120</f>
        <v>0</v>
      </c>
      <c r="AL137" s="225" t="n">
        <f aca="false">'SVC-4 Model'!AL120</f>
        <v>0</v>
      </c>
      <c r="AM137" s="225" t="n">
        <f aca="false">'SVC-4 Model'!AM120</f>
        <v>0</v>
      </c>
      <c r="AN137" s="225" t="n">
        <f aca="false">'SVC-4 Model'!AN120</f>
        <v>0</v>
      </c>
      <c r="AO137" s="225" t="n">
        <f aca="false">'SVC-4 Model'!AO120</f>
        <v>0</v>
      </c>
      <c r="AP137" s="225" t="n">
        <f aca="false">'SVC-4 Model'!AP120</f>
        <v>0</v>
      </c>
      <c r="AQ137" s="225" t="n">
        <f aca="false">'SVC-4 Model'!AQ120</f>
        <v>0</v>
      </c>
      <c r="AR137" s="225" t="n">
        <f aca="false">'SVC-4 Model'!AR120</f>
        <v>0</v>
      </c>
      <c r="AS137" s="225" t="n">
        <f aca="false">'SVC-4 Model'!AS120</f>
        <v>0</v>
      </c>
      <c r="AT137" s="225" t="n">
        <f aca="false">'SVC-4 Model'!AT120</f>
        <v>0</v>
      </c>
      <c r="AU137" s="225" t="n">
        <f aca="false">'SVC-4 Model'!AU120</f>
        <v>0</v>
      </c>
      <c r="AV137" s="225" t="n">
        <f aca="false">'SVC-4 Model'!AV120</f>
        <v>0</v>
      </c>
      <c r="AW137" s="225" t="n">
        <f aca="false">'SVC-4 Model'!AW120</f>
        <v>0</v>
      </c>
      <c r="AX137" s="225" t="n">
        <f aca="false">'SVC-4 Model'!AX120</f>
        <v>0</v>
      </c>
      <c r="AY137" s="225" t="n">
        <f aca="false">'SVC-4 Model'!AY120</f>
        <v>0</v>
      </c>
      <c r="AZ137" s="225" t="n">
        <f aca="false">'SVC-4 Model'!AZ120</f>
        <v>0</v>
      </c>
      <c r="BA137" s="225" t="n">
        <f aca="false">'SVC-4 Model'!BA120</f>
        <v>0</v>
      </c>
      <c r="BB137" s="225" t="n">
        <f aca="false">'SVC-4 Model'!BB120</f>
        <v>0</v>
      </c>
      <c r="BC137" s="225" t="n">
        <f aca="false">'SVC-4 Model'!BC120</f>
        <v>0</v>
      </c>
      <c r="BD137" s="225" t="n">
        <f aca="false">'SVC-4 Model'!BD120</f>
        <v>0</v>
      </c>
      <c r="BE137" s="225" t="n">
        <f aca="false">'SVC-4 Model'!BE120</f>
        <v>0</v>
      </c>
      <c r="BF137" s="225" t="n">
        <f aca="false">'SVC-4 Model'!BF120</f>
        <v>0</v>
      </c>
      <c r="BG137" s="225" t="n">
        <f aca="false">'SVC-4 Model'!BG120</f>
        <v>0</v>
      </c>
      <c r="BH137" s="225" t="n">
        <f aca="false">'SVC-4 Model'!BH120</f>
        <v>0</v>
      </c>
      <c r="BI137" s="225" t="n">
        <f aca="false">'SVC-4 Model'!BI120</f>
        <v>0</v>
      </c>
      <c r="BJ137" s="225" t="n">
        <f aca="false">'SVC-4 Model'!BJ120</f>
        <v>0</v>
      </c>
      <c r="BK137" s="225" t="n">
        <f aca="false">'SVC-4 Model'!BK120</f>
        <v>0</v>
      </c>
      <c r="BL137" s="225" t="n">
        <f aca="false">'SVC-4 Model'!BL120</f>
        <v>0</v>
      </c>
      <c r="BM137" s="225" t="n">
        <f aca="false">'SVC-4 Model'!BM120</f>
        <v>0</v>
      </c>
      <c r="BN137" s="225" t="n">
        <f aca="false">'SVC-4 Model'!BN120</f>
        <v>0</v>
      </c>
      <c r="BO137" s="225" t="n">
        <f aca="false">'SVC-4 Model'!BO120</f>
        <v>0</v>
      </c>
      <c r="BP137" s="225" t="n">
        <f aca="false">'SVC-4 Model'!BP120</f>
        <v>0</v>
      </c>
      <c r="BQ137" s="225" t="n">
        <f aca="false">'SVC-4 Model'!BQ120</f>
        <v>0</v>
      </c>
      <c r="BR137" s="225" t="n">
        <f aca="false">'SVC-4 Model'!BR120</f>
        <v>0</v>
      </c>
      <c r="BS137" s="225" t="n">
        <f aca="false">'SVC-4 Model'!BS120</f>
        <v>0</v>
      </c>
      <c r="BT137" s="225" t="n">
        <f aca="false">'SVC-4 Model'!BT120</f>
        <v>0</v>
      </c>
      <c r="BU137" s="225" t="n">
        <f aca="false">'SVC-4 Model'!BU120</f>
        <v>0</v>
      </c>
      <c r="BV137" s="225" t="n">
        <f aca="false">'SVC-4 Model'!BV120</f>
        <v>0</v>
      </c>
      <c r="BW137" s="225" t="n">
        <f aca="false">'SVC-4 Model'!BW120</f>
        <v>0</v>
      </c>
      <c r="BX137" s="225" t="n">
        <f aca="false">'SVC-4 Model'!BX120</f>
        <v>0</v>
      </c>
      <c r="BY137" s="225" t="n">
        <f aca="false">'SVC-4 Model'!BY120</f>
        <v>0</v>
      </c>
      <c r="BZ137" s="226" t="n">
        <f aca="false">'SVC-4 Model'!BZ120</f>
        <v>0</v>
      </c>
      <c r="CA137" s="226" t="n">
        <f aca="false">'SVC-4 Model'!CA120</f>
        <v>0</v>
      </c>
      <c r="CC137" s="79" t="n">
        <f aca="false">SUMIFS($T137:$CA137, $T$1:$CA$1, CC$63)</f>
        <v>0</v>
      </c>
      <c r="CD137" s="79" t="n">
        <f aca="false">SUMIFS($T137:$CA137, $T$1:$CA$1, CD$63)</f>
        <v>0</v>
      </c>
      <c r="CE137" s="79" t="n">
        <f aca="false">SUMIFS($T137:$CA137, $T$1:$CA$1, CE$63)</f>
        <v>0</v>
      </c>
      <c r="CF137" s="79" t="n">
        <f aca="false">SUMIFS($T137:$CA137, $T$1:$CA$1, CF$63)</f>
        <v>0</v>
      </c>
      <c r="CG137" s="79" t="n">
        <f aca="false">SUMIFS($T137:$CA137, $T$1:$CA$1, CG$63)</f>
        <v>0</v>
      </c>
      <c r="CI137" s="79" t="n">
        <f aca="false">CC137=L137</f>
        <v>1</v>
      </c>
      <c r="CJ137" s="79" t="n">
        <f aca="false">CD137=M137</f>
        <v>1</v>
      </c>
      <c r="CK137" s="79" t="n">
        <f aca="false">CE137=N137</f>
        <v>1</v>
      </c>
      <c r="CL137" s="79" t="n">
        <f aca="false">CF137=O137</f>
        <v>1</v>
      </c>
      <c r="CM137" s="79" t="n">
        <f aca="false">CG137=P137</f>
        <v>1</v>
      </c>
    </row>
    <row r="138" s="14" customFormat="true" ht="16.5" hidden="false" customHeight="true" outlineLevel="0" collapsed="false">
      <c r="E138" s="96" t="s">
        <v>160</v>
      </c>
      <c r="L138" s="82" t="n">
        <f aca="false">SUM(L136:L137)</f>
        <v>0</v>
      </c>
      <c r="M138" s="82" t="n">
        <f aca="false">SUM(M136:M137)</f>
        <v>0</v>
      </c>
      <c r="N138" s="82" t="n">
        <f aca="false">SUM(N136:N137)</f>
        <v>0</v>
      </c>
      <c r="O138" s="82" t="n">
        <f aca="false">SUM(O136:O137)</f>
        <v>0</v>
      </c>
      <c r="P138" s="82" t="n">
        <f aca="false">SUM(P136:P137)</f>
        <v>0</v>
      </c>
      <c r="Q138" s="16"/>
      <c r="R138" s="16"/>
      <c r="T138" s="131" t="n">
        <f aca="false">SUM(T136:T137)</f>
        <v>0</v>
      </c>
      <c r="U138" s="131" t="n">
        <f aca="false">SUM(U136:U137)</f>
        <v>0</v>
      </c>
      <c r="V138" s="131" t="n">
        <f aca="false">SUM(V136:V137)</f>
        <v>0</v>
      </c>
      <c r="W138" s="131" t="n">
        <f aca="false">SUM(W136:W137)</f>
        <v>0</v>
      </c>
      <c r="X138" s="131" t="n">
        <f aca="false">SUM(X136:X137)</f>
        <v>0</v>
      </c>
      <c r="Y138" s="131" t="n">
        <f aca="false">SUM(Y136:Y137)</f>
        <v>0</v>
      </c>
      <c r="Z138" s="131" t="n">
        <f aca="false">SUM(Z136:Z137)</f>
        <v>0</v>
      </c>
      <c r="AA138" s="131" t="n">
        <f aca="false">SUM(AA136:AA137)</f>
        <v>0</v>
      </c>
      <c r="AB138" s="131" t="n">
        <f aca="false">SUM(AB136:AB137)</f>
        <v>0</v>
      </c>
      <c r="AC138" s="131" t="n">
        <f aca="false">SUM(AC136:AC137)</f>
        <v>0</v>
      </c>
      <c r="AD138" s="131" t="n">
        <f aca="false">SUM(AD136:AD137)</f>
        <v>0</v>
      </c>
      <c r="AE138" s="131" t="n">
        <f aca="false">SUM(AE136:AE137)</f>
        <v>0</v>
      </c>
      <c r="AF138" s="131" t="n">
        <f aca="false">SUM(AF136:AF137)</f>
        <v>0</v>
      </c>
      <c r="AG138" s="131" t="n">
        <f aca="false">SUM(AG136:AG137)</f>
        <v>0</v>
      </c>
      <c r="AH138" s="131" t="n">
        <f aca="false">SUM(AH136:AH137)</f>
        <v>0</v>
      </c>
      <c r="AI138" s="131" t="n">
        <f aca="false">SUM(AI136:AI137)</f>
        <v>0</v>
      </c>
      <c r="AJ138" s="131" t="n">
        <f aca="false">SUM(AJ136:AJ137)</f>
        <v>0</v>
      </c>
      <c r="AK138" s="131" t="n">
        <f aca="false">SUM(AK136:AK137)</f>
        <v>0</v>
      </c>
      <c r="AL138" s="131" t="n">
        <f aca="false">SUM(AL136:AL137)</f>
        <v>0</v>
      </c>
      <c r="AM138" s="131" t="n">
        <f aca="false">SUM(AM136:AM137)</f>
        <v>0</v>
      </c>
      <c r="AN138" s="131" t="n">
        <f aca="false">SUM(AN136:AN137)</f>
        <v>0</v>
      </c>
      <c r="AO138" s="131" t="n">
        <f aca="false">SUM(AO136:AO137)</f>
        <v>0</v>
      </c>
      <c r="AP138" s="131" t="n">
        <f aca="false">SUM(AP136:AP137)</f>
        <v>0</v>
      </c>
      <c r="AQ138" s="131" t="n">
        <f aca="false">SUM(AQ136:AQ137)</f>
        <v>0</v>
      </c>
      <c r="AR138" s="131" t="n">
        <f aca="false">SUM(AR136:AR137)</f>
        <v>0</v>
      </c>
      <c r="AS138" s="131" t="n">
        <f aca="false">SUM(AS136:AS137)</f>
        <v>0</v>
      </c>
      <c r="AT138" s="131" t="n">
        <f aca="false">SUM(AT136:AT137)</f>
        <v>0</v>
      </c>
      <c r="AU138" s="131" t="n">
        <f aca="false">SUM(AU136:AU137)</f>
        <v>0</v>
      </c>
      <c r="AV138" s="131" t="n">
        <f aca="false">SUM(AV136:AV137)</f>
        <v>0</v>
      </c>
      <c r="AW138" s="131" t="n">
        <f aca="false">SUM(AW136:AW137)</f>
        <v>0</v>
      </c>
      <c r="AX138" s="131" t="n">
        <f aca="false">SUM(AX136:AX137)</f>
        <v>0</v>
      </c>
      <c r="AY138" s="131" t="n">
        <f aca="false">SUM(AY136:AY137)</f>
        <v>0</v>
      </c>
      <c r="AZ138" s="131" t="n">
        <f aca="false">SUM(AZ136:AZ137)</f>
        <v>0</v>
      </c>
      <c r="BA138" s="131" t="n">
        <f aca="false">SUM(BA136:BA137)</f>
        <v>0</v>
      </c>
      <c r="BB138" s="131" t="n">
        <f aca="false">SUM(BB136:BB137)</f>
        <v>0</v>
      </c>
      <c r="BC138" s="131" t="n">
        <f aca="false">SUM(BC136:BC137)</f>
        <v>0</v>
      </c>
      <c r="BD138" s="131" t="n">
        <f aca="false">SUM(BD136:BD137)</f>
        <v>0</v>
      </c>
      <c r="BE138" s="131" t="n">
        <f aca="false">SUM(BE136:BE137)</f>
        <v>0</v>
      </c>
      <c r="BF138" s="131" t="n">
        <f aca="false">SUM(BF136:BF137)</f>
        <v>0</v>
      </c>
      <c r="BG138" s="131" t="n">
        <f aca="false">SUM(BG136:BG137)</f>
        <v>0</v>
      </c>
      <c r="BH138" s="131" t="n">
        <f aca="false">SUM(BH136:BH137)</f>
        <v>0</v>
      </c>
      <c r="BI138" s="131" t="n">
        <f aca="false">SUM(BI136:BI137)</f>
        <v>0</v>
      </c>
      <c r="BJ138" s="131" t="n">
        <f aca="false">SUM(BJ136:BJ137)</f>
        <v>0</v>
      </c>
      <c r="BK138" s="131" t="n">
        <f aca="false">SUM(BK136:BK137)</f>
        <v>0</v>
      </c>
      <c r="BL138" s="131" t="n">
        <f aca="false">SUM(BL136:BL137)</f>
        <v>0</v>
      </c>
      <c r="BM138" s="131" t="n">
        <f aca="false">SUM(BM136:BM137)</f>
        <v>0</v>
      </c>
      <c r="BN138" s="131" t="n">
        <f aca="false">SUM(BN136:BN137)</f>
        <v>0</v>
      </c>
      <c r="BO138" s="131" t="n">
        <f aca="false">SUM(BO136:BO137)</f>
        <v>0</v>
      </c>
      <c r="BP138" s="131" t="n">
        <f aca="false">SUM(BP136:BP137)</f>
        <v>0</v>
      </c>
      <c r="BQ138" s="131" t="n">
        <f aca="false">SUM(BQ136:BQ137)</f>
        <v>0</v>
      </c>
      <c r="BR138" s="131" t="n">
        <f aca="false">SUM(BR136:BR137)</f>
        <v>0</v>
      </c>
      <c r="BS138" s="131" t="n">
        <f aca="false">SUM(BS136:BS137)</f>
        <v>0</v>
      </c>
      <c r="BT138" s="131" t="n">
        <f aca="false">SUM(BT136:BT137)</f>
        <v>0</v>
      </c>
      <c r="BU138" s="131" t="n">
        <f aca="false">SUM(BU136:BU137)</f>
        <v>0</v>
      </c>
      <c r="BV138" s="131" t="n">
        <f aca="false">SUM(BV136:BV137)</f>
        <v>0</v>
      </c>
      <c r="BW138" s="131" t="n">
        <f aca="false">SUM(BW136:BW137)</f>
        <v>0</v>
      </c>
      <c r="BX138" s="131" t="n">
        <f aca="false">SUM(BX136:BX137)</f>
        <v>0</v>
      </c>
      <c r="BY138" s="131" t="n">
        <f aca="false">SUM(BY136:BY137)</f>
        <v>0</v>
      </c>
      <c r="BZ138" s="136" t="n">
        <f aca="false">SUM(BZ136:BZ137)</f>
        <v>0</v>
      </c>
      <c r="CA138" s="136" t="n">
        <f aca="false">SUM(CA136:CA137)</f>
        <v>0</v>
      </c>
      <c r="CC138" s="136" t="n">
        <f aca="false">SUM(CC136:CC137)</f>
        <v>0</v>
      </c>
      <c r="CD138" s="136" t="n">
        <f aca="false">SUM(CD136:CD137)</f>
        <v>0</v>
      </c>
      <c r="CE138" s="136" t="n">
        <f aca="false">SUM(CE136:CE137)</f>
        <v>0</v>
      </c>
      <c r="CF138" s="136" t="n">
        <f aca="false">SUM(CF136:CF137)</f>
        <v>0</v>
      </c>
      <c r="CG138" s="136" t="n">
        <f aca="false">SUM(CG136:CG137)</f>
        <v>0</v>
      </c>
      <c r="CI138" s="136" t="n">
        <f aca="false">CC138=L138</f>
        <v>1</v>
      </c>
      <c r="CJ138" s="136" t="n">
        <f aca="false">CD138=M138</f>
        <v>1</v>
      </c>
      <c r="CK138" s="136" t="n">
        <f aca="false">CE138=N138</f>
        <v>1</v>
      </c>
      <c r="CL138" s="136" t="n">
        <f aca="false">CF138=O138</f>
        <v>1</v>
      </c>
      <c r="CM138" s="136" t="n">
        <f aca="false">CG138=P138</f>
        <v>1</v>
      </c>
    </row>
    <row r="139" s="14" customFormat="true" ht="16.5" hidden="false" customHeight="true" outlineLevel="0" collapsed="false">
      <c r="L139" s="88"/>
      <c r="M139" s="88"/>
      <c r="N139" s="88"/>
      <c r="O139" s="88"/>
      <c r="P139" s="88"/>
      <c r="Q139" s="16"/>
      <c r="R139" s="16"/>
      <c r="T139" s="137"/>
      <c r="U139" s="137"/>
      <c r="V139" s="137"/>
      <c r="W139" s="137"/>
      <c r="X139" s="137"/>
      <c r="Y139" s="137"/>
      <c r="Z139" s="137"/>
      <c r="AA139" s="137"/>
      <c r="AB139" s="137"/>
      <c r="AC139" s="137"/>
      <c r="AD139" s="137"/>
      <c r="AE139" s="137"/>
      <c r="AF139" s="137"/>
      <c r="AG139" s="137"/>
      <c r="AH139" s="137"/>
      <c r="AI139" s="137"/>
      <c r="AJ139" s="137"/>
      <c r="AK139" s="137"/>
      <c r="AL139" s="137"/>
      <c r="AM139" s="137"/>
      <c r="AN139" s="137"/>
      <c r="AO139" s="137"/>
      <c r="AP139" s="137"/>
      <c r="AQ139" s="137"/>
      <c r="AR139" s="137"/>
      <c r="AS139" s="137"/>
      <c r="AT139" s="137"/>
      <c r="AU139" s="137"/>
      <c r="AV139" s="137"/>
      <c r="AW139" s="137"/>
      <c r="AX139" s="137"/>
      <c r="AY139" s="137"/>
      <c r="AZ139" s="137"/>
      <c r="BA139" s="137"/>
      <c r="BB139" s="137"/>
      <c r="BC139" s="137"/>
      <c r="BD139" s="137"/>
      <c r="BE139" s="137"/>
      <c r="BF139" s="137"/>
      <c r="BG139" s="137"/>
      <c r="BH139" s="137"/>
      <c r="BI139" s="137"/>
      <c r="BJ139" s="137"/>
      <c r="BK139" s="137"/>
      <c r="BL139" s="137"/>
      <c r="BM139" s="137"/>
      <c r="BN139" s="137"/>
      <c r="BO139" s="137"/>
      <c r="BP139" s="137"/>
      <c r="BQ139" s="137"/>
      <c r="BR139" s="137"/>
      <c r="BS139" s="137"/>
      <c r="BT139" s="137"/>
      <c r="BU139" s="137"/>
      <c r="BV139" s="137"/>
      <c r="BW139" s="137"/>
      <c r="BX139" s="137"/>
      <c r="BY139" s="137"/>
      <c r="BZ139" s="121"/>
      <c r="CA139" s="121"/>
    </row>
    <row r="140" s="14" customFormat="true" ht="16.5" hidden="false" customHeight="true" outlineLevel="0" collapsed="false">
      <c r="E140" s="21" t="s">
        <v>161</v>
      </c>
      <c r="L140" s="88"/>
      <c r="M140" s="88"/>
      <c r="N140" s="88"/>
      <c r="O140" s="88"/>
      <c r="P140" s="88"/>
      <c r="Q140" s="16"/>
      <c r="R140" s="16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7"/>
      <c r="AH140" s="137"/>
      <c r="AI140" s="137"/>
      <c r="AJ140" s="137"/>
      <c r="AK140" s="137"/>
      <c r="AL140" s="137"/>
      <c r="AM140" s="137"/>
      <c r="AN140" s="137"/>
      <c r="AO140" s="137"/>
      <c r="AP140" s="137"/>
      <c r="AQ140" s="137"/>
      <c r="AR140" s="137"/>
      <c r="AS140" s="137"/>
      <c r="AT140" s="137"/>
      <c r="AU140" s="137"/>
      <c r="AV140" s="137"/>
      <c r="AW140" s="137"/>
      <c r="AX140" s="137"/>
      <c r="AY140" s="137"/>
      <c r="AZ140" s="137"/>
      <c r="BA140" s="137"/>
      <c r="BB140" s="137"/>
      <c r="BC140" s="137"/>
      <c r="BD140" s="137"/>
      <c r="BE140" s="137"/>
      <c r="BF140" s="137"/>
      <c r="BG140" s="137"/>
      <c r="BH140" s="137"/>
      <c r="BI140" s="137"/>
      <c r="BJ140" s="137"/>
      <c r="BK140" s="137"/>
      <c r="BL140" s="137"/>
      <c r="BM140" s="137"/>
      <c r="BN140" s="137"/>
      <c r="BO140" s="137"/>
      <c r="BP140" s="137"/>
      <c r="BQ140" s="137"/>
      <c r="BR140" s="137"/>
      <c r="BS140" s="137"/>
      <c r="BT140" s="137"/>
      <c r="BU140" s="137"/>
      <c r="BV140" s="137"/>
      <c r="BW140" s="137"/>
      <c r="BX140" s="137"/>
      <c r="BY140" s="137"/>
      <c r="BZ140" s="121"/>
      <c r="CA140" s="121"/>
    </row>
    <row r="141" s="14" customFormat="true" ht="16.5" hidden="false" customHeight="true" outlineLevel="0" collapsed="false">
      <c r="E141" s="91" t="s">
        <v>379</v>
      </c>
      <c r="K141" s="29"/>
      <c r="L141" s="213" t="n">
        <f aca="false">'SVC-4 Model'!L121</f>
        <v>0</v>
      </c>
      <c r="M141" s="213" t="n">
        <f aca="false">'SVC-4 Model'!M121</f>
        <v>2.45666666666667</v>
      </c>
      <c r="N141" s="213" t="n">
        <f aca="false">'SVC-4 Model'!N121</f>
        <v>0</v>
      </c>
      <c r="O141" s="213" t="n">
        <f aca="false">'SVC-4 Model'!O121</f>
        <v>0</v>
      </c>
      <c r="P141" s="213" t="n">
        <f aca="false">'SVC-4 Model'!P121</f>
        <v>0</v>
      </c>
      <c r="Q141" s="93" t="s">
        <v>266</v>
      </c>
      <c r="R141" s="16"/>
      <c r="T141" s="225" t="n">
        <f aca="false">'SVC-4 Model'!T121</f>
        <v>0</v>
      </c>
      <c r="U141" s="225" t="n">
        <f aca="false">'SVC-4 Model'!U121</f>
        <v>0</v>
      </c>
      <c r="V141" s="225" t="n">
        <f aca="false">'SVC-4 Model'!V121</f>
        <v>0</v>
      </c>
      <c r="W141" s="225" t="n">
        <f aca="false">'SVC-4 Model'!W121</f>
        <v>0</v>
      </c>
      <c r="X141" s="225" t="n">
        <f aca="false">'SVC-4 Model'!X121</f>
        <v>0</v>
      </c>
      <c r="Y141" s="225" t="n">
        <f aca="false">'SVC-4 Model'!Y121</f>
        <v>0</v>
      </c>
      <c r="Z141" s="225" t="n">
        <f aca="false">'SVC-4 Model'!Z121</f>
        <v>0</v>
      </c>
      <c r="AA141" s="225" t="n">
        <f aca="false">'SVC-4 Model'!AA121</f>
        <v>0</v>
      </c>
      <c r="AB141" s="225" t="n">
        <f aca="false">'SVC-4 Model'!AB121</f>
        <v>0</v>
      </c>
      <c r="AC141" s="225" t="n">
        <f aca="false">'SVC-4 Model'!AC121</f>
        <v>0</v>
      </c>
      <c r="AD141" s="225" t="n">
        <f aca="false">'SVC-4 Model'!AD121</f>
        <v>0</v>
      </c>
      <c r="AE141" s="225" t="n">
        <f aca="false">'SVC-4 Model'!AE121</f>
        <v>0</v>
      </c>
      <c r="AF141" s="225" t="n">
        <f aca="false">'SVC-4 Model'!AF121</f>
        <v>0.11</v>
      </c>
      <c r="AG141" s="225" t="n">
        <f aca="false">'SVC-4 Model'!AG121</f>
        <v>0.293333333333333</v>
      </c>
      <c r="AH141" s="225" t="n">
        <f aca="false">'SVC-4 Model'!AH121</f>
        <v>0.293333333333333</v>
      </c>
      <c r="AI141" s="225" t="n">
        <f aca="false">'SVC-4 Model'!AI121</f>
        <v>0.293333333333333</v>
      </c>
      <c r="AJ141" s="225" t="n">
        <f aca="false">'SVC-4 Model'!AJ121</f>
        <v>0.293333333333333</v>
      </c>
      <c r="AK141" s="225" t="n">
        <f aca="false">'SVC-4 Model'!AK121</f>
        <v>0.293333333333333</v>
      </c>
      <c r="AL141" s="225" t="n">
        <f aca="false">'SVC-4 Model'!AL121</f>
        <v>0.146666666666667</v>
      </c>
      <c r="AM141" s="225" t="n">
        <f aca="false">'SVC-4 Model'!AM121</f>
        <v>0.146666666666667</v>
      </c>
      <c r="AN141" s="225" t="n">
        <f aca="false">'SVC-4 Model'!AN121</f>
        <v>0.146666666666667</v>
      </c>
      <c r="AO141" s="225" t="n">
        <f aca="false">'SVC-4 Model'!AO121</f>
        <v>0.146666666666667</v>
      </c>
      <c r="AP141" s="225" t="n">
        <f aca="false">'SVC-4 Model'!AP121</f>
        <v>0.146666666666667</v>
      </c>
      <c r="AQ141" s="225" t="n">
        <f aca="false">'SVC-4 Model'!AQ121</f>
        <v>0.146666666666667</v>
      </c>
      <c r="AR141" s="225" t="n">
        <f aca="false">'SVC-4 Model'!AR121</f>
        <v>0</v>
      </c>
      <c r="AS141" s="225" t="n">
        <f aca="false">'SVC-4 Model'!AS121</f>
        <v>0</v>
      </c>
      <c r="AT141" s="225" t="n">
        <f aca="false">'SVC-4 Model'!AT121</f>
        <v>0</v>
      </c>
      <c r="AU141" s="225" t="n">
        <f aca="false">'SVC-4 Model'!AU121</f>
        <v>0</v>
      </c>
      <c r="AV141" s="225" t="n">
        <f aca="false">'SVC-4 Model'!AV121</f>
        <v>0</v>
      </c>
      <c r="AW141" s="225" t="n">
        <f aca="false">'SVC-4 Model'!AW121</f>
        <v>0</v>
      </c>
      <c r="AX141" s="225" t="n">
        <f aca="false">'SVC-4 Model'!AX121</f>
        <v>0</v>
      </c>
      <c r="AY141" s="225" t="n">
        <f aca="false">'SVC-4 Model'!AY121</f>
        <v>0</v>
      </c>
      <c r="AZ141" s="225" t="n">
        <f aca="false">'SVC-4 Model'!AZ121</f>
        <v>0</v>
      </c>
      <c r="BA141" s="225" t="n">
        <f aca="false">'SVC-4 Model'!BA121</f>
        <v>0</v>
      </c>
      <c r="BB141" s="225" t="n">
        <f aca="false">'SVC-4 Model'!BB121</f>
        <v>0</v>
      </c>
      <c r="BC141" s="225" t="n">
        <f aca="false">'SVC-4 Model'!BC121</f>
        <v>0</v>
      </c>
      <c r="BD141" s="225" t="n">
        <f aca="false">'SVC-4 Model'!BD121</f>
        <v>0</v>
      </c>
      <c r="BE141" s="225" t="n">
        <f aca="false">'SVC-4 Model'!BE121</f>
        <v>0</v>
      </c>
      <c r="BF141" s="225" t="n">
        <f aca="false">'SVC-4 Model'!BF121</f>
        <v>0</v>
      </c>
      <c r="BG141" s="225" t="n">
        <f aca="false">'SVC-4 Model'!BG121</f>
        <v>0</v>
      </c>
      <c r="BH141" s="225" t="n">
        <f aca="false">'SVC-4 Model'!BH121</f>
        <v>0</v>
      </c>
      <c r="BI141" s="225" t="n">
        <f aca="false">'SVC-4 Model'!BI121</f>
        <v>0</v>
      </c>
      <c r="BJ141" s="225" t="n">
        <f aca="false">'SVC-4 Model'!BJ121</f>
        <v>0</v>
      </c>
      <c r="BK141" s="225" t="n">
        <f aca="false">'SVC-4 Model'!BK121</f>
        <v>0</v>
      </c>
      <c r="BL141" s="225" t="n">
        <f aca="false">'SVC-4 Model'!BL121</f>
        <v>0</v>
      </c>
      <c r="BM141" s="225" t="n">
        <f aca="false">'SVC-4 Model'!BM121</f>
        <v>0</v>
      </c>
      <c r="BN141" s="225" t="n">
        <f aca="false">'SVC-4 Model'!BN121</f>
        <v>0</v>
      </c>
      <c r="BO141" s="225" t="n">
        <f aca="false">'SVC-4 Model'!BO121</f>
        <v>0</v>
      </c>
      <c r="BP141" s="225" t="n">
        <f aca="false">'SVC-4 Model'!BP121</f>
        <v>0</v>
      </c>
      <c r="BQ141" s="225" t="n">
        <f aca="false">'SVC-4 Model'!BQ121</f>
        <v>0</v>
      </c>
      <c r="BR141" s="225" t="n">
        <f aca="false">'SVC-4 Model'!BR121</f>
        <v>0</v>
      </c>
      <c r="BS141" s="225" t="n">
        <f aca="false">'SVC-4 Model'!BS121</f>
        <v>0</v>
      </c>
      <c r="BT141" s="225" t="n">
        <f aca="false">'SVC-4 Model'!BT121</f>
        <v>0</v>
      </c>
      <c r="BU141" s="225" t="n">
        <f aca="false">'SVC-4 Model'!BU121</f>
        <v>0</v>
      </c>
      <c r="BV141" s="225" t="n">
        <f aca="false">'SVC-4 Model'!BV121</f>
        <v>0</v>
      </c>
      <c r="BW141" s="225" t="n">
        <f aca="false">'SVC-4 Model'!BW121</f>
        <v>0</v>
      </c>
      <c r="BX141" s="225" t="n">
        <f aca="false">'SVC-4 Model'!BX121</f>
        <v>0</v>
      </c>
      <c r="BY141" s="225" t="n">
        <f aca="false">'SVC-4 Model'!BY121</f>
        <v>0</v>
      </c>
      <c r="BZ141" s="227" t="n">
        <f aca="false">'SVC-4 Model'!BZ121</f>
        <v>0</v>
      </c>
      <c r="CA141" s="227" t="n">
        <f aca="false">'SVC-4 Model'!CA121</f>
        <v>0</v>
      </c>
      <c r="CC141" s="79" t="n">
        <f aca="false">SUMIFS($T141:$CA141, $T$1:$CA$1, CC$63)</f>
        <v>0</v>
      </c>
      <c r="CD141" s="79" t="n">
        <f aca="false">SUMIFS($T141:$CA141, $T$1:$CA$1, CD$63)</f>
        <v>2.45666666666667</v>
      </c>
      <c r="CE141" s="79" t="n">
        <f aca="false">SUMIFS($T141:$CA141, $T$1:$CA$1, CE$63)</f>
        <v>0</v>
      </c>
      <c r="CF141" s="79" t="n">
        <f aca="false">SUMIFS($T141:$CA141, $T$1:$CA$1, CF$63)</f>
        <v>0</v>
      </c>
      <c r="CG141" s="79" t="n">
        <f aca="false">SUMIFS($T141:$CA141, $T$1:$CA$1, CG$63)</f>
        <v>0</v>
      </c>
      <c r="CI141" s="79" t="n">
        <f aca="false">CC141=L141</f>
        <v>1</v>
      </c>
      <c r="CJ141" s="79" t="n">
        <f aca="false">CD141=M141</f>
        <v>1</v>
      </c>
      <c r="CK141" s="79" t="n">
        <f aca="false">CE141=N141</f>
        <v>1</v>
      </c>
      <c r="CL141" s="79" t="n">
        <f aca="false">CF141=O141</f>
        <v>1</v>
      </c>
      <c r="CM141" s="79" t="n">
        <f aca="false">CG141=P141</f>
        <v>1</v>
      </c>
    </row>
    <row r="142" s="14" customFormat="true" ht="16.5" hidden="false" customHeight="true" outlineLevel="0" collapsed="false">
      <c r="E142" s="91" t="s">
        <v>380</v>
      </c>
      <c r="L142" s="213" t="n">
        <f aca="false">'SVC-4 Model'!L122</f>
        <v>0</v>
      </c>
      <c r="M142" s="213" t="n">
        <f aca="false">'SVC-4 Model'!M122</f>
        <v>1.07961333333333</v>
      </c>
      <c r="N142" s="213" t="n">
        <f aca="false">'SVC-4 Model'!N122</f>
        <v>0</v>
      </c>
      <c r="O142" s="213" t="n">
        <f aca="false">'SVC-4 Model'!O122</f>
        <v>0</v>
      </c>
      <c r="P142" s="213" t="n">
        <f aca="false">'SVC-4 Model'!P122</f>
        <v>0</v>
      </c>
      <c r="Q142" s="93" t="s">
        <v>266</v>
      </c>
      <c r="R142" s="16"/>
      <c r="T142" s="225" t="n">
        <f aca="false">'SVC-4 Model'!T122</f>
        <v>0</v>
      </c>
      <c r="U142" s="225" t="n">
        <f aca="false">'SVC-4 Model'!U122</f>
        <v>0</v>
      </c>
      <c r="V142" s="225" t="n">
        <f aca="false">'SVC-4 Model'!V122</f>
        <v>0</v>
      </c>
      <c r="W142" s="225" t="n">
        <f aca="false">'SVC-4 Model'!W122</f>
        <v>0</v>
      </c>
      <c r="X142" s="225" t="n">
        <f aca="false">'SVC-4 Model'!X122</f>
        <v>0</v>
      </c>
      <c r="Y142" s="225" t="n">
        <f aca="false">'SVC-4 Model'!Y122</f>
        <v>0</v>
      </c>
      <c r="Z142" s="225" t="n">
        <f aca="false">'SVC-4 Model'!Z122</f>
        <v>0</v>
      </c>
      <c r="AA142" s="225" t="n">
        <f aca="false">'SVC-4 Model'!AA122</f>
        <v>0</v>
      </c>
      <c r="AB142" s="225" t="n">
        <f aca="false">'SVC-4 Model'!AB122</f>
        <v>0</v>
      </c>
      <c r="AC142" s="225" t="n">
        <f aca="false">'SVC-4 Model'!AC122</f>
        <v>0</v>
      </c>
      <c r="AD142" s="225" t="n">
        <f aca="false">'SVC-4 Model'!AD122</f>
        <v>0</v>
      </c>
      <c r="AE142" s="225" t="n">
        <f aca="false">'SVC-4 Model'!AE122</f>
        <v>0</v>
      </c>
      <c r="AF142" s="225" t="n">
        <f aca="false">'SVC-4 Model'!AF122</f>
        <v>0.0466344444444445</v>
      </c>
      <c r="AG142" s="225" t="n">
        <f aca="false">'SVC-4 Model'!AG122</f>
        <v>0.177634444444444</v>
      </c>
      <c r="AH142" s="225" t="n">
        <f aca="false">'SVC-4 Model'!AH122</f>
        <v>0.177634444444444</v>
      </c>
      <c r="AI142" s="225" t="n">
        <f aca="false">'SVC-4 Model'!AI122</f>
        <v>0.132634444444444</v>
      </c>
      <c r="AJ142" s="225" t="n">
        <f aca="false">'SVC-4 Model'!AJ122</f>
        <v>0.132634444444444</v>
      </c>
      <c r="AK142" s="225" t="n">
        <f aca="false">'SVC-4 Model'!AK122</f>
        <v>0.132634444444444</v>
      </c>
      <c r="AL142" s="225" t="n">
        <f aca="false">'SVC-4 Model'!AL122</f>
        <v>0.0466344444444445</v>
      </c>
      <c r="AM142" s="225" t="n">
        <f aca="false">'SVC-4 Model'!AM122</f>
        <v>0.0466344444444445</v>
      </c>
      <c r="AN142" s="225" t="n">
        <f aca="false">'SVC-4 Model'!AN122</f>
        <v>0.0466344444444445</v>
      </c>
      <c r="AO142" s="225" t="n">
        <f aca="false">'SVC-4 Model'!AO122</f>
        <v>0.0466344444444445</v>
      </c>
      <c r="AP142" s="225" t="n">
        <f aca="false">'SVC-4 Model'!AP122</f>
        <v>0.0466344444444445</v>
      </c>
      <c r="AQ142" s="225" t="n">
        <f aca="false">'SVC-4 Model'!AQ122</f>
        <v>0.0466344444444445</v>
      </c>
      <c r="AR142" s="225" t="n">
        <f aca="false">'SVC-4 Model'!AR122</f>
        <v>0</v>
      </c>
      <c r="AS142" s="225" t="n">
        <f aca="false">'SVC-4 Model'!AS122</f>
        <v>0</v>
      </c>
      <c r="AT142" s="225" t="n">
        <f aca="false">'SVC-4 Model'!AT122</f>
        <v>0</v>
      </c>
      <c r="AU142" s="225" t="n">
        <f aca="false">'SVC-4 Model'!AU122</f>
        <v>0</v>
      </c>
      <c r="AV142" s="225" t="n">
        <f aca="false">'SVC-4 Model'!AV122</f>
        <v>0</v>
      </c>
      <c r="AW142" s="225" t="n">
        <f aca="false">'SVC-4 Model'!AW122</f>
        <v>0</v>
      </c>
      <c r="AX142" s="225" t="n">
        <f aca="false">'SVC-4 Model'!AX122</f>
        <v>0</v>
      </c>
      <c r="AY142" s="225" t="n">
        <f aca="false">'SVC-4 Model'!AY122</f>
        <v>0</v>
      </c>
      <c r="AZ142" s="225" t="n">
        <f aca="false">'SVC-4 Model'!AZ122</f>
        <v>0</v>
      </c>
      <c r="BA142" s="225" t="n">
        <f aca="false">'SVC-4 Model'!BA122</f>
        <v>0</v>
      </c>
      <c r="BB142" s="225" t="n">
        <f aca="false">'SVC-4 Model'!BB122</f>
        <v>0</v>
      </c>
      <c r="BC142" s="225" t="n">
        <f aca="false">'SVC-4 Model'!BC122</f>
        <v>0</v>
      </c>
      <c r="BD142" s="225" t="n">
        <f aca="false">'SVC-4 Model'!BD122</f>
        <v>0</v>
      </c>
      <c r="BE142" s="225" t="n">
        <f aca="false">'SVC-4 Model'!BE122</f>
        <v>0</v>
      </c>
      <c r="BF142" s="225" t="n">
        <f aca="false">'SVC-4 Model'!BF122</f>
        <v>0</v>
      </c>
      <c r="BG142" s="225" t="n">
        <f aca="false">'SVC-4 Model'!BG122</f>
        <v>0</v>
      </c>
      <c r="BH142" s="225" t="n">
        <f aca="false">'SVC-4 Model'!BH122</f>
        <v>0</v>
      </c>
      <c r="BI142" s="225" t="n">
        <f aca="false">'SVC-4 Model'!BI122</f>
        <v>0</v>
      </c>
      <c r="BJ142" s="225" t="n">
        <f aca="false">'SVC-4 Model'!BJ122</f>
        <v>0</v>
      </c>
      <c r="BK142" s="225" t="n">
        <f aca="false">'SVC-4 Model'!BK122</f>
        <v>0</v>
      </c>
      <c r="BL142" s="225" t="n">
        <f aca="false">'SVC-4 Model'!BL122</f>
        <v>0</v>
      </c>
      <c r="BM142" s="225" t="n">
        <f aca="false">'SVC-4 Model'!BM122</f>
        <v>0</v>
      </c>
      <c r="BN142" s="225" t="n">
        <f aca="false">'SVC-4 Model'!BN122</f>
        <v>0</v>
      </c>
      <c r="BO142" s="225" t="n">
        <f aca="false">'SVC-4 Model'!BO122</f>
        <v>0</v>
      </c>
      <c r="BP142" s="225" t="n">
        <f aca="false">'SVC-4 Model'!BP122</f>
        <v>0</v>
      </c>
      <c r="BQ142" s="225" t="n">
        <f aca="false">'SVC-4 Model'!BQ122</f>
        <v>0</v>
      </c>
      <c r="BR142" s="225" t="n">
        <f aca="false">'SVC-4 Model'!BR122</f>
        <v>0</v>
      </c>
      <c r="BS142" s="225" t="n">
        <f aca="false">'SVC-4 Model'!BS122</f>
        <v>0</v>
      </c>
      <c r="BT142" s="225" t="n">
        <f aca="false">'SVC-4 Model'!BT122</f>
        <v>0</v>
      </c>
      <c r="BU142" s="225" t="n">
        <f aca="false">'SVC-4 Model'!BU122</f>
        <v>0</v>
      </c>
      <c r="BV142" s="225" t="n">
        <f aca="false">'SVC-4 Model'!BV122</f>
        <v>0</v>
      </c>
      <c r="BW142" s="225" t="n">
        <f aca="false">'SVC-4 Model'!BW122</f>
        <v>0</v>
      </c>
      <c r="BX142" s="225" t="n">
        <f aca="false">'SVC-4 Model'!BX122</f>
        <v>0</v>
      </c>
      <c r="BY142" s="225" t="n">
        <f aca="false">'SVC-4 Model'!BY122</f>
        <v>0</v>
      </c>
      <c r="BZ142" s="227" t="n">
        <f aca="false">'SVC-4 Model'!BZ122</f>
        <v>0</v>
      </c>
      <c r="CA142" s="227" t="n">
        <f aca="false">'SVC-4 Model'!CA122</f>
        <v>0</v>
      </c>
      <c r="CC142" s="79" t="n">
        <f aca="false">SUMIFS($T142:$CA142, $T$1:$CA$1, CC$63)</f>
        <v>0</v>
      </c>
      <c r="CD142" s="79" t="n">
        <f aca="false">SUMIFS($T142:$CA142, $T$1:$CA$1, CD$63)</f>
        <v>1.07961333333333</v>
      </c>
      <c r="CE142" s="79" t="n">
        <f aca="false">SUMIFS($T142:$CA142, $T$1:$CA$1, CE$63)</f>
        <v>0</v>
      </c>
      <c r="CF142" s="79" t="n">
        <f aca="false">SUMIFS($T142:$CA142, $T$1:$CA$1, CF$63)</f>
        <v>0</v>
      </c>
      <c r="CG142" s="79" t="n">
        <f aca="false">SUMIFS($T142:$CA142, $T$1:$CA$1, CG$63)</f>
        <v>0</v>
      </c>
      <c r="CI142" s="79" t="n">
        <f aca="false">CC142=L142</f>
        <v>1</v>
      </c>
      <c r="CJ142" s="79" t="n">
        <f aca="false">CD142=M142</f>
        <v>1</v>
      </c>
      <c r="CK142" s="79" t="n">
        <f aca="false">CE142=N142</f>
        <v>1</v>
      </c>
      <c r="CL142" s="79" t="n">
        <f aca="false">CF142=O142</f>
        <v>1</v>
      </c>
      <c r="CM142" s="79" t="n">
        <f aca="false">CG142=P142</f>
        <v>1</v>
      </c>
    </row>
    <row r="143" s="14" customFormat="true" ht="16.5" hidden="false" customHeight="true" outlineLevel="0" collapsed="false">
      <c r="E143" s="91"/>
      <c r="L143" s="91"/>
      <c r="M143" s="91"/>
      <c r="N143" s="91"/>
      <c r="O143" s="91"/>
      <c r="P143" s="91"/>
      <c r="Q143" s="93"/>
      <c r="R143" s="16"/>
      <c r="T143" s="135"/>
      <c r="U143" s="135"/>
      <c r="V143" s="135"/>
      <c r="W143" s="135"/>
      <c r="X143" s="135"/>
      <c r="Y143" s="135"/>
      <c r="Z143" s="135"/>
      <c r="AA143" s="135"/>
      <c r="AB143" s="135"/>
      <c r="AC143" s="135"/>
      <c r="AD143" s="135"/>
      <c r="AE143" s="135"/>
      <c r="AF143" s="135"/>
      <c r="AG143" s="135"/>
      <c r="AH143" s="135"/>
      <c r="AI143" s="135"/>
      <c r="AJ143" s="135"/>
      <c r="AK143" s="135"/>
      <c r="AL143" s="135"/>
      <c r="AM143" s="135"/>
      <c r="AN143" s="135"/>
      <c r="AO143" s="135"/>
      <c r="AP143" s="135"/>
      <c r="AQ143" s="135"/>
      <c r="AR143" s="135"/>
      <c r="AS143" s="135"/>
      <c r="AT143" s="135"/>
      <c r="AU143" s="135"/>
      <c r="AV143" s="135"/>
      <c r="AW143" s="135"/>
      <c r="AX143" s="135"/>
      <c r="AY143" s="135"/>
      <c r="AZ143" s="135"/>
      <c r="BA143" s="135"/>
      <c r="BB143" s="135"/>
      <c r="BC143" s="135"/>
      <c r="BD143" s="135"/>
      <c r="BE143" s="135"/>
      <c r="BF143" s="135"/>
      <c r="BG143" s="135"/>
      <c r="BH143" s="135"/>
      <c r="BI143" s="135"/>
      <c r="BJ143" s="135"/>
      <c r="BK143" s="135"/>
      <c r="BL143" s="135"/>
      <c r="BM143" s="135"/>
      <c r="BN143" s="135"/>
      <c r="BO143" s="135"/>
      <c r="BP143" s="135"/>
      <c r="BQ143" s="135"/>
      <c r="BR143" s="135"/>
      <c r="BS143" s="135"/>
      <c r="BT143" s="135"/>
      <c r="BU143" s="135"/>
      <c r="BV143" s="135"/>
      <c r="BW143" s="135"/>
      <c r="BX143" s="135"/>
      <c r="BY143" s="135"/>
      <c r="BZ143" s="138"/>
      <c r="CA143" s="138"/>
      <c r="CC143" s="79" t="n">
        <f aca="false">SUMIFS($T143:$CA143, $T$1:$CA$1, CC$63)</f>
        <v>0</v>
      </c>
      <c r="CD143" s="79" t="n">
        <f aca="false">SUMIFS($T143:$CA143, $T$1:$CA$1, CD$63)</f>
        <v>0</v>
      </c>
      <c r="CE143" s="79" t="n">
        <f aca="false">SUMIFS($T143:$CA143, $T$1:$CA$1, CE$63)</f>
        <v>0</v>
      </c>
      <c r="CF143" s="79" t="n">
        <f aca="false">SUMIFS($T143:$CA143, $T$1:$CA$1, CF$63)</f>
        <v>0</v>
      </c>
      <c r="CG143" s="79" t="n">
        <f aca="false">SUMIFS($T143:$CA143, $T$1:$CA$1, CG$63)</f>
        <v>0</v>
      </c>
      <c r="CI143" s="79" t="n">
        <f aca="false">CC143=L143</f>
        <v>1</v>
      </c>
      <c r="CJ143" s="79" t="n">
        <f aca="false">CD143=M143</f>
        <v>1</v>
      </c>
      <c r="CK143" s="79" t="n">
        <f aca="false">CE143=N143</f>
        <v>1</v>
      </c>
      <c r="CL143" s="79" t="n">
        <f aca="false">CF143=O143</f>
        <v>1</v>
      </c>
      <c r="CM143" s="79" t="n">
        <f aca="false">CG143=P143</f>
        <v>1</v>
      </c>
    </row>
    <row r="144" s="14" customFormat="true" ht="16.5" hidden="false" customHeight="true" outlineLevel="0" collapsed="false">
      <c r="E144" s="96" t="s">
        <v>162</v>
      </c>
      <c r="L144" s="82" t="n">
        <f aca="false">SUM(L141:L143)</f>
        <v>0</v>
      </c>
      <c r="M144" s="82" t="n">
        <f aca="false">SUM(M141:M143)</f>
        <v>3.53628</v>
      </c>
      <c r="N144" s="82" t="n">
        <f aca="false">SUM(N141:N143)</f>
        <v>0</v>
      </c>
      <c r="O144" s="82" t="n">
        <f aca="false">SUM(O141:O143)</f>
        <v>0</v>
      </c>
      <c r="P144" s="82" t="n">
        <f aca="false">SUM(P141:P143)</f>
        <v>0</v>
      </c>
      <c r="Q144" s="16"/>
      <c r="R144" s="16"/>
      <c r="T144" s="131" t="n">
        <f aca="false">SUM(T141:T143)</f>
        <v>0</v>
      </c>
      <c r="U144" s="131" t="n">
        <f aca="false">SUM(U141:U143)</f>
        <v>0</v>
      </c>
      <c r="V144" s="131" t="n">
        <f aca="false">SUM(V141:V143)</f>
        <v>0</v>
      </c>
      <c r="W144" s="131" t="n">
        <f aca="false">SUM(W141:W143)</f>
        <v>0</v>
      </c>
      <c r="X144" s="131" t="n">
        <f aca="false">SUM(X141:X143)</f>
        <v>0</v>
      </c>
      <c r="Y144" s="131" t="n">
        <f aca="false">SUM(Y141:Y143)</f>
        <v>0</v>
      </c>
      <c r="Z144" s="131" t="n">
        <f aca="false">SUM(Z141:Z143)</f>
        <v>0</v>
      </c>
      <c r="AA144" s="131" t="n">
        <f aca="false">SUM(AA141:AA143)</f>
        <v>0</v>
      </c>
      <c r="AB144" s="131" t="n">
        <f aca="false">SUM(AB141:AB143)</f>
        <v>0</v>
      </c>
      <c r="AC144" s="131" t="n">
        <f aca="false">SUM(AC141:AC143)</f>
        <v>0</v>
      </c>
      <c r="AD144" s="131" t="n">
        <f aca="false">SUM(AD141:AD143)</f>
        <v>0</v>
      </c>
      <c r="AE144" s="131" t="n">
        <f aca="false">SUM(AE141:AE143)</f>
        <v>0</v>
      </c>
      <c r="AF144" s="131" t="n">
        <f aca="false">SUM(AF141:AF143)</f>
        <v>0.156634444444444</v>
      </c>
      <c r="AG144" s="131" t="n">
        <f aca="false">SUM(AG141:AG143)</f>
        <v>0.470967777777778</v>
      </c>
      <c r="AH144" s="131" t="n">
        <f aca="false">SUM(AH141:AH143)</f>
        <v>0.470967777777778</v>
      </c>
      <c r="AI144" s="131" t="n">
        <f aca="false">SUM(AI141:AI143)</f>
        <v>0.425967777777778</v>
      </c>
      <c r="AJ144" s="131" t="n">
        <f aca="false">SUM(AJ141:AJ143)</f>
        <v>0.425967777777778</v>
      </c>
      <c r="AK144" s="131" t="n">
        <f aca="false">SUM(AK141:AK143)</f>
        <v>0.425967777777778</v>
      </c>
      <c r="AL144" s="131" t="n">
        <f aca="false">SUM(AL141:AL143)</f>
        <v>0.193301111111111</v>
      </c>
      <c r="AM144" s="131" t="n">
        <f aca="false">SUM(AM141:AM143)</f>
        <v>0.193301111111111</v>
      </c>
      <c r="AN144" s="131" t="n">
        <f aca="false">SUM(AN141:AN143)</f>
        <v>0.193301111111111</v>
      </c>
      <c r="AO144" s="131" t="n">
        <f aca="false">SUM(AO141:AO143)</f>
        <v>0.193301111111111</v>
      </c>
      <c r="AP144" s="131" t="n">
        <f aca="false">SUM(AP141:AP143)</f>
        <v>0.193301111111111</v>
      </c>
      <c r="AQ144" s="131" t="n">
        <f aca="false">SUM(AQ141:AQ143)</f>
        <v>0.193301111111111</v>
      </c>
      <c r="AR144" s="131" t="n">
        <f aca="false">SUM(AR141:AR143)</f>
        <v>0</v>
      </c>
      <c r="AS144" s="131" t="n">
        <f aca="false">SUM(AS141:AS143)</f>
        <v>0</v>
      </c>
      <c r="AT144" s="131" t="n">
        <f aca="false">SUM(AT141:AT143)</f>
        <v>0</v>
      </c>
      <c r="AU144" s="131" t="n">
        <f aca="false">SUM(AU141:AU143)</f>
        <v>0</v>
      </c>
      <c r="AV144" s="131" t="n">
        <f aca="false">SUM(AV141:AV143)</f>
        <v>0</v>
      </c>
      <c r="AW144" s="131" t="n">
        <f aca="false">SUM(AW141:AW143)</f>
        <v>0</v>
      </c>
      <c r="AX144" s="131" t="n">
        <f aca="false">SUM(AX141:AX143)</f>
        <v>0</v>
      </c>
      <c r="AY144" s="131" t="n">
        <f aca="false">SUM(AY141:AY143)</f>
        <v>0</v>
      </c>
      <c r="AZ144" s="131" t="n">
        <f aca="false">SUM(AZ141:AZ143)</f>
        <v>0</v>
      </c>
      <c r="BA144" s="131" t="n">
        <f aca="false">SUM(BA141:BA143)</f>
        <v>0</v>
      </c>
      <c r="BB144" s="131" t="n">
        <f aca="false">SUM(BB141:BB143)</f>
        <v>0</v>
      </c>
      <c r="BC144" s="131" t="n">
        <f aca="false">SUM(BC141:BC143)</f>
        <v>0</v>
      </c>
      <c r="BD144" s="131" t="n">
        <f aca="false">SUM(BD141:BD143)</f>
        <v>0</v>
      </c>
      <c r="BE144" s="131" t="n">
        <f aca="false">SUM(BE141:BE143)</f>
        <v>0</v>
      </c>
      <c r="BF144" s="131" t="n">
        <f aca="false">SUM(BF141:BF143)</f>
        <v>0</v>
      </c>
      <c r="BG144" s="131" t="n">
        <f aca="false">SUM(BG141:BG143)</f>
        <v>0</v>
      </c>
      <c r="BH144" s="131" t="n">
        <f aca="false">SUM(BH141:BH143)</f>
        <v>0</v>
      </c>
      <c r="BI144" s="131" t="n">
        <f aca="false">SUM(BI141:BI143)</f>
        <v>0</v>
      </c>
      <c r="BJ144" s="131" t="n">
        <f aca="false">SUM(BJ141:BJ143)</f>
        <v>0</v>
      </c>
      <c r="BK144" s="131" t="n">
        <f aca="false">SUM(BK141:BK143)</f>
        <v>0</v>
      </c>
      <c r="BL144" s="131" t="n">
        <f aca="false">SUM(BL141:BL143)</f>
        <v>0</v>
      </c>
      <c r="BM144" s="131" t="n">
        <f aca="false">SUM(BM141:BM143)</f>
        <v>0</v>
      </c>
      <c r="BN144" s="131" t="n">
        <f aca="false">SUM(BN141:BN143)</f>
        <v>0</v>
      </c>
      <c r="BO144" s="131" t="n">
        <f aca="false">SUM(BO141:BO143)</f>
        <v>0</v>
      </c>
      <c r="BP144" s="131" t="n">
        <f aca="false">SUM(BP141:BP143)</f>
        <v>0</v>
      </c>
      <c r="BQ144" s="131" t="n">
        <f aca="false">SUM(BQ141:BQ143)</f>
        <v>0</v>
      </c>
      <c r="BR144" s="131" t="n">
        <f aca="false">SUM(BR141:BR143)</f>
        <v>0</v>
      </c>
      <c r="BS144" s="131" t="n">
        <f aca="false">SUM(BS141:BS143)</f>
        <v>0</v>
      </c>
      <c r="BT144" s="131" t="n">
        <f aca="false">SUM(BT141:BT143)</f>
        <v>0</v>
      </c>
      <c r="BU144" s="131" t="n">
        <f aca="false">SUM(BU141:BU143)</f>
        <v>0</v>
      </c>
      <c r="BV144" s="131" t="n">
        <f aca="false">SUM(BV141:BV143)</f>
        <v>0</v>
      </c>
      <c r="BW144" s="131" t="n">
        <f aca="false">SUM(BW141:BW143)</f>
        <v>0</v>
      </c>
      <c r="BX144" s="131" t="n">
        <f aca="false">SUM(BX141:BX143)</f>
        <v>0</v>
      </c>
      <c r="BY144" s="131" t="n">
        <f aca="false">SUM(BY141:BY143)</f>
        <v>0</v>
      </c>
      <c r="BZ144" s="136" t="n">
        <f aca="false">SUM(BZ141:BZ143)</f>
        <v>0</v>
      </c>
      <c r="CA144" s="136" t="n">
        <f aca="false">SUM(CA141:CA143)</f>
        <v>0</v>
      </c>
      <c r="CC144" s="136" t="n">
        <f aca="false">SUM(CC141:CC143)</f>
        <v>0</v>
      </c>
      <c r="CD144" s="136" t="n">
        <f aca="false">SUM(CD141:CD143)</f>
        <v>3.53628</v>
      </c>
      <c r="CE144" s="136" t="n">
        <f aca="false">SUM(CE141:CE143)</f>
        <v>0</v>
      </c>
      <c r="CF144" s="136" t="n">
        <f aca="false">SUM(CF141:CF143)</f>
        <v>0</v>
      </c>
      <c r="CG144" s="136" t="n">
        <f aca="false">SUM(CG141:CG143)</f>
        <v>0</v>
      </c>
      <c r="CI144" s="136" t="n">
        <f aca="false">CC144=L144</f>
        <v>1</v>
      </c>
      <c r="CJ144" s="136" t="n">
        <f aca="false">CD144=M144</f>
        <v>1</v>
      </c>
      <c r="CK144" s="136" t="n">
        <f aca="false">CE144=N144</f>
        <v>1</v>
      </c>
      <c r="CL144" s="136" t="n">
        <f aca="false">CF144=O144</f>
        <v>1</v>
      </c>
      <c r="CM144" s="136" t="n">
        <f aca="false">CG144=P144</f>
        <v>1</v>
      </c>
    </row>
    <row r="145" s="14" customFormat="true" ht="16.5" hidden="false" customHeight="true" outlineLevel="0" collapsed="false">
      <c r="E145" s="96"/>
      <c r="L145" s="82"/>
      <c r="M145" s="82"/>
      <c r="N145" s="82"/>
      <c r="O145" s="82"/>
      <c r="P145" s="82"/>
      <c r="Q145" s="16"/>
      <c r="R145" s="16"/>
      <c r="T145" s="131"/>
      <c r="U145" s="131"/>
      <c r="V145" s="131"/>
      <c r="W145" s="131"/>
      <c r="X145" s="131"/>
      <c r="Y145" s="131"/>
      <c r="Z145" s="131"/>
      <c r="AA145" s="131"/>
      <c r="AB145" s="131"/>
      <c r="AC145" s="131"/>
      <c r="AD145" s="131"/>
      <c r="AE145" s="131"/>
      <c r="AF145" s="131"/>
      <c r="AG145" s="131"/>
      <c r="AH145" s="131"/>
      <c r="AI145" s="131"/>
      <c r="AJ145" s="131"/>
      <c r="AK145" s="131"/>
      <c r="AL145" s="131"/>
      <c r="AM145" s="131"/>
      <c r="AN145" s="131"/>
      <c r="AO145" s="131"/>
      <c r="AP145" s="131"/>
      <c r="AQ145" s="131"/>
      <c r="AR145" s="131"/>
      <c r="AS145" s="131"/>
      <c r="AT145" s="131"/>
      <c r="AU145" s="131"/>
      <c r="AV145" s="131"/>
      <c r="AW145" s="131"/>
      <c r="AX145" s="131"/>
      <c r="AY145" s="131"/>
      <c r="AZ145" s="131"/>
      <c r="BA145" s="131"/>
      <c r="BB145" s="131"/>
      <c r="BC145" s="131"/>
      <c r="BD145" s="131"/>
      <c r="BE145" s="131"/>
      <c r="BF145" s="131"/>
      <c r="BG145" s="131"/>
      <c r="BH145" s="131"/>
      <c r="BI145" s="131"/>
      <c r="BJ145" s="131"/>
      <c r="BK145" s="131"/>
      <c r="BL145" s="131"/>
      <c r="BM145" s="131"/>
      <c r="BN145" s="131"/>
      <c r="BO145" s="131"/>
      <c r="BP145" s="131"/>
      <c r="BQ145" s="131"/>
      <c r="BR145" s="131"/>
      <c r="BS145" s="131"/>
      <c r="BT145" s="131"/>
      <c r="BU145" s="131"/>
      <c r="BV145" s="131"/>
      <c r="BW145" s="131"/>
      <c r="BX145" s="131"/>
      <c r="BY145" s="131"/>
      <c r="BZ145" s="136"/>
      <c r="CA145" s="136"/>
    </row>
    <row r="146" s="14" customFormat="true" ht="16.5" hidden="false" customHeight="true" outlineLevel="0" collapsed="false">
      <c r="E146" s="96"/>
      <c r="L146" s="82"/>
      <c r="M146" s="82"/>
      <c r="N146" s="82"/>
      <c r="O146" s="82"/>
      <c r="P146" s="82"/>
      <c r="Q146" s="16"/>
      <c r="R146" s="16"/>
      <c r="T146" s="131"/>
      <c r="U146" s="131"/>
      <c r="V146" s="131"/>
      <c r="W146" s="131"/>
      <c r="X146" s="131"/>
      <c r="Y146" s="131"/>
      <c r="Z146" s="131"/>
      <c r="AA146" s="131"/>
      <c r="AB146" s="131"/>
      <c r="AC146" s="131"/>
      <c r="AD146" s="131"/>
      <c r="AE146" s="131"/>
      <c r="AF146" s="131"/>
      <c r="AG146" s="131"/>
      <c r="AH146" s="131"/>
      <c r="AI146" s="131"/>
      <c r="AJ146" s="131"/>
      <c r="AK146" s="131"/>
      <c r="AL146" s="131"/>
      <c r="AM146" s="131"/>
      <c r="AN146" s="131"/>
      <c r="AO146" s="131"/>
      <c r="AP146" s="131"/>
      <c r="AQ146" s="131"/>
      <c r="AR146" s="131"/>
      <c r="AS146" s="131"/>
      <c r="AT146" s="131"/>
      <c r="AU146" s="131"/>
      <c r="AV146" s="131"/>
      <c r="AW146" s="131"/>
      <c r="AX146" s="131"/>
      <c r="AY146" s="131"/>
      <c r="AZ146" s="131"/>
      <c r="BA146" s="131"/>
      <c r="BB146" s="131"/>
      <c r="BC146" s="131"/>
      <c r="BD146" s="131"/>
      <c r="BE146" s="131"/>
      <c r="BF146" s="131"/>
      <c r="BG146" s="131"/>
      <c r="BH146" s="131"/>
      <c r="BI146" s="131"/>
      <c r="BJ146" s="131"/>
      <c r="BK146" s="131"/>
      <c r="BL146" s="131"/>
      <c r="BM146" s="131"/>
      <c r="BN146" s="131"/>
      <c r="BO146" s="131"/>
      <c r="BP146" s="131"/>
      <c r="BQ146" s="131"/>
      <c r="BR146" s="131"/>
      <c r="BS146" s="131"/>
      <c r="BT146" s="131"/>
      <c r="BU146" s="131"/>
      <c r="BV146" s="131"/>
      <c r="BW146" s="131"/>
      <c r="BX146" s="131"/>
      <c r="BY146" s="131"/>
      <c r="BZ146" s="136"/>
      <c r="CA146" s="136"/>
    </row>
    <row r="147" s="14" customFormat="true" ht="16.5" hidden="false" customHeight="true" outlineLevel="0" collapsed="false">
      <c r="E147" s="109" t="s">
        <v>163</v>
      </c>
      <c r="F147" s="109"/>
      <c r="G147" s="109"/>
      <c r="H147" s="109"/>
      <c r="I147" s="132"/>
      <c r="J147" s="132"/>
      <c r="K147" s="132"/>
      <c r="L147" s="120" t="n">
        <f aca="false">SUM(L138, L144)</f>
        <v>0</v>
      </c>
      <c r="M147" s="120" t="n">
        <f aca="false">SUM(M138, M144)</f>
        <v>3.53628</v>
      </c>
      <c r="N147" s="120" t="n">
        <f aca="false">SUM(N138, N144)</f>
        <v>0</v>
      </c>
      <c r="O147" s="120" t="n">
        <f aca="false">SUM(O138, O144)</f>
        <v>0</v>
      </c>
      <c r="P147" s="120" t="n">
        <f aca="false">SUM(P138, P144)</f>
        <v>0</v>
      </c>
      <c r="Q147" s="139"/>
      <c r="R147" s="139"/>
      <c r="T147" s="120" t="n">
        <f aca="false">SUM(T138, T144)</f>
        <v>0</v>
      </c>
      <c r="U147" s="120" t="n">
        <f aca="false">SUM(U138, U144)</f>
        <v>0</v>
      </c>
      <c r="V147" s="120" t="n">
        <f aca="false">SUM(V138, V144)</f>
        <v>0</v>
      </c>
      <c r="W147" s="120" t="n">
        <f aca="false">SUM(W138, W144)</f>
        <v>0</v>
      </c>
      <c r="X147" s="120" t="n">
        <f aca="false">SUM(X138, X144)</f>
        <v>0</v>
      </c>
      <c r="Y147" s="120" t="n">
        <f aca="false">SUM(Y138, Y144)</f>
        <v>0</v>
      </c>
      <c r="Z147" s="120" t="n">
        <f aca="false">SUM(Z138, Z144)</f>
        <v>0</v>
      </c>
      <c r="AA147" s="120" t="n">
        <f aca="false">SUM(AA138, AA144)</f>
        <v>0</v>
      </c>
      <c r="AB147" s="120" t="n">
        <f aca="false">SUM(AB138, AB144)</f>
        <v>0</v>
      </c>
      <c r="AC147" s="120" t="n">
        <f aca="false">SUM(AC138, AC144)</f>
        <v>0</v>
      </c>
      <c r="AD147" s="120" t="n">
        <f aca="false">SUM(AD138, AD144)</f>
        <v>0</v>
      </c>
      <c r="AE147" s="120" t="n">
        <f aca="false">SUM(AE138, AE144)</f>
        <v>0</v>
      </c>
      <c r="AF147" s="120" t="n">
        <f aca="false">SUM(AF138, AF144)</f>
        <v>0.156634444444444</v>
      </c>
      <c r="AG147" s="120" t="n">
        <f aca="false">SUM(AG138, AG144)</f>
        <v>0.470967777777778</v>
      </c>
      <c r="AH147" s="120" t="n">
        <f aca="false">SUM(AH138, AH144)</f>
        <v>0.470967777777778</v>
      </c>
      <c r="AI147" s="120" t="n">
        <f aca="false">SUM(AI138, AI144)</f>
        <v>0.425967777777778</v>
      </c>
      <c r="AJ147" s="120" t="n">
        <f aca="false">SUM(AJ138, AJ144)</f>
        <v>0.425967777777778</v>
      </c>
      <c r="AK147" s="120" t="n">
        <f aca="false">SUM(AK138, AK144)</f>
        <v>0.425967777777778</v>
      </c>
      <c r="AL147" s="120" t="n">
        <f aca="false">SUM(AL138, AL144)</f>
        <v>0.193301111111111</v>
      </c>
      <c r="AM147" s="120" t="n">
        <f aca="false">SUM(AM138, AM144)</f>
        <v>0.193301111111111</v>
      </c>
      <c r="AN147" s="120" t="n">
        <f aca="false">SUM(AN138, AN144)</f>
        <v>0.193301111111111</v>
      </c>
      <c r="AO147" s="120" t="n">
        <f aca="false">SUM(AO138, AO144)</f>
        <v>0.193301111111111</v>
      </c>
      <c r="AP147" s="120" t="n">
        <f aca="false">SUM(AP138, AP144)</f>
        <v>0.193301111111111</v>
      </c>
      <c r="AQ147" s="120" t="n">
        <f aca="false">SUM(AQ138, AQ144)</f>
        <v>0.193301111111111</v>
      </c>
      <c r="AR147" s="120" t="n">
        <f aca="false">SUM(AR138, AR144)</f>
        <v>0</v>
      </c>
      <c r="AS147" s="120" t="n">
        <f aca="false">SUM(AS138, AS144)</f>
        <v>0</v>
      </c>
      <c r="AT147" s="120" t="n">
        <f aca="false">SUM(AT138, AT144)</f>
        <v>0</v>
      </c>
      <c r="AU147" s="120" t="n">
        <f aca="false">SUM(AU138, AU144)</f>
        <v>0</v>
      </c>
      <c r="AV147" s="120" t="n">
        <f aca="false">SUM(AV138, AV144)</f>
        <v>0</v>
      </c>
      <c r="AW147" s="120" t="n">
        <f aca="false">SUM(AW138, AW144)</f>
        <v>0</v>
      </c>
      <c r="AX147" s="120" t="n">
        <f aca="false">SUM(AX138, AX144)</f>
        <v>0</v>
      </c>
      <c r="AY147" s="120" t="n">
        <f aca="false">SUM(AY138, AY144)</f>
        <v>0</v>
      </c>
      <c r="AZ147" s="120" t="n">
        <f aca="false">SUM(AZ138, AZ144)</f>
        <v>0</v>
      </c>
      <c r="BA147" s="120" t="n">
        <f aca="false">SUM(BA138, BA144)</f>
        <v>0</v>
      </c>
      <c r="BB147" s="120" t="n">
        <f aca="false">SUM(BB138, BB144)</f>
        <v>0</v>
      </c>
      <c r="BC147" s="120" t="n">
        <f aca="false">SUM(BC138, BC144)</f>
        <v>0</v>
      </c>
      <c r="BD147" s="120" t="n">
        <f aca="false">SUM(BD138, BD144)</f>
        <v>0</v>
      </c>
      <c r="BE147" s="120" t="n">
        <f aca="false">SUM(BE138, BE144)</f>
        <v>0</v>
      </c>
      <c r="BF147" s="120" t="n">
        <f aca="false">SUM(BF138, BF144)</f>
        <v>0</v>
      </c>
      <c r="BG147" s="120" t="n">
        <f aca="false">SUM(BG138, BG144)</f>
        <v>0</v>
      </c>
      <c r="BH147" s="120" t="n">
        <f aca="false">SUM(BH138, BH144)</f>
        <v>0</v>
      </c>
      <c r="BI147" s="120" t="n">
        <f aca="false">SUM(BI138, BI144)</f>
        <v>0</v>
      </c>
      <c r="BJ147" s="120" t="n">
        <f aca="false">SUM(BJ138, BJ144)</f>
        <v>0</v>
      </c>
      <c r="BK147" s="120" t="n">
        <f aca="false">SUM(BK138, BK144)</f>
        <v>0</v>
      </c>
      <c r="BL147" s="120" t="n">
        <f aca="false">SUM(BL138, BL144)</f>
        <v>0</v>
      </c>
      <c r="BM147" s="120" t="n">
        <f aca="false">SUM(BM138, BM144)</f>
        <v>0</v>
      </c>
      <c r="BN147" s="120" t="n">
        <f aca="false">SUM(BN138, BN144)</f>
        <v>0</v>
      </c>
      <c r="BO147" s="120" t="n">
        <f aca="false">SUM(BO138, BO144)</f>
        <v>0</v>
      </c>
      <c r="BP147" s="120" t="n">
        <f aca="false">SUM(BP138, BP144)</f>
        <v>0</v>
      </c>
      <c r="BQ147" s="120" t="n">
        <f aca="false">SUM(BQ138, BQ144)</f>
        <v>0</v>
      </c>
      <c r="BR147" s="120" t="n">
        <f aca="false">SUM(BR138, BR144)</f>
        <v>0</v>
      </c>
      <c r="BS147" s="120" t="n">
        <f aca="false">SUM(BS138, BS144)</f>
        <v>0</v>
      </c>
      <c r="BT147" s="120" t="n">
        <f aca="false">SUM(BT138, BT144)</f>
        <v>0</v>
      </c>
      <c r="BU147" s="120" t="n">
        <f aca="false">SUM(BU138, BU144)</f>
        <v>0</v>
      </c>
      <c r="BV147" s="120" t="n">
        <f aca="false">SUM(BV138, BV144)</f>
        <v>0</v>
      </c>
      <c r="BW147" s="120" t="n">
        <f aca="false">SUM(BW138, BW144)</f>
        <v>0</v>
      </c>
      <c r="BX147" s="120" t="n">
        <f aca="false">SUM(BX138, BX144)</f>
        <v>0</v>
      </c>
      <c r="BY147" s="120" t="n">
        <f aca="false">SUM(BY138, BY144)</f>
        <v>0</v>
      </c>
      <c r="BZ147" s="120" t="n">
        <f aca="false">SUM(BZ138, BZ144)</f>
        <v>0</v>
      </c>
      <c r="CA147" s="120" t="n">
        <f aca="false">SUM(CA138, CA144)</f>
        <v>0</v>
      </c>
      <c r="CC147" s="120" t="n">
        <f aca="false">SUM(CC138, CC144)</f>
        <v>0</v>
      </c>
      <c r="CD147" s="120" t="n">
        <f aca="false">SUM(CD138, CD144)</f>
        <v>3.53628</v>
      </c>
      <c r="CE147" s="120" t="n">
        <f aca="false">SUM(CE138, CE144)</f>
        <v>0</v>
      </c>
      <c r="CF147" s="120" t="n">
        <f aca="false">SUM(CF138, CF144)</f>
        <v>0</v>
      </c>
      <c r="CG147" s="120" t="n">
        <f aca="false">SUM(CG138, CG144)</f>
        <v>0</v>
      </c>
      <c r="CI147" s="140" t="n">
        <f aca="false">CC147=L147</f>
        <v>1</v>
      </c>
      <c r="CJ147" s="140" t="n">
        <f aca="false">CD147=M147</f>
        <v>1</v>
      </c>
      <c r="CK147" s="140" t="n">
        <f aca="false">CE147=N147</f>
        <v>1</v>
      </c>
      <c r="CL147" s="140" t="n">
        <f aca="false">CF147=O147</f>
        <v>1</v>
      </c>
      <c r="CM147" s="140" t="n">
        <f aca="false">CG147=P147</f>
        <v>1</v>
      </c>
    </row>
    <row r="148" s="14" customFormat="true" ht="16.5" hidden="false" customHeight="true" outlineLevel="0" collapsed="false">
      <c r="E148" s="21"/>
      <c r="L148" s="88"/>
      <c r="M148" s="88"/>
      <c r="N148" s="88"/>
      <c r="O148" s="88"/>
      <c r="P148" s="88"/>
      <c r="Q148" s="121"/>
      <c r="R148" s="121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7"/>
      <c r="AH148" s="137"/>
      <c r="AI148" s="137"/>
      <c r="AJ148" s="137"/>
      <c r="AK148" s="137"/>
      <c r="AL148" s="137"/>
      <c r="AM148" s="137"/>
      <c r="AN148" s="137"/>
      <c r="AO148" s="137"/>
      <c r="AP148" s="137"/>
      <c r="AQ148" s="137"/>
      <c r="AR148" s="137"/>
      <c r="AS148" s="137"/>
      <c r="AT148" s="137"/>
      <c r="AU148" s="137"/>
      <c r="AV148" s="137"/>
      <c r="AW148" s="137"/>
      <c r="AX148" s="137"/>
      <c r="AY148" s="137"/>
      <c r="AZ148" s="137"/>
      <c r="BA148" s="137"/>
      <c r="BB148" s="137"/>
      <c r="BC148" s="137"/>
      <c r="BD148" s="137"/>
      <c r="BE148" s="137"/>
      <c r="BF148" s="137"/>
      <c r="BG148" s="137"/>
      <c r="BH148" s="137"/>
      <c r="BI148" s="137"/>
      <c r="BJ148" s="137"/>
      <c r="BK148" s="137"/>
      <c r="BL148" s="137"/>
      <c r="BM148" s="137"/>
      <c r="BN148" s="137"/>
      <c r="BO148" s="137"/>
      <c r="BP148" s="137"/>
      <c r="BQ148" s="137"/>
      <c r="BR148" s="137"/>
      <c r="BS148" s="137"/>
      <c r="BT148" s="137"/>
      <c r="BU148" s="137"/>
      <c r="BV148" s="137"/>
      <c r="BW148" s="137"/>
      <c r="BX148" s="137"/>
      <c r="BY148" s="137"/>
      <c r="BZ148" s="121"/>
      <c r="CA148" s="121"/>
    </row>
    <row r="149" s="14" customFormat="true" ht="16.5" hidden="false" customHeight="true" outlineLevel="0" collapsed="false">
      <c r="E149" s="141" t="s">
        <v>429</v>
      </c>
      <c r="F149" s="123"/>
      <c r="G149" s="123"/>
      <c r="H149" s="123"/>
      <c r="I149" s="126"/>
      <c r="J149" s="126"/>
      <c r="K149" s="142"/>
      <c r="L149" s="125" t="n">
        <f aca="false">SUM(L130, -L147)</f>
        <v>0</v>
      </c>
      <c r="M149" s="125" t="n">
        <f aca="false">SUM(M130, -M147)</f>
        <v>-3.53628</v>
      </c>
      <c r="N149" s="125" t="n">
        <f aca="false">SUM(N130, -N147)</f>
        <v>0</v>
      </c>
      <c r="O149" s="125" t="n">
        <f aca="false">SUM(O130, -O147)</f>
        <v>0</v>
      </c>
      <c r="P149" s="125" t="n">
        <f aca="false">SUM(P130, -P147)</f>
        <v>0</v>
      </c>
      <c r="Q149" s="143"/>
      <c r="R149" s="143"/>
      <c r="T149" s="144" t="n">
        <f aca="false">SUM(T130, -T147)</f>
        <v>0</v>
      </c>
      <c r="U149" s="144" t="n">
        <f aca="false">SUM(U130, -U147)</f>
        <v>0</v>
      </c>
      <c r="V149" s="144" t="n">
        <f aca="false">SUM(V130, -V147)</f>
        <v>0</v>
      </c>
      <c r="W149" s="144" t="n">
        <f aca="false">SUM(W130, -W147)</f>
        <v>0</v>
      </c>
      <c r="X149" s="144" t="n">
        <f aca="false">SUM(X130, -X147)</f>
        <v>0</v>
      </c>
      <c r="Y149" s="144" t="n">
        <f aca="false">SUM(Y130, -Y147)</f>
        <v>0</v>
      </c>
      <c r="Z149" s="144" t="n">
        <f aca="false">SUM(Z130, -Z147)</f>
        <v>0</v>
      </c>
      <c r="AA149" s="144" t="n">
        <f aca="false">SUM(AA130, -AA147)</f>
        <v>0</v>
      </c>
      <c r="AB149" s="144" t="n">
        <f aca="false">SUM(AB130, -AB147)</f>
        <v>0</v>
      </c>
      <c r="AC149" s="144" t="n">
        <f aca="false">SUM(AC130, -AC147)</f>
        <v>0</v>
      </c>
      <c r="AD149" s="144" t="n">
        <f aca="false">SUM(AD130, -AD147)</f>
        <v>0</v>
      </c>
      <c r="AE149" s="144" t="n">
        <f aca="false">SUM(AE130, -AE147)</f>
        <v>0</v>
      </c>
      <c r="AF149" s="144" t="n">
        <f aca="false">SUM(AF130, -AF147)</f>
        <v>-0.156634444444444</v>
      </c>
      <c r="AG149" s="144" t="n">
        <f aca="false">SUM(AG130, -AG147)</f>
        <v>-0.470967777777778</v>
      </c>
      <c r="AH149" s="144" t="n">
        <f aca="false">SUM(AH130, -AH147)</f>
        <v>-0.470967777777778</v>
      </c>
      <c r="AI149" s="144" t="n">
        <f aca="false">SUM(AI130, -AI147)</f>
        <v>-0.425967777777778</v>
      </c>
      <c r="AJ149" s="144" t="n">
        <f aca="false">SUM(AJ130, -AJ147)</f>
        <v>-0.425967777777778</v>
      </c>
      <c r="AK149" s="144" t="n">
        <f aca="false">SUM(AK130, -AK147)</f>
        <v>-0.425967777777778</v>
      </c>
      <c r="AL149" s="144" t="n">
        <f aca="false">SUM(AL130, -AL147)</f>
        <v>-0.193301111111111</v>
      </c>
      <c r="AM149" s="144" t="n">
        <f aca="false">SUM(AM130, -AM147)</f>
        <v>-0.193301111111111</v>
      </c>
      <c r="AN149" s="144" t="n">
        <f aca="false">SUM(AN130, -AN147)</f>
        <v>-0.193301111111111</v>
      </c>
      <c r="AO149" s="144" t="n">
        <f aca="false">SUM(AO130, -AO147)</f>
        <v>-0.193301111111111</v>
      </c>
      <c r="AP149" s="144" t="n">
        <f aca="false">SUM(AP130, -AP147)</f>
        <v>-0.193301111111111</v>
      </c>
      <c r="AQ149" s="144" t="n">
        <f aca="false">SUM(AQ130, -AQ147)</f>
        <v>-0.193301111111111</v>
      </c>
      <c r="AR149" s="144" t="n">
        <f aca="false">SUM(AR130, -AR147)</f>
        <v>0</v>
      </c>
      <c r="AS149" s="144" t="n">
        <f aca="false">SUM(AS130, -AS147)</f>
        <v>0</v>
      </c>
      <c r="AT149" s="144" t="n">
        <f aca="false">SUM(AT130, -AT147)</f>
        <v>0</v>
      </c>
      <c r="AU149" s="144" t="n">
        <f aca="false">SUM(AU130, -AU147)</f>
        <v>0</v>
      </c>
      <c r="AV149" s="144" t="n">
        <f aca="false">SUM(AV130, -AV147)</f>
        <v>0</v>
      </c>
      <c r="AW149" s="144" t="n">
        <f aca="false">SUM(AW130, -AW147)</f>
        <v>0</v>
      </c>
      <c r="AX149" s="144" t="n">
        <f aca="false">SUM(AX130, -AX147)</f>
        <v>0</v>
      </c>
      <c r="AY149" s="144" t="n">
        <f aca="false">SUM(AY130, -AY147)</f>
        <v>0</v>
      </c>
      <c r="AZ149" s="144" t="n">
        <f aca="false">SUM(AZ130, -AZ147)</f>
        <v>0</v>
      </c>
      <c r="BA149" s="144" t="n">
        <f aca="false">SUM(BA130, -BA147)</f>
        <v>0</v>
      </c>
      <c r="BB149" s="144" t="n">
        <f aca="false">SUM(BB130, -BB147)</f>
        <v>0</v>
      </c>
      <c r="BC149" s="144" t="n">
        <f aca="false">SUM(BC130, -BC147)</f>
        <v>0</v>
      </c>
      <c r="BD149" s="144" t="n">
        <f aca="false">SUM(BD130, -BD147)</f>
        <v>0</v>
      </c>
      <c r="BE149" s="144" t="n">
        <f aca="false">SUM(BE130, -BE147)</f>
        <v>0</v>
      </c>
      <c r="BF149" s="144" t="n">
        <f aca="false">SUM(BF130, -BF147)</f>
        <v>0</v>
      </c>
      <c r="BG149" s="144" t="n">
        <f aca="false">SUM(BG130, -BG147)</f>
        <v>0</v>
      </c>
      <c r="BH149" s="144" t="n">
        <f aca="false">SUM(BH130, -BH147)</f>
        <v>0</v>
      </c>
      <c r="BI149" s="144" t="n">
        <f aca="false">SUM(BI130, -BI147)</f>
        <v>0</v>
      </c>
      <c r="BJ149" s="144" t="n">
        <f aca="false">SUM(BJ130, -BJ147)</f>
        <v>0</v>
      </c>
      <c r="BK149" s="144" t="n">
        <f aca="false">SUM(BK130, -BK147)</f>
        <v>0</v>
      </c>
      <c r="BL149" s="144" t="n">
        <f aca="false">SUM(BL130, -BL147)</f>
        <v>0</v>
      </c>
      <c r="BM149" s="144" t="n">
        <f aca="false">SUM(BM130, -BM147)</f>
        <v>0</v>
      </c>
      <c r="BN149" s="144" t="n">
        <f aca="false">SUM(BN130, -BN147)</f>
        <v>0</v>
      </c>
      <c r="BO149" s="144" t="n">
        <f aca="false">SUM(BO130, -BO147)</f>
        <v>0</v>
      </c>
      <c r="BP149" s="144" t="n">
        <f aca="false">SUM(BP130, -BP147)</f>
        <v>0</v>
      </c>
      <c r="BQ149" s="144" t="n">
        <f aca="false">SUM(BQ130, -BQ147)</f>
        <v>0</v>
      </c>
      <c r="BR149" s="144" t="n">
        <f aca="false">SUM(BR130, -BR147)</f>
        <v>0</v>
      </c>
      <c r="BS149" s="144" t="n">
        <f aca="false">SUM(BS130, -BS147)</f>
        <v>0</v>
      </c>
      <c r="BT149" s="144" t="n">
        <f aca="false">SUM(BT130, -BT147)</f>
        <v>0</v>
      </c>
      <c r="BU149" s="144" t="n">
        <f aca="false">SUM(BU130, -BU147)</f>
        <v>0</v>
      </c>
      <c r="BV149" s="144" t="n">
        <f aca="false">SUM(BV130, -BV147)</f>
        <v>0</v>
      </c>
      <c r="BW149" s="144" t="n">
        <f aca="false">SUM(BW130, -BW147)</f>
        <v>0</v>
      </c>
      <c r="BX149" s="144" t="n">
        <f aca="false">SUM(BX130, -BX147)</f>
        <v>0</v>
      </c>
      <c r="BY149" s="144" t="n">
        <f aca="false">SUM(BY130, -BY147)</f>
        <v>0</v>
      </c>
      <c r="BZ149" s="143" t="n">
        <f aca="false">SUM(BZ130, -BZ147)</f>
        <v>0</v>
      </c>
      <c r="CA149" s="143" t="n">
        <f aca="false">SUM(CA130, -CA147)</f>
        <v>0</v>
      </c>
      <c r="CC149" s="143" t="n">
        <f aca="false">SUM(CC130, -CC147)</f>
        <v>0</v>
      </c>
      <c r="CD149" s="143" t="n">
        <f aca="false">SUM(CD130, -CD147)</f>
        <v>-3.53628</v>
      </c>
      <c r="CE149" s="143" t="n">
        <f aca="false">SUM(CE130, -CE147)</f>
        <v>0</v>
      </c>
      <c r="CF149" s="143" t="n">
        <f aca="false">SUM(CF130, -CF147)</f>
        <v>0</v>
      </c>
      <c r="CG149" s="143" t="n">
        <f aca="false">SUM(CG130, -CG147)</f>
        <v>0</v>
      </c>
      <c r="CI149" s="143" t="n">
        <f aca="false">CC149=L149</f>
        <v>1</v>
      </c>
      <c r="CJ149" s="143" t="n">
        <f aca="false">CD149=M149</f>
        <v>1</v>
      </c>
      <c r="CK149" s="143" t="n">
        <f aca="false">CE149=N149</f>
        <v>1</v>
      </c>
      <c r="CL149" s="143" t="n">
        <f aca="false">CF149=O149</f>
        <v>1</v>
      </c>
      <c r="CM149" s="143" t="n">
        <f aca="false">CG149=P149</f>
        <v>1</v>
      </c>
    </row>
    <row r="150" s="14" customFormat="true" ht="16.5" hidden="false" customHeight="true" outlineLevel="0" collapsed="false">
      <c r="E150" s="21"/>
      <c r="H150" s="21"/>
      <c r="I150" s="21"/>
      <c r="J150" s="21"/>
      <c r="K150" s="21"/>
      <c r="L150" s="21"/>
      <c r="M150" s="21"/>
      <c r="N150" s="21"/>
      <c r="O150" s="21"/>
      <c r="P150" s="21"/>
      <c r="Q150" s="145"/>
      <c r="R150" s="145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</row>
    <row r="151" s="14" customFormat="true" ht="16.5" hidden="false" customHeight="true" outlineLevel="0" collapsed="false">
      <c r="E151" s="21"/>
      <c r="H151" s="21"/>
      <c r="I151" s="21"/>
      <c r="J151" s="21"/>
      <c r="K151" s="21"/>
      <c r="L151" s="21"/>
      <c r="M151" s="21"/>
      <c r="N151" s="21"/>
      <c r="O151" s="21"/>
      <c r="P151" s="21"/>
      <c r="Q151" s="145"/>
      <c r="R151" s="145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</row>
    <row r="152" s="14" customFormat="true" ht="16.5" hidden="true" customHeight="true" outlineLevel="1" collapsed="false">
      <c r="C152" s="19" t="s">
        <v>165</v>
      </c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20"/>
      <c r="R152" s="20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C152" s="19" t="s">
        <v>127</v>
      </c>
      <c r="CD152" s="19"/>
      <c r="CE152" s="19"/>
      <c r="CF152" s="19"/>
      <c r="CG152" s="19"/>
      <c r="CI152" s="19" t="s">
        <v>128</v>
      </c>
      <c r="CJ152" s="19"/>
      <c r="CK152" s="19"/>
      <c r="CL152" s="19"/>
      <c r="CM152" s="19"/>
    </row>
    <row r="153" s="14" customFormat="true" ht="16.5" hidden="true" customHeight="true" outlineLevel="1" collapsed="false">
      <c r="E153" s="21"/>
      <c r="H153" s="21"/>
      <c r="I153" s="21"/>
      <c r="J153" s="21"/>
      <c r="K153" s="21"/>
      <c r="L153" s="21"/>
      <c r="M153" s="21"/>
      <c r="N153" s="21"/>
      <c r="O153" s="21"/>
      <c r="P153" s="21"/>
      <c r="Q153" s="145"/>
      <c r="R153" s="145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</row>
    <row r="154" s="14" customFormat="true" ht="16.5" hidden="true" customHeight="true" outlineLevel="1" collapsed="false">
      <c r="E154" s="21"/>
      <c r="H154" s="21"/>
      <c r="I154" s="21"/>
      <c r="J154" s="21"/>
      <c r="K154" s="21"/>
      <c r="Q154" s="145"/>
      <c r="R154" s="145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</row>
    <row r="155" s="14" customFormat="true" ht="16.5" hidden="true" customHeight="true" outlineLevel="1" collapsed="false">
      <c r="E155" s="30" t="s">
        <v>166</v>
      </c>
      <c r="F155" s="31"/>
      <c r="G155" s="31"/>
      <c r="H155" s="31"/>
      <c r="I155" s="31"/>
      <c r="J155" s="31"/>
      <c r="K155" s="31"/>
      <c r="L155" s="31" t="n">
        <v>2026</v>
      </c>
      <c r="M155" s="31" t="n">
        <f aca="false">L155+1</f>
        <v>2027</v>
      </c>
      <c r="N155" s="31" t="n">
        <f aca="false">M155+1</f>
        <v>2028</v>
      </c>
      <c r="O155" s="31" t="n">
        <f aca="false">N155+1</f>
        <v>2029</v>
      </c>
      <c r="P155" s="31" t="n">
        <f aca="false">O155+1</f>
        <v>2030</v>
      </c>
      <c r="Q155" s="31" t="s">
        <v>167</v>
      </c>
      <c r="R155" s="145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</row>
    <row r="156" s="14" customFormat="true" ht="16.5" hidden="true" customHeight="true" outlineLevel="1" collapsed="false">
      <c r="E156" s="14" t="s">
        <v>168</v>
      </c>
      <c r="H156" s="21"/>
      <c r="I156" s="21"/>
      <c r="J156" s="21"/>
      <c r="K156" s="21"/>
      <c r="L156" s="90" t="n">
        <f aca="false">L117</f>
        <v>0</v>
      </c>
      <c r="M156" s="90" t="n">
        <f aca="false">M117</f>
        <v>1.2386123980354</v>
      </c>
      <c r="N156" s="90" t="n">
        <f aca="false">N117</f>
        <v>6.3044495921416</v>
      </c>
      <c r="O156" s="90" t="n">
        <f aca="false">O117</f>
        <v>6.3044495921416</v>
      </c>
      <c r="P156" s="90" t="n">
        <f aca="false">P117</f>
        <v>6.3044495921416</v>
      </c>
      <c r="Q156" s="146" t="n">
        <f aca="false">SUM(L156:P156)</f>
        <v>20.1519611744602</v>
      </c>
      <c r="R156" s="145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</row>
    <row r="157" s="14" customFormat="true" ht="16.5" hidden="true" customHeight="true" outlineLevel="1" collapsed="false">
      <c r="E157" s="14" t="s">
        <v>169</v>
      </c>
      <c r="L157" s="90" t="n">
        <f aca="false">L130</f>
        <v>0</v>
      </c>
      <c r="M157" s="90" t="n">
        <f aca="false">M130</f>
        <v>0</v>
      </c>
      <c r="N157" s="90" t="n">
        <f aca="false">N130</f>
        <v>0</v>
      </c>
      <c r="O157" s="90" t="n">
        <f aca="false">O130</f>
        <v>0</v>
      </c>
      <c r="P157" s="90" t="n">
        <f aca="false">P130</f>
        <v>0</v>
      </c>
      <c r="Q157" s="146" t="n">
        <f aca="false">SUM(L157:P157)</f>
        <v>0</v>
      </c>
      <c r="R157" s="145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</row>
    <row r="158" s="14" customFormat="true" ht="16.5" hidden="true" customHeight="true" outlineLevel="1" collapsed="false">
      <c r="E158" s="14" t="s">
        <v>170</v>
      </c>
      <c r="L158" s="90" t="n">
        <f aca="false">-L147</f>
        <v>-0</v>
      </c>
      <c r="M158" s="90" t="n">
        <f aca="false">-M147</f>
        <v>-3.53628</v>
      </c>
      <c r="N158" s="90" t="n">
        <f aca="false">-N147</f>
        <v>-0</v>
      </c>
      <c r="O158" s="90" t="n">
        <f aca="false">-O147</f>
        <v>-0</v>
      </c>
      <c r="P158" s="90" t="n">
        <f aca="false">-P147</f>
        <v>-0</v>
      </c>
      <c r="Q158" s="146" t="n">
        <f aca="false">SUM(L158:P158)</f>
        <v>-3.53628</v>
      </c>
      <c r="R158" s="145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</row>
    <row r="159" s="14" customFormat="true" ht="16.5" hidden="true" customHeight="true" outlineLevel="1" collapsed="false">
      <c r="E159" s="228" t="s">
        <v>166</v>
      </c>
      <c r="F159" s="228"/>
      <c r="G159" s="228"/>
      <c r="H159" s="228"/>
      <c r="I159" s="228"/>
      <c r="J159" s="228"/>
      <c r="K159" s="228"/>
      <c r="L159" s="229" t="n">
        <f aca="false">SUM(L156:L158)</f>
        <v>0</v>
      </c>
      <c r="M159" s="229" t="n">
        <f aca="false">SUM(M156:M158)</f>
        <v>-2.2976676019646</v>
      </c>
      <c r="N159" s="229" t="n">
        <f aca="false">SUM(N156:N158)</f>
        <v>6.3044495921416</v>
      </c>
      <c r="O159" s="229" t="n">
        <f aca="false">SUM(O156:O158)</f>
        <v>6.3044495921416</v>
      </c>
      <c r="P159" s="229" t="n">
        <f aca="false">SUM(P156:P158)</f>
        <v>6.3044495921416</v>
      </c>
      <c r="Q159" s="230" t="n">
        <f aca="false">SUM(L159:P159)</f>
        <v>16.6156811744602</v>
      </c>
      <c r="R159" s="145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</row>
    <row r="160" s="14" customFormat="true" ht="16.5" hidden="true" customHeight="true" outlineLevel="1" collapsed="false">
      <c r="E160" s="14" t="s">
        <v>171</v>
      </c>
      <c r="H160" s="21"/>
      <c r="I160" s="21"/>
      <c r="J160" s="21"/>
      <c r="K160" s="21"/>
      <c r="L160" s="90" t="n">
        <f aca="false">L159</f>
        <v>0</v>
      </c>
      <c r="M160" s="90" t="n">
        <f aca="false">L160+M159</f>
        <v>-2.2976676019646</v>
      </c>
      <c r="N160" s="90" t="n">
        <f aca="false">M160+N159</f>
        <v>4.006781990177</v>
      </c>
      <c r="O160" s="90" t="n">
        <f aca="false">N160+O159</f>
        <v>10.3112315823186</v>
      </c>
      <c r="P160" s="90" t="n">
        <f aca="false">O160+P159</f>
        <v>16.6156811744602</v>
      </c>
      <c r="Q160" s="146" t="n">
        <f aca="false">P160</f>
        <v>16.6156811744602</v>
      </c>
      <c r="R160" s="145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</row>
    <row r="161" s="14" customFormat="true" ht="16.5" hidden="true" customHeight="true" outlineLevel="1" collapsed="false">
      <c r="E161" s="14" t="s">
        <v>172</v>
      </c>
      <c r="H161" s="21"/>
      <c r="I161" s="21"/>
      <c r="J161" s="21"/>
      <c r="K161" s="21"/>
      <c r="L161" s="148" t="n">
        <f aca="false">IF(L160&lt;0,1,0)</f>
        <v>0</v>
      </c>
      <c r="M161" s="148" t="n">
        <f aca="false">IF(M160&lt;0,1,IF(AND(L160&lt;0,M159&gt;0),-L160/M159,0))</f>
        <v>1</v>
      </c>
      <c r="N161" s="148" t="n">
        <f aca="false">IF(N160&lt;0,1,IF(AND(M160&lt;0,N159&gt;0),-M160/N159,0))</f>
        <v>0.364451736568504</v>
      </c>
      <c r="O161" s="148" t="n">
        <f aca="false">IF(O160&lt;0,1,IF(AND(N160&lt;0,O159&gt;0),-N160/O159,0))</f>
        <v>0</v>
      </c>
      <c r="P161" s="148" t="n">
        <f aca="false">IF(P160&lt;0,1,IF(AND(O160&lt;0,P159&gt;0),-O160/P159,0))</f>
        <v>0</v>
      </c>
      <c r="Q161" s="90"/>
      <c r="R161" s="145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</row>
    <row r="162" s="14" customFormat="true" ht="16.5" hidden="true" customHeight="true" outlineLevel="1" collapsed="false">
      <c r="H162" s="21"/>
      <c r="I162" s="21"/>
      <c r="J162" s="21"/>
      <c r="K162" s="21"/>
      <c r="R162" s="145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</row>
    <row r="163" s="14" customFormat="true" ht="16.5" hidden="true" customHeight="true" outlineLevel="1" collapsed="false">
      <c r="E163" s="21" t="s">
        <v>430</v>
      </c>
      <c r="F163" s="150" t="s">
        <v>431</v>
      </c>
      <c r="G163" s="148" t="n">
        <f aca="false">IFERROR(K117/-SUM(L149:P149),"n/a")</f>
        <v>1.78279140569797</v>
      </c>
      <c r="H163" s="21"/>
      <c r="I163" s="21"/>
      <c r="J163" s="21"/>
      <c r="K163" s="21"/>
      <c r="R163" s="145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</row>
    <row r="164" s="14" customFormat="true" ht="16.5" hidden="true" customHeight="true" outlineLevel="1" collapsed="false">
      <c r="E164" s="21" t="s">
        <v>432</v>
      </c>
      <c r="F164" s="150" t="s">
        <v>433</v>
      </c>
      <c r="G164" s="231" t="n">
        <f aca="false">IFERROR(IRR($L$159:$P$159, 0.2),"n/a")</f>
        <v>2.68920095104283</v>
      </c>
      <c r="H164" s="21"/>
      <c r="I164" s="21"/>
      <c r="J164" s="21"/>
      <c r="K164" s="21"/>
      <c r="R164" s="145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</row>
    <row r="165" s="14" customFormat="true" ht="16.5" hidden="true" customHeight="true" outlineLevel="1" collapsed="false">
      <c r="E165" s="21" t="s">
        <v>434</v>
      </c>
      <c r="F165" s="150" t="s">
        <v>176</v>
      </c>
      <c r="G165" s="148" t="n">
        <f aca="false">IF(SUM(L161:P161)=5,"&gt;5",SUM(L161:P161))</f>
        <v>1.3644517365685</v>
      </c>
      <c r="H165" s="21"/>
      <c r="I165" s="21"/>
      <c r="J165" s="21"/>
      <c r="K165" s="21"/>
      <c r="R165" s="145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</row>
    <row r="166" s="14" customFormat="true" ht="16.5" hidden="true" customHeight="true" outlineLevel="1" collapsed="false">
      <c r="E166" s="21"/>
      <c r="F166" s="150"/>
      <c r="G166" s="148"/>
      <c r="H166" s="21"/>
      <c r="I166" s="21"/>
      <c r="J166" s="21"/>
      <c r="K166" s="21"/>
      <c r="R166" s="145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</row>
    <row r="167" s="14" customFormat="true" ht="16.5" hidden="true" customHeight="true" outlineLevel="1" collapsed="false">
      <c r="E167" s="21" t="s">
        <v>173</v>
      </c>
      <c r="G167" s="149" t="n">
        <v>0.095</v>
      </c>
      <c r="H167" s="21"/>
      <c r="I167" s="21"/>
      <c r="J167" s="21"/>
      <c r="K167" s="21"/>
      <c r="R167" s="145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</row>
    <row r="168" s="14" customFormat="true" ht="16.5" hidden="true" customHeight="true" outlineLevel="1" collapsed="false">
      <c r="E168" s="21" t="s">
        <v>174</v>
      </c>
      <c r="F168" s="150" t="s">
        <v>175</v>
      </c>
      <c r="G168" s="90" t="n">
        <f aca="false">SUM(L168:P168)</f>
        <v>11.2755021996287</v>
      </c>
      <c r="H168" s="21"/>
      <c r="I168" s="21"/>
      <c r="J168" s="21"/>
      <c r="K168" s="21"/>
      <c r="L168" s="90" t="n">
        <f aca="false">L159/(1+$G$167)^L$1</f>
        <v>0</v>
      </c>
      <c r="M168" s="90" t="n">
        <f aca="false">M159/(1+$G$167)^M$1</f>
        <v>-1.9162799791202</v>
      </c>
      <c r="N168" s="90" t="n">
        <f aca="false">N159/(1+$G$167)^N$1</f>
        <v>4.80180831258853</v>
      </c>
      <c r="O168" s="90" t="n">
        <f aca="false">O159/(1+$G$167)^O$1</f>
        <v>4.38521307085711</v>
      </c>
      <c r="P168" s="90" t="n">
        <f aca="false">P159/(1+$G$167)^P$1</f>
        <v>4.00476079530329</v>
      </c>
      <c r="Q168" s="90" t="n">
        <f aca="false">SUM(L168:P168)</f>
        <v>11.2755021996287</v>
      </c>
      <c r="R168" s="145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</row>
    <row r="169" s="14" customFormat="true" ht="16.5" hidden="true" customHeight="true" outlineLevel="1" collapsed="false">
      <c r="Q169" s="16"/>
      <c r="R169" s="16"/>
    </row>
    <row r="170" s="14" customFormat="true" ht="16.5" hidden="false" customHeight="true" outlineLevel="0" collapsed="false">
      <c r="Q170" s="16"/>
      <c r="R170" s="16"/>
    </row>
    <row r="171" s="14" customFormat="true" ht="16.5" hidden="false" customHeight="true" outlineLevel="0" collapsed="false">
      <c r="C171" s="19" t="s">
        <v>178</v>
      </c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20"/>
      <c r="R171" s="20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</row>
  </sheetData>
  <mergeCells count="3">
    <mergeCell ref="F8:J10"/>
    <mergeCell ref="CI62:CM62"/>
    <mergeCell ref="CI90:CM90"/>
  </mergeCells>
  <conditionalFormatting sqref="J26">
    <cfRule type="expression" priority="2" aboveAverage="0" equalAverage="0" bottom="0" percent="0" rank="0" text="" dxfId="0">
      <formula>AND($F26="Yes")</formula>
    </cfRule>
    <cfRule type="expression" priority="3" aboveAverage="0" equalAverage="0" bottom="0" percent="0" rank="0" text="" dxfId="1">
      <formula>AND($F26="No")</formula>
    </cfRule>
  </conditionalFormatting>
  <conditionalFormatting sqref="T79:CA86">
    <cfRule type="expression" priority="4" aboveAverage="0" equalAverage="0" bottom="0" percent="0" rank="0" text="" dxfId="0">
      <formula>AND($F79="Yes")</formula>
    </cfRule>
    <cfRule type="expression" priority="5" aboveAverage="0" equalAverage="0" bottom="0" percent="0" rank="0" text="" dxfId="1">
      <formula>AND($F79="No")</formula>
    </cfRule>
  </conditionalFormatting>
  <conditionalFormatting sqref="I84:P86">
    <cfRule type="expression" priority="6" aboveAverage="0" equalAverage="0" bottom="0" percent="0" rank="0" text="" dxfId="0">
      <formula>AND($F84="Yes")</formula>
    </cfRule>
    <cfRule type="expression" priority="7" aboveAverage="0" equalAverage="0" bottom="0" percent="0" rank="0" text="" dxfId="1">
      <formula>AND($F84="No")</formula>
    </cfRule>
  </conditionalFormatting>
  <conditionalFormatting sqref="I112:K113">
    <cfRule type="expression" priority="8" aboveAverage="0" equalAverage="0" bottom="0" percent="0" rank="0" text="" dxfId="0">
      <formula>AND($F112="Yes")</formula>
    </cfRule>
    <cfRule type="expression" priority="9" aboveAverage="0" equalAverage="0" bottom="0" percent="0" rank="0" text="" dxfId="1">
      <formula>AND($F112="No")</formula>
    </cfRule>
  </conditionalFormatting>
  <conditionalFormatting sqref="E94:E95">
    <cfRule type="expression" priority="10" aboveAverage="0" equalAverage="0" bottom="0" percent="0" rank="0" text="" dxfId="0">
      <formula>AND($F94="Yes")</formula>
    </cfRule>
    <cfRule type="expression" priority="11" aboveAverage="0" equalAverage="0" bottom="0" percent="0" rank="0" text="" dxfId="1">
      <formula>AND($F94="No")</formula>
    </cfRule>
  </conditionalFormatting>
  <conditionalFormatting sqref="E107:E111">
    <cfRule type="expression" priority="12" aboveAverage="0" equalAverage="0" bottom="0" percent="0" rank="0" text="" dxfId="0">
      <formula>AND($F107="Yes")</formula>
    </cfRule>
    <cfRule type="expression" priority="13" aboveAverage="0" equalAverage="0" bottom="0" percent="0" rank="0" text="" dxfId="1">
      <formula>AND($F107="No")</formula>
    </cfRule>
  </conditionalFormatting>
  <conditionalFormatting sqref="E141:E143">
    <cfRule type="expression" priority="14" aboveAverage="0" equalAverage="0" bottom="0" percent="0" rank="0" text="" dxfId="0">
      <formula>AND($F141="Yes")</formula>
    </cfRule>
    <cfRule type="expression" priority="15" aboveAverage="0" equalAverage="0" bottom="0" percent="0" rank="0" text="" dxfId="1">
      <formula>AND($F141="No")</formula>
    </cfRule>
  </conditionalFormatting>
  <conditionalFormatting sqref="E136:E137">
    <cfRule type="expression" priority="16" aboveAverage="0" equalAverage="0" bottom="0" percent="0" rank="0" text="" dxfId="0">
      <formula>AND($F136="Yes")</formula>
    </cfRule>
    <cfRule type="expression" priority="17" aboveAverage="0" equalAverage="0" bottom="0" percent="0" rank="0" text="" dxfId="1">
      <formula>AND($F136="No")</formula>
    </cfRule>
  </conditionalFormatting>
  <conditionalFormatting sqref="E126:E127">
    <cfRule type="expression" priority="18" aboveAverage="0" equalAverage="0" bottom="0" percent="0" rank="0" text="" dxfId="0">
      <formula>AND($F126="Yes")</formula>
    </cfRule>
    <cfRule type="expression" priority="19" aboveAverage="0" equalAverage="0" bottom="0" percent="0" rank="0" text="" dxfId="1">
      <formula>AND($F126="No")</formula>
    </cfRule>
  </conditionalFormatting>
  <conditionalFormatting sqref="E66:E67">
    <cfRule type="expression" priority="20" aboveAverage="0" equalAverage="0" bottom="0" percent="0" rank="0" text="" dxfId="0">
      <formula>AND($F66="Yes")</formula>
    </cfRule>
    <cfRule type="expression" priority="21" aboveAverage="0" equalAverage="0" bottom="0" percent="0" rank="0" text="" dxfId="1">
      <formula>AND($F66="No")</formula>
    </cfRule>
  </conditionalFormatting>
  <conditionalFormatting sqref="CJ152:CM152">
    <cfRule type="containsText" priority="22" operator="containsText" aboveAverage="0" equalAverage="0" bottom="0" percent="0" rank="0" text="FALSE" dxfId="2">
      <formula>NOT(ISERROR(SEARCH("FALSE",CJ152)))</formula>
    </cfRule>
  </conditionalFormatting>
  <conditionalFormatting sqref="Q141:Q143">
    <cfRule type="containsText" priority="23" operator="containsText" aboveAverage="0" equalAverage="0" bottom="0" percent="0" rank="0" text="Error" dxfId="2">
      <formula>NOT(ISERROR(SEARCH("Error",Q141)))</formula>
    </cfRule>
    <cfRule type="containsText" priority="24" operator="containsText" aboveAverage="0" equalAverage="0" bottom="0" percent="0" rank="0" text="FALSE" dxfId="2">
      <formula>NOT(ISERROR(SEARCH("FALSE",Q141)))</formula>
    </cfRule>
  </conditionalFormatting>
  <conditionalFormatting sqref="Q136:Q137">
    <cfRule type="containsText" priority="25" operator="containsText" aboveAverage="0" equalAverage="0" bottom="0" percent="0" rank="0" text="Error" dxfId="2">
      <formula>NOT(ISERROR(SEARCH("Error",Q136)))</formula>
    </cfRule>
    <cfRule type="containsText" priority="26" operator="containsText" aboveAverage="0" equalAverage="0" bottom="0" percent="0" rank="0" text="FALSE" dxfId="2">
      <formula>NOT(ISERROR(SEARCH("FALSE",Q136)))</formula>
    </cfRule>
  </conditionalFormatting>
  <conditionalFormatting sqref="Q126:Q127">
    <cfRule type="containsText" priority="27" operator="containsText" aboveAverage="0" equalAverage="0" bottom="0" percent="0" rank="0" text="Error" dxfId="2">
      <formula>NOT(ISERROR(SEARCH("Error",Q126)))</formula>
    </cfRule>
    <cfRule type="containsText" priority="28" operator="containsText" aboveAverage="0" equalAverage="0" bottom="0" percent="0" rank="0" text="FALSE" dxfId="2">
      <formula>NOT(ISERROR(SEARCH("FALSE",Q126)))</formula>
    </cfRule>
  </conditionalFormatting>
  <conditionalFormatting sqref="J56:J57">
    <cfRule type="expression" priority="29" aboveAverage="0" equalAverage="0" bottom="0" percent="0" rank="0" text="" dxfId="0">
      <formula>AND($F56="Yes")</formula>
    </cfRule>
    <cfRule type="expression" priority="30" aboveAverage="0" equalAverage="0" bottom="0" percent="0" rank="0" text="" dxfId="1">
      <formula>AND($F56="No")</formula>
    </cfRule>
  </conditionalFormatting>
  <conditionalFormatting sqref="J46:J47 J51">
    <cfRule type="expression" priority="31" aboveAverage="0" equalAverage="0" bottom="0" percent="0" rank="0" text="" dxfId="0">
      <formula>AND($F46="Yes")</formula>
    </cfRule>
    <cfRule type="expression" priority="32" aboveAverage="0" equalAverage="0" bottom="0" percent="0" rank="0" text="" dxfId="1">
      <formula>AND($F46="No")</formula>
    </cfRule>
  </conditionalFormatting>
  <conditionalFormatting sqref="J52">
    <cfRule type="expression" priority="33" aboveAverage="0" equalAverage="0" bottom="0" percent="0" rank="0" text="" dxfId="0">
      <formula>AND(#ref!="Yes")</formula>
    </cfRule>
    <cfRule type="expression" priority="34" aboveAverage="0" equalAverage="0" bottom="0" percent="0" rank="0" text="" dxfId="1">
      <formula>AND(#ref!="No")</formula>
    </cfRule>
  </conditionalFormatting>
  <conditionalFormatting sqref="J42:J43">
    <cfRule type="expression" priority="35" aboveAverage="0" equalAverage="0" bottom="0" percent="0" rank="0" text="" dxfId="0">
      <formula>AND($F42="Yes")</formula>
    </cfRule>
    <cfRule type="expression" priority="36" aboveAverage="0" equalAverage="0" bottom="0" percent="0" rank="0" text="" dxfId="1">
      <formula>AND($F42="No")</formula>
    </cfRule>
  </conditionalFormatting>
  <conditionalFormatting sqref="J32:J33 J37">
    <cfRule type="expression" priority="37" aboveAverage="0" equalAverage="0" bottom="0" percent="0" rank="0" text="" dxfId="0">
      <formula>AND($F32="Yes")</formula>
    </cfRule>
    <cfRule type="expression" priority="38" aboveAverage="0" equalAverage="0" bottom="0" percent="0" rank="0" text="" dxfId="1">
      <formula>AND($F32="No")</formula>
    </cfRule>
  </conditionalFormatting>
  <conditionalFormatting sqref="J38">
    <cfRule type="expression" priority="39" aboveAverage="0" equalAverage="0" bottom="0" percent="0" rank="0" text="" dxfId="0">
      <formula>AND(#ref!="Yes")</formula>
    </cfRule>
    <cfRule type="expression" priority="40" aboveAverage="0" equalAverage="0" bottom="0" percent="0" rank="0" text="" dxfId="1">
      <formula>AND(#ref!="No")</formula>
    </cfRule>
  </conditionalFormatting>
  <conditionalFormatting sqref="CJ171:CM171">
    <cfRule type="containsText" priority="41" operator="containsText" aboveAverage="0" equalAverage="0" bottom="0" percent="0" rank="0" text="FALSE" dxfId="2">
      <formula>NOT(ISERROR(SEARCH("FALSE",CJ171)))</formula>
    </cfRule>
  </conditionalFormatting>
  <conditionalFormatting sqref="CJ120:CM120">
    <cfRule type="containsText" priority="42" operator="containsText" aboveAverage="0" equalAverage="0" bottom="0" percent="0" rank="0" text="FALSE" dxfId="2">
      <formula>NOT(ISERROR(SEARCH("FALSE",CJ120)))</formula>
    </cfRule>
  </conditionalFormatting>
  <conditionalFormatting sqref="P18:P21">
    <cfRule type="containsText" priority="43" operator="containsText" aboveAverage="0" equalAverage="0" bottom="0" percent="0" rank="0" text="PASS" dxfId="3">
      <formula>NOT(ISERROR(SEARCH("PASS",P18)))</formula>
    </cfRule>
  </conditionalFormatting>
  <conditionalFormatting sqref="CI141:CM144">
    <cfRule type="expression" priority="44" aboveAverage="0" equalAverage="0" bottom="0" percent="0" rank="0" text="" dxfId="0">
      <formula>AND($F141="Yes")</formula>
    </cfRule>
    <cfRule type="expression" priority="45" aboveAverage="0" equalAverage="0" bottom="0" percent="0" rank="0" text="" dxfId="1">
      <formula>AND($F141="No")</formula>
    </cfRule>
  </conditionalFormatting>
  <conditionalFormatting sqref="CI136:CM138">
    <cfRule type="expression" priority="46" aboveAverage="0" equalAverage="0" bottom="0" percent="0" rank="0" text="" dxfId="0">
      <formula>AND($F136="Yes")</formula>
    </cfRule>
    <cfRule type="expression" priority="47" aboveAverage="0" equalAverage="0" bottom="0" percent="0" rank="0" text="" dxfId="1">
      <formula>AND($F136="No")</formula>
    </cfRule>
  </conditionalFormatting>
  <conditionalFormatting sqref="CC141:CG144">
    <cfRule type="expression" priority="48" aboveAverage="0" equalAverage="0" bottom="0" percent="0" rank="0" text="" dxfId="0">
      <formula>AND($F141="Yes")</formula>
    </cfRule>
    <cfRule type="expression" priority="49" aboveAverage="0" equalAverage="0" bottom="0" percent="0" rank="0" text="" dxfId="1">
      <formula>AND($F141="No")</formula>
    </cfRule>
  </conditionalFormatting>
  <conditionalFormatting sqref="CC136:CG138">
    <cfRule type="expression" priority="50" aboveAverage="0" equalAverage="0" bottom="0" percent="0" rank="0" text="" dxfId="0">
      <formula>AND($F136="Yes")</formula>
    </cfRule>
    <cfRule type="expression" priority="51" aboveAverage="0" equalAverage="0" bottom="0" percent="0" rank="0" text="" dxfId="1">
      <formula>AND($F136="No")</formula>
    </cfRule>
  </conditionalFormatting>
  <conditionalFormatting sqref="V112:CA113">
    <cfRule type="expression" priority="52" aboveAverage="0" equalAverage="0" bottom="0" percent="0" rank="0" text="" dxfId="0">
      <formula>AND($F112="Yes")</formula>
    </cfRule>
    <cfRule type="expression" priority="53" aboveAverage="0" equalAverage="0" bottom="0" percent="0" rank="0" text="" dxfId="1">
      <formula>AND($F112="No")</formula>
    </cfRule>
  </conditionalFormatting>
  <conditionalFormatting sqref="T136:CA138">
    <cfRule type="expression" priority="54" aboveAverage="0" equalAverage="0" bottom="0" percent="0" rank="0" text="" dxfId="0">
      <formula>AND($F136="Yes")</formula>
    </cfRule>
    <cfRule type="expression" priority="55" aboveAverage="0" equalAverage="0" bottom="0" percent="0" rank="0" text="" dxfId="1">
      <formula>AND($F136="No")</formula>
    </cfRule>
  </conditionalFormatting>
  <conditionalFormatting sqref="V85:CA85">
    <cfRule type="expression" priority="56" aboveAverage="0" equalAverage="0" bottom="0" percent="0" rank="0" text="" dxfId="0">
      <formula>AND($F85="Yes")</formula>
    </cfRule>
    <cfRule type="expression" priority="57" aboveAverage="0" equalAverage="0" bottom="0" percent="0" rank="0" text="" dxfId="1">
      <formula>AND($F85="No")</formula>
    </cfRule>
  </conditionalFormatting>
  <conditionalFormatting sqref="T141:CA146">
    <cfRule type="expression" priority="58" aboveAverage="0" equalAverage="0" bottom="0" percent="0" rank="0" text="" dxfId="0">
      <formula>AND($F141="Yes")</formula>
    </cfRule>
    <cfRule type="expression" priority="59" aboveAverage="0" equalAverage="0" bottom="0" percent="0" rank="0" text="" dxfId="1">
      <formula>AND($F141="No")</formula>
    </cfRule>
  </conditionalFormatting>
  <conditionalFormatting sqref="Q63:R113 Q123">
    <cfRule type="containsText" priority="60" operator="containsText" aboveAverage="0" equalAverage="0" bottom="0" percent="0" rank="0" text="Error" dxfId="2">
      <formula>NOT(ISERROR(SEARCH("Error",Q63)))</formula>
    </cfRule>
  </conditionalFormatting>
  <conditionalFormatting sqref="Q66:R90 Q92:R113 CI66:CM119 CI121:CM149">
    <cfRule type="containsText" priority="61" operator="containsText" aboveAverage="0" equalAverage="0" bottom="0" percent="0" rank="0" text="FALSE" dxfId="2">
      <formula>NOT(ISERROR(SEARCH("FALSE",Q66)))</formula>
    </cfRule>
  </conditionalFormatting>
  <conditionalFormatting sqref="L136:P138">
    <cfRule type="expression" priority="62" aboveAverage="0" equalAverage="0" bottom="0" percent="0" rank="0" text="" dxfId="0">
      <formula>AND($F136="Yes")</formula>
    </cfRule>
    <cfRule type="expression" priority="63" aboveAverage="0" equalAverage="0" bottom="0" percent="0" rank="0" text="" dxfId="1">
      <formula>AND($F136="No")</formula>
    </cfRule>
  </conditionalFormatting>
  <conditionalFormatting sqref="Q117:R117">
    <cfRule type="containsText" priority="64" operator="containsText" aboveAverage="0" equalAverage="0" bottom="0" percent="0" rank="0" text="Error" dxfId="2">
      <formula>NOT(ISERROR(SEARCH("Error",Q117)))</formula>
    </cfRule>
    <cfRule type="containsText" priority="65" operator="containsText" aboveAverage="0" equalAverage="0" bottom="0" percent="0" rank="0" text="FALSE" dxfId="2">
      <formula>NOT(ISERROR(SEARCH("FALSE",Q117)))</formula>
    </cfRule>
  </conditionalFormatting>
  <conditionalFormatting sqref="I96:K96">
    <cfRule type="expression" priority="66" aboveAverage="0" equalAverage="0" bottom="0" percent="0" rank="0" text="" dxfId="0">
      <formula>AND($F96="Yes")</formula>
    </cfRule>
    <cfRule type="expression" priority="67" aboveAverage="0" equalAverage="0" bottom="0" percent="0" rank="0" text="" dxfId="1">
      <formula>AND($F96="No")</formula>
    </cfRule>
  </conditionalFormatting>
  <conditionalFormatting sqref="I104:K104">
    <cfRule type="expression" priority="68" aboveAverage="0" equalAverage="0" bottom="0" percent="0" rank="0" text="" dxfId="0">
      <formula>AND($F104="Yes")</formula>
    </cfRule>
    <cfRule type="expression" priority="69" aboveAverage="0" equalAverage="0" bottom="0" percent="0" rank="0" text="" dxfId="1">
      <formula>AND($F104="No")</formula>
    </cfRule>
  </conditionalFormatting>
  <conditionalFormatting sqref="E71:E75 E79:E83 E99:E103 F6:G6 I66:J67 I71:J75 I79:J83 I94:J95 I99:J103 I107:J111 J18:J21 J29 L66:P67 L71:P75 L79:P83 L94:P96 L99:P104 L107:P113 L126:P129 L141:P146 T66:CA68 T71:CA76 T94:CA96 T99:CA104 T107:CA113 T126:CA129 CC66:CG68 CC71:CG76 CC79:CG86 CC94:CG96 CC99:CG104 CC107:CG113 CC126:CG128 CI66:CM68 CI71:CM76 CI79:CM86 CI94:CM96 CI99:CM104 CI107:CM113 CI126:CM128">
    <cfRule type="expression" priority="70" aboveAverage="0" equalAverage="0" bottom="0" percent="0" rank="0" text="" dxfId="0">
      <formula>AND($F6="Yes")</formula>
    </cfRule>
    <cfRule type="expression" priority="71" aboveAverage="0" equalAverage="0" bottom="0" percent="0" rank="0" text="" dxfId="1">
      <formula>AND($F6="No")</formula>
    </cfRule>
  </conditionalFormatting>
  <conditionalFormatting sqref="E97">
    <cfRule type="expression" priority="72" aboveAverage="0" equalAverage="0" bottom="0" percent="0" rank="0" text="" dxfId="4">
      <formula>AND($F97="Yes")</formula>
    </cfRule>
    <cfRule type="expression" priority="73" aboveAverage="0" equalAverage="0" bottom="0" percent="0" rank="0" text="" dxfId="5">
      <formula>AND($F97="No")</formula>
    </cfRule>
  </conditionalFormatting>
  <conditionalFormatting sqref="E114">
    <cfRule type="expression" priority="74" aboveAverage="0" equalAverage="0" bottom="0" percent="0" rank="0" text="" dxfId="4">
      <formula>AND($F114="Yes")</formula>
    </cfRule>
    <cfRule type="expression" priority="75" aboveAverage="0" equalAverage="0" bottom="0" percent="0" rank="0" text="" dxfId="5">
      <formula>AND($F114="No")</formula>
    </cfRule>
  </conditionalFormatting>
  <conditionalFormatting sqref="I68:P68">
    <cfRule type="expression" priority="76" aboveAverage="0" equalAverage="0" bottom="0" percent="0" rank="0" text="" dxfId="0">
      <formula>AND($F68="Yes")</formula>
    </cfRule>
    <cfRule type="expression" priority="77" aboveAverage="0" equalAverage="0" bottom="0" percent="0" rank="0" text="" dxfId="1">
      <formula>AND($F68="No")</formula>
    </cfRule>
  </conditionalFormatting>
  <conditionalFormatting sqref="D136:D137 E69 E132">
    <cfRule type="expression" priority="78" aboveAverage="0" equalAverage="0" bottom="0" percent="0" rank="0" text="" dxfId="4">
      <formula>AND($F69="Yes")</formula>
    </cfRule>
    <cfRule type="expression" priority="79" aboveAverage="0" equalAverage="0" bottom="0" percent="0" rank="0" text="" dxfId="5">
      <formula>AND($F69="No")</formula>
    </cfRule>
  </conditionalFormatting>
  <conditionalFormatting sqref="I76:P76">
    <cfRule type="expression" priority="80" aboveAverage="0" equalAverage="0" bottom="0" percent="0" rank="0" text="" dxfId="0">
      <formula>AND($F76="Yes")</formula>
    </cfRule>
    <cfRule type="expression" priority="81" aboveAverage="0" equalAverage="0" bottom="0" percent="0" rank="0" text="" dxfId="1">
      <formula>AND($F76="No")</formula>
    </cfRule>
  </conditionalFormatting>
  <conditionalFormatting sqref="E87">
    <cfRule type="expression" priority="82" aboveAverage="0" equalAverage="0" bottom="0" percent="0" rank="0" text="" dxfId="4">
      <formula>AND($F87="Yes")</formula>
    </cfRule>
    <cfRule type="expression" priority="83" aboveAverage="0" equalAverage="0" bottom="0" percent="0" rank="0" text="" dxfId="5">
      <formula>AND($F87="No")</formula>
    </cfRule>
  </conditionalFormatting>
  <conditionalFormatting sqref="G167 J24:J25">
    <cfRule type="expression" priority="84" aboveAverage="0" equalAverage="0" bottom="0" percent="0" rank="0" text="" dxfId="0">
      <formula>AND(#ref!="Yes")</formula>
    </cfRule>
    <cfRule type="expression" priority="85" aboveAverage="0" equalAverage="0" bottom="0" percent="0" rank="0" text="" dxfId="1">
      <formula>AND(#ref!="No")</formula>
    </cfRule>
  </conditionalFormatting>
  <printOptions headings="false" gridLines="false" gridLinesSet="true" horizontalCentered="true" verticalCentered="false"/>
  <pageMargins left="0.25" right="0.25" top="0.75" bottom="0.75" header="0.511811023622047" footer="0.511811023622047"/>
  <pageSetup paperSize="1" scale="2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B2:CA1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6" topLeftCell="G7" activePane="bottomRight" state="frozen"/>
      <selection pane="topLeft" activeCell="A1" activeCellId="0" sqref="A1"/>
      <selection pane="topRight" activeCell="G1" activeCellId="0" sqref="G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4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8" min="6" style="0" width="15"/>
    <col collapsed="false" customWidth="true" hidden="false" outlineLevel="0" max="9" min="9" style="0" width="13"/>
    <col collapsed="false" customWidth="true" hidden="false" outlineLevel="0" max="10" min="10" style="0" width="2"/>
    <col collapsed="false" customWidth="true" hidden="false" outlineLevel="0" max="11" min="11" style="0" width="12"/>
    <col collapsed="false" customWidth="true" hidden="false" outlineLevel="0" max="16" min="12" style="0" width="11"/>
    <col collapsed="false" customWidth="true" hidden="false" outlineLevel="0" max="17" min="17" style="0" width="2"/>
    <col collapsed="false" customWidth="true" hidden="false" outlineLevel="0" max="18" min="18" style="0" width="60"/>
    <col collapsed="false" customWidth="true" hidden="false" outlineLevel="0" max="19" min="19" style="0" width="2"/>
    <col collapsed="false" customWidth="true" hidden="false" outlineLevel="0" max="79" min="20" style="0" width="9"/>
  </cols>
  <sheetData>
    <row r="2" customFormat="false" ht="24" hidden="false" customHeight="true" outlineLevel="0" collapsed="false">
      <c r="B2" s="153" t="s">
        <v>678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B3" s="154" t="s">
        <v>679</v>
      </c>
    </row>
    <row r="5" customFormat="false" ht="15" hidden="false" customHeight="false" outlineLevel="0" collapsed="false">
      <c r="T5" s="175" t="n">
        <v>2026</v>
      </c>
      <c r="U5" s="175" t="n">
        <v>2026</v>
      </c>
      <c r="V5" s="175" t="n">
        <v>2026</v>
      </c>
      <c r="W5" s="175" t="n">
        <v>2026</v>
      </c>
      <c r="X5" s="175" t="n">
        <v>2026</v>
      </c>
      <c r="Y5" s="175" t="n">
        <v>2026</v>
      </c>
      <c r="Z5" s="175" t="n">
        <v>2026</v>
      </c>
      <c r="AA5" s="175" t="n">
        <v>2026</v>
      </c>
      <c r="AB5" s="175" t="n">
        <v>2026</v>
      </c>
      <c r="AC5" s="175" t="n">
        <v>2026</v>
      </c>
      <c r="AD5" s="175" t="n">
        <v>2026</v>
      </c>
      <c r="AE5" s="175" t="n">
        <v>2026</v>
      </c>
      <c r="AF5" s="175" t="n">
        <v>2027</v>
      </c>
      <c r="AG5" s="175" t="n">
        <v>2027</v>
      </c>
      <c r="AH5" s="175" t="n">
        <v>2027</v>
      </c>
      <c r="AI5" s="175" t="n">
        <v>2027</v>
      </c>
      <c r="AJ5" s="175" t="n">
        <v>2027</v>
      </c>
      <c r="AK5" s="175" t="n">
        <v>2027</v>
      </c>
      <c r="AL5" s="175" t="n">
        <v>2027</v>
      </c>
      <c r="AM5" s="175" t="n">
        <v>2027</v>
      </c>
      <c r="AN5" s="175" t="n">
        <v>2027</v>
      </c>
      <c r="AO5" s="175" t="n">
        <v>2027</v>
      </c>
      <c r="AP5" s="175" t="n">
        <v>2027</v>
      </c>
      <c r="AQ5" s="175" t="n">
        <v>2027</v>
      </c>
      <c r="AR5" s="175" t="n">
        <v>2028</v>
      </c>
      <c r="AS5" s="175" t="n">
        <v>2028</v>
      </c>
      <c r="AT5" s="175" t="n">
        <v>2028</v>
      </c>
      <c r="AU5" s="175" t="n">
        <v>2028</v>
      </c>
      <c r="AV5" s="175" t="n">
        <v>2028</v>
      </c>
      <c r="AW5" s="175" t="n">
        <v>2028</v>
      </c>
      <c r="AX5" s="175" t="n">
        <v>2028</v>
      </c>
      <c r="AY5" s="175" t="n">
        <v>2028</v>
      </c>
      <c r="AZ5" s="175" t="n">
        <v>2028</v>
      </c>
      <c r="BA5" s="175" t="n">
        <v>2028</v>
      </c>
      <c r="BB5" s="175" t="n">
        <v>2028</v>
      </c>
      <c r="BC5" s="175" t="n">
        <v>2028</v>
      </c>
      <c r="BD5" s="175" t="n">
        <v>2029</v>
      </c>
      <c r="BE5" s="175" t="n">
        <v>2029</v>
      </c>
      <c r="BF5" s="175" t="n">
        <v>2029</v>
      </c>
      <c r="BG5" s="175" t="n">
        <v>2029</v>
      </c>
      <c r="BH5" s="175" t="n">
        <v>2029</v>
      </c>
      <c r="BI5" s="175" t="n">
        <v>2029</v>
      </c>
      <c r="BJ5" s="175" t="n">
        <v>2029</v>
      </c>
      <c r="BK5" s="175" t="n">
        <v>2029</v>
      </c>
      <c r="BL5" s="175" t="n">
        <v>2029</v>
      </c>
      <c r="BM5" s="175" t="n">
        <v>2029</v>
      </c>
      <c r="BN5" s="175" t="n">
        <v>2029</v>
      </c>
      <c r="BO5" s="175" t="n">
        <v>2029</v>
      </c>
      <c r="BP5" s="175" t="n">
        <v>2030</v>
      </c>
      <c r="BQ5" s="175" t="n">
        <v>2030</v>
      </c>
      <c r="BR5" s="175" t="n">
        <v>2030</v>
      </c>
      <c r="BS5" s="175" t="n">
        <v>2030</v>
      </c>
      <c r="BT5" s="175" t="n">
        <v>2030</v>
      </c>
      <c r="BU5" s="175" t="n">
        <v>2030</v>
      </c>
      <c r="BV5" s="175" t="n">
        <v>2030</v>
      </c>
      <c r="BW5" s="175" t="n">
        <v>2030</v>
      </c>
      <c r="BX5" s="175" t="n">
        <v>2030</v>
      </c>
      <c r="BY5" s="175" t="n">
        <v>2030</v>
      </c>
      <c r="BZ5" s="175" t="n">
        <v>2030</v>
      </c>
      <c r="CA5" s="175" t="n">
        <v>2030</v>
      </c>
    </row>
    <row r="6" customFormat="false" ht="15" hidden="false" customHeight="false" outlineLevel="0" collapsed="false">
      <c r="B6" s="161" t="s">
        <v>258</v>
      </c>
      <c r="K6" s="176" t="s">
        <v>259</v>
      </c>
      <c r="L6" s="176" t="n">
        <v>2026</v>
      </c>
      <c r="M6" s="176" t="n">
        <v>2027</v>
      </c>
      <c r="N6" s="176" t="n">
        <v>2028</v>
      </c>
      <c r="O6" s="176" t="n">
        <v>2029</v>
      </c>
      <c r="P6" s="176" t="n">
        <v>2030</v>
      </c>
      <c r="T6" s="177" t="n">
        <f aca="false">DATE(2026,1,31)</f>
        <v>46053</v>
      </c>
      <c r="U6" s="177" t="n">
        <f aca="false">EOMONTH(T6,1)</f>
        <v>46081</v>
      </c>
      <c r="V6" s="177" t="n">
        <f aca="false">EOMONTH(U6,1)</f>
        <v>46112</v>
      </c>
      <c r="W6" s="177" t="n">
        <f aca="false">EOMONTH(V6,1)</f>
        <v>46142</v>
      </c>
      <c r="X6" s="177" t="n">
        <f aca="false">EOMONTH(W6,1)</f>
        <v>46173</v>
      </c>
      <c r="Y6" s="177" t="n">
        <f aca="false">EOMONTH(X6,1)</f>
        <v>46203</v>
      </c>
      <c r="Z6" s="177" t="n">
        <f aca="false">EOMONTH(Y6,1)</f>
        <v>46234</v>
      </c>
      <c r="AA6" s="177" t="n">
        <f aca="false">EOMONTH(Z6,1)</f>
        <v>46265</v>
      </c>
      <c r="AB6" s="177" t="n">
        <f aca="false">EOMONTH(AA6,1)</f>
        <v>46295</v>
      </c>
      <c r="AC6" s="177" t="n">
        <f aca="false">EOMONTH(AB6,1)</f>
        <v>46326</v>
      </c>
      <c r="AD6" s="177" t="n">
        <f aca="false">EOMONTH(AC6,1)</f>
        <v>46356</v>
      </c>
      <c r="AE6" s="177" t="n">
        <f aca="false">EOMONTH(AD6,1)</f>
        <v>46387</v>
      </c>
      <c r="AF6" s="177" t="n">
        <f aca="false">EOMONTH(AE6,1)</f>
        <v>46418</v>
      </c>
      <c r="AG6" s="177" t="n">
        <f aca="false">EOMONTH(AF6,1)</f>
        <v>46446</v>
      </c>
      <c r="AH6" s="177" t="n">
        <f aca="false">EOMONTH(AG6,1)</f>
        <v>46477</v>
      </c>
      <c r="AI6" s="177" t="n">
        <f aca="false">EOMONTH(AH6,1)</f>
        <v>46507</v>
      </c>
      <c r="AJ6" s="177" t="n">
        <f aca="false">EOMONTH(AI6,1)</f>
        <v>46538</v>
      </c>
      <c r="AK6" s="177" t="n">
        <f aca="false">EOMONTH(AJ6,1)</f>
        <v>46568</v>
      </c>
      <c r="AL6" s="177" t="n">
        <f aca="false">EOMONTH(AK6,1)</f>
        <v>46599</v>
      </c>
      <c r="AM6" s="177" t="n">
        <f aca="false">EOMONTH(AL6,1)</f>
        <v>46630</v>
      </c>
      <c r="AN6" s="177" t="n">
        <f aca="false">EOMONTH(AM6,1)</f>
        <v>46660</v>
      </c>
      <c r="AO6" s="177" t="n">
        <f aca="false">EOMONTH(AN6,1)</f>
        <v>46691</v>
      </c>
      <c r="AP6" s="177" t="n">
        <f aca="false">EOMONTH(AO6,1)</f>
        <v>46721</v>
      </c>
      <c r="AQ6" s="177" t="n">
        <f aca="false">EOMONTH(AP6,1)</f>
        <v>46752</v>
      </c>
      <c r="AR6" s="177" t="n">
        <f aca="false">EOMONTH(AQ6,1)</f>
        <v>46783</v>
      </c>
      <c r="AS6" s="177" t="n">
        <f aca="false">EOMONTH(AR6,1)</f>
        <v>46812</v>
      </c>
      <c r="AT6" s="177" t="n">
        <f aca="false">EOMONTH(AS6,1)</f>
        <v>46843</v>
      </c>
      <c r="AU6" s="177" t="n">
        <f aca="false">EOMONTH(AT6,1)</f>
        <v>46873</v>
      </c>
      <c r="AV6" s="177" t="n">
        <f aca="false">EOMONTH(AU6,1)</f>
        <v>46904</v>
      </c>
      <c r="AW6" s="177" t="n">
        <f aca="false">EOMONTH(AV6,1)</f>
        <v>46934</v>
      </c>
      <c r="AX6" s="177" t="n">
        <f aca="false">EOMONTH(AW6,1)</f>
        <v>46965</v>
      </c>
      <c r="AY6" s="177" t="n">
        <f aca="false">EOMONTH(AX6,1)</f>
        <v>46996</v>
      </c>
      <c r="AZ6" s="177" t="n">
        <f aca="false">EOMONTH(AY6,1)</f>
        <v>47026</v>
      </c>
      <c r="BA6" s="177" t="n">
        <f aca="false">EOMONTH(AZ6,1)</f>
        <v>47057</v>
      </c>
      <c r="BB6" s="177" t="n">
        <f aca="false">EOMONTH(BA6,1)</f>
        <v>47087</v>
      </c>
      <c r="BC6" s="177" t="n">
        <f aca="false">EOMONTH(BB6,1)</f>
        <v>47118</v>
      </c>
      <c r="BD6" s="177" t="n">
        <f aca="false">EOMONTH(BC6,1)</f>
        <v>47149</v>
      </c>
      <c r="BE6" s="177" t="n">
        <f aca="false">EOMONTH(BD6,1)</f>
        <v>47177</v>
      </c>
      <c r="BF6" s="177" t="n">
        <f aca="false">EOMONTH(BE6,1)</f>
        <v>47208</v>
      </c>
      <c r="BG6" s="177" t="n">
        <f aca="false">EOMONTH(BF6,1)</f>
        <v>47238</v>
      </c>
      <c r="BH6" s="177" t="n">
        <f aca="false">EOMONTH(BG6,1)</f>
        <v>47269</v>
      </c>
      <c r="BI6" s="177" t="n">
        <f aca="false">EOMONTH(BH6,1)</f>
        <v>47299</v>
      </c>
      <c r="BJ6" s="177" t="n">
        <f aca="false">EOMONTH(BI6,1)</f>
        <v>47330</v>
      </c>
      <c r="BK6" s="177" t="n">
        <f aca="false">EOMONTH(BJ6,1)</f>
        <v>47361</v>
      </c>
      <c r="BL6" s="177" t="n">
        <f aca="false">EOMONTH(BK6,1)</f>
        <v>47391</v>
      </c>
      <c r="BM6" s="177" t="n">
        <f aca="false">EOMONTH(BL6,1)</f>
        <v>47422</v>
      </c>
      <c r="BN6" s="177" t="n">
        <f aca="false">EOMONTH(BM6,1)</f>
        <v>47452</v>
      </c>
      <c r="BO6" s="177" t="n">
        <f aca="false">EOMONTH(BN6,1)</f>
        <v>47483</v>
      </c>
      <c r="BP6" s="177" t="n">
        <f aca="false">EOMONTH(BO6,1)</f>
        <v>47514</v>
      </c>
      <c r="BQ6" s="177" t="n">
        <f aca="false">EOMONTH(BP6,1)</f>
        <v>47542</v>
      </c>
      <c r="BR6" s="177" t="n">
        <f aca="false">EOMONTH(BQ6,1)</f>
        <v>47573</v>
      </c>
      <c r="BS6" s="177" t="n">
        <f aca="false">EOMONTH(BR6,1)</f>
        <v>47603</v>
      </c>
      <c r="BT6" s="177" t="n">
        <f aca="false">EOMONTH(BS6,1)</f>
        <v>47634</v>
      </c>
      <c r="BU6" s="177" t="n">
        <f aca="false">EOMONTH(BT6,1)</f>
        <v>47664</v>
      </c>
      <c r="BV6" s="177" t="n">
        <f aca="false">EOMONTH(BU6,1)</f>
        <v>47695</v>
      </c>
      <c r="BW6" s="177" t="n">
        <f aca="false">EOMONTH(BV6,1)</f>
        <v>47726</v>
      </c>
      <c r="BX6" s="177" t="n">
        <f aca="false">EOMONTH(BW6,1)</f>
        <v>47756</v>
      </c>
      <c r="BY6" s="177" t="n">
        <f aca="false">EOMONTH(BX6,1)</f>
        <v>47787</v>
      </c>
      <c r="BZ6" s="177" t="n">
        <f aca="false">EOMONTH(BY6,1)</f>
        <v>47817</v>
      </c>
      <c r="CA6" s="177" t="n">
        <f aca="false">EOMONTH(BZ6,1)</f>
        <v>47848</v>
      </c>
    </row>
    <row r="8" customFormat="false" ht="18" hidden="false" customHeight="true" outlineLevel="0" collapsed="false">
      <c r="B8" s="5" t="s">
        <v>260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10" customFormat="false" ht="15" hidden="false" customHeight="false" outlineLevel="0" collapsed="false">
      <c r="B10" s="10" t="s">
        <v>261</v>
      </c>
      <c r="D10" s="9" t="s">
        <v>680</v>
      </c>
      <c r="E10" s="9"/>
      <c r="F10" s="9"/>
      <c r="G10" s="9"/>
      <c r="H10" s="9"/>
    </row>
    <row r="11" customFormat="false" ht="22.35" hidden="false" customHeight="false" outlineLevel="0" collapsed="false">
      <c r="B11" s="10" t="s">
        <v>263</v>
      </c>
      <c r="D11" s="9" t="s">
        <v>264</v>
      </c>
      <c r="E11" s="9"/>
      <c r="F11" s="9"/>
      <c r="G11" s="9"/>
      <c r="H11" s="9"/>
      <c r="I11" s="155" t="s">
        <v>265</v>
      </c>
    </row>
    <row r="12" customFormat="false" ht="15" hidden="false" customHeight="false" outlineLevel="0" collapsed="false">
      <c r="B12" s="10" t="s">
        <v>132</v>
      </c>
      <c r="D12" s="9" t="s">
        <v>266</v>
      </c>
      <c r="E12" s="9"/>
      <c r="F12" s="9"/>
      <c r="G12" s="9"/>
      <c r="H12" s="9"/>
    </row>
    <row r="13" customFormat="false" ht="22.35" hidden="false" customHeight="false" outlineLevel="0" collapsed="false">
      <c r="B13" s="3" t="s">
        <v>267</v>
      </c>
      <c r="D13" s="178" t="n">
        <f aca="false">DATE(2027,9,1)</f>
        <v>46631</v>
      </c>
      <c r="I13" s="155" t="s">
        <v>268</v>
      </c>
    </row>
    <row r="15" customFormat="false" ht="15" hidden="false" customHeight="false" outlineLevel="0" collapsed="false">
      <c r="B15" s="167" t="s">
        <v>681</v>
      </c>
    </row>
    <row r="16" customFormat="false" ht="15" hidden="false" customHeight="false" outlineLevel="0" collapsed="false">
      <c r="B16" s="167" t="s">
        <v>270</v>
      </c>
    </row>
    <row r="17" customFormat="false" ht="15" hidden="false" customHeight="false" outlineLevel="0" collapsed="false">
      <c r="B17" s="179" t="s">
        <v>271</v>
      </c>
    </row>
    <row r="18" customFormat="false" ht="15" hidden="false" customHeight="false" outlineLevel="0" collapsed="false">
      <c r="B18" s="180" t="s">
        <v>682</v>
      </c>
    </row>
    <row r="19" customFormat="false" ht="15" hidden="false" customHeight="false" outlineLevel="0" collapsed="false">
      <c r="B19" s="180" t="s">
        <v>683</v>
      </c>
    </row>
    <row r="20" customFormat="false" ht="15" hidden="false" customHeight="false" outlineLevel="0" collapsed="false">
      <c r="B20" s="180" t="s">
        <v>684</v>
      </c>
    </row>
    <row r="22" customFormat="false" ht="18" hidden="false" customHeight="true" outlineLevel="0" collapsed="false">
      <c r="B22" s="5" t="s">
        <v>275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4" customFormat="false" ht="15" hidden="false" customHeight="false" outlineLevel="0" collapsed="false">
      <c r="B24" s="181" t="s">
        <v>685</v>
      </c>
    </row>
    <row r="25" customFormat="false" ht="32.8" hidden="false" customHeight="false" outlineLevel="0" collapsed="false">
      <c r="B25" s="182" t="s">
        <v>686</v>
      </c>
      <c r="D25" s="168" t="n">
        <v>0.55</v>
      </c>
      <c r="E25" s="167" t="s">
        <v>282</v>
      </c>
      <c r="F25" s="155" t="s">
        <v>687</v>
      </c>
    </row>
    <row r="26" customFormat="false" ht="15" hidden="false" customHeight="false" outlineLevel="0" collapsed="false">
      <c r="B26" s="182" t="s">
        <v>688</v>
      </c>
      <c r="D26" s="168" t="n">
        <v>0.4</v>
      </c>
      <c r="E26" s="167" t="s">
        <v>282</v>
      </c>
      <c r="F26" s="155" t="s">
        <v>689</v>
      </c>
    </row>
    <row r="27" customFormat="false" ht="15" hidden="false" customHeight="false" outlineLevel="0" collapsed="false">
      <c r="B27" s="182" t="s">
        <v>690</v>
      </c>
      <c r="D27" s="168" t="n">
        <v>0.25</v>
      </c>
      <c r="E27" s="167" t="s">
        <v>282</v>
      </c>
      <c r="F27" s="155" t="s">
        <v>691</v>
      </c>
    </row>
    <row r="28" customFormat="false" ht="15" hidden="false" customHeight="false" outlineLevel="0" collapsed="false">
      <c r="B28" s="182" t="s">
        <v>692</v>
      </c>
      <c r="D28" s="168" t="n">
        <v>0.95</v>
      </c>
      <c r="E28" s="167" t="s">
        <v>282</v>
      </c>
      <c r="F28" s="155" t="s">
        <v>693</v>
      </c>
    </row>
    <row r="29" customFormat="false" ht="15" hidden="false" customHeight="false" outlineLevel="0" collapsed="false">
      <c r="B29" s="181" t="s">
        <v>280</v>
      </c>
    </row>
    <row r="30" customFormat="false" ht="15" hidden="false" customHeight="false" outlineLevel="0" collapsed="false">
      <c r="B30" s="182" t="s">
        <v>281</v>
      </c>
      <c r="D30" s="168" t="n">
        <v>0.08</v>
      </c>
      <c r="E30" s="167" t="s">
        <v>282</v>
      </c>
    </row>
    <row r="31" customFormat="false" ht="15" hidden="false" customHeight="false" outlineLevel="0" collapsed="false">
      <c r="B31" s="182" t="s">
        <v>284</v>
      </c>
      <c r="D31" s="168" t="n">
        <v>0.1</v>
      </c>
      <c r="E31" s="167" t="s">
        <v>282</v>
      </c>
    </row>
    <row r="32" customFormat="false" ht="15" hidden="false" customHeight="false" outlineLevel="0" collapsed="false">
      <c r="B32" s="182" t="s">
        <v>286</v>
      </c>
      <c r="D32" s="183" t="n">
        <v>2.5</v>
      </c>
      <c r="E32" s="167" t="s">
        <v>287</v>
      </c>
      <c r="F32" s="155" t="s">
        <v>444</v>
      </c>
    </row>
    <row r="33" customFormat="false" ht="15" hidden="false" customHeight="false" outlineLevel="0" collapsed="false">
      <c r="B33" s="182" t="s">
        <v>289</v>
      </c>
      <c r="D33" s="158" t="n">
        <v>180000</v>
      </c>
      <c r="E33" s="167" t="s">
        <v>290</v>
      </c>
    </row>
    <row r="34" customFormat="false" ht="43.25" hidden="false" customHeight="false" outlineLevel="0" collapsed="false">
      <c r="B34" s="182" t="s">
        <v>694</v>
      </c>
      <c r="D34" s="183" t="n">
        <v>210.8406</v>
      </c>
      <c r="E34" s="167" t="s">
        <v>287</v>
      </c>
      <c r="F34" s="155" t="s">
        <v>695</v>
      </c>
    </row>
    <row r="35" customFormat="false" ht="15" hidden="false" customHeight="false" outlineLevel="0" collapsed="false">
      <c r="B35" s="182" t="s">
        <v>292</v>
      </c>
      <c r="D35" s="9"/>
    </row>
    <row r="36" customFormat="false" ht="15" hidden="false" customHeight="false" outlineLevel="0" collapsed="false">
      <c r="B36" s="182" t="s">
        <v>292</v>
      </c>
      <c r="D36" s="9"/>
    </row>
    <row r="38" customFormat="false" ht="15" hidden="false" customHeight="false" outlineLevel="0" collapsed="false">
      <c r="B38" s="184" t="s">
        <v>696</v>
      </c>
    </row>
    <row r="39" customFormat="false" ht="30" hidden="false" customHeight="true" outlineLevel="0" collapsed="false">
      <c r="B39" s="169" t="s">
        <v>697</v>
      </c>
      <c r="D39" s="169" t="s">
        <v>698</v>
      </c>
      <c r="E39" s="169" t="s">
        <v>294</v>
      </c>
      <c r="F39" s="169" t="s">
        <v>699</v>
      </c>
      <c r="G39" s="169" t="s">
        <v>700</v>
      </c>
      <c r="H39" s="169" t="s">
        <v>701</v>
      </c>
      <c r="I39" s="169" t="s">
        <v>702</v>
      </c>
      <c r="J39" s="169" t="s">
        <v>297</v>
      </c>
    </row>
    <row r="40" customFormat="false" ht="15" hidden="false" customHeight="false" outlineLevel="0" collapsed="false">
      <c r="B40" s="186" t="s">
        <v>703</v>
      </c>
      <c r="D40" s="158" t="n">
        <v>1631088.8</v>
      </c>
      <c r="E40" s="9" t="s">
        <v>522</v>
      </c>
      <c r="F40" s="187" t="n">
        <v>0.7611927106</v>
      </c>
      <c r="G40" s="190" t="n">
        <f aca="false">IF(E40="Easy",$D$25,IF(E40="Medium",$D$26,$D$27))</f>
        <v>0.25</v>
      </c>
      <c r="H40" s="233" t="n">
        <f aca="false">MIN(F40+G40*(1-F40),$D$28)</f>
        <v>0.82089453295</v>
      </c>
      <c r="I40" s="233" t="n">
        <f aca="false">(H40-F40)/(1-F40)</f>
        <v>0.25</v>
      </c>
      <c r="J40" s="159" t="n">
        <f aca="false">D40*I40</f>
        <v>407772.2</v>
      </c>
    </row>
    <row r="41" customFormat="false" ht="15" hidden="false" customHeight="false" outlineLevel="0" collapsed="false">
      <c r="B41" s="186" t="s">
        <v>704</v>
      </c>
      <c r="D41" s="158" t="n">
        <v>1034618.79</v>
      </c>
      <c r="E41" s="9" t="s">
        <v>519</v>
      </c>
      <c r="F41" s="187" t="n">
        <v>0.9182717891</v>
      </c>
      <c r="G41" s="190" t="n">
        <f aca="false">IF(E41="Easy",$D$25,IF(E41="Medium",$D$26,$D$27))</f>
        <v>0.55</v>
      </c>
      <c r="H41" s="233" t="n">
        <f aca="false">MIN(F41+G41*(1-F41),$D$28)</f>
        <v>0.95</v>
      </c>
      <c r="I41" s="233" t="n">
        <f aca="false">(H41-F41)/(1-F41)</f>
        <v>0.388216144102574</v>
      </c>
      <c r="J41" s="159" t="n">
        <f aca="false">D41*I41</f>
        <v>401655.717269871</v>
      </c>
    </row>
    <row r="42" customFormat="false" ht="15" hidden="false" customHeight="false" outlineLevel="0" collapsed="false">
      <c r="B42" s="186" t="s">
        <v>705</v>
      </c>
      <c r="D42" s="158" t="n">
        <v>2895665.62</v>
      </c>
      <c r="E42" s="9" t="s">
        <v>519</v>
      </c>
      <c r="F42" s="187" t="n">
        <v>0.8453057869</v>
      </c>
      <c r="G42" s="190" t="n">
        <f aca="false">IF(E42="Easy",$D$25,IF(E42="Medium",$D$26,$D$27))</f>
        <v>0.55</v>
      </c>
      <c r="H42" s="233" t="n">
        <f aca="false">MIN(F42+G42*(1-F42),$D$28)</f>
        <v>0.930387604105</v>
      </c>
      <c r="I42" s="233" t="n">
        <f aca="false">(H42-F42)/(1-F42)</f>
        <v>0.55</v>
      </c>
      <c r="J42" s="159" t="n">
        <f aca="false">D42*I42</f>
        <v>1592616.091</v>
      </c>
    </row>
    <row r="43" customFormat="false" ht="15" hidden="false" customHeight="false" outlineLevel="0" collapsed="false">
      <c r="B43" s="186" t="s">
        <v>706</v>
      </c>
      <c r="D43" s="158" t="n">
        <v>417774.92</v>
      </c>
      <c r="E43" s="9" t="s">
        <v>217</v>
      </c>
      <c r="F43" s="187" t="n">
        <v>0.7050737281</v>
      </c>
      <c r="G43" s="190" t="n">
        <f aca="false">IF(E43="Easy",$D$25,IF(E43="Medium",$D$26,$D$27))</f>
        <v>0.4</v>
      </c>
      <c r="H43" s="233" t="n">
        <f aca="false">MIN(F43+G43*(1-F43),$D$28)</f>
        <v>0.82304423686</v>
      </c>
      <c r="I43" s="233" t="n">
        <f aca="false">(H43-F43)/(1-F43)</f>
        <v>0.4</v>
      </c>
      <c r="J43" s="159" t="n">
        <f aca="false">D43*I43</f>
        <v>167109.968</v>
      </c>
    </row>
    <row r="44" customFormat="false" ht="15" hidden="false" customHeight="false" outlineLevel="0" collapsed="false">
      <c r="B44" s="186" t="s">
        <v>707</v>
      </c>
      <c r="D44" s="158" t="n">
        <v>1610134.92</v>
      </c>
      <c r="E44" s="9" t="s">
        <v>217</v>
      </c>
      <c r="F44" s="187" t="n">
        <v>0.6079754214</v>
      </c>
      <c r="G44" s="190" t="n">
        <f aca="false">IF(E44="Easy",$D$25,IF(E44="Medium",$D$26,$D$27))</f>
        <v>0.4</v>
      </c>
      <c r="H44" s="233" t="n">
        <f aca="false">MIN(F44+G44*(1-F44),$D$28)</f>
        <v>0.76478525284</v>
      </c>
      <c r="I44" s="233" t="n">
        <f aca="false">(H44-F44)/(1-F44)</f>
        <v>0.4</v>
      </c>
      <c r="J44" s="159" t="n">
        <f aca="false">D44*I44</f>
        <v>644053.968</v>
      </c>
    </row>
    <row r="45" customFormat="false" ht="15" hidden="false" customHeight="false" outlineLevel="0" collapsed="false">
      <c r="B45" s="186" t="s">
        <v>708</v>
      </c>
      <c r="D45" s="158" t="n">
        <v>7343551.07</v>
      </c>
      <c r="E45" s="9" t="s">
        <v>217</v>
      </c>
      <c r="F45" s="187" t="n">
        <v>0.8261161516</v>
      </c>
      <c r="G45" s="190" t="n">
        <f aca="false">IF(E45="Easy",$D$25,IF(E45="Medium",$D$26,$D$27))</f>
        <v>0.4</v>
      </c>
      <c r="H45" s="233" t="n">
        <f aca="false">MIN(F45+G45*(1-F45),$D$28)</f>
        <v>0.89566969096</v>
      </c>
      <c r="I45" s="233" t="n">
        <f aca="false">(H45-F45)/(1-F45)</f>
        <v>0.4</v>
      </c>
      <c r="J45" s="159" t="n">
        <f aca="false">D45*I45</f>
        <v>2937420.428</v>
      </c>
    </row>
    <row r="46" customFormat="false" ht="15" hidden="false" customHeight="false" outlineLevel="0" collapsed="false">
      <c r="B46" s="186" t="s">
        <v>709</v>
      </c>
      <c r="D46" s="158" t="n">
        <v>2731500.87</v>
      </c>
      <c r="E46" s="9" t="s">
        <v>522</v>
      </c>
      <c r="F46" s="187" t="n">
        <v>0.6029094246</v>
      </c>
      <c r="G46" s="190" t="n">
        <f aca="false">IF(E46="Easy",$D$25,IF(E46="Medium",$D$26,$D$27))</f>
        <v>0.25</v>
      </c>
      <c r="H46" s="233" t="n">
        <f aca="false">MIN(F46+G46*(1-F46),$D$28)</f>
        <v>0.70218206845</v>
      </c>
      <c r="I46" s="233" t="n">
        <f aca="false">(H46-F46)/(1-F46)</f>
        <v>0.25</v>
      </c>
      <c r="J46" s="159" t="n">
        <f aca="false">D46*I46</f>
        <v>682875.2175</v>
      </c>
    </row>
    <row r="47" customFormat="false" ht="15" hidden="false" customHeight="false" outlineLevel="0" collapsed="false">
      <c r="B47" s="3" t="s">
        <v>710</v>
      </c>
      <c r="D47" s="159" t="n">
        <f aca="false">SUM(D40:D46)</f>
        <v>17664334.99</v>
      </c>
      <c r="J47" s="159" t="n">
        <f aca="false">SUM(J40:J46)</f>
        <v>6833503.58976987</v>
      </c>
    </row>
    <row r="49" customFormat="false" ht="18" hidden="false" customHeight="true" outlineLevel="0" collapsed="false">
      <c r="B49" s="5" t="s">
        <v>310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1" customFormat="false" ht="22.35" hidden="false" customHeight="false" outlineLevel="0" collapsed="false">
      <c r="B51" s="182" t="s">
        <v>311</v>
      </c>
      <c r="D51" s="159" t="n">
        <f aca="false">$J$47</f>
        <v>6833503.58976987</v>
      </c>
      <c r="E51" s="167" t="s">
        <v>278</v>
      </c>
      <c r="F51" s="155" t="s">
        <v>711</v>
      </c>
    </row>
    <row r="52" customFormat="false" ht="15" hidden="false" customHeight="false" outlineLevel="0" collapsed="false">
      <c r="B52" s="182" t="s">
        <v>712</v>
      </c>
      <c r="D52" s="159" t="n">
        <f aca="false">$D$47-$D$51</f>
        <v>10830831.4002301</v>
      </c>
      <c r="E52" s="167" t="s">
        <v>278</v>
      </c>
      <c r="F52" s="155" t="s">
        <v>713</v>
      </c>
    </row>
    <row r="54" customFormat="false" ht="18" hidden="false" customHeight="true" outlineLevel="0" collapsed="false">
      <c r="B54" s="5" t="s">
        <v>317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6" customFormat="false" ht="53.7" hidden="false" customHeight="false" outlineLevel="0" collapsed="false">
      <c r="B56" s="3" t="s">
        <v>318</v>
      </c>
      <c r="D56" s="156" t="n">
        <v>8</v>
      </c>
      <c r="F56" s="155" t="s">
        <v>319</v>
      </c>
    </row>
    <row r="57" customFormat="false" ht="15" hidden="false" customHeight="false" outlineLevel="0" collapsed="false">
      <c r="B57" s="10" t="s">
        <v>320</v>
      </c>
      <c r="T57" s="190" t="n">
        <f aca="false">MIN(1,MAX(0,((YEAR(T$6)-YEAR($D$13))*12+MONTH(T$6)-MONTH($D$13)+0.5)/MAX($D$56,0.5)))</f>
        <v>0</v>
      </c>
      <c r="U57" s="190" t="n">
        <f aca="false">MIN(1,MAX(0,((YEAR(U$6)-YEAR($D$13))*12+MONTH(U$6)-MONTH($D$13)+0.5)/MAX($D$56,0.5)))</f>
        <v>0</v>
      </c>
      <c r="V57" s="190" t="n">
        <f aca="false">MIN(1,MAX(0,((YEAR(V$6)-YEAR($D$13))*12+MONTH(V$6)-MONTH($D$13)+0.5)/MAX($D$56,0.5)))</f>
        <v>0</v>
      </c>
      <c r="W57" s="190" t="n">
        <f aca="false">MIN(1,MAX(0,((YEAR(W$6)-YEAR($D$13))*12+MONTH(W$6)-MONTH($D$13)+0.5)/MAX($D$56,0.5)))</f>
        <v>0</v>
      </c>
      <c r="X57" s="190" t="n">
        <f aca="false">MIN(1,MAX(0,((YEAR(X$6)-YEAR($D$13))*12+MONTH(X$6)-MONTH($D$13)+0.5)/MAX($D$56,0.5)))</f>
        <v>0</v>
      </c>
      <c r="Y57" s="190" t="n">
        <f aca="false">MIN(1,MAX(0,((YEAR(Y$6)-YEAR($D$13))*12+MONTH(Y$6)-MONTH($D$13)+0.5)/MAX($D$56,0.5)))</f>
        <v>0</v>
      </c>
      <c r="Z57" s="190" t="n">
        <f aca="false">MIN(1,MAX(0,((YEAR(Z$6)-YEAR($D$13))*12+MONTH(Z$6)-MONTH($D$13)+0.5)/MAX($D$56,0.5)))</f>
        <v>0</v>
      </c>
      <c r="AA57" s="190" t="n">
        <f aca="false">MIN(1,MAX(0,((YEAR(AA$6)-YEAR($D$13))*12+MONTH(AA$6)-MONTH($D$13)+0.5)/MAX($D$56,0.5)))</f>
        <v>0</v>
      </c>
      <c r="AB57" s="190" t="n">
        <f aca="false">MIN(1,MAX(0,((YEAR(AB$6)-YEAR($D$13))*12+MONTH(AB$6)-MONTH($D$13)+0.5)/MAX($D$56,0.5)))</f>
        <v>0</v>
      </c>
      <c r="AC57" s="190" t="n">
        <f aca="false">MIN(1,MAX(0,((YEAR(AC$6)-YEAR($D$13))*12+MONTH(AC$6)-MONTH($D$13)+0.5)/MAX($D$56,0.5)))</f>
        <v>0</v>
      </c>
      <c r="AD57" s="190" t="n">
        <f aca="false">MIN(1,MAX(0,((YEAR(AD$6)-YEAR($D$13))*12+MONTH(AD$6)-MONTH($D$13)+0.5)/MAX($D$56,0.5)))</f>
        <v>0</v>
      </c>
      <c r="AE57" s="190" t="n">
        <f aca="false">MIN(1,MAX(0,((YEAR(AE$6)-YEAR($D$13))*12+MONTH(AE$6)-MONTH($D$13)+0.5)/MAX($D$56,0.5)))</f>
        <v>0</v>
      </c>
      <c r="AF57" s="190" t="n">
        <f aca="false">MIN(1,MAX(0,((YEAR(AF$6)-YEAR($D$13))*12+MONTH(AF$6)-MONTH($D$13)+0.5)/MAX($D$56,0.5)))</f>
        <v>0</v>
      </c>
      <c r="AG57" s="190" t="n">
        <f aca="false">MIN(1,MAX(0,((YEAR(AG$6)-YEAR($D$13))*12+MONTH(AG$6)-MONTH($D$13)+0.5)/MAX($D$56,0.5)))</f>
        <v>0</v>
      </c>
      <c r="AH57" s="190" t="n">
        <f aca="false">MIN(1,MAX(0,((YEAR(AH$6)-YEAR($D$13))*12+MONTH(AH$6)-MONTH($D$13)+0.5)/MAX($D$56,0.5)))</f>
        <v>0</v>
      </c>
      <c r="AI57" s="190" t="n">
        <f aca="false">MIN(1,MAX(0,((YEAR(AI$6)-YEAR($D$13))*12+MONTH(AI$6)-MONTH($D$13)+0.5)/MAX($D$56,0.5)))</f>
        <v>0</v>
      </c>
      <c r="AJ57" s="190" t="n">
        <f aca="false">MIN(1,MAX(0,((YEAR(AJ$6)-YEAR($D$13))*12+MONTH(AJ$6)-MONTH($D$13)+0.5)/MAX($D$56,0.5)))</f>
        <v>0</v>
      </c>
      <c r="AK57" s="190" t="n">
        <f aca="false">MIN(1,MAX(0,((YEAR(AK$6)-YEAR($D$13))*12+MONTH(AK$6)-MONTH($D$13)+0.5)/MAX($D$56,0.5)))</f>
        <v>0</v>
      </c>
      <c r="AL57" s="190" t="n">
        <f aca="false">MIN(1,MAX(0,((YEAR(AL$6)-YEAR($D$13))*12+MONTH(AL$6)-MONTH($D$13)+0.5)/MAX($D$56,0.5)))</f>
        <v>0</v>
      </c>
      <c r="AM57" s="190" t="n">
        <f aca="false">MIN(1,MAX(0,((YEAR(AM$6)-YEAR($D$13))*12+MONTH(AM$6)-MONTH($D$13)+0.5)/MAX($D$56,0.5)))</f>
        <v>0</v>
      </c>
      <c r="AN57" s="190" t="n">
        <f aca="false">MIN(1,MAX(0,((YEAR(AN$6)-YEAR($D$13))*12+MONTH(AN$6)-MONTH($D$13)+0.5)/MAX($D$56,0.5)))</f>
        <v>0.0625</v>
      </c>
      <c r="AO57" s="190" t="n">
        <f aca="false">MIN(1,MAX(0,((YEAR(AO$6)-YEAR($D$13))*12+MONTH(AO$6)-MONTH($D$13)+0.5)/MAX($D$56,0.5)))</f>
        <v>0.1875</v>
      </c>
      <c r="AP57" s="190" t="n">
        <f aca="false">MIN(1,MAX(0,((YEAR(AP$6)-YEAR($D$13))*12+MONTH(AP$6)-MONTH($D$13)+0.5)/MAX($D$56,0.5)))</f>
        <v>0.3125</v>
      </c>
      <c r="AQ57" s="190" t="n">
        <f aca="false">MIN(1,MAX(0,((YEAR(AQ$6)-YEAR($D$13))*12+MONTH(AQ$6)-MONTH($D$13)+0.5)/MAX($D$56,0.5)))</f>
        <v>0.4375</v>
      </c>
      <c r="AR57" s="190" t="n">
        <f aca="false">MIN(1,MAX(0,((YEAR(AR$6)-YEAR($D$13))*12+MONTH(AR$6)-MONTH($D$13)+0.5)/MAX($D$56,0.5)))</f>
        <v>0.5625</v>
      </c>
      <c r="AS57" s="190" t="n">
        <f aca="false">MIN(1,MAX(0,((YEAR(AS$6)-YEAR($D$13))*12+MONTH(AS$6)-MONTH($D$13)+0.5)/MAX($D$56,0.5)))</f>
        <v>0.6875</v>
      </c>
      <c r="AT57" s="190" t="n">
        <f aca="false">MIN(1,MAX(0,((YEAR(AT$6)-YEAR($D$13))*12+MONTH(AT$6)-MONTH($D$13)+0.5)/MAX($D$56,0.5)))</f>
        <v>0.8125</v>
      </c>
      <c r="AU57" s="190" t="n">
        <f aca="false">MIN(1,MAX(0,((YEAR(AU$6)-YEAR($D$13))*12+MONTH(AU$6)-MONTH($D$13)+0.5)/MAX($D$56,0.5)))</f>
        <v>0.9375</v>
      </c>
      <c r="AV57" s="190" t="n">
        <f aca="false">MIN(1,MAX(0,((YEAR(AV$6)-YEAR($D$13))*12+MONTH(AV$6)-MONTH($D$13)+0.5)/MAX($D$56,0.5)))</f>
        <v>1</v>
      </c>
      <c r="AW57" s="190" t="n">
        <f aca="false">MIN(1,MAX(0,((YEAR(AW$6)-YEAR($D$13))*12+MONTH(AW$6)-MONTH($D$13)+0.5)/MAX($D$56,0.5)))</f>
        <v>1</v>
      </c>
      <c r="AX57" s="190" t="n">
        <f aca="false">MIN(1,MAX(0,((YEAR(AX$6)-YEAR($D$13))*12+MONTH(AX$6)-MONTH($D$13)+0.5)/MAX($D$56,0.5)))</f>
        <v>1</v>
      </c>
      <c r="AY57" s="190" t="n">
        <f aca="false">MIN(1,MAX(0,((YEAR(AY$6)-YEAR($D$13))*12+MONTH(AY$6)-MONTH($D$13)+0.5)/MAX($D$56,0.5)))</f>
        <v>1</v>
      </c>
      <c r="AZ57" s="190" t="n">
        <f aca="false">MIN(1,MAX(0,((YEAR(AZ$6)-YEAR($D$13))*12+MONTH(AZ$6)-MONTH($D$13)+0.5)/MAX($D$56,0.5)))</f>
        <v>1</v>
      </c>
      <c r="BA57" s="190" t="n">
        <f aca="false">MIN(1,MAX(0,((YEAR(BA$6)-YEAR($D$13))*12+MONTH(BA$6)-MONTH($D$13)+0.5)/MAX($D$56,0.5)))</f>
        <v>1</v>
      </c>
      <c r="BB57" s="190" t="n">
        <f aca="false">MIN(1,MAX(0,((YEAR(BB$6)-YEAR($D$13))*12+MONTH(BB$6)-MONTH($D$13)+0.5)/MAX($D$56,0.5)))</f>
        <v>1</v>
      </c>
      <c r="BC57" s="190" t="n">
        <f aca="false">MIN(1,MAX(0,((YEAR(BC$6)-YEAR($D$13))*12+MONTH(BC$6)-MONTH($D$13)+0.5)/MAX($D$56,0.5)))</f>
        <v>1</v>
      </c>
      <c r="BD57" s="190" t="n">
        <f aca="false">MIN(1,MAX(0,((YEAR(BD$6)-YEAR($D$13))*12+MONTH(BD$6)-MONTH($D$13)+0.5)/MAX($D$56,0.5)))</f>
        <v>1</v>
      </c>
      <c r="BE57" s="190" t="n">
        <f aca="false">MIN(1,MAX(0,((YEAR(BE$6)-YEAR($D$13))*12+MONTH(BE$6)-MONTH($D$13)+0.5)/MAX($D$56,0.5)))</f>
        <v>1</v>
      </c>
      <c r="BF57" s="190" t="n">
        <f aca="false">MIN(1,MAX(0,((YEAR(BF$6)-YEAR($D$13))*12+MONTH(BF$6)-MONTH($D$13)+0.5)/MAX($D$56,0.5)))</f>
        <v>1</v>
      </c>
      <c r="BG57" s="190" t="n">
        <f aca="false">MIN(1,MAX(0,((YEAR(BG$6)-YEAR($D$13))*12+MONTH(BG$6)-MONTH($D$13)+0.5)/MAX($D$56,0.5)))</f>
        <v>1</v>
      </c>
      <c r="BH57" s="190" t="n">
        <f aca="false">MIN(1,MAX(0,((YEAR(BH$6)-YEAR($D$13))*12+MONTH(BH$6)-MONTH($D$13)+0.5)/MAX($D$56,0.5)))</f>
        <v>1</v>
      </c>
      <c r="BI57" s="190" t="n">
        <f aca="false">MIN(1,MAX(0,((YEAR(BI$6)-YEAR($D$13))*12+MONTH(BI$6)-MONTH($D$13)+0.5)/MAX($D$56,0.5)))</f>
        <v>1</v>
      </c>
      <c r="BJ57" s="190" t="n">
        <f aca="false">MIN(1,MAX(0,((YEAR(BJ$6)-YEAR($D$13))*12+MONTH(BJ$6)-MONTH($D$13)+0.5)/MAX($D$56,0.5)))</f>
        <v>1</v>
      </c>
      <c r="BK57" s="190" t="n">
        <f aca="false">MIN(1,MAX(0,((YEAR(BK$6)-YEAR($D$13))*12+MONTH(BK$6)-MONTH($D$13)+0.5)/MAX($D$56,0.5)))</f>
        <v>1</v>
      </c>
      <c r="BL57" s="190" t="n">
        <f aca="false">MIN(1,MAX(0,((YEAR(BL$6)-YEAR($D$13))*12+MONTH(BL$6)-MONTH($D$13)+0.5)/MAX($D$56,0.5)))</f>
        <v>1</v>
      </c>
      <c r="BM57" s="190" t="n">
        <f aca="false">MIN(1,MAX(0,((YEAR(BM$6)-YEAR($D$13))*12+MONTH(BM$6)-MONTH($D$13)+0.5)/MAX($D$56,0.5)))</f>
        <v>1</v>
      </c>
      <c r="BN57" s="190" t="n">
        <f aca="false">MIN(1,MAX(0,((YEAR(BN$6)-YEAR($D$13))*12+MONTH(BN$6)-MONTH($D$13)+0.5)/MAX($D$56,0.5)))</f>
        <v>1</v>
      </c>
      <c r="BO57" s="190" t="n">
        <f aca="false">MIN(1,MAX(0,((YEAR(BO$6)-YEAR($D$13))*12+MONTH(BO$6)-MONTH($D$13)+0.5)/MAX($D$56,0.5)))</f>
        <v>1</v>
      </c>
      <c r="BP57" s="190" t="n">
        <f aca="false">MIN(1,MAX(0,((YEAR(BP$6)-YEAR($D$13))*12+MONTH(BP$6)-MONTH($D$13)+0.5)/MAX($D$56,0.5)))</f>
        <v>1</v>
      </c>
      <c r="BQ57" s="190" t="n">
        <f aca="false">MIN(1,MAX(0,((YEAR(BQ$6)-YEAR($D$13))*12+MONTH(BQ$6)-MONTH($D$13)+0.5)/MAX($D$56,0.5)))</f>
        <v>1</v>
      </c>
      <c r="BR57" s="190" t="n">
        <f aca="false">MIN(1,MAX(0,((YEAR(BR$6)-YEAR($D$13))*12+MONTH(BR$6)-MONTH($D$13)+0.5)/MAX($D$56,0.5)))</f>
        <v>1</v>
      </c>
      <c r="BS57" s="190" t="n">
        <f aca="false">MIN(1,MAX(0,((YEAR(BS$6)-YEAR($D$13))*12+MONTH(BS$6)-MONTH($D$13)+0.5)/MAX($D$56,0.5)))</f>
        <v>1</v>
      </c>
      <c r="BT57" s="190" t="n">
        <f aca="false">MIN(1,MAX(0,((YEAR(BT$6)-YEAR($D$13))*12+MONTH(BT$6)-MONTH($D$13)+0.5)/MAX($D$56,0.5)))</f>
        <v>1</v>
      </c>
      <c r="BU57" s="190" t="n">
        <f aca="false">MIN(1,MAX(0,((YEAR(BU$6)-YEAR($D$13))*12+MONTH(BU$6)-MONTH($D$13)+0.5)/MAX($D$56,0.5)))</f>
        <v>1</v>
      </c>
      <c r="BV57" s="190" t="n">
        <f aca="false">MIN(1,MAX(0,((YEAR(BV$6)-YEAR($D$13))*12+MONTH(BV$6)-MONTH($D$13)+0.5)/MAX($D$56,0.5)))</f>
        <v>1</v>
      </c>
      <c r="BW57" s="190" t="n">
        <f aca="false">MIN(1,MAX(0,((YEAR(BW$6)-YEAR($D$13))*12+MONTH(BW$6)-MONTH($D$13)+0.5)/MAX($D$56,0.5)))</f>
        <v>1</v>
      </c>
      <c r="BX57" s="190" t="n">
        <f aca="false">MIN(1,MAX(0,((YEAR(BX$6)-YEAR($D$13))*12+MONTH(BX$6)-MONTH($D$13)+0.5)/MAX($D$56,0.5)))</f>
        <v>1</v>
      </c>
      <c r="BY57" s="190" t="n">
        <f aca="false">MIN(1,MAX(0,((YEAR(BY$6)-YEAR($D$13))*12+MONTH(BY$6)-MONTH($D$13)+0.5)/MAX($D$56,0.5)))</f>
        <v>1</v>
      </c>
      <c r="BZ57" s="190" t="n">
        <f aca="false">MIN(1,MAX(0,((YEAR(BZ$6)-YEAR($D$13))*12+MONTH(BZ$6)-MONTH($D$13)+0.5)/MAX($D$56,0.5)))</f>
        <v>1</v>
      </c>
      <c r="CA57" s="190" t="n">
        <f aca="false">MIN(1,MAX(0,((YEAR(CA$6)-YEAR($D$13))*12+MONTH(CA$6)-MONTH($D$13)+0.5)/MAX($D$56,0.5)))</f>
        <v>1</v>
      </c>
    </row>
    <row r="58" customFormat="false" ht="15" hidden="false" customHeight="false" outlineLevel="0" collapsed="false">
      <c r="B58" s="10" t="s">
        <v>321</v>
      </c>
      <c r="L58" s="190" t="n">
        <f aca="false">SUMIFS($T57:$CA57,$T$5:$CA$5,2026)/12</f>
        <v>0</v>
      </c>
      <c r="M58" s="190" t="n">
        <f aca="false">SUMIFS($T57:$CA57,$T$5:$CA$5,2027)/12</f>
        <v>0.0833333333333333</v>
      </c>
      <c r="N58" s="190" t="n">
        <f aca="false">SUMIFS($T57:$CA57,$T$5:$CA$5,2028)/12</f>
        <v>0.916666666666667</v>
      </c>
      <c r="O58" s="190" t="n">
        <f aca="false">SUMIFS($T57:$CA57,$T$5:$CA$5,2029)/12</f>
        <v>1</v>
      </c>
      <c r="P58" s="190" t="n">
        <f aca="false">SUMIFS($T57:$CA57,$T$5:$CA$5,2030)/12</f>
        <v>1</v>
      </c>
    </row>
    <row r="60" customFormat="false" ht="18" hidden="false" customHeight="true" outlineLevel="0" collapsed="false">
      <c r="B60" s="5" t="s">
        <v>322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2" customFormat="false" ht="15" hidden="false" customHeight="false" outlineLevel="0" collapsed="false">
      <c r="B62" s="191" t="s">
        <v>323</v>
      </c>
      <c r="D62" s="169" t="s">
        <v>324</v>
      </c>
      <c r="K62" s="192" t="s">
        <v>259</v>
      </c>
    </row>
    <row r="63" customFormat="false" ht="15" hidden="false" customHeight="false" outlineLevel="0" collapsed="false">
      <c r="B63" s="10" t="s">
        <v>714</v>
      </c>
      <c r="D63" s="193" t="n">
        <f aca="false">$D$47/1000000</f>
        <v>17.66433499</v>
      </c>
      <c r="K63" s="193" t="n">
        <f aca="false">SUMIFS($T63:$CA63,$T$5:$CA$5,2030)</f>
        <v>6.83350358976987</v>
      </c>
      <c r="L63" s="193" t="n">
        <f aca="false">SUMIFS($T63:$CA63,$T$5:$CA$5,2026)</f>
        <v>0</v>
      </c>
      <c r="M63" s="193" t="n">
        <f aca="false">SUMIFS($T63:$CA63,$T$5:$CA$5,2027)</f>
        <v>0.569458632480822</v>
      </c>
      <c r="N63" s="193" t="n">
        <f aca="false">SUMIFS($T63:$CA63,$T$5:$CA$5,2028)</f>
        <v>6.26404495728905</v>
      </c>
      <c r="O63" s="193" t="n">
        <f aca="false">SUMIFS($T63:$CA63,$T$5:$CA$5,2029)</f>
        <v>6.83350358976987</v>
      </c>
      <c r="P63" s="193" t="n">
        <f aca="false">SUMIFS($T63:$CA63,$T$5:$CA$5,2030)</f>
        <v>6.83350358976987</v>
      </c>
      <c r="R63" s="10"/>
      <c r="T63" s="193" t="n">
        <f aca="false">($D$51)/1000000/12*T$57</f>
        <v>0</v>
      </c>
      <c r="U63" s="193" t="n">
        <f aca="false">($D$51)/1000000/12*U$57</f>
        <v>0</v>
      </c>
      <c r="V63" s="193" t="n">
        <f aca="false">($D$51)/1000000/12*V$57</f>
        <v>0</v>
      </c>
      <c r="W63" s="193" t="n">
        <f aca="false">($D$51)/1000000/12*W$57</f>
        <v>0</v>
      </c>
      <c r="X63" s="193" t="n">
        <f aca="false">($D$51)/1000000/12*X$57</f>
        <v>0</v>
      </c>
      <c r="Y63" s="193" t="n">
        <f aca="false">($D$51)/1000000/12*Y$57</f>
        <v>0</v>
      </c>
      <c r="Z63" s="193" t="n">
        <f aca="false">($D$51)/1000000/12*Z$57</f>
        <v>0</v>
      </c>
      <c r="AA63" s="193" t="n">
        <f aca="false">($D$51)/1000000/12*AA$57</f>
        <v>0</v>
      </c>
      <c r="AB63" s="193" t="n">
        <f aca="false">($D$51)/1000000/12*AB$57</f>
        <v>0</v>
      </c>
      <c r="AC63" s="193" t="n">
        <f aca="false">($D$51)/1000000/12*AC$57</f>
        <v>0</v>
      </c>
      <c r="AD63" s="193" t="n">
        <f aca="false">($D$51)/1000000/12*AD$57</f>
        <v>0</v>
      </c>
      <c r="AE63" s="193" t="n">
        <f aca="false">($D$51)/1000000/12*AE$57</f>
        <v>0</v>
      </c>
      <c r="AF63" s="193" t="n">
        <f aca="false">($D$51)/1000000/12*AF$57</f>
        <v>0</v>
      </c>
      <c r="AG63" s="193" t="n">
        <f aca="false">($D$51)/1000000/12*AG$57</f>
        <v>0</v>
      </c>
      <c r="AH63" s="193" t="n">
        <f aca="false">($D$51)/1000000/12*AH$57</f>
        <v>0</v>
      </c>
      <c r="AI63" s="193" t="n">
        <f aca="false">($D$51)/1000000/12*AI$57</f>
        <v>0</v>
      </c>
      <c r="AJ63" s="193" t="n">
        <f aca="false">($D$51)/1000000/12*AJ$57</f>
        <v>0</v>
      </c>
      <c r="AK63" s="193" t="n">
        <f aca="false">($D$51)/1000000/12*AK$57</f>
        <v>0</v>
      </c>
      <c r="AL63" s="193" t="n">
        <f aca="false">($D$51)/1000000/12*AL$57</f>
        <v>0</v>
      </c>
      <c r="AM63" s="193" t="n">
        <f aca="false">($D$51)/1000000/12*AM$57</f>
        <v>0</v>
      </c>
      <c r="AN63" s="193" t="n">
        <f aca="false">($D$51)/1000000/12*AN$57</f>
        <v>0.0355911645300514</v>
      </c>
      <c r="AO63" s="193" t="n">
        <f aca="false">($D$51)/1000000/12*AO$57</f>
        <v>0.106773493590154</v>
      </c>
      <c r="AP63" s="193" t="n">
        <f aca="false">($D$51)/1000000/12*AP$57</f>
        <v>0.177955822650257</v>
      </c>
      <c r="AQ63" s="193" t="n">
        <f aca="false">($D$51)/1000000/12*AQ$57</f>
        <v>0.24913815171036</v>
      </c>
      <c r="AR63" s="193" t="n">
        <f aca="false">($D$51)/1000000/12*AR$57</f>
        <v>0.320320480770463</v>
      </c>
      <c r="AS63" s="193" t="n">
        <f aca="false">($D$51)/1000000/12*AS$57</f>
        <v>0.391502809830565</v>
      </c>
      <c r="AT63" s="193" t="n">
        <f aca="false">($D$51)/1000000/12*AT$57</f>
        <v>0.462685138890668</v>
      </c>
      <c r="AU63" s="193" t="n">
        <f aca="false">($D$51)/1000000/12*AU$57</f>
        <v>0.533867467950771</v>
      </c>
      <c r="AV63" s="193" t="n">
        <f aca="false">($D$51)/1000000/12*AV$57</f>
        <v>0.569458632480822</v>
      </c>
      <c r="AW63" s="193" t="n">
        <f aca="false">($D$51)/1000000/12*AW$57</f>
        <v>0.569458632480822</v>
      </c>
      <c r="AX63" s="193" t="n">
        <f aca="false">($D$51)/1000000/12*AX$57</f>
        <v>0.569458632480822</v>
      </c>
      <c r="AY63" s="193" t="n">
        <f aca="false">($D$51)/1000000/12*AY$57</f>
        <v>0.569458632480822</v>
      </c>
      <c r="AZ63" s="193" t="n">
        <f aca="false">($D$51)/1000000/12*AZ$57</f>
        <v>0.569458632480822</v>
      </c>
      <c r="BA63" s="193" t="n">
        <f aca="false">($D$51)/1000000/12*BA$57</f>
        <v>0.569458632480822</v>
      </c>
      <c r="BB63" s="193" t="n">
        <f aca="false">($D$51)/1000000/12*BB$57</f>
        <v>0.569458632480822</v>
      </c>
      <c r="BC63" s="193" t="n">
        <f aca="false">($D$51)/1000000/12*BC$57</f>
        <v>0.569458632480822</v>
      </c>
      <c r="BD63" s="193" t="n">
        <f aca="false">($D$51)/1000000/12*BD$57</f>
        <v>0.569458632480822</v>
      </c>
      <c r="BE63" s="193" t="n">
        <f aca="false">($D$51)/1000000/12*BE$57</f>
        <v>0.569458632480822</v>
      </c>
      <c r="BF63" s="193" t="n">
        <f aca="false">($D$51)/1000000/12*BF$57</f>
        <v>0.569458632480822</v>
      </c>
      <c r="BG63" s="193" t="n">
        <f aca="false">($D$51)/1000000/12*BG$57</f>
        <v>0.569458632480822</v>
      </c>
      <c r="BH63" s="193" t="n">
        <f aca="false">($D$51)/1000000/12*BH$57</f>
        <v>0.569458632480822</v>
      </c>
      <c r="BI63" s="193" t="n">
        <f aca="false">($D$51)/1000000/12*BI$57</f>
        <v>0.569458632480822</v>
      </c>
      <c r="BJ63" s="193" t="n">
        <f aca="false">($D$51)/1000000/12*BJ$57</f>
        <v>0.569458632480822</v>
      </c>
      <c r="BK63" s="193" t="n">
        <f aca="false">($D$51)/1000000/12*BK$57</f>
        <v>0.569458632480822</v>
      </c>
      <c r="BL63" s="193" t="n">
        <f aca="false">($D$51)/1000000/12*BL$57</f>
        <v>0.569458632480822</v>
      </c>
      <c r="BM63" s="193" t="n">
        <f aca="false">($D$51)/1000000/12*BM$57</f>
        <v>0.569458632480822</v>
      </c>
      <c r="BN63" s="193" t="n">
        <f aca="false">($D$51)/1000000/12*BN$57</f>
        <v>0.569458632480822</v>
      </c>
      <c r="BO63" s="193" t="n">
        <f aca="false">($D$51)/1000000/12*BO$57</f>
        <v>0.569458632480822</v>
      </c>
      <c r="BP63" s="193" t="n">
        <f aca="false">($D$51)/1000000/12*BP$57</f>
        <v>0.569458632480822</v>
      </c>
      <c r="BQ63" s="193" t="n">
        <f aca="false">($D$51)/1000000/12*BQ$57</f>
        <v>0.569458632480822</v>
      </c>
      <c r="BR63" s="193" t="n">
        <f aca="false">($D$51)/1000000/12*BR$57</f>
        <v>0.569458632480822</v>
      </c>
      <c r="BS63" s="193" t="n">
        <f aca="false">($D$51)/1000000/12*BS$57</f>
        <v>0.569458632480822</v>
      </c>
      <c r="BT63" s="193" t="n">
        <f aca="false">($D$51)/1000000/12*BT$57</f>
        <v>0.569458632480822</v>
      </c>
      <c r="BU63" s="193" t="n">
        <f aca="false">($D$51)/1000000/12*BU$57</f>
        <v>0.569458632480822</v>
      </c>
      <c r="BV63" s="193" t="n">
        <f aca="false">($D$51)/1000000/12*BV$57</f>
        <v>0.569458632480822</v>
      </c>
      <c r="BW63" s="193" t="n">
        <f aca="false">($D$51)/1000000/12*BW$57</f>
        <v>0.569458632480822</v>
      </c>
      <c r="BX63" s="193" t="n">
        <f aca="false">($D$51)/1000000/12*BX$57</f>
        <v>0.569458632480822</v>
      </c>
      <c r="BY63" s="193" t="n">
        <f aca="false">($D$51)/1000000/12*BY$57</f>
        <v>0.569458632480822</v>
      </c>
      <c r="BZ63" s="193" t="n">
        <f aca="false">($D$51)/1000000/12*BZ$57</f>
        <v>0.569458632480822</v>
      </c>
      <c r="CA63" s="193" t="n">
        <f aca="false">($D$51)/1000000/12*CA$57</f>
        <v>0.569458632480822</v>
      </c>
    </row>
    <row r="64" customFormat="false" ht="15" hidden="false" customHeight="false" outlineLevel="0" collapsed="false">
      <c r="B64" s="3" t="s">
        <v>326</v>
      </c>
      <c r="K64" s="193" t="n">
        <f aca="false">SUM(K63:K63)</f>
        <v>6.83350358976987</v>
      </c>
      <c r="L64" s="193" t="n">
        <f aca="false">SUM(L63:L63)</f>
        <v>0</v>
      </c>
      <c r="M64" s="193" t="n">
        <f aca="false">SUM(M63:M63)</f>
        <v>0.569458632480822</v>
      </c>
      <c r="N64" s="193" t="n">
        <f aca="false">SUM(N63:N63)</f>
        <v>6.26404495728905</v>
      </c>
      <c r="O64" s="193" t="n">
        <f aca="false">SUM(O63:O63)</f>
        <v>6.83350358976987</v>
      </c>
      <c r="P64" s="193" t="n">
        <f aca="false">SUM(P63:P63)</f>
        <v>6.83350358976987</v>
      </c>
    </row>
    <row r="66" customFormat="false" ht="18" hidden="false" customHeight="true" outlineLevel="0" collapsed="false">
      <c r="B66" s="5" t="s">
        <v>327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8" customFormat="false" ht="22.35" hidden="false" customHeight="false" outlineLevel="0" collapsed="false">
      <c r="B68" s="169" t="s">
        <v>221</v>
      </c>
      <c r="C68" s="169" t="s">
        <v>328</v>
      </c>
      <c r="D68" s="169" t="s">
        <v>329</v>
      </c>
      <c r="E68" s="169" t="s">
        <v>330</v>
      </c>
      <c r="F68" s="169" t="s">
        <v>331</v>
      </c>
      <c r="G68" s="169" t="s">
        <v>332</v>
      </c>
      <c r="H68" s="169" t="s">
        <v>333</v>
      </c>
      <c r="I68" s="169" t="s">
        <v>334</v>
      </c>
      <c r="K68" s="169" t="s">
        <v>335</v>
      </c>
    </row>
    <row r="69" customFormat="false" ht="30" hidden="false" customHeight="true" outlineLevel="0" collapsed="false">
      <c r="C69" s="185" t="s">
        <v>336</v>
      </c>
      <c r="E69" s="185" t="s">
        <v>337</v>
      </c>
      <c r="F69" s="185" t="s">
        <v>338</v>
      </c>
      <c r="G69" s="185" t="s">
        <v>339</v>
      </c>
      <c r="I69" s="185" t="s">
        <v>340</v>
      </c>
    </row>
    <row r="70" customFormat="false" ht="42" hidden="false" customHeight="true" outlineLevel="0" collapsed="false">
      <c r="B70" s="186" t="s">
        <v>224</v>
      </c>
      <c r="C70" s="194" t="s">
        <v>542</v>
      </c>
      <c r="D70" s="183" t="n">
        <v>4</v>
      </c>
      <c r="E70" s="183" t="n">
        <v>2</v>
      </c>
      <c r="F70" s="168" t="n">
        <v>0.1</v>
      </c>
      <c r="G70" s="159" t="n">
        <f aca="false">D70*E70*IF(K70="",'Rate Card'!$G$29,K70)*(1+F70)</f>
        <v>146666.666666667</v>
      </c>
      <c r="H70" s="178" t="n">
        <f aca="false">DATE(2027,1,1)</f>
        <v>46388</v>
      </c>
      <c r="I70" s="195" t="n">
        <f aca="false">'Rate Card'!$C$45</f>
        <v>0</v>
      </c>
      <c r="K70" s="158"/>
    </row>
    <row r="71" customFormat="false" ht="42" hidden="false" customHeight="true" outlineLevel="0" collapsed="false">
      <c r="B71" s="186" t="s">
        <v>225</v>
      </c>
      <c r="C71" s="194" t="s">
        <v>461</v>
      </c>
      <c r="D71" s="183" t="n">
        <v>8</v>
      </c>
      <c r="E71" s="183" t="n">
        <v>6</v>
      </c>
      <c r="F71" s="168" t="n">
        <v>0.1</v>
      </c>
      <c r="G71" s="159" t="n">
        <f aca="false">D71*E71*IF(K71="",'Rate Card'!$G$29,K71)*(1+F71)</f>
        <v>880000</v>
      </c>
      <c r="H71" s="178" t="n">
        <f aca="false">DATE(2027,3,1)</f>
        <v>46447</v>
      </c>
      <c r="I71" s="195" t="n">
        <f aca="false">'Rate Card'!$C$46</f>
        <v>0</v>
      </c>
      <c r="K71" s="158"/>
    </row>
    <row r="72" customFormat="false" ht="42" hidden="false" customHeight="true" outlineLevel="0" collapsed="false">
      <c r="B72" s="186" t="s">
        <v>226</v>
      </c>
      <c r="C72" s="194" t="s">
        <v>543</v>
      </c>
      <c r="D72" s="183" t="n">
        <v>5</v>
      </c>
      <c r="E72" s="183" t="n">
        <v>8</v>
      </c>
      <c r="F72" s="168" t="n">
        <v>0.1</v>
      </c>
      <c r="G72" s="159" t="n">
        <f aca="false">D72*E72*IF(K72="",'Rate Card'!$G$29,K72)*(1+F72)</f>
        <v>733333.333333334</v>
      </c>
      <c r="H72" s="178" t="n">
        <f aca="false">DATE(2027,9,1)</f>
        <v>46631</v>
      </c>
      <c r="I72" s="195" t="n">
        <f aca="false">'Rate Card'!$C$47</f>
        <v>0</v>
      </c>
      <c r="K72" s="158"/>
    </row>
    <row r="73" customFormat="false" ht="42" hidden="false" customHeight="true" outlineLevel="0" collapsed="false">
      <c r="B73" s="186" t="s">
        <v>227</v>
      </c>
      <c r="C73" s="194" t="s">
        <v>544</v>
      </c>
      <c r="D73" s="183" t="n">
        <v>0</v>
      </c>
      <c r="E73" s="183" t="n">
        <v>0</v>
      </c>
      <c r="F73" s="168" t="n">
        <v>0.1</v>
      </c>
      <c r="G73" s="159" t="n">
        <f aca="false">D73*E73*IF(K73="",'Rate Card'!$G$29,K73)*(1+F73)</f>
        <v>0</v>
      </c>
      <c r="H73" s="178" t="n">
        <f aca="false">DATE(2028,5,1)</f>
        <v>46874</v>
      </c>
      <c r="I73" s="195" t="n">
        <f aca="false">'Rate Card'!$C$48</f>
        <v>0</v>
      </c>
      <c r="K73" s="158"/>
    </row>
    <row r="75" customFormat="false" ht="15" hidden="false" customHeight="false" outlineLevel="0" collapsed="false">
      <c r="B75" s="167" t="s">
        <v>345</v>
      </c>
    </row>
    <row r="76" customFormat="false" ht="15" hidden="false" customHeight="false" outlineLevel="0" collapsed="false">
      <c r="B76" s="196" t="s">
        <v>346</v>
      </c>
      <c r="T76" s="159" t="n">
        <f aca="false">IF(AND(T$6&gt;=EOMONTH($H$70,0),T$6&lt;=EOMONTH(EDATE($H$70,$E$70-1),0)),$G$70/MAX($E$70,1),0)</f>
        <v>0</v>
      </c>
      <c r="U76" s="159" t="n">
        <f aca="false">IF(AND(U$6&gt;=EOMONTH($H$70,0),U$6&lt;=EOMONTH(EDATE($H$70,$E$70-1),0)),$G$70/MAX($E$70,1),0)</f>
        <v>0</v>
      </c>
      <c r="V76" s="159" t="n">
        <f aca="false">IF(AND(V$6&gt;=EOMONTH($H$70,0),V$6&lt;=EOMONTH(EDATE($H$70,$E$70-1),0)),$G$70/MAX($E$70,1),0)</f>
        <v>0</v>
      </c>
      <c r="W76" s="159" t="n">
        <f aca="false">IF(AND(W$6&gt;=EOMONTH($H$70,0),W$6&lt;=EOMONTH(EDATE($H$70,$E$70-1),0)),$G$70/MAX($E$70,1),0)</f>
        <v>0</v>
      </c>
      <c r="X76" s="159" t="n">
        <f aca="false">IF(AND(X$6&gt;=EOMONTH($H$70,0),X$6&lt;=EOMONTH(EDATE($H$70,$E$70-1),0)),$G$70/MAX($E$70,1),0)</f>
        <v>0</v>
      </c>
      <c r="Y76" s="159" t="n">
        <f aca="false">IF(AND(Y$6&gt;=EOMONTH($H$70,0),Y$6&lt;=EOMONTH(EDATE($H$70,$E$70-1),0)),$G$70/MAX($E$70,1),0)</f>
        <v>0</v>
      </c>
      <c r="Z76" s="159" t="n">
        <f aca="false">IF(AND(Z$6&gt;=EOMONTH($H$70,0),Z$6&lt;=EOMONTH(EDATE($H$70,$E$70-1),0)),$G$70/MAX($E$70,1),0)</f>
        <v>0</v>
      </c>
      <c r="AA76" s="159" t="n">
        <f aca="false">IF(AND(AA$6&gt;=EOMONTH($H$70,0),AA$6&lt;=EOMONTH(EDATE($H$70,$E$70-1),0)),$G$70/MAX($E$70,1),0)</f>
        <v>0</v>
      </c>
      <c r="AB76" s="159" t="n">
        <f aca="false">IF(AND(AB$6&gt;=EOMONTH($H$70,0),AB$6&lt;=EOMONTH(EDATE($H$70,$E$70-1),0)),$G$70/MAX($E$70,1),0)</f>
        <v>0</v>
      </c>
      <c r="AC76" s="159" t="n">
        <f aca="false">IF(AND(AC$6&gt;=EOMONTH($H$70,0),AC$6&lt;=EOMONTH(EDATE($H$70,$E$70-1),0)),$G$70/MAX($E$70,1),0)</f>
        <v>0</v>
      </c>
      <c r="AD76" s="159" t="n">
        <f aca="false">IF(AND(AD$6&gt;=EOMONTH($H$70,0),AD$6&lt;=EOMONTH(EDATE($H$70,$E$70-1),0)),$G$70/MAX($E$70,1),0)</f>
        <v>0</v>
      </c>
      <c r="AE76" s="159" t="n">
        <f aca="false">IF(AND(AE$6&gt;=EOMONTH($H$70,0),AE$6&lt;=EOMONTH(EDATE($H$70,$E$70-1),0)),$G$70/MAX($E$70,1),0)</f>
        <v>0</v>
      </c>
      <c r="AF76" s="159" t="n">
        <f aca="false">IF(AND(AF$6&gt;=EOMONTH($H$70,0),AF$6&lt;=EOMONTH(EDATE($H$70,$E$70-1),0)),$G$70/MAX($E$70,1),0)</f>
        <v>73333.3333333333</v>
      </c>
      <c r="AG76" s="159" t="n">
        <f aca="false">IF(AND(AG$6&gt;=EOMONTH($H$70,0),AG$6&lt;=EOMONTH(EDATE($H$70,$E$70-1),0)),$G$70/MAX($E$70,1),0)</f>
        <v>73333.3333333333</v>
      </c>
      <c r="AH76" s="159" t="n">
        <f aca="false">IF(AND(AH$6&gt;=EOMONTH($H$70,0),AH$6&lt;=EOMONTH(EDATE($H$70,$E$70-1),0)),$G$70/MAX($E$70,1),0)</f>
        <v>0</v>
      </c>
      <c r="AI76" s="159" t="n">
        <f aca="false">IF(AND(AI$6&gt;=EOMONTH($H$70,0),AI$6&lt;=EOMONTH(EDATE($H$70,$E$70-1),0)),$G$70/MAX($E$70,1),0)</f>
        <v>0</v>
      </c>
      <c r="AJ76" s="159" t="n">
        <f aca="false">IF(AND(AJ$6&gt;=EOMONTH($H$70,0),AJ$6&lt;=EOMONTH(EDATE($H$70,$E$70-1),0)),$G$70/MAX($E$70,1),0)</f>
        <v>0</v>
      </c>
      <c r="AK76" s="159" t="n">
        <f aca="false">IF(AND(AK$6&gt;=EOMONTH($H$70,0),AK$6&lt;=EOMONTH(EDATE($H$70,$E$70-1),0)),$G$70/MAX($E$70,1),0)</f>
        <v>0</v>
      </c>
      <c r="AL76" s="159" t="n">
        <f aca="false">IF(AND(AL$6&gt;=EOMONTH($H$70,0),AL$6&lt;=EOMONTH(EDATE($H$70,$E$70-1),0)),$G$70/MAX($E$70,1),0)</f>
        <v>0</v>
      </c>
      <c r="AM76" s="159" t="n">
        <f aca="false">IF(AND(AM$6&gt;=EOMONTH($H$70,0),AM$6&lt;=EOMONTH(EDATE($H$70,$E$70-1),0)),$G$70/MAX($E$70,1),0)</f>
        <v>0</v>
      </c>
      <c r="AN76" s="159" t="n">
        <f aca="false">IF(AND(AN$6&gt;=EOMONTH($H$70,0),AN$6&lt;=EOMONTH(EDATE($H$70,$E$70-1),0)),$G$70/MAX($E$70,1),0)</f>
        <v>0</v>
      </c>
      <c r="AO76" s="159" t="n">
        <f aca="false">IF(AND(AO$6&gt;=EOMONTH($H$70,0),AO$6&lt;=EOMONTH(EDATE($H$70,$E$70-1),0)),$G$70/MAX($E$70,1),0)</f>
        <v>0</v>
      </c>
      <c r="AP76" s="159" t="n">
        <f aca="false">IF(AND(AP$6&gt;=EOMONTH($H$70,0),AP$6&lt;=EOMONTH(EDATE($H$70,$E$70-1),0)),$G$70/MAX($E$70,1),0)</f>
        <v>0</v>
      </c>
      <c r="AQ76" s="159" t="n">
        <f aca="false">IF(AND(AQ$6&gt;=EOMONTH($H$70,0),AQ$6&lt;=EOMONTH(EDATE($H$70,$E$70-1),0)),$G$70/MAX($E$70,1),0)</f>
        <v>0</v>
      </c>
      <c r="AR76" s="159" t="n">
        <f aca="false">IF(AND(AR$6&gt;=EOMONTH($H$70,0),AR$6&lt;=EOMONTH(EDATE($H$70,$E$70-1),0)),$G$70/MAX($E$70,1),0)</f>
        <v>0</v>
      </c>
      <c r="AS76" s="159" t="n">
        <f aca="false">IF(AND(AS$6&gt;=EOMONTH($H$70,0),AS$6&lt;=EOMONTH(EDATE($H$70,$E$70-1),0)),$G$70/MAX($E$70,1),0)</f>
        <v>0</v>
      </c>
      <c r="AT76" s="159" t="n">
        <f aca="false">IF(AND(AT$6&gt;=EOMONTH($H$70,0),AT$6&lt;=EOMONTH(EDATE($H$70,$E$70-1),0)),$G$70/MAX($E$70,1),0)</f>
        <v>0</v>
      </c>
      <c r="AU76" s="159" t="n">
        <f aca="false">IF(AND(AU$6&gt;=EOMONTH($H$70,0),AU$6&lt;=EOMONTH(EDATE($H$70,$E$70-1),0)),$G$70/MAX($E$70,1),0)</f>
        <v>0</v>
      </c>
      <c r="AV76" s="159" t="n">
        <f aca="false">IF(AND(AV$6&gt;=EOMONTH($H$70,0),AV$6&lt;=EOMONTH(EDATE($H$70,$E$70-1),0)),$G$70/MAX($E$70,1),0)</f>
        <v>0</v>
      </c>
      <c r="AW76" s="159" t="n">
        <f aca="false">IF(AND(AW$6&gt;=EOMONTH($H$70,0),AW$6&lt;=EOMONTH(EDATE($H$70,$E$70-1),0)),$G$70/MAX($E$70,1),0)</f>
        <v>0</v>
      </c>
      <c r="AX76" s="159" t="n">
        <f aca="false">IF(AND(AX$6&gt;=EOMONTH($H$70,0),AX$6&lt;=EOMONTH(EDATE($H$70,$E$70-1),0)),$G$70/MAX($E$70,1),0)</f>
        <v>0</v>
      </c>
      <c r="AY76" s="159" t="n">
        <f aca="false">IF(AND(AY$6&gt;=EOMONTH($H$70,0),AY$6&lt;=EOMONTH(EDATE($H$70,$E$70-1),0)),$G$70/MAX($E$70,1),0)</f>
        <v>0</v>
      </c>
      <c r="AZ76" s="159" t="n">
        <f aca="false">IF(AND(AZ$6&gt;=EOMONTH($H$70,0),AZ$6&lt;=EOMONTH(EDATE($H$70,$E$70-1),0)),$G$70/MAX($E$70,1),0)</f>
        <v>0</v>
      </c>
      <c r="BA76" s="159" t="n">
        <f aca="false">IF(AND(BA$6&gt;=EOMONTH($H$70,0),BA$6&lt;=EOMONTH(EDATE($H$70,$E$70-1),0)),$G$70/MAX($E$70,1),0)</f>
        <v>0</v>
      </c>
      <c r="BB76" s="159" t="n">
        <f aca="false">IF(AND(BB$6&gt;=EOMONTH($H$70,0),BB$6&lt;=EOMONTH(EDATE($H$70,$E$70-1),0)),$G$70/MAX($E$70,1),0)</f>
        <v>0</v>
      </c>
      <c r="BC76" s="159" t="n">
        <f aca="false">IF(AND(BC$6&gt;=EOMONTH($H$70,0),BC$6&lt;=EOMONTH(EDATE($H$70,$E$70-1),0)),$G$70/MAX($E$70,1),0)</f>
        <v>0</v>
      </c>
      <c r="BD76" s="159" t="n">
        <f aca="false">IF(AND(BD$6&gt;=EOMONTH($H$70,0),BD$6&lt;=EOMONTH(EDATE($H$70,$E$70-1),0)),$G$70/MAX($E$70,1),0)</f>
        <v>0</v>
      </c>
      <c r="BE76" s="159" t="n">
        <f aca="false">IF(AND(BE$6&gt;=EOMONTH($H$70,0),BE$6&lt;=EOMONTH(EDATE($H$70,$E$70-1),0)),$G$70/MAX($E$70,1),0)</f>
        <v>0</v>
      </c>
      <c r="BF76" s="159" t="n">
        <f aca="false">IF(AND(BF$6&gt;=EOMONTH($H$70,0),BF$6&lt;=EOMONTH(EDATE($H$70,$E$70-1),0)),$G$70/MAX($E$70,1),0)</f>
        <v>0</v>
      </c>
      <c r="BG76" s="159" t="n">
        <f aca="false">IF(AND(BG$6&gt;=EOMONTH($H$70,0),BG$6&lt;=EOMONTH(EDATE($H$70,$E$70-1),0)),$G$70/MAX($E$70,1),0)</f>
        <v>0</v>
      </c>
      <c r="BH76" s="159" t="n">
        <f aca="false">IF(AND(BH$6&gt;=EOMONTH($H$70,0),BH$6&lt;=EOMONTH(EDATE($H$70,$E$70-1),0)),$G$70/MAX($E$70,1),0)</f>
        <v>0</v>
      </c>
      <c r="BI76" s="159" t="n">
        <f aca="false">IF(AND(BI$6&gt;=EOMONTH($H$70,0),BI$6&lt;=EOMONTH(EDATE($H$70,$E$70-1),0)),$G$70/MAX($E$70,1),0)</f>
        <v>0</v>
      </c>
      <c r="BJ76" s="159" t="n">
        <f aca="false">IF(AND(BJ$6&gt;=EOMONTH($H$70,0),BJ$6&lt;=EOMONTH(EDATE($H$70,$E$70-1),0)),$G$70/MAX($E$70,1),0)</f>
        <v>0</v>
      </c>
      <c r="BK76" s="159" t="n">
        <f aca="false">IF(AND(BK$6&gt;=EOMONTH($H$70,0),BK$6&lt;=EOMONTH(EDATE($H$70,$E$70-1),0)),$G$70/MAX($E$70,1),0)</f>
        <v>0</v>
      </c>
      <c r="BL76" s="159" t="n">
        <f aca="false">IF(AND(BL$6&gt;=EOMONTH($H$70,0),BL$6&lt;=EOMONTH(EDATE($H$70,$E$70-1),0)),$G$70/MAX($E$70,1),0)</f>
        <v>0</v>
      </c>
      <c r="BM76" s="159" t="n">
        <f aca="false">IF(AND(BM$6&gt;=EOMONTH($H$70,0),BM$6&lt;=EOMONTH(EDATE($H$70,$E$70-1),0)),$G$70/MAX($E$70,1),0)</f>
        <v>0</v>
      </c>
      <c r="BN76" s="159" t="n">
        <f aca="false">IF(AND(BN$6&gt;=EOMONTH($H$70,0),BN$6&lt;=EOMONTH(EDATE($H$70,$E$70-1),0)),$G$70/MAX($E$70,1),0)</f>
        <v>0</v>
      </c>
      <c r="BO76" s="159" t="n">
        <f aca="false">IF(AND(BO$6&gt;=EOMONTH($H$70,0),BO$6&lt;=EOMONTH(EDATE($H$70,$E$70-1),0)),$G$70/MAX($E$70,1),0)</f>
        <v>0</v>
      </c>
      <c r="BP76" s="159" t="n">
        <f aca="false">IF(AND(BP$6&gt;=EOMONTH($H$70,0),BP$6&lt;=EOMONTH(EDATE($H$70,$E$70-1),0)),$G$70/MAX($E$70,1),0)</f>
        <v>0</v>
      </c>
      <c r="BQ76" s="159" t="n">
        <f aca="false">IF(AND(BQ$6&gt;=EOMONTH($H$70,0),BQ$6&lt;=EOMONTH(EDATE($H$70,$E$70-1),0)),$G$70/MAX($E$70,1),0)</f>
        <v>0</v>
      </c>
      <c r="BR76" s="159" t="n">
        <f aca="false">IF(AND(BR$6&gt;=EOMONTH($H$70,0),BR$6&lt;=EOMONTH(EDATE($H$70,$E$70-1),0)),$G$70/MAX($E$70,1),0)</f>
        <v>0</v>
      </c>
      <c r="BS76" s="159" t="n">
        <f aca="false">IF(AND(BS$6&gt;=EOMONTH($H$70,0),BS$6&lt;=EOMONTH(EDATE($H$70,$E$70-1),0)),$G$70/MAX($E$70,1),0)</f>
        <v>0</v>
      </c>
      <c r="BT76" s="159" t="n">
        <f aca="false">IF(AND(BT$6&gt;=EOMONTH($H$70,0),BT$6&lt;=EOMONTH(EDATE($H$70,$E$70-1),0)),$G$70/MAX($E$70,1),0)</f>
        <v>0</v>
      </c>
      <c r="BU76" s="159" t="n">
        <f aca="false">IF(AND(BU$6&gt;=EOMONTH($H$70,0),BU$6&lt;=EOMONTH(EDATE($H$70,$E$70-1),0)),$G$70/MAX($E$70,1),0)</f>
        <v>0</v>
      </c>
      <c r="BV76" s="159" t="n">
        <f aca="false">IF(AND(BV$6&gt;=EOMONTH($H$70,0),BV$6&lt;=EOMONTH(EDATE($H$70,$E$70-1),0)),$G$70/MAX($E$70,1),0)</f>
        <v>0</v>
      </c>
      <c r="BW76" s="159" t="n">
        <f aca="false">IF(AND(BW$6&gt;=EOMONTH($H$70,0),BW$6&lt;=EOMONTH(EDATE($H$70,$E$70-1),0)),$G$70/MAX($E$70,1),0)</f>
        <v>0</v>
      </c>
      <c r="BX76" s="159" t="n">
        <f aca="false">IF(AND(BX$6&gt;=EOMONTH($H$70,0),BX$6&lt;=EOMONTH(EDATE($H$70,$E$70-1),0)),$G$70/MAX($E$70,1),0)</f>
        <v>0</v>
      </c>
      <c r="BY76" s="159" t="n">
        <f aca="false">IF(AND(BY$6&gt;=EOMONTH($H$70,0),BY$6&lt;=EOMONTH(EDATE($H$70,$E$70-1),0)),$G$70/MAX($E$70,1),0)</f>
        <v>0</v>
      </c>
      <c r="BZ76" s="159" t="n">
        <f aca="false">IF(AND(BZ$6&gt;=EOMONTH($H$70,0),BZ$6&lt;=EOMONTH(EDATE($H$70,$E$70-1),0)),$G$70/MAX($E$70,1),0)</f>
        <v>0</v>
      </c>
      <c r="CA76" s="159" t="n">
        <f aca="false">IF(AND(CA$6&gt;=EOMONTH($H$70,0),CA$6&lt;=EOMONTH(EDATE($H$70,$E$70-1),0)),$G$70/MAX($E$70,1),0)</f>
        <v>0</v>
      </c>
    </row>
    <row r="77" customFormat="false" ht="15" hidden="false" customHeight="false" outlineLevel="0" collapsed="false">
      <c r="B77" s="196" t="s">
        <v>347</v>
      </c>
      <c r="T77" s="159" t="n">
        <f aca="false">IF(AND(T$6&gt;=EOMONTH($H$71,0),T$6&lt;=EOMONTH(EDATE($H$71,$E$71-1),0)),$G$71/MAX($E$71,1),0)</f>
        <v>0</v>
      </c>
      <c r="U77" s="159" t="n">
        <f aca="false">IF(AND(U$6&gt;=EOMONTH($H$71,0),U$6&lt;=EOMONTH(EDATE($H$71,$E$71-1),0)),$G$71/MAX($E$71,1),0)</f>
        <v>0</v>
      </c>
      <c r="V77" s="159" t="n">
        <f aca="false">IF(AND(V$6&gt;=EOMONTH($H$71,0),V$6&lt;=EOMONTH(EDATE($H$71,$E$71-1),0)),$G$71/MAX($E$71,1),0)</f>
        <v>0</v>
      </c>
      <c r="W77" s="159" t="n">
        <f aca="false">IF(AND(W$6&gt;=EOMONTH($H$71,0),W$6&lt;=EOMONTH(EDATE($H$71,$E$71-1),0)),$G$71/MAX($E$71,1),0)</f>
        <v>0</v>
      </c>
      <c r="X77" s="159" t="n">
        <f aca="false">IF(AND(X$6&gt;=EOMONTH($H$71,0),X$6&lt;=EOMONTH(EDATE($H$71,$E$71-1),0)),$G$71/MAX($E$71,1),0)</f>
        <v>0</v>
      </c>
      <c r="Y77" s="159" t="n">
        <f aca="false">IF(AND(Y$6&gt;=EOMONTH($H$71,0),Y$6&lt;=EOMONTH(EDATE($H$71,$E$71-1),0)),$G$71/MAX($E$71,1),0)</f>
        <v>0</v>
      </c>
      <c r="Z77" s="159" t="n">
        <f aca="false">IF(AND(Z$6&gt;=EOMONTH($H$71,0),Z$6&lt;=EOMONTH(EDATE($H$71,$E$71-1),0)),$G$71/MAX($E$71,1),0)</f>
        <v>0</v>
      </c>
      <c r="AA77" s="159" t="n">
        <f aca="false">IF(AND(AA$6&gt;=EOMONTH($H$71,0),AA$6&lt;=EOMONTH(EDATE($H$71,$E$71-1),0)),$G$71/MAX($E$71,1),0)</f>
        <v>0</v>
      </c>
      <c r="AB77" s="159" t="n">
        <f aca="false">IF(AND(AB$6&gt;=EOMONTH($H$71,0),AB$6&lt;=EOMONTH(EDATE($H$71,$E$71-1),0)),$G$71/MAX($E$71,1),0)</f>
        <v>0</v>
      </c>
      <c r="AC77" s="159" t="n">
        <f aca="false">IF(AND(AC$6&gt;=EOMONTH($H$71,0),AC$6&lt;=EOMONTH(EDATE($H$71,$E$71-1),0)),$G$71/MAX($E$71,1),0)</f>
        <v>0</v>
      </c>
      <c r="AD77" s="159" t="n">
        <f aca="false">IF(AND(AD$6&gt;=EOMONTH($H$71,0),AD$6&lt;=EOMONTH(EDATE($H$71,$E$71-1),0)),$G$71/MAX($E$71,1),0)</f>
        <v>0</v>
      </c>
      <c r="AE77" s="159" t="n">
        <f aca="false">IF(AND(AE$6&gt;=EOMONTH($H$71,0),AE$6&lt;=EOMONTH(EDATE($H$71,$E$71-1),0)),$G$71/MAX($E$71,1),0)</f>
        <v>0</v>
      </c>
      <c r="AF77" s="159" t="n">
        <f aca="false">IF(AND(AF$6&gt;=EOMONTH($H$71,0),AF$6&lt;=EOMONTH(EDATE($H$71,$E$71-1),0)),$G$71/MAX($E$71,1),0)</f>
        <v>0</v>
      </c>
      <c r="AG77" s="159" t="n">
        <f aca="false">IF(AND(AG$6&gt;=EOMONTH($H$71,0),AG$6&lt;=EOMONTH(EDATE($H$71,$E$71-1),0)),$G$71/MAX($E$71,1),0)</f>
        <v>0</v>
      </c>
      <c r="AH77" s="159" t="n">
        <f aca="false">IF(AND(AH$6&gt;=EOMONTH($H$71,0),AH$6&lt;=EOMONTH(EDATE($H$71,$E$71-1),0)),$G$71/MAX($E$71,1),0)</f>
        <v>146666.666666667</v>
      </c>
      <c r="AI77" s="159" t="n">
        <f aca="false">IF(AND(AI$6&gt;=EOMONTH($H$71,0),AI$6&lt;=EOMONTH(EDATE($H$71,$E$71-1),0)),$G$71/MAX($E$71,1),0)</f>
        <v>146666.666666667</v>
      </c>
      <c r="AJ77" s="159" t="n">
        <f aca="false">IF(AND(AJ$6&gt;=EOMONTH($H$71,0),AJ$6&lt;=EOMONTH(EDATE($H$71,$E$71-1),0)),$G$71/MAX($E$71,1),0)</f>
        <v>146666.666666667</v>
      </c>
      <c r="AK77" s="159" t="n">
        <f aca="false">IF(AND(AK$6&gt;=EOMONTH($H$71,0),AK$6&lt;=EOMONTH(EDATE($H$71,$E$71-1),0)),$G$71/MAX($E$71,1),0)</f>
        <v>146666.666666667</v>
      </c>
      <c r="AL77" s="159" t="n">
        <f aca="false">IF(AND(AL$6&gt;=EOMONTH($H$71,0),AL$6&lt;=EOMONTH(EDATE($H$71,$E$71-1),0)),$G$71/MAX($E$71,1),0)</f>
        <v>146666.666666667</v>
      </c>
      <c r="AM77" s="159" t="n">
        <f aca="false">IF(AND(AM$6&gt;=EOMONTH($H$71,0),AM$6&lt;=EOMONTH(EDATE($H$71,$E$71-1),0)),$G$71/MAX($E$71,1),0)</f>
        <v>146666.666666667</v>
      </c>
      <c r="AN77" s="159" t="n">
        <f aca="false">IF(AND(AN$6&gt;=EOMONTH($H$71,0),AN$6&lt;=EOMONTH(EDATE($H$71,$E$71-1),0)),$G$71/MAX($E$71,1),0)</f>
        <v>0</v>
      </c>
      <c r="AO77" s="159" t="n">
        <f aca="false">IF(AND(AO$6&gt;=EOMONTH($H$71,0),AO$6&lt;=EOMONTH(EDATE($H$71,$E$71-1),0)),$G$71/MAX($E$71,1),0)</f>
        <v>0</v>
      </c>
      <c r="AP77" s="159" t="n">
        <f aca="false">IF(AND(AP$6&gt;=EOMONTH($H$71,0),AP$6&lt;=EOMONTH(EDATE($H$71,$E$71-1),0)),$G$71/MAX($E$71,1),0)</f>
        <v>0</v>
      </c>
      <c r="AQ77" s="159" t="n">
        <f aca="false">IF(AND(AQ$6&gt;=EOMONTH($H$71,0),AQ$6&lt;=EOMONTH(EDATE($H$71,$E$71-1),0)),$G$71/MAX($E$71,1),0)</f>
        <v>0</v>
      </c>
      <c r="AR77" s="159" t="n">
        <f aca="false">IF(AND(AR$6&gt;=EOMONTH($H$71,0),AR$6&lt;=EOMONTH(EDATE($H$71,$E$71-1),0)),$G$71/MAX($E$71,1),0)</f>
        <v>0</v>
      </c>
      <c r="AS77" s="159" t="n">
        <f aca="false">IF(AND(AS$6&gt;=EOMONTH($H$71,0),AS$6&lt;=EOMONTH(EDATE($H$71,$E$71-1),0)),$G$71/MAX($E$71,1),0)</f>
        <v>0</v>
      </c>
      <c r="AT77" s="159" t="n">
        <f aca="false">IF(AND(AT$6&gt;=EOMONTH($H$71,0),AT$6&lt;=EOMONTH(EDATE($H$71,$E$71-1),0)),$G$71/MAX($E$71,1),0)</f>
        <v>0</v>
      </c>
      <c r="AU77" s="159" t="n">
        <f aca="false">IF(AND(AU$6&gt;=EOMONTH($H$71,0),AU$6&lt;=EOMONTH(EDATE($H$71,$E$71-1),0)),$G$71/MAX($E$71,1),0)</f>
        <v>0</v>
      </c>
      <c r="AV77" s="159" t="n">
        <f aca="false">IF(AND(AV$6&gt;=EOMONTH($H$71,0),AV$6&lt;=EOMONTH(EDATE($H$71,$E$71-1),0)),$G$71/MAX($E$71,1),0)</f>
        <v>0</v>
      </c>
      <c r="AW77" s="159" t="n">
        <f aca="false">IF(AND(AW$6&gt;=EOMONTH($H$71,0),AW$6&lt;=EOMONTH(EDATE($H$71,$E$71-1),0)),$G$71/MAX($E$71,1),0)</f>
        <v>0</v>
      </c>
      <c r="AX77" s="159" t="n">
        <f aca="false">IF(AND(AX$6&gt;=EOMONTH($H$71,0),AX$6&lt;=EOMONTH(EDATE($H$71,$E$71-1),0)),$G$71/MAX($E$71,1),0)</f>
        <v>0</v>
      </c>
      <c r="AY77" s="159" t="n">
        <f aca="false">IF(AND(AY$6&gt;=EOMONTH($H$71,0),AY$6&lt;=EOMONTH(EDATE($H$71,$E$71-1),0)),$G$71/MAX($E$71,1),0)</f>
        <v>0</v>
      </c>
      <c r="AZ77" s="159" t="n">
        <f aca="false">IF(AND(AZ$6&gt;=EOMONTH($H$71,0),AZ$6&lt;=EOMONTH(EDATE($H$71,$E$71-1),0)),$G$71/MAX($E$71,1),0)</f>
        <v>0</v>
      </c>
      <c r="BA77" s="159" t="n">
        <f aca="false">IF(AND(BA$6&gt;=EOMONTH($H$71,0),BA$6&lt;=EOMONTH(EDATE($H$71,$E$71-1),0)),$G$71/MAX($E$71,1),0)</f>
        <v>0</v>
      </c>
      <c r="BB77" s="159" t="n">
        <f aca="false">IF(AND(BB$6&gt;=EOMONTH($H$71,0),BB$6&lt;=EOMONTH(EDATE($H$71,$E$71-1),0)),$G$71/MAX($E$71,1),0)</f>
        <v>0</v>
      </c>
      <c r="BC77" s="159" t="n">
        <f aca="false">IF(AND(BC$6&gt;=EOMONTH($H$71,0),BC$6&lt;=EOMONTH(EDATE($H$71,$E$71-1),0)),$G$71/MAX($E$71,1),0)</f>
        <v>0</v>
      </c>
      <c r="BD77" s="159" t="n">
        <f aca="false">IF(AND(BD$6&gt;=EOMONTH($H$71,0),BD$6&lt;=EOMONTH(EDATE($H$71,$E$71-1),0)),$G$71/MAX($E$71,1),0)</f>
        <v>0</v>
      </c>
      <c r="BE77" s="159" t="n">
        <f aca="false">IF(AND(BE$6&gt;=EOMONTH($H$71,0),BE$6&lt;=EOMONTH(EDATE($H$71,$E$71-1),0)),$G$71/MAX($E$71,1),0)</f>
        <v>0</v>
      </c>
      <c r="BF77" s="159" t="n">
        <f aca="false">IF(AND(BF$6&gt;=EOMONTH($H$71,0),BF$6&lt;=EOMONTH(EDATE($H$71,$E$71-1),0)),$G$71/MAX($E$71,1),0)</f>
        <v>0</v>
      </c>
      <c r="BG77" s="159" t="n">
        <f aca="false">IF(AND(BG$6&gt;=EOMONTH($H$71,0),BG$6&lt;=EOMONTH(EDATE($H$71,$E$71-1),0)),$G$71/MAX($E$71,1),0)</f>
        <v>0</v>
      </c>
      <c r="BH77" s="159" t="n">
        <f aca="false">IF(AND(BH$6&gt;=EOMONTH($H$71,0),BH$6&lt;=EOMONTH(EDATE($H$71,$E$71-1),0)),$G$71/MAX($E$71,1),0)</f>
        <v>0</v>
      </c>
      <c r="BI77" s="159" t="n">
        <f aca="false">IF(AND(BI$6&gt;=EOMONTH($H$71,0),BI$6&lt;=EOMONTH(EDATE($H$71,$E$71-1),0)),$G$71/MAX($E$71,1),0)</f>
        <v>0</v>
      </c>
      <c r="BJ77" s="159" t="n">
        <f aca="false">IF(AND(BJ$6&gt;=EOMONTH($H$71,0),BJ$6&lt;=EOMONTH(EDATE($H$71,$E$71-1),0)),$G$71/MAX($E$71,1),0)</f>
        <v>0</v>
      </c>
      <c r="BK77" s="159" t="n">
        <f aca="false">IF(AND(BK$6&gt;=EOMONTH($H$71,0),BK$6&lt;=EOMONTH(EDATE($H$71,$E$71-1),0)),$G$71/MAX($E$71,1),0)</f>
        <v>0</v>
      </c>
      <c r="BL77" s="159" t="n">
        <f aca="false">IF(AND(BL$6&gt;=EOMONTH($H$71,0),BL$6&lt;=EOMONTH(EDATE($H$71,$E$71-1),0)),$G$71/MAX($E$71,1),0)</f>
        <v>0</v>
      </c>
      <c r="BM77" s="159" t="n">
        <f aca="false">IF(AND(BM$6&gt;=EOMONTH($H$71,0),BM$6&lt;=EOMONTH(EDATE($H$71,$E$71-1),0)),$G$71/MAX($E$71,1),0)</f>
        <v>0</v>
      </c>
      <c r="BN77" s="159" t="n">
        <f aca="false">IF(AND(BN$6&gt;=EOMONTH($H$71,0),BN$6&lt;=EOMONTH(EDATE($H$71,$E$71-1),0)),$G$71/MAX($E$71,1),0)</f>
        <v>0</v>
      </c>
      <c r="BO77" s="159" t="n">
        <f aca="false">IF(AND(BO$6&gt;=EOMONTH($H$71,0),BO$6&lt;=EOMONTH(EDATE($H$71,$E$71-1),0)),$G$71/MAX($E$71,1),0)</f>
        <v>0</v>
      </c>
      <c r="BP77" s="159" t="n">
        <f aca="false">IF(AND(BP$6&gt;=EOMONTH($H$71,0),BP$6&lt;=EOMONTH(EDATE($H$71,$E$71-1),0)),$G$71/MAX($E$71,1),0)</f>
        <v>0</v>
      </c>
      <c r="BQ77" s="159" t="n">
        <f aca="false">IF(AND(BQ$6&gt;=EOMONTH($H$71,0),BQ$6&lt;=EOMONTH(EDATE($H$71,$E$71-1),0)),$G$71/MAX($E$71,1),0)</f>
        <v>0</v>
      </c>
      <c r="BR77" s="159" t="n">
        <f aca="false">IF(AND(BR$6&gt;=EOMONTH($H$71,0),BR$6&lt;=EOMONTH(EDATE($H$71,$E$71-1),0)),$G$71/MAX($E$71,1),0)</f>
        <v>0</v>
      </c>
      <c r="BS77" s="159" t="n">
        <f aca="false">IF(AND(BS$6&gt;=EOMONTH($H$71,0),BS$6&lt;=EOMONTH(EDATE($H$71,$E$71-1),0)),$G$71/MAX($E$71,1),0)</f>
        <v>0</v>
      </c>
      <c r="BT77" s="159" t="n">
        <f aca="false">IF(AND(BT$6&gt;=EOMONTH($H$71,0),BT$6&lt;=EOMONTH(EDATE($H$71,$E$71-1),0)),$G$71/MAX($E$71,1),0)</f>
        <v>0</v>
      </c>
      <c r="BU77" s="159" t="n">
        <f aca="false">IF(AND(BU$6&gt;=EOMONTH($H$71,0),BU$6&lt;=EOMONTH(EDATE($H$71,$E$71-1),0)),$G$71/MAX($E$71,1),0)</f>
        <v>0</v>
      </c>
      <c r="BV77" s="159" t="n">
        <f aca="false">IF(AND(BV$6&gt;=EOMONTH($H$71,0),BV$6&lt;=EOMONTH(EDATE($H$71,$E$71-1),0)),$G$71/MAX($E$71,1),0)</f>
        <v>0</v>
      </c>
      <c r="BW77" s="159" t="n">
        <f aca="false">IF(AND(BW$6&gt;=EOMONTH($H$71,0),BW$6&lt;=EOMONTH(EDATE($H$71,$E$71-1),0)),$G$71/MAX($E$71,1),0)</f>
        <v>0</v>
      </c>
      <c r="BX77" s="159" t="n">
        <f aca="false">IF(AND(BX$6&gt;=EOMONTH($H$71,0),BX$6&lt;=EOMONTH(EDATE($H$71,$E$71-1),0)),$G$71/MAX($E$71,1),0)</f>
        <v>0</v>
      </c>
      <c r="BY77" s="159" t="n">
        <f aca="false">IF(AND(BY$6&gt;=EOMONTH($H$71,0),BY$6&lt;=EOMONTH(EDATE($H$71,$E$71-1),0)),$G$71/MAX($E$71,1),0)</f>
        <v>0</v>
      </c>
      <c r="BZ77" s="159" t="n">
        <f aca="false">IF(AND(BZ$6&gt;=EOMONTH($H$71,0),BZ$6&lt;=EOMONTH(EDATE($H$71,$E$71-1),0)),$G$71/MAX($E$71,1),0)</f>
        <v>0</v>
      </c>
      <c r="CA77" s="159" t="n">
        <f aca="false">IF(AND(CA$6&gt;=EOMONTH($H$71,0),CA$6&lt;=EOMONTH(EDATE($H$71,$E$71-1),0)),$G$71/MAX($E$71,1),0)</f>
        <v>0</v>
      </c>
    </row>
    <row r="78" customFormat="false" ht="15" hidden="false" customHeight="false" outlineLevel="0" collapsed="false">
      <c r="B78" s="196" t="s">
        <v>348</v>
      </c>
      <c r="T78" s="159" t="n">
        <f aca="false">IF(AND(T$6&gt;=EOMONTH($H$72,0),T$6&lt;=EOMONTH(EDATE($H$72,$E$72-1),0)),$G$72/MAX($E$72,1),0)</f>
        <v>0</v>
      </c>
      <c r="U78" s="159" t="n">
        <f aca="false">IF(AND(U$6&gt;=EOMONTH($H$72,0),U$6&lt;=EOMONTH(EDATE($H$72,$E$72-1),0)),$G$72/MAX($E$72,1),0)</f>
        <v>0</v>
      </c>
      <c r="V78" s="159" t="n">
        <f aca="false">IF(AND(V$6&gt;=EOMONTH($H$72,0),V$6&lt;=EOMONTH(EDATE($H$72,$E$72-1),0)),$G$72/MAX($E$72,1),0)</f>
        <v>0</v>
      </c>
      <c r="W78" s="159" t="n">
        <f aca="false">IF(AND(W$6&gt;=EOMONTH($H$72,0),W$6&lt;=EOMONTH(EDATE($H$72,$E$72-1),0)),$G$72/MAX($E$72,1),0)</f>
        <v>0</v>
      </c>
      <c r="X78" s="159" t="n">
        <f aca="false">IF(AND(X$6&gt;=EOMONTH($H$72,0),X$6&lt;=EOMONTH(EDATE($H$72,$E$72-1),0)),$G$72/MAX($E$72,1),0)</f>
        <v>0</v>
      </c>
      <c r="Y78" s="159" t="n">
        <f aca="false">IF(AND(Y$6&gt;=EOMONTH($H$72,0),Y$6&lt;=EOMONTH(EDATE($H$72,$E$72-1),0)),$G$72/MAX($E$72,1),0)</f>
        <v>0</v>
      </c>
      <c r="Z78" s="159" t="n">
        <f aca="false">IF(AND(Z$6&gt;=EOMONTH($H$72,0),Z$6&lt;=EOMONTH(EDATE($H$72,$E$72-1),0)),$G$72/MAX($E$72,1),0)</f>
        <v>0</v>
      </c>
      <c r="AA78" s="159" t="n">
        <f aca="false">IF(AND(AA$6&gt;=EOMONTH($H$72,0),AA$6&lt;=EOMONTH(EDATE($H$72,$E$72-1),0)),$G$72/MAX($E$72,1),0)</f>
        <v>0</v>
      </c>
      <c r="AB78" s="159" t="n">
        <f aca="false">IF(AND(AB$6&gt;=EOMONTH($H$72,0),AB$6&lt;=EOMONTH(EDATE($H$72,$E$72-1),0)),$G$72/MAX($E$72,1),0)</f>
        <v>0</v>
      </c>
      <c r="AC78" s="159" t="n">
        <f aca="false">IF(AND(AC$6&gt;=EOMONTH($H$72,0),AC$6&lt;=EOMONTH(EDATE($H$72,$E$72-1),0)),$G$72/MAX($E$72,1),0)</f>
        <v>0</v>
      </c>
      <c r="AD78" s="159" t="n">
        <f aca="false">IF(AND(AD$6&gt;=EOMONTH($H$72,0),AD$6&lt;=EOMONTH(EDATE($H$72,$E$72-1),0)),$G$72/MAX($E$72,1),0)</f>
        <v>0</v>
      </c>
      <c r="AE78" s="159" t="n">
        <f aca="false">IF(AND(AE$6&gt;=EOMONTH($H$72,0),AE$6&lt;=EOMONTH(EDATE($H$72,$E$72-1),0)),$G$72/MAX($E$72,1),0)</f>
        <v>0</v>
      </c>
      <c r="AF78" s="159" t="n">
        <f aca="false">IF(AND(AF$6&gt;=EOMONTH($H$72,0),AF$6&lt;=EOMONTH(EDATE($H$72,$E$72-1),0)),$G$72/MAX($E$72,1),0)</f>
        <v>0</v>
      </c>
      <c r="AG78" s="159" t="n">
        <f aca="false">IF(AND(AG$6&gt;=EOMONTH($H$72,0),AG$6&lt;=EOMONTH(EDATE($H$72,$E$72-1),0)),$G$72/MAX($E$72,1),0)</f>
        <v>0</v>
      </c>
      <c r="AH78" s="159" t="n">
        <f aca="false">IF(AND(AH$6&gt;=EOMONTH($H$72,0),AH$6&lt;=EOMONTH(EDATE($H$72,$E$72-1),0)),$G$72/MAX($E$72,1),0)</f>
        <v>0</v>
      </c>
      <c r="AI78" s="159" t="n">
        <f aca="false">IF(AND(AI$6&gt;=EOMONTH($H$72,0),AI$6&lt;=EOMONTH(EDATE($H$72,$E$72-1),0)),$G$72/MAX($E$72,1),0)</f>
        <v>0</v>
      </c>
      <c r="AJ78" s="159" t="n">
        <f aca="false">IF(AND(AJ$6&gt;=EOMONTH($H$72,0),AJ$6&lt;=EOMONTH(EDATE($H$72,$E$72-1),0)),$G$72/MAX($E$72,1),0)</f>
        <v>0</v>
      </c>
      <c r="AK78" s="159" t="n">
        <f aca="false">IF(AND(AK$6&gt;=EOMONTH($H$72,0),AK$6&lt;=EOMONTH(EDATE($H$72,$E$72-1),0)),$G$72/MAX($E$72,1),0)</f>
        <v>0</v>
      </c>
      <c r="AL78" s="159" t="n">
        <f aca="false">IF(AND(AL$6&gt;=EOMONTH($H$72,0),AL$6&lt;=EOMONTH(EDATE($H$72,$E$72-1),0)),$G$72/MAX($E$72,1),0)</f>
        <v>0</v>
      </c>
      <c r="AM78" s="159" t="n">
        <f aca="false">IF(AND(AM$6&gt;=EOMONTH($H$72,0),AM$6&lt;=EOMONTH(EDATE($H$72,$E$72-1),0)),$G$72/MAX($E$72,1),0)</f>
        <v>0</v>
      </c>
      <c r="AN78" s="159" t="n">
        <f aca="false">IF(AND(AN$6&gt;=EOMONTH($H$72,0),AN$6&lt;=EOMONTH(EDATE($H$72,$E$72-1),0)),$G$72/MAX($E$72,1),0)</f>
        <v>91666.6666666667</v>
      </c>
      <c r="AO78" s="159" t="n">
        <f aca="false">IF(AND(AO$6&gt;=EOMONTH($H$72,0),AO$6&lt;=EOMONTH(EDATE($H$72,$E$72-1),0)),$G$72/MAX($E$72,1),0)</f>
        <v>91666.6666666667</v>
      </c>
      <c r="AP78" s="159" t="n">
        <f aca="false">IF(AND(AP$6&gt;=EOMONTH($H$72,0),AP$6&lt;=EOMONTH(EDATE($H$72,$E$72-1),0)),$G$72/MAX($E$72,1),0)</f>
        <v>91666.6666666667</v>
      </c>
      <c r="AQ78" s="159" t="n">
        <f aca="false">IF(AND(AQ$6&gt;=EOMONTH($H$72,0),AQ$6&lt;=EOMONTH(EDATE($H$72,$E$72-1),0)),$G$72/MAX($E$72,1),0)</f>
        <v>91666.6666666667</v>
      </c>
      <c r="AR78" s="159" t="n">
        <f aca="false">IF(AND(AR$6&gt;=EOMONTH($H$72,0),AR$6&lt;=EOMONTH(EDATE($H$72,$E$72-1),0)),$G$72/MAX($E$72,1),0)</f>
        <v>91666.6666666667</v>
      </c>
      <c r="AS78" s="159" t="n">
        <f aca="false">IF(AND(AS$6&gt;=EOMONTH($H$72,0),AS$6&lt;=EOMONTH(EDATE($H$72,$E$72-1),0)),$G$72/MAX($E$72,1),0)</f>
        <v>91666.6666666667</v>
      </c>
      <c r="AT78" s="159" t="n">
        <f aca="false">IF(AND(AT$6&gt;=EOMONTH($H$72,0),AT$6&lt;=EOMONTH(EDATE($H$72,$E$72-1),0)),$G$72/MAX($E$72,1),0)</f>
        <v>91666.6666666667</v>
      </c>
      <c r="AU78" s="159" t="n">
        <f aca="false">IF(AND(AU$6&gt;=EOMONTH($H$72,0),AU$6&lt;=EOMONTH(EDATE($H$72,$E$72-1),0)),$G$72/MAX($E$72,1),0)</f>
        <v>91666.6666666667</v>
      </c>
      <c r="AV78" s="159" t="n">
        <f aca="false">IF(AND(AV$6&gt;=EOMONTH($H$72,0),AV$6&lt;=EOMONTH(EDATE($H$72,$E$72-1),0)),$G$72/MAX($E$72,1),0)</f>
        <v>0</v>
      </c>
      <c r="AW78" s="159" t="n">
        <f aca="false">IF(AND(AW$6&gt;=EOMONTH($H$72,0),AW$6&lt;=EOMONTH(EDATE($H$72,$E$72-1),0)),$G$72/MAX($E$72,1),0)</f>
        <v>0</v>
      </c>
      <c r="AX78" s="159" t="n">
        <f aca="false">IF(AND(AX$6&gt;=EOMONTH($H$72,0),AX$6&lt;=EOMONTH(EDATE($H$72,$E$72-1),0)),$G$72/MAX($E$72,1),0)</f>
        <v>0</v>
      </c>
      <c r="AY78" s="159" t="n">
        <f aca="false">IF(AND(AY$6&gt;=EOMONTH($H$72,0),AY$6&lt;=EOMONTH(EDATE($H$72,$E$72-1),0)),$G$72/MAX($E$72,1),0)</f>
        <v>0</v>
      </c>
      <c r="AZ78" s="159" t="n">
        <f aca="false">IF(AND(AZ$6&gt;=EOMONTH($H$72,0),AZ$6&lt;=EOMONTH(EDATE($H$72,$E$72-1),0)),$G$72/MAX($E$72,1),0)</f>
        <v>0</v>
      </c>
      <c r="BA78" s="159" t="n">
        <f aca="false">IF(AND(BA$6&gt;=EOMONTH($H$72,0),BA$6&lt;=EOMONTH(EDATE($H$72,$E$72-1),0)),$G$72/MAX($E$72,1),0)</f>
        <v>0</v>
      </c>
      <c r="BB78" s="159" t="n">
        <f aca="false">IF(AND(BB$6&gt;=EOMONTH($H$72,0),BB$6&lt;=EOMONTH(EDATE($H$72,$E$72-1),0)),$G$72/MAX($E$72,1),0)</f>
        <v>0</v>
      </c>
      <c r="BC78" s="159" t="n">
        <f aca="false">IF(AND(BC$6&gt;=EOMONTH($H$72,0),BC$6&lt;=EOMONTH(EDATE($H$72,$E$72-1),0)),$G$72/MAX($E$72,1),0)</f>
        <v>0</v>
      </c>
      <c r="BD78" s="159" t="n">
        <f aca="false">IF(AND(BD$6&gt;=EOMONTH($H$72,0),BD$6&lt;=EOMONTH(EDATE($H$72,$E$72-1),0)),$G$72/MAX($E$72,1),0)</f>
        <v>0</v>
      </c>
      <c r="BE78" s="159" t="n">
        <f aca="false">IF(AND(BE$6&gt;=EOMONTH($H$72,0),BE$6&lt;=EOMONTH(EDATE($H$72,$E$72-1),0)),$G$72/MAX($E$72,1),0)</f>
        <v>0</v>
      </c>
      <c r="BF78" s="159" t="n">
        <f aca="false">IF(AND(BF$6&gt;=EOMONTH($H$72,0),BF$6&lt;=EOMONTH(EDATE($H$72,$E$72-1),0)),$G$72/MAX($E$72,1),0)</f>
        <v>0</v>
      </c>
      <c r="BG78" s="159" t="n">
        <f aca="false">IF(AND(BG$6&gt;=EOMONTH($H$72,0),BG$6&lt;=EOMONTH(EDATE($H$72,$E$72-1),0)),$G$72/MAX($E$72,1),0)</f>
        <v>0</v>
      </c>
      <c r="BH78" s="159" t="n">
        <f aca="false">IF(AND(BH$6&gt;=EOMONTH($H$72,0),BH$6&lt;=EOMONTH(EDATE($H$72,$E$72-1),0)),$G$72/MAX($E$72,1),0)</f>
        <v>0</v>
      </c>
      <c r="BI78" s="159" t="n">
        <f aca="false">IF(AND(BI$6&gt;=EOMONTH($H$72,0),BI$6&lt;=EOMONTH(EDATE($H$72,$E$72-1),0)),$G$72/MAX($E$72,1),0)</f>
        <v>0</v>
      </c>
      <c r="BJ78" s="159" t="n">
        <f aca="false">IF(AND(BJ$6&gt;=EOMONTH($H$72,0),BJ$6&lt;=EOMONTH(EDATE($H$72,$E$72-1),0)),$G$72/MAX($E$72,1),0)</f>
        <v>0</v>
      </c>
      <c r="BK78" s="159" t="n">
        <f aca="false">IF(AND(BK$6&gt;=EOMONTH($H$72,0),BK$6&lt;=EOMONTH(EDATE($H$72,$E$72-1),0)),$G$72/MAX($E$72,1),0)</f>
        <v>0</v>
      </c>
      <c r="BL78" s="159" t="n">
        <f aca="false">IF(AND(BL$6&gt;=EOMONTH($H$72,0),BL$6&lt;=EOMONTH(EDATE($H$72,$E$72-1),0)),$G$72/MAX($E$72,1),0)</f>
        <v>0</v>
      </c>
      <c r="BM78" s="159" t="n">
        <f aca="false">IF(AND(BM$6&gt;=EOMONTH($H$72,0),BM$6&lt;=EOMONTH(EDATE($H$72,$E$72-1),0)),$G$72/MAX($E$72,1),0)</f>
        <v>0</v>
      </c>
      <c r="BN78" s="159" t="n">
        <f aca="false">IF(AND(BN$6&gt;=EOMONTH($H$72,0),BN$6&lt;=EOMONTH(EDATE($H$72,$E$72-1),0)),$G$72/MAX($E$72,1),0)</f>
        <v>0</v>
      </c>
      <c r="BO78" s="159" t="n">
        <f aca="false">IF(AND(BO$6&gt;=EOMONTH($H$72,0),BO$6&lt;=EOMONTH(EDATE($H$72,$E$72-1),0)),$G$72/MAX($E$72,1),0)</f>
        <v>0</v>
      </c>
      <c r="BP78" s="159" t="n">
        <f aca="false">IF(AND(BP$6&gt;=EOMONTH($H$72,0),BP$6&lt;=EOMONTH(EDATE($H$72,$E$72-1),0)),$G$72/MAX($E$72,1),0)</f>
        <v>0</v>
      </c>
      <c r="BQ78" s="159" t="n">
        <f aca="false">IF(AND(BQ$6&gt;=EOMONTH($H$72,0),BQ$6&lt;=EOMONTH(EDATE($H$72,$E$72-1),0)),$G$72/MAX($E$72,1),0)</f>
        <v>0</v>
      </c>
      <c r="BR78" s="159" t="n">
        <f aca="false">IF(AND(BR$6&gt;=EOMONTH($H$72,0),BR$6&lt;=EOMONTH(EDATE($H$72,$E$72-1),0)),$G$72/MAX($E$72,1),0)</f>
        <v>0</v>
      </c>
      <c r="BS78" s="159" t="n">
        <f aca="false">IF(AND(BS$6&gt;=EOMONTH($H$72,0),BS$6&lt;=EOMONTH(EDATE($H$72,$E$72-1),0)),$G$72/MAX($E$72,1),0)</f>
        <v>0</v>
      </c>
      <c r="BT78" s="159" t="n">
        <f aca="false">IF(AND(BT$6&gt;=EOMONTH($H$72,0),BT$6&lt;=EOMONTH(EDATE($H$72,$E$72-1),0)),$G$72/MAX($E$72,1),0)</f>
        <v>0</v>
      </c>
      <c r="BU78" s="159" t="n">
        <f aca="false">IF(AND(BU$6&gt;=EOMONTH($H$72,0),BU$6&lt;=EOMONTH(EDATE($H$72,$E$72-1),0)),$G$72/MAX($E$72,1),0)</f>
        <v>0</v>
      </c>
      <c r="BV78" s="159" t="n">
        <f aca="false">IF(AND(BV$6&gt;=EOMONTH($H$72,0),BV$6&lt;=EOMONTH(EDATE($H$72,$E$72-1),0)),$G$72/MAX($E$72,1),0)</f>
        <v>0</v>
      </c>
      <c r="BW78" s="159" t="n">
        <f aca="false">IF(AND(BW$6&gt;=EOMONTH($H$72,0),BW$6&lt;=EOMONTH(EDATE($H$72,$E$72-1),0)),$G$72/MAX($E$72,1),0)</f>
        <v>0</v>
      </c>
      <c r="BX78" s="159" t="n">
        <f aca="false">IF(AND(BX$6&gt;=EOMONTH($H$72,0),BX$6&lt;=EOMONTH(EDATE($H$72,$E$72-1),0)),$G$72/MAX($E$72,1),0)</f>
        <v>0</v>
      </c>
      <c r="BY78" s="159" t="n">
        <f aca="false">IF(AND(BY$6&gt;=EOMONTH($H$72,0),BY$6&lt;=EOMONTH(EDATE($H$72,$E$72-1),0)),$G$72/MAX($E$72,1),0)</f>
        <v>0</v>
      </c>
      <c r="BZ78" s="159" t="n">
        <f aca="false">IF(AND(BZ$6&gt;=EOMONTH($H$72,0),BZ$6&lt;=EOMONTH(EDATE($H$72,$E$72-1),0)),$G$72/MAX($E$72,1),0)</f>
        <v>0</v>
      </c>
      <c r="CA78" s="159" t="n">
        <f aca="false">IF(AND(CA$6&gt;=EOMONTH($H$72,0),CA$6&lt;=EOMONTH(EDATE($H$72,$E$72-1),0)),$G$72/MAX($E$72,1),0)</f>
        <v>0</v>
      </c>
    </row>
    <row r="79" customFormat="false" ht="15" hidden="false" customHeight="false" outlineLevel="0" collapsed="false">
      <c r="B79" s="196" t="s">
        <v>349</v>
      </c>
      <c r="T79" s="159" t="n">
        <f aca="false">IF(AND(T$6&gt;=EOMONTH($H$73,0),T$6&lt;=EOMONTH(EDATE($H$73,$E$73-1),0)),$G$73/MAX($E$73,1),0)</f>
        <v>0</v>
      </c>
      <c r="U79" s="159" t="n">
        <f aca="false">IF(AND(U$6&gt;=EOMONTH($H$73,0),U$6&lt;=EOMONTH(EDATE($H$73,$E$73-1),0)),$G$73/MAX($E$73,1),0)</f>
        <v>0</v>
      </c>
      <c r="V79" s="159" t="n">
        <f aca="false">IF(AND(V$6&gt;=EOMONTH($H$73,0),V$6&lt;=EOMONTH(EDATE($H$73,$E$73-1),0)),$G$73/MAX($E$73,1),0)</f>
        <v>0</v>
      </c>
      <c r="W79" s="159" t="n">
        <f aca="false">IF(AND(W$6&gt;=EOMONTH($H$73,0),W$6&lt;=EOMONTH(EDATE($H$73,$E$73-1),0)),$G$73/MAX($E$73,1),0)</f>
        <v>0</v>
      </c>
      <c r="X79" s="159" t="n">
        <f aca="false">IF(AND(X$6&gt;=EOMONTH($H$73,0),X$6&lt;=EOMONTH(EDATE($H$73,$E$73-1),0)),$G$73/MAX($E$73,1),0)</f>
        <v>0</v>
      </c>
      <c r="Y79" s="159" t="n">
        <f aca="false">IF(AND(Y$6&gt;=EOMONTH($H$73,0),Y$6&lt;=EOMONTH(EDATE($H$73,$E$73-1),0)),$G$73/MAX($E$73,1),0)</f>
        <v>0</v>
      </c>
      <c r="Z79" s="159" t="n">
        <f aca="false">IF(AND(Z$6&gt;=EOMONTH($H$73,0),Z$6&lt;=EOMONTH(EDATE($H$73,$E$73-1),0)),$G$73/MAX($E$73,1),0)</f>
        <v>0</v>
      </c>
      <c r="AA79" s="159" t="n">
        <f aca="false">IF(AND(AA$6&gt;=EOMONTH($H$73,0),AA$6&lt;=EOMONTH(EDATE($H$73,$E$73-1),0)),$G$73/MAX($E$73,1),0)</f>
        <v>0</v>
      </c>
      <c r="AB79" s="159" t="n">
        <f aca="false">IF(AND(AB$6&gt;=EOMONTH($H$73,0),AB$6&lt;=EOMONTH(EDATE($H$73,$E$73-1),0)),$G$73/MAX($E$73,1),0)</f>
        <v>0</v>
      </c>
      <c r="AC79" s="159" t="n">
        <f aca="false">IF(AND(AC$6&gt;=EOMONTH($H$73,0),AC$6&lt;=EOMONTH(EDATE($H$73,$E$73-1),0)),$G$73/MAX($E$73,1),0)</f>
        <v>0</v>
      </c>
      <c r="AD79" s="159" t="n">
        <f aca="false">IF(AND(AD$6&gt;=EOMONTH($H$73,0),AD$6&lt;=EOMONTH(EDATE($H$73,$E$73-1),0)),$G$73/MAX($E$73,1),0)</f>
        <v>0</v>
      </c>
      <c r="AE79" s="159" t="n">
        <f aca="false">IF(AND(AE$6&gt;=EOMONTH($H$73,0),AE$6&lt;=EOMONTH(EDATE($H$73,$E$73-1),0)),$G$73/MAX($E$73,1),0)</f>
        <v>0</v>
      </c>
      <c r="AF79" s="159" t="n">
        <f aca="false">IF(AND(AF$6&gt;=EOMONTH($H$73,0),AF$6&lt;=EOMONTH(EDATE($H$73,$E$73-1),0)),$G$73/MAX($E$73,1),0)</f>
        <v>0</v>
      </c>
      <c r="AG79" s="159" t="n">
        <f aca="false">IF(AND(AG$6&gt;=EOMONTH($H$73,0),AG$6&lt;=EOMONTH(EDATE($H$73,$E$73-1),0)),$G$73/MAX($E$73,1),0)</f>
        <v>0</v>
      </c>
      <c r="AH79" s="159" t="n">
        <f aca="false">IF(AND(AH$6&gt;=EOMONTH($H$73,0),AH$6&lt;=EOMONTH(EDATE($H$73,$E$73-1),0)),$G$73/MAX($E$73,1),0)</f>
        <v>0</v>
      </c>
      <c r="AI79" s="159" t="n">
        <f aca="false">IF(AND(AI$6&gt;=EOMONTH($H$73,0),AI$6&lt;=EOMONTH(EDATE($H$73,$E$73-1),0)),$G$73/MAX($E$73,1),0)</f>
        <v>0</v>
      </c>
      <c r="AJ79" s="159" t="n">
        <f aca="false">IF(AND(AJ$6&gt;=EOMONTH($H$73,0),AJ$6&lt;=EOMONTH(EDATE($H$73,$E$73-1),0)),$G$73/MAX($E$73,1),0)</f>
        <v>0</v>
      </c>
      <c r="AK79" s="159" t="n">
        <f aca="false">IF(AND(AK$6&gt;=EOMONTH($H$73,0),AK$6&lt;=EOMONTH(EDATE($H$73,$E$73-1),0)),$G$73/MAX($E$73,1),0)</f>
        <v>0</v>
      </c>
      <c r="AL79" s="159" t="n">
        <f aca="false">IF(AND(AL$6&gt;=EOMONTH($H$73,0),AL$6&lt;=EOMONTH(EDATE($H$73,$E$73-1),0)),$G$73/MAX($E$73,1),0)</f>
        <v>0</v>
      </c>
      <c r="AM79" s="159" t="n">
        <f aca="false">IF(AND(AM$6&gt;=EOMONTH($H$73,0),AM$6&lt;=EOMONTH(EDATE($H$73,$E$73-1),0)),$G$73/MAX($E$73,1),0)</f>
        <v>0</v>
      </c>
      <c r="AN79" s="159" t="n">
        <f aca="false">IF(AND(AN$6&gt;=EOMONTH($H$73,0),AN$6&lt;=EOMONTH(EDATE($H$73,$E$73-1),0)),$G$73/MAX($E$73,1),0)</f>
        <v>0</v>
      </c>
      <c r="AO79" s="159" t="n">
        <f aca="false">IF(AND(AO$6&gt;=EOMONTH($H$73,0),AO$6&lt;=EOMONTH(EDATE($H$73,$E$73-1),0)),$G$73/MAX($E$73,1),0)</f>
        <v>0</v>
      </c>
      <c r="AP79" s="159" t="n">
        <f aca="false">IF(AND(AP$6&gt;=EOMONTH($H$73,0),AP$6&lt;=EOMONTH(EDATE($H$73,$E$73-1),0)),$G$73/MAX($E$73,1),0)</f>
        <v>0</v>
      </c>
      <c r="AQ79" s="159" t="n">
        <f aca="false">IF(AND(AQ$6&gt;=EOMONTH($H$73,0),AQ$6&lt;=EOMONTH(EDATE($H$73,$E$73-1),0)),$G$73/MAX($E$73,1),0)</f>
        <v>0</v>
      </c>
      <c r="AR79" s="159" t="n">
        <f aca="false">IF(AND(AR$6&gt;=EOMONTH($H$73,0),AR$6&lt;=EOMONTH(EDATE($H$73,$E$73-1),0)),$G$73/MAX($E$73,1),0)</f>
        <v>0</v>
      </c>
      <c r="AS79" s="159" t="n">
        <f aca="false">IF(AND(AS$6&gt;=EOMONTH($H$73,0),AS$6&lt;=EOMONTH(EDATE($H$73,$E$73-1),0)),$G$73/MAX($E$73,1),0)</f>
        <v>0</v>
      </c>
      <c r="AT79" s="159" t="n">
        <f aca="false">IF(AND(AT$6&gt;=EOMONTH($H$73,0),AT$6&lt;=EOMONTH(EDATE($H$73,$E$73-1),0)),$G$73/MAX($E$73,1),0)</f>
        <v>0</v>
      </c>
      <c r="AU79" s="159" t="n">
        <f aca="false">IF(AND(AU$6&gt;=EOMONTH($H$73,0),AU$6&lt;=EOMONTH(EDATE($H$73,$E$73-1),0)),$G$73/MAX($E$73,1),0)</f>
        <v>0</v>
      </c>
      <c r="AV79" s="159" t="n">
        <f aca="false">IF(AND(AV$6&gt;=EOMONTH($H$73,0),AV$6&lt;=EOMONTH(EDATE($H$73,$E$73-1),0)),$G$73/MAX($E$73,1),0)</f>
        <v>0</v>
      </c>
      <c r="AW79" s="159" t="n">
        <f aca="false">IF(AND(AW$6&gt;=EOMONTH($H$73,0),AW$6&lt;=EOMONTH(EDATE($H$73,$E$73-1),0)),$G$73/MAX($E$73,1),0)</f>
        <v>0</v>
      </c>
      <c r="AX79" s="159" t="n">
        <f aca="false">IF(AND(AX$6&gt;=EOMONTH($H$73,0),AX$6&lt;=EOMONTH(EDATE($H$73,$E$73-1),0)),$G$73/MAX($E$73,1),0)</f>
        <v>0</v>
      </c>
      <c r="AY79" s="159" t="n">
        <f aca="false">IF(AND(AY$6&gt;=EOMONTH($H$73,0),AY$6&lt;=EOMONTH(EDATE($H$73,$E$73-1),0)),$G$73/MAX($E$73,1),0)</f>
        <v>0</v>
      </c>
      <c r="AZ79" s="159" t="n">
        <f aca="false">IF(AND(AZ$6&gt;=EOMONTH($H$73,0),AZ$6&lt;=EOMONTH(EDATE($H$73,$E$73-1),0)),$G$73/MAX($E$73,1),0)</f>
        <v>0</v>
      </c>
      <c r="BA79" s="159" t="n">
        <f aca="false">IF(AND(BA$6&gt;=EOMONTH($H$73,0),BA$6&lt;=EOMONTH(EDATE($H$73,$E$73-1),0)),$G$73/MAX($E$73,1),0)</f>
        <v>0</v>
      </c>
      <c r="BB79" s="159" t="n">
        <f aca="false">IF(AND(BB$6&gt;=EOMONTH($H$73,0),BB$6&lt;=EOMONTH(EDATE($H$73,$E$73-1),0)),$G$73/MAX($E$73,1),0)</f>
        <v>0</v>
      </c>
      <c r="BC79" s="159" t="n">
        <f aca="false">IF(AND(BC$6&gt;=EOMONTH($H$73,0),BC$6&lt;=EOMONTH(EDATE($H$73,$E$73-1),0)),$G$73/MAX($E$73,1),0)</f>
        <v>0</v>
      </c>
      <c r="BD79" s="159" t="n">
        <f aca="false">IF(AND(BD$6&gt;=EOMONTH($H$73,0),BD$6&lt;=EOMONTH(EDATE($H$73,$E$73-1),0)),$G$73/MAX($E$73,1),0)</f>
        <v>0</v>
      </c>
      <c r="BE79" s="159" t="n">
        <f aca="false">IF(AND(BE$6&gt;=EOMONTH($H$73,0),BE$6&lt;=EOMONTH(EDATE($H$73,$E$73-1),0)),$G$73/MAX($E$73,1),0)</f>
        <v>0</v>
      </c>
      <c r="BF79" s="159" t="n">
        <f aca="false">IF(AND(BF$6&gt;=EOMONTH($H$73,0),BF$6&lt;=EOMONTH(EDATE($H$73,$E$73-1),0)),$G$73/MAX($E$73,1),0)</f>
        <v>0</v>
      </c>
      <c r="BG79" s="159" t="n">
        <f aca="false">IF(AND(BG$6&gt;=EOMONTH($H$73,0),BG$6&lt;=EOMONTH(EDATE($H$73,$E$73-1),0)),$G$73/MAX($E$73,1),0)</f>
        <v>0</v>
      </c>
      <c r="BH79" s="159" t="n">
        <f aca="false">IF(AND(BH$6&gt;=EOMONTH($H$73,0),BH$6&lt;=EOMONTH(EDATE($H$73,$E$73-1),0)),$G$73/MAX($E$73,1),0)</f>
        <v>0</v>
      </c>
      <c r="BI79" s="159" t="n">
        <f aca="false">IF(AND(BI$6&gt;=EOMONTH($H$73,0),BI$6&lt;=EOMONTH(EDATE($H$73,$E$73-1),0)),$G$73/MAX($E$73,1),0)</f>
        <v>0</v>
      </c>
      <c r="BJ79" s="159" t="n">
        <f aca="false">IF(AND(BJ$6&gt;=EOMONTH($H$73,0),BJ$6&lt;=EOMONTH(EDATE($H$73,$E$73-1),0)),$G$73/MAX($E$73,1),0)</f>
        <v>0</v>
      </c>
      <c r="BK79" s="159" t="n">
        <f aca="false">IF(AND(BK$6&gt;=EOMONTH($H$73,0),BK$6&lt;=EOMONTH(EDATE($H$73,$E$73-1),0)),$G$73/MAX($E$73,1),0)</f>
        <v>0</v>
      </c>
      <c r="BL79" s="159" t="n">
        <f aca="false">IF(AND(BL$6&gt;=EOMONTH($H$73,0),BL$6&lt;=EOMONTH(EDATE($H$73,$E$73-1),0)),$G$73/MAX($E$73,1),0)</f>
        <v>0</v>
      </c>
      <c r="BM79" s="159" t="n">
        <f aca="false">IF(AND(BM$6&gt;=EOMONTH($H$73,0),BM$6&lt;=EOMONTH(EDATE($H$73,$E$73-1),0)),$G$73/MAX($E$73,1),0)</f>
        <v>0</v>
      </c>
      <c r="BN79" s="159" t="n">
        <f aca="false">IF(AND(BN$6&gt;=EOMONTH($H$73,0),BN$6&lt;=EOMONTH(EDATE($H$73,$E$73-1),0)),$G$73/MAX($E$73,1),0)</f>
        <v>0</v>
      </c>
      <c r="BO79" s="159" t="n">
        <f aca="false">IF(AND(BO$6&gt;=EOMONTH($H$73,0),BO$6&lt;=EOMONTH(EDATE($H$73,$E$73-1),0)),$G$73/MAX($E$73,1),0)</f>
        <v>0</v>
      </c>
      <c r="BP79" s="159" t="n">
        <f aca="false">IF(AND(BP$6&gt;=EOMONTH($H$73,0),BP$6&lt;=EOMONTH(EDATE($H$73,$E$73-1),0)),$G$73/MAX($E$73,1),0)</f>
        <v>0</v>
      </c>
      <c r="BQ79" s="159" t="n">
        <f aca="false">IF(AND(BQ$6&gt;=EOMONTH($H$73,0),BQ$6&lt;=EOMONTH(EDATE($H$73,$E$73-1),0)),$G$73/MAX($E$73,1),0)</f>
        <v>0</v>
      </c>
      <c r="BR79" s="159" t="n">
        <f aca="false">IF(AND(BR$6&gt;=EOMONTH($H$73,0),BR$6&lt;=EOMONTH(EDATE($H$73,$E$73-1),0)),$G$73/MAX($E$73,1),0)</f>
        <v>0</v>
      </c>
      <c r="BS79" s="159" t="n">
        <f aca="false">IF(AND(BS$6&gt;=EOMONTH($H$73,0),BS$6&lt;=EOMONTH(EDATE($H$73,$E$73-1),0)),$G$73/MAX($E$73,1),0)</f>
        <v>0</v>
      </c>
      <c r="BT79" s="159" t="n">
        <f aca="false">IF(AND(BT$6&gt;=EOMONTH($H$73,0),BT$6&lt;=EOMONTH(EDATE($H$73,$E$73-1),0)),$G$73/MAX($E$73,1),0)</f>
        <v>0</v>
      </c>
      <c r="BU79" s="159" t="n">
        <f aca="false">IF(AND(BU$6&gt;=EOMONTH($H$73,0),BU$6&lt;=EOMONTH(EDATE($H$73,$E$73-1),0)),$G$73/MAX($E$73,1),0)</f>
        <v>0</v>
      </c>
      <c r="BV79" s="159" t="n">
        <f aca="false">IF(AND(BV$6&gt;=EOMONTH($H$73,0),BV$6&lt;=EOMONTH(EDATE($H$73,$E$73-1),0)),$G$73/MAX($E$73,1),0)</f>
        <v>0</v>
      </c>
      <c r="BW79" s="159" t="n">
        <f aca="false">IF(AND(BW$6&gt;=EOMONTH($H$73,0),BW$6&lt;=EOMONTH(EDATE($H$73,$E$73-1),0)),$G$73/MAX($E$73,1),0)</f>
        <v>0</v>
      </c>
      <c r="BX79" s="159" t="n">
        <f aca="false">IF(AND(BX$6&gt;=EOMONTH($H$73,0),BX$6&lt;=EOMONTH(EDATE($H$73,$E$73-1),0)),$G$73/MAX($E$73,1),0)</f>
        <v>0</v>
      </c>
      <c r="BY79" s="159" t="n">
        <f aca="false">IF(AND(BY$6&gt;=EOMONTH($H$73,0),BY$6&lt;=EOMONTH(EDATE($H$73,$E$73-1),0)),$G$73/MAX($E$73,1),0)</f>
        <v>0</v>
      </c>
      <c r="BZ79" s="159" t="n">
        <f aca="false">IF(AND(BZ$6&gt;=EOMONTH($H$73,0),BZ$6&lt;=EOMONTH(EDATE($H$73,$E$73-1),0)),$G$73/MAX($E$73,1),0)</f>
        <v>0</v>
      </c>
      <c r="CA79" s="159" t="n">
        <f aca="false">IF(AND(CA$6&gt;=EOMONTH($H$73,0),CA$6&lt;=EOMONTH(EDATE($H$73,$E$73-1),0)),$G$73/MAX($E$73,1),0)</f>
        <v>0</v>
      </c>
    </row>
    <row r="80" customFormat="false" ht="15" hidden="false" customHeight="false" outlineLevel="0" collapsed="false">
      <c r="B80" s="3" t="s">
        <v>350</v>
      </c>
      <c r="G80" s="159" t="n">
        <f aca="false">SUM(G70:G73)</f>
        <v>1760000</v>
      </c>
    </row>
    <row r="82" customFormat="false" ht="15" hidden="false" customHeight="false" outlineLevel="0" collapsed="false">
      <c r="B82" s="197" t="s">
        <v>351</v>
      </c>
    </row>
    <row r="83" customFormat="false" ht="15" hidden="false" customHeight="false" outlineLevel="0" collapsed="false">
      <c r="B83" s="169" t="s">
        <v>352</v>
      </c>
      <c r="C83" s="169" t="s">
        <v>353</v>
      </c>
      <c r="D83" s="169" t="s">
        <v>354</v>
      </c>
      <c r="E83" s="169" t="s">
        <v>355</v>
      </c>
      <c r="H83" s="169" t="s">
        <v>333</v>
      </c>
      <c r="I83" s="169" t="s">
        <v>222</v>
      </c>
    </row>
    <row r="84" customFormat="false" ht="15" hidden="false" customHeight="false" outlineLevel="0" collapsed="false">
      <c r="B84" s="9" t="s">
        <v>356</v>
      </c>
      <c r="C84" s="194" t="s">
        <v>361</v>
      </c>
      <c r="D84" s="158" t="n">
        <v>80000</v>
      </c>
      <c r="E84" s="156" t="n">
        <v>2</v>
      </c>
      <c r="H84" s="178" t="n">
        <f aca="false">DATE(2027,3,1)</f>
        <v>46447</v>
      </c>
      <c r="I84" s="168" t="n">
        <v>0</v>
      </c>
    </row>
    <row r="85" customFormat="false" ht="15" hidden="false" customHeight="false" outlineLevel="0" collapsed="false">
      <c r="B85" s="9" t="s">
        <v>358</v>
      </c>
      <c r="C85" s="194" t="s">
        <v>361</v>
      </c>
      <c r="D85" s="158" t="n">
        <v>220000</v>
      </c>
      <c r="E85" s="156" t="n">
        <v>6</v>
      </c>
      <c r="H85" s="178" t="n">
        <f aca="false">DATE(2027,3,1)</f>
        <v>46447</v>
      </c>
      <c r="I85" s="168" t="n">
        <v>0</v>
      </c>
    </row>
    <row r="86" customFormat="false" ht="15" hidden="false" customHeight="false" outlineLevel="0" collapsed="false">
      <c r="B86" s="9" t="s">
        <v>360</v>
      </c>
      <c r="C86" s="194" t="s">
        <v>361</v>
      </c>
      <c r="D86" s="158" t="n">
        <v>180000</v>
      </c>
      <c r="E86" s="156" t="n">
        <v>6</v>
      </c>
      <c r="H86" s="178" t="n">
        <f aca="false">DATE(2027,3,1)</f>
        <v>46447</v>
      </c>
      <c r="I86" s="168" t="n">
        <v>0</v>
      </c>
    </row>
    <row r="87" customFormat="false" ht="15" hidden="false" customHeight="false" outlineLevel="0" collapsed="false">
      <c r="B87" s="9" t="s">
        <v>362</v>
      </c>
      <c r="C87" s="194" t="s">
        <v>361</v>
      </c>
      <c r="D87" s="158" t="n">
        <v>50000</v>
      </c>
      <c r="E87" s="156" t="n">
        <v>6</v>
      </c>
      <c r="H87" s="178" t="n">
        <f aca="false">DATE(2027,3,1)</f>
        <v>46447</v>
      </c>
      <c r="I87" s="168" t="n">
        <v>0</v>
      </c>
    </row>
    <row r="88" customFormat="false" ht="15" hidden="false" customHeight="false" outlineLevel="0" collapsed="false">
      <c r="B88" s="9" t="s">
        <v>363</v>
      </c>
      <c r="C88" s="194" t="s">
        <v>464</v>
      </c>
      <c r="D88" s="159" t="n">
        <f aca="false">$D$30*($G$80+$D$84+$D$85+$D$86+$D$87)</f>
        <v>183200</v>
      </c>
      <c r="E88" s="156" t="n">
        <v>16</v>
      </c>
      <c r="H88" s="178" t="n">
        <f aca="false">DATE(2027,1,1)</f>
        <v>46388</v>
      </c>
      <c r="I88" s="168" t="n">
        <v>0</v>
      </c>
    </row>
    <row r="89" customFormat="false" ht="15" hidden="false" customHeight="false" outlineLevel="0" collapsed="false">
      <c r="B89" s="9" t="s">
        <v>365</v>
      </c>
      <c r="C89" s="194" t="s">
        <v>715</v>
      </c>
      <c r="D89" s="159" t="n">
        <f aca="false">$D$31*($G$80+$D$84+$D$85+$D$86+$D$87+$D$88)</f>
        <v>247320</v>
      </c>
      <c r="E89" s="156" t="n">
        <v>16</v>
      </c>
      <c r="H89" s="178" t="n">
        <f aca="false">DATE(2027,1,1)</f>
        <v>46388</v>
      </c>
      <c r="I89" s="168" t="n">
        <v>0</v>
      </c>
    </row>
    <row r="90" customFormat="false" ht="15" hidden="false" customHeight="false" outlineLevel="0" collapsed="false">
      <c r="B90" s="9" t="s">
        <v>367</v>
      </c>
      <c r="C90" s="194"/>
      <c r="D90" s="158" t="n">
        <v>0</v>
      </c>
      <c r="E90" s="156" t="n">
        <v>1</v>
      </c>
      <c r="H90" s="178" t="n">
        <f aca="false">DATE(2027,9,1)</f>
        <v>46631</v>
      </c>
      <c r="I90" s="168" t="n">
        <v>0</v>
      </c>
    </row>
    <row r="92" customFormat="false" ht="15" hidden="false" customHeight="false" outlineLevel="0" collapsed="false">
      <c r="B92" s="167" t="s">
        <v>368</v>
      </c>
    </row>
    <row r="93" customFormat="false" ht="15" hidden="false" customHeight="false" outlineLevel="0" collapsed="false">
      <c r="B93" s="196" t="s">
        <v>369</v>
      </c>
      <c r="T93" s="159" t="n">
        <f aca="false">IF(AND(T$6&gt;=EOMONTH($H$84,0),T$6&lt;=EOMONTH(EDATE($H$84,$E$84-1),0)),$D$84/MAX($E$84,1),0)</f>
        <v>0</v>
      </c>
      <c r="U93" s="159" t="n">
        <f aca="false">IF(AND(U$6&gt;=EOMONTH($H$84,0),U$6&lt;=EOMONTH(EDATE($H$84,$E$84-1),0)),$D$84/MAX($E$84,1),0)</f>
        <v>0</v>
      </c>
      <c r="V93" s="159" t="n">
        <f aca="false">IF(AND(V$6&gt;=EOMONTH($H$84,0),V$6&lt;=EOMONTH(EDATE($H$84,$E$84-1),0)),$D$84/MAX($E$84,1),0)</f>
        <v>0</v>
      </c>
      <c r="W93" s="159" t="n">
        <f aca="false">IF(AND(W$6&gt;=EOMONTH($H$84,0),W$6&lt;=EOMONTH(EDATE($H$84,$E$84-1),0)),$D$84/MAX($E$84,1),0)</f>
        <v>0</v>
      </c>
      <c r="X93" s="159" t="n">
        <f aca="false">IF(AND(X$6&gt;=EOMONTH($H$84,0),X$6&lt;=EOMONTH(EDATE($H$84,$E$84-1),0)),$D$84/MAX($E$84,1),0)</f>
        <v>0</v>
      </c>
      <c r="Y93" s="159" t="n">
        <f aca="false">IF(AND(Y$6&gt;=EOMONTH($H$84,0),Y$6&lt;=EOMONTH(EDATE($H$84,$E$84-1),0)),$D$84/MAX($E$84,1),0)</f>
        <v>0</v>
      </c>
      <c r="Z93" s="159" t="n">
        <f aca="false">IF(AND(Z$6&gt;=EOMONTH($H$84,0),Z$6&lt;=EOMONTH(EDATE($H$84,$E$84-1),0)),$D$84/MAX($E$84,1),0)</f>
        <v>0</v>
      </c>
      <c r="AA93" s="159" t="n">
        <f aca="false">IF(AND(AA$6&gt;=EOMONTH($H$84,0),AA$6&lt;=EOMONTH(EDATE($H$84,$E$84-1),0)),$D$84/MAX($E$84,1),0)</f>
        <v>0</v>
      </c>
      <c r="AB93" s="159" t="n">
        <f aca="false">IF(AND(AB$6&gt;=EOMONTH($H$84,0),AB$6&lt;=EOMONTH(EDATE($H$84,$E$84-1),0)),$D$84/MAX($E$84,1),0)</f>
        <v>0</v>
      </c>
      <c r="AC93" s="159" t="n">
        <f aca="false">IF(AND(AC$6&gt;=EOMONTH($H$84,0),AC$6&lt;=EOMONTH(EDATE($H$84,$E$84-1),0)),$D$84/MAX($E$84,1),0)</f>
        <v>0</v>
      </c>
      <c r="AD93" s="159" t="n">
        <f aca="false">IF(AND(AD$6&gt;=EOMONTH($H$84,0),AD$6&lt;=EOMONTH(EDATE($H$84,$E$84-1),0)),$D$84/MAX($E$84,1),0)</f>
        <v>0</v>
      </c>
      <c r="AE93" s="159" t="n">
        <f aca="false">IF(AND(AE$6&gt;=EOMONTH($H$84,0),AE$6&lt;=EOMONTH(EDATE($H$84,$E$84-1),0)),$D$84/MAX($E$84,1),0)</f>
        <v>0</v>
      </c>
      <c r="AF93" s="159" t="n">
        <f aca="false">IF(AND(AF$6&gt;=EOMONTH($H$84,0),AF$6&lt;=EOMONTH(EDATE($H$84,$E$84-1),0)),$D$84/MAX($E$84,1),0)</f>
        <v>0</v>
      </c>
      <c r="AG93" s="159" t="n">
        <f aca="false">IF(AND(AG$6&gt;=EOMONTH($H$84,0),AG$6&lt;=EOMONTH(EDATE($H$84,$E$84-1),0)),$D$84/MAX($E$84,1),0)</f>
        <v>0</v>
      </c>
      <c r="AH93" s="159" t="n">
        <f aca="false">IF(AND(AH$6&gt;=EOMONTH($H$84,0),AH$6&lt;=EOMONTH(EDATE($H$84,$E$84-1),0)),$D$84/MAX($E$84,1),0)</f>
        <v>40000</v>
      </c>
      <c r="AI93" s="159" t="n">
        <f aca="false">IF(AND(AI$6&gt;=EOMONTH($H$84,0),AI$6&lt;=EOMONTH(EDATE($H$84,$E$84-1),0)),$D$84/MAX($E$84,1),0)</f>
        <v>40000</v>
      </c>
      <c r="AJ93" s="159" t="n">
        <f aca="false">IF(AND(AJ$6&gt;=EOMONTH($H$84,0),AJ$6&lt;=EOMONTH(EDATE($H$84,$E$84-1),0)),$D$84/MAX($E$84,1),0)</f>
        <v>0</v>
      </c>
      <c r="AK93" s="159" t="n">
        <f aca="false">IF(AND(AK$6&gt;=EOMONTH($H$84,0),AK$6&lt;=EOMONTH(EDATE($H$84,$E$84-1),0)),$D$84/MAX($E$84,1),0)</f>
        <v>0</v>
      </c>
      <c r="AL93" s="159" t="n">
        <f aca="false">IF(AND(AL$6&gt;=EOMONTH($H$84,0),AL$6&lt;=EOMONTH(EDATE($H$84,$E$84-1),0)),$D$84/MAX($E$84,1),0)</f>
        <v>0</v>
      </c>
      <c r="AM93" s="159" t="n">
        <f aca="false">IF(AND(AM$6&gt;=EOMONTH($H$84,0),AM$6&lt;=EOMONTH(EDATE($H$84,$E$84-1),0)),$D$84/MAX($E$84,1),0)</f>
        <v>0</v>
      </c>
      <c r="AN93" s="159" t="n">
        <f aca="false">IF(AND(AN$6&gt;=EOMONTH($H$84,0),AN$6&lt;=EOMONTH(EDATE($H$84,$E$84-1),0)),$D$84/MAX($E$84,1),0)</f>
        <v>0</v>
      </c>
      <c r="AO93" s="159" t="n">
        <f aca="false">IF(AND(AO$6&gt;=EOMONTH($H$84,0),AO$6&lt;=EOMONTH(EDATE($H$84,$E$84-1),0)),$D$84/MAX($E$84,1),0)</f>
        <v>0</v>
      </c>
      <c r="AP93" s="159" t="n">
        <f aca="false">IF(AND(AP$6&gt;=EOMONTH($H$84,0),AP$6&lt;=EOMONTH(EDATE($H$84,$E$84-1),0)),$D$84/MAX($E$84,1),0)</f>
        <v>0</v>
      </c>
      <c r="AQ93" s="159" t="n">
        <f aca="false">IF(AND(AQ$6&gt;=EOMONTH($H$84,0),AQ$6&lt;=EOMONTH(EDATE($H$84,$E$84-1),0)),$D$84/MAX($E$84,1),0)</f>
        <v>0</v>
      </c>
      <c r="AR93" s="159" t="n">
        <f aca="false">IF(AND(AR$6&gt;=EOMONTH($H$84,0),AR$6&lt;=EOMONTH(EDATE($H$84,$E$84-1),0)),$D$84/MAX($E$84,1),0)</f>
        <v>0</v>
      </c>
      <c r="AS93" s="159" t="n">
        <f aca="false">IF(AND(AS$6&gt;=EOMONTH($H$84,0),AS$6&lt;=EOMONTH(EDATE($H$84,$E$84-1),0)),$D$84/MAX($E$84,1),0)</f>
        <v>0</v>
      </c>
      <c r="AT93" s="159" t="n">
        <f aca="false">IF(AND(AT$6&gt;=EOMONTH($H$84,0),AT$6&lt;=EOMONTH(EDATE($H$84,$E$84-1),0)),$D$84/MAX($E$84,1),0)</f>
        <v>0</v>
      </c>
      <c r="AU93" s="159" t="n">
        <f aca="false">IF(AND(AU$6&gt;=EOMONTH($H$84,0),AU$6&lt;=EOMONTH(EDATE($H$84,$E$84-1),0)),$D$84/MAX($E$84,1),0)</f>
        <v>0</v>
      </c>
      <c r="AV93" s="159" t="n">
        <f aca="false">IF(AND(AV$6&gt;=EOMONTH($H$84,0),AV$6&lt;=EOMONTH(EDATE($H$84,$E$84-1),0)),$D$84/MAX($E$84,1),0)</f>
        <v>0</v>
      </c>
      <c r="AW93" s="159" t="n">
        <f aca="false">IF(AND(AW$6&gt;=EOMONTH($H$84,0),AW$6&lt;=EOMONTH(EDATE($H$84,$E$84-1),0)),$D$84/MAX($E$84,1),0)</f>
        <v>0</v>
      </c>
      <c r="AX93" s="159" t="n">
        <f aca="false">IF(AND(AX$6&gt;=EOMONTH($H$84,0),AX$6&lt;=EOMONTH(EDATE($H$84,$E$84-1),0)),$D$84/MAX($E$84,1),0)</f>
        <v>0</v>
      </c>
      <c r="AY93" s="159" t="n">
        <f aca="false">IF(AND(AY$6&gt;=EOMONTH($H$84,0),AY$6&lt;=EOMONTH(EDATE($H$84,$E$84-1),0)),$D$84/MAX($E$84,1),0)</f>
        <v>0</v>
      </c>
      <c r="AZ93" s="159" t="n">
        <f aca="false">IF(AND(AZ$6&gt;=EOMONTH($H$84,0),AZ$6&lt;=EOMONTH(EDATE($H$84,$E$84-1),0)),$D$84/MAX($E$84,1),0)</f>
        <v>0</v>
      </c>
      <c r="BA93" s="159" t="n">
        <f aca="false">IF(AND(BA$6&gt;=EOMONTH($H$84,0),BA$6&lt;=EOMONTH(EDATE($H$84,$E$84-1),0)),$D$84/MAX($E$84,1),0)</f>
        <v>0</v>
      </c>
      <c r="BB93" s="159" t="n">
        <f aca="false">IF(AND(BB$6&gt;=EOMONTH($H$84,0),BB$6&lt;=EOMONTH(EDATE($H$84,$E$84-1),0)),$D$84/MAX($E$84,1),0)</f>
        <v>0</v>
      </c>
      <c r="BC93" s="159" t="n">
        <f aca="false">IF(AND(BC$6&gt;=EOMONTH($H$84,0),BC$6&lt;=EOMONTH(EDATE($H$84,$E$84-1),0)),$D$84/MAX($E$84,1),0)</f>
        <v>0</v>
      </c>
      <c r="BD93" s="159" t="n">
        <f aca="false">IF(AND(BD$6&gt;=EOMONTH($H$84,0),BD$6&lt;=EOMONTH(EDATE($H$84,$E$84-1),0)),$D$84/MAX($E$84,1),0)</f>
        <v>0</v>
      </c>
      <c r="BE93" s="159" t="n">
        <f aca="false">IF(AND(BE$6&gt;=EOMONTH($H$84,0),BE$6&lt;=EOMONTH(EDATE($H$84,$E$84-1),0)),$D$84/MAX($E$84,1),0)</f>
        <v>0</v>
      </c>
      <c r="BF93" s="159" t="n">
        <f aca="false">IF(AND(BF$6&gt;=EOMONTH($H$84,0),BF$6&lt;=EOMONTH(EDATE($H$84,$E$84-1),0)),$D$84/MAX($E$84,1),0)</f>
        <v>0</v>
      </c>
      <c r="BG93" s="159" t="n">
        <f aca="false">IF(AND(BG$6&gt;=EOMONTH($H$84,0),BG$6&lt;=EOMONTH(EDATE($H$84,$E$84-1),0)),$D$84/MAX($E$84,1),0)</f>
        <v>0</v>
      </c>
      <c r="BH93" s="159" t="n">
        <f aca="false">IF(AND(BH$6&gt;=EOMONTH($H$84,0),BH$6&lt;=EOMONTH(EDATE($H$84,$E$84-1),0)),$D$84/MAX($E$84,1),0)</f>
        <v>0</v>
      </c>
      <c r="BI93" s="159" t="n">
        <f aca="false">IF(AND(BI$6&gt;=EOMONTH($H$84,0),BI$6&lt;=EOMONTH(EDATE($H$84,$E$84-1),0)),$D$84/MAX($E$84,1),0)</f>
        <v>0</v>
      </c>
      <c r="BJ93" s="159" t="n">
        <f aca="false">IF(AND(BJ$6&gt;=EOMONTH($H$84,0),BJ$6&lt;=EOMONTH(EDATE($H$84,$E$84-1),0)),$D$84/MAX($E$84,1),0)</f>
        <v>0</v>
      </c>
      <c r="BK93" s="159" t="n">
        <f aca="false">IF(AND(BK$6&gt;=EOMONTH($H$84,0),BK$6&lt;=EOMONTH(EDATE($H$84,$E$84-1),0)),$D$84/MAX($E$84,1),0)</f>
        <v>0</v>
      </c>
      <c r="BL93" s="159" t="n">
        <f aca="false">IF(AND(BL$6&gt;=EOMONTH($H$84,0),BL$6&lt;=EOMONTH(EDATE($H$84,$E$84-1),0)),$D$84/MAX($E$84,1),0)</f>
        <v>0</v>
      </c>
      <c r="BM93" s="159" t="n">
        <f aca="false">IF(AND(BM$6&gt;=EOMONTH($H$84,0),BM$6&lt;=EOMONTH(EDATE($H$84,$E$84-1),0)),$D$84/MAX($E$84,1),0)</f>
        <v>0</v>
      </c>
      <c r="BN93" s="159" t="n">
        <f aca="false">IF(AND(BN$6&gt;=EOMONTH($H$84,0),BN$6&lt;=EOMONTH(EDATE($H$84,$E$84-1),0)),$D$84/MAX($E$84,1),0)</f>
        <v>0</v>
      </c>
      <c r="BO93" s="159" t="n">
        <f aca="false">IF(AND(BO$6&gt;=EOMONTH($H$84,0),BO$6&lt;=EOMONTH(EDATE($H$84,$E$84-1),0)),$D$84/MAX($E$84,1),0)</f>
        <v>0</v>
      </c>
      <c r="BP93" s="159" t="n">
        <f aca="false">IF(AND(BP$6&gt;=EOMONTH($H$84,0),BP$6&lt;=EOMONTH(EDATE($H$84,$E$84-1),0)),$D$84/MAX($E$84,1),0)</f>
        <v>0</v>
      </c>
      <c r="BQ93" s="159" t="n">
        <f aca="false">IF(AND(BQ$6&gt;=EOMONTH($H$84,0),BQ$6&lt;=EOMONTH(EDATE($H$84,$E$84-1),0)),$D$84/MAX($E$84,1),0)</f>
        <v>0</v>
      </c>
      <c r="BR93" s="159" t="n">
        <f aca="false">IF(AND(BR$6&gt;=EOMONTH($H$84,0),BR$6&lt;=EOMONTH(EDATE($H$84,$E$84-1),0)),$D$84/MAX($E$84,1),0)</f>
        <v>0</v>
      </c>
      <c r="BS93" s="159" t="n">
        <f aca="false">IF(AND(BS$6&gt;=EOMONTH($H$84,0),BS$6&lt;=EOMONTH(EDATE($H$84,$E$84-1),0)),$D$84/MAX($E$84,1),0)</f>
        <v>0</v>
      </c>
      <c r="BT93" s="159" t="n">
        <f aca="false">IF(AND(BT$6&gt;=EOMONTH($H$84,0),BT$6&lt;=EOMONTH(EDATE($H$84,$E$84-1),0)),$D$84/MAX($E$84,1),0)</f>
        <v>0</v>
      </c>
      <c r="BU93" s="159" t="n">
        <f aca="false">IF(AND(BU$6&gt;=EOMONTH($H$84,0),BU$6&lt;=EOMONTH(EDATE($H$84,$E$84-1),0)),$D$84/MAX($E$84,1),0)</f>
        <v>0</v>
      </c>
      <c r="BV93" s="159" t="n">
        <f aca="false">IF(AND(BV$6&gt;=EOMONTH($H$84,0),BV$6&lt;=EOMONTH(EDATE($H$84,$E$84-1),0)),$D$84/MAX($E$84,1),0)</f>
        <v>0</v>
      </c>
      <c r="BW93" s="159" t="n">
        <f aca="false">IF(AND(BW$6&gt;=EOMONTH($H$84,0),BW$6&lt;=EOMONTH(EDATE($H$84,$E$84-1),0)),$D$84/MAX($E$84,1),0)</f>
        <v>0</v>
      </c>
      <c r="BX93" s="159" t="n">
        <f aca="false">IF(AND(BX$6&gt;=EOMONTH($H$84,0),BX$6&lt;=EOMONTH(EDATE($H$84,$E$84-1),0)),$D$84/MAX($E$84,1),0)</f>
        <v>0</v>
      </c>
      <c r="BY93" s="159" t="n">
        <f aca="false">IF(AND(BY$6&gt;=EOMONTH($H$84,0),BY$6&lt;=EOMONTH(EDATE($H$84,$E$84-1),0)),$D$84/MAX($E$84,1),0)</f>
        <v>0</v>
      </c>
      <c r="BZ93" s="159" t="n">
        <f aca="false">IF(AND(BZ$6&gt;=EOMONTH($H$84,0),BZ$6&lt;=EOMONTH(EDATE($H$84,$E$84-1),0)),$D$84/MAX($E$84,1),0)</f>
        <v>0</v>
      </c>
      <c r="CA93" s="159" t="n">
        <f aca="false">IF(AND(CA$6&gt;=EOMONTH($H$84,0),CA$6&lt;=EOMONTH(EDATE($H$84,$E$84-1),0)),$D$84/MAX($E$84,1),0)</f>
        <v>0</v>
      </c>
    </row>
    <row r="94" customFormat="false" ht="15" hidden="false" customHeight="false" outlineLevel="0" collapsed="false">
      <c r="B94" s="196" t="s">
        <v>370</v>
      </c>
      <c r="T94" s="159" t="n">
        <f aca="false">IF(AND(T$6&gt;=EOMONTH($H$85,0),T$6&lt;=EOMONTH(EDATE($H$85,$E$85-1),0)),$D$85/MAX($E$85,1),0)</f>
        <v>0</v>
      </c>
      <c r="U94" s="159" t="n">
        <f aca="false">IF(AND(U$6&gt;=EOMONTH($H$85,0),U$6&lt;=EOMONTH(EDATE($H$85,$E$85-1),0)),$D$85/MAX($E$85,1),0)</f>
        <v>0</v>
      </c>
      <c r="V94" s="159" t="n">
        <f aca="false">IF(AND(V$6&gt;=EOMONTH($H$85,0),V$6&lt;=EOMONTH(EDATE($H$85,$E$85-1),0)),$D$85/MAX($E$85,1),0)</f>
        <v>0</v>
      </c>
      <c r="W94" s="159" t="n">
        <f aca="false">IF(AND(W$6&gt;=EOMONTH($H$85,0),W$6&lt;=EOMONTH(EDATE($H$85,$E$85-1),0)),$D$85/MAX($E$85,1),0)</f>
        <v>0</v>
      </c>
      <c r="X94" s="159" t="n">
        <f aca="false">IF(AND(X$6&gt;=EOMONTH($H$85,0),X$6&lt;=EOMONTH(EDATE($H$85,$E$85-1),0)),$D$85/MAX($E$85,1),0)</f>
        <v>0</v>
      </c>
      <c r="Y94" s="159" t="n">
        <f aca="false">IF(AND(Y$6&gt;=EOMONTH($H$85,0),Y$6&lt;=EOMONTH(EDATE($H$85,$E$85-1),0)),$D$85/MAX($E$85,1),0)</f>
        <v>0</v>
      </c>
      <c r="Z94" s="159" t="n">
        <f aca="false">IF(AND(Z$6&gt;=EOMONTH($H$85,0),Z$6&lt;=EOMONTH(EDATE($H$85,$E$85-1),0)),$D$85/MAX($E$85,1),0)</f>
        <v>0</v>
      </c>
      <c r="AA94" s="159" t="n">
        <f aca="false">IF(AND(AA$6&gt;=EOMONTH($H$85,0),AA$6&lt;=EOMONTH(EDATE($H$85,$E$85-1),0)),$D$85/MAX($E$85,1),0)</f>
        <v>0</v>
      </c>
      <c r="AB94" s="159" t="n">
        <f aca="false">IF(AND(AB$6&gt;=EOMONTH($H$85,0),AB$6&lt;=EOMONTH(EDATE($H$85,$E$85-1),0)),$D$85/MAX($E$85,1),0)</f>
        <v>0</v>
      </c>
      <c r="AC94" s="159" t="n">
        <f aca="false">IF(AND(AC$6&gt;=EOMONTH($H$85,0),AC$6&lt;=EOMONTH(EDATE($H$85,$E$85-1),0)),$D$85/MAX($E$85,1),0)</f>
        <v>0</v>
      </c>
      <c r="AD94" s="159" t="n">
        <f aca="false">IF(AND(AD$6&gt;=EOMONTH($H$85,0),AD$6&lt;=EOMONTH(EDATE($H$85,$E$85-1),0)),$D$85/MAX($E$85,1),0)</f>
        <v>0</v>
      </c>
      <c r="AE94" s="159" t="n">
        <f aca="false">IF(AND(AE$6&gt;=EOMONTH($H$85,0),AE$6&lt;=EOMONTH(EDATE($H$85,$E$85-1),0)),$D$85/MAX($E$85,1),0)</f>
        <v>0</v>
      </c>
      <c r="AF94" s="159" t="n">
        <f aca="false">IF(AND(AF$6&gt;=EOMONTH($H$85,0),AF$6&lt;=EOMONTH(EDATE($H$85,$E$85-1),0)),$D$85/MAX($E$85,1),0)</f>
        <v>0</v>
      </c>
      <c r="AG94" s="159" t="n">
        <f aca="false">IF(AND(AG$6&gt;=EOMONTH($H$85,0),AG$6&lt;=EOMONTH(EDATE($H$85,$E$85-1),0)),$D$85/MAX($E$85,1),0)</f>
        <v>0</v>
      </c>
      <c r="AH94" s="159" t="n">
        <f aca="false">IF(AND(AH$6&gt;=EOMONTH($H$85,0),AH$6&lt;=EOMONTH(EDATE($H$85,$E$85-1),0)),$D$85/MAX($E$85,1),0)</f>
        <v>36666.6666666667</v>
      </c>
      <c r="AI94" s="159" t="n">
        <f aca="false">IF(AND(AI$6&gt;=EOMONTH($H$85,0),AI$6&lt;=EOMONTH(EDATE($H$85,$E$85-1),0)),$D$85/MAX($E$85,1),0)</f>
        <v>36666.6666666667</v>
      </c>
      <c r="AJ94" s="159" t="n">
        <f aca="false">IF(AND(AJ$6&gt;=EOMONTH($H$85,0),AJ$6&lt;=EOMONTH(EDATE($H$85,$E$85-1),0)),$D$85/MAX($E$85,1),0)</f>
        <v>36666.6666666667</v>
      </c>
      <c r="AK94" s="159" t="n">
        <f aca="false">IF(AND(AK$6&gt;=EOMONTH($H$85,0),AK$6&lt;=EOMONTH(EDATE($H$85,$E$85-1),0)),$D$85/MAX($E$85,1),0)</f>
        <v>36666.6666666667</v>
      </c>
      <c r="AL94" s="159" t="n">
        <f aca="false">IF(AND(AL$6&gt;=EOMONTH($H$85,0),AL$6&lt;=EOMONTH(EDATE($H$85,$E$85-1),0)),$D$85/MAX($E$85,1),0)</f>
        <v>36666.6666666667</v>
      </c>
      <c r="AM94" s="159" t="n">
        <f aca="false">IF(AND(AM$6&gt;=EOMONTH($H$85,0),AM$6&lt;=EOMONTH(EDATE($H$85,$E$85-1),0)),$D$85/MAX($E$85,1),0)</f>
        <v>36666.6666666667</v>
      </c>
      <c r="AN94" s="159" t="n">
        <f aca="false">IF(AND(AN$6&gt;=EOMONTH($H$85,0),AN$6&lt;=EOMONTH(EDATE($H$85,$E$85-1),0)),$D$85/MAX($E$85,1),0)</f>
        <v>0</v>
      </c>
      <c r="AO94" s="159" t="n">
        <f aca="false">IF(AND(AO$6&gt;=EOMONTH($H$85,0),AO$6&lt;=EOMONTH(EDATE($H$85,$E$85-1),0)),$D$85/MAX($E$85,1),0)</f>
        <v>0</v>
      </c>
      <c r="AP94" s="159" t="n">
        <f aca="false">IF(AND(AP$6&gt;=EOMONTH($H$85,0),AP$6&lt;=EOMONTH(EDATE($H$85,$E$85-1),0)),$D$85/MAX($E$85,1),0)</f>
        <v>0</v>
      </c>
      <c r="AQ94" s="159" t="n">
        <f aca="false">IF(AND(AQ$6&gt;=EOMONTH($H$85,0),AQ$6&lt;=EOMONTH(EDATE($H$85,$E$85-1),0)),$D$85/MAX($E$85,1),0)</f>
        <v>0</v>
      </c>
      <c r="AR94" s="159" t="n">
        <f aca="false">IF(AND(AR$6&gt;=EOMONTH($H$85,0),AR$6&lt;=EOMONTH(EDATE($H$85,$E$85-1),0)),$D$85/MAX($E$85,1),0)</f>
        <v>0</v>
      </c>
      <c r="AS94" s="159" t="n">
        <f aca="false">IF(AND(AS$6&gt;=EOMONTH($H$85,0),AS$6&lt;=EOMONTH(EDATE($H$85,$E$85-1),0)),$D$85/MAX($E$85,1),0)</f>
        <v>0</v>
      </c>
      <c r="AT94" s="159" t="n">
        <f aca="false">IF(AND(AT$6&gt;=EOMONTH($H$85,0),AT$6&lt;=EOMONTH(EDATE($H$85,$E$85-1),0)),$D$85/MAX($E$85,1),0)</f>
        <v>0</v>
      </c>
      <c r="AU94" s="159" t="n">
        <f aca="false">IF(AND(AU$6&gt;=EOMONTH($H$85,0),AU$6&lt;=EOMONTH(EDATE($H$85,$E$85-1),0)),$D$85/MAX($E$85,1),0)</f>
        <v>0</v>
      </c>
      <c r="AV94" s="159" t="n">
        <f aca="false">IF(AND(AV$6&gt;=EOMONTH($H$85,0),AV$6&lt;=EOMONTH(EDATE($H$85,$E$85-1),0)),$D$85/MAX($E$85,1),0)</f>
        <v>0</v>
      </c>
      <c r="AW94" s="159" t="n">
        <f aca="false">IF(AND(AW$6&gt;=EOMONTH($H$85,0),AW$6&lt;=EOMONTH(EDATE($H$85,$E$85-1),0)),$D$85/MAX($E$85,1),0)</f>
        <v>0</v>
      </c>
      <c r="AX94" s="159" t="n">
        <f aca="false">IF(AND(AX$6&gt;=EOMONTH($H$85,0),AX$6&lt;=EOMONTH(EDATE($H$85,$E$85-1),0)),$D$85/MAX($E$85,1),0)</f>
        <v>0</v>
      </c>
      <c r="AY94" s="159" t="n">
        <f aca="false">IF(AND(AY$6&gt;=EOMONTH($H$85,0),AY$6&lt;=EOMONTH(EDATE($H$85,$E$85-1),0)),$D$85/MAX($E$85,1),0)</f>
        <v>0</v>
      </c>
      <c r="AZ94" s="159" t="n">
        <f aca="false">IF(AND(AZ$6&gt;=EOMONTH($H$85,0),AZ$6&lt;=EOMONTH(EDATE($H$85,$E$85-1),0)),$D$85/MAX($E$85,1),0)</f>
        <v>0</v>
      </c>
      <c r="BA94" s="159" t="n">
        <f aca="false">IF(AND(BA$6&gt;=EOMONTH($H$85,0),BA$6&lt;=EOMONTH(EDATE($H$85,$E$85-1),0)),$D$85/MAX($E$85,1),0)</f>
        <v>0</v>
      </c>
      <c r="BB94" s="159" t="n">
        <f aca="false">IF(AND(BB$6&gt;=EOMONTH($H$85,0),BB$6&lt;=EOMONTH(EDATE($H$85,$E$85-1),0)),$D$85/MAX($E$85,1),0)</f>
        <v>0</v>
      </c>
      <c r="BC94" s="159" t="n">
        <f aca="false">IF(AND(BC$6&gt;=EOMONTH($H$85,0),BC$6&lt;=EOMONTH(EDATE($H$85,$E$85-1),0)),$D$85/MAX($E$85,1),0)</f>
        <v>0</v>
      </c>
      <c r="BD94" s="159" t="n">
        <f aca="false">IF(AND(BD$6&gt;=EOMONTH($H$85,0),BD$6&lt;=EOMONTH(EDATE($H$85,$E$85-1),0)),$D$85/MAX($E$85,1),0)</f>
        <v>0</v>
      </c>
      <c r="BE94" s="159" t="n">
        <f aca="false">IF(AND(BE$6&gt;=EOMONTH($H$85,0),BE$6&lt;=EOMONTH(EDATE($H$85,$E$85-1),0)),$D$85/MAX($E$85,1),0)</f>
        <v>0</v>
      </c>
      <c r="BF94" s="159" t="n">
        <f aca="false">IF(AND(BF$6&gt;=EOMONTH($H$85,0),BF$6&lt;=EOMONTH(EDATE($H$85,$E$85-1),0)),$D$85/MAX($E$85,1),0)</f>
        <v>0</v>
      </c>
      <c r="BG94" s="159" t="n">
        <f aca="false">IF(AND(BG$6&gt;=EOMONTH($H$85,0),BG$6&lt;=EOMONTH(EDATE($H$85,$E$85-1),0)),$D$85/MAX($E$85,1),0)</f>
        <v>0</v>
      </c>
      <c r="BH94" s="159" t="n">
        <f aca="false">IF(AND(BH$6&gt;=EOMONTH($H$85,0),BH$6&lt;=EOMONTH(EDATE($H$85,$E$85-1),0)),$D$85/MAX($E$85,1),0)</f>
        <v>0</v>
      </c>
      <c r="BI94" s="159" t="n">
        <f aca="false">IF(AND(BI$6&gt;=EOMONTH($H$85,0),BI$6&lt;=EOMONTH(EDATE($H$85,$E$85-1),0)),$D$85/MAX($E$85,1),0)</f>
        <v>0</v>
      </c>
      <c r="BJ94" s="159" t="n">
        <f aca="false">IF(AND(BJ$6&gt;=EOMONTH($H$85,0),BJ$6&lt;=EOMONTH(EDATE($H$85,$E$85-1),0)),$D$85/MAX($E$85,1),0)</f>
        <v>0</v>
      </c>
      <c r="BK94" s="159" t="n">
        <f aca="false">IF(AND(BK$6&gt;=EOMONTH($H$85,0),BK$6&lt;=EOMONTH(EDATE($H$85,$E$85-1),0)),$D$85/MAX($E$85,1),0)</f>
        <v>0</v>
      </c>
      <c r="BL94" s="159" t="n">
        <f aca="false">IF(AND(BL$6&gt;=EOMONTH($H$85,0),BL$6&lt;=EOMONTH(EDATE($H$85,$E$85-1),0)),$D$85/MAX($E$85,1),0)</f>
        <v>0</v>
      </c>
      <c r="BM94" s="159" t="n">
        <f aca="false">IF(AND(BM$6&gt;=EOMONTH($H$85,0),BM$6&lt;=EOMONTH(EDATE($H$85,$E$85-1),0)),$D$85/MAX($E$85,1),0)</f>
        <v>0</v>
      </c>
      <c r="BN94" s="159" t="n">
        <f aca="false">IF(AND(BN$6&gt;=EOMONTH($H$85,0),BN$6&lt;=EOMONTH(EDATE($H$85,$E$85-1),0)),$D$85/MAX($E$85,1),0)</f>
        <v>0</v>
      </c>
      <c r="BO94" s="159" t="n">
        <f aca="false">IF(AND(BO$6&gt;=EOMONTH($H$85,0),BO$6&lt;=EOMONTH(EDATE($H$85,$E$85-1),0)),$D$85/MAX($E$85,1),0)</f>
        <v>0</v>
      </c>
      <c r="BP94" s="159" t="n">
        <f aca="false">IF(AND(BP$6&gt;=EOMONTH($H$85,0),BP$6&lt;=EOMONTH(EDATE($H$85,$E$85-1),0)),$D$85/MAX($E$85,1),0)</f>
        <v>0</v>
      </c>
      <c r="BQ94" s="159" t="n">
        <f aca="false">IF(AND(BQ$6&gt;=EOMONTH($H$85,0),BQ$6&lt;=EOMONTH(EDATE($H$85,$E$85-1),0)),$D$85/MAX($E$85,1),0)</f>
        <v>0</v>
      </c>
      <c r="BR94" s="159" t="n">
        <f aca="false">IF(AND(BR$6&gt;=EOMONTH($H$85,0),BR$6&lt;=EOMONTH(EDATE($H$85,$E$85-1),0)),$D$85/MAX($E$85,1),0)</f>
        <v>0</v>
      </c>
      <c r="BS94" s="159" t="n">
        <f aca="false">IF(AND(BS$6&gt;=EOMONTH($H$85,0),BS$6&lt;=EOMONTH(EDATE($H$85,$E$85-1),0)),$D$85/MAX($E$85,1),0)</f>
        <v>0</v>
      </c>
      <c r="BT94" s="159" t="n">
        <f aca="false">IF(AND(BT$6&gt;=EOMONTH($H$85,0),BT$6&lt;=EOMONTH(EDATE($H$85,$E$85-1),0)),$D$85/MAX($E$85,1),0)</f>
        <v>0</v>
      </c>
      <c r="BU94" s="159" t="n">
        <f aca="false">IF(AND(BU$6&gt;=EOMONTH($H$85,0),BU$6&lt;=EOMONTH(EDATE($H$85,$E$85-1),0)),$D$85/MAX($E$85,1),0)</f>
        <v>0</v>
      </c>
      <c r="BV94" s="159" t="n">
        <f aca="false">IF(AND(BV$6&gt;=EOMONTH($H$85,0),BV$6&lt;=EOMONTH(EDATE($H$85,$E$85-1),0)),$D$85/MAX($E$85,1),0)</f>
        <v>0</v>
      </c>
      <c r="BW94" s="159" t="n">
        <f aca="false">IF(AND(BW$6&gt;=EOMONTH($H$85,0),BW$6&lt;=EOMONTH(EDATE($H$85,$E$85-1),0)),$D$85/MAX($E$85,1),0)</f>
        <v>0</v>
      </c>
      <c r="BX94" s="159" t="n">
        <f aca="false">IF(AND(BX$6&gt;=EOMONTH($H$85,0),BX$6&lt;=EOMONTH(EDATE($H$85,$E$85-1),0)),$D$85/MAX($E$85,1),0)</f>
        <v>0</v>
      </c>
      <c r="BY94" s="159" t="n">
        <f aca="false">IF(AND(BY$6&gt;=EOMONTH($H$85,0),BY$6&lt;=EOMONTH(EDATE($H$85,$E$85-1),0)),$D$85/MAX($E$85,1),0)</f>
        <v>0</v>
      </c>
      <c r="BZ94" s="159" t="n">
        <f aca="false">IF(AND(BZ$6&gt;=EOMONTH($H$85,0),BZ$6&lt;=EOMONTH(EDATE($H$85,$E$85-1),0)),$D$85/MAX($E$85,1),0)</f>
        <v>0</v>
      </c>
      <c r="CA94" s="159" t="n">
        <f aca="false">IF(AND(CA$6&gt;=EOMONTH($H$85,0),CA$6&lt;=EOMONTH(EDATE($H$85,$E$85-1),0)),$D$85/MAX($E$85,1),0)</f>
        <v>0</v>
      </c>
    </row>
    <row r="95" customFormat="false" ht="15" hidden="false" customHeight="false" outlineLevel="0" collapsed="false">
      <c r="B95" s="196" t="s">
        <v>371</v>
      </c>
      <c r="T95" s="159" t="n">
        <f aca="false">IF(AND(T$6&gt;=EOMONTH($H$86,0),T$6&lt;=EOMONTH(EDATE($H$86,$E$86-1),0)),$D$86/MAX($E$86,1),0)</f>
        <v>0</v>
      </c>
      <c r="U95" s="159" t="n">
        <f aca="false">IF(AND(U$6&gt;=EOMONTH($H$86,0),U$6&lt;=EOMONTH(EDATE($H$86,$E$86-1),0)),$D$86/MAX($E$86,1),0)</f>
        <v>0</v>
      </c>
      <c r="V95" s="159" t="n">
        <f aca="false">IF(AND(V$6&gt;=EOMONTH($H$86,0),V$6&lt;=EOMONTH(EDATE($H$86,$E$86-1),0)),$D$86/MAX($E$86,1),0)</f>
        <v>0</v>
      </c>
      <c r="W95" s="159" t="n">
        <f aca="false">IF(AND(W$6&gt;=EOMONTH($H$86,0),W$6&lt;=EOMONTH(EDATE($H$86,$E$86-1),0)),$D$86/MAX($E$86,1),0)</f>
        <v>0</v>
      </c>
      <c r="X95" s="159" t="n">
        <f aca="false">IF(AND(X$6&gt;=EOMONTH($H$86,0),X$6&lt;=EOMONTH(EDATE($H$86,$E$86-1),0)),$D$86/MAX($E$86,1),0)</f>
        <v>0</v>
      </c>
      <c r="Y95" s="159" t="n">
        <f aca="false">IF(AND(Y$6&gt;=EOMONTH($H$86,0),Y$6&lt;=EOMONTH(EDATE($H$86,$E$86-1),0)),$D$86/MAX($E$86,1),0)</f>
        <v>0</v>
      </c>
      <c r="Z95" s="159" t="n">
        <f aca="false">IF(AND(Z$6&gt;=EOMONTH($H$86,0),Z$6&lt;=EOMONTH(EDATE($H$86,$E$86-1),0)),$D$86/MAX($E$86,1),0)</f>
        <v>0</v>
      </c>
      <c r="AA95" s="159" t="n">
        <f aca="false">IF(AND(AA$6&gt;=EOMONTH($H$86,0),AA$6&lt;=EOMONTH(EDATE($H$86,$E$86-1),0)),$D$86/MAX($E$86,1),0)</f>
        <v>0</v>
      </c>
      <c r="AB95" s="159" t="n">
        <f aca="false">IF(AND(AB$6&gt;=EOMONTH($H$86,0),AB$6&lt;=EOMONTH(EDATE($H$86,$E$86-1),0)),$D$86/MAX($E$86,1),0)</f>
        <v>0</v>
      </c>
      <c r="AC95" s="159" t="n">
        <f aca="false">IF(AND(AC$6&gt;=EOMONTH($H$86,0),AC$6&lt;=EOMONTH(EDATE($H$86,$E$86-1),0)),$D$86/MAX($E$86,1),0)</f>
        <v>0</v>
      </c>
      <c r="AD95" s="159" t="n">
        <f aca="false">IF(AND(AD$6&gt;=EOMONTH($H$86,0),AD$6&lt;=EOMONTH(EDATE($H$86,$E$86-1),0)),$D$86/MAX($E$86,1),0)</f>
        <v>0</v>
      </c>
      <c r="AE95" s="159" t="n">
        <f aca="false">IF(AND(AE$6&gt;=EOMONTH($H$86,0),AE$6&lt;=EOMONTH(EDATE($H$86,$E$86-1),0)),$D$86/MAX($E$86,1),0)</f>
        <v>0</v>
      </c>
      <c r="AF95" s="159" t="n">
        <f aca="false">IF(AND(AF$6&gt;=EOMONTH($H$86,0),AF$6&lt;=EOMONTH(EDATE($H$86,$E$86-1),0)),$D$86/MAX($E$86,1),0)</f>
        <v>0</v>
      </c>
      <c r="AG95" s="159" t="n">
        <f aca="false">IF(AND(AG$6&gt;=EOMONTH($H$86,0),AG$6&lt;=EOMONTH(EDATE($H$86,$E$86-1),0)),$D$86/MAX($E$86,1),0)</f>
        <v>0</v>
      </c>
      <c r="AH95" s="159" t="n">
        <f aca="false">IF(AND(AH$6&gt;=EOMONTH($H$86,0),AH$6&lt;=EOMONTH(EDATE($H$86,$E$86-1),0)),$D$86/MAX($E$86,1),0)</f>
        <v>30000</v>
      </c>
      <c r="AI95" s="159" t="n">
        <f aca="false">IF(AND(AI$6&gt;=EOMONTH($H$86,0),AI$6&lt;=EOMONTH(EDATE($H$86,$E$86-1),0)),$D$86/MAX($E$86,1),0)</f>
        <v>30000</v>
      </c>
      <c r="AJ95" s="159" t="n">
        <f aca="false">IF(AND(AJ$6&gt;=EOMONTH($H$86,0),AJ$6&lt;=EOMONTH(EDATE($H$86,$E$86-1),0)),$D$86/MAX($E$86,1),0)</f>
        <v>30000</v>
      </c>
      <c r="AK95" s="159" t="n">
        <f aca="false">IF(AND(AK$6&gt;=EOMONTH($H$86,0),AK$6&lt;=EOMONTH(EDATE($H$86,$E$86-1),0)),$D$86/MAX($E$86,1),0)</f>
        <v>30000</v>
      </c>
      <c r="AL95" s="159" t="n">
        <f aca="false">IF(AND(AL$6&gt;=EOMONTH($H$86,0),AL$6&lt;=EOMONTH(EDATE($H$86,$E$86-1),0)),$D$86/MAX($E$86,1),0)</f>
        <v>30000</v>
      </c>
      <c r="AM95" s="159" t="n">
        <f aca="false">IF(AND(AM$6&gt;=EOMONTH($H$86,0),AM$6&lt;=EOMONTH(EDATE($H$86,$E$86-1),0)),$D$86/MAX($E$86,1),0)</f>
        <v>30000</v>
      </c>
      <c r="AN95" s="159" t="n">
        <f aca="false">IF(AND(AN$6&gt;=EOMONTH($H$86,0),AN$6&lt;=EOMONTH(EDATE($H$86,$E$86-1),0)),$D$86/MAX($E$86,1),0)</f>
        <v>0</v>
      </c>
      <c r="AO95" s="159" t="n">
        <f aca="false">IF(AND(AO$6&gt;=EOMONTH($H$86,0),AO$6&lt;=EOMONTH(EDATE($H$86,$E$86-1),0)),$D$86/MAX($E$86,1),0)</f>
        <v>0</v>
      </c>
      <c r="AP95" s="159" t="n">
        <f aca="false">IF(AND(AP$6&gt;=EOMONTH($H$86,0),AP$6&lt;=EOMONTH(EDATE($H$86,$E$86-1),0)),$D$86/MAX($E$86,1),0)</f>
        <v>0</v>
      </c>
      <c r="AQ95" s="159" t="n">
        <f aca="false">IF(AND(AQ$6&gt;=EOMONTH($H$86,0),AQ$6&lt;=EOMONTH(EDATE($H$86,$E$86-1),0)),$D$86/MAX($E$86,1),0)</f>
        <v>0</v>
      </c>
      <c r="AR95" s="159" t="n">
        <f aca="false">IF(AND(AR$6&gt;=EOMONTH($H$86,0),AR$6&lt;=EOMONTH(EDATE($H$86,$E$86-1),0)),$D$86/MAX($E$86,1),0)</f>
        <v>0</v>
      </c>
      <c r="AS95" s="159" t="n">
        <f aca="false">IF(AND(AS$6&gt;=EOMONTH($H$86,0),AS$6&lt;=EOMONTH(EDATE($H$86,$E$86-1),0)),$D$86/MAX($E$86,1),0)</f>
        <v>0</v>
      </c>
      <c r="AT95" s="159" t="n">
        <f aca="false">IF(AND(AT$6&gt;=EOMONTH($H$86,0),AT$6&lt;=EOMONTH(EDATE($H$86,$E$86-1),0)),$D$86/MAX($E$86,1),0)</f>
        <v>0</v>
      </c>
      <c r="AU95" s="159" t="n">
        <f aca="false">IF(AND(AU$6&gt;=EOMONTH($H$86,0),AU$6&lt;=EOMONTH(EDATE($H$86,$E$86-1),0)),$D$86/MAX($E$86,1),0)</f>
        <v>0</v>
      </c>
      <c r="AV95" s="159" t="n">
        <f aca="false">IF(AND(AV$6&gt;=EOMONTH($H$86,0),AV$6&lt;=EOMONTH(EDATE($H$86,$E$86-1),0)),$D$86/MAX($E$86,1),0)</f>
        <v>0</v>
      </c>
      <c r="AW95" s="159" t="n">
        <f aca="false">IF(AND(AW$6&gt;=EOMONTH($H$86,0),AW$6&lt;=EOMONTH(EDATE($H$86,$E$86-1),0)),$D$86/MAX($E$86,1),0)</f>
        <v>0</v>
      </c>
      <c r="AX95" s="159" t="n">
        <f aca="false">IF(AND(AX$6&gt;=EOMONTH($H$86,0),AX$6&lt;=EOMONTH(EDATE($H$86,$E$86-1),0)),$D$86/MAX($E$86,1),0)</f>
        <v>0</v>
      </c>
      <c r="AY95" s="159" t="n">
        <f aca="false">IF(AND(AY$6&gt;=EOMONTH($H$86,0),AY$6&lt;=EOMONTH(EDATE($H$86,$E$86-1),0)),$D$86/MAX($E$86,1),0)</f>
        <v>0</v>
      </c>
      <c r="AZ95" s="159" t="n">
        <f aca="false">IF(AND(AZ$6&gt;=EOMONTH($H$86,0),AZ$6&lt;=EOMONTH(EDATE($H$86,$E$86-1),0)),$D$86/MAX($E$86,1),0)</f>
        <v>0</v>
      </c>
      <c r="BA95" s="159" t="n">
        <f aca="false">IF(AND(BA$6&gt;=EOMONTH($H$86,0),BA$6&lt;=EOMONTH(EDATE($H$86,$E$86-1),0)),$D$86/MAX($E$86,1),0)</f>
        <v>0</v>
      </c>
      <c r="BB95" s="159" t="n">
        <f aca="false">IF(AND(BB$6&gt;=EOMONTH($H$86,0),BB$6&lt;=EOMONTH(EDATE($H$86,$E$86-1),0)),$D$86/MAX($E$86,1),0)</f>
        <v>0</v>
      </c>
      <c r="BC95" s="159" t="n">
        <f aca="false">IF(AND(BC$6&gt;=EOMONTH($H$86,0),BC$6&lt;=EOMONTH(EDATE($H$86,$E$86-1),0)),$D$86/MAX($E$86,1),0)</f>
        <v>0</v>
      </c>
      <c r="BD95" s="159" t="n">
        <f aca="false">IF(AND(BD$6&gt;=EOMONTH($H$86,0),BD$6&lt;=EOMONTH(EDATE($H$86,$E$86-1),0)),$D$86/MAX($E$86,1),0)</f>
        <v>0</v>
      </c>
      <c r="BE95" s="159" t="n">
        <f aca="false">IF(AND(BE$6&gt;=EOMONTH($H$86,0),BE$6&lt;=EOMONTH(EDATE($H$86,$E$86-1),0)),$D$86/MAX($E$86,1),0)</f>
        <v>0</v>
      </c>
      <c r="BF95" s="159" t="n">
        <f aca="false">IF(AND(BF$6&gt;=EOMONTH($H$86,0),BF$6&lt;=EOMONTH(EDATE($H$86,$E$86-1),0)),$D$86/MAX($E$86,1),0)</f>
        <v>0</v>
      </c>
      <c r="BG95" s="159" t="n">
        <f aca="false">IF(AND(BG$6&gt;=EOMONTH($H$86,0),BG$6&lt;=EOMONTH(EDATE($H$86,$E$86-1),0)),$D$86/MAX($E$86,1),0)</f>
        <v>0</v>
      </c>
      <c r="BH95" s="159" t="n">
        <f aca="false">IF(AND(BH$6&gt;=EOMONTH($H$86,0),BH$6&lt;=EOMONTH(EDATE($H$86,$E$86-1),0)),$D$86/MAX($E$86,1),0)</f>
        <v>0</v>
      </c>
      <c r="BI95" s="159" t="n">
        <f aca="false">IF(AND(BI$6&gt;=EOMONTH($H$86,0),BI$6&lt;=EOMONTH(EDATE($H$86,$E$86-1),0)),$D$86/MAX($E$86,1),0)</f>
        <v>0</v>
      </c>
      <c r="BJ95" s="159" t="n">
        <f aca="false">IF(AND(BJ$6&gt;=EOMONTH($H$86,0),BJ$6&lt;=EOMONTH(EDATE($H$86,$E$86-1),0)),$D$86/MAX($E$86,1),0)</f>
        <v>0</v>
      </c>
      <c r="BK95" s="159" t="n">
        <f aca="false">IF(AND(BK$6&gt;=EOMONTH($H$86,0),BK$6&lt;=EOMONTH(EDATE($H$86,$E$86-1),0)),$D$86/MAX($E$86,1),0)</f>
        <v>0</v>
      </c>
      <c r="BL95" s="159" t="n">
        <f aca="false">IF(AND(BL$6&gt;=EOMONTH($H$86,0),BL$6&lt;=EOMONTH(EDATE($H$86,$E$86-1),0)),$D$86/MAX($E$86,1),0)</f>
        <v>0</v>
      </c>
      <c r="BM95" s="159" t="n">
        <f aca="false">IF(AND(BM$6&gt;=EOMONTH($H$86,0),BM$6&lt;=EOMONTH(EDATE($H$86,$E$86-1),0)),$D$86/MAX($E$86,1),0)</f>
        <v>0</v>
      </c>
      <c r="BN95" s="159" t="n">
        <f aca="false">IF(AND(BN$6&gt;=EOMONTH($H$86,0),BN$6&lt;=EOMONTH(EDATE($H$86,$E$86-1),0)),$D$86/MAX($E$86,1),0)</f>
        <v>0</v>
      </c>
      <c r="BO95" s="159" t="n">
        <f aca="false">IF(AND(BO$6&gt;=EOMONTH($H$86,0),BO$6&lt;=EOMONTH(EDATE($H$86,$E$86-1),0)),$D$86/MAX($E$86,1),0)</f>
        <v>0</v>
      </c>
      <c r="BP95" s="159" t="n">
        <f aca="false">IF(AND(BP$6&gt;=EOMONTH($H$86,0),BP$6&lt;=EOMONTH(EDATE($H$86,$E$86-1),0)),$D$86/MAX($E$86,1),0)</f>
        <v>0</v>
      </c>
      <c r="BQ95" s="159" t="n">
        <f aca="false">IF(AND(BQ$6&gt;=EOMONTH($H$86,0),BQ$6&lt;=EOMONTH(EDATE($H$86,$E$86-1),0)),$D$86/MAX($E$86,1),0)</f>
        <v>0</v>
      </c>
      <c r="BR95" s="159" t="n">
        <f aca="false">IF(AND(BR$6&gt;=EOMONTH($H$86,0),BR$6&lt;=EOMONTH(EDATE($H$86,$E$86-1),0)),$D$86/MAX($E$86,1),0)</f>
        <v>0</v>
      </c>
      <c r="BS95" s="159" t="n">
        <f aca="false">IF(AND(BS$6&gt;=EOMONTH($H$86,0),BS$6&lt;=EOMONTH(EDATE($H$86,$E$86-1),0)),$D$86/MAX($E$86,1),0)</f>
        <v>0</v>
      </c>
      <c r="BT95" s="159" t="n">
        <f aca="false">IF(AND(BT$6&gt;=EOMONTH($H$86,0),BT$6&lt;=EOMONTH(EDATE($H$86,$E$86-1),0)),$D$86/MAX($E$86,1),0)</f>
        <v>0</v>
      </c>
      <c r="BU95" s="159" t="n">
        <f aca="false">IF(AND(BU$6&gt;=EOMONTH($H$86,0),BU$6&lt;=EOMONTH(EDATE($H$86,$E$86-1),0)),$D$86/MAX($E$86,1),0)</f>
        <v>0</v>
      </c>
      <c r="BV95" s="159" t="n">
        <f aca="false">IF(AND(BV$6&gt;=EOMONTH($H$86,0),BV$6&lt;=EOMONTH(EDATE($H$86,$E$86-1),0)),$D$86/MAX($E$86,1),0)</f>
        <v>0</v>
      </c>
      <c r="BW95" s="159" t="n">
        <f aca="false">IF(AND(BW$6&gt;=EOMONTH($H$86,0),BW$6&lt;=EOMONTH(EDATE($H$86,$E$86-1),0)),$D$86/MAX($E$86,1),0)</f>
        <v>0</v>
      </c>
      <c r="BX95" s="159" t="n">
        <f aca="false">IF(AND(BX$6&gt;=EOMONTH($H$86,0),BX$6&lt;=EOMONTH(EDATE($H$86,$E$86-1),0)),$D$86/MAX($E$86,1),0)</f>
        <v>0</v>
      </c>
      <c r="BY95" s="159" t="n">
        <f aca="false">IF(AND(BY$6&gt;=EOMONTH($H$86,0),BY$6&lt;=EOMONTH(EDATE($H$86,$E$86-1),0)),$D$86/MAX($E$86,1),0)</f>
        <v>0</v>
      </c>
      <c r="BZ95" s="159" t="n">
        <f aca="false">IF(AND(BZ$6&gt;=EOMONTH($H$86,0),BZ$6&lt;=EOMONTH(EDATE($H$86,$E$86-1),0)),$D$86/MAX($E$86,1),0)</f>
        <v>0</v>
      </c>
      <c r="CA95" s="159" t="n">
        <f aca="false">IF(AND(CA$6&gt;=EOMONTH($H$86,0),CA$6&lt;=EOMONTH(EDATE($H$86,$E$86-1),0)),$D$86/MAX($E$86,1),0)</f>
        <v>0</v>
      </c>
    </row>
    <row r="96" customFormat="false" ht="15" hidden="false" customHeight="false" outlineLevel="0" collapsed="false">
      <c r="B96" s="196" t="s">
        <v>372</v>
      </c>
      <c r="T96" s="159" t="n">
        <f aca="false">IF(AND(T$6&gt;=EOMONTH($H$87,0),T$6&lt;=EOMONTH(EDATE($H$87,$E$87-1),0)),$D$87/MAX($E$87,1),0)</f>
        <v>0</v>
      </c>
      <c r="U96" s="159" t="n">
        <f aca="false">IF(AND(U$6&gt;=EOMONTH($H$87,0),U$6&lt;=EOMONTH(EDATE($H$87,$E$87-1),0)),$D$87/MAX($E$87,1),0)</f>
        <v>0</v>
      </c>
      <c r="V96" s="159" t="n">
        <f aca="false">IF(AND(V$6&gt;=EOMONTH($H$87,0),V$6&lt;=EOMONTH(EDATE($H$87,$E$87-1),0)),$D$87/MAX($E$87,1),0)</f>
        <v>0</v>
      </c>
      <c r="W96" s="159" t="n">
        <f aca="false">IF(AND(W$6&gt;=EOMONTH($H$87,0),W$6&lt;=EOMONTH(EDATE($H$87,$E$87-1),0)),$D$87/MAX($E$87,1),0)</f>
        <v>0</v>
      </c>
      <c r="X96" s="159" t="n">
        <f aca="false">IF(AND(X$6&gt;=EOMONTH($H$87,0),X$6&lt;=EOMONTH(EDATE($H$87,$E$87-1),0)),$D$87/MAX($E$87,1),0)</f>
        <v>0</v>
      </c>
      <c r="Y96" s="159" t="n">
        <f aca="false">IF(AND(Y$6&gt;=EOMONTH($H$87,0),Y$6&lt;=EOMONTH(EDATE($H$87,$E$87-1),0)),$D$87/MAX($E$87,1),0)</f>
        <v>0</v>
      </c>
      <c r="Z96" s="159" t="n">
        <f aca="false">IF(AND(Z$6&gt;=EOMONTH($H$87,0),Z$6&lt;=EOMONTH(EDATE($H$87,$E$87-1),0)),$D$87/MAX($E$87,1),0)</f>
        <v>0</v>
      </c>
      <c r="AA96" s="159" t="n">
        <f aca="false">IF(AND(AA$6&gt;=EOMONTH($H$87,0),AA$6&lt;=EOMONTH(EDATE($H$87,$E$87-1),0)),$D$87/MAX($E$87,1),0)</f>
        <v>0</v>
      </c>
      <c r="AB96" s="159" t="n">
        <f aca="false">IF(AND(AB$6&gt;=EOMONTH($H$87,0),AB$6&lt;=EOMONTH(EDATE($H$87,$E$87-1),0)),$D$87/MAX($E$87,1),0)</f>
        <v>0</v>
      </c>
      <c r="AC96" s="159" t="n">
        <f aca="false">IF(AND(AC$6&gt;=EOMONTH($H$87,0),AC$6&lt;=EOMONTH(EDATE($H$87,$E$87-1),0)),$D$87/MAX($E$87,1),0)</f>
        <v>0</v>
      </c>
      <c r="AD96" s="159" t="n">
        <f aca="false">IF(AND(AD$6&gt;=EOMONTH($H$87,0),AD$6&lt;=EOMONTH(EDATE($H$87,$E$87-1),0)),$D$87/MAX($E$87,1),0)</f>
        <v>0</v>
      </c>
      <c r="AE96" s="159" t="n">
        <f aca="false">IF(AND(AE$6&gt;=EOMONTH($H$87,0),AE$6&lt;=EOMONTH(EDATE($H$87,$E$87-1),0)),$D$87/MAX($E$87,1),0)</f>
        <v>0</v>
      </c>
      <c r="AF96" s="159" t="n">
        <f aca="false">IF(AND(AF$6&gt;=EOMONTH($H$87,0),AF$6&lt;=EOMONTH(EDATE($H$87,$E$87-1),0)),$D$87/MAX($E$87,1),0)</f>
        <v>0</v>
      </c>
      <c r="AG96" s="159" t="n">
        <f aca="false">IF(AND(AG$6&gt;=EOMONTH($H$87,0),AG$6&lt;=EOMONTH(EDATE($H$87,$E$87-1),0)),$D$87/MAX($E$87,1),0)</f>
        <v>0</v>
      </c>
      <c r="AH96" s="159" t="n">
        <f aca="false">IF(AND(AH$6&gt;=EOMONTH($H$87,0),AH$6&lt;=EOMONTH(EDATE($H$87,$E$87-1),0)),$D$87/MAX($E$87,1),0)</f>
        <v>8333.33333333333</v>
      </c>
      <c r="AI96" s="159" t="n">
        <f aca="false">IF(AND(AI$6&gt;=EOMONTH($H$87,0),AI$6&lt;=EOMONTH(EDATE($H$87,$E$87-1),0)),$D$87/MAX($E$87,1),0)</f>
        <v>8333.33333333333</v>
      </c>
      <c r="AJ96" s="159" t="n">
        <f aca="false">IF(AND(AJ$6&gt;=EOMONTH($H$87,0),AJ$6&lt;=EOMONTH(EDATE($H$87,$E$87-1),0)),$D$87/MAX($E$87,1),0)</f>
        <v>8333.33333333333</v>
      </c>
      <c r="AK96" s="159" t="n">
        <f aca="false">IF(AND(AK$6&gt;=EOMONTH($H$87,0),AK$6&lt;=EOMONTH(EDATE($H$87,$E$87-1),0)),$D$87/MAX($E$87,1),0)</f>
        <v>8333.33333333333</v>
      </c>
      <c r="AL96" s="159" t="n">
        <f aca="false">IF(AND(AL$6&gt;=EOMONTH($H$87,0),AL$6&lt;=EOMONTH(EDATE($H$87,$E$87-1),0)),$D$87/MAX($E$87,1),0)</f>
        <v>8333.33333333333</v>
      </c>
      <c r="AM96" s="159" t="n">
        <f aca="false">IF(AND(AM$6&gt;=EOMONTH($H$87,0),AM$6&lt;=EOMONTH(EDATE($H$87,$E$87-1),0)),$D$87/MAX($E$87,1),0)</f>
        <v>8333.33333333333</v>
      </c>
      <c r="AN96" s="159" t="n">
        <f aca="false">IF(AND(AN$6&gt;=EOMONTH($H$87,0),AN$6&lt;=EOMONTH(EDATE($H$87,$E$87-1),0)),$D$87/MAX($E$87,1),0)</f>
        <v>0</v>
      </c>
      <c r="AO96" s="159" t="n">
        <f aca="false">IF(AND(AO$6&gt;=EOMONTH($H$87,0),AO$6&lt;=EOMONTH(EDATE($H$87,$E$87-1),0)),$D$87/MAX($E$87,1),0)</f>
        <v>0</v>
      </c>
      <c r="AP96" s="159" t="n">
        <f aca="false">IF(AND(AP$6&gt;=EOMONTH($H$87,0),AP$6&lt;=EOMONTH(EDATE($H$87,$E$87-1),0)),$D$87/MAX($E$87,1),0)</f>
        <v>0</v>
      </c>
      <c r="AQ96" s="159" t="n">
        <f aca="false">IF(AND(AQ$6&gt;=EOMONTH($H$87,0),AQ$6&lt;=EOMONTH(EDATE($H$87,$E$87-1),0)),$D$87/MAX($E$87,1),0)</f>
        <v>0</v>
      </c>
      <c r="AR96" s="159" t="n">
        <f aca="false">IF(AND(AR$6&gt;=EOMONTH($H$87,0),AR$6&lt;=EOMONTH(EDATE($H$87,$E$87-1),0)),$D$87/MAX($E$87,1),0)</f>
        <v>0</v>
      </c>
      <c r="AS96" s="159" t="n">
        <f aca="false">IF(AND(AS$6&gt;=EOMONTH($H$87,0),AS$6&lt;=EOMONTH(EDATE($H$87,$E$87-1),0)),$D$87/MAX($E$87,1),0)</f>
        <v>0</v>
      </c>
      <c r="AT96" s="159" t="n">
        <f aca="false">IF(AND(AT$6&gt;=EOMONTH($H$87,0),AT$6&lt;=EOMONTH(EDATE($H$87,$E$87-1),0)),$D$87/MAX($E$87,1),0)</f>
        <v>0</v>
      </c>
      <c r="AU96" s="159" t="n">
        <f aca="false">IF(AND(AU$6&gt;=EOMONTH($H$87,0),AU$6&lt;=EOMONTH(EDATE($H$87,$E$87-1),0)),$D$87/MAX($E$87,1),0)</f>
        <v>0</v>
      </c>
      <c r="AV96" s="159" t="n">
        <f aca="false">IF(AND(AV$6&gt;=EOMONTH($H$87,0),AV$6&lt;=EOMONTH(EDATE($H$87,$E$87-1),0)),$D$87/MAX($E$87,1),0)</f>
        <v>0</v>
      </c>
      <c r="AW96" s="159" t="n">
        <f aca="false">IF(AND(AW$6&gt;=EOMONTH($H$87,0),AW$6&lt;=EOMONTH(EDATE($H$87,$E$87-1),0)),$D$87/MAX($E$87,1),0)</f>
        <v>0</v>
      </c>
      <c r="AX96" s="159" t="n">
        <f aca="false">IF(AND(AX$6&gt;=EOMONTH($H$87,0),AX$6&lt;=EOMONTH(EDATE($H$87,$E$87-1),0)),$D$87/MAX($E$87,1),0)</f>
        <v>0</v>
      </c>
      <c r="AY96" s="159" t="n">
        <f aca="false">IF(AND(AY$6&gt;=EOMONTH($H$87,0),AY$6&lt;=EOMONTH(EDATE($H$87,$E$87-1),0)),$D$87/MAX($E$87,1),0)</f>
        <v>0</v>
      </c>
      <c r="AZ96" s="159" t="n">
        <f aca="false">IF(AND(AZ$6&gt;=EOMONTH($H$87,0),AZ$6&lt;=EOMONTH(EDATE($H$87,$E$87-1),0)),$D$87/MAX($E$87,1),0)</f>
        <v>0</v>
      </c>
      <c r="BA96" s="159" t="n">
        <f aca="false">IF(AND(BA$6&gt;=EOMONTH($H$87,0),BA$6&lt;=EOMONTH(EDATE($H$87,$E$87-1),0)),$D$87/MAX($E$87,1),0)</f>
        <v>0</v>
      </c>
      <c r="BB96" s="159" t="n">
        <f aca="false">IF(AND(BB$6&gt;=EOMONTH($H$87,0),BB$6&lt;=EOMONTH(EDATE($H$87,$E$87-1),0)),$D$87/MAX($E$87,1),0)</f>
        <v>0</v>
      </c>
      <c r="BC96" s="159" t="n">
        <f aca="false">IF(AND(BC$6&gt;=EOMONTH($H$87,0),BC$6&lt;=EOMONTH(EDATE($H$87,$E$87-1),0)),$D$87/MAX($E$87,1),0)</f>
        <v>0</v>
      </c>
      <c r="BD96" s="159" t="n">
        <f aca="false">IF(AND(BD$6&gt;=EOMONTH($H$87,0),BD$6&lt;=EOMONTH(EDATE($H$87,$E$87-1),0)),$D$87/MAX($E$87,1),0)</f>
        <v>0</v>
      </c>
      <c r="BE96" s="159" t="n">
        <f aca="false">IF(AND(BE$6&gt;=EOMONTH($H$87,0),BE$6&lt;=EOMONTH(EDATE($H$87,$E$87-1),0)),$D$87/MAX($E$87,1),0)</f>
        <v>0</v>
      </c>
      <c r="BF96" s="159" t="n">
        <f aca="false">IF(AND(BF$6&gt;=EOMONTH($H$87,0),BF$6&lt;=EOMONTH(EDATE($H$87,$E$87-1),0)),$D$87/MAX($E$87,1),0)</f>
        <v>0</v>
      </c>
      <c r="BG96" s="159" t="n">
        <f aca="false">IF(AND(BG$6&gt;=EOMONTH($H$87,0),BG$6&lt;=EOMONTH(EDATE($H$87,$E$87-1),0)),$D$87/MAX($E$87,1),0)</f>
        <v>0</v>
      </c>
      <c r="BH96" s="159" t="n">
        <f aca="false">IF(AND(BH$6&gt;=EOMONTH($H$87,0),BH$6&lt;=EOMONTH(EDATE($H$87,$E$87-1),0)),$D$87/MAX($E$87,1),0)</f>
        <v>0</v>
      </c>
      <c r="BI96" s="159" t="n">
        <f aca="false">IF(AND(BI$6&gt;=EOMONTH($H$87,0),BI$6&lt;=EOMONTH(EDATE($H$87,$E$87-1),0)),$D$87/MAX($E$87,1),0)</f>
        <v>0</v>
      </c>
      <c r="BJ96" s="159" t="n">
        <f aca="false">IF(AND(BJ$6&gt;=EOMONTH($H$87,0),BJ$6&lt;=EOMONTH(EDATE($H$87,$E$87-1),0)),$D$87/MAX($E$87,1),0)</f>
        <v>0</v>
      </c>
      <c r="BK96" s="159" t="n">
        <f aca="false">IF(AND(BK$6&gt;=EOMONTH($H$87,0),BK$6&lt;=EOMONTH(EDATE($H$87,$E$87-1),0)),$D$87/MAX($E$87,1),0)</f>
        <v>0</v>
      </c>
      <c r="BL96" s="159" t="n">
        <f aca="false">IF(AND(BL$6&gt;=EOMONTH($H$87,0),BL$6&lt;=EOMONTH(EDATE($H$87,$E$87-1),0)),$D$87/MAX($E$87,1),0)</f>
        <v>0</v>
      </c>
      <c r="BM96" s="159" t="n">
        <f aca="false">IF(AND(BM$6&gt;=EOMONTH($H$87,0),BM$6&lt;=EOMONTH(EDATE($H$87,$E$87-1),0)),$D$87/MAX($E$87,1),0)</f>
        <v>0</v>
      </c>
      <c r="BN96" s="159" t="n">
        <f aca="false">IF(AND(BN$6&gt;=EOMONTH($H$87,0),BN$6&lt;=EOMONTH(EDATE($H$87,$E$87-1),0)),$D$87/MAX($E$87,1),0)</f>
        <v>0</v>
      </c>
      <c r="BO96" s="159" t="n">
        <f aca="false">IF(AND(BO$6&gt;=EOMONTH($H$87,0),BO$6&lt;=EOMONTH(EDATE($H$87,$E$87-1),0)),$D$87/MAX($E$87,1),0)</f>
        <v>0</v>
      </c>
      <c r="BP96" s="159" t="n">
        <f aca="false">IF(AND(BP$6&gt;=EOMONTH($H$87,0),BP$6&lt;=EOMONTH(EDATE($H$87,$E$87-1),0)),$D$87/MAX($E$87,1),0)</f>
        <v>0</v>
      </c>
      <c r="BQ96" s="159" t="n">
        <f aca="false">IF(AND(BQ$6&gt;=EOMONTH($H$87,0),BQ$6&lt;=EOMONTH(EDATE($H$87,$E$87-1),0)),$D$87/MAX($E$87,1),0)</f>
        <v>0</v>
      </c>
      <c r="BR96" s="159" t="n">
        <f aca="false">IF(AND(BR$6&gt;=EOMONTH($H$87,0),BR$6&lt;=EOMONTH(EDATE($H$87,$E$87-1),0)),$D$87/MAX($E$87,1),0)</f>
        <v>0</v>
      </c>
      <c r="BS96" s="159" t="n">
        <f aca="false">IF(AND(BS$6&gt;=EOMONTH($H$87,0),BS$6&lt;=EOMONTH(EDATE($H$87,$E$87-1),0)),$D$87/MAX($E$87,1),0)</f>
        <v>0</v>
      </c>
      <c r="BT96" s="159" t="n">
        <f aca="false">IF(AND(BT$6&gt;=EOMONTH($H$87,0),BT$6&lt;=EOMONTH(EDATE($H$87,$E$87-1),0)),$D$87/MAX($E$87,1),0)</f>
        <v>0</v>
      </c>
      <c r="BU96" s="159" t="n">
        <f aca="false">IF(AND(BU$6&gt;=EOMONTH($H$87,0),BU$6&lt;=EOMONTH(EDATE($H$87,$E$87-1),0)),$D$87/MAX($E$87,1),0)</f>
        <v>0</v>
      </c>
      <c r="BV96" s="159" t="n">
        <f aca="false">IF(AND(BV$6&gt;=EOMONTH($H$87,0),BV$6&lt;=EOMONTH(EDATE($H$87,$E$87-1),0)),$D$87/MAX($E$87,1),0)</f>
        <v>0</v>
      </c>
      <c r="BW96" s="159" t="n">
        <f aca="false">IF(AND(BW$6&gt;=EOMONTH($H$87,0),BW$6&lt;=EOMONTH(EDATE($H$87,$E$87-1),0)),$D$87/MAX($E$87,1),0)</f>
        <v>0</v>
      </c>
      <c r="BX96" s="159" t="n">
        <f aca="false">IF(AND(BX$6&gt;=EOMONTH($H$87,0),BX$6&lt;=EOMONTH(EDATE($H$87,$E$87-1),0)),$D$87/MAX($E$87,1),0)</f>
        <v>0</v>
      </c>
      <c r="BY96" s="159" t="n">
        <f aca="false">IF(AND(BY$6&gt;=EOMONTH($H$87,0),BY$6&lt;=EOMONTH(EDATE($H$87,$E$87-1),0)),$D$87/MAX($E$87,1),0)</f>
        <v>0</v>
      </c>
      <c r="BZ96" s="159" t="n">
        <f aca="false">IF(AND(BZ$6&gt;=EOMONTH($H$87,0),BZ$6&lt;=EOMONTH(EDATE($H$87,$E$87-1),0)),$D$87/MAX($E$87,1),0)</f>
        <v>0</v>
      </c>
      <c r="CA96" s="159" t="n">
        <f aca="false">IF(AND(CA$6&gt;=EOMONTH($H$87,0),CA$6&lt;=EOMONTH(EDATE($H$87,$E$87-1),0)),$D$87/MAX($E$87,1),0)</f>
        <v>0</v>
      </c>
    </row>
    <row r="97" customFormat="false" ht="15" hidden="false" customHeight="false" outlineLevel="0" collapsed="false">
      <c r="B97" s="196" t="s">
        <v>373</v>
      </c>
      <c r="T97" s="159" t="n">
        <f aca="false">IF(AND(T$6&gt;=EOMONTH($H$88,0),T$6&lt;=EOMONTH(EDATE($H$88,$E$88-1),0)),$D$88/MAX($E$88,1),0)</f>
        <v>0</v>
      </c>
      <c r="U97" s="159" t="n">
        <f aca="false">IF(AND(U$6&gt;=EOMONTH($H$88,0),U$6&lt;=EOMONTH(EDATE($H$88,$E$88-1),0)),$D$88/MAX($E$88,1),0)</f>
        <v>0</v>
      </c>
      <c r="V97" s="159" t="n">
        <f aca="false">IF(AND(V$6&gt;=EOMONTH($H$88,0),V$6&lt;=EOMONTH(EDATE($H$88,$E$88-1),0)),$D$88/MAX($E$88,1),0)</f>
        <v>0</v>
      </c>
      <c r="W97" s="159" t="n">
        <f aca="false">IF(AND(W$6&gt;=EOMONTH($H$88,0),W$6&lt;=EOMONTH(EDATE($H$88,$E$88-1),0)),$D$88/MAX($E$88,1),0)</f>
        <v>0</v>
      </c>
      <c r="X97" s="159" t="n">
        <f aca="false">IF(AND(X$6&gt;=EOMONTH($H$88,0),X$6&lt;=EOMONTH(EDATE($H$88,$E$88-1),0)),$D$88/MAX($E$88,1),0)</f>
        <v>0</v>
      </c>
      <c r="Y97" s="159" t="n">
        <f aca="false">IF(AND(Y$6&gt;=EOMONTH($H$88,0),Y$6&lt;=EOMONTH(EDATE($H$88,$E$88-1),0)),$D$88/MAX($E$88,1),0)</f>
        <v>0</v>
      </c>
      <c r="Z97" s="159" t="n">
        <f aca="false">IF(AND(Z$6&gt;=EOMONTH($H$88,0),Z$6&lt;=EOMONTH(EDATE($H$88,$E$88-1),0)),$D$88/MAX($E$88,1),0)</f>
        <v>0</v>
      </c>
      <c r="AA97" s="159" t="n">
        <f aca="false">IF(AND(AA$6&gt;=EOMONTH($H$88,0),AA$6&lt;=EOMONTH(EDATE($H$88,$E$88-1),0)),$D$88/MAX($E$88,1),0)</f>
        <v>0</v>
      </c>
      <c r="AB97" s="159" t="n">
        <f aca="false">IF(AND(AB$6&gt;=EOMONTH($H$88,0),AB$6&lt;=EOMONTH(EDATE($H$88,$E$88-1),0)),$D$88/MAX($E$88,1),0)</f>
        <v>0</v>
      </c>
      <c r="AC97" s="159" t="n">
        <f aca="false">IF(AND(AC$6&gt;=EOMONTH($H$88,0),AC$6&lt;=EOMONTH(EDATE($H$88,$E$88-1),0)),$D$88/MAX($E$88,1),0)</f>
        <v>0</v>
      </c>
      <c r="AD97" s="159" t="n">
        <f aca="false">IF(AND(AD$6&gt;=EOMONTH($H$88,0),AD$6&lt;=EOMONTH(EDATE($H$88,$E$88-1),0)),$D$88/MAX($E$88,1),0)</f>
        <v>0</v>
      </c>
      <c r="AE97" s="159" t="n">
        <f aca="false">IF(AND(AE$6&gt;=EOMONTH($H$88,0),AE$6&lt;=EOMONTH(EDATE($H$88,$E$88-1),0)),$D$88/MAX($E$88,1),0)</f>
        <v>0</v>
      </c>
      <c r="AF97" s="159" t="n">
        <f aca="false">IF(AND(AF$6&gt;=EOMONTH($H$88,0),AF$6&lt;=EOMONTH(EDATE($H$88,$E$88-1),0)),$D$88/MAX($E$88,1),0)</f>
        <v>11450</v>
      </c>
      <c r="AG97" s="159" t="n">
        <f aca="false">IF(AND(AG$6&gt;=EOMONTH($H$88,0),AG$6&lt;=EOMONTH(EDATE($H$88,$E$88-1),0)),$D$88/MAX($E$88,1),0)</f>
        <v>11450</v>
      </c>
      <c r="AH97" s="159" t="n">
        <f aca="false">IF(AND(AH$6&gt;=EOMONTH($H$88,0),AH$6&lt;=EOMONTH(EDATE($H$88,$E$88-1),0)),$D$88/MAX($E$88,1),0)</f>
        <v>11450</v>
      </c>
      <c r="AI97" s="159" t="n">
        <f aca="false">IF(AND(AI$6&gt;=EOMONTH($H$88,0),AI$6&lt;=EOMONTH(EDATE($H$88,$E$88-1),0)),$D$88/MAX($E$88,1),0)</f>
        <v>11450</v>
      </c>
      <c r="AJ97" s="159" t="n">
        <f aca="false">IF(AND(AJ$6&gt;=EOMONTH($H$88,0),AJ$6&lt;=EOMONTH(EDATE($H$88,$E$88-1),0)),$D$88/MAX($E$88,1),0)</f>
        <v>11450</v>
      </c>
      <c r="AK97" s="159" t="n">
        <f aca="false">IF(AND(AK$6&gt;=EOMONTH($H$88,0),AK$6&lt;=EOMONTH(EDATE($H$88,$E$88-1),0)),$D$88/MAX($E$88,1),0)</f>
        <v>11450</v>
      </c>
      <c r="AL97" s="159" t="n">
        <f aca="false">IF(AND(AL$6&gt;=EOMONTH($H$88,0),AL$6&lt;=EOMONTH(EDATE($H$88,$E$88-1),0)),$D$88/MAX($E$88,1),0)</f>
        <v>11450</v>
      </c>
      <c r="AM97" s="159" t="n">
        <f aca="false">IF(AND(AM$6&gt;=EOMONTH($H$88,0),AM$6&lt;=EOMONTH(EDATE($H$88,$E$88-1),0)),$D$88/MAX($E$88,1),0)</f>
        <v>11450</v>
      </c>
      <c r="AN97" s="159" t="n">
        <f aca="false">IF(AND(AN$6&gt;=EOMONTH($H$88,0),AN$6&lt;=EOMONTH(EDATE($H$88,$E$88-1),0)),$D$88/MAX($E$88,1),0)</f>
        <v>11450</v>
      </c>
      <c r="AO97" s="159" t="n">
        <f aca="false">IF(AND(AO$6&gt;=EOMONTH($H$88,0),AO$6&lt;=EOMONTH(EDATE($H$88,$E$88-1),0)),$D$88/MAX($E$88,1),0)</f>
        <v>11450</v>
      </c>
      <c r="AP97" s="159" t="n">
        <f aca="false">IF(AND(AP$6&gt;=EOMONTH($H$88,0),AP$6&lt;=EOMONTH(EDATE($H$88,$E$88-1),0)),$D$88/MAX($E$88,1),0)</f>
        <v>11450</v>
      </c>
      <c r="AQ97" s="159" t="n">
        <f aca="false">IF(AND(AQ$6&gt;=EOMONTH($H$88,0),AQ$6&lt;=EOMONTH(EDATE($H$88,$E$88-1),0)),$D$88/MAX($E$88,1),0)</f>
        <v>11450</v>
      </c>
      <c r="AR97" s="159" t="n">
        <f aca="false">IF(AND(AR$6&gt;=EOMONTH($H$88,0),AR$6&lt;=EOMONTH(EDATE($H$88,$E$88-1),0)),$D$88/MAX($E$88,1),0)</f>
        <v>11450</v>
      </c>
      <c r="AS97" s="159" t="n">
        <f aca="false">IF(AND(AS$6&gt;=EOMONTH($H$88,0),AS$6&lt;=EOMONTH(EDATE($H$88,$E$88-1),0)),$D$88/MAX($E$88,1),0)</f>
        <v>11450</v>
      </c>
      <c r="AT97" s="159" t="n">
        <f aca="false">IF(AND(AT$6&gt;=EOMONTH($H$88,0),AT$6&lt;=EOMONTH(EDATE($H$88,$E$88-1),0)),$D$88/MAX($E$88,1),0)</f>
        <v>11450</v>
      </c>
      <c r="AU97" s="159" t="n">
        <f aca="false">IF(AND(AU$6&gt;=EOMONTH($H$88,0),AU$6&lt;=EOMONTH(EDATE($H$88,$E$88-1),0)),$D$88/MAX($E$88,1),0)</f>
        <v>11450</v>
      </c>
      <c r="AV97" s="159" t="n">
        <f aca="false">IF(AND(AV$6&gt;=EOMONTH($H$88,0),AV$6&lt;=EOMONTH(EDATE($H$88,$E$88-1),0)),$D$88/MAX($E$88,1),0)</f>
        <v>0</v>
      </c>
      <c r="AW97" s="159" t="n">
        <f aca="false">IF(AND(AW$6&gt;=EOMONTH($H$88,0),AW$6&lt;=EOMONTH(EDATE($H$88,$E$88-1),0)),$D$88/MAX($E$88,1),0)</f>
        <v>0</v>
      </c>
      <c r="AX97" s="159" t="n">
        <f aca="false">IF(AND(AX$6&gt;=EOMONTH($H$88,0),AX$6&lt;=EOMONTH(EDATE($H$88,$E$88-1),0)),$D$88/MAX($E$88,1),0)</f>
        <v>0</v>
      </c>
      <c r="AY97" s="159" t="n">
        <f aca="false">IF(AND(AY$6&gt;=EOMONTH($H$88,0),AY$6&lt;=EOMONTH(EDATE($H$88,$E$88-1),0)),$D$88/MAX($E$88,1),0)</f>
        <v>0</v>
      </c>
      <c r="AZ97" s="159" t="n">
        <f aca="false">IF(AND(AZ$6&gt;=EOMONTH($H$88,0),AZ$6&lt;=EOMONTH(EDATE($H$88,$E$88-1),0)),$D$88/MAX($E$88,1),0)</f>
        <v>0</v>
      </c>
      <c r="BA97" s="159" t="n">
        <f aca="false">IF(AND(BA$6&gt;=EOMONTH($H$88,0),BA$6&lt;=EOMONTH(EDATE($H$88,$E$88-1),0)),$D$88/MAX($E$88,1),0)</f>
        <v>0</v>
      </c>
      <c r="BB97" s="159" t="n">
        <f aca="false">IF(AND(BB$6&gt;=EOMONTH($H$88,0),BB$6&lt;=EOMONTH(EDATE($H$88,$E$88-1),0)),$D$88/MAX($E$88,1),0)</f>
        <v>0</v>
      </c>
      <c r="BC97" s="159" t="n">
        <f aca="false">IF(AND(BC$6&gt;=EOMONTH($H$88,0),BC$6&lt;=EOMONTH(EDATE($H$88,$E$88-1),0)),$D$88/MAX($E$88,1),0)</f>
        <v>0</v>
      </c>
      <c r="BD97" s="159" t="n">
        <f aca="false">IF(AND(BD$6&gt;=EOMONTH($H$88,0),BD$6&lt;=EOMONTH(EDATE($H$88,$E$88-1),0)),$D$88/MAX($E$88,1),0)</f>
        <v>0</v>
      </c>
      <c r="BE97" s="159" t="n">
        <f aca="false">IF(AND(BE$6&gt;=EOMONTH($H$88,0),BE$6&lt;=EOMONTH(EDATE($H$88,$E$88-1),0)),$D$88/MAX($E$88,1),0)</f>
        <v>0</v>
      </c>
      <c r="BF97" s="159" t="n">
        <f aca="false">IF(AND(BF$6&gt;=EOMONTH($H$88,0),BF$6&lt;=EOMONTH(EDATE($H$88,$E$88-1),0)),$D$88/MAX($E$88,1),0)</f>
        <v>0</v>
      </c>
      <c r="BG97" s="159" t="n">
        <f aca="false">IF(AND(BG$6&gt;=EOMONTH($H$88,0),BG$6&lt;=EOMONTH(EDATE($H$88,$E$88-1),0)),$D$88/MAX($E$88,1),0)</f>
        <v>0</v>
      </c>
      <c r="BH97" s="159" t="n">
        <f aca="false">IF(AND(BH$6&gt;=EOMONTH($H$88,0),BH$6&lt;=EOMONTH(EDATE($H$88,$E$88-1),0)),$D$88/MAX($E$88,1),0)</f>
        <v>0</v>
      </c>
      <c r="BI97" s="159" t="n">
        <f aca="false">IF(AND(BI$6&gt;=EOMONTH($H$88,0),BI$6&lt;=EOMONTH(EDATE($H$88,$E$88-1),0)),$D$88/MAX($E$88,1),0)</f>
        <v>0</v>
      </c>
      <c r="BJ97" s="159" t="n">
        <f aca="false">IF(AND(BJ$6&gt;=EOMONTH($H$88,0),BJ$6&lt;=EOMONTH(EDATE($H$88,$E$88-1),0)),$D$88/MAX($E$88,1),0)</f>
        <v>0</v>
      </c>
      <c r="BK97" s="159" t="n">
        <f aca="false">IF(AND(BK$6&gt;=EOMONTH($H$88,0),BK$6&lt;=EOMONTH(EDATE($H$88,$E$88-1),0)),$D$88/MAX($E$88,1),0)</f>
        <v>0</v>
      </c>
      <c r="BL97" s="159" t="n">
        <f aca="false">IF(AND(BL$6&gt;=EOMONTH($H$88,0),BL$6&lt;=EOMONTH(EDATE($H$88,$E$88-1),0)),$D$88/MAX($E$88,1),0)</f>
        <v>0</v>
      </c>
      <c r="BM97" s="159" t="n">
        <f aca="false">IF(AND(BM$6&gt;=EOMONTH($H$88,0),BM$6&lt;=EOMONTH(EDATE($H$88,$E$88-1),0)),$D$88/MAX($E$88,1),0)</f>
        <v>0</v>
      </c>
      <c r="BN97" s="159" t="n">
        <f aca="false">IF(AND(BN$6&gt;=EOMONTH($H$88,0),BN$6&lt;=EOMONTH(EDATE($H$88,$E$88-1),0)),$D$88/MAX($E$88,1),0)</f>
        <v>0</v>
      </c>
      <c r="BO97" s="159" t="n">
        <f aca="false">IF(AND(BO$6&gt;=EOMONTH($H$88,0),BO$6&lt;=EOMONTH(EDATE($H$88,$E$88-1),0)),$D$88/MAX($E$88,1),0)</f>
        <v>0</v>
      </c>
      <c r="BP97" s="159" t="n">
        <f aca="false">IF(AND(BP$6&gt;=EOMONTH($H$88,0),BP$6&lt;=EOMONTH(EDATE($H$88,$E$88-1),0)),$D$88/MAX($E$88,1),0)</f>
        <v>0</v>
      </c>
      <c r="BQ97" s="159" t="n">
        <f aca="false">IF(AND(BQ$6&gt;=EOMONTH($H$88,0),BQ$6&lt;=EOMONTH(EDATE($H$88,$E$88-1),0)),$D$88/MAX($E$88,1),0)</f>
        <v>0</v>
      </c>
      <c r="BR97" s="159" t="n">
        <f aca="false">IF(AND(BR$6&gt;=EOMONTH($H$88,0),BR$6&lt;=EOMONTH(EDATE($H$88,$E$88-1),0)),$D$88/MAX($E$88,1),0)</f>
        <v>0</v>
      </c>
      <c r="BS97" s="159" t="n">
        <f aca="false">IF(AND(BS$6&gt;=EOMONTH($H$88,0),BS$6&lt;=EOMONTH(EDATE($H$88,$E$88-1),0)),$D$88/MAX($E$88,1),0)</f>
        <v>0</v>
      </c>
      <c r="BT97" s="159" t="n">
        <f aca="false">IF(AND(BT$6&gt;=EOMONTH($H$88,0),BT$6&lt;=EOMONTH(EDATE($H$88,$E$88-1),0)),$D$88/MAX($E$88,1),0)</f>
        <v>0</v>
      </c>
      <c r="BU97" s="159" t="n">
        <f aca="false">IF(AND(BU$6&gt;=EOMONTH($H$88,0),BU$6&lt;=EOMONTH(EDATE($H$88,$E$88-1),0)),$D$88/MAX($E$88,1),0)</f>
        <v>0</v>
      </c>
      <c r="BV97" s="159" t="n">
        <f aca="false">IF(AND(BV$6&gt;=EOMONTH($H$88,0),BV$6&lt;=EOMONTH(EDATE($H$88,$E$88-1),0)),$D$88/MAX($E$88,1),0)</f>
        <v>0</v>
      </c>
      <c r="BW97" s="159" t="n">
        <f aca="false">IF(AND(BW$6&gt;=EOMONTH($H$88,0),BW$6&lt;=EOMONTH(EDATE($H$88,$E$88-1),0)),$D$88/MAX($E$88,1),0)</f>
        <v>0</v>
      </c>
      <c r="BX97" s="159" t="n">
        <f aca="false">IF(AND(BX$6&gt;=EOMONTH($H$88,0),BX$6&lt;=EOMONTH(EDATE($H$88,$E$88-1),0)),$D$88/MAX($E$88,1),0)</f>
        <v>0</v>
      </c>
      <c r="BY97" s="159" t="n">
        <f aca="false">IF(AND(BY$6&gt;=EOMONTH($H$88,0),BY$6&lt;=EOMONTH(EDATE($H$88,$E$88-1),0)),$D$88/MAX($E$88,1),0)</f>
        <v>0</v>
      </c>
      <c r="BZ97" s="159" t="n">
        <f aca="false">IF(AND(BZ$6&gt;=EOMONTH($H$88,0),BZ$6&lt;=EOMONTH(EDATE($H$88,$E$88-1),0)),$D$88/MAX($E$88,1),0)</f>
        <v>0</v>
      </c>
      <c r="CA97" s="159" t="n">
        <f aca="false">IF(AND(CA$6&gt;=EOMONTH($H$88,0),CA$6&lt;=EOMONTH(EDATE($H$88,$E$88-1),0)),$D$88/MAX($E$88,1),0)</f>
        <v>0</v>
      </c>
    </row>
    <row r="98" customFormat="false" ht="15" hidden="false" customHeight="false" outlineLevel="0" collapsed="false">
      <c r="B98" s="196" t="s">
        <v>374</v>
      </c>
      <c r="T98" s="159" t="n">
        <f aca="false">IF(AND(T$6&gt;=EOMONTH($H$89,0),T$6&lt;=EOMONTH(EDATE($H$89,$E$89-1),0)),$D$89/MAX($E$89,1),0)</f>
        <v>0</v>
      </c>
      <c r="U98" s="159" t="n">
        <f aca="false">IF(AND(U$6&gt;=EOMONTH($H$89,0),U$6&lt;=EOMONTH(EDATE($H$89,$E$89-1),0)),$D$89/MAX($E$89,1),0)</f>
        <v>0</v>
      </c>
      <c r="V98" s="159" t="n">
        <f aca="false">IF(AND(V$6&gt;=EOMONTH($H$89,0),V$6&lt;=EOMONTH(EDATE($H$89,$E$89-1),0)),$D$89/MAX($E$89,1),0)</f>
        <v>0</v>
      </c>
      <c r="W98" s="159" t="n">
        <f aca="false">IF(AND(W$6&gt;=EOMONTH($H$89,0),W$6&lt;=EOMONTH(EDATE($H$89,$E$89-1),0)),$D$89/MAX($E$89,1),0)</f>
        <v>0</v>
      </c>
      <c r="X98" s="159" t="n">
        <f aca="false">IF(AND(X$6&gt;=EOMONTH($H$89,0),X$6&lt;=EOMONTH(EDATE($H$89,$E$89-1),0)),$D$89/MAX($E$89,1),0)</f>
        <v>0</v>
      </c>
      <c r="Y98" s="159" t="n">
        <f aca="false">IF(AND(Y$6&gt;=EOMONTH($H$89,0),Y$6&lt;=EOMONTH(EDATE($H$89,$E$89-1),0)),$D$89/MAX($E$89,1),0)</f>
        <v>0</v>
      </c>
      <c r="Z98" s="159" t="n">
        <f aca="false">IF(AND(Z$6&gt;=EOMONTH($H$89,0),Z$6&lt;=EOMONTH(EDATE($H$89,$E$89-1),0)),$D$89/MAX($E$89,1),0)</f>
        <v>0</v>
      </c>
      <c r="AA98" s="159" t="n">
        <f aca="false">IF(AND(AA$6&gt;=EOMONTH($H$89,0),AA$6&lt;=EOMONTH(EDATE($H$89,$E$89-1),0)),$D$89/MAX($E$89,1),0)</f>
        <v>0</v>
      </c>
      <c r="AB98" s="159" t="n">
        <f aca="false">IF(AND(AB$6&gt;=EOMONTH($H$89,0),AB$6&lt;=EOMONTH(EDATE($H$89,$E$89-1),0)),$D$89/MAX($E$89,1),0)</f>
        <v>0</v>
      </c>
      <c r="AC98" s="159" t="n">
        <f aca="false">IF(AND(AC$6&gt;=EOMONTH($H$89,0),AC$6&lt;=EOMONTH(EDATE($H$89,$E$89-1),0)),$D$89/MAX($E$89,1),0)</f>
        <v>0</v>
      </c>
      <c r="AD98" s="159" t="n">
        <f aca="false">IF(AND(AD$6&gt;=EOMONTH($H$89,0),AD$6&lt;=EOMONTH(EDATE($H$89,$E$89-1),0)),$D$89/MAX($E$89,1),0)</f>
        <v>0</v>
      </c>
      <c r="AE98" s="159" t="n">
        <f aca="false">IF(AND(AE$6&gt;=EOMONTH($H$89,0),AE$6&lt;=EOMONTH(EDATE($H$89,$E$89-1),0)),$D$89/MAX($E$89,1),0)</f>
        <v>0</v>
      </c>
      <c r="AF98" s="159" t="n">
        <f aca="false">IF(AND(AF$6&gt;=EOMONTH($H$89,0),AF$6&lt;=EOMONTH(EDATE($H$89,$E$89-1),0)),$D$89/MAX($E$89,1),0)</f>
        <v>15457.5</v>
      </c>
      <c r="AG98" s="159" t="n">
        <f aca="false">IF(AND(AG$6&gt;=EOMONTH($H$89,0),AG$6&lt;=EOMONTH(EDATE($H$89,$E$89-1),0)),$D$89/MAX($E$89,1),0)</f>
        <v>15457.5</v>
      </c>
      <c r="AH98" s="159" t="n">
        <f aca="false">IF(AND(AH$6&gt;=EOMONTH($H$89,0),AH$6&lt;=EOMONTH(EDATE($H$89,$E$89-1),0)),$D$89/MAX($E$89,1),0)</f>
        <v>15457.5</v>
      </c>
      <c r="AI98" s="159" t="n">
        <f aca="false">IF(AND(AI$6&gt;=EOMONTH($H$89,0),AI$6&lt;=EOMONTH(EDATE($H$89,$E$89-1),0)),$D$89/MAX($E$89,1),0)</f>
        <v>15457.5</v>
      </c>
      <c r="AJ98" s="159" t="n">
        <f aca="false">IF(AND(AJ$6&gt;=EOMONTH($H$89,0),AJ$6&lt;=EOMONTH(EDATE($H$89,$E$89-1),0)),$D$89/MAX($E$89,1),0)</f>
        <v>15457.5</v>
      </c>
      <c r="AK98" s="159" t="n">
        <f aca="false">IF(AND(AK$6&gt;=EOMONTH($H$89,0),AK$6&lt;=EOMONTH(EDATE($H$89,$E$89-1),0)),$D$89/MAX($E$89,1),0)</f>
        <v>15457.5</v>
      </c>
      <c r="AL98" s="159" t="n">
        <f aca="false">IF(AND(AL$6&gt;=EOMONTH($H$89,0),AL$6&lt;=EOMONTH(EDATE($H$89,$E$89-1),0)),$D$89/MAX($E$89,1),0)</f>
        <v>15457.5</v>
      </c>
      <c r="AM98" s="159" t="n">
        <f aca="false">IF(AND(AM$6&gt;=EOMONTH($H$89,0),AM$6&lt;=EOMONTH(EDATE($H$89,$E$89-1),0)),$D$89/MAX($E$89,1),0)</f>
        <v>15457.5</v>
      </c>
      <c r="AN98" s="159" t="n">
        <f aca="false">IF(AND(AN$6&gt;=EOMONTH($H$89,0),AN$6&lt;=EOMONTH(EDATE($H$89,$E$89-1),0)),$D$89/MAX($E$89,1),0)</f>
        <v>15457.5</v>
      </c>
      <c r="AO98" s="159" t="n">
        <f aca="false">IF(AND(AO$6&gt;=EOMONTH($H$89,0),AO$6&lt;=EOMONTH(EDATE($H$89,$E$89-1),0)),$D$89/MAX($E$89,1),0)</f>
        <v>15457.5</v>
      </c>
      <c r="AP98" s="159" t="n">
        <f aca="false">IF(AND(AP$6&gt;=EOMONTH($H$89,0),AP$6&lt;=EOMONTH(EDATE($H$89,$E$89-1),0)),$D$89/MAX($E$89,1),0)</f>
        <v>15457.5</v>
      </c>
      <c r="AQ98" s="159" t="n">
        <f aca="false">IF(AND(AQ$6&gt;=EOMONTH($H$89,0),AQ$6&lt;=EOMONTH(EDATE($H$89,$E$89-1),0)),$D$89/MAX($E$89,1),0)</f>
        <v>15457.5</v>
      </c>
      <c r="AR98" s="159" t="n">
        <f aca="false">IF(AND(AR$6&gt;=EOMONTH($H$89,0),AR$6&lt;=EOMONTH(EDATE($H$89,$E$89-1),0)),$D$89/MAX($E$89,1),0)</f>
        <v>15457.5</v>
      </c>
      <c r="AS98" s="159" t="n">
        <f aca="false">IF(AND(AS$6&gt;=EOMONTH($H$89,0),AS$6&lt;=EOMONTH(EDATE($H$89,$E$89-1),0)),$D$89/MAX($E$89,1),0)</f>
        <v>15457.5</v>
      </c>
      <c r="AT98" s="159" t="n">
        <f aca="false">IF(AND(AT$6&gt;=EOMONTH($H$89,0),AT$6&lt;=EOMONTH(EDATE($H$89,$E$89-1),0)),$D$89/MAX($E$89,1),0)</f>
        <v>15457.5</v>
      </c>
      <c r="AU98" s="159" t="n">
        <f aca="false">IF(AND(AU$6&gt;=EOMONTH($H$89,0),AU$6&lt;=EOMONTH(EDATE($H$89,$E$89-1),0)),$D$89/MAX($E$89,1),0)</f>
        <v>15457.5</v>
      </c>
      <c r="AV98" s="159" t="n">
        <f aca="false">IF(AND(AV$6&gt;=EOMONTH($H$89,0),AV$6&lt;=EOMONTH(EDATE($H$89,$E$89-1),0)),$D$89/MAX($E$89,1),0)</f>
        <v>0</v>
      </c>
      <c r="AW98" s="159" t="n">
        <f aca="false">IF(AND(AW$6&gt;=EOMONTH($H$89,0),AW$6&lt;=EOMONTH(EDATE($H$89,$E$89-1),0)),$D$89/MAX($E$89,1),0)</f>
        <v>0</v>
      </c>
      <c r="AX98" s="159" t="n">
        <f aca="false">IF(AND(AX$6&gt;=EOMONTH($H$89,0),AX$6&lt;=EOMONTH(EDATE($H$89,$E$89-1),0)),$D$89/MAX($E$89,1),0)</f>
        <v>0</v>
      </c>
      <c r="AY98" s="159" t="n">
        <f aca="false">IF(AND(AY$6&gt;=EOMONTH($H$89,0),AY$6&lt;=EOMONTH(EDATE($H$89,$E$89-1),0)),$D$89/MAX($E$89,1),0)</f>
        <v>0</v>
      </c>
      <c r="AZ98" s="159" t="n">
        <f aca="false">IF(AND(AZ$6&gt;=EOMONTH($H$89,0),AZ$6&lt;=EOMONTH(EDATE($H$89,$E$89-1),0)),$D$89/MAX($E$89,1),0)</f>
        <v>0</v>
      </c>
      <c r="BA98" s="159" t="n">
        <f aca="false">IF(AND(BA$6&gt;=EOMONTH($H$89,0),BA$6&lt;=EOMONTH(EDATE($H$89,$E$89-1),0)),$D$89/MAX($E$89,1),0)</f>
        <v>0</v>
      </c>
      <c r="BB98" s="159" t="n">
        <f aca="false">IF(AND(BB$6&gt;=EOMONTH($H$89,0),BB$6&lt;=EOMONTH(EDATE($H$89,$E$89-1),0)),$D$89/MAX($E$89,1),0)</f>
        <v>0</v>
      </c>
      <c r="BC98" s="159" t="n">
        <f aca="false">IF(AND(BC$6&gt;=EOMONTH($H$89,0),BC$6&lt;=EOMONTH(EDATE($H$89,$E$89-1),0)),$D$89/MAX($E$89,1),0)</f>
        <v>0</v>
      </c>
      <c r="BD98" s="159" t="n">
        <f aca="false">IF(AND(BD$6&gt;=EOMONTH($H$89,0),BD$6&lt;=EOMONTH(EDATE($H$89,$E$89-1),0)),$D$89/MAX($E$89,1),0)</f>
        <v>0</v>
      </c>
      <c r="BE98" s="159" t="n">
        <f aca="false">IF(AND(BE$6&gt;=EOMONTH($H$89,0),BE$6&lt;=EOMONTH(EDATE($H$89,$E$89-1),0)),$D$89/MAX($E$89,1),0)</f>
        <v>0</v>
      </c>
      <c r="BF98" s="159" t="n">
        <f aca="false">IF(AND(BF$6&gt;=EOMONTH($H$89,0),BF$6&lt;=EOMONTH(EDATE($H$89,$E$89-1),0)),$D$89/MAX($E$89,1),0)</f>
        <v>0</v>
      </c>
      <c r="BG98" s="159" t="n">
        <f aca="false">IF(AND(BG$6&gt;=EOMONTH($H$89,0),BG$6&lt;=EOMONTH(EDATE($H$89,$E$89-1),0)),$D$89/MAX($E$89,1),0)</f>
        <v>0</v>
      </c>
      <c r="BH98" s="159" t="n">
        <f aca="false">IF(AND(BH$6&gt;=EOMONTH($H$89,0),BH$6&lt;=EOMONTH(EDATE($H$89,$E$89-1),0)),$D$89/MAX($E$89,1),0)</f>
        <v>0</v>
      </c>
      <c r="BI98" s="159" t="n">
        <f aca="false">IF(AND(BI$6&gt;=EOMONTH($H$89,0),BI$6&lt;=EOMONTH(EDATE($H$89,$E$89-1),0)),$D$89/MAX($E$89,1),0)</f>
        <v>0</v>
      </c>
      <c r="BJ98" s="159" t="n">
        <f aca="false">IF(AND(BJ$6&gt;=EOMONTH($H$89,0),BJ$6&lt;=EOMONTH(EDATE($H$89,$E$89-1),0)),$D$89/MAX($E$89,1),0)</f>
        <v>0</v>
      </c>
      <c r="BK98" s="159" t="n">
        <f aca="false">IF(AND(BK$6&gt;=EOMONTH($H$89,0),BK$6&lt;=EOMONTH(EDATE($H$89,$E$89-1),0)),$D$89/MAX($E$89,1),0)</f>
        <v>0</v>
      </c>
      <c r="BL98" s="159" t="n">
        <f aca="false">IF(AND(BL$6&gt;=EOMONTH($H$89,0),BL$6&lt;=EOMONTH(EDATE($H$89,$E$89-1),0)),$D$89/MAX($E$89,1),0)</f>
        <v>0</v>
      </c>
      <c r="BM98" s="159" t="n">
        <f aca="false">IF(AND(BM$6&gt;=EOMONTH($H$89,0),BM$6&lt;=EOMONTH(EDATE($H$89,$E$89-1),0)),$D$89/MAX($E$89,1),0)</f>
        <v>0</v>
      </c>
      <c r="BN98" s="159" t="n">
        <f aca="false">IF(AND(BN$6&gt;=EOMONTH($H$89,0),BN$6&lt;=EOMONTH(EDATE($H$89,$E$89-1),0)),$D$89/MAX($E$89,1),0)</f>
        <v>0</v>
      </c>
      <c r="BO98" s="159" t="n">
        <f aca="false">IF(AND(BO$6&gt;=EOMONTH($H$89,0),BO$6&lt;=EOMONTH(EDATE($H$89,$E$89-1),0)),$D$89/MAX($E$89,1),0)</f>
        <v>0</v>
      </c>
      <c r="BP98" s="159" t="n">
        <f aca="false">IF(AND(BP$6&gt;=EOMONTH($H$89,0),BP$6&lt;=EOMONTH(EDATE($H$89,$E$89-1),0)),$D$89/MAX($E$89,1),0)</f>
        <v>0</v>
      </c>
      <c r="BQ98" s="159" t="n">
        <f aca="false">IF(AND(BQ$6&gt;=EOMONTH($H$89,0),BQ$6&lt;=EOMONTH(EDATE($H$89,$E$89-1),0)),$D$89/MAX($E$89,1),0)</f>
        <v>0</v>
      </c>
      <c r="BR98" s="159" t="n">
        <f aca="false">IF(AND(BR$6&gt;=EOMONTH($H$89,0),BR$6&lt;=EOMONTH(EDATE($H$89,$E$89-1),0)),$D$89/MAX($E$89,1),0)</f>
        <v>0</v>
      </c>
      <c r="BS98" s="159" t="n">
        <f aca="false">IF(AND(BS$6&gt;=EOMONTH($H$89,0),BS$6&lt;=EOMONTH(EDATE($H$89,$E$89-1),0)),$D$89/MAX($E$89,1),0)</f>
        <v>0</v>
      </c>
      <c r="BT98" s="159" t="n">
        <f aca="false">IF(AND(BT$6&gt;=EOMONTH($H$89,0),BT$6&lt;=EOMONTH(EDATE($H$89,$E$89-1),0)),$D$89/MAX($E$89,1),0)</f>
        <v>0</v>
      </c>
      <c r="BU98" s="159" t="n">
        <f aca="false">IF(AND(BU$6&gt;=EOMONTH($H$89,0),BU$6&lt;=EOMONTH(EDATE($H$89,$E$89-1),0)),$D$89/MAX($E$89,1),0)</f>
        <v>0</v>
      </c>
      <c r="BV98" s="159" t="n">
        <f aca="false">IF(AND(BV$6&gt;=EOMONTH($H$89,0),BV$6&lt;=EOMONTH(EDATE($H$89,$E$89-1),0)),$D$89/MAX($E$89,1),0)</f>
        <v>0</v>
      </c>
      <c r="BW98" s="159" t="n">
        <f aca="false">IF(AND(BW$6&gt;=EOMONTH($H$89,0),BW$6&lt;=EOMONTH(EDATE($H$89,$E$89-1),0)),$D$89/MAX($E$89,1),0)</f>
        <v>0</v>
      </c>
      <c r="BX98" s="159" t="n">
        <f aca="false">IF(AND(BX$6&gt;=EOMONTH($H$89,0),BX$6&lt;=EOMONTH(EDATE($H$89,$E$89-1),0)),$D$89/MAX($E$89,1),0)</f>
        <v>0</v>
      </c>
      <c r="BY98" s="159" t="n">
        <f aca="false">IF(AND(BY$6&gt;=EOMONTH($H$89,0),BY$6&lt;=EOMONTH(EDATE($H$89,$E$89-1),0)),$D$89/MAX($E$89,1),0)</f>
        <v>0</v>
      </c>
      <c r="BZ98" s="159" t="n">
        <f aca="false">IF(AND(BZ$6&gt;=EOMONTH($H$89,0),BZ$6&lt;=EOMONTH(EDATE($H$89,$E$89-1),0)),$D$89/MAX($E$89,1),0)</f>
        <v>0</v>
      </c>
      <c r="CA98" s="159" t="n">
        <f aca="false">IF(AND(CA$6&gt;=EOMONTH($H$89,0),CA$6&lt;=EOMONTH(EDATE($H$89,$E$89-1),0)),$D$89/MAX($E$89,1),0)</f>
        <v>0</v>
      </c>
    </row>
    <row r="99" customFormat="false" ht="15" hidden="false" customHeight="false" outlineLevel="0" collapsed="false">
      <c r="B99" s="196" t="s">
        <v>375</v>
      </c>
      <c r="T99" s="159" t="n">
        <f aca="false">IF(AND(T$6&gt;=EOMONTH($H$90,0),T$6&lt;=EOMONTH(EDATE($H$90,$E$90-1),0)),$D$90/MAX($E$90,1),0)</f>
        <v>0</v>
      </c>
      <c r="U99" s="159" t="n">
        <f aca="false">IF(AND(U$6&gt;=EOMONTH($H$90,0),U$6&lt;=EOMONTH(EDATE($H$90,$E$90-1),0)),$D$90/MAX($E$90,1),0)</f>
        <v>0</v>
      </c>
      <c r="V99" s="159" t="n">
        <f aca="false">IF(AND(V$6&gt;=EOMONTH($H$90,0),V$6&lt;=EOMONTH(EDATE($H$90,$E$90-1),0)),$D$90/MAX($E$90,1),0)</f>
        <v>0</v>
      </c>
      <c r="W99" s="159" t="n">
        <f aca="false">IF(AND(W$6&gt;=EOMONTH($H$90,0),W$6&lt;=EOMONTH(EDATE($H$90,$E$90-1),0)),$D$90/MAX($E$90,1),0)</f>
        <v>0</v>
      </c>
      <c r="X99" s="159" t="n">
        <f aca="false">IF(AND(X$6&gt;=EOMONTH($H$90,0),X$6&lt;=EOMONTH(EDATE($H$90,$E$90-1),0)),$D$90/MAX($E$90,1),0)</f>
        <v>0</v>
      </c>
      <c r="Y99" s="159" t="n">
        <f aca="false">IF(AND(Y$6&gt;=EOMONTH($H$90,0),Y$6&lt;=EOMONTH(EDATE($H$90,$E$90-1),0)),$D$90/MAX($E$90,1),0)</f>
        <v>0</v>
      </c>
      <c r="Z99" s="159" t="n">
        <f aca="false">IF(AND(Z$6&gt;=EOMONTH($H$90,0),Z$6&lt;=EOMONTH(EDATE($H$90,$E$90-1),0)),$D$90/MAX($E$90,1),0)</f>
        <v>0</v>
      </c>
      <c r="AA99" s="159" t="n">
        <f aca="false">IF(AND(AA$6&gt;=EOMONTH($H$90,0),AA$6&lt;=EOMONTH(EDATE($H$90,$E$90-1),0)),$D$90/MAX($E$90,1),0)</f>
        <v>0</v>
      </c>
      <c r="AB99" s="159" t="n">
        <f aca="false">IF(AND(AB$6&gt;=EOMONTH($H$90,0),AB$6&lt;=EOMONTH(EDATE($H$90,$E$90-1),0)),$D$90/MAX($E$90,1),0)</f>
        <v>0</v>
      </c>
      <c r="AC99" s="159" t="n">
        <f aca="false">IF(AND(AC$6&gt;=EOMONTH($H$90,0),AC$6&lt;=EOMONTH(EDATE($H$90,$E$90-1),0)),$D$90/MAX($E$90,1),0)</f>
        <v>0</v>
      </c>
      <c r="AD99" s="159" t="n">
        <f aca="false">IF(AND(AD$6&gt;=EOMONTH($H$90,0),AD$6&lt;=EOMONTH(EDATE($H$90,$E$90-1),0)),$D$90/MAX($E$90,1),0)</f>
        <v>0</v>
      </c>
      <c r="AE99" s="159" t="n">
        <f aca="false">IF(AND(AE$6&gt;=EOMONTH($H$90,0),AE$6&lt;=EOMONTH(EDATE($H$90,$E$90-1),0)),$D$90/MAX($E$90,1),0)</f>
        <v>0</v>
      </c>
      <c r="AF99" s="159" t="n">
        <f aca="false">IF(AND(AF$6&gt;=EOMONTH($H$90,0),AF$6&lt;=EOMONTH(EDATE($H$90,$E$90-1),0)),$D$90/MAX($E$90,1),0)</f>
        <v>0</v>
      </c>
      <c r="AG99" s="159" t="n">
        <f aca="false">IF(AND(AG$6&gt;=EOMONTH($H$90,0),AG$6&lt;=EOMONTH(EDATE($H$90,$E$90-1),0)),$D$90/MAX($E$90,1),0)</f>
        <v>0</v>
      </c>
      <c r="AH99" s="159" t="n">
        <f aca="false">IF(AND(AH$6&gt;=EOMONTH($H$90,0),AH$6&lt;=EOMONTH(EDATE($H$90,$E$90-1),0)),$D$90/MAX($E$90,1),0)</f>
        <v>0</v>
      </c>
      <c r="AI99" s="159" t="n">
        <f aca="false">IF(AND(AI$6&gt;=EOMONTH($H$90,0),AI$6&lt;=EOMONTH(EDATE($H$90,$E$90-1),0)),$D$90/MAX($E$90,1),0)</f>
        <v>0</v>
      </c>
      <c r="AJ99" s="159" t="n">
        <f aca="false">IF(AND(AJ$6&gt;=EOMONTH($H$90,0),AJ$6&lt;=EOMONTH(EDATE($H$90,$E$90-1),0)),$D$90/MAX($E$90,1),0)</f>
        <v>0</v>
      </c>
      <c r="AK99" s="159" t="n">
        <f aca="false">IF(AND(AK$6&gt;=EOMONTH($H$90,0),AK$6&lt;=EOMONTH(EDATE($H$90,$E$90-1),0)),$D$90/MAX($E$90,1),0)</f>
        <v>0</v>
      </c>
      <c r="AL99" s="159" t="n">
        <f aca="false">IF(AND(AL$6&gt;=EOMONTH($H$90,0),AL$6&lt;=EOMONTH(EDATE($H$90,$E$90-1),0)),$D$90/MAX($E$90,1),0)</f>
        <v>0</v>
      </c>
      <c r="AM99" s="159" t="n">
        <f aca="false">IF(AND(AM$6&gt;=EOMONTH($H$90,0),AM$6&lt;=EOMONTH(EDATE($H$90,$E$90-1),0)),$D$90/MAX($E$90,1),0)</f>
        <v>0</v>
      </c>
      <c r="AN99" s="159" t="n">
        <f aca="false">IF(AND(AN$6&gt;=EOMONTH($H$90,0),AN$6&lt;=EOMONTH(EDATE($H$90,$E$90-1),0)),$D$90/MAX($E$90,1),0)</f>
        <v>0</v>
      </c>
      <c r="AO99" s="159" t="n">
        <f aca="false">IF(AND(AO$6&gt;=EOMONTH($H$90,0),AO$6&lt;=EOMONTH(EDATE($H$90,$E$90-1),0)),$D$90/MAX($E$90,1),0)</f>
        <v>0</v>
      </c>
      <c r="AP99" s="159" t="n">
        <f aca="false">IF(AND(AP$6&gt;=EOMONTH($H$90,0),AP$6&lt;=EOMONTH(EDATE($H$90,$E$90-1),0)),$D$90/MAX($E$90,1),0)</f>
        <v>0</v>
      </c>
      <c r="AQ99" s="159" t="n">
        <f aca="false">IF(AND(AQ$6&gt;=EOMONTH($H$90,0),AQ$6&lt;=EOMONTH(EDATE($H$90,$E$90-1),0)),$D$90/MAX($E$90,1),0)</f>
        <v>0</v>
      </c>
      <c r="AR99" s="159" t="n">
        <f aca="false">IF(AND(AR$6&gt;=EOMONTH($H$90,0),AR$6&lt;=EOMONTH(EDATE($H$90,$E$90-1),0)),$D$90/MAX($E$90,1),0)</f>
        <v>0</v>
      </c>
      <c r="AS99" s="159" t="n">
        <f aca="false">IF(AND(AS$6&gt;=EOMONTH($H$90,0),AS$6&lt;=EOMONTH(EDATE($H$90,$E$90-1),0)),$D$90/MAX($E$90,1),0)</f>
        <v>0</v>
      </c>
      <c r="AT99" s="159" t="n">
        <f aca="false">IF(AND(AT$6&gt;=EOMONTH($H$90,0),AT$6&lt;=EOMONTH(EDATE($H$90,$E$90-1),0)),$D$90/MAX($E$90,1),0)</f>
        <v>0</v>
      </c>
      <c r="AU99" s="159" t="n">
        <f aca="false">IF(AND(AU$6&gt;=EOMONTH($H$90,0),AU$6&lt;=EOMONTH(EDATE($H$90,$E$90-1),0)),$D$90/MAX($E$90,1),0)</f>
        <v>0</v>
      </c>
      <c r="AV99" s="159" t="n">
        <f aca="false">IF(AND(AV$6&gt;=EOMONTH($H$90,0),AV$6&lt;=EOMONTH(EDATE($H$90,$E$90-1),0)),$D$90/MAX($E$90,1),0)</f>
        <v>0</v>
      </c>
      <c r="AW99" s="159" t="n">
        <f aca="false">IF(AND(AW$6&gt;=EOMONTH($H$90,0),AW$6&lt;=EOMONTH(EDATE($H$90,$E$90-1),0)),$D$90/MAX($E$90,1),0)</f>
        <v>0</v>
      </c>
      <c r="AX99" s="159" t="n">
        <f aca="false">IF(AND(AX$6&gt;=EOMONTH($H$90,0),AX$6&lt;=EOMONTH(EDATE($H$90,$E$90-1),0)),$D$90/MAX($E$90,1),0)</f>
        <v>0</v>
      </c>
      <c r="AY99" s="159" t="n">
        <f aca="false">IF(AND(AY$6&gt;=EOMONTH($H$90,0),AY$6&lt;=EOMONTH(EDATE($H$90,$E$90-1),0)),$D$90/MAX($E$90,1),0)</f>
        <v>0</v>
      </c>
      <c r="AZ99" s="159" t="n">
        <f aca="false">IF(AND(AZ$6&gt;=EOMONTH($H$90,0),AZ$6&lt;=EOMONTH(EDATE($H$90,$E$90-1),0)),$D$90/MAX($E$90,1),0)</f>
        <v>0</v>
      </c>
      <c r="BA99" s="159" t="n">
        <f aca="false">IF(AND(BA$6&gt;=EOMONTH($H$90,0),BA$6&lt;=EOMONTH(EDATE($H$90,$E$90-1),0)),$D$90/MAX($E$90,1),0)</f>
        <v>0</v>
      </c>
      <c r="BB99" s="159" t="n">
        <f aca="false">IF(AND(BB$6&gt;=EOMONTH($H$90,0),BB$6&lt;=EOMONTH(EDATE($H$90,$E$90-1),0)),$D$90/MAX($E$90,1),0)</f>
        <v>0</v>
      </c>
      <c r="BC99" s="159" t="n">
        <f aca="false">IF(AND(BC$6&gt;=EOMONTH($H$90,0),BC$6&lt;=EOMONTH(EDATE($H$90,$E$90-1),0)),$D$90/MAX($E$90,1),0)</f>
        <v>0</v>
      </c>
      <c r="BD99" s="159" t="n">
        <f aca="false">IF(AND(BD$6&gt;=EOMONTH($H$90,0),BD$6&lt;=EOMONTH(EDATE($H$90,$E$90-1),0)),$D$90/MAX($E$90,1),0)</f>
        <v>0</v>
      </c>
      <c r="BE99" s="159" t="n">
        <f aca="false">IF(AND(BE$6&gt;=EOMONTH($H$90,0),BE$6&lt;=EOMONTH(EDATE($H$90,$E$90-1),0)),$D$90/MAX($E$90,1),0)</f>
        <v>0</v>
      </c>
      <c r="BF99" s="159" t="n">
        <f aca="false">IF(AND(BF$6&gt;=EOMONTH($H$90,0),BF$6&lt;=EOMONTH(EDATE($H$90,$E$90-1),0)),$D$90/MAX($E$90,1),0)</f>
        <v>0</v>
      </c>
      <c r="BG99" s="159" t="n">
        <f aca="false">IF(AND(BG$6&gt;=EOMONTH($H$90,0),BG$6&lt;=EOMONTH(EDATE($H$90,$E$90-1),0)),$D$90/MAX($E$90,1),0)</f>
        <v>0</v>
      </c>
      <c r="BH99" s="159" t="n">
        <f aca="false">IF(AND(BH$6&gt;=EOMONTH($H$90,0),BH$6&lt;=EOMONTH(EDATE($H$90,$E$90-1),0)),$D$90/MAX($E$90,1),0)</f>
        <v>0</v>
      </c>
      <c r="BI99" s="159" t="n">
        <f aca="false">IF(AND(BI$6&gt;=EOMONTH($H$90,0),BI$6&lt;=EOMONTH(EDATE($H$90,$E$90-1),0)),$D$90/MAX($E$90,1),0)</f>
        <v>0</v>
      </c>
      <c r="BJ99" s="159" t="n">
        <f aca="false">IF(AND(BJ$6&gt;=EOMONTH($H$90,0),BJ$6&lt;=EOMONTH(EDATE($H$90,$E$90-1),0)),$D$90/MAX($E$90,1),0)</f>
        <v>0</v>
      </c>
      <c r="BK99" s="159" t="n">
        <f aca="false">IF(AND(BK$6&gt;=EOMONTH($H$90,0),BK$6&lt;=EOMONTH(EDATE($H$90,$E$90-1),0)),$D$90/MAX($E$90,1),0)</f>
        <v>0</v>
      </c>
      <c r="BL99" s="159" t="n">
        <f aca="false">IF(AND(BL$6&gt;=EOMONTH($H$90,0),BL$6&lt;=EOMONTH(EDATE($H$90,$E$90-1),0)),$D$90/MAX($E$90,1),0)</f>
        <v>0</v>
      </c>
      <c r="BM99" s="159" t="n">
        <f aca="false">IF(AND(BM$6&gt;=EOMONTH($H$90,0),BM$6&lt;=EOMONTH(EDATE($H$90,$E$90-1),0)),$D$90/MAX($E$90,1),0)</f>
        <v>0</v>
      </c>
      <c r="BN99" s="159" t="n">
        <f aca="false">IF(AND(BN$6&gt;=EOMONTH($H$90,0),BN$6&lt;=EOMONTH(EDATE($H$90,$E$90-1),0)),$D$90/MAX($E$90,1),0)</f>
        <v>0</v>
      </c>
      <c r="BO99" s="159" t="n">
        <f aca="false">IF(AND(BO$6&gt;=EOMONTH($H$90,0),BO$6&lt;=EOMONTH(EDATE($H$90,$E$90-1),0)),$D$90/MAX($E$90,1),0)</f>
        <v>0</v>
      </c>
      <c r="BP99" s="159" t="n">
        <f aca="false">IF(AND(BP$6&gt;=EOMONTH($H$90,0),BP$6&lt;=EOMONTH(EDATE($H$90,$E$90-1),0)),$D$90/MAX($E$90,1),0)</f>
        <v>0</v>
      </c>
      <c r="BQ99" s="159" t="n">
        <f aca="false">IF(AND(BQ$6&gt;=EOMONTH($H$90,0),BQ$6&lt;=EOMONTH(EDATE($H$90,$E$90-1),0)),$D$90/MAX($E$90,1),0)</f>
        <v>0</v>
      </c>
      <c r="BR99" s="159" t="n">
        <f aca="false">IF(AND(BR$6&gt;=EOMONTH($H$90,0),BR$6&lt;=EOMONTH(EDATE($H$90,$E$90-1),0)),$D$90/MAX($E$90,1),0)</f>
        <v>0</v>
      </c>
      <c r="BS99" s="159" t="n">
        <f aca="false">IF(AND(BS$6&gt;=EOMONTH($H$90,0),BS$6&lt;=EOMONTH(EDATE($H$90,$E$90-1),0)),$D$90/MAX($E$90,1),0)</f>
        <v>0</v>
      </c>
      <c r="BT99" s="159" t="n">
        <f aca="false">IF(AND(BT$6&gt;=EOMONTH($H$90,0),BT$6&lt;=EOMONTH(EDATE($H$90,$E$90-1),0)),$D$90/MAX($E$90,1),0)</f>
        <v>0</v>
      </c>
      <c r="BU99" s="159" t="n">
        <f aca="false">IF(AND(BU$6&gt;=EOMONTH($H$90,0),BU$6&lt;=EOMONTH(EDATE($H$90,$E$90-1),0)),$D$90/MAX($E$90,1),0)</f>
        <v>0</v>
      </c>
      <c r="BV99" s="159" t="n">
        <f aca="false">IF(AND(BV$6&gt;=EOMONTH($H$90,0),BV$6&lt;=EOMONTH(EDATE($H$90,$E$90-1),0)),$D$90/MAX($E$90,1),0)</f>
        <v>0</v>
      </c>
      <c r="BW99" s="159" t="n">
        <f aca="false">IF(AND(BW$6&gt;=EOMONTH($H$90,0),BW$6&lt;=EOMONTH(EDATE($H$90,$E$90-1),0)),$D$90/MAX($E$90,1),0)</f>
        <v>0</v>
      </c>
      <c r="BX99" s="159" t="n">
        <f aca="false">IF(AND(BX$6&gt;=EOMONTH($H$90,0),BX$6&lt;=EOMONTH(EDATE($H$90,$E$90-1),0)),$D$90/MAX($E$90,1),0)</f>
        <v>0</v>
      </c>
      <c r="BY99" s="159" t="n">
        <f aca="false">IF(AND(BY$6&gt;=EOMONTH($H$90,0),BY$6&lt;=EOMONTH(EDATE($H$90,$E$90-1),0)),$D$90/MAX($E$90,1),0)</f>
        <v>0</v>
      </c>
      <c r="BZ99" s="159" t="n">
        <f aca="false">IF(AND(BZ$6&gt;=EOMONTH($H$90,0),BZ$6&lt;=EOMONTH(EDATE($H$90,$E$90-1),0)),$D$90/MAX($E$90,1),0)</f>
        <v>0</v>
      </c>
      <c r="CA99" s="159" t="n">
        <f aca="false">IF(AND(CA$6&gt;=EOMONTH($H$90,0),CA$6&lt;=EOMONTH(EDATE($H$90,$E$90-1),0)),$D$90/MAX($E$90,1),0)</f>
        <v>0</v>
      </c>
    </row>
    <row r="101" customFormat="false" ht="15" hidden="false" customHeight="false" outlineLevel="0" collapsed="false">
      <c r="B101" s="197" t="s">
        <v>376</v>
      </c>
    </row>
    <row r="102" customFormat="false" ht="15" hidden="false" customHeight="false" outlineLevel="0" collapsed="false">
      <c r="B102" s="10" t="s">
        <v>377</v>
      </c>
      <c r="L102" s="193" t="n">
        <f aca="false">SUMIFS($T102:$CA102,$T$5:$CA$5,2026)</f>
        <v>0</v>
      </c>
      <c r="M102" s="193" t="n">
        <f aca="false">SUMIFS($T102:$CA102,$T$5:$CA$5,2027)</f>
        <v>0</v>
      </c>
      <c r="N102" s="193" t="n">
        <f aca="false">SUMIFS($T102:$CA102,$T$5:$CA$5,2028)</f>
        <v>0</v>
      </c>
      <c r="O102" s="193" t="n">
        <f aca="false">SUMIFS($T102:$CA102,$T$5:$CA$5,2029)</f>
        <v>0</v>
      </c>
      <c r="P102" s="193" t="n">
        <f aca="false">SUMIFS($T102:$CA102,$T$5:$CA$5,2030)</f>
        <v>0</v>
      </c>
      <c r="T102" s="193" t="n">
        <f aca="false">(SUMPRODUCT(T76:T79,$I$70:$I$73))/1000000</f>
        <v>0</v>
      </c>
      <c r="U102" s="193" t="n">
        <f aca="false">(SUMPRODUCT(U76:U79,$I$70:$I$73))/1000000</f>
        <v>0</v>
      </c>
      <c r="V102" s="193" t="n">
        <f aca="false">(SUMPRODUCT(V76:V79,$I$70:$I$73))/1000000</f>
        <v>0</v>
      </c>
      <c r="W102" s="193" t="n">
        <f aca="false">(SUMPRODUCT(W76:W79,$I$70:$I$73))/1000000</f>
        <v>0</v>
      </c>
      <c r="X102" s="193" t="n">
        <f aca="false">(SUMPRODUCT(X76:X79,$I$70:$I$73))/1000000</f>
        <v>0</v>
      </c>
      <c r="Y102" s="193" t="n">
        <f aca="false">(SUMPRODUCT(Y76:Y79,$I$70:$I$73))/1000000</f>
        <v>0</v>
      </c>
      <c r="Z102" s="193" t="n">
        <f aca="false">(SUMPRODUCT(Z76:Z79,$I$70:$I$73))/1000000</f>
        <v>0</v>
      </c>
      <c r="AA102" s="193" t="n">
        <f aca="false">(SUMPRODUCT(AA76:AA79,$I$70:$I$73))/1000000</f>
        <v>0</v>
      </c>
      <c r="AB102" s="193" t="n">
        <f aca="false">(SUMPRODUCT(AB76:AB79,$I$70:$I$73))/1000000</f>
        <v>0</v>
      </c>
      <c r="AC102" s="193" t="n">
        <f aca="false">(SUMPRODUCT(AC76:AC79,$I$70:$I$73))/1000000</f>
        <v>0</v>
      </c>
      <c r="AD102" s="193" t="n">
        <f aca="false">(SUMPRODUCT(AD76:AD79,$I$70:$I$73))/1000000</f>
        <v>0</v>
      </c>
      <c r="AE102" s="193" t="n">
        <f aca="false">(SUMPRODUCT(AE76:AE79,$I$70:$I$73))/1000000</f>
        <v>0</v>
      </c>
      <c r="AF102" s="193" t="n">
        <f aca="false">(SUMPRODUCT(AF76:AF79,$I$70:$I$73))/1000000</f>
        <v>0</v>
      </c>
      <c r="AG102" s="193" t="n">
        <f aca="false">(SUMPRODUCT(AG76:AG79,$I$70:$I$73))/1000000</f>
        <v>0</v>
      </c>
      <c r="AH102" s="193" t="n">
        <f aca="false">(SUMPRODUCT(AH76:AH79,$I$70:$I$73))/1000000</f>
        <v>0</v>
      </c>
      <c r="AI102" s="193" t="n">
        <f aca="false">(SUMPRODUCT(AI76:AI79,$I$70:$I$73))/1000000</f>
        <v>0</v>
      </c>
      <c r="AJ102" s="193" t="n">
        <f aca="false">(SUMPRODUCT(AJ76:AJ79,$I$70:$I$73))/1000000</f>
        <v>0</v>
      </c>
      <c r="AK102" s="193" t="n">
        <f aca="false">(SUMPRODUCT(AK76:AK79,$I$70:$I$73))/1000000</f>
        <v>0</v>
      </c>
      <c r="AL102" s="193" t="n">
        <f aca="false">(SUMPRODUCT(AL76:AL79,$I$70:$I$73))/1000000</f>
        <v>0</v>
      </c>
      <c r="AM102" s="193" t="n">
        <f aca="false">(SUMPRODUCT(AM76:AM79,$I$70:$I$73))/1000000</f>
        <v>0</v>
      </c>
      <c r="AN102" s="193" t="n">
        <f aca="false">(SUMPRODUCT(AN76:AN79,$I$70:$I$73))/1000000</f>
        <v>0</v>
      </c>
      <c r="AO102" s="193" t="n">
        <f aca="false">(SUMPRODUCT(AO76:AO79,$I$70:$I$73))/1000000</f>
        <v>0</v>
      </c>
      <c r="AP102" s="193" t="n">
        <f aca="false">(SUMPRODUCT(AP76:AP79,$I$70:$I$73))/1000000</f>
        <v>0</v>
      </c>
      <c r="AQ102" s="193" t="n">
        <f aca="false">(SUMPRODUCT(AQ76:AQ79,$I$70:$I$73))/1000000</f>
        <v>0</v>
      </c>
      <c r="AR102" s="193" t="n">
        <f aca="false">(SUMPRODUCT(AR76:AR79,$I$70:$I$73))/1000000</f>
        <v>0</v>
      </c>
      <c r="AS102" s="193" t="n">
        <f aca="false">(SUMPRODUCT(AS76:AS79,$I$70:$I$73))/1000000</f>
        <v>0</v>
      </c>
      <c r="AT102" s="193" t="n">
        <f aca="false">(SUMPRODUCT(AT76:AT79,$I$70:$I$73))/1000000</f>
        <v>0</v>
      </c>
      <c r="AU102" s="193" t="n">
        <f aca="false">(SUMPRODUCT(AU76:AU79,$I$70:$I$73))/1000000</f>
        <v>0</v>
      </c>
      <c r="AV102" s="193" t="n">
        <f aca="false">(SUMPRODUCT(AV76:AV79,$I$70:$I$73))/1000000</f>
        <v>0</v>
      </c>
      <c r="AW102" s="193" t="n">
        <f aca="false">(SUMPRODUCT(AW76:AW79,$I$70:$I$73))/1000000</f>
        <v>0</v>
      </c>
      <c r="AX102" s="193" t="n">
        <f aca="false">(SUMPRODUCT(AX76:AX79,$I$70:$I$73))/1000000</f>
        <v>0</v>
      </c>
      <c r="AY102" s="193" t="n">
        <f aca="false">(SUMPRODUCT(AY76:AY79,$I$70:$I$73))/1000000</f>
        <v>0</v>
      </c>
      <c r="AZ102" s="193" t="n">
        <f aca="false">(SUMPRODUCT(AZ76:AZ79,$I$70:$I$73))/1000000</f>
        <v>0</v>
      </c>
      <c r="BA102" s="193" t="n">
        <f aca="false">(SUMPRODUCT(BA76:BA79,$I$70:$I$73))/1000000</f>
        <v>0</v>
      </c>
      <c r="BB102" s="193" t="n">
        <f aca="false">(SUMPRODUCT(BB76:BB79,$I$70:$I$73))/1000000</f>
        <v>0</v>
      </c>
      <c r="BC102" s="193" t="n">
        <f aca="false">(SUMPRODUCT(BC76:BC79,$I$70:$I$73))/1000000</f>
        <v>0</v>
      </c>
      <c r="BD102" s="193" t="n">
        <f aca="false">(SUMPRODUCT(BD76:BD79,$I$70:$I$73))/1000000</f>
        <v>0</v>
      </c>
      <c r="BE102" s="193" t="n">
        <f aca="false">(SUMPRODUCT(BE76:BE79,$I$70:$I$73))/1000000</f>
        <v>0</v>
      </c>
      <c r="BF102" s="193" t="n">
        <f aca="false">(SUMPRODUCT(BF76:BF79,$I$70:$I$73))/1000000</f>
        <v>0</v>
      </c>
      <c r="BG102" s="193" t="n">
        <f aca="false">(SUMPRODUCT(BG76:BG79,$I$70:$I$73))/1000000</f>
        <v>0</v>
      </c>
      <c r="BH102" s="193" t="n">
        <f aca="false">(SUMPRODUCT(BH76:BH79,$I$70:$I$73))/1000000</f>
        <v>0</v>
      </c>
      <c r="BI102" s="193" t="n">
        <f aca="false">(SUMPRODUCT(BI76:BI79,$I$70:$I$73))/1000000</f>
        <v>0</v>
      </c>
      <c r="BJ102" s="193" t="n">
        <f aca="false">(SUMPRODUCT(BJ76:BJ79,$I$70:$I$73))/1000000</f>
        <v>0</v>
      </c>
      <c r="BK102" s="193" t="n">
        <f aca="false">(SUMPRODUCT(BK76:BK79,$I$70:$I$73))/1000000</f>
        <v>0</v>
      </c>
      <c r="BL102" s="193" t="n">
        <f aca="false">(SUMPRODUCT(BL76:BL79,$I$70:$I$73))/1000000</f>
        <v>0</v>
      </c>
      <c r="BM102" s="193" t="n">
        <f aca="false">(SUMPRODUCT(BM76:BM79,$I$70:$I$73))/1000000</f>
        <v>0</v>
      </c>
      <c r="BN102" s="193" t="n">
        <f aca="false">(SUMPRODUCT(BN76:BN79,$I$70:$I$73))/1000000</f>
        <v>0</v>
      </c>
      <c r="BO102" s="193" t="n">
        <f aca="false">(SUMPRODUCT(BO76:BO79,$I$70:$I$73))/1000000</f>
        <v>0</v>
      </c>
      <c r="BP102" s="193" t="n">
        <f aca="false">(SUMPRODUCT(BP76:BP79,$I$70:$I$73))/1000000</f>
        <v>0</v>
      </c>
      <c r="BQ102" s="193" t="n">
        <f aca="false">(SUMPRODUCT(BQ76:BQ79,$I$70:$I$73))/1000000</f>
        <v>0</v>
      </c>
      <c r="BR102" s="193" t="n">
        <f aca="false">(SUMPRODUCT(BR76:BR79,$I$70:$I$73))/1000000</f>
        <v>0</v>
      </c>
      <c r="BS102" s="193" t="n">
        <f aca="false">(SUMPRODUCT(BS76:BS79,$I$70:$I$73))/1000000</f>
        <v>0</v>
      </c>
      <c r="BT102" s="193" t="n">
        <f aca="false">(SUMPRODUCT(BT76:BT79,$I$70:$I$73))/1000000</f>
        <v>0</v>
      </c>
      <c r="BU102" s="193" t="n">
        <f aca="false">(SUMPRODUCT(BU76:BU79,$I$70:$I$73))/1000000</f>
        <v>0</v>
      </c>
      <c r="BV102" s="193" t="n">
        <f aca="false">(SUMPRODUCT(BV76:BV79,$I$70:$I$73))/1000000</f>
        <v>0</v>
      </c>
      <c r="BW102" s="193" t="n">
        <f aca="false">(SUMPRODUCT(BW76:BW79,$I$70:$I$73))/1000000</f>
        <v>0</v>
      </c>
      <c r="BX102" s="193" t="n">
        <f aca="false">(SUMPRODUCT(BX76:BX79,$I$70:$I$73))/1000000</f>
        <v>0</v>
      </c>
      <c r="BY102" s="193" t="n">
        <f aca="false">(SUMPRODUCT(BY76:BY79,$I$70:$I$73))/1000000</f>
        <v>0</v>
      </c>
      <c r="BZ102" s="193" t="n">
        <f aca="false">(SUMPRODUCT(BZ76:BZ79,$I$70:$I$73))/1000000</f>
        <v>0</v>
      </c>
      <c r="CA102" s="193" t="n">
        <f aca="false">(SUMPRODUCT(CA76:CA79,$I$70:$I$73))/1000000</f>
        <v>0</v>
      </c>
    </row>
    <row r="103" customFormat="false" ht="15" hidden="false" customHeight="false" outlineLevel="0" collapsed="false">
      <c r="B103" s="10" t="s">
        <v>378</v>
      </c>
      <c r="L103" s="193" t="n">
        <f aca="false">SUMIFS($T103:$CA103,$T$5:$CA$5,2026)</f>
        <v>0</v>
      </c>
      <c r="M103" s="193" t="n">
        <f aca="false">SUMIFS($T103:$CA103,$T$5:$CA$5,2027)</f>
        <v>0</v>
      </c>
      <c r="N103" s="193" t="n">
        <f aca="false">SUMIFS($T103:$CA103,$T$5:$CA$5,2028)</f>
        <v>0</v>
      </c>
      <c r="O103" s="193" t="n">
        <f aca="false">SUMIFS($T103:$CA103,$T$5:$CA$5,2029)</f>
        <v>0</v>
      </c>
      <c r="P103" s="193" t="n">
        <f aca="false">SUMIFS($T103:$CA103,$T$5:$CA$5,2030)</f>
        <v>0</v>
      </c>
      <c r="T103" s="193" t="n">
        <f aca="false">SUMPRODUCT(T93:T99,$I$84:$I$90)/1000000</f>
        <v>0</v>
      </c>
      <c r="U103" s="193" t="n">
        <f aca="false">SUMPRODUCT(U93:U99,$I$84:$I$90)/1000000</f>
        <v>0</v>
      </c>
      <c r="V103" s="193" t="n">
        <f aca="false">SUMPRODUCT(V93:V99,$I$84:$I$90)/1000000</f>
        <v>0</v>
      </c>
      <c r="W103" s="193" t="n">
        <f aca="false">SUMPRODUCT(W93:W99,$I$84:$I$90)/1000000</f>
        <v>0</v>
      </c>
      <c r="X103" s="193" t="n">
        <f aca="false">SUMPRODUCT(X93:X99,$I$84:$I$90)/1000000</f>
        <v>0</v>
      </c>
      <c r="Y103" s="193" t="n">
        <f aca="false">SUMPRODUCT(Y93:Y99,$I$84:$I$90)/1000000</f>
        <v>0</v>
      </c>
      <c r="Z103" s="193" t="n">
        <f aca="false">SUMPRODUCT(Z93:Z99,$I$84:$I$90)/1000000</f>
        <v>0</v>
      </c>
      <c r="AA103" s="193" t="n">
        <f aca="false">SUMPRODUCT(AA93:AA99,$I$84:$I$90)/1000000</f>
        <v>0</v>
      </c>
      <c r="AB103" s="193" t="n">
        <f aca="false">SUMPRODUCT(AB93:AB99,$I$84:$I$90)/1000000</f>
        <v>0</v>
      </c>
      <c r="AC103" s="193" t="n">
        <f aca="false">SUMPRODUCT(AC93:AC99,$I$84:$I$90)/1000000</f>
        <v>0</v>
      </c>
      <c r="AD103" s="193" t="n">
        <f aca="false">SUMPRODUCT(AD93:AD99,$I$84:$I$90)/1000000</f>
        <v>0</v>
      </c>
      <c r="AE103" s="193" t="n">
        <f aca="false">SUMPRODUCT(AE93:AE99,$I$84:$I$90)/1000000</f>
        <v>0</v>
      </c>
      <c r="AF103" s="193" t="n">
        <f aca="false">SUMPRODUCT(AF93:AF99,$I$84:$I$90)/1000000</f>
        <v>0</v>
      </c>
      <c r="AG103" s="193" t="n">
        <f aca="false">SUMPRODUCT(AG93:AG99,$I$84:$I$90)/1000000</f>
        <v>0</v>
      </c>
      <c r="AH103" s="193" t="n">
        <f aca="false">SUMPRODUCT(AH93:AH99,$I$84:$I$90)/1000000</f>
        <v>0</v>
      </c>
      <c r="AI103" s="193" t="n">
        <f aca="false">SUMPRODUCT(AI93:AI99,$I$84:$I$90)/1000000</f>
        <v>0</v>
      </c>
      <c r="AJ103" s="193" t="n">
        <f aca="false">SUMPRODUCT(AJ93:AJ99,$I$84:$I$90)/1000000</f>
        <v>0</v>
      </c>
      <c r="AK103" s="193" t="n">
        <f aca="false">SUMPRODUCT(AK93:AK99,$I$84:$I$90)/1000000</f>
        <v>0</v>
      </c>
      <c r="AL103" s="193" t="n">
        <f aca="false">SUMPRODUCT(AL93:AL99,$I$84:$I$90)/1000000</f>
        <v>0</v>
      </c>
      <c r="AM103" s="193" t="n">
        <f aca="false">SUMPRODUCT(AM93:AM99,$I$84:$I$90)/1000000</f>
        <v>0</v>
      </c>
      <c r="AN103" s="193" t="n">
        <f aca="false">SUMPRODUCT(AN93:AN99,$I$84:$I$90)/1000000</f>
        <v>0</v>
      </c>
      <c r="AO103" s="193" t="n">
        <f aca="false">SUMPRODUCT(AO93:AO99,$I$84:$I$90)/1000000</f>
        <v>0</v>
      </c>
      <c r="AP103" s="193" t="n">
        <f aca="false">SUMPRODUCT(AP93:AP99,$I$84:$I$90)/1000000</f>
        <v>0</v>
      </c>
      <c r="AQ103" s="193" t="n">
        <f aca="false">SUMPRODUCT(AQ93:AQ99,$I$84:$I$90)/1000000</f>
        <v>0</v>
      </c>
      <c r="AR103" s="193" t="n">
        <f aca="false">SUMPRODUCT(AR93:AR99,$I$84:$I$90)/1000000</f>
        <v>0</v>
      </c>
      <c r="AS103" s="193" t="n">
        <f aca="false">SUMPRODUCT(AS93:AS99,$I$84:$I$90)/1000000</f>
        <v>0</v>
      </c>
      <c r="AT103" s="193" t="n">
        <f aca="false">SUMPRODUCT(AT93:AT99,$I$84:$I$90)/1000000</f>
        <v>0</v>
      </c>
      <c r="AU103" s="193" t="n">
        <f aca="false">SUMPRODUCT(AU93:AU99,$I$84:$I$90)/1000000</f>
        <v>0</v>
      </c>
      <c r="AV103" s="193" t="n">
        <f aca="false">SUMPRODUCT(AV93:AV99,$I$84:$I$90)/1000000</f>
        <v>0</v>
      </c>
      <c r="AW103" s="193" t="n">
        <f aca="false">SUMPRODUCT(AW93:AW99,$I$84:$I$90)/1000000</f>
        <v>0</v>
      </c>
      <c r="AX103" s="193" t="n">
        <f aca="false">SUMPRODUCT(AX93:AX99,$I$84:$I$90)/1000000</f>
        <v>0</v>
      </c>
      <c r="AY103" s="193" t="n">
        <f aca="false">SUMPRODUCT(AY93:AY99,$I$84:$I$90)/1000000</f>
        <v>0</v>
      </c>
      <c r="AZ103" s="193" t="n">
        <f aca="false">SUMPRODUCT(AZ93:AZ99,$I$84:$I$90)/1000000</f>
        <v>0</v>
      </c>
      <c r="BA103" s="193" t="n">
        <f aca="false">SUMPRODUCT(BA93:BA99,$I$84:$I$90)/1000000</f>
        <v>0</v>
      </c>
      <c r="BB103" s="193" t="n">
        <f aca="false">SUMPRODUCT(BB93:BB99,$I$84:$I$90)/1000000</f>
        <v>0</v>
      </c>
      <c r="BC103" s="193" t="n">
        <f aca="false">SUMPRODUCT(BC93:BC99,$I$84:$I$90)/1000000</f>
        <v>0</v>
      </c>
      <c r="BD103" s="193" t="n">
        <f aca="false">SUMPRODUCT(BD93:BD99,$I$84:$I$90)/1000000</f>
        <v>0</v>
      </c>
      <c r="BE103" s="193" t="n">
        <f aca="false">SUMPRODUCT(BE93:BE99,$I$84:$I$90)/1000000</f>
        <v>0</v>
      </c>
      <c r="BF103" s="193" t="n">
        <f aca="false">SUMPRODUCT(BF93:BF99,$I$84:$I$90)/1000000</f>
        <v>0</v>
      </c>
      <c r="BG103" s="193" t="n">
        <f aca="false">SUMPRODUCT(BG93:BG99,$I$84:$I$90)/1000000</f>
        <v>0</v>
      </c>
      <c r="BH103" s="193" t="n">
        <f aca="false">SUMPRODUCT(BH93:BH99,$I$84:$I$90)/1000000</f>
        <v>0</v>
      </c>
      <c r="BI103" s="193" t="n">
        <f aca="false">SUMPRODUCT(BI93:BI99,$I$84:$I$90)/1000000</f>
        <v>0</v>
      </c>
      <c r="BJ103" s="193" t="n">
        <f aca="false">SUMPRODUCT(BJ93:BJ99,$I$84:$I$90)/1000000</f>
        <v>0</v>
      </c>
      <c r="BK103" s="193" t="n">
        <f aca="false">SUMPRODUCT(BK93:BK99,$I$84:$I$90)/1000000</f>
        <v>0</v>
      </c>
      <c r="BL103" s="193" t="n">
        <f aca="false">SUMPRODUCT(BL93:BL99,$I$84:$I$90)/1000000</f>
        <v>0</v>
      </c>
      <c r="BM103" s="193" t="n">
        <f aca="false">SUMPRODUCT(BM93:BM99,$I$84:$I$90)/1000000</f>
        <v>0</v>
      </c>
      <c r="BN103" s="193" t="n">
        <f aca="false">SUMPRODUCT(BN93:BN99,$I$84:$I$90)/1000000</f>
        <v>0</v>
      </c>
      <c r="BO103" s="193" t="n">
        <f aca="false">SUMPRODUCT(BO93:BO99,$I$84:$I$90)/1000000</f>
        <v>0</v>
      </c>
      <c r="BP103" s="193" t="n">
        <f aca="false">SUMPRODUCT(BP93:BP99,$I$84:$I$90)/1000000</f>
        <v>0</v>
      </c>
      <c r="BQ103" s="193" t="n">
        <f aca="false">SUMPRODUCT(BQ93:BQ99,$I$84:$I$90)/1000000</f>
        <v>0</v>
      </c>
      <c r="BR103" s="193" t="n">
        <f aca="false">SUMPRODUCT(BR93:BR99,$I$84:$I$90)/1000000</f>
        <v>0</v>
      </c>
      <c r="BS103" s="193" t="n">
        <f aca="false">SUMPRODUCT(BS93:BS99,$I$84:$I$90)/1000000</f>
        <v>0</v>
      </c>
      <c r="BT103" s="193" t="n">
        <f aca="false">SUMPRODUCT(BT93:BT99,$I$84:$I$90)/1000000</f>
        <v>0</v>
      </c>
      <c r="BU103" s="193" t="n">
        <f aca="false">SUMPRODUCT(BU93:BU99,$I$84:$I$90)/1000000</f>
        <v>0</v>
      </c>
      <c r="BV103" s="193" t="n">
        <f aca="false">SUMPRODUCT(BV93:BV99,$I$84:$I$90)/1000000</f>
        <v>0</v>
      </c>
      <c r="BW103" s="193" t="n">
        <f aca="false">SUMPRODUCT(BW93:BW99,$I$84:$I$90)/1000000</f>
        <v>0</v>
      </c>
      <c r="BX103" s="193" t="n">
        <f aca="false">SUMPRODUCT(BX93:BX99,$I$84:$I$90)/1000000</f>
        <v>0</v>
      </c>
      <c r="BY103" s="193" t="n">
        <f aca="false">SUMPRODUCT(BY93:BY99,$I$84:$I$90)/1000000</f>
        <v>0</v>
      </c>
      <c r="BZ103" s="193" t="n">
        <f aca="false">SUMPRODUCT(BZ93:BZ99,$I$84:$I$90)/1000000</f>
        <v>0</v>
      </c>
      <c r="CA103" s="193" t="n">
        <f aca="false">SUMPRODUCT(CA93:CA99,$I$84:$I$90)/1000000</f>
        <v>0</v>
      </c>
    </row>
    <row r="104" customFormat="false" ht="15" hidden="false" customHeight="false" outlineLevel="0" collapsed="false">
      <c r="B104" s="10" t="s">
        <v>379</v>
      </c>
      <c r="L104" s="193" t="n">
        <f aca="false">SUMIFS($T104:$CA104,$T$5:$CA$5,2026)</f>
        <v>0</v>
      </c>
      <c r="M104" s="193" t="n">
        <f aca="false">SUMIFS($T104:$CA104,$T$5:$CA$5,2027)</f>
        <v>1.39333333333333</v>
      </c>
      <c r="N104" s="193" t="n">
        <f aca="false">SUMIFS($T104:$CA104,$T$5:$CA$5,2028)</f>
        <v>0.366666666666667</v>
      </c>
      <c r="O104" s="193" t="n">
        <f aca="false">SUMIFS($T104:$CA104,$T$5:$CA$5,2029)</f>
        <v>0</v>
      </c>
      <c r="P104" s="193" t="n">
        <f aca="false">SUMIFS($T104:$CA104,$T$5:$CA$5,2030)</f>
        <v>0</v>
      </c>
      <c r="T104" s="193" t="n">
        <f aca="false">(SUMPRODUCT(T76:T79,1-$I$70:$I$73))/1000000</f>
        <v>0</v>
      </c>
      <c r="U104" s="193" t="n">
        <f aca="false">(SUMPRODUCT(U76:U79,1-$I$70:$I$73))/1000000</f>
        <v>0</v>
      </c>
      <c r="V104" s="193" t="n">
        <f aca="false">(SUMPRODUCT(V76:V79,1-$I$70:$I$73))/1000000</f>
        <v>0</v>
      </c>
      <c r="W104" s="193" t="n">
        <f aca="false">(SUMPRODUCT(W76:W79,1-$I$70:$I$73))/1000000</f>
        <v>0</v>
      </c>
      <c r="X104" s="193" t="n">
        <f aca="false">(SUMPRODUCT(X76:X79,1-$I$70:$I$73))/1000000</f>
        <v>0</v>
      </c>
      <c r="Y104" s="193" t="n">
        <f aca="false">(SUMPRODUCT(Y76:Y79,1-$I$70:$I$73))/1000000</f>
        <v>0</v>
      </c>
      <c r="Z104" s="193" t="n">
        <f aca="false">(SUMPRODUCT(Z76:Z79,1-$I$70:$I$73))/1000000</f>
        <v>0</v>
      </c>
      <c r="AA104" s="193" t="n">
        <f aca="false">(SUMPRODUCT(AA76:AA79,1-$I$70:$I$73))/1000000</f>
        <v>0</v>
      </c>
      <c r="AB104" s="193" t="n">
        <f aca="false">(SUMPRODUCT(AB76:AB79,1-$I$70:$I$73))/1000000</f>
        <v>0</v>
      </c>
      <c r="AC104" s="193" t="n">
        <f aca="false">(SUMPRODUCT(AC76:AC79,1-$I$70:$I$73))/1000000</f>
        <v>0</v>
      </c>
      <c r="AD104" s="193" t="n">
        <f aca="false">(SUMPRODUCT(AD76:AD79,1-$I$70:$I$73))/1000000</f>
        <v>0</v>
      </c>
      <c r="AE104" s="193" t="n">
        <f aca="false">(SUMPRODUCT(AE76:AE79,1-$I$70:$I$73))/1000000</f>
        <v>0</v>
      </c>
      <c r="AF104" s="193" t="n">
        <f aca="false">(SUMPRODUCT(AF76:AF79,1-$I$70:$I$73))/1000000</f>
        <v>0.0733333333333334</v>
      </c>
      <c r="AG104" s="193" t="n">
        <f aca="false">(SUMPRODUCT(AG76:AG79,1-$I$70:$I$73))/1000000</f>
        <v>0.0733333333333334</v>
      </c>
      <c r="AH104" s="193" t="n">
        <f aca="false">(SUMPRODUCT(AH76:AH79,1-$I$70:$I$73))/1000000</f>
        <v>0.146666666666667</v>
      </c>
      <c r="AI104" s="193" t="n">
        <f aca="false">(SUMPRODUCT(AI76:AI79,1-$I$70:$I$73))/1000000</f>
        <v>0.146666666666667</v>
      </c>
      <c r="AJ104" s="193" t="n">
        <f aca="false">(SUMPRODUCT(AJ76:AJ79,1-$I$70:$I$73))/1000000</f>
        <v>0.146666666666667</v>
      </c>
      <c r="AK104" s="193" t="n">
        <f aca="false">(SUMPRODUCT(AK76:AK79,1-$I$70:$I$73))/1000000</f>
        <v>0.146666666666667</v>
      </c>
      <c r="AL104" s="193" t="n">
        <f aca="false">(SUMPRODUCT(AL76:AL79,1-$I$70:$I$73))/1000000</f>
        <v>0.146666666666667</v>
      </c>
      <c r="AM104" s="193" t="n">
        <f aca="false">(SUMPRODUCT(AM76:AM79,1-$I$70:$I$73))/1000000</f>
        <v>0.146666666666667</v>
      </c>
      <c r="AN104" s="193" t="n">
        <f aca="false">(SUMPRODUCT(AN76:AN79,1-$I$70:$I$73))/1000000</f>
        <v>0.0916666666666667</v>
      </c>
      <c r="AO104" s="193" t="n">
        <f aca="false">(SUMPRODUCT(AO76:AO79,1-$I$70:$I$73))/1000000</f>
        <v>0.0916666666666667</v>
      </c>
      <c r="AP104" s="193" t="n">
        <f aca="false">(SUMPRODUCT(AP76:AP79,1-$I$70:$I$73))/1000000</f>
        <v>0.0916666666666667</v>
      </c>
      <c r="AQ104" s="193" t="n">
        <f aca="false">(SUMPRODUCT(AQ76:AQ79,1-$I$70:$I$73))/1000000</f>
        <v>0.0916666666666667</v>
      </c>
      <c r="AR104" s="193" t="n">
        <f aca="false">(SUMPRODUCT(AR76:AR79,1-$I$70:$I$73))/1000000</f>
        <v>0.0916666666666667</v>
      </c>
      <c r="AS104" s="193" t="n">
        <f aca="false">(SUMPRODUCT(AS76:AS79,1-$I$70:$I$73))/1000000</f>
        <v>0.0916666666666667</v>
      </c>
      <c r="AT104" s="193" t="n">
        <f aca="false">(SUMPRODUCT(AT76:AT79,1-$I$70:$I$73))/1000000</f>
        <v>0.0916666666666667</v>
      </c>
      <c r="AU104" s="193" t="n">
        <f aca="false">(SUMPRODUCT(AU76:AU79,1-$I$70:$I$73))/1000000</f>
        <v>0.0916666666666667</v>
      </c>
      <c r="AV104" s="193" t="n">
        <f aca="false">(SUMPRODUCT(AV76:AV79,1-$I$70:$I$73))/1000000</f>
        <v>0</v>
      </c>
      <c r="AW104" s="193" t="n">
        <f aca="false">(SUMPRODUCT(AW76:AW79,1-$I$70:$I$73))/1000000</f>
        <v>0</v>
      </c>
      <c r="AX104" s="193" t="n">
        <f aca="false">(SUMPRODUCT(AX76:AX79,1-$I$70:$I$73))/1000000</f>
        <v>0</v>
      </c>
      <c r="AY104" s="193" t="n">
        <f aca="false">(SUMPRODUCT(AY76:AY79,1-$I$70:$I$73))/1000000</f>
        <v>0</v>
      </c>
      <c r="AZ104" s="193" t="n">
        <f aca="false">(SUMPRODUCT(AZ76:AZ79,1-$I$70:$I$73))/1000000</f>
        <v>0</v>
      </c>
      <c r="BA104" s="193" t="n">
        <f aca="false">(SUMPRODUCT(BA76:BA79,1-$I$70:$I$73))/1000000</f>
        <v>0</v>
      </c>
      <c r="BB104" s="193" t="n">
        <f aca="false">(SUMPRODUCT(BB76:BB79,1-$I$70:$I$73))/1000000</f>
        <v>0</v>
      </c>
      <c r="BC104" s="193" t="n">
        <f aca="false">(SUMPRODUCT(BC76:BC79,1-$I$70:$I$73))/1000000</f>
        <v>0</v>
      </c>
      <c r="BD104" s="193" t="n">
        <f aca="false">(SUMPRODUCT(BD76:BD79,1-$I$70:$I$73))/1000000</f>
        <v>0</v>
      </c>
      <c r="BE104" s="193" t="n">
        <f aca="false">(SUMPRODUCT(BE76:BE79,1-$I$70:$I$73))/1000000</f>
        <v>0</v>
      </c>
      <c r="BF104" s="193" t="n">
        <f aca="false">(SUMPRODUCT(BF76:BF79,1-$I$70:$I$73))/1000000</f>
        <v>0</v>
      </c>
      <c r="BG104" s="193" t="n">
        <f aca="false">(SUMPRODUCT(BG76:BG79,1-$I$70:$I$73))/1000000</f>
        <v>0</v>
      </c>
      <c r="BH104" s="193" t="n">
        <f aca="false">(SUMPRODUCT(BH76:BH79,1-$I$70:$I$73))/1000000</f>
        <v>0</v>
      </c>
      <c r="BI104" s="193" t="n">
        <f aca="false">(SUMPRODUCT(BI76:BI79,1-$I$70:$I$73))/1000000</f>
        <v>0</v>
      </c>
      <c r="BJ104" s="193" t="n">
        <f aca="false">(SUMPRODUCT(BJ76:BJ79,1-$I$70:$I$73))/1000000</f>
        <v>0</v>
      </c>
      <c r="BK104" s="193" t="n">
        <f aca="false">(SUMPRODUCT(BK76:BK79,1-$I$70:$I$73))/1000000</f>
        <v>0</v>
      </c>
      <c r="BL104" s="193" t="n">
        <f aca="false">(SUMPRODUCT(BL76:BL79,1-$I$70:$I$73))/1000000</f>
        <v>0</v>
      </c>
      <c r="BM104" s="193" t="n">
        <f aca="false">(SUMPRODUCT(BM76:BM79,1-$I$70:$I$73))/1000000</f>
        <v>0</v>
      </c>
      <c r="BN104" s="193" t="n">
        <f aca="false">(SUMPRODUCT(BN76:BN79,1-$I$70:$I$73))/1000000</f>
        <v>0</v>
      </c>
      <c r="BO104" s="193" t="n">
        <f aca="false">(SUMPRODUCT(BO76:BO79,1-$I$70:$I$73))/1000000</f>
        <v>0</v>
      </c>
      <c r="BP104" s="193" t="n">
        <f aca="false">(SUMPRODUCT(BP76:BP79,1-$I$70:$I$73))/1000000</f>
        <v>0</v>
      </c>
      <c r="BQ104" s="193" t="n">
        <f aca="false">(SUMPRODUCT(BQ76:BQ79,1-$I$70:$I$73))/1000000</f>
        <v>0</v>
      </c>
      <c r="BR104" s="193" t="n">
        <f aca="false">(SUMPRODUCT(BR76:BR79,1-$I$70:$I$73))/1000000</f>
        <v>0</v>
      </c>
      <c r="BS104" s="193" t="n">
        <f aca="false">(SUMPRODUCT(BS76:BS79,1-$I$70:$I$73))/1000000</f>
        <v>0</v>
      </c>
      <c r="BT104" s="193" t="n">
        <f aca="false">(SUMPRODUCT(BT76:BT79,1-$I$70:$I$73))/1000000</f>
        <v>0</v>
      </c>
      <c r="BU104" s="193" t="n">
        <f aca="false">(SUMPRODUCT(BU76:BU79,1-$I$70:$I$73))/1000000</f>
        <v>0</v>
      </c>
      <c r="BV104" s="193" t="n">
        <f aca="false">(SUMPRODUCT(BV76:BV79,1-$I$70:$I$73))/1000000</f>
        <v>0</v>
      </c>
      <c r="BW104" s="193" t="n">
        <f aca="false">(SUMPRODUCT(BW76:BW79,1-$I$70:$I$73))/1000000</f>
        <v>0</v>
      </c>
      <c r="BX104" s="193" t="n">
        <f aca="false">(SUMPRODUCT(BX76:BX79,1-$I$70:$I$73))/1000000</f>
        <v>0</v>
      </c>
      <c r="BY104" s="193" t="n">
        <f aca="false">(SUMPRODUCT(BY76:BY79,1-$I$70:$I$73))/1000000</f>
        <v>0</v>
      </c>
      <c r="BZ104" s="193" t="n">
        <f aca="false">(SUMPRODUCT(BZ76:BZ79,1-$I$70:$I$73))/1000000</f>
        <v>0</v>
      </c>
      <c r="CA104" s="193" t="n">
        <f aca="false">(SUMPRODUCT(CA76:CA79,1-$I$70:$I$73))/1000000</f>
        <v>0</v>
      </c>
    </row>
    <row r="105" customFormat="false" ht="15" hidden="false" customHeight="false" outlineLevel="0" collapsed="false">
      <c r="B105" s="10" t="s">
        <v>380</v>
      </c>
      <c r="L105" s="193" t="n">
        <f aca="false">SUMIFS($T105:$CA105,$T$5:$CA$5,2026)</f>
        <v>0</v>
      </c>
      <c r="M105" s="193" t="n">
        <f aca="false">SUMIFS($T105:$CA105,$T$5:$CA$5,2027)</f>
        <v>0.85289</v>
      </c>
      <c r="N105" s="193" t="n">
        <f aca="false">SUMIFS($T105:$CA105,$T$5:$CA$5,2028)</f>
        <v>0.10763</v>
      </c>
      <c r="O105" s="193" t="n">
        <f aca="false">SUMIFS($T105:$CA105,$T$5:$CA$5,2029)</f>
        <v>0</v>
      </c>
      <c r="P105" s="193" t="n">
        <f aca="false">SUMIFS($T105:$CA105,$T$5:$CA$5,2030)</f>
        <v>0</v>
      </c>
      <c r="T105" s="193" t="n">
        <f aca="false">SUMPRODUCT(T93:T99,1-$I$84:$I$90)/1000000</f>
        <v>0</v>
      </c>
      <c r="U105" s="193" t="n">
        <f aca="false">SUMPRODUCT(U93:U99,1-$I$84:$I$90)/1000000</f>
        <v>0</v>
      </c>
      <c r="V105" s="193" t="n">
        <f aca="false">SUMPRODUCT(V93:V99,1-$I$84:$I$90)/1000000</f>
        <v>0</v>
      </c>
      <c r="W105" s="193" t="n">
        <f aca="false">SUMPRODUCT(W93:W99,1-$I$84:$I$90)/1000000</f>
        <v>0</v>
      </c>
      <c r="X105" s="193" t="n">
        <f aca="false">SUMPRODUCT(X93:X99,1-$I$84:$I$90)/1000000</f>
        <v>0</v>
      </c>
      <c r="Y105" s="193" t="n">
        <f aca="false">SUMPRODUCT(Y93:Y99,1-$I$84:$I$90)/1000000</f>
        <v>0</v>
      </c>
      <c r="Z105" s="193" t="n">
        <f aca="false">SUMPRODUCT(Z93:Z99,1-$I$84:$I$90)/1000000</f>
        <v>0</v>
      </c>
      <c r="AA105" s="193" t="n">
        <f aca="false">SUMPRODUCT(AA93:AA99,1-$I$84:$I$90)/1000000</f>
        <v>0</v>
      </c>
      <c r="AB105" s="193" t="n">
        <f aca="false">SUMPRODUCT(AB93:AB99,1-$I$84:$I$90)/1000000</f>
        <v>0</v>
      </c>
      <c r="AC105" s="193" t="n">
        <f aca="false">SUMPRODUCT(AC93:AC99,1-$I$84:$I$90)/1000000</f>
        <v>0</v>
      </c>
      <c r="AD105" s="193" t="n">
        <f aca="false">SUMPRODUCT(AD93:AD99,1-$I$84:$I$90)/1000000</f>
        <v>0</v>
      </c>
      <c r="AE105" s="193" t="n">
        <f aca="false">SUMPRODUCT(AE93:AE99,1-$I$84:$I$90)/1000000</f>
        <v>0</v>
      </c>
      <c r="AF105" s="193" t="n">
        <f aca="false">SUMPRODUCT(AF93:AF99,1-$I$84:$I$90)/1000000</f>
        <v>0.0269075</v>
      </c>
      <c r="AG105" s="193" t="n">
        <f aca="false">SUMPRODUCT(AG93:AG99,1-$I$84:$I$90)/1000000</f>
        <v>0.0269075</v>
      </c>
      <c r="AH105" s="193" t="n">
        <f aca="false">SUMPRODUCT(AH93:AH99,1-$I$84:$I$90)/1000000</f>
        <v>0.1419075</v>
      </c>
      <c r="AI105" s="193" t="n">
        <f aca="false">SUMPRODUCT(AI93:AI99,1-$I$84:$I$90)/1000000</f>
        <v>0.1419075</v>
      </c>
      <c r="AJ105" s="193" t="n">
        <f aca="false">SUMPRODUCT(AJ93:AJ99,1-$I$84:$I$90)/1000000</f>
        <v>0.1019075</v>
      </c>
      <c r="AK105" s="193" t="n">
        <f aca="false">SUMPRODUCT(AK93:AK99,1-$I$84:$I$90)/1000000</f>
        <v>0.1019075</v>
      </c>
      <c r="AL105" s="193" t="n">
        <f aca="false">SUMPRODUCT(AL93:AL99,1-$I$84:$I$90)/1000000</f>
        <v>0.1019075</v>
      </c>
      <c r="AM105" s="193" t="n">
        <f aca="false">SUMPRODUCT(AM93:AM99,1-$I$84:$I$90)/1000000</f>
        <v>0.1019075</v>
      </c>
      <c r="AN105" s="193" t="n">
        <f aca="false">SUMPRODUCT(AN93:AN99,1-$I$84:$I$90)/1000000</f>
        <v>0.0269075</v>
      </c>
      <c r="AO105" s="193" t="n">
        <f aca="false">SUMPRODUCT(AO93:AO99,1-$I$84:$I$90)/1000000</f>
        <v>0.0269075</v>
      </c>
      <c r="AP105" s="193" t="n">
        <f aca="false">SUMPRODUCT(AP93:AP99,1-$I$84:$I$90)/1000000</f>
        <v>0.0269075</v>
      </c>
      <c r="AQ105" s="193" t="n">
        <f aca="false">SUMPRODUCT(AQ93:AQ99,1-$I$84:$I$90)/1000000</f>
        <v>0.0269075</v>
      </c>
      <c r="AR105" s="193" t="n">
        <f aca="false">SUMPRODUCT(AR93:AR99,1-$I$84:$I$90)/1000000</f>
        <v>0.0269075</v>
      </c>
      <c r="AS105" s="193" t="n">
        <f aca="false">SUMPRODUCT(AS93:AS99,1-$I$84:$I$90)/1000000</f>
        <v>0.0269075</v>
      </c>
      <c r="AT105" s="193" t="n">
        <f aca="false">SUMPRODUCT(AT93:AT99,1-$I$84:$I$90)/1000000</f>
        <v>0.0269075</v>
      </c>
      <c r="AU105" s="193" t="n">
        <f aca="false">SUMPRODUCT(AU93:AU99,1-$I$84:$I$90)/1000000</f>
        <v>0.0269075</v>
      </c>
      <c r="AV105" s="193" t="n">
        <f aca="false">SUMPRODUCT(AV93:AV99,1-$I$84:$I$90)/1000000</f>
        <v>0</v>
      </c>
      <c r="AW105" s="193" t="n">
        <f aca="false">SUMPRODUCT(AW93:AW99,1-$I$84:$I$90)/1000000</f>
        <v>0</v>
      </c>
      <c r="AX105" s="193" t="n">
        <f aca="false">SUMPRODUCT(AX93:AX99,1-$I$84:$I$90)/1000000</f>
        <v>0</v>
      </c>
      <c r="AY105" s="193" t="n">
        <f aca="false">SUMPRODUCT(AY93:AY99,1-$I$84:$I$90)/1000000</f>
        <v>0</v>
      </c>
      <c r="AZ105" s="193" t="n">
        <f aca="false">SUMPRODUCT(AZ93:AZ99,1-$I$84:$I$90)/1000000</f>
        <v>0</v>
      </c>
      <c r="BA105" s="193" t="n">
        <f aca="false">SUMPRODUCT(BA93:BA99,1-$I$84:$I$90)/1000000</f>
        <v>0</v>
      </c>
      <c r="BB105" s="193" t="n">
        <f aca="false">SUMPRODUCT(BB93:BB99,1-$I$84:$I$90)/1000000</f>
        <v>0</v>
      </c>
      <c r="BC105" s="193" t="n">
        <f aca="false">SUMPRODUCT(BC93:BC99,1-$I$84:$I$90)/1000000</f>
        <v>0</v>
      </c>
      <c r="BD105" s="193" t="n">
        <f aca="false">SUMPRODUCT(BD93:BD99,1-$I$84:$I$90)/1000000</f>
        <v>0</v>
      </c>
      <c r="BE105" s="193" t="n">
        <f aca="false">SUMPRODUCT(BE93:BE99,1-$I$84:$I$90)/1000000</f>
        <v>0</v>
      </c>
      <c r="BF105" s="193" t="n">
        <f aca="false">SUMPRODUCT(BF93:BF99,1-$I$84:$I$90)/1000000</f>
        <v>0</v>
      </c>
      <c r="BG105" s="193" t="n">
        <f aca="false">SUMPRODUCT(BG93:BG99,1-$I$84:$I$90)/1000000</f>
        <v>0</v>
      </c>
      <c r="BH105" s="193" t="n">
        <f aca="false">SUMPRODUCT(BH93:BH99,1-$I$84:$I$90)/1000000</f>
        <v>0</v>
      </c>
      <c r="BI105" s="193" t="n">
        <f aca="false">SUMPRODUCT(BI93:BI99,1-$I$84:$I$90)/1000000</f>
        <v>0</v>
      </c>
      <c r="BJ105" s="193" t="n">
        <f aca="false">SUMPRODUCT(BJ93:BJ99,1-$I$84:$I$90)/1000000</f>
        <v>0</v>
      </c>
      <c r="BK105" s="193" t="n">
        <f aca="false">SUMPRODUCT(BK93:BK99,1-$I$84:$I$90)/1000000</f>
        <v>0</v>
      </c>
      <c r="BL105" s="193" t="n">
        <f aca="false">SUMPRODUCT(BL93:BL99,1-$I$84:$I$90)/1000000</f>
        <v>0</v>
      </c>
      <c r="BM105" s="193" t="n">
        <f aca="false">SUMPRODUCT(BM93:BM99,1-$I$84:$I$90)/1000000</f>
        <v>0</v>
      </c>
      <c r="BN105" s="193" t="n">
        <f aca="false">SUMPRODUCT(BN93:BN99,1-$I$84:$I$90)/1000000</f>
        <v>0</v>
      </c>
      <c r="BO105" s="193" t="n">
        <f aca="false">SUMPRODUCT(BO93:BO99,1-$I$84:$I$90)/1000000</f>
        <v>0</v>
      </c>
      <c r="BP105" s="193" t="n">
        <f aca="false">SUMPRODUCT(BP93:BP99,1-$I$84:$I$90)/1000000</f>
        <v>0</v>
      </c>
      <c r="BQ105" s="193" t="n">
        <f aca="false">SUMPRODUCT(BQ93:BQ99,1-$I$84:$I$90)/1000000</f>
        <v>0</v>
      </c>
      <c r="BR105" s="193" t="n">
        <f aca="false">SUMPRODUCT(BR93:BR99,1-$I$84:$I$90)/1000000</f>
        <v>0</v>
      </c>
      <c r="BS105" s="193" t="n">
        <f aca="false">SUMPRODUCT(BS93:BS99,1-$I$84:$I$90)/1000000</f>
        <v>0</v>
      </c>
      <c r="BT105" s="193" t="n">
        <f aca="false">SUMPRODUCT(BT93:BT99,1-$I$84:$I$90)/1000000</f>
        <v>0</v>
      </c>
      <c r="BU105" s="193" t="n">
        <f aca="false">SUMPRODUCT(BU93:BU99,1-$I$84:$I$90)/1000000</f>
        <v>0</v>
      </c>
      <c r="BV105" s="193" t="n">
        <f aca="false">SUMPRODUCT(BV93:BV99,1-$I$84:$I$90)/1000000</f>
        <v>0</v>
      </c>
      <c r="BW105" s="193" t="n">
        <f aca="false">SUMPRODUCT(BW93:BW99,1-$I$84:$I$90)/1000000</f>
        <v>0</v>
      </c>
      <c r="BX105" s="193" t="n">
        <f aca="false">SUMPRODUCT(BX93:BX99,1-$I$84:$I$90)/1000000</f>
        <v>0</v>
      </c>
      <c r="BY105" s="193" t="n">
        <f aca="false">SUMPRODUCT(BY93:BY99,1-$I$84:$I$90)/1000000</f>
        <v>0</v>
      </c>
      <c r="BZ105" s="193" t="n">
        <f aca="false">SUMPRODUCT(BZ93:BZ99,1-$I$84:$I$90)/1000000</f>
        <v>0</v>
      </c>
      <c r="CA105" s="193" t="n">
        <f aca="false">SUMPRODUCT(CA93:CA99,1-$I$84:$I$90)/1000000</f>
        <v>0</v>
      </c>
    </row>
    <row r="106" customFormat="false" ht="15" hidden="false" customHeight="false" outlineLevel="0" collapsed="false">
      <c r="B106" s="3" t="s">
        <v>381</v>
      </c>
      <c r="L106" s="193" t="n">
        <f aca="false">SUM(L102:L105)</f>
        <v>0</v>
      </c>
      <c r="M106" s="193" t="n">
        <f aca="false">SUM(M102:M105)</f>
        <v>2.24622333333333</v>
      </c>
      <c r="N106" s="193" t="n">
        <f aca="false">SUM(N102:N105)</f>
        <v>0.474296666666667</v>
      </c>
      <c r="O106" s="193" t="n">
        <f aca="false">SUM(O102:O105)</f>
        <v>0</v>
      </c>
      <c r="P106" s="193" t="n">
        <f aca="false">SUM(P102:P105)</f>
        <v>0</v>
      </c>
    </row>
    <row r="108" customFormat="false" ht="18" hidden="false" customHeight="true" outlineLevel="0" collapsed="false">
      <c r="B108" s="5" t="s">
        <v>382</v>
      </c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10" customFormat="false" ht="22.35" hidden="false" customHeight="false" outlineLevel="0" collapsed="false">
      <c r="B110" s="169" t="s">
        <v>383</v>
      </c>
      <c r="C110" s="169" t="s">
        <v>353</v>
      </c>
      <c r="D110" s="169" t="s">
        <v>384</v>
      </c>
      <c r="H110" s="169" t="s">
        <v>333</v>
      </c>
      <c r="I110" s="169" t="s">
        <v>385</v>
      </c>
    </row>
    <row r="111" customFormat="false" ht="28.35" hidden="false" customHeight="false" outlineLevel="0" collapsed="false">
      <c r="B111" s="10" t="s">
        <v>466</v>
      </c>
      <c r="C111" s="194" t="s">
        <v>716</v>
      </c>
      <c r="D111" s="158" t="n">
        <v>400000</v>
      </c>
      <c r="H111" s="178" t="n">
        <f aca="false">DATE(2027,9,1)</f>
        <v>46631</v>
      </c>
      <c r="I111" s="9" t="s">
        <v>468</v>
      </c>
    </row>
    <row r="112" customFormat="false" ht="15" hidden="false" customHeight="false" outlineLevel="0" collapsed="false">
      <c r="B112" s="10" t="s">
        <v>469</v>
      </c>
      <c r="C112" s="194" t="s">
        <v>390</v>
      </c>
      <c r="D112" s="158" t="n">
        <v>200000</v>
      </c>
      <c r="H112" s="178" t="n">
        <f aca="false">DATE(2027,9,1)</f>
        <v>46631</v>
      </c>
      <c r="I112" s="9" t="s">
        <v>388</v>
      </c>
    </row>
    <row r="113" customFormat="false" ht="15" hidden="false" customHeight="false" outlineLevel="0" collapsed="false">
      <c r="B113" s="10" t="s">
        <v>386</v>
      </c>
      <c r="C113" s="194" t="s">
        <v>717</v>
      </c>
      <c r="D113" s="159" t="n">
        <f aca="false">$D$32*$D$33</f>
        <v>450000</v>
      </c>
      <c r="H113" s="178" t="n">
        <f aca="false">DATE(2027,9,1)</f>
        <v>46631</v>
      </c>
      <c r="I113" s="9" t="s">
        <v>388</v>
      </c>
    </row>
    <row r="114" customFormat="false" ht="15" hidden="false" customHeight="false" outlineLevel="0" collapsed="false">
      <c r="B114" s="10" t="s">
        <v>389</v>
      </c>
      <c r="C114" s="194" t="s">
        <v>390</v>
      </c>
      <c r="D114" s="158" t="n">
        <v>150000</v>
      </c>
      <c r="H114" s="178" t="n">
        <f aca="false">DATE(2027,9,1)</f>
        <v>46631</v>
      </c>
      <c r="I114" s="9" t="s">
        <v>388</v>
      </c>
    </row>
    <row r="115" customFormat="false" ht="15" hidden="false" customHeight="false" outlineLevel="0" collapsed="false">
      <c r="B115" s="10" t="s">
        <v>391</v>
      </c>
      <c r="C115" s="194" t="s">
        <v>390</v>
      </c>
      <c r="D115" s="158" t="n">
        <v>80000</v>
      </c>
      <c r="H115" s="178" t="n">
        <f aca="false">DATE(2027,9,1)</f>
        <v>46631</v>
      </c>
      <c r="I115" s="9" t="s">
        <v>388</v>
      </c>
    </row>
    <row r="117" customFormat="false" ht="15" hidden="false" customHeight="false" outlineLevel="0" collapsed="false">
      <c r="B117" s="197" t="s">
        <v>392</v>
      </c>
    </row>
    <row r="118" customFormat="false" ht="15" hidden="false" customHeight="false" outlineLevel="0" collapsed="false">
      <c r="B118" s="10" t="s">
        <v>471</v>
      </c>
      <c r="K118" s="193" t="n">
        <f aca="false">SUMIFS($T118:$CA118,$T$5:$CA$5,2030)</f>
        <v>0.4</v>
      </c>
      <c r="L118" s="193" t="n">
        <f aca="false">SUMIFS($T118:$CA118,$T$5:$CA$5,2026)</f>
        <v>0</v>
      </c>
      <c r="M118" s="193" t="n">
        <f aca="false">SUMIFS($T118:$CA118,$T$5:$CA$5,2027)</f>
        <v>0.0333333333333333</v>
      </c>
      <c r="N118" s="193" t="n">
        <f aca="false">SUMIFS($T118:$CA118,$T$5:$CA$5,2028)</f>
        <v>0.366666666666667</v>
      </c>
      <c r="O118" s="193" t="n">
        <f aca="false">SUMIFS($T118:$CA118,$T$5:$CA$5,2029)</f>
        <v>0.4</v>
      </c>
      <c r="P118" s="193" t="n">
        <f aca="false">SUMIFS($T118:$CA118,$T$5:$CA$5,2030)</f>
        <v>0.4</v>
      </c>
      <c r="T118" s="193" t="n">
        <f aca="false">$D$111/1000000/12*IF($I$111="Y",T$57,IF(T$6&gt;=EOMONTH($H$111,0),1,0))</f>
        <v>0</v>
      </c>
      <c r="U118" s="193" t="n">
        <f aca="false">$D$111/1000000/12*IF($I$111="Y",U$57,IF(U$6&gt;=EOMONTH($H$111,0),1,0))</f>
        <v>0</v>
      </c>
      <c r="V118" s="193" t="n">
        <f aca="false">$D$111/1000000/12*IF($I$111="Y",V$57,IF(V$6&gt;=EOMONTH($H$111,0),1,0))</f>
        <v>0</v>
      </c>
      <c r="W118" s="193" t="n">
        <f aca="false">$D$111/1000000/12*IF($I$111="Y",W$57,IF(W$6&gt;=EOMONTH($H$111,0),1,0))</f>
        <v>0</v>
      </c>
      <c r="X118" s="193" t="n">
        <f aca="false">$D$111/1000000/12*IF($I$111="Y",X$57,IF(X$6&gt;=EOMONTH($H$111,0),1,0))</f>
        <v>0</v>
      </c>
      <c r="Y118" s="193" t="n">
        <f aca="false">$D$111/1000000/12*IF($I$111="Y",Y$57,IF(Y$6&gt;=EOMONTH($H$111,0),1,0))</f>
        <v>0</v>
      </c>
      <c r="Z118" s="193" t="n">
        <f aca="false">$D$111/1000000/12*IF($I$111="Y",Z$57,IF(Z$6&gt;=EOMONTH($H$111,0),1,0))</f>
        <v>0</v>
      </c>
      <c r="AA118" s="193" t="n">
        <f aca="false">$D$111/1000000/12*IF($I$111="Y",AA$57,IF(AA$6&gt;=EOMONTH($H$111,0),1,0))</f>
        <v>0</v>
      </c>
      <c r="AB118" s="193" t="n">
        <f aca="false">$D$111/1000000/12*IF($I$111="Y",AB$57,IF(AB$6&gt;=EOMONTH($H$111,0),1,0))</f>
        <v>0</v>
      </c>
      <c r="AC118" s="193" t="n">
        <f aca="false">$D$111/1000000/12*IF($I$111="Y",AC$57,IF(AC$6&gt;=EOMONTH($H$111,0),1,0))</f>
        <v>0</v>
      </c>
      <c r="AD118" s="193" t="n">
        <f aca="false">$D$111/1000000/12*IF($I$111="Y",AD$57,IF(AD$6&gt;=EOMONTH($H$111,0),1,0))</f>
        <v>0</v>
      </c>
      <c r="AE118" s="193" t="n">
        <f aca="false">$D$111/1000000/12*IF($I$111="Y",AE$57,IF(AE$6&gt;=EOMONTH($H$111,0),1,0))</f>
        <v>0</v>
      </c>
      <c r="AF118" s="193" t="n">
        <f aca="false">$D$111/1000000/12*IF($I$111="Y",AF$57,IF(AF$6&gt;=EOMONTH($H$111,0),1,0))</f>
        <v>0</v>
      </c>
      <c r="AG118" s="193" t="n">
        <f aca="false">$D$111/1000000/12*IF($I$111="Y",AG$57,IF(AG$6&gt;=EOMONTH($H$111,0),1,0))</f>
        <v>0</v>
      </c>
      <c r="AH118" s="193" t="n">
        <f aca="false">$D$111/1000000/12*IF($I$111="Y",AH$57,IF(AH$6&gt;=EOMONTH($H$111,0),1,0))</f>
        <v>0</v>
      </c>
      <c r="AI118" s="193" t="n">
        <f aca="false">$D$111/1000000/12*IF($I$111="Y",AI$57,IF(AI$6&gt;=EOMONTH($H$111,0),1,0))</f>
        <v>0</v>
      </c>
      <c r="AJ118" s="193" t="n">
        <f aca="false">$D$111/1000000/12*IF($I$111="Y",AJ$57,IF(AJ$6&gt;=EOMONTH($H$111,0),1,0))</f>
        <v>0</v>
      </c>
      <c r="AK118" s="193" t="n">
        <f aca="false">$D$111/1000000/12*IF($I$111="Y",AK$57,IF(AK$6&gt;=EOMONTH($H$111,0),1,0))</f>
        <v>0</v>
      </c>
      <c r="AL118" s="193" t="n">
        <f aca="false">$D$111/1000000/12*IF($I$111="Y",AL$57,IF(AL$6&gt;=EOMONTH($H$111,0),1,0))</f>
        <v>0</v>
      </c>
      <c r="AM118" s="193" t="n">
        <f aca="false">$D$111/1000000/12*IF($I$111="Y",AM$57,IF(AM$6&gt;=EOMONTH($H$111,0),1,0))</f>
        <v>0</v>
      </c>
      <c r="AN118" s="193" t="n">
        <f aca="false">$D$111/1000000/12*IF($I$111="Y",AN$57,IF(AN$6&gt;=EOMONTH($H$111,0),1,0))</f>
        <v>0.00208333333333333</v>
      </c>
      <c r="AO118" s="193" t="n">
        <f aca="false">$D$111/1000000/12*IF($I$111="Y",AO$57,IF(AO$6&gt;=EOMONTH($H$111,0),1,0))</f>
        <v>0.00625</v>
      </c>
      <c r="AP118" s="193" t="n">
        <f aca="false">$D$111/1000000/12*IF($I$111="Y",AP$57,IF(AP$6&gt;=EOMONTH($H$111,0),1,0))</f>
        <v>0.0104166666666667</v>
      </c>
      <c r="AQ118" s="193" t="n">
        <f aca="false">$D$111/1000000/12*IF($I$111="Y",AQ$57,IF(AQ$6&gt;=EOMONTH($H$111,0),1,0))</f>
        <v>0.0145833333333333</v>
      </c>
      <c r="AR118" s="193" t="n">
        <f aca="false">$D$111/1000000/12*IF($I$111="Y",AR$57,IF(AR$6&gt;=EOMONTH($H$111,0),1,0))</f>
        <v>0.01875</v>
      </c>
      <c r="AS118" s="193" t="n">
        <f aca="false">$D$111/1000000/12*IF($I$111="Y",AS$57,IF(AS$6&gt;=EOMONTH($H$111,0),1,0))</f>
        <v>0.0229166666666667</v>
      </c>
      <c r="AT118" s="193" t="n">
        <f aca="false">$D$111/1000000/12*IF($I$111="Y",AT$57,IF(AT$6&gt;=EOMONTH($H$111,0),1,0))</f>
        <v>0.0270833333333333</v>
      </c>
      <c r="AU118" s="193" t="n">
        <f aca="false">$D$111/1000000/12*IF($I$111="Y",AU$57,IF(AU$6&gt;=EOMONTH($H$111,0),1,0))</f>
        <v>0.03125</v>
      </c>
      <c r="AV118" s="193" t="n">
        <f aca="false">$D$111/1000000/12*IF($I$111="Y",AV$57,IF(AV$6&gt;=EOMONTH($H$111,0),1,0))</f>
        <v>0.0333333333333333</v>
      </c>
      <c r="AW118" s="193" t="n">
        <f aca="false">$D$111/1000000/12*IF($I$111="Y",AW$57,IF(AW$6&gt;=EOMONTH($H$111,0),1,0))</f>
        <v>0.0333333333333333</v>
      </c>
      <c r="AX118" s="193" t="n">
        <f aca="false">$D$111/1000000/12*IF($I$111="Y",AX$57,IF(AX$6&gt;=EOMONTH($H$111,0),1,0))</f>
        <v>0.0333333333333333</v>
      </c>
      <c r="AY118" s="193" t="n">
        <f aca="false">$D$111/1000000/12*IF($I$111="Y",AY$57,IF(AY$6&gt;=EOMONTH($H$111,0),1,0))</f>
        <v>0.0333333333333333</v>
      </c>
      <c r="AZ118" s="193" t="n">
        <f aca="false">$D$111/1000000/12*IF($I$111="Y",AZ$57,IF(AZ$6&gt;=EOMONTH($H$111,0),1,0))</f>
        <v>0.0333333333333333</v>
      </c>
      <c r="BA118" s="193" t="n">
        <f aca="false">$D$111/1000000/12*IF($I$111="Y",BA$57,IF(BA$6&gt;=EOMONTH($H$111,0),1,0))</f>
        <v>0.0333333333333333</v>
      </c>
      <c r="BB118" s="193" t="n">
        <f aca="false">$D$111/1000000/12*IF($I$111="Y",BB$57,IF(BB$6&gt;=EOMONTH($H$111,0),1,0))</f>
        <v>0.0333333333333333</v>
      </c>
      <c r="BC118" s="193" t="n">
        <f aca="false">$D$111/1000000/12*IF($I$111="Y",BC$57,IF(BC$6&gt;=EOMONTH($H$111,0),1,0))</f>
        <v>0.0333333333333333</v>
      </c>
      <c r="BD118" s="193" t="n">
        <f aca="false">$D$111/1000000/12*IF($I$111="Y",BD$57,IF(BD$6&gt;=EOMONTH($H$111,0),1,0))</f>
        <v>0.0333333333333333</v>
      </c>
      <c r="BE118" s="193" t="n">
        <f aca="false">$D$111/1000000/12*IF($I$111="Y",BE$57,IF(BE$6&gt;=EOMONTH($H$111,0),1,0))</f>
        <v>0.0333333333333333</v>
      </c>
      <c r="BF118" s="193" t="n">
        <f aca="false">$D$111/1000000/12*IF($I$111="Y",BF$57,IF(BF$6&gt;=EOMONTH($H$111,0),1,0))</f>
        <v>0.0333333333333333</v>
      </c>
      <c r="BG118" s="193" t="n">
        <f aca="false">$D$111/1000000/12*IF($I$111="Y",BG$57,IF(BG$6&gt;=EOMONTH($H$111,0),1,0))</f>
        <v>0.0333333333333333</v>
      </c>
      <c r="BH118" s="193" t="n">
        <f aca="false">$D$111/1000000/12*IF($I$111="Y",BH$57,IF(BH$6&gt;=EOMONTH($H$111,0),1,0))</f>
        <v>0.0333333333333333</v>
      </c>
      <c r="BI118" s="193" t="n">
        <f aca="false">$D$111/1000000/12*IF($I$111="Y",BI$57,IF(BI$6&gt;=EOMONTH($H$111,0),1,0))</f>
        <v>0.0333333333333333</v>
      </c>
      <c r="BJ118" s="193" t="n">
        <f aca="false">$D$111/1000000/12*IF($I$111="Y",BJ$57,IF(BJ$6&gt;=EOMONTH($H$111,0),1,0))</f>
        <v>0.0333333333333333</v>
      </c>
      <c r="BK118" s="193" t="n">
        <f aca="false">$D$111/1000000/12*IF($I$111="Y",BK$57,IF(BK$6&gt;=EOMONTH($H$111,0),1,0))</f>
        <v>0.0333333333333333</v>
      </c>
      <c r="BL118" s="193" t="n">
        <f aca="false">$D$111/1000000/12*IF($I$111="Y",BL$57,IF(BL$6&gt;=EOMONTH($H$111,0),1,0))</f>
        <v>0.0333333333333333</v>
      </c>
      <c r="BM118" s="193" t="n">
        <f aca="false">$D$111/1000000/12*IF($I$111="Y",BM$57,IF(BM$6&gt;=EOMONTH($H$111,0),1,0))</f>
        <v>0.0333333333333333</v>
      </c>
      <c r="BN118" s="193" t="n">
        <f aca="false">$D$111/1000000/12*IF($I$111="Y",BN$57,IF(BN$6&gt;=EOMONTH($H$111,0),1,0))</f>
        <v>0.0333333333333333</v>
      </c>
      <c r="BO118" s="193" t="n">
        <f aca="false">$D$111/1000000/12*IF($I$111="Y",BO$57,IF(BO$6&gt;=EOMONTH($H$111,0),1,0))</f>
        <v>0.0333333333333333</v>
      </c>
      <c r="BP118" s="193" t="n">
        <f aca="false">$D$111/1000000/12*IF($I$111="Y",BP$57,IF(BP$6&gt;=EOMONTH($H$111,0),1,0))</f>
        <v>0.0333333333333333</v>
      </c>
      <c r="BQ118" s="193" t="n">
        <f aca="false">$D$111/1000000/12*IF($I$111="Y",BQ$57,IF(BQ$6&gt;=EOMONTH($H$111,0),1,0))</f>
        <v>0.0333333333333333</v>
      </c>
      <c r="BR118" s="193" t="n">
        <f aca="false">$D$111/1000000/12*IF($I$111="Y",BR$57,IF(BR$6&gt;=EOMONTH($H$111,0),1,0))</f>
        <v>0.0333333333333333</v>
      </c>
      <c r="BS118" s="193" t="n">
        <f aca="false">$D$111/1000000/12*IF($I$111="Y",BS$57,IF(BS$6&gt;=EOMONTH($H$111,0),1,0))</f>
        <v>0.0333333333333333</v>
      </c>
      <c r="BT118" s="193" t="n">
        <f aca="false">$D$111/1000000/12*IF($I$111="Y",BT$57,IF(BT$6&gt;=EOMONTH($H$111,0),1,0))</f>
        <v>0.0333333333333333</v>
      </c>
      <c r="BU118" s="193" t="n">
        <f aca="false">$D$111/1000000/12*IF($I$111="Y",BU$57,IF(BU$6&gt;=EOMONTH($H$111,0),1,0))</f>
        <v>0.0333333333333333</v>
      </c>
      <c r="BV118" s="193" t="n">
        <f aca="false">$D$111/1000000/12*IF($I$111="Y",BV$57,IF(BV$6&gt;=EOMONTH($H$111,0),1,0))</f>
        <v>0.0333333333333333</v>
      </c>
      <c r="BW118" s="193" t="n">
        <f aca="false">$D$111/1000000/12*IF($I$111="Y",BW$57,IF(BW$6&gt;=EOMONTH($H$111,0),1,0))</f>
        <v>0.0333333333333333</v>
      </c>
      <c r="BX118" s="193" t="n">
        <f aca="false">$D$111/1000000/12*IF($I$111="Y",BX$57,IF(BX$6&gt;=EOMONTH($H$111,0),1,0))</f>
        <v>0.0333333333333333</v>
      </c>
      <c r="BY118" s="193" t="n">
        <f aca="false">$D$111/1000000/12*IF($I$111="Y",BY$57,IF(BY$6&gt;=EOMONTH($H$111,0),1,0))</f>
        <v>0.0333333333333333</v>
      </c>
      <c r="BZ118" s="193" t="n">
        <f aca="false">$D$111/1000000/12*IF($I$111="Y",BZ$57,IF(BZ$6&gt;=EOMONTH($H$111,0),1,0))</f>
        <v>0.0333333333333333</v>
      </c>
      <c r="CA118" s="193" t="n">
        <f aca="false">$D$111/1000000/12*IF($I$111="Y",CA$57,IF(CA$6&gt;=EOMONTH($H$111,0),1,0))</f>
        <v>0.0333333333333333</v>
      </c>
    </row>
    <row r="119" customFormat="false" ht="15" hidden="false" customHeight="false" outlineLevel="0" collapsed="false">
      <c r="B119" s="10" t="s">
        <v>472</v>
      </c>
      <c r="K119" s="193" t="n">
        <f aca="false">SUMIFS($T119:$CA119,$T$5:$CA$5,2030)</f>
        <v>0.2</v>
      </c>
      <c r="L119" s="193" t="n">
        <f aca="false">SUMIFS($T119:$CA119,$T$5:$CA$5,2026)</f>
        <v>0</v>
      </c>
      <c r="M119" s="193" t="n">
        <f aca="false">SUMIFS($T119:$CA119,$T$5:$CA$5,2027)</f>
        <v>0.0666666666666667</v>
      </c>
      <c r="N119" s="193" t="n">
        <f aca="false">SUMIFS($T119:$CA119,$T$5:$CA$5,2028)</f>
        <v>0.2</v>
      </c>
      <c r="O119" s="193" t="n">
        <f aca="false">SUMIFS($T119:$CA119,$T$5:$CA$5,2029)</f>
        <v>0.2</v>
      </c>
      <c r="P119" s="193" t="n">
        <f aca="false">SUMIFS($T119:$CA119,$T$5:$CA$5,2030)</f>
        <v>0.2</v>
      </c>
      <c r="T119" s="193" t="n">
        <f aca="false">$D$112/1000000/12*IF($I$112="Y",T$57,IF(T$6&gt;=EOMONTH($H$112,0),1,0))</f>
        <v>0</v>
      </c>
      <c r="U119" s="193" t="n">
        <f aca="false">$D$112/1000000/12*IF($I$112="Y",U$57,IF(U$6&gt;=EOMONTH($H$112,0),1,0))</f>
        <v>0</v>
      </c>
      <c r="V119" s="193" t="n">
        <f aca="false">$D$112/1000000/12*IF($I$112="Y",V$57,IF(V$6&gt;=EOMONTH($H$112,0),1,0))</f>
        <v>0</v>
      </c>
      <c r="W119" s="193" t="n">
        <f aca="false">$D$112/1000000/12*IF($I$112="Y",W$57,IF(W$6&gt;=EOMONTH($H$112,0),1,0))</f>
        <v>0</v>
      </c>
      <c r="X119" s="193" t="n">
        <f aca="false">$D$112/1000000/12*IF($I$112="Y",X$57,IF(X$6&gt;=EOMONTH($H$112,0),1,0))</f>
        <v>0</v>
      </c>
      <c r="Y119" s="193" t="n">
        <f aca="false">$D$112/1000000/12*IF($I$112="Y",Y$57,IF(Y$6&gt;=EOMONTH($H$112,0),1,0))</f>
        <v>0</v>
      </c>
      <c r="Z119" s="193" t="n">
        <f aca="false">$D$112/1000000/12*IF($I$112="Y",Z$57,IF(Z$6&gt;=EOMONTH($H$112,0),1,0))</f>
        <v>0</v>
      </c>
      <c r="AA119" s="193" t="n">
        <f aca="false">$D$112/1000000/12*IF($I$112="Y",AA$57,IF(AA$6&gt;=EOMONTH($H$112,0),1,0))</f>
        <v>0</v>
      </c>
      <c r="AB119" s="193" t="n">
        <f aca="false">$D$112/1000000/12*IF($I$112="Y",AB$57,IF(AB$6&gt;=EOMONTH($H$112,0),1,0))</f>
        <v>0</v>
      </c>
      <c r="AC119" s="193" t="n">
        <f aca="false">$D$112/1000000/12*IF($I$112="Y",AC$57,IF(AC$6&gt;=EOMONTH($H$112,0),1,0))</f>
        <v>0</v>
      </c>
      <c r="AD119" s="193" t="n">
        <f aca="false">$D$112/1000000/12*IF($I$112="Y",AD$57,IF(AD$6&gt;=EOMONTH($H$112,0),1,0))</f>
        <v>0</v>
      </c>
      <c r="AE119" s="193" t="n">
        <f aca="false">$D$112/1000000/12*IF($I$112="Y",AE$57,IF(AE$6&gt;=EOMONTH($H$112,0),1,0))</f>
        <v>0</v>
      </c>
      <c r="AF119" s="193" t="n">
        <f aca="false">$D$112/1000000/12*IF($I$112="Y",AF$57,IF(AF$6&gt;=EOMONTH($H$112,0),1,0))</f>
        <v>0</v>
      </c>
      <c r="AG119" s="193" t="n">
        <f aca="false">$D$112/1000000/12*IF($I$112="Y",AG$57,IF(AG$6&gt;=EOMONTH($H$112,0),1,0))</f>
        <v>0</v>
      </c>
      <c r="AH119" s="193" t="n">
        <f aca="false">$D$112/1000000/12*IF($I$112="Y",AH$57,IF(AH$6&gt;=EOMONTH($H$112,0),1,0))</f>
        <v>0</v>
      </c>
      <c r="AI119" s="193" t="n">
        <f aca="false">$D$112/1000000/12*IF($I$112="Y",AI$57,IF(AI$6&gt;=EOMONTH($H$112,0),1,0))</f>
        <v>0</v>
      </c>
      <c r="AJ119" s="193" t="n">
        <f aca="false">$D$112/1000000/12*IF($I$112="Y",AJ$57,IF(AJ$6&gt;=EOMONTH($H$112,0),1,0))</f>
        <v>0</v>
      </c>
      <c r="AK119" s="193" t="n">
        <f aca="false">$D$112/1000000/12*IF($I$112="Y",AK$57,IF(AK$6&gt;=EOMONTH($H$112,0),1,0))</f>
        <v>0</v>
      </c>
      <c r="AL119" s="193" t="n">
        <f aca="false">$D$112/1000000/12*IF($I$112="Y",AL$57,IF(AL$6&gt;=EOMONTH($H$112,0),1,0))</f>
        <v>0</v>
      </c>
      <c r="AM119" s="193" t="n">
        <f aca="false">$D$112/1000000/12*IF($I$112="Y",AM$57,IF(AM$6&gt;=EOMONTH($H$112,0),1,0))</f>
        <v>0</v>
      </c>
      <c r="AN119" s="193" t="n">
        <f aca="false">$D$112/1000000/12*IF($I$112="Y",AN$57,IF(AN$6&gt;=EOMONTH($H$112,0),1,0))</f>
        <v>0.0166666666666667</v>
      </c>
      <c r="AO119" s="193" t="n">
        <f aca="false">$D$112/1000000/12*IF($I$112="Y",AO$57,IF(AO$6&gt;=EOMONTH($H$112,0),1,0))</f>
        <v>0.0166666666666667</v>
      </c>
      <c r="AP119" s="193" t="n">
        <f aca="false">$D$112/1000000/12*IF($I$112="Y",AP$57,IF(AP$6&gt;=EOMONTH($H$112,0),1,0))</f>
        <v>0.0166666666666667</v>
      </c>
      <c r="AQ119" s="193" t="n">
        <f aca="false">$D$112/1000000/12*IF($I$112="Y",AQ$57,IF(AQ$6&gt;=EOMONTH($H$112,0),1,0))</f>
        <v>0.0166666666666667</v>
      </c>
      <c r="AR119" s="193" t="n">
        <f aca="false">$D$112/1000000/12*IF($I$112="Y",AR$57,IF(AR$6&gt;=EOMONTH($H$112,0),1,0))</f>
        <v>0.0166666666666667</v>
      </c>
      <c r="AS119" s="193" t="n">
        <f aca="false">$D$112/1000000/12*IF($I$112="Y",AS$57,IF(AS$6&gt;=EOMONTH($H$112,0),1,0))</f>
        <v>0.0166666666666667</v>
      </c>
      <c r="AT119" s="193" t="n">
        <f aca="false">$D$112/1000000/12*IF($I$112="Y",AT$57,IF(AT$6&gt;=EOMONTH($H$112,0),1,0))</f>
        <v>0.0166666666666667</v>
      </c>
      <c r="AU119" s="193" t="n">
        <f aca="false">$D$112/1000000/12*IF($I$112="Y",AU$57,IF(AU$6&gt;=EOMONTH($H$112,0),1,0))</f>
        <v>0.0166666666666667</v>
      </c>
      <c r="AV119" s="193" t="n">
        <f aca="false">$D$112/1000000/12*IF($I$112="Y",AV$57,IF(AV$6&gt;=EOMONTH($H$112,0),1,0))</f>
        <v>0.0166666666666667</v>
      </c>
      <c r="AW119" s="193" t="n">
        <f aca="false">$D$112/1000000/12*IF($I$112="Y",AW$57,IF(AW$6&gt;=EOMONTH($H$112,0),1,0))</f>
        <v>0.0166666666666667</v>
      </c>
      <c r="AX119" s="193" t="n">
        <f aca="false">$D$112/1000000/12*IF($I$112="Y",AX$57,IF(AX$6&gt;=EOMONTH($H$112,0),1,0))</f>
        <v>0.0166666666666667</v>
      </c>
      <c r="AY119" s="193" t="n">
        <f aca="false">$D$112/1000000/12*IF($I$112="Y",AY$57,IF(AY$6&gt;=EOMONTH($H$112,0),1,0))</f>
        <v>0.0166666666666667</v>
      </c>
      <c r="AZ119" s="193" t="n">
        <f aca="false">$D$112/1000000/12*IF($I$112="Y",AZ$57,IF(AZ$6&gt;=EOMONTH($H$112,0),1,0))</f>
        <v>0.0166666666666667</v>
      </c>
      <c r="BA119" s="193" t="n">
        <f aca="false">$D$112/1000000/12*IF($I$112="Y",BA$57,IF(BA$6&gt;=EOMONTH($H$112,0),1,0))</f>
        <v>0.0166666666666667</v>
      </c>
      <c r="BB119" s="193" t="n">
        <f aca="false">$D$112/1000000/12*IF($I$112="Y",BB$57,IF(BB$6&gt;=EOMONTH($H$112,0),1,0))</f>
        <v>0.0166666666666667</v>
      </c>
      <c r="BC119" s="193" t="n">
        <f aca="false">$D$112/1000000/12*IF($I$112="Y",BC$57,IF(BC$6&gt;=EOMONTH($H$112,0),1,0))</f>
        <v>0.0166666666666667</v>
      </c>
      <c r="BD119" s="193" t="n">
        <f aca="false">$D$112/1000000/12*IF($I$112="Y",BD$57,IF(BD$6&gt;=EOMONTH($H$112,0),1,0))</f>
        <v>0.0166666666666667</v>
      </c>
      <c r="BE119" s="193" t="n">
        <f aca="false">$D$112/1000000/12*IF($I$112="Y",BE$57,IF(BE$6&gt;=EOMONTH($H$112,0),1,0))</f>
        <v>0.0166666666666667</v>
      </c>
      <c r="BF119" s="193" t="n">
        <f aca="false">$D$112/1000000/12*IF($I$112="Y",BF$57,IF(BF$6&gt;=EOMONTH($H$112,0),1,0))</f>
        <v>0.0166666666666667</v>
      </c>
      <c r="BG119" s="193" t="n">
        <f aca="false">$D$112/1000000/12*IF($I$112="Y",BG$57,IF(BG$6&gt;=EOMONTH($H$112,0),1,0))</f>
        <v>0.0166666666666667</v>
      </c>
      <c r="BH119" s="193" t="n">
        <f aca="false">$D$112/1000000/12*IF($I$112="Y",BH$57,IF(BH$6&gt;=EOMONTH($H$112,0),1,0))</f>
        <v>0.0166666666666667</v>
      </c>
      <c r="BI119" s="193" t="n">
        <f aca="false">$D$112/1000000/12*IF($I$112="Y",BI$57,IF(BI$6&gt;=EOMONTH($H$112,0),1,0))</f>
        <v>0.0166666666666667</v>
      </c>
      <c r="BJ119" s="193" t="n">
        <f aca="false">$D$112/1000000/12*IF($I$112="Y",BJ$57,IF(BJ$6&gt;=EOMONTH($H$112,0),1,0))</f>
        <v>0.0166666666666667</v>
      </c>
      <c r="BK119" s="193" t="n">
        <f aca="false">$D$112/1000000/12*IF($I$112="Y",BK$57,IF(BK$6&gt;=EOMONTH($H$112,0),1,0))</f>
        <v>0.0166666666666667</v>
      </c>
      <c r="BL119" s="193" t="n">
        <f aca="false">$D$112/1000000/12*IF($I$112="Y",BL$57,IF(BL$6&gt;=EOMONTH($H$112,0),1,0))</f>
        <v>0.0166666666666667</v>
      </c>
      <c r="BM119" s="193" t="n">
        <f aca="false">$D$112/1000000/12*IF($I$112="Y",BM$57,IF(BM$6&gt;=EOMONTH($H$112,0),1,0))</f>
        <v>0.0166666666666667</v>
      </c>
      <c r="BN119" s="193" t="n">
        <f aca="false">$D$112/1000000/12*IF($I$112="Y",BN$57,IF(BN$6&gt;=EOMONTH($H$112,0),1,0))</f>
        <v>0.0166666666666667</v>
      </c>
      <c r="BO119" s="193" t="n">
        <f aca="false">$D$112/1000000/12*IF($I$112="Y",BO$57,IF(BO$6&gt;=EOMONTH($H$112,0),1,0))</f>
        <v>0.0166666666666667</v>
      </c>
      <c r="BP119" s="193" t="n">
        <f aca="false">$D$112/1000000/12*IF($I$112="Y",BP$57,IF(BP$6&gt;=EOMONTH($H$112,0),1,0))</f>
        <v>0.0166666666666667</v>
      </c>
      <c r="BQ119" s="193" t="n">
        <f aca="false">$D$112/1000000/12*IF($I$112="Y",BQ$57,IF(BQ$6&gt;=EOMONTH($H$112,0),1,0))</f>
        <v>0.0166666666666667</v>
      </c>
      <c r="BR119" s="193" t="n">
        <f aca="false">$D$112/1000000/12*IF($I$112="Y",BR$57,IF(BR$6&gt;=EOMONTH($H$112,0),1,0))</f>
        <v>0.0166666666666667</v>
      </c>
      <c r="BS119" s="193" t="n">
        <f aca="false">$D$112/1000000/12*IF($I$112="Y",BS$57,IF(BS$6&gt;=EOMONTH($H$112,0),1,0))</f>
        <v>0.0166666666666667</v>
      </c>
      <c r="BT119" s="193" t="n">
        <f aca="false">$D$112/1000000/12*IF($I$112="Y",BT$57,IF(BT$6&gt;=EOMONTH($H$112,0),1,0))</f>
        <v>0.0166666666666667</v>
      </c>
      <c r="BU119" s="193" t="n">
        <f aca="false">$D$112/1000000/12*IF($I$112="Y",BU$57,IF(BU$6&gt;=EOMONTH($H$112,0),1,0))</f>
        <v>0.0166666666666667</v>
      </c>
      <c r="BV119" s="193" t="n">
        <f aca="false">$D$112/1000000/12*IF($I$112="Y",BV$57,IF(BV$6&gt;=EOMONTH($H$112,0),1,0))</f>
        <v>0.0166666666666667</v>
      </c>
      <c r="BW119" s="193" t="n">
        <f aca="false">$D$112/1000000/12*IF($I$112="Y",BW$57,IF(BW$6&gt;=EOMONTH($H$112,0),1,0))</f>
        <v>0.0166666666666667</v>
      </c>
      <c r="BX119" s="193" t="n">
        <f aca="false">$D$112/1000000/12*IF($I$112="Y",BX$57,IF(BX$6&gt;=EOMONTH($H$112,0),1,0))</f>
        <v>0.0166666666666667</v>
      </c>
      <c r="BY119" s="193" t="n">
        <f aca="false">$D$112/1000000/12*IF($I$112="Y",BY$57,IF(BY$6&gt;=EOMONTH($H$112,0),1,0))</f>
        <v>0.0166666666666667</v>
      </c>
      <c r="BZ119" s="193" t="n">
        <f aca="false">$D$112/1000000/12*IF($I$112="Y",BZ$57,IF(BZ$6&gt;=EOMONTH($H$112,0),1,0))</f>
        <v>0.0166666666666667</v>
      </c>
      <c r="CA119" s="193" t="n">
        <f aca="false">$D$112/1000000/12*IF($I$112="Y",CA$57,IF(CA$6&gt;=EOMONTH($H$112,0),1,0))</f>
        <v>0.0166666666666667</v>
      </c>
    </row>
    <row r="120" customFormat="false" ht="15" hidden="false" customHeight="false" outlineLevel="0" collapsed="false">
      <c r="B120" s="10" t="s">
        <v>393</v>
      </c>
      <c r="K120" s="193" t="n">
        <f aca="false">SUMIFS($T120:$CA120,$T$5:$CA$5,2030)</f>
        <v>0.45</v>
      </c>
      <c r="L120" s="193" t="n">
        <f aca="false">SUMIFS($T120:$CA120,$T$5:$CA$5,2026)</f>
        <v>0</v>
      </c>
      <c r="M120" s="193" t="n">
        <f aca="false">SUMIFS($T120:$CA120,$T$5:$CA$5,2027)</f>
        <v>0.15</v>
      </c>
      <c r="N120" s="193" t="n">
        <f aca="false">SUMIFS($T120:$CA120,$T$5:$CA$5,2028)</f>
        <v>0.45</v>
      </c>
      <c r="O120" s="193" t="n">
        <f aca="false">SUMIFS($T120:$CA120,$T$5:$CA$5,2029)</f>
        <v>0.45</v>
      </c>
      <c r="P120" s="193" t="n">
        <f aca="false">SUMIFS($T120:$CA120,$T$5:$CA$5,2030)</f>
        <v>0.45</v>
      </c>
      <c r="T120" s="193" t="n">
        <f aca="false">$D$113/1000000/12*IF($I$113="Y",T$57,IF(T$6&gt;=EOMONTH($H$113,0),1,0))</f>
        <v>0</v>
      </c>
      <c r="U120" s="193" t="n">
        <f aca="false">$D$113/1000000/12*IF($I$113="Y",U$57,IF(U$6&gt;=EOMONTH($H$113,0),1,0))</f>
        <v>0</v>
      </c>
      <c r="V120" s="193" t="n">
        <f aca="false">$D$113/1000000/12*IF($I$113="Y",V$57,IF(V$6&gt;=EOMONTH($H$113,0),1,0))</f>
        <v>0</v>
      </c>
      <c r="W120" s="193" t="n">
        <f aca="false">$D$113/1000000/12*IF($I$113="Y",W$57,IF(W$6&gt;=EOMONTH($H$113,0),1,0))</f>
        <v>0</v>
      </c>
      <c r="X120" s="193" t="n">
        <f aca="false">$D$113/1000000/12*IF($I$113="Y",X$57,IF(X$6&gt;=EOMONTH($H$113,0),1,0))</f>
        <v>0</v>
      </c>
      <c r="Y120" s="193" t="n">
        <f aca="false">$D$113/1000000/12*IF($I$113="Y",Y$57,IF(Y$6&gt;=EOMONTH($H$113,0),1,0))</f>
        <v>0</v>
      </c>
      <c r="Z120" s="193" t="n">
        <f aca="false">$D$113/1000000/12*IF($I$113="Y",Z$57,IF(Z$6&gt;=EOMONTH($H$113,0),1,0))</f>
        <v>0</v>
      </c>
      <c r="AA120" s="193" t="n">
        <f aca="false">$D$113/1000000/12*IF($I$113="Y",AA$57,IF(AA$6&gt;=EOMONTH($H$113,0),1,0))</f>
        <v>0</v>
      </c>
      <c r="AB120" s="193" t="n">
        <f aca="false">$D$113/1000000/12*IF($I$113="Y",AB$57,IF(AB$6&gt;=EOMONTH($H$113,0),1,0))</f>
        <v>0</v>
      </c>
      <c r="AC120" s="193" t="n">
        <f aca="false">$D$113/1000000/12*IF($I$113="Y",AC$57,IF(AC$6&gt;=EOMONTH($H$113,0),1,0))</f>
        <v>0</v>
      </c>
      <c r="AD120" s="193" t="n">
        <f aca="false">$D$113/1000000/12*IF($I$113="Y",AD$57,IF(AD$6&gt;=EOMONTH($H$113,0),1,0))</f>
        <v>0</v>
      </c>
      <c r="AE120" s="193" t="n">
        <f aca="false">$D$113/1000000/12*IF($I$113="Y",AE$57,IF(AE$6&gt;=EOMONTH($H$113,0),1,0))</f>
        <v>0</v>
      </c>
      <c r="AF120" s="193" t="n">
        <f aca="false">$D$113/1000000/12*IF($I$113="Y",AF$57,IF(AF$6&gt;=EOMONTH($H$113,0),1,0))</f>
        <v>0</v>
      </c>
      <c r="AG120" s="193" t="n">
        <f aca="false">$D$113/1000000/12*IF($I$113="Y",AG$57,IF(AG$6&gt;=EOMONTH($H$113,0),1,0))</f>
        <v>0</v>
      </c>
      <c r="AH120" s="193" t="n">
        <f aca="false">$D$113/1000000/12*IF($I$113="Y",AH$57,IF(AH$6&gt;=EOMONTH($H$113,0),1,0))</f>
        <v>0</v>
      </c>
      <c r="AI120" s="193" t="n">
        <f aca="false">$D$113/1000000/12*IF($I$113="Y",AI$57,IF(AI$6&gt;=EOMONTH($H$113,0),1,0))</f>
        <v>0</v>
      </c>
      <c r="AJ120" s="193" t="n">
        <f aca="false">$D$113/1000000/12*IF($I$113="Y",AJ$57,IF(AJ$6&gt;=EOMONTH($H$113,0),1,0))</f>
        <v>0</v>
      </c>
      <c r="AK120" s="193" t="n">
        <f aca="false">$D$113/1000000/12*IF($I$113="Y",AK$57,IF(AK$6&gt;=EOMONTH($H$113,0),1,0))</f>
        <v>0</v>
      </c>
      <c r="AL120" s="193" t="n">
        <f aca="false">$D$113/1000000/12*IF($I$113="Y",AL$57,IF(AL$6&gt;=EOMONTH($H$113,0),1,0))</f>
        <v>0</v>
      </c>
      <c r="AM120" s="193" t="n">
        <f aca="false">$D$113/1000000/12*IF($I$113="Y",AM$57,IF(AM$6&gt;=EOMONTH($H$113,0),1,0))</f>
        <v>0</v>
      </c>
      <c r="AN120" s="193" t="n">
        <f aca="false">$D$113/1000000/12*IF($I$113="Y",AN$57,IF(AN$6&gt;=EOMONTH($H$113,0),1,0))</f>
        <v>0.0375</v>
      </c>
      <c r="AO120" s="193" t="n">
        <f aca="false">$D$113/1000000/12*IF($I$113="Y",AO$57,IF(AO$6&gt;=EOMONTH($H$113,0),1,0))</f>
        <v>0.0375</v>
      </c>
      <c r="AP120" s="193" t="n">
        <f aca="false">$D$113/1000000/12*IF($I$113="Y",AP$57,IF(AP$6&gt;=EOMONTH($H$113,0),1,0))</f>
        <v>0.0375</v>
      </c>
      <c r="AQ120" s="193" t="n">
        <f aca="false">$D$113/1000000/12*IF($I$113="Y",AQ$57,IF(AQ$6&gt;=EOMONTH($H$113,0),1,0))</f>
        <v>0.0375</v>
      </c>
      <c r="AR120" s="193" t="n">
        <f aca="false">$D$113/1000000/12*IF($I$113="Y",AR$57,IF(AR$6&gt;=EOMONTH($H$113,0),1,0))</f>
        <v>0.0375</v>
      </c>
      <c r="AS120" s="193" t="n">
        <f aca="false">$D$113/1000000/12*IF($I$113="Y",AS$57,IF(AS$6&gt;=EOMONTH($H$113,0),1,0))</f>
        <v>0.0375</v>
      </c>
      <c r="AT120" s="193" t="n">
        <f aca="false">$D$113/1000000/12*IF($I$113="Y",AT$57,IF(AT$6&gt;=EOMONTH($H$113,0),1,0))</f>
        <v>0.0375</v>
      </c>
      <c r="AU120" s="193" t="n">
        <f aca="false">$D$113/1000000/12*IF($I$113="Y",AU$57,IF(AU$6&gt;=EOMONTH($H$113,0),1,0))</f>
        <v>0.0375</v>
      </c>
      <c r="AV120" s="193" t="n">
        <f aca="false">$D$113/1000000/12*IF($I$113="Y",AV$57,IF(AV$6&gt;=EOMONTH($H$113,0),1,0))</f>
        <v>0.0375</v>
      </c>
      <c r="AW120" s="193" t="n">
        <f aca="false">$D$113/1000000/12*IF($I$113="Y",AW$57,IF(AW$6&gt;=EOMONTH($H$113,0),1,0))</f>
        <v>0.0375</v>
      </c>
      <c r="AX120" s="193" t="n">
        <f aca="false">$D$113/1000000/12*IF($I$113="Y",AX$57,IF(AX$6&gt;=EOMONTH($H$113,0),1,0))</f>
        <v>0.0375</v>
      </c>
      <c r="AY120" s="193" t="n">
        <f aca="false">$D$113/1000000/12*IF($I$113="Y",AY$57,IF(AY$6&gt;=EOMONTH($H$113,0),1,0))</f>
        <v>0.0375</v>
      </c>
      <c r="AZ120" s="193" t="n">
        <f aca="false">$D$113/1000000/12*IF($I$113="Y",AZ$57,IF(AZ$6&gt;=EOMONTH($H$113,0),1,0))</f>
        <v>0.0375</v>
      </c>
      <c r="BA120" s="193" t="n">
        <f aca="false">$D$113/1000000/12*IF($I$113="Y",BA$57,IF(BA$6&gt;=EOMONTH($H$113,0),1,0))</f>
        <v>0.0375</v>
      </c>
      <c r="BB120" s="193" t="n">
        <f aca="false">$D$113/1000000/12*IF($I$113="Y",BB$57,IF(BB$6&gt;=EOMONTH($H$113,0),1,0))</f>
        <v>0.0375</v>
      </c>
      <c r="BC120" s="193" t="n">
        <f aca="false">$D$113/1000000/12*IF($I$113="Y",BC$57,IF(BC$6&gt;=EOMONTH($H$113,0),1,0))</f>
        <v>0.0375</v>
      </c>
      <c r="BD120" s="193" t="n">
        <f aca="false">$D$113/1000000/12*IF($I$113="Y",BD$57,IF(BD$6&gt;=EOMONTH($H$113,0),1,0))</f>
        <v>0.0375</v>
      </c>
      <c r="BE120" s="193" t="n">
        <f aca="false">$D$113/1000000/12*IF($I$113="Y",BE$57,IF(BE$6&gt;=EOMONTH($H$113,0),1,0))</f>
        <v>0.0375</v>
      </c>
      <c r="BF120" s="193" t="n">
        <f aca="false">$D$113/1000000/12*IF($I$113="Y",BF$57,IF(BF$6&gt;=EOMONTH($H$113,0),1,0))</f>
        <v>0.0375</v>
      </c>
      <c r="BG120" s="193" t="n">
        <f aca="false">$D$113/1000000/12*IF($I$113="Y",BG$57,IF(BG$6&gt;=EOMONTH($H$113,0),1,0))</f>
        <v>0.0375</v>
      </c>
      <c r="BH120" s="193" t="n">
        <f aca="false">$D$113/1000000/12*IF($I$113="Y",BH$57,IF(BH$6&gt;=EOMONTH($H$113,0),1,0))</f>
        <v>0.0375</v>
      </c>
      <c r="BI120" s="193" t="n">
        <f aca="false">$D$113/1000000/12*IF($I$113="Y",BI$57,IF(BI$6&gt;=EOMONTH($H$113,0),1,0))</f>
        <v>0.0375</v>
      </c>
      <c r="BJ120" s="193" t="n">
        <f aca="false">$D$113/1000000/12*IF($I$113="Y",BJ$57,IF(BJ$6&gt;=EOMONTH($H$113,0),1,0))</f>
        <v>0.0375</v>
      </c>
      <c r="BK120" s="193" t="n">
        <f aca="false">$D$113/1000000/12*IF($I$113="Y",BK$57,IF(BK$6&gt;=EOMONTH($H$113,0),1,0))</f>
        <v>0.0375</v>
      </c>
      <c r="BL120" s="193" t="n">
        <f aca="false">$D$113/1000000/12*IF($I$113="Y",BL$57,IF(BL$6&gt;=EOMONTH($H$113,0),1,0))</f>
        <v>0.0375</v>
      </c>
      <c r="BM120" s="193" t="n">
        <f aca="false">$D$113/1000000/12*IF($I$113="Y",BM$57,IF(BM$6&gt;=EOMONTH($H$113,0),1,0))</f>
        <v>0.0375</v>
      </c>
      <c r="BN120" s="193" t="n">
        <f aca="false">$D$113/1000000/12*IF($I$113="Y",BN$57,IF(BN$6&gt;=EOMONTH($H$113,0),1,0))</f>
        <v>0.0375</v>
      </c>
      <c r="BO120" s="193" t="n">
        <f aca="false">$D$113/1000000/12*IF($I$113="Y",BO$57,IF(BO$6&gt;=EOMONTH($H$113,0),1,0))</f>
        <v>0.0375</v>
      </c>
      <c r="BP120" s="193" t="n">
        <f aca="false">$D$113/1000000/12*IF($I$113="Y",BP$57,IF(BP$6&gt;=EOMONTH($H$113,0),1,0))</f>
        <v>0.0375</v>
      </c>
      <c r="BQ120" s="193" t="n">
        <f aca="false">$D$113/1000000/12*IF($I$113="Y",BQ$57,IF(BQ$6&gt;=EOMONTH($H$113,0),1,0))</f>
        <v>0.0375</v>
      </c>
      <c r="BR120" s="193" t="n">
        <f aca="false">$D$113/1000000/12*IF($I$113="Y",BR$57,IF(BR$6&gt;=EOMONTH($H$113,0),1,0))</f>
        <v>0.0375</v>
      </c>
      <c r="BS120" s="193" t="n">
        <f aca="false">$D$113/1000000/12*IF($I$113="Y",BS$57,IF(BS$6&gt;=EOMONTH($H$113,0),1,0))</f>
        <v>0.0375</v>
      </c>
      <c r="BT120" s="193" t="n">
        <f aca="false">$D$113/1000000/12*IF($I$113="Y",BT$57,IF(BT$6&gt;=EOMONTH($H$113,0),1,0))</f>
        <v>0.0375</v>
      </c>
      <c r="BU120" s="193" t="n">
        <f aca="false">$D$113/1000000/12*IF($I$113="Y",BU$57,IF(BU$6&gt;=EOMONTH($H$113,0),1,0))</f>
        <v>0.0375</v>
      </c>
      <c r="BV120" s="193" t="n">
        <f aca="false">$D$113/1000000/12*IF($I$113="Y",BV$57,IF(BV$6&gt;=EOMONTH($H$113,0),1,0))</f>
        <v>0.0375</v>
      </c>
      <c r="BW120" s="193" t="n">
        <f aca="false">$D$113/1000000/12*IF($I$113="Y",BW$57,IF(BW$6&gt;=EOMONTH($H$113,0),1,0))</f>
        <v>0.0375</v>
      </c>
      <c r="BX120" s="193" t="n">
        <f aca="false">$D$113/1000000/12*IF($I$113="Y",BX$57,IF(BX$6&gt;=EOMONTH($H$113,0),1,0))</f>
        <v>0.0375</v>
      </c>
      <c r="BY120" s="193" t="n">
        <f aca="false">$D$113/1000000/12*IF($I$113="Y",BY$57,IF(BY$6&gt;=EOMONTH($H$113,0),1,0))</f>
        <v>0.0375</v>
      </c>
      <c r="BZ120" s="193" t="n">
        <f aca="false">$D$113/1000000/12*IF($I$113="Y",BZ$57,IF(BZ$6&gt;=EOMONTH($H$113,0),1,0))</f>
        <v>0.0375</v>
      </c>
      <c r="CA120" s="193" t="n">
        <f aca="false">$D$113/1000000/12*IF($I$113="Y",CA$57,IF(CA$6&gt;=EOMONTH($H$113,0),1,0))</f>
        <v>0.0375</v>
      </c>
    </row>
    <row r="121" customFormat="false" ht="15" hidden="false" customHeight="false" outlineLevel="0" collapsed="false">
      <c r="B121" s="10" t="s">
        <v>394</v>
      </c>
      <c r="K121" s="193" t="n">
        <f aca="false">SUMIFS($T121:$CA121,$T$5:$CA$5,2030)</f>
        <v>0.15</v>
      </c>
      <c r="L121" s="193" t="n">
        <f aca="false">SUMIFS($T121:$CA121,$T$5:$CA$5,2026)</f>
        <v>0</v>
      </c>
      <c r="M121" s="193" t="n">
        <f aca="false">SUMIFS($T121:$CA121,$T$5:$CA$5,2027)</f>
        <v>0.05</v>
      </c>
      <c r="N121" s="193" t="n">
        <f aca="false">SUMIFS($T121:$CA121,$T$5:$CA$5,2028)</f>
        <v>0.15</v>
      </c>
      <c r="O121" s="193" t="n">
        <f aca="false">SUMIFS($T121:$CA121,$T$5:$CA$5,2029)</f>
        <v>0.15</v>
      </c>
      <c r="P121" s="193" t="n">
        <f aca="false">SUMIFS($T121:$CA121,$T$5:$CA$5,2030)</f>
        <v>0.15</v>
      </c>
      <c r="T121" s="193" t="n">
        <f aca="false">$D$114/1000000/12*IF($I$114="Y",T$57,IF(T$6&gt;=EOMONTH($H$114,0),1,0))</f>
        <v>0</v>
      </c>
      <c r="U121" s="193" t="n">
        <f aca="false">$D$114/1000000/12*IF($I$114="Y",U$57,IF(U$6&gt;=EOMONTH($H$114,0),1,0))</f>
        <v>0</v>
      </c>
      <c r="V121" s="193" t="n">
        <f aca="false">$D$114/1000000/12*IF($I$114="Y",V$57,IF(V$6&gt;=EOMONTH($H$114,0),1,0))</f>
        <v>0</v>
      </c>
      <c r="W121" s="193" t="n">
        <f aca="false">$D$114/1000000/12*IF($I$114="Y",W$57,IF(W$6&gt;=EOMONTH($H$114,0),1,0))</f>
        <v>0</v>
      </c>
      <c r="X121" s="193" t="n">
        <f aca="false">$D$114/1000000/12*IF($I$114="Y",X$57,IF(X$6&gt;=EOMONTH($H$114,0),1,0))</f>
        <v>0</v>
      </c>
      <c r="Y121" s="193" t="n">
        <f aca="false">$D$114/1000000/12*IF($I$114="Y",Y$57,IF(Y$6&gt;=EOMONTH($H$114,0),1,0))</f>
        <v>0</v>
      </c>
      <c r="Z121" s="193" t="n">
        <f aca="false">$D$114/1000000/12*IF($I$114="Y",Z$57,IF(Z$6&gt;=EOMONTH($H$114,0),1,0))</f>
        <v>0</v>
      </c>
      <c r="AA121" s="193" t="n">
        <f aca="false">$D$114/1000000/12*IF($I$114="Y",AA$57,IF(AA$6&gt;=EOMONTH($H$114,0),1,0))</f>
        <v>0</v>
      </c>
      <c r="AB121" s="193" t="n">
        <f aca="false">$D$114/1000000/12*IF($I$114="Y",AB$57,IF(AB$6&gt;=EOMONTH($H$114,0),1,0))</f>
        <v>0</v>
      </c>
      <c r="AC121" s="193" t="n">
        <f aca="false">$D$114/1000000/12*IF($I$114="Y",AC$57,IF(AC$6&gt;=EOMONTH($H$114,0),1,0))</f>
        <v>0</v>
      </c>
      <c r="AD121" s="193" t="n">
        <f aca="false">$D$114/1000000/12*IF($I$114="Y",AD$57,IF(AD$6&gt;=EOMONTH($H$114,0),1,0))</f>
        <v>0</v>
      </c>
      <c r="AE121" s="193" t="n">
        <f aca="false">$D$114/1000000/12*IF($I$114="Y",AE$57,IF(AE$6&gt;=EOMONTH($H$114,0),1,0))</f>
        <v>0</v>
      </c>
      <c r="AF121" s="193" t="n">
        <f aca="false">$D$114/1000000/12*IF($I$114="Y",AF$57,IF(AF$6&gt;=EOMONTH($H$114,0),1,0))</f>
        <v>0</v>
      </c>
      <c r="AG121" s="193" t="n">
        <f aca="false">$D$114/1000000/12*IF($I$114="Y",AG$57,IF(AG$6&gt;=EOMONTH($H$114,0),1,0))</f>
        <v>0</v>
      </c>
      <c r="AH121" s="193" t="n">
        <f aca="false">$D$114/1000000/12*IF($I$114="Y",AH$57,IF(AH$6&gt;=EOMONTH($H$114,0),1,0))</f>
        <v>0</v>
      </c>
      <c r="AI121" s="193" t="n">
        <f aca="false">$D$114/1000000/12*IF($I$114="Y",AI$57,IF(AI$6&gt;=EOMONTH($H$114,0),1,0))</f>
        <v>0</v>
      </c>
      <c r="AJ121" s="193" t="n">
        <f aca="false">$D$114/1000000/12*IF($I$114="Y",AJ$57,IF(AJ$6&gt;=EOMONTH($H$114,0),1,0))</f>
        <v>0</v>
      </c>
      <c r="AK121" s="193" t="n">
        <f aca="false">$D$114/1000000/12*IF($I$114="Y",AK$57,IF(AK$6&gt;=EOMONTH($H$114,0),1,0))</f>
        <v>0</v>
      </c>
      <c r="AL121" s="193" t="n">
        <f aca="false">$D$114/1000000/12*IF($I$114="Y",AL$57,IF(AL$6&gt;=EOMONTH($H$114,0),1,0))</f>
        <v>0</v>
      </c>
      <c r="AM121" s="193" t="n">
        <f aca="false">$D$114/1000000/12*IF($I$114="Y",AM$57,IF(AM$6&gt;=EOMONTH($H$114,0),1,0))</f>
        <v>0</v>
      </c>
      <c r="AN121" s="193" t="n">
        <f aca="false">$D$114/1000000/12*IF($I$114="Y",AN$57,IF(AN$6&gt;=EOMONTH($H$114,0),1,0))</f>
        <v>0.0125</v>
      </c>
      <c r="AO121" s="193" t="n">
        <f aca="false">$D$114/1000000/12*IF($I$114="Y",AO$57,IF(AO$6&gt;=EOMONTH($H$114,0),1,0))</f>
        <v>0.0125</v>
      </c>
      <c r="AP121" s="193" t="n">
        <f aca="false">$D$114/1000000/12*IF($I$114="Y",AP$57,IF(AP$6&gt;=EOMONTH($H$114,0),1,0))</f>
        <v>0.0125</v>
      </c>
      <c r="AQ121" s="193" t="n">
        <f aca="false">$D$114/1000000/12*IF($I$114="Y",AQ$57,IF(AQ$6&gt;=EOMONTH($H$114,0),1,0))</f>
        <v>0.0125</v>
      </c>
      <c r="AR121" s="193" t="n">
        <f aca="false">$D$114/1000000/12*IF($I$114="Y",AR$57,IF(AR$6&gt;=EOMONTH($H$114,0),1,0))</f>
        <v>0.0125</v>
      </c>
      <c r="AS121" s="193" t="n">
        <f aca="false">$D$114/1000000/12*IF($I$114="Y",AS$57,IF(AS$6&gt;=EOMONTH($H$114,0),1,0))</f>
        <v>0.0125</v>
      </c>
      <c r="AT121" s="193" t="n">
        <f aca="false">$D$114/1000000/12*IF($I$114="Y",AT$57,IF(AT$6&gt;=EOMONTH($H$114,0),1,0))</f>
        <v>0.0125</v>
      </c>
      <c r="AU121" s="193" t="n">
        <f aca="false">$D$114/1000000/12*IF($I$114="Y",AU$57,IF(AU$6&gt;=EOMONTH($H$114,0),1,0))</f>
        <v>0.0125</v>
      </c>
      <c r="AV121" s="193" t="n">
        <f aca="false">$D$114/1000000/12*IF($I$114="Y",AV$57,IF(AV$6&gt;=EOMONTH($H$114,0),1,0))</f>
        <v>0.0125</v>
      </c>
      <c r="AW121" s="193" t="n">
        <f aca="false">$D$114/1000000/12*IF($I$114="Y",AW$57,IF(AW$6&gt;=EOMONTH($H$114,0),1,0))</f>
        <v>0.0125</v>
      </c>
      <c r="AX121" s="193" t="n">
        <f aca="false">$D$114/1000000/12*IF($I$114="Y",AX$57,IF(AX$6&gt;=EOMONTH($H$114,0),1,0))</f>
        <v>0.0125</v>
      </c>
      <c r="AY121" s="193" t="n">
        <f aca="false">$D$114/1000000/12*IF($I$114="Y",AY$57,IF(AY$6&gt;=EOMONTH($H$114,0),1,0))</f>
        <v>0.0125</v>
      </c>
      <c r="AZ121" s="193" t="n">
        <f aca="false">$D$114/1000000/12*IF($I$114="Y",AZ$57,IF(AZ$6&gt;=EOMONTH($H$114,0),1,0))</f>
        <v>0.0125</v>
      </c>
      <c r="BA121" s="193" t="n">
        <f aca="false">$D$114/1000000/12*IF($I$114="Y",BA$57,IF(BA$6&gt;=EOMONTH($H$114,0),1,0))</f>
        <v>0.0125</v>
      </c>
      <c r="BB121" s="193" t="n">
        <f aca="false">$D$114/1000000/12*IF($I$114="Y",BB$57,IF(BB$6&gt;=EOMONTH($H$114,0),1,0))</f>
        <v>0.0125</v>
      </c>
      <c r="BC121" s="193" t="n">
        <f aca="false">$D$114/1000000/12*IF($I$114="Y",BC$57,IF(BC$6&gt;=EOMONTH($H$114,0),1,0))</f>
        <v>0.0125</v>
      </c>
      <c r="BD121" s="193" t="n">
        <f aca="false">$D$114/1000000/12*IF($I$114="Y",BD$57,IF(BD$6&gt;=EOMONTH($H$114,0),1,0))</f>
        <v>0.0125</v>
      </c>
      <c r="BE121" s="193" t="n">
        <f aca="false">$D$114/1000000/12*IF($I$114="Y",BE$57,IF(BE$6&gt;=EOMONTH($H$114,0),1,0))</f>
        <v>0.0125</v>
      </c>
      <c r="BF121" s="193" t="n">
        <f aca="false">$D$114/1000000/12*IF($I$114="Y",BF$57,IF(BF$6&gt;=EOMONTH($H$114,0),1,0))</f>
        <v>0.0125</v>
      </c>
      <c r="BG121" s="193" t="n">
        <f aca="false">$D$114/1000000/12*IF($I$114="Y",BG$57,IF(BG$6&gt;=EOMONTH($H$114,0),1,0))</f>
        <v>0.0125</v>
      </c>
      <c r="BH121" s="193" t="n">
        <f aca="false">$D$114/1000000/12*IF($I$114="Y",BH$57,IF(BH$6&gt;=EOMONTH($H$114,0),1,0))</f>
        <v>0.0125</v>
      </c>
      <c r="BI121" s="193" t="n">
        <f aca="false">$D$114/1000000/12*IF($I$114="Y",BI$57,IF(BI$6&gt;=EOMONTH($H$114,0),1,0))</f>
        <v>0.0125</v>
      </c>
      <c r="BJ121" s="193" t="n">
        <f aca="false">$D$114/1000000/12*IF($I$114="Y",BJ$57,IF(BJ$6&gt;=EOMONTH($H$114,0),1,0))</f>
        <v>0.0125</v>
      </c>
      <c r="BK121" s="193" t="n">
        <f aca="false">$D$114/1000000/12*IF($I$114="Y",BK$57,IF(BK$6&gt;=EOMONTH($H$114,0),1,0))</f>
        <v>0.0125</v>
      </c>
      <c r="BL121" s="193" t="n">
        <f aca="false">$D$114/1000000/12*IF($I$114="Y",BL$57,IF(BL$6&gt;=EOMONTH($H$114,0),1,0))</f>
        <v>0.0125</v>
      </c>
      <c r="BM121" s="193" t="n">
        <f aca="false">$D$114/1000000/12*IF($I$114="Y",BM$57,IF(BM$6&gt;=EOMONTH($H$114,0),1,0))</f>
        <v>0.0125</v>
      </c>
      <c r="BN121" s="193" t="n">
        <f aca="false">$D$114/1000000/12*IF($I$114="Y",BN$57,IF(BN$6&gt;=EOMONTH($H$114,0),1,0))</f>
        <v>0.0125</v>
      </c>
      <c r="BO121" s="193" t="n">
        <f aca="false">$D$114/1000000/12*IF($I$114="Y",BO$57,IF(BO$6&gt;=EOMONTH($H$114,0),1,0))</f>
        <v>0.0125</v>
      </c>
      <c r="BP121" s="193" t="n">
        <f aca="false">$D$114/1000000/12*IF($I$114="Y",BP$57,IF(BP$6&gt;=EOMONTH($H$114,0),1,0))</f>
        <v>0.0125</v>
      </c>
      <c r="BQ121" s="193" t="n">
        <f aca="false">$D$114/1000000/12*IF($I$114="Y",BQ$57,IF(BQ$6&gt;=EOMONTH($H$114,0),1,0))</f>
        <v>0.0125</v>
      </c>
      <c r="BR121" s="193" t="n">
        <f aca="false">$D$114/1000000/12*IF($I$114="Y",BR$57,IF(BR$6&gt;=EOMONTH($H$114,0),1,0))</f>
        <v>0.0125</v>
      </c>
      <c r="BS121" s="193" t="n">
        <f aca="false">$D$114/1000000/12*IF($I$114="Y",BS$57,IF(BS$6&gt;=EOMONTH($H$114,0),1,0))</f>
        <v>0.0125</v>
      </c>
      <c r="BT121" s="193" t="n">
        <f aca="false">$D$114/1000000/12*IF($I$114="Y",BT$57,IF(BT$6&gt;=EOMONTH($H$114,0),1,0))</f>
        <v>0.0125</v>
      </c>
      <c r="BU121" s="193" t="n">
        <f aca="false">$D$114/1000000/12*IF($I$114="Y",BU$57,IF(BU$6&gt;=EOMONTH($H$114,0),1,0))</f>
        <v>0.0125</v>
      </c>
      <c r="BV121" s="193" t="n">
        <f aca="false">$D$114/1000000/12*IF($I$114="Y",BV$57,IF(BV$6&gt;=EOMONTH($H$114,0),1,0))</f>
        <v>0.0125</v>
      </c>
      <c r="BW121" s="193" t="n">
        <f aca="false">$D$114/1000000/12*IF($I$114="Y",BW$57,IF(BW$6&gt;=EOMONTH($H$114,0),1,0))</f>
        <v>0.0125</v>
      </c>
      <c r="BX121" s="193" t="n">
        <f aca="false">$D$114/1000000/12*IF($I$114="Y",BX$57,IF(BX$6&gt;=EOMONTH($H$114,0),1,0))</f>
        <v>0.0125</v>
      </c>
      <c r="BY121" s="193" t="n">
        <f aca="false">$D$114/1000000/12*IF($I$114="Y",BY$57,IF(BY$6&gt;=EOMONTH($H$114,0),1,0))</f>
        <v>0.0125</v>
      </c>
      <c r="BZ121" s="193" t="n">
        <f aca="false">$D$114/1000000/12*IF($I$114="Y",BZ$57,IF(BZ$6&gt;=EOMONTH($H$114,0),1,0))</f>
        <v>0.0125</v>
      </c>
      <c r="CA121" s="193" t="n">
        <f aca="false">$D$114/1000000/12*IF($I$114="Y",CA$57,IF(CA$6&gt;=EOMONTH($H$114,0),1,0))</f>
        <v>0.0125</v>
      </c>
    </row>
    <row r="122" customFormat="false" ht="15" hidden="false" customHeight="false" outlineLevel="0" collapsed="false">
      <c r="B122" s="10" t="s">
        <v>395</v>
      </c>
      <c r="K122" s="193" t="n">
        <f aca="false">SUMIFS($T122:$CA122,$T$5:$CA$5,2030)</f>
        <v>0.08</v>
      </c>
      <c r="L122" s="193" t="n">
        <f aca="false">SUMIFS($T122:$CA122,$T$5:$CA$5,2026)</f>
        <v>0</v>
      </c>
      <c r="M122" s="193" t="n">
        <f aca="false">SUMIFS($T122:$CA122,$T$5:$CA$5,2027)</f>
        <v>0.0266666666666667</v>
      </c>
      <c r="N122" s="193" t="n">
        <f aca="false">SUMIFS($T122:$CA122,$T$5:$CA$5,2028)</f>
        <v>0.08</v>
      </c>
      <c r="O122" s="193" t="n">
        <f aca="false">SUMIFS($T122:$CA122,$T$5:$CA$5,2029)</f>
        <v>0.08</v>
      </c>
      <c r="P122" s="193" t="n">
        <f aca="false">SUMIFS($T122:$CA122,$T$5:$CA$5,2030)</f>
        <v>0.08</v>
      </c>
      <c r="T122" s="193" t="n">
        <f aca="false">$D$115/1000000/12*IF($I$115="Y",T$57,IF(T$6&gt;=EOMONTH($H$115,0),1,0))</f>
        <v>0</v>
      </c>
      <c r="U122" s="193" t="n">
        <f aca="false">$D$115/1000000/12*IF($I$115="Y",U$57,IF(U$6&gt;=EOMONTH($H$115,0),1,0))</f>
        <v>0</v>
      </c>
      <c r="V122" s="193" t="n">
        <f aca="false">$D$115/1000000/12*IF($I$115="Y",V$57,IF(V$6&gt;=EOMONTH($H$115,0),1,0))</f>
        <v>0</v>
      </c>
      <c r="W122" s="193" t="n">
        <f aca="false">$D$115/1000000/12*IF($I$115="Y",W$57,IF(W$6&gt;=EOMONTH($H$115,0),1,0))</f>
        <v>0</v>
      </c>
      <c r="X122" s="193" t="n">
        <f aca="false">$D$115/1000000/12*IF($I$115="Y",X$57,IF(X$6&gt;=EOMONTH($H$115,0),1,0))</f>
        <v>0</v>
      </c>
      <c r="Y122" s="193" t="n">
        <f aca="false">$D$115/1000000/12*IF($I$115="Y",Y$57,IF(Y$6&gt;=EOMONTH($H$115,0),1,0))</f>
        <v>0</v>
      </c>
      <c r="Z122" s="193" t="n">
        <f aca="false">$D$115/1000000/12*IF($I$115="Y",Z$57,IF(Z$6&gt;=EOMONTH($H$115,0),1,0))</f>
        <v>0</v>
      </c>
      <c r="AA122" s="193" t="n">
        <f aca="false">$D$115/1000000/12*IF($I$115="Y",AA$57,IF(AA$6&gt;=EOMONTH($H$115,0),1,0))</f>
        <v>0</v>
      </c>
      <c r="AB122" s="193" t="n">
        <f aca="false">$D$115/1000000/12*IF($I$115="Y",AB$57,IF(AB$6&gt;=EOMONTH($H$115,0),1,0))</f>
        <v>0</v>
      </c>
      <c r="AC122" s="193" t="n">
        <f aca="false">$D$115/1000000/12*IF($I$115="Y",AC$57,IF(AC$6&gt;=EOMONTH($H$115,0),1,0))</f>
        <v>0</v>
      </c>
      <c r="AD122" s="193" t="n">
        <f aca="false">$D$115/1000000/12*IF($I$115="Y",AD$57,IF(AD$6&gt;=EOMONTH($H$115,0),1,0))</f>
        <v>0</v>
      </c>
      <c r="AE122" s="193" t="n">
        <f aca="false">$D$115/1000000/12*IF($I$115="Y",AE$57,IF(AE$6&gt;=EOMONTH($H$115,0),1,0))</f>
        <v>0</v>
      </c>
      <c r="AF122" s="193" t="n">
        <f aca="false">$D$115/1000000/12*IF($I$115="Y",AF$57,IF(AF$6&gt;=EOMONTH($H$115,0),1,0))</f>
        <v>0</v>
      </c>
      <c r="AG122" s="193" t="n">
        <f aca="false">$D$115/1000000/12*IF($I$115="Y",AG$57,IF(AG$6&gt;=EOMONTH($H$115,0),1,0))</f>
        <v>0</v>
      </c>
      <c r="AH122" s="193" t="n">
        <f aca="false">$D$115/1000000/12*IF($I$115="Y",AH$57,IF(AH$6&gt;=EOMONTH($H$115,0),1,0))</f>
        <v>0</v>
      </c>
      <c r="AI122" s="193" t="n">
        <f aca="false">$D$115/1000000/12*IF($I$115="Y",AI$57,IF(AI$6&gt;=EOMONTH($H$115,0),1,0))</f>
        <v>0</v>
      </c>
      <c r="AJ122" s="193" t="n">
        <f aca="false">$D$115/1000000/12*IF($I$115="Y",AJ$57,IF(AJ$6&gt;=EOMONTH($H$115,0),1,0))</f>
        <v>0</v>
      </c>
      <c r="AK122" s="193" t="n">
        <f aca="false">$D$115/1000000/12*IF($I$115="Y",AK$57,IF(AK$6&gt;=EOMONTH($H$115,0),1,0))</f>
        <v>0</v>
      </c>
      <c r="AL122" s="193" t="n">
        <f aca="false">$D$115/1000000/12*IF($I$115="Y",AL$57,IF(AL$6&gt;=EOMONTH($H$115,0),1,0))</f>
        <v>0</v>
      </c>
      <c r="AM122" s="193" t="n">
        <f aca="false">$D$115/1000000/12*IF($I$115="Y",AM$57,IF(AM$6&gt;=EOMONTH($H$115,0),1,0))</f>
        <v>0</v>
      </c>
      <c r="AN122" s="193" t="n">
        <f aca="false">$D$115/1000000/12*IF($I$115="Y",AN$57,IF(AN$6&gt;=EOMONTH($H$115,0),1,0))</f>
        <v>0.00666666666666667</v>
      </c>
      <c r="AO122" s="193" t="n">
        <f aca="false">$D$115/1000000/12*IF($I$115="Y",AO$57,IF(AO$6&gt;=EOMONTH($H$115,0),1,0))</f>
        <v>0.00666666666666667</v>
      </c>
      <c r="AP122" s="193" t="n">
        <f aca="false">$D$115/1000000/12*IF($I$115="Y",AP$57,IF(AP$6&gt;=EOMONTH($H$115,0),1,0))</f>
        <v>0.00666666666666667</v>
      </c>
      <c r="AQ122" s="193" t="n">
        <f aca="false">$D$115/1000000/12*IF($I$115="Y",AQ$57,IF(AQ$6&gt;=EOMONTH($H$115,0),1,0))</f>
        <v>0.00666666666666667</v>
      </c>
      <c r="AR122" s="193" t="n">
        <f aca="false">$D$115/1000000/12*IF($I$115="Y",AR$57,IF(AR$6&gt;=EOMONTH($H$115,0),1,0))</f>
        <v>0.00666666666666667</v>
      </c>
      <c r="AS122" s="193" t="n">
        <f aca="false">$D$115/1000000/12*IF($I$115="Y",AS$57,IF(AS$6&gt;=EOMONTH($H$115,0),1,0))</f>
        <v>0.00666666666666667</v>
      </c>
      <c r="AT122" s="193" t="n">
        <f aca="false">$D$115/1000000/12*IF($I$115="Y",AT$57,IF(AT$6&gt;=EOMONTH($H$115,0),1,0))</f>
        <v>0.00666666666666667</v>
      </c>
      <c r="AU122" s="193" t="n">
        <f aca="false">$D$115/1000000/12*IF($I$115="Y",AU$57,IF(AU$6&gt;=EOMONTH($H$115,0),1,0))</f>
        <v>0.00666666666666667</v>
      </c>
      <c r="AV122" s="193" t="n">
        <f aca="false">$D$115/1000000/12*IF($I$115="Y",AV$57,IF(AV$6&gt;=EOMONTH($H$115,0),1,0))</f>
        <v>0.00666666666666667</v>
      </c>
      <c r="AW122" s="193" t="n">
        <f aca="false">$D$115/1000000/12*IF($I$115="Y",AW$57,IF(AW$6&gt;=EOMONTH($H$115,0),1,0))</f>
        <v>0.00666666666666667</v>
      </c>
      <c r="AX122" s="193" t="n">
        <f aca="false">$D$115/1000000/12*IF($I$115="Y",AX$57,IF(AX$6&gt;=EOMONTH($H$115,0),1,0))</f>
        <v>0.00666666666666667</v>
      </c>
      <c r="AY122" s="193" t="n">
        <f aca="false">$D$115/1000000/12*IF($I$115="Y",AY$57,IF(AY$6&gt;=EOMONTH($H$115,0),1,0))</f>
        <v>0.00666666666666667</v>
      </c>
      <c r="AZ122" s="193" t="n">
        <f aca="false">$D$115/1000000/12*IF($I$115="Y",AZ$57,IF(AZ$6&gt;=EOMONTH($H$115,0),1,0))</f>
        <v>0.00666666666666667</v>
      </c>
      <c r="BA122" s="193" t="n">
        <f aca="false">$D$115/1000000/12*IF($I$115="Y",BA$57,IF(BA$6&gt;=EOMONTH($H$115,0),1,0))</f>
        <v>0.00666666666666667</v>
      </c>
      <c r="BB122" s="193" t="n">
        <f aca="false">$D$115/1000000/12*IF($I$115="Y",BB$57,IF(BB$6&gt;=EOMONTH($H$115,0),1,0))</f>
        <v>0.00666666666666667</v>
      </c>
      <c r="BC122" s="193" t="n">
        <f aca="false">$D$115/1000000/12*IF($I$115="Y",BC$57,IF(BC$6&gt;=EOMONTH($H$115,0),1,0))</f>
        <v>0.00666666666666667</v>
      </c>
      <c r="BD122" s="193" t="n">
        <f aca="false">$D$115/1000000/12*IF($I$115="Y",BD$57,IF(BD$6&gt;=EOMONTH($H$115,0),1,0))</f>
        <v>0.00666666666666667</v>
      </c>
      <c r="BE122" s="193" t="n">
        <f aca="false">$D$115/1000000/12*IF($I$115="Y",BE$57,IF(BE$6&gt;=EOMONTH($H$115,0),1,0))</f>
        <v>0.00666666666666667</v>
      </c>
      <c r="BF122" s="193" t="n">
        <f aca="false">$D$115/1000000/12*IF($I$115="Y",BF$57,IF(BF$6&gt;=EOMONTH($H$115,0),1,0))</f>
        <v>0.00666666666666667</v>
      </c>
      <c r="BG122" s="193" t="n">
        <f aca="false">$D$115/1000000/12*IF($I$115="Y",BG$57,IF(BG$6&gt;=EOMONTH($H$115,0),1,0))</f>
        <v>0.00666666666666667</v>
      </c>
      <c r="BH122" s="193" t="n">
        <f aca="false">$D$115/1000000/12*IF($I$115="Y",BH$57,IF(BH$6&gt;=EOMONTH($H$115,0),1,0))</f>
        <v>0.00666666666666667</v>
      </c>
      <c r="BI122" s="193" t="n">
        <f aca="false">$D$115/1000000/12*IF($I$115="Y",BI$57,IF(BI$6&gt;=EOMONTH($H$115,0),1,0))</f>
        <v>0.00666666666666667</v>
      </c>
      <c r="BJ122" s="193" t="n">
        <f aca="false">$D$115/1000000/12*IF($I$115="Y",BJ$57,IF(BJ$6&gt;=EOMONTH($H$115,0),1,0))</f>
        <v>0.00666666666666667</v>
      </c>
      <c r="BK122" s="193" t="n">
        <f aca="false">$D$115/1000000/12*IF($I$115="Y",BK$57,IF(BK$6&gt;=EOMONTH($H$115,0),1,0))</f>
        <v>0.00666666666666667</v>
      </c>
      <c r="BL122" s="193" t="n">
        <f aca="false">$D$115/1000000/12*IF($I$115="Y",BL$57,IF(BL$6&gt;=EOMONTH($H$115,0),1,0))</f>
        <v>0.00666666666666667</v>
      </c>
      <c r="BM122" s="193" t="n">
        <f aca="false">$D$115/1000000/12*IF($I$115="Y",BM$57,IF(BM$6&gt;=EOMONTH($H$115,0),1,0))</f>
        <v>0.00666666666666667</v>
      </c>
      <c r="BN122" s="193" t="n">
        <f aca="false">$D$115/1000000/12*IF($I$115="Y",BN$57,IF(BN$6&gt;=EOMONTH($H$115,0),1,0))</f>
        <v>0.00666666666666667</v>
      </c>
      <c r="BO122" s="193" t="n">
        <f aca="false">$D$115/1000000/12*IF($I$115="Y",BO$57,IF(BO$6&gt;=EOMONTH($H$115,0),1,0))</f>
        <v>0.00666666666666667</v>
      </c>
      <c r="BP122" s="193" t="n">
        <f aca="false">$D$115/1000000/12*IF($I$115="Y",BP$57,IF(BP$6&gt;=EOMONTH($H$115,0),1,0))</f>
        <v>0.00666666666666667</v>
      </c>
      <c r="BQ122" s="193" t="n">
        <f aca="false">$D$115/1000000/12*IF($I$115="Y",BQ$57,IF(BQ$6&gt;=EOMONTH($H$115,0),1,0))</f>
        <v>0.00666666666666667</v>
      </c>
      <c r="BR122" s="193" t="n">
        <f aca="false">$D$115/1000000/12*IF($I$115="Y",BR$57,IF(BR$6&gt;=EOMONTH($H$115,0),1,0))</f>
        <v>0.00666666666666667</v>
      </c>
      <c r="BS122" s="193" t="n">
        <f aca="false">$D$115/1000000/12*IF($I$115="Y",BS$57,IF(BS$6&gt;=EOMONTH($H$115,0),1,0))</f>
        <v>0.00666666666666667</v>
      </c>
      <c r="BT122" s="193" t="n">
        <f aca="false">$D$115/1000000/12*IF($I$115="Y",BT$57,IF(BT$6&gt;=EOMONTH($H$115,0),1,0))</f>
        <v>0.00666666666666667</v>
      </c>
      <c r="BU122" s="193" t="n">
        <f aca="false">$D$115/1000000/12*IF($I$115="Y",BU$57,IF(BU$6&gt;=EOMONTH($H$115,0),1,0))</f>
        <v>0.00666666666666667</v>
      </c>
      <c r="BV122" s="193" t="n">
        <f aca="false">$D$115/1000000/12*IF($I$115="Y",BV$57,IF(BV$6&gt;=EOMONTH($H$115,0),1,0))</f>
        <v>0.00666666666666667</v>
      </c>
      <c r="BW122" s="193" t="n">
        <f aca="false">$D$115/1000000/12*IF($I$115="Y",BW$57,IF(BW$6&gt;=EOMONTH($H$115,0),1,0))</f>
        <v>0.00666666666666667</v>
      </c>
      <c r="BX122" s="193" t="n">
        <f aca="false">$D$115/1000000/12*IF($I$115="Y",BX$57,IF(BX$6&gt;=EOMONTH($H$115,0),1,0))</f>
        <v>0.00666666666666667</v>
      </c>
      <c r="BY122" s="193" t="n">
        <f aca="false">$D$115/1000000/12*IF($I$115="Y",BY$57,IF(BY$6&gt;=EOMONTH($H$115,0),1,0))</f>
        <v>0.00666666666666667</v>
      </c>
      <c r="BZ122" s="193" t="n">
        <f aca="false">$D$115/1000000/12*IF($I$115="Y",BZ$57,IF(BZ$6&gt;=EOMONTH($H$115,0),1,0))</f>
        <v>0.00666666666666667</v>
      </c>
      <c r="CA122" s="193" t="n">
        <f aca="false">$D$115/1000000/12*IF($I$115="Y",CA$57,IF(CA$6&gt;=EOMONTH($H$115,0),1,0))</f>
        <v>0.00666666666666667</v>
      </c>
    </row>
    <row r="123" customFormat="false" ht="15" hidden="false" customHeight="false" outlineLevel="0" collapsed="false">
      <c r="B123" s="3" t="s">
        <v>396</v>
      </c>
      <c r="K123" s="193" t="n">
        <f aca="false">SUM(K118:K122)</f>
        <v>1.28</v>
      </c>
      <c r="L123" s="193" t="n">
        <f aca="false">SUM(L118:L122)</f>
        <v>0</v>
      </c>
      <c r="M123" s="193" t="n">
        <f aca="false">SUM(M118:M122)</f>
        <v>0.326666666666667</v>
      </c>
      <c r="N123" s="193" t="n">
        <f aca="false">SUM(N118:N122)</f>
        <v>1.24666666666667</v>
      </c>
      <c r="O123" s="193" t="n">
        <f aca="false">SUM(O118:O122)</f>
        <v>1.28</v>
      </c>
      <c r="P123" s="193" t="n">
        <f aca="false">SUM(P118:P122)</f>
        <v>1.28</v>
      </c>
    </row>
    <row r="125" customFormat="false" ht="18" hidden="false" customHeight="true" outlineLevel="0" collapsed="false">
      <c r="B125" s="5" t="s">
        <v>397</v>
      </c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7" customFormat="false" ht="15" hidden="false" customHeight="false" outlineLevel="0" collapsed="false">
      <c r="B127" s="196" t="s">
        <v>718</v>
      </c>
      <c r="F127" s="198" t="s">
        <v>399</v>
      </c>
    </row>
    <row r="128" customFormat="false" ht="15" hidden="false" customHeight="false" outlineLevel="0" collapsed="false">
      <c r="B128" s="196" t="s">
        <v>719</v>
      </c>
      <c r="F128" s="198" t="s">
        <v>401</v>
      </c>
    </row>
    <row r="129" customFormat="false" ht="15" hidden="false" customHeight="false" outlineLevel="0" collapsed="false">
      <c r="B129" s="196" t="s">
        <v>720</v>
      </c>
      <c r="F129" s="198" t="s">
        <v>403</v>
      </c>
    </row>
    <row r="130" customFormat="false" ht="15" hidden="false" customHeight="false" outlineLevel="0" collapsed="false">
      <c r="B130" s="196" t="s">
        <v>721</v>
      </c>
      <c r="F130" s="198" t="s">
        <v>405</v>
      </c>
    </row>
    <row r="131" customFormat="false" ht="15" hidden="false" customHeight="false" outlineLevel="0" collapsed="false">
      <c r="B131" s="196" t="s">
        <v>722</v>
      </c>
      <c r="F131" s="198" t="s">
        <v>478</v>
      </c>
    </row>
    <row r="132" customFormat="false" ht="15" hidden="false" customHeight="false" outlineLevel="0" collapsed="false">
      <c r="B132" s="196" t="s">
        <v>723</v>
      </c>
      <c r="F132" s="198" t="s">
        <v>480</v>
      </c>
    </row>
    <row r="133" customFormat="false" ht="15" hidden="false" customHeight="false" outlineLevel="0" collapsed="false">
      <c r="B133" s="196" t="s">
        <v>724</v>
      </c>
      <c r="F133" s="198" t="s">
        <v>407</v>
      </c>
    </row>
    <row r="134" customFormat="false" ht="15" hidden="false" customHeight="false" outlineLevel="0" collapsed="false">
      <c r="B134" s="196" t="s">
        <v>725</v>
      </c>
      <c r="F134" s="198" t="s">
        <v>409</v>
      </c>
    </row>
    <row r="135" customFormat="false" ht="15" hidden="false" customHeight="false" outlineLevel="0" collapsed="false">
      <c r="B135" s="196" t="s">
        <v>726</v>
      </c>
      <c r="F135" s="198" t="s">
        <v>411</v>
      </c>
    </row>
    <row r="136" customFormat="false" ht="15" hidden="false" customHeight="false" outlineLevel="0" collapsed="false">
      <c r="B136" s="196" t="s">
        <v>727</v>
      </c>
      <c r="F136" s="198" t="s">
        <v>413</v>
      </c>
    </row>
    <row r="138" customFormat="false" ht="18" hidden="false" customHeight="true" outlineLevel="0" collapsed="false">
      <c r="B138" s="5" t="s">
        <v>414</v>
      </c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</row>
  </sheetData>
  <mergeCells count="3">
    <mergeCell ref="D10:H10"/>
    <mergeCell ref="D11:H11"/>
    <mergeCell ref="D12:H12"/>
  </mergeCells>
  <dataValidations count="1">
    <dataValidation allowBlank="true" errorStyle="stop" operator="between" showDropDown="false" showErrorMessage="false" showInputMessage="false" sqref="I111:I115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C1:CM171"/>
  <sheetViews>
    <sheetView showFormulas="false" showGridLines="false" showRowColHeaders="true" showZeros="true" rightToLeft="false" tabSelected="false" showOutlineSymbols="true" defaultGridColor="true" view="normal" topLeftCell="A1" colorId="64" zoomScale="50" zoomScaleNormal="5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5390625" defaultRowHeight="14.25" zeroHeight="false" outlineLevelRow="1" outlineLevelCol="1"/>
  <cols>
    <col collapsed="false" customWidth="true" hidden="false" outlineLevel="0" max="4" min="1" style="0" width="2.81"/>
    <col collapsed="false" customWidth="true" hidden="false" outlineLevel="0" max="5" min="5" style="0" width="65.81"/>
    <col collapsed="false" customWidth="true" hidden="false" outlineLevel="0" max="6" min="6" style="0" width="16.54"/>
    <col collapsed="false" customWidth="true" hidden="false" outlineLevel="0" max="7" min="7" style="0" width="16.18"/>
    <col collapsed="false" customWidth="true" hidden="false" outlineLevel="0" max="8" min="8" style="0" width="22.45"/>
    <col collapsed="false" customWidth="true" hidden="false" outlineLevel="0" max="16" min="9" style="0" width="13.54"/>
    <col collapsed="false" customWidth="true" hidden="false" outlineLevel="0" max="17" min="17" style="13" width="13.54"/>
    <col collapsed="false" customWidth="true" hidden="false" outlineLevel="0" max="18" min="18" style="13" width="16.45"/>
    <col collapsed="false" customWidth="true" hidden="false" outlineLevel="0" max="19" min="19" style="0" width="2.81"/>
    <col collapsed="false" customWidth="true" hidden="false" outlineLevel="0" max="67" min="20" style="0" width="16.54"/>
    <col collapsed="false" customWidth="true" hidden="true" outlineLevel="1" max="79" min="68" style="0" width="16.54"/>
    <col collapsed="false" customWidth="true" hidden="false" outlineLevel="0" max="80" min="80" style="0" width="2.81"/>
    <col collapsed="false" customWidth="true" hidden="false" outlineLevel="0" max="85" min="81" style="0" width="16.54"/>
    <col collapsed="false" customWidth="true" hidden="false" outlineLevel="0" max="86" min="86" style="0" width="2.81"/>
    <col collapsed="false" customWidth="true" hidden="false" outlineLevel="0" max="91" min="87" style="0" width="16.54"/>
  </cols>
  <sheetData>
    <row r="1" s="14" customFormat="true" ht="16.5" hidden="true" customHeight="true" outlineLevel="1" collapsed="false">
      <c r="L1" s="15" t="n">
        <v>1</v>
      </c>
      <c r="M1" s="15" t="n">
        <v>2</v>
      </c>
      <c r="N1" s="15" t="n">
        <v>3</v>
      </c>
      <c r="O1" s="15" t="n">
        <v>4</v>
      </c>
      <c r="P1" s="15" t="n">
        <v>5</v>
      </c>
      <c r="Q1" s="16"/>
      <c r="R1" s="17" t="n">
        <f aca="false">COUNTIFS($R$66:$R$117, "Error")</f>
        <v>0</v>
      </c>
      <c r="T1" s="17" t="n">
        <v>2026</v>
      </c>
      <c r="U1" s="17" t="n">
        <v>2026</v>
      </c>
      <c r="V1" s="17" t="n">
        <v>2026</v>
      </c>
      <c r="W1" s="17" t="n">
        <v>2026</v>
      </c>
      <c r="X1" s="17" t="n">
        <v>2026</v>
      </c>
      <c r="Y1" s="17" t="n">
        <v>2026</v>
      </c>
      <c r="Z1" s="17" t="n">
        <v>2026</v>
      </c>
      <c r="AA1" s="17" t="n">
        <v>2026</v>
      </c>
      <c r="AB1" s="17" t="n">
        <v>2026</v>
      </c>
      <c r="AC1" s="17" t="n">
        <v>2026</v>
      </c>
      <c r="AD1" s="17" t="n">
        <v>2026</v>
      </c>
      <c r="AE1" s="17" t="n">
        <v>2026</v>
      </c>
      <c r="AF1" s="17" t="n">
        <v>2027</v>
      </c>
      <c r="AG1" s="17" t="n">
        <v>2027</v>
      </c>
      <c r="AH1" s="17" t="n">
        <v>2027</v>
      </c>
      <c r="AI1" s="17" t="n">
        <v>2027</v>
      </c>
      <c r="AJ1" s="17" t="n">
        <v>2027</v>
      </c>
      <c r="AK1" s="17" t="n">
        <v>2027</v>
      </c>
      <c r="AL1" s="17" t="n">
        <v>2027</v>
      </c>
      <c r="AM1" s="17" t="n">
        <v>2027</v>
      </c>
      <c r="AN1" s="17" t="n">
        <v>2027</v>
      </c>
      <c r="AO1" s="17" t="n">
        <v>2027</v>
      </c>
      <c r="AP1" s="17" t="n">
        <v>2027</v>
      </c>
      <c r="AQ1" s="17" t="n">
        <v>2027</v>
      </c>
      <c r="AR1" s="17" t="n">
        <v>2028</v>
      </c>
      <c r="AS1" s="17" t="n">
        <v>2028</v>
      </c>
      <c r="AT1" s="17" t="n">
        <v>2028</v>
      </c>
      <c r="AU1" s="17" t="n">
        <v>2028</v>
      </c>
      <c r="AV1" s="17" t="n">
        <v>2028</v>
      </c>
      <c r="AW1" s="17" t="n">
        <v>2028</v>
      </c>
      <c r="AX1" s="17" t="n">
        <v>2028</v>
      </c>
      <c r="AY1" s="17" t="n">
        <v>2028</v>
      </c>
      <c r="AZ1" s="17" t="n">
        <v>2028</v>
      </c>
      <c r="BA1" s="17" t="n">
        <v>2028</v>
      </c>
      <c r="BB1" s="17" t="n">
        <v>2028</v>
      </c>
      <c r="BC1" s="17" t="n">
        <v>2028</v>
      </c>
      <c r="BD1" s="17" t="n">
        <v>2029</v>
      </c>
      <c r="BE1" s="17" t="n">
        <v>2029</v>
      </c>
      <c r="BF1" s="17" t="n">
        <v>2029</v>
      </c>
      <c r="BG1" s="17" t="n">
        <v>2029</v>
      </c>
      <c r="BH1" s="17" t="n">
        <v>2029</v>
      </c>
      <c r="BI1" s="17" t="n">
        <v>2029</v>
      </c>
      <c r="BJ1" s="17" t="n">
        <v>2029</v>
      </c>
      <c r="BK1" s="17" t="n">
        <v>2029</v>
      </c>
      <c r="BL1" s="17" t="n">
        <v>2029</v>
      </c>
      <c r="BM1" s="17" t="n">
        <v>2029</v>
      </c>
      <c r="BN1" s="17" t="n">
        <v>2029</v>
      </c>
      <c r="BO1" s="17" t="n">
        <v>2029</v>
      </c>
      <c r="BP1" s="17" t="n">
        <v>2030</v>
      </c>
      <c r="BQ1" s="17" t="n">
        <v>2030</v>
      </c>
      <c r="BR1" s="17" t="n">
        <v>2030</v>
      </c>
      <c r="BS1" s="17" t="n">
        <v>2030</v>
      </c>
      <c r="BT1" s="17" t="n">
        <v>2030</v>
      </c>
      <c r="BU1" s="17" t="n">
        <v>2030</v>
      </c>
      <c r="BV1" s="17" t="n">
        <v>2030</v>
      </c>
      <c r="BW1" s="17" t="n">
        <v>2030</v>
      </c>
      <c r="BX1" s="17" t="n">
        <v>2030</v>
      </c>
      <c r="BY1" s="17" t="n">
        <v>2030</v>
      </c>
      <c r="BZ1" s="17" t="n">
        <v>2030</v>
      </c>
      <c r="CA1" s="17" t="n">
        <v>2030</v>
      </c>
      <c r="CI1" s="17" t="n">
        <f aca="false">COUNTIFS(CI$66:CI$149, "FALSE")</f>
        <v>0</v>
      </c>
      <c r="CJ1" s="17" t="n">
        <f aca="false">COUNTIFS(CJ$66:CJ$149, "FALSE")</f>
        <v>0</v>
      </c>
      <c r="CK1" s="17" t="n">
        <f aca="false">COUNTIFS(CK$66:CK$149, "FALSE")</f>
        <v>0</v>
      </c>
      <c r="CL1" s="17" t="n">
        <f aca="false">COUNTIFS(CL$66:CL$149, "FALSE")</f>
        <v>0</v>
      </c>
      <c r="CM1" s="17" t="n">
        <f aca="false">COUNTIFS(CM$66:CM$149, "FALSE")</f>
        <v>0</v>
      </c>
    </row>
    <row r="2" s="14" customFormat="true" ht="30.75" hidden="false" customHeight="true" outlineLevel="0" collapsed="false">
      <c r="C2" s="18" t="str">
        <f aca="false">"#"&amp;$F$6&amp;" Initiative Business Case"</f>
        <v>#TBD Initiative Business Case</v>
      </c>
      <c r="Q2" s="16"/>
      <c r="R2" s="16"/>
    </row>
    <row r="3" s="14" customFormat="true" ht="16.5" hidden="false" customHeight="true" outlineLevel="0" collapsed="false">
      <c r="Q3" s="16"/>
      <c r="R3" s="16"/>
    </row>
    <row r="4" s="14" customFormat="true" ht="16.5" hidden="false" customHeight="true" outlineLevel="0" collapsed="false">
      <c r="C4" s="19" t="s">
        <v>61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</row>
    <row r="5" s="14" customFormat="true" ht="16.5" hidden="false" customHeight="true" outlineLevel="0" collapsed="false">
      <c r="Q5" s="16"/>
      <c r="R5" s="16"/>
    </row>
    <row r="6" s="14" customFormat="true" ht="16.5" hidden="false" customHeight="true" outlineLevel="0" collapsed="false">
      <c r="D6" s="21" t="s">
        <v>62</v>
      </c>
      <c r="F6" s="22" t="s">
        <v>415</v>
      </c>
      <c r="G6" s="23"/>
      <c r="Q6" s="16"/>
      <c r="R6" s="16"/>
    </row>
    <row r="7" customFormat="false" ht="16.5" hidden="false" customHeight="true" outlineLevel="0" collapsed="false">
      <c r="D7" s="21" t="s">
        <v>63</v>
      </c>
      <c r="F7" s="199" t="s">
        <v>264</v>
      </c>
      <c r="G7" s="200"/>
      <c r="I7" s="14"/>
      <c r="J7" s="14"/>
      <c r="K7" s="14"/>
    </row>
    <row r="8" s="14" customFormat="true" ht="16.5" hidden="false" customHeight="true" outlineLevel="0" collapsed="false">
      <c r="D8" s="21" t="s">
        <v>65</v>
      </c>
      <c r="F8" s="26" t="s">
        <v>680</v>
      </c>
      <c r="G8" s="26"/>
      <c r="H8" s="26"/>
      <c r="I8" s="26"/>
      <c r="J8" s="26"/>
      <c r="Q8" s="16"/>
      <c r="R8" s="16"/>
    </row>
    <row r="9" s="14" customFormat="true" ht="16.5" hidden="false" customHeight="true" outlineLevel="0" collapsed="false">
      <c r="D9" s="21"/>
      <c r="F9" s="26"/>
      <c r="G9" s="26"/>
      <c r="H9" s="26"/>
      <c r="I9" s="26"/>
      <c r="J9" s="26"/>
      <c r="N9" s="21"/>
      <c r="Q9" s="16"/>
      <c r="R9" s="16"/>
    </row>
    <row r="10" s="14" customFormat="true" ht="16.5" hidden="false" customHeight="true" outlineLevel="0" collapsed="false">
      <c r="F10" s="26"/>
      <c r="G10" s="26"/>
      <c r="H10" s="26"/>
      <c r="I10" s="26"/>
      <c r="J10" s="26"/>
      <c r="Q10" s="16"/>
      <c r="R10" s="16"/>
    </row>
    <row r="11" s="14" customFormat="true" ht="16.5" hidden="false" customHeight="true" outlineLevel="0" collapsed="false">
      <c r="D11" s="21" t="s">
        <v>69</v>
      </c>
      <c r="F11" s="201" t="n">
        <f aca="false">'SVC-5 Model'!$D$13</f>
        <v>46631</v>
      </c>
      <c r="M11" s="21"/>
      <c r="Q11" s="16"/>
      <c r="R11" s="16"/>
    </row>
    <row r="12" s="14" customFormat="true" ht="16.5" hidden="false" customHeight="true" outlineLevel="0" collapsed="false">
      <c r="D12" s="21" t="s">
        <v>70</v>
      </c>
      <c r="F12" s="28" t="n">
        <f aca="false">$K$117</f>
        <v>5.55350358976987</v>
      </c>
      <c r="M12" s="21"/>
      <c r="Q12" s="16"/>
      <c r="R12" s="16"/>
    </row>
    <row r="13" s="14" customFormat="true" ht="17.25" hidden="false" customHeight="true" outlineLevel="0" collapsed="false">
      <c r="Q13" s="16"/>
      <c r="R13" s="16"/>
    </row>
    <row r="14" s="14" customFormat="true" ht="16.5" hidden="false" customHeight="true" outlineLevel="0" collapsed="false">
      <c r="C14" s="19" t="s">
        <v>71</v>
      </c>
      <c r="D14" s="19"/>
      <c r="E14" s="19"/>
      <c r="F14" s="19"/>
      <c r="G14" s="19"/>
      <c r="H14" s="19"/>
      <c r="I14" s="19"/>
      <c r="J14" s="19"/>
      <c r="L14" s="19"/>
      <c r="M14" s="19"/>
      <c r="N14" s="19"/>
      <c r="O14" s="19"/>
      <c r="P14" s="19"/>
      <c r="Q14" s="20"/>
      <c r="R14" s="20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</row>
    <row r="15" s="14" customFormat="true" ht="17.25" hidden="false" customHeight="true" outlineLevel="0" collapsed="false">
      <c r="Q15" s="16"/>
      <c r="R15" s="16"/>
    </row>
    <row r="16" s="14" customFormat="true" ht="17.25" hidden="false" customHeight="true" outlineLevel="0" collapsed="false">
      <c r="D16" s="29" t="s">
        <v>416</v>
      </c>
    </row>
    <row r="17" s="14" customFormat="true" ht="17.25" hidden="false" customHeight="true" outlineLevel="0" collapsed="false">
      <c r="D17" s="32" t="s">
        <v>77</v>
      </c>
      <c r="E17" s="33"/>
      <c r="F17" s="33"/>
      <c r="G17" s="33"/>
      <c r="H17" s="32" t="s">
        <v>78</v>
      </c>
      <c r="I17" s="32" t="s">
        <v>79</v>
      </c>
      <c r="J17" s="34" t="s">
        <v>80</v>
      </c>
    </row>
    <row r="18" s="14" customFormat="true" ht="17.25" hidden="false" customHeight="true" outlineLevel="0" collapsed="false">
      <c r="D18" s="33"/>
      <c r="E18" s="33" t="s">
        <v>728</v>
      </c>
      <c r="F18" s="33"/>
      <c r="G18" s="36"/>
      <c r="H18" s="202" t="s">
        <v>418</v>
      </c>
      <c r="I18" s="37" t="s">
        <v>102</v>
      </c>
      <c r="J18" s="203" t="n">
        <f aca="false">'SVC-5 Model'!$D$47/1000000</f>
        <v>17.66433499</v>
      </c>
      <c r="P18" s="16"/>
      <c r="Q18" s="35"/>
      <c r="R18" s="16"/>
    </row>
    <row r="19" s="14" customFormat="true" ht="17.25" hidden="false" customHeight="true" outlineLevel="0" collapsed="false">
      <c r="D19" s="33"/>
      <c r="E19" s="33" t="s">
        <v>729</v>
      </c>
      <c r="F19" s="33"/>
      <c r="G19" s="36"/>
      <c r="H19" s="202" t="s">
        <v>420</v>
      </c>
      <c r="I19" s="37" t="s">
        <v>730</v>
      </c>
      <c r="J19" s="236" t="n">
        <v>8961568</v>
      </c>
      <c r="P19" s="16"/>
      <c r="Q19" s="35"/>
      <c r="R19" s="16"/>
    </row>
    <row r="20" s="14" customFormat="true" ht="17.25" hidden="false" customHeight="true" outlineLevel="0" collapsed="false">
      <c r="D20" s="33"/>
      <c r="E20" s="33" t="s">
        <v>731</v>
      </c>
      <c r="F20" s="33"/>
      <c r="G20" s="36"/>
      <c r="H20" s="202" t="s">
        <v>420</v>
      </c>
      <c r="I20" s="37" t="s">
        <v>282</v>
      </c>
      <c r="J20" s="237" t="n">
        <v>0.7876</v>
      </c>
      <c r="L20" s="205"/>
      <c r="P20" s="16"/>
      <c r="Q20" s="35"/>
      <c r="R20" s="16"/>
    </row>
    <row r="21" s="14" customFormat="true" ht="17.25" hidden="false" customHeight="true" outlineLevel="0" collapsed="false">
      <c r="D21" s="33"/>
      <c r="E21" s="40"/>
      <c r="F21" s="40"/>
      <c r="G21" s="41"/>
      <c r="H21" s="206"/>
      <c r="I21" s="42"/>
      <c r="J21" s="55"/>
      <c r="P21" s="16"/>
      <c r="Q21" s="35"/>
      <c r="R21" s="16"/>
    </row>
    <row r="22" s="14" customFormat="true" ht="17.25" hidden="false" customHeight="true" outlineLevel="0" collapsed="false">
      <c r="D22" s="33"/>
      <c r="E22" s="33"/>
      <c r="F22" s="33"/>
      <c r="G22" s="36"/>
      <c r="H22" s="33"/>
      <c r="I22" s="37"/>
      <c r="J22" s="33"/>
      <c r="Q22" s="16"/>
      <c r="R22" s="16"/>
    </row>
    <row r="23" s="14" customFormat="true" ht="17.25" hidden="false" customHeight="true" outlineLevel="0" collapsed="false">
      <c r="D23" s="32" t="s">
        <v>104</v>
      </c>
      <c r="E23" s="33"/>
      <c r="F23" s="33"/>
      <c r="G23" s="36"/>
      <c r="H23" s="32"/>
      <c r="I23" s="32"/>
      <c r="J23" s="34"/>
      <c r="Q23" s="16"/>
      <c r="R23" s="16"/>
    </row>
    <row r="24" s="14" customFormat="true" ht="17.25" hidden="false" customHeight="true" outlineLevel="0" collapsed="false">
      <c r="D24" s="33"/>
      <c r="E24" s="33" t="s">
        <v>732</v>
      </c>
      <c r="F24" s="33"/>
      <c r="G24" s="36"/>
      <c r="H24" s="33" t="s">
        <v>423</v>
      </c>
      <c r="I24" s="37" t="s">
        <v>282</v>
      </c>
      <c r="J24" s="207" t="n">
        <f aca="false">'SVC-5 Model'!$D$51/'SVC-5 Model'!$D$47</f>
        <v>0.386853147522304</v>
      </c>
      <c r="Q24" s="16"/>
      <c r="R24" s="16"/>
    </row>
    <row r="25" s="14" customFormat="true" ht="17.25" hidden="false" customHeight="true" outlineLevel="0" collapsed="false">
      <c r="D25" s="33"/>
      <c r="E25" s="33" t="s">
        <v>424</v>
      </c>
      <c r="F25" s="33"/>
      <c r="G25" s="36"/>
      <c r="H25" s="33" t="s">
        <v>423</v>
      </c>
      <c r="I25" s="37" t="s">
        <v>287</v>
      </c>
      <c r="J25" s="208" t="n">
        <f aca="false">'SVC-5 Model'!$D$34</f>
        <v>210.8406</v>
      </c>
      <c r="Q25" s="16"/>
      <c r="R25" s="16"/>
    </row>
    <row r="26" s="14" customFormat="true" ht="17.25" hidden="false" customHeight="true" outlineLevel="0" collapsed="false">
      <c r="D26" s="33"/>
      <c r="E26" s="40"/>
      <c r="F26" s="40"/>
      <c r="G26" s="41"/>
      <c r="H26" s="40"/>
      <c r="I26" s="42"/>
      <c r="J26" s="55"/>
      <c r="K26" s="45"/>
      <c r="Q26" s="16"/>
      <c r="R26" s="16"/>
    </row>
    <row r="27" s="14" customFormat="true" ht="17.25" hidden="false" customHeight="true" outlineLevel="0" collapsed="false">
      <c r="D27" s="33"/>
      <c r="E27" s="46"/>
      <c r="F27" s="46"/>
      <c r="G27" s="47"/>
      <c r="H27" s="46"/>
      <c r="I27" s="48"/>
      <c r="J27" s="49"/>
      <c r="K27" s="50"/>
      <c r="Q27" s="16"/>
      <c r="R27" s="16"/>
    </row>
    <row r="28" s="14" customFormat="true" ht="17.25" hidden="false" customHeight="true" outlineLevel="0" collapsed="false">
      <c r="D28" s="32" t="s">
        <v>111</v>
      </c>
      <c r="E28" s="46"/>
      <c r="F28" s="46"/>
      <c r="G28" s="47"/>
      <c r="H28" s="46"/>
      <c r="I28" s="48"/>
      <c r="J28" s="49"/>
      <c r="K28" s="50"/>
      <c r="L28" s="51"/>
      <c r="Q28" s="16"/>
      <c r="R28" s="16"/>
    </row>
    <row r="29" s="14" customFormat="true" ht="17.25" hidden="false" customHeight="true" outlineLevel="0" collapsed="false">
      <c r="D29" s="32"/>
      <c r="E29" s="209" t="s">
        <v>425</v>
      </c>
      <c r="F29" s="40"/>
      <c r="G29" s="41"/>
      <c r="H29" s="40"/>
      <c r="I29" s="42" t="s">
        <v>102</v>
      </c>
      <c r="J29" s="210" t="n">
        <f aca="false">'SVC-5 Model'!$D$51/1000000</f>
        <v>6.83350358976987</v>
      </c>
      <c r="Q29" s="16"/>
      <c r="R29" s="16"/>
    </row>
    <row r="30" s="14" customFormat="true" ht="17.25" hidden="false" customHeight="true" outlineLevel="0" collapsed="false">
      <c r="D30" s="16"/>
      <c r="E30" s="16"/>
      <c r="F30" s="16"/>
      <c r="G30" s="16"/>
      <c r="H30" s="16"/>
      <c r="I30" s="16"/>
      <c r="J30" s="16"/>
      <c r="Q30" s="16"/>
      <c r="R30" s="16"/>
    </row>
    <row r="31" s="14" customFormat="true" ht="17.25" hidden="true" customHeight="true" outlineLevel="1" collapsed="false">
      <c r="D31" s="32"/>
      <c r="E31" s="33"/>
      <c r="F31" s="33"/>
      <c r="G31" s="33"/>
      <c r="H31" s="32"/>
      <c r="I31" s="42"/>
      <c r="J31" s="34"/>
      <c r="Q31" s="16"/>
      <c r="R31" s="16"/>
    </row>
    <row r="32" s="14" customFormat="true" ht="17.25" hidden="true" customHeight="true" outlineLevel="1" collapsed="false">
      <c r="D32" s="33"/>
      <c r="E32" s="33"/>
      <c r="F32" s="33"/>
      <c r="G32" s="36"/>
      <c r="H32" s="202"/>
      <c r="I32" s="37"/>
      <c r="J32" s="38"/>
      <c r="Q32" s="16"/>
      <c r="R32" s="16"/>
    </row>
    <row r="33" s="14" customFormat="true" ht="17.25" hidden="true" customHeight="true" outlineLevel="1" collapsed="false">
      <c r="D33" s="33"/>
      <c r="E33" s="33"/>
      <c r="F33" s="33"/>
      <c r="G33" s="36"/>
      <c r="H33" s="33"/>
      <c r="I33" s="37"/>
      <c r="J33" s="39"/>
      <c r="Q33" s="16"/>
      <c r="R33" s="16"/>
    </row>
    <row r="34" s="14" customFormat="true" ht="17.25" hidden="true" customHeight="true" outlineLevel="1" collapsed="false">
      <c r="D34" s="33"/>
      <c r="E34" s="40"/>
      <c r="F34" s="40"/>
      <c r="G34" s="41"/>
      <c r="H34" s="40"/>
      <c r="I34" s="42"/>
      <c r="J34" s="53"/>
      <c r="Q34" s="16"/>
      <c r="R34" s="16"/>
    </row>
    <row r="35" s="14" customFormat="true" ht="17.25" hidden="true" customHeight="true" outlineLevel="1" collapsed="false">
      <c r="D35" s="33"/>
      <c r="E35" s="33"/>
      <c r="F35" s="33"/>
      <c r="G35" s="36"/>
      <c r="H35" s="33"/>
      <c r="I35" s="37"/>
      <c r="J35" s="33"/>
      <c r="Q35" s="16"/>
      <c r="R35" s="16"/>
    </row>
    <row r="36" s="14" customFormat="true" ht="17.25" hidden="true" customHeight="true" outlineLevel="1" collapsed="false">
      <c r="D36" s="32"/>
      <c r="E36" s="33"/>
      <c r="F36" s="33"/>
      <c r="G36" s="36"/>
      <c r="H36" s="32"/>
      <c r="I36" s="32"/>
      <c r="J36" s="34"/>
      <c r="Q36" s="16"/>
      <c r="R36" s="16"/>
    </row>
    <row r="37" s="14" customFormat="true" ht="17.25" hidden="true" customHeight="true" outlineLevel="1" collapsed="false">
      <c r="D37" s="33"/>
      <c r="E37" s="33"/>
      <c r="F37" s="33"/>
      <c r="G37" s="36"/>
      <c r="H37" s="33"/>
      <c r="I37" s="37"/>
      <c r="J37" s="54"/>
      <c r="Q37" s="16"/>
      <c r="R37" s="16"/>
    </row>
    <row r="38" s="14" customFormat="true" ht="17.25" hidden="true" customHeight="true" outlineLevel="1" collapsed="false">
      <c r="D38" s="33"/>
      <c r="E38" s="33"/>
      <c r="F38" s="33"/>
      <c r="G38" s="36"/>
      <c r="H38" s="33"/>
      <c r="I38" s="37"/>
      <c r="J38" s="44"/>
      <c r="Q38" s="16"/>
      <c r="R38" s="16"/>
    </row>
    <row r="39" s="14" customFormat="true" ht="17.25" hidden="true" customHeight="true" outlineLevel="1" collapsed="false">
      <c r="D39" s="33"/>
      <c r="E39" s="40"/>
      <c r="F39" s="40"/>
      <c r="G39" s="41"/>
      <c r="H39" s="40"/>
      <c r="I39" s="42"/>
      <c r="J39" s="53"/>
      <c r="Q39" s="16"/>
      <c r="R39" s="16"/>
    </row>
    <row r="40" s="14" customFormat="true" ht="17.25" hidden="true" customHeight="true" outlineLevel="1" collapsed="false">
      <c r="D40" s="33"/>
      <c r="E40" s="46"/>
      <c r="F40" s="46"/>
      <c r="G40" s="47"/>
      <c r="H40" s="46"/>
      <c r="I40" s="48"/>
      <c r="J40" s="49"/>
      <c r="Q40" s="16"/>
      <c r="R40" s="16"/>
    </row>
    <row r="41" s="14" customFormat="true" ht="17.25" hidden="true" customHeight="true" outlineLevel="1" collapsed="false">
      <c r="D41" s="32"/>
      <c r="E41" s="46"/>
      <c r="F41" s="46"/>
      <c r="G41" s="47"/>
      <c r="H41" s="46"/>
      <c r="I41" s="48"/>
      <c r="J41" s="49"/>
      <c r="Q41" s="16"/>
      <c r="R41" s="16"/>
    </row>
    <row r="42" s="14" customFormat="true" ht="17.25" hidden="true" customHeight="true" outlineLevel="1" collapsed="false">
      <c r="D42" s="32"/>
      <c r="E42" s="33"/>
      <c r="F42" s="46"/>
      <c r="G42" s="36"/>
      <c r="H42" s="46"/>
      <c r="I42" s="37"/>
      <c r="J42" s="52"/>
      <c r="Q42" s="16"/>
      <c r="R42" s="16"/>
    </row>
    <row r="43" s="14" customFormat="true" ht="17.25" hidden="true" customHeight="true" outlineLevel="1" collapsed="false">
      <c r="D43" s="32"/>
      <c r="E43" s="33"/>
      <c r="F43" s="46"/>
      <c r="G43" s="36"/>
      <c r="H43" s="46"/>
      <c r="I43" s="37"/>
      <c r="J43" s="55"/>
      <c r="Q43" s="16"/>
      <c r="R43" s="16"/>
    </row>
    <row r="44" s="14" customFormat="true" ht="17.25" hidden="false" customHeight="true" outlineLevel="0" collapsed="false">
      <c r="E44" s="21"/>
      <c r="F44" s="21"/>
      <c r="G44" s="21"/>
      <c r="H44" s="21"/>
      <c r="I44" s="56"/>
      <c r="J44" s="57"/>
      <c r="Q44" s="16"/>
      <c r="R44" s="16"/>
    </row>
    <row r="45" s="14" customFormat="true" ht="17.25" hidden="true" customHeight="true" outlineLevel="1" collapsed="false">
      <c r="D45" s="32"/>
      <c r="E45" s="33"/>
      <c r="F45" s="33"/>
      <c r="G45" s="33"/>
      <c r="H45" s="32"/>
      <c r="I45" s="32"/>
      <c r="J45" s="34"/>
      <c r="Q45" s="16"/>
      <c r="R45" s="16"/>
    </row>
    <row r="46" s="14" customFormat="true" ht="17.25" hidden="true" customHeight="true" outlineLevel="1" collapsed="false">
      <c r="D46" s="33"/>
      <c r="E46" s="33"/>
      <c r="F46" s="33"/>
      <c r="G46" s="36"/>
      <c r="H46" s="33"/>
      <c r="I46" s="37"/>
      <c r="J46" s="38"/>
      <c r="Q46" s="16"/>
      <c r="R46" s="16"/>
    </row>
    <row r="47" s="14" customFormat="true" ht="17.25" hidden="true" customHeight="true" outlineLevel="1" collapsed="false">
      <c r="D47" s="33"/>
      <c r="E47" s="33"/>
      <c r="F47" s="33"/>
      <c r="G47" s="36"/>
      <c r="H47" s="33"/>
      <c r="I47" s="37"/>
      <c r="J47" s="39"/>
      <c r="Q47" s="16"/>
      <c r="R47" s="16"/>
    </row>
    <row r="48" s="14" customFormat="true" ht="17.25" hidden="true" customHeight="true" outlineLevel="1" collapsed="false">
      <c r="D48" s="33"/>
      <c r="E48" s="40"/>
      <c r="F48" s="40"/>
      <c r="G48" s="41"/>
      <c r="H48" s="40"/>
      <c r="I48" s="42"/>
      <c r="J48" s="53"/>
      <c r="Q48" s="16"/>
      <c r="R48" s="16"/>
    </row>
    <row r="49" s="14" customFormat="true" ht="17.25" hidden="true" customHeight="true" outlineLevel="1" collapsed="false">
      <c r="D49" s="33"/>
      <c r="E49" s="33"/>
      <c r="F49" s="33"/>
      <c r="G49" s="36"/>
      <c r="H49" s="33"/>
      <c r="I49" s="37"/>
      <c r="J49" s="33"/>
      <c r="Q49" s="16"/>
      <c r="R49" s="16"/>
    </row>
    <row r="50" s="14" customFormat="true" ht="17.25" hidden="true" customHeight="true" outlineLevel="1" collapsed="false">
      <c r="D50" s="32"/>
      <c r="E50" s="33"/>
      <c r="F50" s="33"/>
      <c r="G50" s="36"/>
      <c r="H50" s="32"/>
      <c r="I50" s="32"/>
      <c r="J50" s="34"/>
      <c r="Q50" s="16"/>
      <c r="R50" s="16"/>
    </row>
    <row r="51" s="14" customFormat="true" ht="17.25" hidden="true" customHeight="true" outlineLevel="1" collapsed="false">
      <c r="D51" s="33"/>
      <c r="E51" s="33"/>
      <c r="F51" s="33"/>
      <c r="G51" s="36"/>
      <c r="H51" s="33"/>
      <c r="I51" s="37"/>
      <c r="J51" s="54"/>
      <c r="Q51" s="16"/>
      <c r="R51" s="16"/>
    </row>
    <row r="52" s="14" customFormat="true" ht="17.25" hidden="true" customHeight="true" outlineLevel="1" collapsed="false">
      <c r="D52" s="33"/>
      <c r="E52" s="33"/>
      <c r="F52" s="33"/>
      <c r="G52" s="36"/>
      <c r="H52" s="33"/>
      <c r="I52" s="37"/>
      <c r="J52" s="44"/>
      <c r="Q52" s="16"/>
      <c r="R52" s="16"/>
    </row>
    <row r="53" s="14" customFormat="true" ht="17.25" hidden="true" customHeight="true" outlineLevel="1" collapsed="false">
      <c r="D53" s="33"/>
      <c r="E53" s="40"/>
      <c r="F53" s="40"/>
      <c r="G53" s="41"/>
      <c r="H53" s="40"/>
      <c r="I53" s="42"/>
      <c r="J53" s="53"/>
      <c r="Q53" s="16"/>
      <c r="R53" s="16"/>
    </row>
    <row r="54" s="14" customFormat="true" ht="17.25" hidden="true" customHeight="true" outlineLevel="1" collapsed="false">
      <c r="D54" s="33"/>
      <c r="E54" s="46"/>
      <c r="F54" s="46"/>
      <c r="G54" s="47"/>
      <c r="H54" s="46"/>
      <c r="I54" s="48"/>
      <c r="J54" s="49"/>
      <c r="Q54" s="16"/>
      <c r="R54" s="16"/>
    </row>
    <row r="55" s="14" customFormat="true" ht="17.25" hidden="true" customHeight="true" outlineLevel="1" collapsed="false">
      <c r="D55" s="32"/>
      <c r="E55" s="46"/>
      <c r="F55" s="46"/>
      <c r="G55" s="47"/>
      <c r="H55" s="46"/>
      <c r="I55" s="48"/>
      <c r="J55" s="49"/>
      <c r="Q55" s="16"/>
      <c r="R55" s="16"/>
    </row>
    <row r="56" s="14" customFormat="true" ht="17.25" hidden="true" customHeight="true" outlineLevel="1" collapsed="false">
      <c r="D56" s="32"/>
      <c r="E56" s="33"/>
      <c r="F56" s="46"/>
      <c r="G56" s="36"/>
      <c r="H56" s="46"/>
      <c r="I56" s="37"/>
      <c r="J56" s="52"/>
      <c r="Q56" s="16"/>
      <c r="R56" s="16"/>
    </row>
    <row r="57" s="14" customFormat="true" ht="17.25" hidden="true" customHeight="true" outlineLevel="1" collapsed="false">
      <c r="D57" s="32"/>
      <c r="E57" s="33"/>
      <c r="F57" s="46"/>
      <c r="G57" s="36"/>
      <c r="H57" s="46"/>
      <c r="I57" s="37"/>
      <c r="J57" s="55"/>
      <c r="Q57" s="16"/>
      <c r="R57" s="16"/>
    </row>
    <row r="58" s="14" customFormat="true" ht="17.25" hidden="true" customHeight="true" outlineLevel="1" collapsed="false">
      <c r="E58" s="21"/>
      <c r="F58" s="21"/>
      <c r="G58" s="21"/>
      <c r="H58" s="21"/>
      <c r="I58" s="56"/>
      <c r="J58" s="57"/>
      <c r="Q58" s="16"/>
      <c r="R58" s="16"/>
    </row>
    <row r="59" s="14" customFormat="true" ht="16.5" hidden="true" customHeight="true" outlineLevel="1" collapsed="false">
      <c r="H59" s="58"/>
      <c r="Q59" s="16"/>
      <c r="R59" s="16"/>
    </row>
    <row r="60" s="14" customFormat="true" ht="16.5" hidden="false" customHeight="true" outlineLevel="0" collapsed="false">
      <c r="C60" s="19" t="s">
        <v>126</v>
      </c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20"/>
      <c r="R60" s="20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C60" s="19" t="s">
        <v>127</v>
      </c>
      <c r="CD60" s="19"/>
      <c r="CE60" s="19"/>
      <c r="CF60" s="19"/>
      <c r="CG60" s="19"/>
      <c r="CI60" s="19" t="s">
        <v>128</v>
      </c>
      <c r="CJ60" s="19"/>
      <c r="CK60" s="19"/>
      <c r="CL60" s="19"/>
      <c r="CM60" s="19"/>
    </row>
    <row r="61" s="14" customFormat="true" ht="16.5" hidden="false" customHeight="true" outlineLevel="0" collapsed="false">
      <c r="Q61" s="16"/>
    </row>
    <row r="62" s="14" customFormat="true" ht="16.5" hidden="false" customHeight="true" outlineLevel="0" collapsed="false">
      <c r="Q62" s="16"/>
      <c r="R62" s="16"/>
      <c r="T62" s="62" t="n">
        <v>2026</v>
      </c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62" t="n">
        <v>2027</v>
      </c>
      <c r="AG62" s="129"/>
      <c r="AH62" s="129"/>
      <c r="AI62" s="129"/>
      <c r="AJ62" s="129"/>
      <c r="AK62" s="129"/>
      <c r="AL62" s="129"/>
      <c r="AM62" s="129"/>
      <c r="AN62" s="129"/>
      <c r="AO62" s="129"/>
      <c r="AP62" s="129"/>
      <c r="AQ62" s="129"/>
      <c r="AR62" s="62" t="n">
        <v>2028</v>
      </c>
      <c r="AS62" s="129"/>
      <c r="AT62" s="129"/>
      <c r="AU62" s="129"/>
      <c r="AV62" s="129"/>
      <c r="AW62" s="129"/>
      <c r="AX62" s="129"/>
      <c r="AY62" s="129"/>
      <c r="AZ62" s="129"/>
      <c r="BA62" s="129"/>
      <c r="BB62" s="129"/>
      <c r="BC62" s="129"/>
      <c r="BD62" s="62" t="n">
        <v>2029</v>
      </c>
      <c r="BE62" s="129"/>
      <c r="BF62" s="129"/>
      <c r="BG62" s="129"/>
      <c r="BH62" s="129"/>
      <c r="BI62" s="129"/>
      <c r="BJ62" s="129"/>
      <c r="BK62" s="129"/>
      <c r="BL62" s="129"/>
      <c r="BM62" s="129"/>
      <c r="BN62" s="129"/>
      <c r="BO62" s="129"/>
      <c r="BP62" s="62" t="n">
        <v>2030</v>
      </c>
      <c r="BQ62" s="130"/>
      <c r="BR62" s="130"/>
      <c r="BS62" s="130"/>
      <c r="BT62" s="130"/>
      <c r="BU62" s="130"/>
      <c r="BV62" s="130"/>
      <c r="BW62" s="130"/>
      <c r="BX62" s="130"/>
      <c r="BY62" s="130"/>
      <c r="BZ62" s="130"/>
      <c r="CA62" s="130"/>
      <c r="CC62" s="211"/>
      <c r="CD62" s="130"/>
      <c r="CE62" s="130"/>
      <c r="CF62" s="130"/>
      <c r="CG62" s="130"/>
      <c r="CI62" s="211" t="s">
        <v>426</v>
      </c>
      <c r="CJ62" s="211"/>
      <c r="CK62" s="211"/>
      <c r="CL62" s="211"/>
      <c r="CM62" s="211"/>
    </row>
    <row r="63" s="14" customFormat="true" ht="16.5" hidden="false" customHeight="true" outlineLevel="0" collapsed="false">
      <c r="D63" s="30" t="s">
        <v>129</v>
      </c>
      <c r="E63" s="31"/>
      <c r="F63" s="31"/>
      <c r="G63" s="31"/>
      <c r="H63" s="30" t="s">
        <v>130</v>
      </c>
      <c r="I63" s="31" t="s">
        <v>77</v>
      </c>
      <c r="J63" s="31" t="s">
        <v>104</v>
      </c>
      <c r="K63" s="31" t="s">
        <v>131</v>
      </c>
      <c r="L63" s="31" t="n">
        <v>2026</v>
      </c>
      <c r="M63" s="31" t="n">
        <f aca="false">L63+1</f>
        <v>2027</v>
      </c>
      <c r="N63" s="31" t="n">
        <f aca="false">M63+1</f>
        <v>2028</v>
      </c>
      <c r="O63" s="31" t="n">
        <f aca="false">N63+1</f>
        <v>2029</v>
      </c>
      <c r="P63" s="31" t="n">
        <f aca="false">O63+1</f>
        <v>2030</v>
      </c>
      <c r="Q63" s="31" t="s">
        <v>132</v>
      </c>
      <c r="R63" s="31" t="s">
        <v>75</v>
      </c>
      <c r="T63" s="59" t="n">
        <v>46023</v>
      </c>
      <c r="U63" s="60" t="n">
        <f aca="false">EOMONTH(T63, 1)</f>
        <v>46081</v>
      </c>
      <c r="V63" s="60" t="n">
        <f aca="false">EOMONTH(U63, 1)</f>
        <v>46112</v>
      </c>
      <c r="W63" s="60" t="n">
        <f aca="false">EOMONTH(V63, 1)</f>
        <v>46142</v>
      </c>
      <c r="X63" s="60" t="n">
        <f aca="false">EOMONTH(W63, 1)</f>
        <v>46173</v>
      </c>
      <c r="Y63" s="60" t="n">
        <f aca="false">EOMONTH(X63, 1)</f>
        <v>46203</v>
      </c>
      <c r="Z63" s="60" t="n">
        <f aca="false">EOMONTH(Y63, 1)</f>
        <v>46234</v>
      </c>
      <c r="AA63" s="60" t="n">
        <f aca="false">EOMONTH(Z63, 1)</f>
        <v>46265</v>
      </c>
      <c r="AB63" s="60" t="n">
        <f aca="false">EOMONTH(AA63, 1)</f>
        <v>46295</v>
      </c>
      <c r="AC63" s="60" t="n">
        <f aca="false">EOMONTH(AB63, 1)</f>
        <v>46326</v>
      </c>
      <c r="AD63" s="60" t="n">
        <f aca="false">EOMONTH(AC63, 1)</f>
        <v>46356</v>
      </c>
      <c r="AE63" s="61" t="n">
        <f aca="false">EOMONTH(AD63, 1)</f>
        <v>46387</v>
      </c>
      <c r="AF63" s="59" t="n">
        <f aca="false">EOMONTH(AE63, 1)</f>
        <v>46418</v>
      </c>
      <c r="AG63" s="60" t="n">
        <f aca="false">EOMONTH(AF63, 1)</f>
        <v>46446</v>
      </c>
      <c r="AH63" s="60" t="n">
        <f aca="false">EOMONTH(AG63, 1)</f>
        <v>46477</v>
      </c>
      <c r="AI63" s="60" t="n">
        <f aca="false">EOMONTH(AH63, 1)</f>
        <v>46507</v>
      </c>
      <c r="AJ63" s="60" t="n">
        <f aca="false">EOMONTH(AI63, 1)</f>
        <v>46538</v>
      </c>
      <c r="AK63" s="60" t="n">
        <f aca="false">EOMONTH(AJ63, 1)</f>
        <v>46568</v>
      </c>
      <c r="AL63" s="60" t="n">
        <f aca="false">EOMONTH(AK63, 1)</f>
        <v>46599</v>
      </c>
      <c r="AM63" s="60" t="n">
        <f aca="false">EOMONTH(AL63, 1)</f>
        <v>46630</v>
      </c>
      <c r="AN63" s="60" t="n">
        <f aca="false">EOMONTH(AM63, 1)</f>
        <v>46660</v>
      </c>
      <c r="AO63" s="60" t="n">
        <f aca="false">EOMONTH(AN63, 1)</f>
        <v>46691</v>
      </c>
      <c r="AP63" s="60" t="n">
        <f aca="false">EOMONTH(AO63, 1)</f>
        <v>46721</v>
      </c>
      <c r="AQ63" s="61" t="n">
        <f aca="false">EOMONTH(AP63, 1)</f>
        <v>46752</v>
      </c>
      <c r="AR63" s="59" t="n">
        <f aca="false">EOMONTH(AQ63, 1)</f>
        <v>46783</v>
      </c>
      <c r="AS63" s="60" t="n">
        <f aca="false">EOMONTH(AR63, 1)</f>
        <v>46812</v>
      </c>
      <c r="AT63" s="60" t="n">
        <f aca="false">EOMONTH(AS63, 1)</f>
        <v>46843</v>
      </c>
      <c r="AU63" s="60" t="n">
        <f aca="false">EOMONTH(AT63, 1)</f>
        <v>46873</v>
      </c>
      <c r="AV63" s="60" t="n">
        <f aca="false">EOMONTH(AU63, 1)</f>
        <v>46904</v>
      </c>
      <c r="AW63" s="60" t="n">
        <f aca="false">EOMONTH(AV63, 1)</f>
        <v>46934</v>
      </c>
      <c r="AX63" s="60" t="n">
        <f aca="false">EOMONTH(AW63, 1)</f>
        <v>46965</v>
      </c>
      <c r="AY63" s="60" t="n">
        <f aca="false">EOMONTH(AX63, 1)</f>
        <v>46996</v>
      </c>
      <c r="AZ63" s="60" t="n">
        <f aca="false">EOMONTH(AY63, 1)</f>
        <v>47026</v>
      </c>
      <c r="BA63" s="60" t="n">
        <f aca="false">EOMONTH(AZ63, 1)</f>
        <v>47057</v>
      </c>
      <c r="BB63" s="60" t="n">
        <f aca="false">EOMONTH(BA63, 1)</f>
        <v>47087</v>
      </c>
      <c r="BC63" s="61" t="n">
        <f aca="false">EOMONTH(BB63, 1)</f>
        <v>47118</v>
      </c>
      <c r="BD63" s="59" t="n">
        <f aca="false">EOMONTH(BC63, 1)</f>
        <v>47149</v>
      </c>
      <c r="BE63" s="60" t="n">
        <f aca="false">EOMONTH(BD63, 1)</f>
        <v>47177</v>
      </c>
      <c r="BF63" s="60" t="n">
        <f aca="false">EOMONTH(BE63, 1)</f>
        <v>47208</v>
      </c>
      <c r="BG63" s="60" t="n">
        <f aca="false">EOMONTH(BF63, 1)</f>
        <v>47238</v>
      </c>
      <c r="BH63" s="60" t="n">
        <f aca="false">EOMONTH(BG63, 1)</f>
        <v>47269</v>
      </c>
      <c r="BI63" s="60" t="n">
        <f aca="false">EOMONTH(BH63, 1)</f>
        <v>47299</v>
      </c>
      <c r="BJ63" s="60" t="n">
        <f aca="false">EOMONTH(BI63, 1)</f>
        <v>47330</v>
      </c>
      <c r="BK63" s="60" t="n">
        <f aca="false">EOMONTH(BJ63, 1)</f>
        <v>47361</v>
      </c>
      <c r="BL63" s="60" t="n">
        <f aca="false">EOMONTH(BK63, 1)</f>
        <v>47391</v>
      </c>
      <c r="BM63" s="60" t="n">
        <f aca="false">EOMONTH(BL63, 1)</f>
        <v>47422</v>
      </c>
      <c r="BN63" s="60" t="n">
        <f aca="false">EOMONTH(BM63, 1)</f>
        <v>47452</v>
      </c>
      <c r="BO63" s="61" t="n">
        <f aca="false">EOMONTH(BN63, 1)</f>
        <v>47483</v>
      </c>
      <c r="BP63" s="59" t="n">
        <f aca="false">EOMONTH(BO63, 1)</f>
        <v>47514</v>
      </c>
      <c r="BQ63" s="60" t="n">
        <f aca="false">EOMONTH(BP63, 1)</f>
        <v>47542</v>
      </c>
      <c r="BR63" s="60" t="n">
        <f aca="false">EOMONTH(BQ63, 1)</f>
        <v>47573</v>
      </c>
      <c r="BS63" s="60" t="n">
        <f aca="false">EOMONTH(BR63, 1)</f>
        <v>47603</v>
      </c>
      <c r="BT63" s="60" t="n">
        <f aca="false">EOMONTH(BS63, 1)</f>
        <v>47634</v>
      </c>
      <c r="BU63" s="60" t="n">
        <f aca="false">EOMONTH(BT63, 1)</f>
        <v>47664</v>
      </c>
      <c r="BV63" s="60" t="n">
        <f aca="false">EOMONTH(BU63, 1)</f>
        <v>47695</v>
      </c>
      <c r="BW63" s="60" t="n">
        <f aca="false">EOMONTH(BV63, 1)</f>
        <v>47726</v>
      </c>
      <c r="BX63" s="60" t="n">
        <f aca="false">EOMONTH(BW63, 1)</f>
        <v>47756</v>
      </c>
      <c r="BY63" s="60" t="n">
        <f aca="false">EOMONTH(BX63, 1)</f>
        <v>47787</v>
      </c>
      <c r="BZ63" s="60" t="n">
        <f aca="false">EOMONTH(BY63, 1)</f>
        <v>47817</v>
      </c>
      <c r="CA63" s="60" t="n">
        <f aca="false">EOMONTH(BZ63, 1)</f>
        <v>47848</v>
      </c>
      <c r="CC63" s="62" t="n">
        <v>2026</v>
      </c>
      <c r="CD63" s="62" t="n">
        <f aca="false">CC63+1</f>
        <v>2027</v>
      </c>
      <c r="CE63" s="62" t="n">
        <f aca="false">CD63+1</f>
        <v>2028</v>
      </c>
      <c r="CF63" s="62" t="n">
        <f aca="false">CE63+1</f>
        <v>2029</v>
      </c>
      <c r="CG63" s="62" t="n">
        <f aca="false">CF63+1</f>
        <v>2030</v>
      </c>
      <c r="CI63" s="62" t="n">
        <v>2026</v>
      </c>
      <c r="CJ63" s="62" t="n">
        <f aca="false">CI63+1</f>
        <v>2027</v>
      </c>
      <c r="CK63" s="62" t="n">
        <f aca="false">CJ63+1</f>
        <v>2028</v>
      </c>
      <c r="CL63" s="62" t="n">
        <f aca="false">CK63+1</f>
        <v>2029</v>
      </c>
      <c r="CM63" s="62" t="n">
        <f aca="false">CL63+1</f>
        <v>2030</v>
      </c>
    </row>
    <row r="64" s="14" customFormat="true" ht="16.5" hidden="false" customHeight="true" outlineLevel="0" collapsed="false">
      <c r="D64" s="63"/>
      <c r="E64" s="64" t="s">
        <v>102</v>
      </c>
      <c r="H64" s="16"/>
      <c r="I64" s="65" t="str">
        <f aca="false">$H$18</f>
        <v>Jan–Jul 2026 x 12/7</v>
      </c>
      <c r="J64" s="65" t="s">
        <v>134</v>
      </c>
      <c r="K64" s="65" t="s">
        <v>135</v>
      </c>
      <c r="L64" s="66"/>
      <c r="M64" s="66"/>
      <c r="N64" s="66"/>
      <c r="O64" s="66"/>
      <c r="P64" s="66"/>
      <c r="Q64" s="16"/>
      <c r="R64" s="1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7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7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7"/>
      <c r="BE64" s="66"/>
      <c r="BF64" s="66"/>
      <c r="BG64" s="66"/>
      <c r="BH64" s="66"/>
      <c r="BI64" s="66"/>
      <c r="BJ64" s="66"/>
      <c r="BK64" s="66"/>
      <c r="BL64" s="66"/>
      <c r="BM64" s="66"/>
      <c r="BN64" s="66"/>
      <c r="BO64" s="66"/>
      <c r="BP64" s="67"/>
      <c r="BQ64" s="66"/>
      <c r="BR64" s="66"/>
      <c r="BS64" s="66"/>
      <c r="BT64" s="66"/>
      <c r="BU64" s="66"/>
      <c r="BV64" s="66"/>
      <c r="BW64" s="66"/>
      <c r="BX64" s="66"/>
      <c r="BY64" s="66"/>
      <c r="BZ64" s="66"/>
      <c r="CA64" s="66"/>
    </row>
    <row r="65" s="14" customFormat="true" ht="16.5" hidden="false" customHeight="true" outlineLevel="0" collapsed="false">
      <c r="E65" s="68" t="s">
        <v>136</v>
      </c>
      <c r="F65" s="21"/>
      <c r="G65" s="21"/>
      <c r="H65" s="16"/>
      <c r="I65" s="65"/>
      <c r="J65" s="65"/>
      <c r="K65" s="65"/>
      <c r="Q65" s="16"/>
      <c r="R65" s="16"/>
      <c r="AF65" s="69"/>
      <c r="AR65" s="69"/>
      <c r="BD65" s="69"/>
      <c r="BP65" s="69"/>
    </row>
    <row r="66" s="14" customFormat="true" ht="16.5" hidden="false" customHeight="true" outlineLevel="0" collapsed="false">
      <c r="E66" s="70"/>
      <c r="H66" s="71"/>
      <c r="I66" s="76" t="n">
        <v>0</v>
      </c>
      <c r="J66" s="76" t="n">
        <v>0</v>
      </c>
      <c r="K66" s="212" t="n">
        <f aca="false">J66-I66</f>
        <v>0</v>
      </c>
      <c r="L66" s="76"/>
      <c r="M66" s="76"/>
      <c r="N66" s="76"/>
      <c r="O66" s="76"/>
      <c r="P66" s="77"/>
      <c r="Q66" s="75"/>
      <c r="R66" s="16" t="str">
        <f aca="false">IF(K66=P66, "", "Error")</f>
        <v/>
      </c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7"/>
      <c r="AF66" s="78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7"/>
      <c r="AR66" s="78"/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7"/>
      <c r="BD66" s="78"/>
      <c r="BE66" s="76"/>
      <c r="BF66" s="76"/>
      <c r="BG66" s="76"/>
      <c r="BH66" s="76"/>
      <c r="BI66" s="76"/>
      <c r="BJ66" s="76"/>
      <c r="BK66" s="76"/>
      <c r="BL66" s="76"/>
      <c r="BM66" s="76"/>
      <c r="BN66" s="76"/>
      <c r="BO66" s="77"/>
      <c r="BP66" s="78"/>
      <c r="BQ66" s="76"/>
      <c r="BR66" s="76"/>
      <c r="BS66" s="76"/>
      <c r="BT66" s="76"/>
      <c r="BU66" s="76"/>
      <c r="BV66" s="76"/>
      <c r="BW66" s="76"/>
      <c r="BX66" s="76"/>
      <c r="BY66" s="76"/>
      <c r="BZ66" s="76"/>
      <c r="CA66" s="76"/>
      <c r="CC66" s="79" t="n">
        <f aca="false">SUMIFS($T66:$CA66, $T$1:$CA$1, CC$63)</f>
        <v>0</v>
      </c>
      <c r="CD66" s="79" t="n">
        <f aca="false">SUMIFS($T66:$CA66, $T$1:$CA$1, CD$63)</f>
        <v>0</v>
      </c>
      <c r="CE66" s="79" t="n">
        <f aca="false">SUMIFS($T66:$CA66, $T$1:$CA$1, CE$63)</f>
        <v>0</v>
      </c>
      <c r="CF66" s="79" t="n">
        <f aca="false">SUMIFS($T66:$CA66, $T$1:$CA$1, CF$63)</f>
        <v>0</v>
      </c>
      <c r="CG66" s="79" t="n">
        <f aca="false">SUMIFS($T66:$CA66, $T$1:$CA$1, CG$63)</f>
        <v>0</v>
      </c>
      <c r="CI66" s="79" t="n">
        <f aca="false">CC66=L66</f>
        <v>1</v>
      </c>
      <c r="CJ66" s="79" t="n">
        <f aca="false">CD66=M66</f>
        <v>1</v>
      </c>
      <c r="CK66" s="79" t="n">
        <f aca="false">CE66=N66</f>
        <v>1</v>
      </c>
      <c r="CL66" s="79" t="n">
        <f aca="false">CF66=O66</f>
        <v>1</v>
      </c>
      <c r="CM66" s="79" t="n">
        <f aca="false">CG66=P66</f>
        <v>1</v>
      </c>
    </row>
    <row r="67" s="14" customFormat="true" ht="16.5" hidden="false" customHeight="true" outlineLevel="0" collapsed="false">
      <c r="E67" s="70"/>
      <c r="H67" s="71"/>
      <c r="I67" s="76" t="n">
        <v>0</v>
      </c>
      <c r="J67" s="76" t="n">
        <v>0</v>
      </c>
      <c r="K67" s="212" t="n">
        <f aca="false">J67-I67</f>
        <v>0</v>
      </c>
      <c r="L67" s="76"/>
      <c r="M67" s="76"/>
      <c r="N67" s="76"/>
      <c r="O67" s="76"/>
      <c r="P67" s="77"/>
      <c r="Q67" s="75"/>
      <c r="R67" s="16" t="str">
        <f aca="false">IF(K67=P67, "", "Error")</f>
        <v/>
      </c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7"/>
      <c r="AF67" s="78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7"/>
      <c r="AR67" s="78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7"/>
      <c r="BD67" s="78"/>
      <c r="BE67" s="76"/>
      <c r="BF67" s="76"/>
      <c r="BG67" s="76"/>
      <c r="BH67" s="76"/>
      <c r="BI67" s="76"/>
      <c r="BJ67" s="76"/>
      <c r="BK67" s="76"/>
      <c r="BL67" s="76"/>
      <c r="BM67" s="76"/>
      <c r="BN67" s="76"/>
      <c r="BO67" s="77"/>
      <c r="BP67" s="78"/>
      <c r="BQ67" s="76"/>
      <c r="BR67" s="76"/>
      <c r="BS67" s="76"/>
      <c r="BT67" s="76"/>
      <c r="BU67" s="76"/>
      <c r="BV67" s="76"/>
      <c r="BW67" s="76"/>
      <c r="BX67" s="76"/>
      <c r="BY67" s="76"/>
      <c r="BZ67" s="76"/>
      <c r="CA67" s="76"/>
      <c r="CC67" s="79" t="n">
        <f aca="false">SUMIFS($T67:$CA67, $T$1:$CA$1, CC$63)</f>
        <v>0</v>
      </c>
      <c r="CD67" s="79" t="n">
        <f aca="false">SUMIFS($T67:$CA67, $T$1:$CA$1, CD$63)</f>
        <v>0</v>
      </c>
      <c r="CE67" s="79" t="n">
        <f aca="false">SUMIFS($T67:$CA67, $T$1:$CA$1, CE$63)</f>
        <v>0</v>
      </c>
      <c r="CF67" s="79" t="n">
        <f aca="false">SUMIFS($T67:$CA67, $T$1:$CA$1, CF$63)</f>
        <v>0</v>
      </c>
      <c r="CG67" s="79" t="n">
        <f aca="false">SUMIFS($T67:$CA67, $T$1:$CA$1, CG$63)</f>
        <v>0</v>
      </c>
      <c r="CI67" s="79" t="n">
        <f aca="false">CC67=L67</f>
        <v>1</v>
      </c>
      <c r="CJ67" s="79" t="n">
        <f aca="false">CD67=M67</f>
        <v>1</v>
      </c>
      <c r="CK67" s="79" t="n">
        <f aca="false">CE67=N67</f>
        <v>1</v>
      </c>
      <c r="CL67" s="79" t="n">
        <f aca="false">CF67=O67</f>
        <v>1</v>
      </c>
      <c r="CM67" s="79" t="n">
        <f aca="false">CG67=P67</f>
        <v>1</v>
      </c>
    </row>
    <row r="68" s="14" customFormat="true" ht="16.5" hidden="false" customHeight="true" outlineLevel="0" collapsed="false">
      <c r="E68" s="80" t="s">
        <v>137</v>
      </c>
      <c r="H68" s="71"/>
      <c r="I68" s="82" t="n">
        <f aca="false">SUM(I66:I67)</f>
        <v>0</v>
      </c>
      <c r="J68" s="82" t="n">
        <f aca="false">SUM(J66:J67)</f>
        <v>0</v>
      </c>
      <c r="K68" s="82" t="n">
        <f aca="false">SUM(K66:K67)</f>
        <v>0</v>
      </c>
      <c r="L68" s="82" t="n">
        <f aca="false">SUM(L66:L67)</f>
        <v>0</v>
      </c>
      <c r="M68" s="82" t="n">
        <f aca="false">SUM(M66:M67)</f>
        <v>0</v>
      </c>
      <c r="N68" s="82" t="n">
        <f aca="false">SUM(N66:N67)</f>
        <v>0</v>
      </c>
      <c r="O68" s="82" t="n">
        <f aca="false">SUM(O66:O67)</f>
        <v>0</v>
      </c>
      <c r="P68" s="82" t="n">
        <f aca="false">SUM(P66:P67)</f>
        <v>0</v>
      </c>
      <c r="Q68" s="16"/>
      <c r="R68" s="16"/>
      <c r="T68" s="82" t="n">
        <f aca="false">SUM(T66:T67)</f>
        <v>0</v>
      </c>
      <c r="U68" s="82" t="n">
        <f aca="false">SUM(U66:U67)</f>
        <v>0</v>
      </c>
      <c r="V68" s="82" t="n">
        <f aca="false">SUM(V66:V67)</f>
        <v>0</v>
      </c>
      <c r="W68" s="82" t="n">
        <f aca="false">SUM(W66:W67)</f>
        <v>0</v>
      </c>
      <c r="X68" s="82" t="n">
        <f aca="false">SUM(X66:X67)</f>
        <v>0</v>
      </c>
      <c r="Y68" s="82" t="n">
        <f aca="false">SUM(Y66:Y67)</f>
        <v>0</v>
      </c>
      <c r="Z68" s="82" t="n">
        <f aca="false">SUM(Z66:Z67)</f>
        <v>0</v>
      </c>
      <c r="AA68" s="82" t="n">
        <f aca="false">SUM(AA66:AA67)</f>
        <v>0</v>
      </c>
      <c r="AB68" s="82" t="n">
        <f aca="false">SUM(AB66:AB67)</f>
        <v>0</v>
      </c>
      <c r="AC68" s="82" t="n">
        <f aca="false">SUM(AC66:AC67)</f>
        <v>0</v>
      </c>
      <c r="AD68" s="82" t="n">
        <f aca="false">SUM(AD66:AD67)</f>
        <v>0</v>
      </c>
      <c r="AE68" s="82" t="n">
        <f aca="false">SUM(AE66:AE67)</f>
        <v>0</v>
      </c>
      <c r="AF68" s="83" t="n">
        <f aca="false">SUM(AF66:AF67)</f>
        <v>0</v>
      </c>
      <c r="AG68" s="82" t="n">
        <f aca="false">SUM(AG66:AG67)</f>
        <v>0</v>
      </c>
      <c r="AH68" s="82" t="n">
        <f aca="false">SUM(AH66:AH67)</f>
        <v>0</v>
      </c>
      <c r="AI68" s="82" t="n">
        <f aca="false">SUM(AI66:AI67)</f>
        <v>0</v>
      </c>
      <c r="AJ68" s="82" t="n">
        <f aca="false">SUM(AJ66:AJ67)</f>
        <v>0</v>
      </c>
      <c r="AK68" s="82" t="n">
        <f aca="false">SUM(AK66:AK67)</f>
        <v>0</v>
      </c>
      <c r="AL68" s="82" t="n">
        <f aca="false">SUM(AL66:AL67)</f>
        <v>0</v>
      </c>
      <c r="AM68" s="82" t="n">
        <f aca="false">SUM(AM66:AM67)</f>
        <v>0</v>
      </c>
      <c r="AN68" s="82" t="n">
        <f aca="false">SUM(AN66:AN67)</f>
        <v>0</v>
      </c>
      <c r="AO68" s="82" t="n">
        <f aca="false">SUM(AO66:AO67)</f>
        <v>0</v>
      </c>
      <c r="AP68" s="82" t="n">
        <f aca="false">SUM(AP66:AP67)</f>
        <v>0</v>
      </c>
      <c r="AQ68" s="82" t="n">
        <f aca="false">SUM(AQ66:AQ67)</f>
        <v>0</v>
      </c>
      <c r="AR68" s="83" t="n">
        <f aca="false">SUM(AR66:AR67)</f>
        <v>0</v>
      </c>
      <c r="AS68" s="82" t="n">
        <f aca="false">SUM(AS66:AS67)</f>
        <v>0</v>
      </c>
      <c r="AT68" s="82" t="n">
        <f aca="false">SUM(AT66:AT67)</f>
        <v>0</v>
      </c>
      <c r="AU68" s="82" t="n">
        <f aca="false">SUM(AU66:AU67)</f>
        <v>0</v>
      </c>
      <c r="AV68" s="82" t="n">
        <f aca="false">SUM(AV66:AV67)</f>
        <v>0</v>
      </c>
      <c r="AW68" s="82" t="n">
        <f aca="false">SUM(AW66:AW67)</f>
        <v>0</v>
      </c>
      <c r="AX68" s="82" t="n">
        <f aca="false">SUM(AX66:AX67)</f>
        <v>0</v>
      </c>
      <c r="AY68" s="82" t="n">
        <f aca="false">SUM(AY66:AY67)</f>
        <v>0</v>
      </c>
      <c r="AZ68" s="82" t="n">
        <f aca="false">SUM(AZ66:AZ67)</f>
        <v>0</v>
      </c>
      <c r="BA68" s="82" t="n">
        <f aca="false">SUM(BA66:BA67)</f>
        <v>0</v>
      </c>
      <c r="BB68" s="82" t="n">
        <f aca="false">SUM(BB66:BB67)</f>
        <v>0</v>
      </c>
      <c r="BC68" s="82" t="n">
        <f aca="false">SUM(BC66:BC67)</f>
        <v>0</v>
      </c>
      <c r="BD68" s="83" t="n">
        <f aca="false">SUM(BD66:BD67)</f>
        <v>0</v>
      </c>
      <c r="BE68" s="82" t="n">
        <f aca="false">SUM(BE66:BE67)</f>
        <v>0</v>
      </c>
      <c r="BF68" s="82" t="n">
        <f aca="false">SUM(BF66:BF67)</f>
        <v>0</v>
      </c>
      <c r="BG68" s="82" t="n">
        <f aca="false">SUM(BG66:BG67)</f>
        <v>0</v>
      </c>
      <c r="BH68" s="82" t="n">
        <f aca="false">SUM(BH66:BH67)</f>
        <v>0</v>
      </c>
      <c r="BI68" s="82" t="n">
        <f aca="false">SUM(BI66:BI67)</f>
        <v>0</v>
      </c>
      <c r="BJ68" s="82" t="n">
        <f aca="false">SUM(BJ66:BJ67)</f>
        <v>0</v>
      </c>
      <c r="BK68" s="82" t="n">
        <f aca="false">SUM(BK66:BK67)</f>
        <v>0</v>
      </c>
      <c r="BL68" s="82" t="n">
        <f aca="false">SUM(BL66:BL67)</f>
        <v>0</v>
      </c>
      <c r="BM68" s="82" t="n">
        <f aca="false">SUM(BM66:BM67)</f>
        <v>0</v>
      </c>
      <c r="BN68" s="82" t="n">
        <f aca="false">SUM(BN66:BN67)</f>
        <v>0</v>
      </c>
      <c r="BO68" s="82" t="n">
        <f aca="false">SUM(BO66:BO67)</f>
        <v>0</v>
      </c>
      <c r="BP68" s="83" t="n">
        <f aca="false">SUM(BP66:BP67)</f>
        <v>0</v>
      </c>
      <c r="BQ68" s="82" t="n">
        <f aca="false">SUM(BQ66:BQ67)</f>
        <v>0</v>
      </c>
      <c r="BR68" s="82" t="n">
        <f aca="false">SUM(BR66:BR67)</f>
        <v>0</v>
      </c>
      <c r="BS68" s="82" t="n">
        <f aca="false">SUM(BS66:BS67)</f>
        <v>0</v>
      </c>
      <c r="BT68" s="82" t="n">
        <f aca="false">SUM(BT66:BT67)</f>
        <v>0</v>
      </c>
      <c r="BU68" s="82" t="n">
        <f aca="false">SUM(BU66:BU67)</f>
        <v>0</v>
      </c>
      <c r="BV68" s="82" t="n">
        <f aca="false">SUM(BV66:BV67)</f>
        <v>0</v>
      </c>
      <c r="BW68" s="82" t="n">
        <f aca="false">SUM(BW66:BW67)</f>
        <v>0</v>
      </c>
      <c r="BX68" s="82" t="n">
        <f aca="false">SUM(BX66:BX67)</f>
        <v>0</v>
      </c>
      <c r="BY68" s="82" t="n">
        <f aca="false">SUM(BY66:BY67)</f>
        <v>0</v>
      </c>
      <c r="BZ68" s="82" t="n">
        <f aca="false">SUM(BZ66:BZ67)</f>
        <v>0</v>
      </c>
      <c r="CA68" s="82" t="n">
        <f aca="false">SUM(CA66:CA67)</f>
        <v>0</v>
      </c>
      <c r="CC68" s="84" t="n">
        <f aca="false">SUM(CC66:CC67)</f>
        <v>0</v>
      </c>
      <c r="CD68" s="84" t="n">
        <f aca="false">SUM(CD66:CD67)</f>
        <v>0</v>
      </c>
      <c r="CE68" s="84" t="n">
        <f aca="false">SUM(CE66:CE67)</f>
        <v>0</v>
      </c>
      <c r="CF68" s="84" t="n">
        <f aca="false">SUM(CF66:CF67)</f>
        <v>0</v>
      </c>
      <c r="CG68" s="84" t="n">
        <f aca="false">SUM(CG66:CG67)</f>
        <v>0</v>
      </c>
      <c r="CI68" s="84" t="n">
        <f aca="false">CC68=L68</f>
        <v>1</v>
      </c>
      <c r="CJ68" s="84" t="n">
        <f aca="false">CD68=M68</f>
        <v>1</v>
      </c>
      <c r="CK68" s="84" t="n">
        <f aca="false">CE68=N68</f>
        <v>1</v>
      </c>
      <c r="CL68" s="84" t="n">
        <f aca="false">CF68=O68</f>
        <v>1</v>
      </c>
      <c r="CM68" s="84" t="n">
        <f aca="false">CG68=P68</f>
        <v>1</v>
      </c>
    </row>
    <row r="69" s="14" customFormat="true" ht="16.5" hidden="false" customHeight="true" outlineLevel="0" collapsed="false">
      <c r="E69" s="85"/>
      <c r="H69" s="86"/>
      <c r="I69" s="88"/>
      <c r="J69" s="88"/>
      <c r="K69" s="88"/>
      <c r="L69" s="88"/>
      <c r="M69" s="88"/>
      <c r="N69" s="88"/>
      <c r="O69" s="88"/>
      <c r="P69" s="88"/>
      <c r="Q69" s="16"/>
      <c r="R69" s="16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9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9"/>
      <c r="AS69" s="88"/>
      <c r="AT69" s="88"/>
      <c r="AU69" s="88"/>
      <c r="AV69" s="88"/>
      <c r="AW69" s="88"/>
      <c r="AX69" s="88"/>
      <c r="AY69" s="88"/>
      <c r="AZ69" s="88"/>
      <c r="BA69" s="88"/>
      <c r="BB69" s="88"/>
      <c r="BC69" s="88"/>
      <c r="BD69" s="89"/>
      <c r="BE69" s="88"/>
      <c r="BF69" s="88"/>
      <c r="BG69" s="88"/>
      <c r="BH69" s="88"/>
      <c r="BI69" s="88"/>
      <c r="BJ69" s="88"/>
      <c r="BK69" s="88"/>
      <c r="BL69" s="88"/>
      <c r="BM69" s="88"/>
      <c r="BN69" s="88"/>
      <c r="BO69" s="88"/>
      <c r="BP69" s="89"/>
      <c r="BQ69" s="88"/>
      <c r="BR69" s="88"/>
      <c r="BS69" s="88"/>
      <c r="BT69" s="88"/>
      <c r="BU69" s="88"/>
      <c r="BV69" s="88"/>
      <c r="BW69" s="88"/>
      <c r="BX69" s="88"/>
      <c r="BY69" s="88"/>
      <c r="BZ69" s="88"/>
      <c r="CA69" s="88"/>
      <c r="CC69" s="90"/>
      <c r="CD69" s="90"/>
      <c r="CE69" s="90"/>
      <c r="CF69" s="90"/>
      <c r="CG69" s="90"/>
      <c r="CI69" s="90"/>
      <c r="CJ69" s="90"/>
      <c r="CK69" s="90"/>
      <c r="CL69" s="90"/>
      <c r="CM69" s="90"/>
    </row>
    <row r="70" s="14" customFormat="true" ht="16.5" hidden="false" customHeight="true" outlineLevel="0" collapsed="false">
      <c r="E70" s="21" t="s">
        <v>138</v>
      </c>
      <c r="H70" s="71"/>
      <c r="I70" s="88"/>
      <c r="J70" s="88"/>
      <c r="K70" s="88"/>
      <c r="L70" s="88"/>
      <c r="M70" s="88"/>
      <c r="N70" s="88"/>
      <c r="O70" s="88"/>
      <c r="P70" s="88"/>
      <c r="Q70" s="16"/>
      <c r="R70" s="16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9"/>
      <c r="AG70" s="88"/>
      <c r="AH70" s="88"/>
      <c r="AI70" s="88"/>
      <c r="AJ70" s="88"/>
      <c r="AK70" s="88"/>
      <c r="AL70" s="88"/>
      <c r="AM70" s="88"/>
      <c r="AN70" s="88"/>
      <c r="AO70" s="88"/>
      <c r="AP70" s="88"/>
      <c r="AQ70" s="88"/>
      <c r="AR70" s="89"/>
      <c r="AS70" s="88"/>
      <c r="AT70" s="88"/>
      <c r="AU70" s="88"/>
      <c r="AV70" s="88"/>
      <c r="AW70" s="88"/>
      <c r="AX70" s="88"/>
      <c r="AY70" s="88"/>
      <c r="AZ70" s="88"/>
      <c r="BA70" s="88"/>
      <c r="BB70" s="88"/>
      <c r="BC70" s="88"/>
      <c r="BD70" s="89"/>
      <c r="BE70" s="88"/>
      <c r="BF70" s="88"/>
      <c r="BG70" s="88"/>
      <c r="BH70" s="88"/>
      <c r="BI70" s="88"/>
      <c r="BJ70" s="88"/>
      <c r="BK70" s="88"/>
      <c r="BL70" s="88"/>
      <c r="BM70" s="88"/>
      <c r="BN70" s="88"/>
      <c r="BO70" s="88"/>
      <c r="BP70" s="89"/>
      <c r="BQ70" s="88"/>
      <c r="BR70" s="88"/>
      <c r="BS70" s="88"/>
      <c r="BT70" s="88"/>
      <c r="BU70" s="88"/>
      <c r="BV70" s="88"/>
      <c r="BW70" s="88"/>
      <c r="BX70" s="88"/>
      <c r="BY70" s="88"/>
      <c r="BZ70" s="88"/>
      <c r="CA70" s="88"/>
      <c r="CC70" s="90"/>
      <c r="CD70" s="90"/>
      <c r="CE70" s="90"/>
      <c r="CF70" s="90"/>
      <c r="CG70" s="90"/>
      <c r="CI70" s="90"/>
      <c r="CJ70" s="90"/>
      <c r="CK70" s="90"/>
      <c r="CL70" s="90"/>
      <c r="CM70" s="90"/>
    </row>
    <row r="71" s="14" customFormat="true" ht="16.5" hidden="false" customHeight="true" outlineLevel="0" collapsed="false">
      <c r="E71" s="91"/>
      <c r="H71" s="71"/>
      <c r="I71" s="91"/>
      <c r="J71" s="91"/>
      <c r="K71" s="212" t="n">
        <f aca="false">I71-J71</f>
        <v>0</v>
      </c>
      <c r="L71" s="91"/>
      <c r="M71" s="91"/>
      <c r="N71" s="91"/>
      <c r="O71" s="91"/>
      <c r="P71" s="91"/>
      <c r="Q71" s="93"/>
      <c r="R71" s="16" t="str">
        <f aca="false">IF(K71=P71, "", "Error")</f>
        <v/>
      </c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4"/>
      <c r="AF71" s="95"/>
      <c r="AG71" s="91"/>
      <c r="AH71" s="91"/>
      <c r="AI71" s="91"/>
      <c r="AJ71" s="91"/>
      <c r="AK71" s="91"/>
      <c r="AL71" s="91"/>
      <c r="AM71" s="91"/>
      <c r="AN71" s="91"/>
      <c r="AO71" s="91"/>
      <c r="AP71" s="91"/>
      <c r="AQ71" s="94"/>
      <c r="AR71" s="95"/>
      <c r="AS71" s="91"/>
      <c r="AT71" s="91"/>
      <c r="AU71" s="91"/>
      <c r="AV71" s="91"/>
      <c r="AW71" s="91"/>
      <c r="AX71" s="91"/>
      <c r="AY71" s="91"/>
      <c r="AZ71" s="91"/>
      <c r="BA71" s="91"/>
      <c r="BB71" s="91"/>
      <c r="BC71" s="94"/>
      <c r="BD71" s="95"/>
      <c r="BE71" s="91"/>
      <c r="BF71" s="91"/>
      <c r="BG71" s="91"/>
      <c r="BH71" s="91"/>
      <c r="BI71" s="91"/>
      <c r="BJ71" s="91"/>
      <c r="BK71" s="91"/>
      <c r="BL71" s="91"/>
      <c r="BM71" s="91"/>
      <c r="BN71" s="91"/>
      <c r="BO71" s="94"/>
      <c r="BP71" s="95"/>
      <c r="BQ71" s="91"/>
      <c r="BR71" s="91"/>
      <c r="BS71" s="91"/>
      <c r="BT71" s="91"/>
      <c r="BU71" s="91"/>
      <c r="BV71" s="91"/>
      <c r="BW71" s="91"/>
      <c r="BX71" s="91"/>
      <c r="BY71" s="91"/>
      <c r="BZ71" s="91"/>
      <c r="CA71" s="91"/>
      <c r="CC71" s="79" t="n">
        <f aca="false">SUMIFS($T71:$CA71, $T$1:$CA$1, CC$63)</f>
        <v>0</v>
      </c>
      <c r="CD71" s="79" t="n">
        <f aca="false">SUMIFS($T71:$CA71, $T$1:$CA$1, CD$63)</f>
        <v>0</v>
      </c>
      <c r="CE71" s="79" t="n">
        <f aca="false">SUMIFS($T71:$CA71, $T$1:$CA$1, CE$63)</f>
        <v>0</v>
      </c>
      <c r="CF71" s="79" t="n">
        <f aca="false">SUMIFS($T71:$CA71, $T$1:$CA$1, CF$63)</f>
        <v>0</v>
      </c>
      <c r="CG71" s="79" t="n">
        <f aca="false">SUMIFS($T71:$CA71, $T$1:$CA$1, CG$63)</f>
        <v>0</v>
      </c>
      <c r="CI71" s="79" t="n">
        <f aca="false">CC71=L71</f>
        <v>1</v>
      </c>
      <c r="CJ71" s="79" t="n">
        <f aca="false">CD71=M71</f>
        <v>1</v>
      </c>
      <c r="CK71" s="79" t="n">
        <f aca="false">CE71=N71</f>
        <v>1</v>
      </c>
      <c r="CL71" s="79" t="n">
        <f aca="false">CF71=O71</f>
        <v>1</v>
      </c>
      <c r="CM71" s="79" t="n">
        <f aca="false">CG71=P71</f>
        <v>1</v>
      </c>
    </row>
    <row r="72" s="14" customFormat="true" ht="16.5" hidden="false" customHeight="true" outlineLevel="0" collapsed="false">
      <c r="E72" s="91"/>
      <c r="H72" s="71"/>
      <c r="I72" s="91" t="n">
        <v>0</v>
      </c>
      <c r="J72" s="91" t="n">
        <v>0</v>
      </c>
      <c r="K72" s="212" t="n">
        <f aca="false">I72-J72</f>
        <v>0</v>
      </c>
      <c r="L72" s="91"/>
      <c r="M72" s="91"/>
      <c r="N72" s="91"/>
      <c r="O72" s="91"/>
      <c r="P72" s="91"/>
      <c r="Q72" s="93"/>
      <c r="R72" s="16" t="str">
        <f aca="false">IF(K72=P72, "", "Error")</f>
        <v/>
      </c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4"/>
      <c r="AF72" s="95"/>
      <c r="AG72" s="91"/>
      <c r="AH72" s="91"/>
      <c r="AI72" s="91"/>
      <c r="AJ72" s="91"/>
      <c r="AK72" s="91"/>
      <c r="AL72" s="91"/>
      <c r="AM72" s="91"/>
      <c r="AN72" s="91"/>
      <c r="AO72" s="91"/>
      <c r="AP72" s="91"/>
      <c r="AQ72" s="94"/>
      <c r="AR72" s="95"/>
      <c r="AS72" s="91"/>
      <c r="AT72" s="91"/>
      <c r="AU72" s="91"/>
      <c r="AV72" s="91"/>
      <c r="AW72" s="91"/>
      <c r="AX72" s="91"/>
      <c r="AY72" s="91"/>
      <c r="AZ72" s="91"/>
      <c r="BA72" s="91"/>
      <c r="BB72" s="91"/>
      <c r="BC72" s="94"/>
      <c r="BD72" s="95"/>
      <c r="BE72" s="91"/>
      <c r="BF72" s="91"/>
      <c r="BG72" s="91"/>
      <c r="BH72" s="91"/>
      <c r="BI72" s="91"/>
      <c r="BJ72" s="91"/>
      <c r="BK72" s="91"/>
      <c r="BL72" s="91"/>
      <c r="BM72" s="91"/>
      <c r="BN72" s="91"/>
      <c r="BO72" s="94"/>
      <c r="BP72" s="95"/>
      <c r="BQ72" s="91"/>
      <c r="BR72" s="91"/>
      <c r="BS72" s="91"/>
      <c r="BT72" s="91"/>
      <c r="BU72" s="91"/>
      <c r="BV72" s="91"/>
      <c r="BW72" s="91"/>
      <c r="BX72" s="91"/>
      <c r="BY72" s="91"/>
      <c r="BZ72" s="91"/>
      <c r="CA72" s="91"/>
      <c r="CC72" s="79" t="n">
        <f aca="false">SUMIFS($T72:$CA72, $T$1:$CA$1, CC$63)</f>
        <v>0</v>
      </c>
      <c r="CD72" s="79" t="n">
        <f aca="false">SUMIFS($T72:$CA72, $T$1:$CA$1, CD$63)</f>
        <v>0</v>
      </c>
      <c r="CE72" s="79" t="n">
        <f aca="false">SUMIFS($T72:$CA72, $T$1:$CA$1, CE$63)</f>
        <v>0</v>
      </c>
      <c r="CF72" s="79" t="n">
        <f aca="false">SUMIFS($T72:$CA72, $T$1:$CA$1, CF$63)</f>
        <v>0</v>
      </c>
      <c r="CG72" s="79" t="n">
        <f aca="false">SUMIFS($T72:$CA72, $T$1:$CA$1, CG$63)</f>
        <v>0</v>
      </c>
      <c r="CI72" s="79" t="n">
        <f aca="false">CC72=L72</f>
        <v>1</v>
      </c>
      <c r="CJ72" s="79" t="n">
        <f aca="false">CD72=M72</f>
        <v>1</v>
      </c>
      <c r="CK72" s="79" t="n">
        <f aca="false">CE72=N72</f>
        <v>1</v>
      </c>
      <c r="CL72" s="79" t="n">
        <f aca="false">CF72=O72</f>
        <v>1</v>
      </c>
      <c r="CM72" s="79" t="n">
        <f aca="false">CG72=P72</f>
        <v>1</v>
      </c>
    </row>
    <row r="73" s="14" customFormat="true" ht="16.5" hidden="false" customHeight="true" outlineLevel="0" collapsed="false">
      <c r="E73" s="91"/>
      <c r="H73" s="71"/>
      <c r="I73" s="91" t="n">
        <v>0</v>
      </c>
      <c r="J73" s="91" t="n">
        <v>0</v>
      </c>
      <c r="K73" s="212" t="n">
        <f aca="false">I73-J73</f>
        <v>0</v>
      </c>
      <c r="L73" s="91"/>
      <c r="M73" s="91"/>
      <c r="N73" s="91"/>
      <c r="O73" s="91"/>
      <c r="P73" s="91"/>
      <c r="Q73" s="93"/>
      <c r="R73" s="16" t="str">
        <f aca="false">IF(K73=P73, "", "Error")</f>
        <v/>
      </c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4"/>
      <c r="AF73" s="95"/>
      <c r="AG73" s="91"/>
      <c r="AH73" s="91"/>
      <c r="AI73" s="91"/>
      <c r="AJ73" s="91"/>
      <c r="AK73" s="91"/>
      <c r="AL73" s="91"/>
      <c r="AM73" s="91"/>
      <c r="AN73" s="91"/>
      <c r="AO73" s="91"/>
      <c r="AP73" s="91"/>
      <c r="AQ73" s="94"/>
      <c r="AR73" s="95"/>
      <c r="AS73" s="91"/>
      <c r="AT73" s="91"/>
      <c r="AU73" s="91"/>
      <c r="AV73" s="91"/>
      <c r="AW73" s="91"/>
      <c r="AX73" s="91"/>
      <c r="AY73" s="91"/>
      <c r="AZ73" s="91"/>
      <c r="BA73" s="91"/>
      <c r="BB73" s="91"/>
      <c r="BC73" s="94"/>
      <c r="BD73" s="95"/>
      <c r="BE73" s="91"/>
      <c r="BF73" s="91"/>
      <c r="BG73" s="91"/>
      <c r="BH73" s="91"/>
      <c r="BI73" s="91"/>
      <c r="BJ73" s="91"/>
      <c r="BK73" s="91"/>
      <c r="BL73" s="91"/>
      <c r="BM73" s="91"/>
      <c r="BN73" s="91"/>
      <c r="BO73" s="94"/>
      <c r="BP73" s="95"/>
      <c r="BQ73" s="91"/>
      <c r="BR73" s="91"/>
      <c r="BS73" s="91"/>
      <c r="BT73" s="91"/>
      <c r="BU73" s="91"/>
      <c r="BV73" s="91"/>
      <c r="BW73" s="91"/>
      <c r="BX73" s="91"/>
      <c r="BY73" s="91"/>
      <c r="BZ73" s="91"/>
      <c r="CA73" s="91"/>
      <c r="CC73" s="79" t="n">
        <f aca="false">SUMIFS($T73:$CA73, $T$1:$CA$1, CC$63)</f>
        <v>0</v>
      </c>
      <c r="CD73" s="79" t="n">
        <f aca="false">SUMIFS($T73:$CA73, $T$1:$CA$1, CD$63)</f>
        <v>0</v>
      </c>
      <c r="CE73" s="79" t="n">
        <f aca="false">SUMIFS($T73:$CA73, $T$1:$CA$1, CE$63)</f>
        <v>0</v>
      </c>
      <c r="CF73" s="79" t="n">
        <f aca="false">SUMIFS($T73:$CA73, $T$1:$CA$1, CF$63)</f>
        <v>0</v>
      </c>
      <c r="CG73" s="79" t="n">
        <f aca="false">SUMIFS($T73:$CA73, $T$1:$CA$1, CG$63)</f>
        <v>0</v>
      </c>
      <c r="CI73" s="79" t="n">
        <f aca="false">CC73=L73</f>
        <v>1</v>
      </c>
      <c r="CJ73" s="79" t="n">
        <f aca="false">CD73=M73</f>
        <v>1</v>
      </c>
      <c r="CK73" s="79" t="n">
        <f aca="false">CE73=N73</f>
        <v>1</v>
      </c>
      <c r="CL73" s="79" t="n">
        <f aca="false">CF73=O73</f>
        <v>1</v>
      </c>
      <c r="CM73" s="79" t="n">
        <f aca="false">CG73=P73</f>
        <v>1</v>
      </c>
    </row>
    <row r="74" s="14" customFormat="true" ht="16.5" hidden="false" customHeight="true" outlineLevel="0" collapsed="false">
      <c r="E74" s="91"/>
      <c r="H74" s="71"/>
      <c r="I74" s="91" t="n">
        <v>0</v>
      </c>
      <c r="J74" s="91" t="n">
        <v>0</v>
      </c>
      <c r="K74" s="212" t="n">
        <f aca="false">I74-J74</f>
        <v>0</v>
      </c>
      <c r="L74" s="91"/>
      <c r="M74" s="91"/>
      <c r="N74" s="91"/>
      <c r="O74" s="91"/>
      <c r="P74" s="91"/>
      <c r="Q74" s="93"/>
      <c r="R74" s="16" t="str">
        <f aca="false">IF(K74=P74, "", "Error")</f>
        <v/>
      </c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4"/>
      <c r="AF74" s="95"/>
      <c r="AG74" s="91"/>
      <c r="AH74" s="91"/>
      <c r="AI74" s="91"/>
      <c r="AJ74" s="91"/>
      <c r="AK74" s="91"/>
      <c r="AL74" s="91"/>
      <c r="AM74" s="91"/>
      <c r="AN74" s="91"/>
      <c r="AO74" s="91"/>
      <c r="AP74" s="91"/>
      <c r="AQ74" s="94"/>
      <c r="AR74" s="95"/>
      <c r="AS74" s="91"/>
      <c r="AT74" s="91"/>
      <c r="AU74" s="91"/>
      <c r="AV74" s="91"/>
      <c r="AW74" s="91"/>
      <c r="AX74" s="91"/>
      <c r="AY74" s="91"/>
      <c r="AZ74" s="91"/>
      <c r="BA74" s="91"/>
      <c r="BB74" s="91"/>
      <c r="BC74" s="94"/>
      <c r="BD74" s="95"/>
      <c r="BE74" s="91"/>
      <c r="BF74" s="91"/>
      <c r="BG74" s="91"/>
      <c r="BH74" s="91"/>
      <c r="BI74" s="91"/>
      <c r="BJ74" s="91"/>
      <c r="BK74" s="91"/>
      <c r="BL74" s="91"/>
      <c r="BM74" s="91"/>
      <c r="BN74" s="91"/>
      <c r="BO74" s="94"/>
      <c r="BP74" s="95"/>
      <c r="BQ74" s="91"/>
      <c r="BR74" s="91"/>
      <c r="BS74" s="91"/>
      <c r="BT74" s="91"/>
      <c r="BU74" s="91"/>
      <c r="BV74" s="91"/>
      <c r="BW74" s="91"/>
      <c r="BX74" s="91"/>
      <c r="BY74" s="91"/>
      <c r="BZ74" s="91"/>
      <c r="CA74" s="91"/>
      <c r="CC74" s="79" t="n">
        <f aca="false">SUMIFS($T74:$CA74, $T$1:$CA$1, CC$63)</f>
        <v>0</v>
      </c>
      <c r="CD74" s="79" t="n">
        <f aca="false">SUMIFS($T74:$CA74, $T$1:$CA$1, CD$63)</f>
        <v>0</v>
      </c>
      <c r="CE74" s="79" t="n">
        <f aca="false">SUMIFS($T74:$CA74, $T$1:$CA$1, CE$63)</f>
        <v>0</v>
      </c>
      <c r="CF74" s="79" t="n">
        <f aca="false">SUMIFS($T74:$CA74, $T$1:$CA$1, CF$63)</f>
        <v>0</v>
      </c>
      <c r="CG74" s="79" t="n">
        <f aca="false">SUMIFS($T74:$CA74, $T$1:$CA$1, CG$63)</f>
        <v>0</v>
      </c>
      <c r="CI74" s="79" t="n">
        <f aca="false">CC74=L74</f>
        <v>1</v>
      </c>
      <c r="CJ74" s="79" t="n">
        <f aca="false">CD74=M74</f>
        <v>1</v>
      </c>
      <c r="CK74" s="79" t="n">
        <f aca="false">CE74=N74</f>
        <v>1</v>
      </c>
      <c r="CL74" s="79" t="n">
        <f aca="false">CF74=O74</f>
        <v>1</v>
      </c>
      <c r="CM74" s="79" t="n">
        <f aca="false">CG74=P74</f>
        <v>1</v>
      </c>
    </row>
    <row r="75" s="14" customFormat="true" ht="16.5" hidden="false" customHeight="true" outlineLevel="0" collapsed="false">
      <c r="E75" s="91"/>
      <c r="H75" s="71"/>
      <c r="I75" s="91"/>
      <c r="J75" s="91"/>
      <c r="K75" s="212" t="n">
        <f aca="false">I75-J75</f>
        <v>0</v>
      </c>
      <c r="L75" s="91"/>
      <c r="M75" s="91"/>
      <c r="N75" s="91"/>
      <c r="O75" s="91"/>
      <c r="P75" s="91"/>
      <c r="Q75" s="93"/>
      <c r="R75" s="16" t="str">
        <f aca="false">IF(K75=P75, "", "Error")</f>
        <v/>
      </c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4"/>
      <c r="AF75" s="95"/>
      <c r="AG75" s="91"/>
      <c r="AH75" s="91"/>
      <c r="AI75" s="91"/>
      <c r="AJ75" s="91"/>
      <c r="AK75" s="91"/>
      <c r="AL75" s="91"/>
      <c r="AM75" s="91"/>
      <c r="AN75" s="91"/>
      <c r="AO75" s="91"/>
      <c r="AP75" s="91"/>
      <c r="AQ75" s="94"/>
      <c r="AR75" s="95"/>
      <c r="AS75" s="91"/>
      <c r="AT75" s="91"/>
      <c r="AU75" s="91"/>
      <c r="AV75" s="91"/>
      <c r="AW75" s="91"/>
      <c r="AX75" s="91"/>
      <c r="AY75" s="91"/>
      <c r="AZ75" s="91"/>
      <c r="BA75" s="91"/>
      <c r="BB75" s="91"/>
      <c r="BC75" s="94"/>
      <c r="BD75" s="95"/>
      <c r="BE75" s="91"/>
      <c r="BF75" s="91"/>
      <c r="BG75" s="91"/>
      <c r="BH75" s="91"/>
      <c r="BI75" s="91"/>
      <c r="BJ75" s="91"/>
      <c r="BK75" s="91"/>
      <c r="BL75" s="91"/>
      <c r="BM75" s="91"/>
      <c r="BN75" s="91"/>
      <c r="BO75" s="94"/>
      <c r="BP75" s="95"/>
      <c r="BQ75" s="91"/>
      <c r="BR75" s="91"/>
      <c r="BS75" s="91"/>
      <c r="BT75" s="91"/>
      <c r="BU75" s="91"/>
      <c r="BV75" s="91"/>
      <c r="BW75" s="91"/>
      <c r="BX75" s="91"/>
      <c r="BY75" s="91"/>
      <c r="BZ75" s="91"/>
      <c r="CA75" s="91"/>
      <c r="CC75" s="79" t="n">
        <f aca="false">SUMIFS($T75:$CA75, $T$1:$CA$1, CC$63)</f>
        <v>0</v>
      </c>
      <c r="CD75" s="79" t="n">
        <f aca="false">SUMIFS($T75:$CA75, $T$1:$CA$1, CD$63)</f>
        <v>0</v>
      </c>
      <c r="CE75" s="79" t="n">
        <f aca="false">SUMIFS($T75:$CA75, $T$1:$CA$1, CE$63)</f>
        <v>0</v>
      </c>
      <c r="CF75" s="79" t="n">
        <f aca="false">SUMIFS($T75:$CA75, $T$1:$CA$1, CF$63)</f>
        <v>0</v>
      </c>
      <c r="CG75" s="79" t="n">
        <f aca="false">SUMIFS($T75:$CA75, $T$1:$CA$1, CG$63)</f>
        <v>0</v>
      </c>
      <c r="CI75" s="79" t="n">
        <f aca="false">CC75=L75</f>
        <v>1</v>
      </c>
      <c r="CJ75" s="79" t="n">
        <f aca="false">CD75=M75</f>
        <v>1</v>
      </c>
      <c r="CK75" s="79" t="n">
        <f aca="false">CE75=N75</f>
        <v>1</v>
      </c>
      <c r="CL75" s="79" t="n">
        <f aca="false">CF75=O75</f>
        <v>1</v>
      </c>
      <c r="CM75" s="79" t="n">
        <f aca="false">CG75=P75</f>
        <v>1</v>
      </c>
    </row>
    <row r="76" s="14" customFormat="true" ht="16.5" hidden="false" customHeight="true" outlineLevel="0" collapsed="false">
      <c r="E76" s="96" t="s">
        <v>139</v>
      </c>
      <c r="H76" s="71"/>
      <c r="I76" s="82" t="n">
        <f aca="false">SUM(I71:I75)</f>
        <v>0</v>
      </c>
      <c r="J76" s="82" t="n">
        <f aca="false">SUM(J71:J75)</f>
        <v>0</v>
      </c>
      <c r="K76" s="82" t="n">
        <f aca="false">SUM(K71:K75)</f>
        <v>0</v>
      </c>
      <c r="L76" s="82" t="n">
        <f aca="false">SUM(L71:L75)</f>
        <v>0</v>
      </c>
      <c r="M76" s="82" t="n">
        <f aca="false">SUM(M71:M75)</f>
        <v>0</v>
      </c>
      <c r="N76" s="82" t="n">
        <f aca="false">SUM(N71:N75)</f>
        <v>0</v>
      </c>
      <c r="O76" s="82" t="n">
        <f aca="false">SUM(O71:O75)</f>
        <v>0</v>
      </c>
      <c r="P76" s="82" t="n">
        <f aca="false">SUM(P71:P75)</f>
        <v>0</v>
      </c>
      <c r="Q76" s="16"/>
      <c r="R76" s="16"/>
      <c r="T76" s="82" t="n">
        <f aca="false">SUM(T71:T75)</f>
        <v>0</v>
      </c>
      <c r="U76" s="82" t="n">
        <f aca="false">SUM(U71:U75)</f>
        <v>0</v>
      </c>
      <c r="V76" s="82" t="n">
        <f aca="false">SUM(V71:V75)</f>
        <v>0</v>
      </c>
      <c r="W76" s="82" t="n">
        <f aca="false">SUM(W71:W75)</f>
        <v>0</v>
      </c>
      <c r="X76" s="82" t="n">
        <f aca="false">SUM(X71:X75)</f>
        <v>0</v>
      </c>
      <c r="Y76" s="82" t="n">
        <f aca="false">SUM(Y71:Y75)</f>
        <v>0</v>
      </c>
      <c r="Z76" s="82" t="n">
        <f aca="false">SUM(Z71:Z75)</f>
        <v>0</v>
      </c>
      <c r="AA76" s="82" t="n">
        <f aca="false">SUM(AA71:AA75)</f>
        <v>0</v>
      </c>
      <c r="AB76" s="82" t="n">
        <f aca="false">SUM(AB71:AB75)</f>
        <v>0</v>
      </c>
      <c r="AC76" s="82" t="n">
        <f aca="false">SUM(AC71:AC75)</f>
        <v>0</v>
      </c>
      <c r="AD76" s="82" t="n">
        <f aca="false">SUM(AD71:AD75)</f>
        <v>0</v>
      </c>
      <c r="AE76" s="82" t="n">
        <f aca="false">SUM(AE71:AE75)</f>
        <v>0</v>
      </c>
      <c r="AF76" s="83" t="n">
        <f aca="false">SUM(AF71:AF75)</f>
        <v>0</v>
      </c>
      <c r="AG76" s="82" t="n">
        <f aca="false">SUM(AG71:AG75)</f>
        <v>0</v>
      </c>
      <c r="AH76" s="82" t="n">
        <f aca="false">SUM(AH71:AH75)</f>
        <v>0</v>
      </c>
      <c r="AI76" s="82" t="n">
        <f aca="false">SUM(AI71:AI75)</f>
        <v>0</v>
      </c>
      <c r="AJ76" s="82" t="n">
        <f aca="false">SUM(AJ71:AJ75)</f>
        <v>0</v>
      </c>
      <c r="AK76" s="82" t="n">
        <f aca="false">SUM(AK71:AK75)</f>
        <v>0</v>
      </c>
      <c r="AL76" s="82" t="n">
        <f aca="false">SUM(AL71:AL75)</f>
        <v>0</v>
      </c>
      <c r="AM76" s="82" t="n">
        <f aca="false">SUM(AM71:AM75)</f>
        <v>0</v>
      </c>
      <c r="AN76" s="82" t="n">
        <f aca="false">SUM(AN71:AN75)</f>
        <v>0</v>
      </c>
      <c r="AO76" s="82" t="n">
        <f aca="false">SUM(AO71:AO75)</f>
        <v>0</v>
      </c>
      <c r="AP76" s="82" t="n">
        <f aca="false">SUM(AP71:AP75)</f>
        <v>0</v>
      </c>
      <c r="AQ76" s="82" t="n">
        <f aca="false">SUM(AQ71:AQ75)</f>
        <v>0</v>
      </c>
      <c r="AR76" s="83" t="n">
        <f aca="false">SUM(AR71:AR75)</f>
        <v>0</v>
      </c>
      <c r="AS76" s="82" t="n">
        <f aca="false">SUM(AS71:AS75)</f>
        <v>0</v>
      </c>
      <c r="AT76" s="82" t="n">
        <f aca="false">SUM(AT71:AT75)</f>
        <v>0</v>
      </c>
      <c r="AU76" s="82" t="n">
        <f aca="false">SUM(AU71:AU75)</f>
        <v>0</v>
      </c>
      <c r="AV76" s="82" t="n">
        <f aca="false">SUM(AV71:AV75)</f>
        <v>0</v>
      </c>
      <c r="AW76" s="82" t="n">
        <f aca="false">SUM(AW71:AW75)</f>
        <v>0</v>
      </c>
      <c r="AX76" s="82" t="n">
        <f aca="false">SUM(AX71:AX75)</f>
        <v>0</v>
      </c>
      <c r="AY76" s="82" t="n">
        <f aca="false">SUM(AY71:AY75)</f>
        <v>0</v>
      </c>
      <c r="AZ76" s="82" t="n">
        <f aca="false">SUM(AZ71:AZ75)</f>
        <v>0</v>
      </c>
      <c r="BA76" s="82" t="n">
        <f aca="false">SUM(BA71:BA75)</f>
        <v>0</v>
      </c>
      <c r="BB76" s="82" t="n">
        <f aca="false">SUM(BB71:BB75)</f>
        <v>0</v>
      </c>
      <c r="BC76" s="82" t="n">
        <f aca="false">SUM(BC71:BC75)</f>
        <v>0</v>
      </c>
      <c r="BD76" s="83" t="n">
        <f aca="false">SUM(BD71:BD75)</f>
        <v>0</v>
      </c>
      <c r="BE76" s="82" t="n">
        <f aca="false">SUM(BE71:BE75)</f>
        <v>0</v>
      </c>
      <c r="BF76" s="82" t="n">
        <f aca="false">SUM(BF71:BF75)</f>
        <v>0</v>
      </c>
      <c r="BG76" s="82" t="n">
        <f aca="false">SUM(BG71:BG75)</f>
        <v>0</v>
      </c>
      <c r="BH76" s="82" t="n">
        <f aca="false">SUM(BH71:BH75)</f>
        <v>0</v>
      </c>
      <c r="BI76" s="82" t="n">
        <f aca="false">SUM(BI71:BI75)</f>
        <v>0</v>
      </c>
      <c r="BJ76" s="82" t="n">
        <f aca="false">SUM(BJ71:BJ75)</f>
        <v>0</v>
      </c>
      <c r="BK76" s="82" t="n">
        <f aca="false">SUM(BK71:BK75)</f>
        <v>0</v>
      </c>
      <c r="BL76" s="82" t="n">
        <f aca="false">SUM(BL71:BL75)</f>
        <v>0</v>
      </c>
      <c r="BM76" s="82" t="n">
        <f aca="false">SUM(BM71:BM75)</f>
        <v>0</v>
      </c>
      <c r="BN76" s="82" t="n">
        <f aca="false">SUM(BN71:BN75)</f>
        <v>0</v>
      </c>
      <c r="BO76" s="82" t="n">
        <f aca="false">SUM(BO71:BO75)</f>
        <v>0</v>
      </c>
      <c r="BP76" s="83" t="n">
        <f aca="false">SUM(BP71:BP75)</f>
        <v>0</v>
      </c>
      <c r="BQ76" s="82" t="n">
        <f aca="false">SUM(BQ71:BQ75)</f>
        <v>0</v>
      </c>
      <c r="BR76" s="82" t="n">
        <f aca="false">SUM(BR71:BR75)</f>
        <v>0</v>
      </c>
      <c r="BS76" s="82" t="n">
        <f aca="false">SUM(BS71:BS75)</f>
        <v>0</v>
      </c>
      <c r="BT76" s="82" t="n">
        <f aca="false">SUM(BT71:BT75)</f>
        <v>0</v>
      </c>
      <c r="BU76" s="82" t="n">
        <f aca="false">SUM(BU71:BU75)</f>
        <v>0</v>
      </c>
      <c r="BV76" s="82" t="n">
        <f aca="false">SUM(BV71:BV75)</f>
        <v>0</v>
      </c>
      <c r="BW76" s="82" t="n">
        <f aca="false">SUM(BW71:BW75)</f>
        <v>0</v>
      </c>
      <c r="BX76" s="82" t="n">
        <f aca="false">SUM(BX71:BX75)</f>
        <v>0</v>
      </c>
      <c r="BY76" s="82" t="n">
        <f aca="false">SUM(BY71:BY75)</f>
        <v>0</v>
      </c>
      <c r="BZ76" s="82" t="n">
        <f aca="false">SUM(BZ71:BZ75)</f>
        <v>0</v>
      </c>
      <c r="CA76" s="82" t="n">
        <f aca="false">SUM(CA71:CA75)</f>
        <v>0</v>
      </c>
      <c r="CC76" s="84" t="n">
        <f aca="false">SUM(CC71:CC75)</f>
        <v>0</v>
      </c>
      <c r="CD76" s="84" t="n">
        <f aca="false">SUM(CD71:CD75)</f>
        <v>0</v>
      </c>
      <c r="CE76" s="84" t="n">
        <f aca="false">SUM(CE71:CE75)</f>
        <v>0</v>
      </c>
      <c r="CF76" s="84" t="n">
        <f aca="false">SUM(CF71:CF75)</f>
        <v>0</v>
      </c>
      <c r="CG76" s="84" t="n">
        <f aca="false">SUM(CG71:CG75)</f>
        <v>0</v>
      </c>
      <c r="CI76" s="84" t="n">
        <f aca="false">CC76=L76</f>
        <v>1</v>
      </c>
      <c r="CJ76" s="84" t="n">
        <f aca="false">CD76=M76</f>
        <v>1</v>
      </c>
      <c r="CK76" s="84" t="n">
        <f aca="false">CE76=N76</f>
        <v>1</v>
      </c>
      <c r="CL76" s="84" t="n">
        <f aca="false">CF76=O76</f>
        <v>1</v>
      </c>
      <c r="CM76" s="84" t="n">
        <f aca="false">CG76=P76</f>
        <v>1</v>
      </c>
    </row>
    <row r="77" s="14" customFormat="true" ht="16.5" hidden="false" customHeight="true" outlineLevel="0" collapsed="false">
      <c r="H77" s="71"/>
      <c r="I77" s="88"/>
      <c r="J77" s="88"/>
      <c r="K77" s="88"/>
      <c r="L77" s="88"/>
      <c r="M77" s="88"/>
      <c r="N77" s="88"/>
      <c r="O77" s="88"/>
      <c r="P77" s="88"/>
      <c r="Q77" s="16"/>
      <c r="R77" s="16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9"/>
      <c r="AG77" s="88"/>
      <c r="AH77" s="88"/>
      <c r="AI77" s="88"/>
      <c r="AJ77" s="88"/>
      <c r="AK77" s="88"/>
      <c r="AL77" s="88"/>
      <c r="AM77" s="88"/>
      <c r="AN77" s="88"/>
      <c r="AO77" s="88"/>
      <c r="AP77" s="88"/>
      <c r="AQ77" s="88"/>
      <c r="AR77" s="89"/>
      <c r="AS77" s="88"/>
      <c r="AT77" s="88"/>
      <c r="AU77" s="88"/>
      <c r="AV77" s="88"/>
      <c r="AW77" s="88"/>
      <c r="AX77" s="88"/>
      <c r="AY77" s="88"/>
      <c r="AZ77" s="88"/>
      <c r="BA77" s="88"/>
      <c r="BB77" s="88"/>
      <c r="BC77" s="88"/>
      <c r="BD77" s="89"/>
      <c r="BE77" s="88"/>
      <c r="BF77" s="88"/>
      <c r="BG77" s="88"/>
      <c r="BH77" s="88"/>
      <c r="BI77" s="88"/>
      <c r="BJ77" s="88"/>
      <c r="BK77" s="88"/>
      <c r="BL77" s="88"/>
      <c r="BM77" s="88"/>
      <c r="BN77" s="88"/>
      <c r="BO77" s="88"/>
      <c r="BP77" s="89"/>
      <c r="BQ77" s="88"/>
      <c r="BR77" s="88"/>
      <c r="BS77" s="88"/>
      <c r="BT77" s="88"/>
      <c r="BU77" s="88"/>
      <c r="BV77" s="88"/>
      <c r="BW77" s="88"/>
      <c r="BX77" s="88"/>
      <c r="BY77" s="88"/>
      <c r="BZ77" s="88"/>
      <c r="CA77" s="88"/>
      <c r="CC77" s="90"/>
      <c r="CD77" s="90"/>
      <c r="CE77" s="90"/>
      <c r="CF77" s="90"/>
      <c r="CG77" s="90"/>
      <c r="CI77" s="90"/>
      <c r="CJ77" s="90"/>
      <c r="CK77" s="90"/>
      <c r="CL77" s="90"/>
      <c r="CM77" s="90"/>
    </row>
    <row r="78" s="14" customFormat="true" ht="16.5" hidden="false" customHeight="true" outlineLevel="0" collapsed="false">
      <c r="E78" s="21" t="s">
        <v>140</v>
      </c>
      <c r="H78" s="71"/>
      <c r="I78" s="88"/>
      <c r="J78" s="88"/>
      <c r="K78" s="88"/>
      <c r="L78" s="88"/>
      <c r="M78" s="88"/>
      <c r="N78" s="88"/>
      <c r="O78" s="88"/>
      <c r="P78" s="88"/>
      <c r="Q78" s="16"/>
      <c r="R78" s="16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9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9"/>
      <c r="AS78" s="88"/>
      <c r="AT78" s="88"/>
      <c r="AU78" s="88"/>
      <c r="AV78" s="88"/>
      <c r="AW78" s="88"/>
      <c r="AX78" s="88"/>
      <c r="AY78" s="88"/>
      <c r="AZ78" s="88"/>
      <c r="BA78" s="88"/>
      <c r="BB78" s="88"/>
      <c r="BC78" s="88"/>
      <c r="BD78" s="89"/>
      <c r="BE78" s="88"/>
      <c r="BF78" s="88"/>
      <c r="BG78" s="88"/>
      <c r="BH78" s="88"/>
      <c r="BI78" s="88"/>
      <c r="BJ78" s="88"/>
      <c r="BK78" s="88"/>
      <c r="BL78" s="88"/>
      <c r="BM78" s="88"/>
      <c r="BN78" s="88"/>
      <c r="BO78" s="88"/>
      <c r="BP78" s="89"/>
      <c r="BQ78" s="88"/>
      <c r="BR78" s="88"/>
      <c r="BS78" s="88"/>
      <c r="BT78" s="88"/>
      <c r="BU78" s="88"/>
      <c r="BV78" s="88"/>
      <c r="BW78" s="88"/>
      <c r="BX78" s="88"/>
      <c r="BY78" s="88"/>
      <c r="BZ78" s="88"/>
      <c r="CA78" s="88"/>
      <c r="CC78" s="90"/>
      <c r="CD78" s="90"/>
      <c r="CE78" s="90"/>
      <c r="CF78" s="90"/>
      <c r="CG78" s="90"/>
      <c r="CI78" s="90"/>
      <c r="CJ78" s="90"/>
      <c r="CK78" s="90"/>
      <c r="CL78" s="90"/>
      <c r="CM78" s="90"/>
    </row>
    <row r="79" s="14" customFormat="true" ht="16.5" hidden="false" customHeight="true" outlineLevel="0" collapsed="false">
      <c r="E79" s="91" t="s">
        <v>733</v>
      </c>
      <c r="H79" s="71" t="s">
        <v>734</v>
      </c>
      <c r="I79" s="213" t="n">
        <f aca="false">'SVC-5 Model'!$D$63</f>
        <v>17.66433499</v>
      </c>
      <c r="J79" s="213" t="n">
        <f aca="false">I79-'SVC-5 Model'!$K$63</f>
        <v>10.8308314002301</v>
      </c>
      <c r="K79" s="214" t="n">
        <f aca="false">'SVC-5 Model'!$K$63</f>
        <v>6.83350358976987</v>
      </c>
      <c r="L79" s="213" t="n">
        <f aca="false">'SVC-5 Model'!L63</f>
        <v>0</v>
      </c>
      <c r="M79" s="213" t="n">
        <f aca="false">'SVC-5 Model'!M63</f>
        <v>0.569458632480822</v>
      </c>
      <c r="N79" s="213" t="n">
        <f aca="false">'SVC-5 Model'!N63</f>
        <v>6.26404495728905</v>
      </c>
      <c r="O79" s="213" t="n">
        <f aca="false">'SVC-5 Model'!O63</f>
        <v>6.83350358976987</v>
      </c>
      <c r="P79" s="213" t="n">
        <f aca="false">'SVC-5 Model'!P63</f>
        <v>6.83350358976987</v>
      </c>
      <c r="Q79" s="93" t="s">
        <v>266</v>
      </c>
      <c r="R79" s="16" t="str">
        <f aca="false">IF(K79=P79, "", "Error")</f>
        <v/>
      </c>
      <c r="T79" s="213" t="n">
        <f aca="false">'SVC-5 Model'!T63</f>
        <v>0</v>
      </c>
      <c r="U79" s="213" t="n">
        <f aca="false">'SVC-5 Model'!U63</f>
        <v>0</v>
      </c>
      <c r="V79" s="213" t="n">
        <f aca="false">'SVC-5 Model'!V63</f>
        <v>0</v>
      </c>
      <c r="W79" s="213" t="n">
        <f aca="false">'SVC-5 Model'!W63</f>
        <v>0</v>
      </c>
      <c r="X79" s="213" t="n">
        <f aca="false">'SVC-5 Model'!X63</f>
        <v>0</v>
      </c>
      <c r="Y79" s="213" t="n">
        <f aca="false">'SVC-5 Model'!Y63</f>
        <v>0</v>
      </c>
      <c r="Z79" s="213" t="n">
        <f aca="false">'SVC-5 Model'!Z63</f>
        <v>0</v>
      </c>
      <c r="AA79" s="213" t="n">
        <f aca="false">'SVC-5 Model'!AA63</f>
        <v>0</v>
      </c>
      <c r="AB79" s="213" t="n">
        <f aca="false">'SVC-5 Model'!AB63</f>
        <v>0</v>
      </c>
      <c r="AC79" s="213" t="n">
        <f aca="false">'SVC-5 Model'!AC63</f>
        <v>0</v>
      </c>
      <c r="AD79" s="213" t="n">
        <f aca="false">'SVC-5 Model'!AD63</f>
        <v>0</v>
      </c>
      <c r="AE79" s="215" t="n">
        <f aca="false">'SVC-5 Model'!AE63</f>
        <v>0</v>
      </c>
      <c r="AF79" s="216" t="n">
        <f aca="false">'SVC-5 Model'!AF63</f>
        <v>0</v>
      </c>
      <c r="AG79" s="216" t="n">
        <f aca="false">'SVC-5 Model'!AG63</f>
        <v>0</v>
      </c>
      <c r="AH79" s="216" t="n">
        <f aca="false">'SVC-5 Model'!AH63</f>
        <v>0</v>
      </c>
      <c r="AI79" s="216" t="n">
        <f aca="false">'SVC-5 Model'!AI63</f>
        <v>0</v>
      </c>
      <c r="AJ79" s="216" t="n">
        <f aca="false">'SVC-5 Model'!AJ63</f>
        <v>0</v>
      </c>
      <c r="AK79" s="216" t="n">
        <f aca="false">'SVC-5 Model'!AK63</f>
        <v>0</v>
      </c>
      <c r="AL79" s="216" t="n">
        <f aca="false">'SVC-5 Model'!AL63</f>
        <v>0</v>
      </c>
      <c r="AM79" s="216" t="n">
        <f aca="false">'SVC-5 Model'!AM63</f>
        <v>0</v>
      </c>
      <c r="AN79" s="216" t="n">
        <f aca="false">'SVC-5 Model'!AN63</f>
        <v>0.0355911645300514</v>
      </c>
      <c r="AO79" s="216" t="n">
        <f aca="false">'SVC-5 Model'!AO63</f>
        <v>0.106773493590154</v>
      </c>
      <c r="AP79" s="216" t="n">
        <f aca="false">'SVC-5 Model'!AP63</f>
        <v>0.177955822650257</v>
      </c>
      <c r="AQ79" s="216" t="n">
        <f aca="false">'SVC-5 Model'!AQ63</f>
        <v>0.24913815171036</v>
      </c>
      <c r="AR79" s="216" t="n">
        <f aca="false">'SVC-5 Model'!AR63</f>
        <v>0.320320480770463</v>
      </c>
      <c r="AS79" s="216" t="n">
        <f aca="false">'SVC-5 Model'!AS63</f>
        <v>0.391502809830565</v>
      </c>
      <c r="AT79" s="216" t="n">
        <f aca="false">'SVC-5 Model'!AT63</f>
        <v>0.462685138890668</v>
      </c>
      <c r="AU79" s="216" t="n">
        <f aca="false">'SVC-5 Model'!AU63</f>
        <v>0.533867467950771</v>
      </c>
      <c r="AV79" s="216" t="n">
        <f aca="false">'SVC-5 Model'!AV63</f>
        <v>0.569458632480822</v>
      </c>
      <c r="AW79" s="216" t="n">
        <f aca="false">'SVC-5 Model'!AW63</f>
        <v>0.569458632480822</v>
      </c>
      <c r="AX79" s="216" t="n">
        <f aca="false">'SVC-5 Model'!AX63</f>
        <v>0.569458632480822</v>
      </c>
      <c r="AY79" s="216" t="n">
        <f aca="false">'SVC-5 Model'!AY63</f>
        <v>0.569458632480822</v>
      </c>
      <c r="AZ79" s="216" t="n">
        <f aca="false">'SVC-5 Model'!AZ63</f>
        <v>0.569458632480822</v>
      </c>
      <c r="BA79" s="216" t="n">
        <f aca="false">'SVC-5 Model'!BA63</f>
        <v>0.569458632480822</v>
      </c>
      <c r="BB79" s="216" t="n">
        <f aca="false">'SVC-5 Model'!BB63</f>
        <v>0.569458632480822</v>
      </c>
      <c r="BC79" s="216" t="n">
        <f aca="false">'SVC-5 Model'!BC63</f>
        <v>0.569458632480822</v>
      </c>
      <c r="BD79" s="216" t="n">
        <f aca="false">'SVC-5 Model'!BD63</f>
        <v>0.569458632480822</v>
      </c>
      <c r="BE79" s="216" t="n">
        <f aca="false">'SVC-5 Model'!BE63</f>
        <v>0.569458632480822</v>
      </c>
      <c r="BF79" s="216" t="n">
        <f aca="false">'SVC-5 Model'!BF63</f>
        <v>0.569458632480822</v>
      </c>
      <c r="BG79" s="216" t="n">
        <f aca="false">'SVC-5 Model'!BG63</f>
        <v>0.569458632480822</v>
      </c>
      <c r="BH79" s="216" t="n">
        <f aca="false">'SVC-5 Model'!BH63</f>
        <v>0.569458632480822</v>
      </c>
      <c r="BI79" s="216" t="n">
        <f aca="false">'SVC-5 Model'!BI63</f>
        <v>0.569458632480822</v>
      </c>
      <c r="BJ79" s="216" t="n">
        <f aca="false">'SVC-5 Model'!BJ63</f>
        <v>0.569458632480822</v>
      </c>
      <c r="BK79" s="216" t="n">
        <f aca="false">'SVC-5 Model'!BK63</f>
        <v>0.569458632480822</v>
      </c>
      <c r="BL79" s="216" t="n">
        <f aca="false">'SVC-5 Model'!BL63</f>
        <v>0.569458632480822</v>
      </c>
      <c r="BM79" s="216" t="n">
        <f aca="false">'SVC-5 Model'!BM63</f>
        <v>0.569458632480822</v>
      </c>
      <c r="BN79" s="216" t="n">
        <f aca="false">'SVC-5 Model'!BN63</f>
        <v>0.569458632480822</v>
      </c>
      <c r="BO79" s="216" t="n">
        <f aca="false">'SVC-5 Model'!BO63</f>
        <v>0.569458632480822</v>
      </c>
      <c r="BP79" s="216" t="n">
        <f aca="false">'SVC-5 Model'!BP63</f>
        <v>0.569458632480822</v>
      </c>
      <c r="BQ79" s="216" t="n">
        <f aca="false">'SVC-5 Model'!BQ63</f>
        <v>0.569458632480822</v>
      </c>
      <c r="BR79" s="216" t="n">
        <f aca="false">'SVC-5 Model'!BR63</f>
        <v>0.569458632480822</v>
      </c>
      <c r="BS79" s="216" t="n">
        <f aca="false">'SVC-5 Model'!BS63</f>
        <v>0.569458632480822</v>
      </c>
      <c r="BT79" s="216" t="n">
        <f aca="false">'SVC-5 Model'!BT63</f>
        <v>0.569458632480822</v>
      </c>
      <c r="BU79" s="216" t="n">
        <f aca="false">'SVC-5 Model'!BU63</f>
        <v>0.569458632480822</v>
      </c>
      <c r="BV79" s="216" t="n">
        <f aca="false">'SVC-5 Model'!BV63</f>
        <v>0.569458632480822</v>
      </c>
      <c r="BW79" s="216" t="n">
        <f aca="false">'SVC-5 Model'!BW63</f>
        <v>0.569458632480822</v>
      </c>
      <c r="BX79" s="216" t="n">
        <f aca="false">'SVC-5 Model'!BX63</f>
        <v>0.569458632480822</v>
      </c>
      <c r="BY79" s="216" t="n">
        <f aca="false">'SVC-5 Model'!BY63</f>
        <v>0.569458632480822</v>
      </c>
      <c r="BZ79" s="216" t="n">
        <f aca="false">'SVC-5 Model'!BZ63</f>
        <v>0.569458632480822</v>
      </c>
      <c r="CA79" s="216" t="n">
        <f aca="false">'SVC-5 Model'!CA63</f>
        <v>0.569458632480822</v>
      </c>
      <c r="CC79" s="79" t="n">
        <f aca="false">SUMIFS($T79:$CA79, $T$1:$CA$1, CC$63)</f>
        <v>0</v>
      </c>
      <c r="CD79" s="79" t="n">
        <f aca="false">SUMIFS($T79:$CA79, $T$1:$CA$1, CD$63)</f>
        <v>0.569458632480822</v>
      </c>
      <c r="CE79" s="79" t="n">
        <f aca="false">SUMIFS($T79:$CA79, $T$1:$CA$1, CE$63)</f>
        <v>6.26404495728905</v>
      </c>
      <c r="CF79" s="79" t="n">
        <f aca="false">SUMIFS($T79:$CA79, $T$1:$CA$1, CF$63)</f>
        <v>6.83350358976987</v>
      </c>
      <c r="CG79" s="79" t="n">
        <f aca="false">SUMIFS($T79:$CA79, $T$1:$CA$1, CG$63)</f>
        <v>6.83350358976987</v>
      </c>
      <c r="CI79" s="79" t="n">
        <f aca="false">CC79=L79</f>
        <v>1</v>
      </c>
      <c r="CJ79" s="79" t="n">
        <f aca="false">CD79=M79</f>
        <v>1</v>
      </c>
      <c r="CK79" s="79" t="n">
        <f aca="false">CE79=N79</f>
        <v>1</v>
      </c>
      <c r="CL79" s="79" t="n">
        <f aca="false">CF79=O79</f>
        <v>1</v>
      </c>
      <c r="CM79" s="79" t="n">
        <f aca="false">CG79=P79</f>
        <v>1</v>
      </c>
    </row>
    <row r="80" s="14" customFormat="true" ht="16.5" hidden="false" customHeight="true" outlineLevel="0" collapsed="false">
      <c r="E80" s="91"/>
      <c r="H80" s="71"/>
      <c r="I80" s="91" t="n">
        <v>0</v>
      </c>
      <c r="J80" s="91" t="n">
        <v>0</v>
      </c>
      <c r="K80" s="212" t="n">
        <f aca="false">I80-J80</f>
        <v>0</v>
      </c>
      <c r="L80" s="91"/>
      <c r="M80" s="91"/>
      <c r="N80" s="91"/>
      <c r="O80" s="91"/>
      <c r="P80" s="91"/>
      <c r="Q80" s="93"/>
      <c r="R80" s="16" t="str">
        <f aca="false">IF(K80=P80, "", "Error")</f>
        <v/>
      </c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4"/>
      <c r="AF80" s="95"/>
      <c r="AG80" s="91"/>
      <c r="AH80" s="91"/>
      <c r="AI80" s="91"/>
      <c r="AJ80" s="91"/>
      <c r="AK80" s="91"/>
      <c r="AL80" s="91"/>
      <c r="AM80" s="91"/>
      <c r="AN80" s="91"/>
      <c r="AO80" s="91"/>
      <c r="AP80" s="91"/>
      <c r="AQ80" s="94"/>
      <c r="AR80" s="95"/>
      <c r="AS80" s="91"/>
      <c r="AT80" s="91"/>
      <c r="AU80" s="91"/>
      <c r="AV80" s="91"/>
      <c r="AW80" s="91"/>
      <c r="AX80" s="91"/>
      <c r="AY80" s="91"/>
      <c r="AZ80" s="91"/>
      <c r="BA80" s="91"/>
      <c r="BB80" s="91"/>
      <c r="BC80" s="94"/>
      <c r="BD80" s="95"/>
      <c r="BE80" s="91"/>
      <c r="BF80" s="91"/>
      <c r="BG80" s="91"/>
      <c r="BH80" s="91"/>
      <c r="BI80" s="91"/>
      <c r="BJ80" s="91"/>
      <c r="BK80" s="91"/>
      <c r="BL80" s="91"/>
      <c r="BM80" s="91"/>
      <c r="BN80" s="91"/>
      <c r="BO80" s="94"/>
      <c r="BP80" s="95"/>
      <c r="BQ80" s="91"/>
      <c r="BR80" s="91"/>
      <c r="BS80" s="91"/>
      <c r="BT80" s="91"/>
      <c r="BU80" s="91"/>
      <c r="BV80" s="91"/>
      <c r="BW80" s="91"/>
      <c r="BX80" s="91"/>
      <c r="BY80" s="91"/>
      <c r="BZ80" s="91"/>
      <c r="CA80" s="91"/>
      <c r="CC80" s="79" t="n">
        <f aca="false">SUMIFS($T80:$CA80, $T$1:$CA$1, CC$63)</f>
        <v>0</v>
      </c>
      <c r="CD80" s="79" t="n">
        <f aca="false">SUMIFS($T80:$CA80, $T$1:$CA$1, CD$63)</f>
        <v>0</v>
      </c>
      <c r="CE80" s="79" t="n">
        <f aca="false">SUMIFS($T80:$CA80, $T$1:$CA$1, CE$63)</f>
        <v>0</v>
      </c>
      <c r="CF80" s="79" t="n">
        <f aca="false">SUMIFS($T80:$CA80, $T$1:$CA$1, CF$63)</f>
        <v>0</v>
      </c>
      <c r="CG80" s="79" t="n">
        <f aca="false">SUMIFS($T80:$CA80, $T$1:$CA$1, CG$63)</f>
        <v>0</v>
      </c>
      <c r="CI80" s="79" t="n">
        <f aca="false">CC80=L80</f>
        <v>1</v>
      </c>
      <c r="CJ80" s="79" t="n">
        <f aca="false">CD80=M80</f>
        <v>1</v>
      </c>
      <c r="CK80" s="79" t="n">
        <f aca="false">CE80=N80</f>
        <v>1</v>
      </c>
      <c r="CL80" s="79" t="n">
        <f aca="false">CF80=O80</f>
        <v>1</v>
      </c>
      <c r="CM80" s="79" t="n">
        <f aca="false">CG80=P80</f>
        <v>1</v>
      </c>
    </row>
    <row r="81" s="14" customFormat="true" ht="16.5" hidden="false" customHeight="true" outlineLevel="0" collapsed="false">
      <c r="E81" s="91"/>
      <c r="H81" s="71"/>
      <c r="I81" s="91" t="n">
        <v>0</v>
      </c>
      <c r="J81" s="91" t="n">
        <v>0</v>
      </c>
      <c r="K81" s="212" t="n">
        <f aca="false">I81-J81</f>
        <v>0</v>
      </c>
      <c r="L81" s="91"/>
      <c r="M81" s="91"/>
      <c r="N81" s="91"/>
      <c r="O81" s="91"/>
      <c r="P81" s="91"/>
      <c r="Q81" s="93"/>
      <c r="R81" s="16" t="str">
        <f aca="false">IF(K81=P81, "", "Error")</f>
        <v/>
      </c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4"/>
      <c r="AF81" s="95"/>
      <c r="AG81" s="91"/>
      <c r="AH81" s="91"/>
      <c r="AI81" s="91"/>
      <c r="AJ81" s="91"/>
      <c r="AK81" s="91"/>
      <c r="AL81" s="91"/>
      <c r="AM81" s="91"/>
      <c r="AN81" s="91"/>
      <c r="AO81" s="91"/>
      <c r="AP81" s="91"/>
      <c r="AQ81" s="94"/>
      <c r="AR81" s="95"/>
      <c r="AS81" s="91"/>
      <c r="AT81" s="91"/>
      <c r="AU81" s="91"/>
      <c r="AV81" s="91"/>
      <c r="AW81" s="91"/>
      <c r="AX81" s="91"/>
      <c r="AY81" s="91"/>
      <c r="AZ81" s="91"/>
      <c r="BA81" s="91"/>
      <c r="BB81" s="91"/>
      <c r="BC81" s="94"/>
      <c r="BD81" s="95"/>
      <c r="BE81" s="91"/>
      <c r="BF81" s="91"/>
      <c r="BG81" s="91"/>
      <c r="BH81" s="91"/>
      <c r="BI81" s="91"/>
      <c r="BJ81" s="91"/>
      <c r="BK81" s="91"/>
      <c r="BL81" s="91"/>
      <c r="BM81" s="91"/>
      <c r="BN81" s="91"/>
      <c r="BO81" s="94"/>
      <c r="BP81" s="95"/>
      <c r="BQ81" s="91"/>
      <c r="BR81" s="91"/>
      <c r="BS81" s="91"/>
      <c r="BT81" s="91"/>
      <c r="BU81" s="91"/>
      <c r="BV81" s="91"/>
      <c r="BW81" s="91"/>
      <c r="BX81" s="91"/>
      <c r="BY81" s="91"/>
      <c r="BZ81" s="91"/>
      <c r="CA81" s="91"/>
      <c r="CC81" s="79" t="n">
        <f aca="false">SUMIFS($T81:$CA81, $T$1:$CA$1, CC$63)</f>
        <v>0</v>
      </c>
      <c r="CD81" s="79" t="n">
        <f aca="false">SUMIFS($T81:$CA81, $T$1:$CA$1, CD$63)</f>
        <v>0</v>
      </c>
      <c r="CE81" s="79" t="n">
        <f aca="false">SUMIFS($T81:$CA81, $T$1:$CA$1, CE$63)</f>
        <v>0</v>
      </c>
      <c r="CF81" s="79" t="n">
        <f aca="false">SUMIFS($T81:$CA81, $T$1:$CA$1, CF$63)</f>
        <v>0</v>
      </c>
      <c r="CG81" s="79" t="n">
        <f aca="false">SUMIFS($T81:$CA81, $T$1:$CA$1, CG$63)</f>
        <v>0</v>
      </c>
      <c r="CI81" s="79" t="n">
        <f aca="false">CC81=L81</f>
        <v>1</v>
      </c>
      <c r="CJ81" s="79" t="n">
        <f aca="false">CD81=M81</f>
        <v>1</v>
      </c>
      <c r="CK81" s="79" t="n">
        <f aca="false">CE81=N81</f>
        <v>1</v>
      </c>
      <c r="CL81" s="79" t="n">
        <f aca="false">CF81=O81</f>
        <v>1</v>
      </c>
      <c r="CM81" s="79" t="n">
        <f aca="false">CG81=P81</f>
        <v>1</v>
      </c>
    </row>
    <row r="82" s="14" customFormat="true" ht="16.5" hidden="false" customHeight="true" outlineLevel="0" collapsed="false">
      <c r="E82" s="91"/>
      <c r="H82" s="71"/>
      <c r="I82" s="91" t="n">
        <v>0</v>
      </c>
      <c r="J82" s="91" t="n">
        <v>0</v>
      </c>
      <c r="K82" s="212" t="n">
        <f aca="false">I82-J82</f>
        <v>0</v>
      </c>
      <c r="L82" s="91"/>
      <c r="M82" s="91"/>
      <c r="N82" s="91"/>
      <c r="O82" s="91"/>
      <c r="P82" s="91"/>
      <c r="Q82" s="93"/>
      <c r="R82" s="16" t="str">
        <f aca="false">IF(K82=P82, "", "Error")</f>
        <v/>
      </c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4"/>
      <c r="AF82" s="95"/>
      <c r="AG82" s="91"/>
      <c r="AH82" s="91"/>
      <c r="AI82" s="91"/>
      <c r="AJ82" s="91"/>
      <c r="AK82" s="91"/>
      <c r="AL82" s="91"/>
      <c r="AM82" s="91"/>
      <c r="AN82" s="91"/>
      <c r="AO82" s="91"/>
      <c r="AP82" s="91"/>
      <c r="AQ82" s="94"/>
      <c r="AR82" s="95"/>
      <c r="AS82" s="91"/>
      <c r="AT82" s="91"/>
      <c r="AU82" s="91"/>
      <c r="AV82" s="91"/>
      <c r="AW82" s="91"/>
      <c r="AX82" s="91"/>
      <c r="AY82" s="91"/>
      <c r="AZ82" s="91"/>
      <c r="BA82" s="91"/>
      <c r="BB82" s="91"/>
      <c r="BC82" s="94"/>
      <c r="BD82" s="95"/>
      <c r="BE82" s="91"/>
      <c r="BF82" s="91"/>
      <c r="BG82" s="91"/>
      <c r="BH82" s="91"/>
      <c r="BI82" s="91"/>
      <c r="BJ82" s="91"/>
      <c r="BK82" s="91"/>
      <c r="BL82" s="91"/>
      <c r="BM82" s="91"/>
      <c r="BN82" s="91"/>
      <c r="BO82" s="94"/>
      <c r="BP82" s="95"/>
      <c r="BQ82" s="91"/>
      <c r="BR82" s="91"/>
      <c r="BS82" s="91"/>
      <c r="BT82" s="91"/>
      <c r="BU82" s="91"/>
      <c r="BV82" s="91"/>
      <c r="BW82" s="91"/>
      <c r="BX82" s="91"/>
      <c r="BY82" s="91"/>
      <c r="BZ82" s="91"/>
      <c r="CA82" s="91"/>
      <c r="CC82" s="79" t="n">
        <f aca="false">SUMIFS($T82:$CA82, $T$1:$CA$1, CC$63)</f>
        <v>0</v>
      </c>
      <c r="CD82" s="79" t="n">
        <f aca="false">SUMIFS($T82:$CA82, $T$1:$CA$1, CD$63)</f>
        <v>0</v>
      </c>
      <c r="CE82" s="79" t="n">
        <f aca="false">SUMIFS($T82:$CA82, $T$1:$CA$1, CE$63)</f>
        <v>0</v>
      </c>
      <c r="CF82" s="79" t="n">
        <f aca="false">SUMIFS($T82:$CA82, $T$1:$CA$1, CF$63)</f>
        <v>0</v>
      </c>
      <c r="CG82" s="79" t="n">
        <f aca="false">SUMIFS($T82:$CA82, $T$1:$CA$1, CG$63)</f>
        <v>0</v>
      </c>
      <c r="CI82" s="79" t="n">
        <f aca="false">CC82=L82</f>
        <v>1</v>
      </c>
      <c r="CJ82" s="79" t="n">
        <f aca="false">CD82=M82</f>
        <v>1</v>
      </c>
      <c r="CK82" s="79" t="n">
        <f aca="false">CE82=N82</f>
        <v>1</v>
      </c>
      <c r="CL82" s="79" t="n">
        <f aca="false">CF82=O82</f>
        <v>1</v>
      </c>
      <c r="CM82" s="79" t="n">
        <f aca="false">CG82=P82</f>
        <v>1</v>
      </c>
    </row>
    <row r="83" s="14" customFormat="true" ht="16.5" hidden="false" customHeight="true" outlineLevel="0" collapsed="false">
      <c r="E83" s="91"/>
      <c r="H83" s="71"/>
      <c r="I83" s="91" t="n">
        <v>0</v>
      </c>
      <c r="J83" s="91" t="n">
        <v>0</v>
      </c>
      <c r="K83" s="212" t="n">
        <f aca="false">I83-J83</f>
        <v>0</v>
      </c>
      <c r="L83" s="91"/>
      <c r="M83" s="91"/>
      <c r="N83" s="91"/>
      <c r="O83" s="91"/>
      <c r="P83" s="91"/>
      <c r="Q83" s="93"/>
      <c r="R83" s="16" t="str">
        <f aca="false">IF(K83=P83, "", "Error")</f>
        <v/>
      </c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4"/>
      <c r="AF83" s="95"/>
      <c r="AG83" s="91"/>
      <c r="AH83" s="91"/>
      <c r="AI83" s="91"/>
      <c r="AJ83" s="91"/>
      <c r="AK83" s="91"/>
      <c r="AL83" s="91"/>
      <c r="AM83" s="91"/>
      <c r="AN83" s="91"/>
      <c r="AO83" s="91"/>
      <c r="AP83" s="91"/>
      <c r="AQ83" s="94"/>
      <c r="AR83" s="95"/>
      <c r="AS83" s="91"/>
      <c r="AT83" s="91"/>
      <c r="AU83" s="91"/>
      <c r="AV83" s="91"/>
      <c r="AW83" s="91"/>
      <c r="AX83" s="91"/>
      <c r="AY83" s="91"/>
      <c r="AZ83" s="91"/>
      <c r="BA83" s="91"/>
      <c r="BB83" s="91"/>
      <c r="BC83" s="94"/>
      <c r="BD83" s="95"/>
      <c r="BE83" s="91"/>
      <c r="BF83" s="91"/>
      <c r="BG83" s="91"/>
      <c r="BH83" s="91"/>
      <c r="BI83" s="91"/>
      <c r="BJ83" s="91"/>
      <c r="BK83" s="91"/>
      <c r="BL83" s="91"/>
      <c r="BM83" s="91"/>
      <c r="BN83" s="91"/>
      <c r="BO83" s="94"/>
      <c r="BP83" s="95"/>
      <c r="BQ83" s="91"/>
      <c r="BR83" s="91"/>
      <c r="BS83" s="91"/>
      <c r="BT83" s="91"/>
      <c r="BU83" s="91"/>
      <c r="BV83" s="91"/>
      <c r="BW83" s="91"/>
      <c r="BX83" s="91"/>
      <c r="BY83" s="91"/>
      <c r="BZ83" s="91"/>
      <c r="CA83" s="91"/>
      <c r="CC83" s="79" t="n">
        <f aca="false">SUMIFS($T83:$CA83, $T$1:$CA$1, CC$63)</f>
        <v>0</v>
      </c>
      <c r="CD83" s="79" t="n">
        <f aca="false">SUMIFS($T83:$CA83, $T$1:$CA$1, CD$63)</f>
        <v>0</v>
      </c>
      <c r="CE83" s="79" t="n">
        <f aca="false">SUMIFS($T83:$CA83, $T$1:$CA$1, CE$63)</f>
        <v>0</v>
      </c>
      <c r="CF83" s="79" t="n">
        <f aca="false">SUMIFS($T83:$CA83, $T$1:$CA$1, CF$63)</f>
        <v>0</v>
      </c>
      <c r="CG83" s="79" t="n">
        <f aca="false">SUMIFS($T83:$CA83, $T$1:$CA$1, CG$63)</f>
        <v>0</v>
      </c>
      <c r="CI83" s="79" t="n">
        <f aca="false">CC83=L83</f>
        <v>1</v>
      </c>
      <c r="CJ83" s="79" t="n">
        <f aca="false">CD83=M83</f>
        <v>1</v>
      </c>
      <c r="CK83" s="79" t="n">
        <f aca="false">CE83=N83</f>
        <v>1</v>
      </c>
      <c r="CL83" s="79" t="n">
        <f aca="false">CF83=O83</f>
        <v>1</v>
      </c>
      <c r="CM83" s="79" t="n">
        <f aca="false">CG83=P83</f>
        <v>1</v>
      </c>
    </row>
    <row r="84" s="14" customFormat="true" ht="16.5" hidden="false" customHeight="true" outlineLevel="0" collapsed="false">
      <c r="E84" s="96" t="s">
        <v>143</v>
      </c>
      <c r="H84" s="71"/>
      <c r="I84" s="82" t="n">
        <f aca="false">SUM(I79:I83)</f>
        <v>17.66433499</v>
      </c>
      <c r="J84" s="82" t="n">
        <f aca="false">SUM(J79:J83)</f>
        <v>10.8308314002301</v>
      </c>
      <c r="K84" s="82" t="n">
        <f aca="false">SUM(K79:K83)</f>
        <v>6.83350358976987</v>
      </c>
      <c r="L84" s="82" t="n">
        <f aca="false">SUM(L79:L83)</f>
        <v>0</v>
      </c>
      <c r="M84" s="82" t="n">
        <f aca="false">SUM(M79:M83)</f>
        <v>0.569458632480822</v>
      </c>
      <c r="N84" s="82" t="n">
        <f aca="false">SUM(N79:N83)</f>
        <v>6.26404495728905</v>
      </c>
      <c r="O84" s="82" t="n">
        <f aca="false">SUM(O79:O83)</f>
        <v>6.83350358976987</v>
      </c>
      <c r="P84" s="82" t="n">
        <f aca="false">SUM(P79:P83)</f>
        <v>6.83350358976987</v>
      </c>
      <c r="Q84" s="103"/>
      <c r="R84" s="103"/>
      <c r="S84" s="104"/>
      <c r="T84" s="82" t="n">
        <f aca="false">SUM(T79:T83)</f>
        <v>0</v>
      </c>
      <c r="U84" s="82" t="n">
        <f aca="false">SUM(U79:U83)</f>
        <v>0</v>
      </c>
      <c r="V84" s="82" t="n">
        <f aca="false">SUM(V79:V83)</f>
        <v>0</v>
      </c>
      <c r="W84" s="82" t="n">
        <f aca="false">SUM(W79:W83)</f>
        <v>0</v>
      </c>
      <c r="X84" s="82" t="n">
        <f aca="false">SUM(X79:X83)</f>
        <v>0</v>
      </c>
      <c r="Y84" s="82" t="n">
        <f aca="false">SUM(Y79:Y83)</f>
        <v>0</v>
      </c>
      <c r="Z84" s="82" t="n">
        <f aca="false">SUM(Z79:Z83)</f>
        <v>0</v>
      </c>
      <c r="AA84" s="82" t="n">
        <f aca="false">SUM(AA79:AA83)</f>
        <v>0</v>
      </c>
      <c r="AB84" s="82" t="n">
        <f aca="false">SUM(AB79:AB83)</f>
        <v>0</v>
      </c>
      <c r="AC84" s="82" t="n">
        <f aca="false">SUM(AC79:AC83)</f>
        <v>0</v>
      </c>
      <c r="AD84" s="82" t="n">
        <f aca="false">SUM(AD79:AD83)</f>
        <v>0</v>
      </c>
      <c r="AE84" s="82" t="n">
        <f aca="false">SUM(AE79:AE83)</f>
        <v>0</v>
      </c>
      <c r="AF84" s="82" t="n">
        <f aca="false">SUM(AF79:AF83)</f>
        <v>0</v>
      </c>
      <c r="AG84" s="82" t="n">
        <f aca="false">SUM(AG79:AG83)</f>
        <v>0</v>
      </c>
      <c r="AH84" s="82" t="n">
        <f aca="false">SUM(AH79:AH83)</f>
        <v>0</v>
      </c>
      <c r="AI84" s="82" t="n">
        <f aca="false">SUM(AI79:AI83)</f>
        <v>0</v>
      </c>
      <c r="AJ84" s="82" t="n">
        <f aca="false">SUM(AJ79:AJ83)</f>
        <v>0</v>
      </c>
      <c r="AK84" s="82" t="n">
        <f aca="false">SUM(AK79:AK83)</f>
        <v>0</v>
      </c>
      <c r="AL84" s="82" t="n">
        <f aca="false">SUM(AL79:AL83)</f>
        <v>0</v>
      </c>
      <c r="AM84" s="82" t="n">
        <f aca="false">SUM(AM79:AM83)</f>
        <v>0</v>
      </c>
      <c r="AN84" s="82" t="n">
        <f aca="false">SUM(AN79:AN83)</f>
        <v>0.0355911645300514</v>
      </c>
      <c r="AO84" s="82" t="n">
        <f aca="false">SUM(AO79:AO83)</f>
        <v>0.106773493590154</v>
      </c>
      <c r="AP84" s="82" t="n">
        <f aca="false">SUM(AP79:AP83)</f>
        <v>0.177955822650257</v>
      </c>
      <c r="AQ84" s="82" t="n">
        <f aca="false">SUM(AQ79:AQ83)</f>
        <v>0.24913815171036</v>
      </c>
      <c r="AR84" s="82" t="n">
        <f aca="false">SUM(AR79:AR83)</f>
        <v>0.320320480770463</v>
      </c>
      <c r="AS84" s="82" t="n">
        <f aca="false">SUM(AS79:AS83)</f>
        <v>0.391502809830565</v>
      </c>
      <c r="AT84" s="82" t="n">
        <f aca="false">SUM(AT79:AT83)</f>
        <v>0.462685138890668</v>
      </c>
      <c r="AU84" s="82" t="n">
        <f aca="false">SUM(AU79:AU83)</f>
        <v>0.533867467950771</v>
      </c>
      <c r="AV84" s="82" t="n">
        <f aca="false">SUM(AV79:AV83)</f>
        <v>0.569458632480822</v>
      </c>
      <c r="AW84" s="82" t="n">
        <f aca="false">SUM(AW79:AW83)</f>
        <v>0.569458632480822</v>
      </c>
      <c r="AX84" s="82" t="n">
        <f aca="false">SUM(AX79:AX83)</f>
        <v>0.569458632480822</v>
      </c>
      <c r="AY84" s="82" t="n">
        <f aca="false">SUM(AY79:AY83)</f>
        <v>0.569458632480822</v>
      </c>
      <c r="AZ84" s="82" t="n">
        <f aca="false">SUM(AZ79:AZ83)</f>
        <v>0.569458632480822</v>
      </c>
      <c r="BA84" s="82" t="n">
        <f aca="false">SUM(BA79:BA83)</f>
        <v>0.569458632480822</v>
      </c>
      <c r="BB84" s="82" t="n">
        <f aca="false">SUM(BB79:BB83)</f>
        <v>0.569458632480822</v>
      </c>
      <c r="BC84" s="82" t="n">
        <f aca="false">SUM(BC79:BC83)</f>
        <v>0.569458632480822</v>
      </c>
      <c r="BD84" s="82" t="n">
        <f aca="false">SUM(BD79:BD83)</f>
        <v>0.569458632480822</v>
      </c>
      <c r="BE84" s="82" t="n">
        <f aca="false">SUM(BE79:BE83)</f>
        <v>0.569458632480822</v>
      </c>
      <c r="BF84" s="82" t="n">
        <f aca="false">SUM(BF79:BF83)</f>
        <v>0.569458632480822</v>
      </c>
      <c r="BG84" s="82" t="n">
        <f aca="false">SUM(BG79:BG83)</f>
        <v>0.569458632480822</v>
      </c>
      <c r="BH84" s="82" t="n">
        <f aca="false">SUM(BH79:BH83)</f>
        <v>0.569458632480822</v>
      </c>
      <c r="BI84" s="82" t="n">
        <f aca="false">SUM(BI79:BI83)</f>
        <v>0.569458632480822</v>
      </c>
      <c r="BJ84" s="82" t="n">
        <f aca="false">SUM(BJ79:BJ83)</f>
        <v>0.569458632480822</v>
      </c>
      <c r="BK84" s="82" t="n">
        <f aca="false">SUM(BK79:BK83)</f>
        <v>0.569458632480822</v>
      </c>
      <c r="BL84" s="82" t="n">
        <f aca="false">SUM(BL79:BL83)</f>
        <v>0.569458632480822</v>
      </c>
      <c r="BM84" s="82" t="n">
        <f aca="false">SUM(BM79:BM83)</f>
        <v>0.569458632480822</v>
      </c>
      <c r="BN84" s="82" t="n">
        <f aca="false">SUM(BN79:BN83)</f>
        <v>0.569458632480822</v>
      </c>
      <c r="BO84" s="82" t="n">
        <f aca="false">SUM(BO79:BO83)</f>
        <v>0.569458632480822</v>
      </c>
      <c r="BP84" s="82" t="n">
        <f aca="false">SUM(BP79:BP83)</f>
        <v>0.569458632480822</v>
      </c>
      <c r="BQ84" s="82" t="n">
        <f aca="false">SUM(BQ79:BQ83)</f>
        <v>0.569458632480822</v>
      </c>
      <c r="BR84" s="82" t="n">
        <f aca="false">SUM(BR79:BR83)</f>
        <v>0.569458632480822</v>
      </c>
      <c r="BS84" s="82" t="n">
        <f aca="false">SUM(BS79:BS83)</f>
        <v>0.569458632480822</v>
      </c>
      <c r="BT84" s="82" t="n">
        <f aca="false">SUM(BT79:BT83)</f>
        <v>0.569458632480822</v>
      </c>
      <c r="BU84" s="82" t="n">
        <f aca="false">SUM(BU79:BU83)</f>
        <v>0.569458632480822</v>
      </c>
      <c r="BV84" s="82" t="n">
        <f aca="false">SUM(BV79:BV83)</f>
        <v>0.569458632480822</v>
      </c>
      <c r="BW84" s="82" t="n">
        <f aca="false">SUM(BW79:BW83)</f>
        <v>0.569458632480822</v>
      </c>
      <c r="BX84" s="82" t="n">
        <f aca="false">SUM(BX79:BX83)</f>
        <v>0.569458632480822</v>
      </c>
      <c r="BY84" s="82" t="n">
        <f aca="false">SUM(BY79:BY83)</f>
        <v>0.569458632480822</v>
      </c>
      <c r="BZ84" s="82" t="n">
        <f aca="false">SUM(BZ79:BZ83)</f>
        <v>0.569458632480822</v>
      </c>
      <c r="CA84" s="82" t="n">
        <f aca="false">SUM(CA79:CA83)</f>
        <v>0.569458632480822</v>
      </c>
      <c r="CB84" s="104"/>
      <c r="CC84" s="105" t="n">
        <f aca="false">SUM(CC79:CC83)</f>
        <v>0</v>
      </c>
      <c r="CD84" s="105" t="n">
        <f aca="false">SUM(CD79:CD83)</f>
        <v>0.569458632480822</v>
      </c>
      <c r="CE84" s="105" t="n">
        <f aca="false">SUM(CE79:CE83)</f>
        <v>6.26404495728905</v>
      </c>
      <c r="CF84" s="105" t="n">
        <f aca="false">SUM(CF79:CF83)</f>
        <v>6.83350358976987</v>
      </c>
      <c r="CG84" s="105" t="n">
        <f aca="false">SUM(CG79:CG83)</f>
        <v>6.83350358976987</v>
      </c>
      <c r="CI84" s="84" t="n">
        <f aca="false">CC84=L84</f>
        <v>1</v>
      </c>
      <c r="CJ84" s="84" t="n">
        <f aca="false">CD84=M84</f>
        <v>1</v>
      </c>
      <c r="CK84" s="84" t="n">
        <f aca="false">CE84=N84</f>
        <v>1</v>
      </c>
      <c r="CL84" s="84" t="n">
        <f aca="false">CF84=O84</f>
        <v>1</v>
      </c>
      <c r="CM84" s="84" t="n">
        <f aca="false">CG84=P84</f>
        <v>1</v>
      </c>
    </row>
    <row r="85" s="14" customFormat="true" ht="16.5" hidden="false" customHeight="true" outlineLevel="0" collapsed="false">
      <c r="E85" s="96"/>
      <c r="H85" s="71"/>
      <c r="I85" s="82"/>
      <c r="J85" s="82"/>
      <c r="K85" s="82"/>
      <c r="L85" s="82"/>
      <c r="M85" s="82"/>
      <c r="N85" s="82"/>
      <c r="O85" s="82"/>
      <c r="P85" s="82"/>
      <c r="Q85" s="16"/>
      <c r="R85" s="16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3"/>
      <c r="AG85" s="82"/>
      <c r="AH85" s="82"/>
      <c r="AI85" s="82"/>
      <c r="AJ85" s="82"/>
      <c r="AK85" s="82"/>
      <c r="AL85" s="82"/>
      <c r="AM85" s="82"/>
      <c r="AN85" s="82"/>
      <c r="AO85" s="82"/>
      <c r="AP85" s="82"/>
      <c r="AQ85" s="82"/>
      <c r="AR85" s="83"/>
      <c r="AS85" s="82"/>
      <c r="AT85" s="82"/>
      <c r="AU85" s="82"/>
      <c r="AV85" s="82"/>
      <c r="AW85" s="82"/>
      <c r="AX85" s="82"/>
      <c r="AY85" s="82"/>
      <c r="AZ85" s="82"/>
      <c r="BA85" s="82"/>
      <c r="BB85" s="82"/>
      <c r="BC85" s="82"/>
      <c r="BD85" s="83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3"/>
      <c r="BQ85" s="82"/>
      <c r="BR85" s="82"/>
      <c r="BS85" s="82"/>
      <c r="BT85" s="82"/>
      <c r="BU85" s="82"/>
      <c r="BV85" s="82"/>
      <c r="BW85" s="82"/>
      <c r="BX85" s="82"/>
      <c r="BY85" s="82"/>
      <c r="BZ85" s="82"/>
      <c r="CA85" s="82"/>
      <c r="CC85" s="84"/>
      <c r="CD85" s="84"/>
      <c r="CE85" s="84"/>
      <c r="CF85" s="84"/>
      <c r="CG85" s="84"/>
      <c r="CI85" s="84"/>
      <c r="CJ85" s="84"/>
      <c r="CK85" s="84"/>
      <c r="CL85" s="84"/>
      <c r="CM85" s="84"/>
    </row>
    <row r="86" s="14" customFormat="true" ht="16.5" hidden="false" customHeight="true" outlineLevel="0" collapsed="false">
      <c r="E86" s="96"/>
      <c r="H86" s="71"/>
      <c r="I86" s="82"/>
      <c r="J86" s="82"/>
      <c r="K86" s="82"/>
      <c r="L86" s="82"/>
      <c r="M86" s="82"/>
      <c r="N86" s="82"/>
      <c r="O86" s="82"/>
      <c r="P86" s="82"/>
      <c r="Q86" s="16"/>
      <c r="R86" s="16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3"/>
      <c r="AG86" s="82"/>
      <c r="AH86" s="82"/>
      <c r="AI86" s="82"/>
      <c r="AJ86" s="82"/>
      <c r="AK86" s="82"/>
      <c r="AL86" s="82"/>
      <c r="AM86" s="82"/>
      <c r="AN86" s="82"/>
      <c r="AO86" s="82"/>
      <c r="AP86" s="82"/>
      <c r="AQ86" s="82"/>
      <c r="AR86" s="83"/>
      <c r="AS86" s="82"/>
      <c r="AT86" s="82"/>
      <c r="AU86" s="82"/>
      <c r="AV86" s="82"/>
      <c r="AW86" s="82"/>
      <c r="AX86" s="82"/>
      <c r="AY86" s="82"/>
      <c r="AZ86" s="82"/>
      <c r="BA86" s="82"/>
      <c r="BB86" s="82"/>
      <c r="BC86" s="82"/>
      <c r="BD86" s="83"/>
      <c r="BE86" s="82"/>
      <c r="BF86" s="82"/>
      <c r="BG86" s="82"/>
      <c r="BH86" s="82"/>
      <c r="BI86" s="82"/>
      <c r="BJ86" s="82"/>
      <c r="BK86" s="82"/>
      <c r="BL86" s="82"/>
      <c r="BM86" s="82"/>
      <c r="BN86" s="82"/>
      <c r="BO86" s="82"/>
      <c r="BP86" s="83"/>
      <c r="BQ86" s="82"/>
      <c r="BR86" s="82"/>
      <c r="BS86" s="82"/>
      <c r="BT86" s="82"/>
      <c r="BU86" s="82"/>
      <c r="BV86" s="82"/>
      <c r="BW86" s="82"/>
      <c r="BX86" s="82"/>
      <c r="BY86" s="82"/>
      <c r="BZ86" s="82"/>
      <c r="CA86" s="82"/>
      <c r="CC86" s="84"/>
      <c r="CD86" s="84"/>
      <c r="CE86" s="84"/>
      <c r="CF86" s="84"/>
      <c r="CG86" s="84"/>
      <c r="CI86" s="84"/>
      <c r="CJ86" s="84"/>
      <c r="CK86" s="84"/>
      <c r="CL86" s="84"/>
      <c r="CM86" s="84"/>
    </row>
    <row r="87" s="14" customFormat="true" ht="16.5" hidden="false" customHeight="true" outlineLevel="0" collapsed="false">
      <c r="E87" s="85"/>
      <c r="H87" s="71"/>
      <c r="I87" s="88"/>
      <c r="J87" s="88"/>
      <c r="K87" s="88"/>
      <c r="L87" s="88"/>
      <c r="M87" s="88"/>
      <c r="N87" s="88"/>
      <c r="O87" s="88"/>
      <c r="P87" s="88"/>
      <c r="Q87" s="16"/>
      <c r="R87" s="16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9"/>
      <c r="AG87" s="88"/>
      <c r="AH87" s="88"/>
      <c r="AI87" s="88"/>
      <c r="AJ87" s="88"/>
      <c r="AK87" s="88"/>
      <c r="AL87" s="88"/>
      <c r="AM87" s="88"/>
      <c r="AN87" s="88"/>
      <c r="AO87" s="88"/>
      <c r="AP87" s="88"/>
      <c r="AQ87" s="88"/>
      <c r="AR87" s="89"/>
      <c r="AS87" s="88"/>
      <c r="AT87" s="88"/>
      <c r="AU87" s="88"/>
      <c r="AV87" s="88"/>
      <c r="AW87" s="88"/>
      <c r="AX87" s="88"/>
      <c r="AY87" s="88"/>
      <c r="AZ87" s="88"/>
      <c r="BA87" s="88"/>
      <c r="BB87" s="88"/>
      <c r="BC87" s="88"/>
      <c r="BD87" s="89"/>
      <c r="BE87" s="88"/>
      <c r="BF87" s="88"/>
      <c r="BG87" s="88"/>
      <c r="BH87" s="88"/>
      <c r="BI87" s="88"/>
      <c r="BJ87" s="88"/>
      <c r="BK87" s="88"/>
      <c r="BL87" s="88"/>
      <c r="BM87" s="88"/>
      <c r="BN87" s="88"/>
      <c r="BO87" s="88"/>
      <c r="BP87" s="89"/>
      <c r="BQ87" s="88"/>
      <c r="BR87" s="88"/>
      <c r="BS87" s="88"/>
      <c r="BT87" s="88"/>
      <c r="BU87" s="88"/>
      <c r="BV87" s="88"/>
      <c r="BW87" s="88"/>
      <c r="BX87" s="88"/>
      <c r="BY87" s="88"/>
      <c r="BZ87" s="88"/>
      <c r="CA87" s="88"/>
      <c r="CC87" s="90"/>
      <c r="CD87" s="90"/>
      <c r="CE87" s="90"/>
      <c r="CF87" s="90"/>
      <c r="CG87" s="90"/>
      <c r="CI87" s="90"/>
      <c r="CJ87" s="90"/>
      <c r="CK87" s="90"/>
      <c r="CL87" s="90"/>
      <c r="CM87" s="90"/>
    </row>
    <row r="88" s="14" customFormat="true" ht="16.5" hidden="false" customHeight="true" outlineLevel="0" collapsed="false">
      <c r="E88" s="109" t="s">
        <v>144</v>
      </c>
      <c r="F88" s="109"/>
      <c r="G88" s="109"/>
      <c r="H88" s="110"/>
      <c r="I88" s="217" t="n">
        <f aca="false">SUM(I68, I76, I84)</f>
        <v>17.66433499</v>
      </c>
      <c r="J88" s="217" t="n">
        <f aca="false">SUM(J68, J76, J84)</f>
        <v>10.8308314002301</v>
      </c>
      <c r="K88" s="217" t="n">
        <f aca="false">SUM(K68, K76, K84)</f>
        <v>6.83350358976987</v>
      </c>
      <c r="L88" s="217" t="n">
        <f aca="false">SUM(L68, L76, L84)</f>
        <v>0</v>
      </c>
      <c r="M88" s="217" t="n">
        <f aca="false">SUM(M68, M76, M84)</f>
        <v>0.569458632480822</v>
      </c>
      <c r="N88" s="217" t="n">
        <f aca="false">SUM(N68, N76, N84)</f>
        <v>6.26404495728905</v>
      </c>
      <c r="O88" s="217" t="n">
        <f aca="false">SUM(O68, O76, O84)</f>
        <v>6.83350358976987</v>
      </c>
      <c r="P88" s="217" t="n">
        <f aca="false">SUM(P68, P76, P84)</f>
        <v>6.83350358976987</v>
      </c>
      <c r="Q88" s="16"/>
      <c r="R88" s="16"/>
      <c r="T88" s="218" t="n">
        <f aca="false">SUM(T68, T76, T84)</f>
        <v>0</v>
      </c>
      <c r="U88" s="218" t="n">
        <f aca="false">SUM(U68, U76, U84)</f>
        <v>0</v>
      </c>
      <c r="V88" s="218" t="n">
        <f aca="false">SUM(V68, V76, V84)</f>
        <v>0</v>
      </c>
      <c r="W88" s="218" t="n">
        <f aca="false">SUM(W68, W76, W84)</f>
        <v>0</v>
      </c>
      <c r="X88" s="218" t="n">
        <f aca="false">SUM(X68, X76, X84)</f>
        <v>0</v>
      </c>
      <c r="Y88" s="218" t="n">
        <f aca="false">SUM(Y68, Y76, Y84)</f>
        <v>0</v>
      </c>
      <c r="Z88" s="218" t="n">
        <f aca="false">SUM(Z68, Z76, Z84)</f>
        <v>0</v>
      </c>
      <c r="AA88" s="218" t="n">
        <f aca="false">SUM(AA68, AA76, AA84)</f>
        <v>0</v>
      </c>
      <c r="AB88" s="218" t="n">
        <f aca="false">SUM(AB68, AB76, AB84)</f>
        <v>0</v>
      </c>
      <c r="AC88" s="218" t="n">
        <f aca="false">SUM(AC68, AC76, AC84)</f>
        <v>0</v>
      </c>
      <c r="AD88" s="218" t="n">
        <f aca="false">SUM(AD68, AD76, AD84)</f>
        <v>0</v>
      </c>
      <c r="AE88" s="218" t="n">
        <f aca="false">SUM(AE68, AE76, AE84)</f>
        <v>0</v>
      </c>
      <c r="AF88" s="218" t="n">
        <f aca="false">SUM(AF68, AF76, AF84)</f>
        <v>0</v>
      </c>
      <c r="AG88" s="218" t="n">
        <f aca="false">SUM(AG68, AG76, AG84)</f>
        <v>0</v>
      </c>
      <c r="AH88" s="218" t="n">
        <f aca="false">SUM(AH68, AH76, AH84)</f>
        <v>0</v>
      </c>
      <c r="AI88" s="218" t="n">
        <f aca="false">SUM(AI68, AI76, AI84)</f>
        <v>0</v>
      </c>
      <c r="AJ88" s="218" t="n">
        <f aca="false">SUM(AJ68, AJ76, AJ84)</f>
        <v>0</v>
      </c>
      <c r="AK88" s="218" t="n">
        <f aca="false">SUM(AK68, AK76, AK84)</f>
        <v>0</v>
      </c>
      <c r="AL88" s="218" t="n">
        <f aca="false">SUM(AL68, AL76, AL84)</f>
        <v>0</v>
      </c>
      <c r="AM88" s="218" t="n">
        <f aca="false">SUM(AM68, AM76, AM84)</f>
        <v>0</v>
      </c>
      <c r="AN88" s="218" t="n">
        <f aca="false">SUM(AN68, AN76, AN84)</f>
        <v>0.0355911645300514</v>
      </c>
      <c r="AO88" s="218" t="n">
        <f aca="false">SUM(AO68, AO76, AO84)</f>
        <v>0.106773493590154</v>
      </c>
      <c r="AP88" s="218" t="n">
        <f aca="false">SUM(AP68, AP76, AP84)</f>
        <v>0.177955822650257</v>
      </c>
      <c r="AQ88" s="218" t="n">
        <f aca="false">SUM(AQ68, AQ76, AQ84)</f>
        <v>0.24913815171036</v>
      </c>
      <c r="AR88" s="218" t="n">
        <f aca="false">SUM(AR68, AR76, AR84)</f>
        <v>0.320320480770463</v>
      </c>
      <c r="AS88" s="218" t="n">
        <f aca="false">SUM(AS68, AS76, AS84)</f>
        <v>0.391502809830565</v>
      </c>
      <c r="AT88" s="218" t="n">
        <f aca="false">SUM(AT68, AT76, AT84)</f>
        <v>0.462685138890668</v>
      </c>
      <c r="AU88" s="218" t="n">
        <f aca="false">SUM(AU68, AU76, AU84)</f>
        <v>0.533867467950771</v>
      </c>
      <c r="AV88" s="218" t="n">
        <f aca="false">SUM(AV68, AV76, AV84)</f>
        <v>0.569458632480822</v>
      </c>
      <c r="AW88" s="218" t="n">
        <f aca="false">SUM(AW68, AW76, AW84)</f>
        <v>0.569458632480822</v>
      </c>
      <c r="AX88" s="218" t="n">
        <f aca="false">SUM(AX68, AX76, AX84)</f>
        <v>0.569458632480822</v>
      </c>
      <c r="AY88" s="218" t="n">
        <f aca="false">SUM(AY68, AY76, AY84)</f>
        <v>0.569458632480822</v>
      </c>
      <c r="AZ88" s="218" t="n">
        <f aca="false">SUM(AZ68, AZ76, AZ84)</f>
        <v>0.569458632480822</v>
      </c>
      <c r="BA88" s="218" t="n">
        <f aca="false">SUM(BA68, BA76, BA84)</f>
        <v>0.569458632480822</v>
      </c>
      <c r="BB88" s="218" t="n">
        <f aca="false">SUM(BB68, BB76, BB84)</f>
        <v>0.569458632480822</v>
      </c>
      <c r="BC88" s="218" t="n">
        <f aca="false">SUM(BC68, BC76, BC84)</f>
        <v>0.569458632480822</v>
      </c>
      <c r="BD88" s="218" t="n">
        <f aca="false">SUM(BD68, BD76, BD84)</f>
        <v>0.569458632480822</v>
      </c>
      <c r="BE88" s="218" t="n">
        <f aca="false">SUM(BE68, BE76, BE84)</f>
        <v>0.569458632480822</v>
      </c>
      <c r="BF88" s="218" t="n">
        <f aca="false">SUM(BF68, BF76, BF84)</f>
        <v>0.569458632480822</v>
      </c>
      <c r="BG88" s="218" t="n">
        <f aca="false">SUM(BG68, BG76, BG84)</f>
        <v>0.569458632480822</v>
      </c>
      <c r="BH88" s="218" t="n">
        <f aca="false">SUM(BH68, BH76, BH84)</f>
        <v>0.569458632480822</v>
      </c>
      <c r="BI88" s="218" t="n">
        <f aca="false">SUM(BI68, BI76, BI84)</f>
        <v>0.569458632480822</v>
      </c>
      <c r="BJ88" s="218" t="n">
        <f aca="false">SUM(BJ68, BJ76, BJ84)</f>
        <v>0.569458632480822</v>
      </c>
      <c r="BK88" s="218" t="n">
        <f aca="false">SUM(BK68, BK76, BK84)</f>
        <v>0.569458632480822</v>
      </c>
      <c r="BL88" s="218" t="n">
        <f aca="false">SUM(BL68, BL76, BL84)</f>
        <v>0.569458632480822</v>
      </c>
      <c r="BM88" s="218" t="n">
        <f aca="false">SUM(BM68, BM76, BM84)</f>
        <v>0.569458632480822</v>
      </c>
      <c r="BN88" s="218" t="n">
        <f aca="false">SUM(BN68, BN76, BN84)</f>
        <v>0.569458632480822</v>
      </c>
      <c r="BO88" s="218" t="n">
        <f aca="false">SUM(BO68, BO76, BO84)</f>
        <v>0.569458632480822</v>
      </c>
      <c r="BP88" s="218" t="n">
        <f aca="false">SUM(BP68, BP76, BP84)</f>
        <v>0.569458632480822</v>
      </c>
      <c r="BQ88" s="218" t="n">
        <f aca="false">SUM(BQ68, BQ76, BQ84)</f>
        <v>0.569458632480822</v>
      </c>
      <c r="BR88" s="218" t="n">
        <f aca="false">SUM(BR68, BR76, BR84)</f>
        <v>0.569458632480822</v>
      </c>
      <c r="BS88" s="218" t="n">
        <f aca="false">SUM(BS68, BS76, BS84)</f>
        <v>0.569458632480822</v>
      </c>
      <c r="BT88" s="218" t="n">
        <f aca="false">SUM(BT68, BT76, BT84)</f>
        <v>0.569458632480822</v>
      </c>
      <c r="BU88" s="218" t="n">
        <f aca="false">SUM(BU68, BU76, BU84)</f>
        <v>0.569458632480822</v>
      </c>
      <c r="BV88" s="218" t="n">
        <f aca="false">SUM(BV68, BV76, BV84)</f>
        <v>0.569458632480822</v>
      </c>
      <c r="BW88" s="218" t="n">
        <f aca="false">SUM(BW68, BW76, BW84)</f>
        <v>0.569458632480822</v>
      </c>
      <c r="BX88" s="218" t="n">
        <f aca="false">SUM(BX68, BX76, BX84)</f>
        <v>0.569458632480822</v>
      </c>
      <c r="BY88" s="218" t="n">
        <f aca="false">SUM(BY68, BY76, BY84)</f>
        <v>0.569458632480822</v>
      </c>
      <c r="BZ88" s="218" t="n">
        <f aca="false">SUM(BZ68, BZ76, BZ84)</f>
        <v>0.569458632480822</v>
      </c>
      <c r="CA88" s="218" t="n">
        <f aca="false">SUM(CA68, CA76, CA84)</f>
        <v>0.569458632480822</v>
      </c>
      <c r="CC88" s="112" t="n">
        <f aca="false">SUM(CC68, CC76, CC84)</f>
        <v>0</v>
      </c>
      <c r="CD88" s="112" t="n">
        <f aca="false">SUM(CD68, CD76, CD84)</f>
        <v>0.569458632480822</v>
      </c>
      <c r="CE88" s="112" t="n">
        <f aca="false">SUM(CE68, CE76, CE84)</f>
        <v>6.26404495728905</v>
      </c>
      <c r="CF88" s="112" t="n">
        <f aca="false">SUM(CF68, CF76, CF84)</f>
        <v>6.83350358976987</v>
      </c>
      <c r="CG88" s="112" t="n">
        <f aca="false">SUM(CG68, CG76, CG84)</f>
        <v>6.83350358976987</v>
      </c>
      <c r="CH88" s="112" t="n">
        <f aca="false">SUM(CH68, CH76, CH84)</f>
        <v>0</v>
      </c>
      <c r="CI88" s="113" t="n">
        <f aca="false">CC88=L88</f>
        <v>1</v>
      </c>
      <c r="CJ88" s="113" t="n">
        <f aca="false">CD88=M88</f>
        <v>1</v>
      </c>
      <c r="CK88" s="113" t="n">
        <f aca="false">CE88=N88</f>
        <v>1</v>
      </c>
      <c r="CL88" s="113" t="n">
        <f aca="false">CF88=O88</f>
        <v>1</v>
      </c>
      <c r="CM88" s="113" t="n">
        <f aca="false">CG88=P88</f>
        <v>1</v>
      </c>
    </row>
    <row r="89" s="14" customFormat="true" ht="16.5" hidden="false" customHeight="true" outlineLevel="0" collapsed="false">
      <c r="H89" s="29"/>
      <c r="Q89" s="16"/>
      <c r="R89" s="16"/>
    </row>
    <row r="90" s="14" customFormat="true" ht="16.5" hidden="false" customHeight="true" outlineLevel="0" collapsed="false">
      <c r="H90" s="29"/>
      <c r="Q90" s="16"/>
      <c r="R90" s="16"/>
      <c r="T90" s="62" t="n">
        <v>2026</v>
      </c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62" t="n">
        <v>2027</v>
      </c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62" t="n">
        <v>2028</v>
      </c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62" t="n">
        <v>2029</v>
      </c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62" t="n">
        <v>2030</v>
      </c>
      <c r="BQ90" s="130"/>
      <c r="BR90" s="130"/>
      <c r="BS90" s="130"/>
      <c r="BT90" s="130"/>
      <c r="BU90" s="130"/>
      <c r="BV90" s="130"/>
      <c r="BW90" s="130"/>
      <c r="BX90" s="130"/>
      <c r="BY90" s="130"/>
      <c r="BZ90" s="130"/>
      <c r="CA90" s="130"/>
      <c r="CI90" s="211" t="s">
        <v>426</v>
      </c>
      <c r="CJ90" s="211"/>
      <c r="CK90" s="211"/>
      <c r="CL90" s="211"/>
      <c r="CM90" s="211"/>
    </row>
    <row r="91" s="14" customFormat="true" ht="16.5" hidden="false" customHeight="true" outlineLevel="0" collapsed="false">
      <c r="D91" s="30" t="s">
        <v>145</v>
      </c>
      <c r="E91" s="31"/>
      <c r="F91" s="31"/>
      <c r="G91" s="31"/>
      <c r="H91" s="219" t="s">
        <v>130</v>
      </c>
      <c r="I91" s="31" t="s">
        <v>77</v>
      </c>
      <c r="J91" s="31" t="s">
        <v>104</v>
      </c>
      <c r="K91" s="31" t="s">
        <v>131</v>
      </c>
      <c r="L91" s="31" t="n">
        <v>2026</v>
      </c>
      <c r="M91" s="31" t="n">
        <f aca="false">L91+1</f>
        <v>2027</v>
      </c>
      <c r="N91" s="31" t="n">
        <f aca="false">M91+1</f>
        <v>2028</v>
      </c>
      <c r="O91" s="31" t="n">
        <f aca="false">N91+1</f>
        <v>2029</v>
      </c>
      <c r="P91" s="31" t="n">
        <f aca="false">O91+1</f>
        <v>2030</v>
      </c>
      <c r="Q91" s="31" t="s">
        <v>132</v>
      </c>
      <c r="R91" s="31" t="s">
        <v>75</v>
      </c>
      <c r="T91" s="59" t="n">
        <v>46023</v>
      </c>
      <c r="U91" s="60" t="n">
        <f aca="false">EOMONTH(T91, 1)</f>
        <v>46081</v>
      </c>
      <c r="V91" s="60" t="n">
        <f aca="false">EOMONTH(U91, 1)</f>
        <v>46112</v>
      </c>
      <c r="W91" s="60" t="n">
        <f aca="false">EOMONTH(V91, 1)</f>
        <v>46142</v>
      </c>
      <c r="X91" s="60" t="n">
        <f aca="false">EOMONTH(W91, 1)</f>
        <v>46173</v>
      </c>
      <c r="Y91" s="60" t="n">
        <f aca="false">EOMONTH(X91, 1)</f>
        <v>46203</v>
      </c>
      <c r="Z91" s="60" t="n">
        <f aca="false">EOMONTH(Y91, 1)</f>
        <v>46234</v>
      </c>
      <c r="AA91" s="60" t="n">
        <f aca="false">EOMONTH(Z91, 1)</f>
        <v>46265</v>
      </c>
      <c r="AB91" s="60" t="n">
        <f aca="false">EOMONTH(AA91, 1)</f>
        <v>46295</v>
      </c>
      <c r="AC91" s="60" t="n">
        <f aca="false">EOMONTH(AB91, 1)</f>
        <v>46326</v>
      </c>
      <c r="AD91" s="60" t="n">
        <f aca="false">EOMONTH(AC91, 1)</f>
        <v>46356</v>
      </c>
      <c r="AE91" s="61" t="n">
        <f aca="false">EOMONTH(AD91, 1)</f>
        <v>46387</v>
      </c>
      <c r="AF91" s="59" t="n">
        <f aca="false">EOMONTH(AE91, 1)</f>
        <v>46418</v>
      </c>
      <c r="AG91" s="60" t="n">
        <f aca="false">EOMONTH(AF91, 1)</f>
        <v>46446</v>
      </c>
      <c r="AH91" s="60" t="n">
        <f aca="false">EOMONTH(AG91, 1)</f>
        <v>46477</v>
      </c>
      <c r="AI91" s="60" t="n">
        <f aca="false">EOMONTH(AH91, 1)</f>
        <v>46507</v>
      </c>
      <c r="AJ91" s="60" t="n">
        <f aca="false">EOMONTH(AI91, 1)</f>
        <v>46538</v>
      </c>
      <c r="AK91" s="60" t="n">
        <f aca="false">EOMONTH(AJ91, 1)</f>
        <v>46568</v>
      </c>
      <c r="AL91" s="60" t="n">
        <f aca="false">EOMONTH(AK91, 1)</f>
        <v>46599</v>
      </c>
      <c r="AM91" s="60" t="n">
        <f aca="false">EOMONTH(AL91, 1)</f>
        <v>46630</v>
      </c>
      <c r="AN91" s="60" t="n">
        <f aca="false">EOMONTH(AM91, 1)</f>
        <v>46660</v>
      </c>
      <c r="AO91" s="60" t="n">
        <f aca="false">EOMONTH(AN91, 1)</f>
        <v>46691</v>
      </c>
      <c r="AP91" s="60" t="n">
        <f aca="false">EOMONTH(AO91, 1)</f>
        <v>46721</v>
      </c>
      <c r="AQ91" s="61" t="n">
        <f aca="false">EOMONTH(AP91, 1)</f>
        <v>46752</v>
      </c>
      <c r="AR91" s="59" t="n">
        <f aca="false">EOMONTH(AQ91, 1)</f>
        <v>46783</v>
      </c>
      <c r="AS91" s="60" t="n">
        <f aca="false">EOMONTH(AR91, 1)</f>
        <v>46812</v>
      </c>
      <c r="AT91" s="60" t="n">
        <f aca="false">EOMONTH(AS91, 1)</f>
        <v>46843</v>
      </c>
      <c r="AU91" s="60" t="n">
        <f aca="false">EOMONTH(AT91, 1)</f>
        <v>46873</v>
      </c>
      <c r="AV91" s="60" t="n">
        <f aca="false">EOMONTH(AU91, 1)</f>
        <v>46904</v>
      </c>
      <c r="AW91" s="60" t="n">
        <f aca="false">EOMONTH(AV91, 1)</f>
        <v>46934</v>
      </c>
      <c r="AX91" s="60" t="n">
        <f aca="false">EOMONTH(AW91, 1)</f>
        <v>46965</v>
      </c>
      <c r="AY91" s="60" t="n">
        <f aca="false">EOMONTH(AX91, 1)</f>
        <v>46996</v>
      </c>
      <c r="AZ91" s="60" t="n">
        <f aca="false">EOMONTH(AY91, 1)</f>
        <v>47026</v>
      </c>
      <c r="BA91" s="60" t="n">
        <f aca="false">EOMONTH(AZ91, 1)</f>
        <v>47057</v>
      </c>
      <c r="BB91" s="60" t="n">
        <f aca="false">EOMONTH(BA91, 1)</f>
        <v>47087</v>
      </c>
      <c r="BC91" s="61" t="n">
        <f aca="false">EOMONTH(BB91, 1)</f>
        <v>47118</v>
      </c>
      <c r="BD91" s="59" t="n">
        <f aca="false">EOMONTH(BC91, 1)</f>
        <v>47149</v>
      </c>
      <c r="BE91" s="60" t="n">
        <f aca="false">EOMONTH(BD91, 1)</f>
        <v>47177</v>
      </c>
      <c r="BF91" s="60" t="n">
        <f aca="false">EOMONTH(BE91, 1)</f>
        <v>47208</v>
      </c>
      <c r="BG91" s="60" t="n">
        <f aca="false">EOMONTH(BF91, 1)</f>
        <v>47238</v>
      </c>
      <c r="BH91" s="60" t="n">
        <f aca="false">EOMONTH(BG91, 1)</f>
        <v>47269</v>
      </c>
      <c r="BI91" s="60" t="n">
        <f aca="false">EOMONTH(BH91, 1)</f>
        <v>47299</v>
      </c>
      <c r="BJ91" s="60" t="n">
        <f aca="false">EOMONTH(BI91, 1)</f>
        <v>47330</v>
      </c>
      <c r="BK91" s="60" t="n">
        <f aca="false">EOMONTH(BJ91, 1)</f>
        <v>47361</v>
      </c>
      <c r="BL91" s="60" t="n">
        <f aca="false">EOMONTH(BK91, 1)</f>
        <v>47391</v>
      </c>
      <c r="BM91" s="60" t="n">
        <f aca="false">EOMONTH(BL91, 1)</f>
        <v>47422</v>
      </c>
      <c r="BN91" s="60" t="n">
        <f aca="false">EOMONTH(BM91, 1)</f>
        <v>47452</v>
      </c>
      <c r="BO91" s="61" t="n">
        <f aca="false">EOMONTH(BN91, 1)</f>
        <v>47483</v>
      </c>
      <c r="BP91" s="59" t="n">
        <f aca="false">EOMONTH(BO91, 1)</f>
        <v>47514</v>
      </c>
      <c r="BQ91" s="60" t="n">
        <f aca="false">EOMONTH(BP91, 1)</f>
        <v>47542</v>
      </c>
      <c r="BR91" s="60" t="n">
        <f aca="false">EOMONTH(BQ91, 1)</f>
        <v>47573</v>
      </c>
      <c r="BS91" s="60" t="n">
        <f aca="false">EOMONTH(BR91, 1)</f>
        <v>47603</v>
      </c>
      <c r="BT91" s="60" t="n">
        <f aca="false">EOMONTH(BS91, 1)</f>
        <v>47634</v>
      </c>
      <c r="BU91" s="60" t="n">
        <f aca="false">EOMONTH(BT91, 1)</f>
        <v>47664</v>
      </c>
      <c r="BV91" s="60" t="n">
        <f aca="false">EOMONTH(BU91, 1)</f>
        <v>47695</v>
      </c>
      <c r="BW91" s="60" t="n">
        <f aca="false">EOMONTH(BV91, 1)</f>
        <v>47726</v>
      </c>
      <c r="BX91" s="60" t="n">
        <f aca="false">EOMONTH(BW91, 1)</f>
        <v>47756</v>
      </c>
      <c r="BY91" s="60" t="n">
        <f aca="false">EOMONTH(BX91, 1)</f>
        <v>47787</v>
      </c>
      <c r="BZ91" s="60" t="n">
        <f aca="false">EOMONTH(BY91, 1)</f>
        <v>47817</v>
      </c>
      <c r="CA91" s="60" t="n">
        <f aca="false">EOMONTH(BZ91, 1)</f>
        <v>47848</v>
      </c>
      <c r="CC91" s="62" t="n">
        <v>2026</v>
      </c>
      <c r="CD91" s="62" t="n">
        <f aca="false">CC91+1</f>
        <v>2027</v>
      </c>
      <c r="CE91" s="62" t="n">
        <f aca="false">CD91+1</f>
        <v>2028</v>
      </c>
      <c r="CF91" s="62" t="n">
        <f aca="false">CE91+1</f>
        <v>2029</v>
      </c>
      <c r="CG91" s="62" t="n">
        <f aca="false">CF91+1</f>
        <v>2030</v>
      </c>
      <c r="CI91" s="62" t="n">
        <v>2026</v>
      </c>
      <c r="CJ91" s="62" t="n">
        <f aca="false">CI91+1</f>
        <v>2027</v>
      </c>
      <c r="CK91" s="62" t="n">
        <f aca="false">CJ91+1</f>
        <v>2028</v>
      </c>
      <c r="CL91" s="62" t="n">
        <f aca="false">CK91+1</f>
        <v>2029</v>
      </c>
      <c r="CM91" s="62" t="n">
        <f aca="false">CL91+1</f>
        <v>2030</v>
      </c>
    </row>
    <row r="92" s="14" customFormat="true" ht="16.5" hidden="false" customHeight="true" outlineLevel="0" collapsed="false">
      <c r="D92" s="63"/>
      <c r="E92" s="64" t="s">
        <v>102</v>
      </c>
      <c r="H92" s="29"/>
      <c r="I92" s="65" t="str">
        <f aca="false">$H$18</f>
        <v>Jan–Jul 2026 x 12/7</v>
      </c>
      <c r="J92" s="65" t="s">
        <v>134</v>
      </c>
      <c r="K92" s="65" t="s">
        <v>135</v>
      </c>
      <c r="L92" s="66"/>
      <c r="M92" s="66"/>
      <c r="N92" s="66"/>
      <c r="O92" s="66"/>
      <c r="P92" s="66"/>
      <c r="Q92" s="16"/>
      <c r="R92" s="1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7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7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6"/>
      <c r="BD92" s="67"/>
      <c r="BE92" s="66"/>
      <c r="BF92" s="66"/>
      <c r="BG92" s="66"/>
      <c r="BH92" s="66"/>
      <c r="BI92" s="66"/>
      <c r="BJ92" s="66"/>
      <c r="BK92" s="66"/>
      <c r="BL92" s="66"/>
      <c r="BM92" s="66"/>
      <c r="BN92" s="66"/>
      <c r="BO92" s="66"/>
      <c r="BP92" s="67"/>
      <c r="BQ92" s="66"/>
      <c r="BR92" s="66"/>
      <c r="BS92" s="66"/>
      <c r="BT92" s="66"/>
      <c r="BU92" s="66"/>
      <c r="BV92" s="66"/>
      <c r="BW92" s="66"/>
      <c r="BX92" s="66"/>
      <c r="BY92" s="66"/>
      <c r="BZ92" s="66"/>
      <c r="CA92" s="66"/>
    </row>
    <row r="93" s="14" customFormat="true" ht="16.5" hidden="false" customHeight="true" outlineLevel="0" collapsed="false">
      <c r="E93" s="68" t="s">
        <v>136</v>
      </c>
      <c r="F93" s="21"/>
      <c r="G93" s="21"/>
      <c r="H93" s="29"/>
      <c r="I93" s="65"/>
      <c r="J93" s="65"/>
      <c r="K93" s="65"/>
      <c r="Q93" s="16"/>
      <c r="R93" s="16"/>
      <c r="AF93" s="69"/>
      <c r="AR93" s="69"/>
      <c r="BD93" s="69"/>
      <c r="BP93" s="69"/>
    </row>
    <row r="94" s="14" customFormat="true" ht="16.5" hidden="false" customHeight="true" outlineLevel="0" collapsed="false">
      <c r="E94" s="70"/>
      <c r="H94" s="71"/>
      <c r="I94" s="76" t="n">
        <v>0</v>
      </c>
      <c r="J94" s="76" t="n">
        <v>0</v>
      </c>
      <c r="K94" s="212" t="n">
        <f aca="false">J94-I94</f>
        <v>0</v>
      </c>
      <c r="L94" s="76"/>
      <c r="M94" s="76"/>
      <c r="N94" s="76"/>
      <c r="O94" s="76"/>
      <c r="P94" s="77"/>
      <c r="Q94" s="75"/>
      <c r="R94" s="16" t="str">
        <f aca="false">IF(K94=P94, "", "Error")</f>
        <v/>
      </c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7"/>
      <c r="AF94" s="78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7"/>
      <c r="AR94" s="78"/>
      <c r="AS94" s="76"/>
      <c r="AT94" s="76"/>
      <c r="AU94" s="76"/>
      <c r="AV94" s="76"/>
      <c r="AW94" s="76"/>
      <c r="AX94" s="76"/>
      <c r="AY94" s="76"/>
      <c r="AZ94" s="76"/>
      <c r="BA94" s="76"/>
      <c r="BB94" s="76"/>
      <c r="BC94" s="77"/>
      <c r="BD94" s="78"/>
      <c r="BE94" s="76"/>
      <c r="BF94" s="76"/>
      <c r="BG94" s="76"/>
      <c r="BH94" s="76"/>
      <c r="BI94" s="76"/>
      <c r="BJ94" s="76"/>
      <c r="BK94" s="76"/>
      <c r="BL94" s="76"/>
      <c r="BM94" s="76"/>
      <c r="BN94" s="76"/>
      <c r="BO94" s="77"/>
      <c r="BP94" s="78"/>
      <c r="BQ94" s="76"/>
      <c r="BR94" s="76"/>
      <c r="BS94" s="76"/>
      <c r="BT94" s="76"/>
      <c r="BU94" s="76"/>
      <c r="BV94" s="76"/>
      <c r="BW94" s="76"/>
      <c r="BX94" s="76"/>
      <c r="BY94" s="76"/>
      <c r="BZ94" s="76"/>
      <c r="CA94" s="76"/>
      <c r="CC94" s="79" t="n">
        <f aca="false">SUMIFS($T94:$CA94, $T$1:$CA$1, CC$63)</f>
        <v>0</v>
      </c>
      <c r="CD94" s="79" t="n">
        <f aca="false">SUMIFS($T94:$CA94, $T$1:$CA$1, CD$63)</f>
        <v>0</v>
      </c>
      <c r="CE94" s="79" t="n">
        <f aca="false">SUMIFS($T94:$CA94, $T$1:$CA$1, CE$63)</f>
        <v>0</v>
      </c>
      <c r="CF94" s="79" t="n">
        <f aca="false">SUMIFS($T94:$CA94, $T$1:$CA$1, CF$63)</f>
        <v>0</v>
      </c>
      <c r="CG94" s="79" t="n">
        <f aca="false">SUMIFS($T94:$CA94, $T$1:$CA$1, CG$63)</f>
        <v>0</v>
      </c>
      <c r="CI94" s="79" t="n">
        <f aca="false">CC94=L94</f>
        <v>1</v>
      </c>
      <c r="CJ94" s="79" t="n">
        <f aca="false">CD94=M94</f>
        <v>1</v>
      </c>
      <c r="CK94" s="79" t="n">
        <f aca="false">CE94=N94</f>
        <v>1</v>
      </c>
      <c r="CL94" s="79" t="n">
        <f aca="false">CF94=O94</f>
        <v>1</v>
      </c>
      <c r="CM94" s="79" t="n">
        <f aca="false">CG94=P94</f>
        <v>1</v>
      </c>
    </row>
    <row r="95" s="14" customFormat="true" ht="16.5" hidden="false" customHeight="true" outlineLevel="0" collapsed="false">
      <c r="E95" s="70"/>
      <c r="H95" s="71"/>
      <c r="I95" s="76" t="n">
        <v>0</v>
      </c>
      <c r="J95" s="76" t="n">
        <v>0</v>
      </c>
      <c r="K95" s="212" t="n">
        <f aca="false">J95-I95</f>
        <v>0</v>
      </c>
      <c r="L95" s="76"/>
      <c r="M95" s="76"/>
      <c r="N95" s="76"/>
      <c r="O95" s="76"/>
      <c r="P95" s="77"/>
      <c r="Q95" s="75"/>
      <c r="R95" s="16" t="str">
        <f aca="false">IF(K95=P95, "", "Error")</f>
        <v/>
      </c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7"/>
      <c r="AF95" s="78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7"/>
      <c r="AR95" s="78"/>
      <c r="AS95" s="76"/>
      <c r="AT95" s="76"/>
      <c r="AU95" s="76"/>
      <c r="AV95" s="76"/>
      <c r="AW95" s="76"/>
      <c r="AX95" s="76"/>
      <c r="AY95" s="76"/>
      <c r="AZ95" s="76"/>
      <c r="BA95" s="76"/>
      <c r="BB95" s="76"/>
      <c r="BC95" s="77"/>
      <c r="BD95" s="78"/>
      <c r="BE95" s="76"/>
      <c r="BF95" s="76"/>
      <c r="BG95" s="76"/>
      <c r="BH95" s="76"/>
      <c r="BI95" s="76"/>
      <c r="BJ95" s="76"/>
      <c r="BK95" s="76"/>
      <c r="BL95" s="76"/>
      <c r="BM95" s="76"/>
      <c r="BN95" s="76"/>
      <c r="BO95" s="77"/>
      <c r="BP95" s="78"/>
      <c r="BQ95" s="76"/>
      <c r="BR95" s="76"/>
      <c r="BS95" s="76"/>
      <c r="BT95" s="76"/>
      <c r="BU95" s="76"/>
      <c r="BV95" s="76"/>
      <c r="BW95" s="76"/>
      <c r="BX95" s="76"/>
      <c r="BY95" s="76"/>
      <c r="BZ95" s="76"/>
      <c r="CA95" s="76"/>
      <c r="CC95" s="79" t="n">
        <f aca="false">SUMIFS($T95:$CA95, $T$1:$CA$1, CC$63)</f>
        <v>0</v>
      </c>
      <c r="CD95" s="79" t="n">
        <f aca="false">SUMIFS($T95:$CA95, $T$1:$CA$1, CD$63)</f>
        <v>0</v>
      </c>
      <c r="CE95" s="79" t="n">
        <f aca="false">SUMIFS($T95:$CA95, $T$1:$CA$1, CE$63)</f>
        <v>0</v>
      </c>
      <c r="CF95" s="79" t="n">
        <f aca="false">SUMIFS($T95:$CA95, $T$1:$CA$1, CF$63)</f>
        <v>0</v>
      </c>
      <c r="CG95" s="79" t="n">
        <f aca="false">SUMIFS($T95:$CA95, $T$1:$CA$1, CG$63)</f>
        <v>0</v>
      </c>
      <c r="CI95" s="79" t="n">
        <f aca="false">CC95=L95</f>
        <v>1</v>
      </c>
      <c r="CJ95" s="79" t="n">
        <f aca="false">CD95=M95</f>
        <v>1</v>
      </c>
      <c r="CK95" s="79" t="n">
        <f aca="false">CE95=N95</f>
        <v>1</v>
      </c>
      <c r="CL95" s="79" t="n">
        <f aca="false">CF95=O95</f>
        <v>1</v>
      </c>
      <c r="CM95" s="79" t="n">
        <f aca="false">CG95=P95</f>
        <v>1</v>
      </c>
    </row>
    <row r="96" s="14" customFormat="true" ht="16.5" hidden="false" customHeight="true" outlineLevel="0" collapsed="false">
      <c r="E96" s="80" t="s">
        <v>137</v>
      </c>
      <c r="H96" s="29"/>
      <c r="I96" s="82" t="n">
        <f aca="false">SUM(I94:I95)</f>
        <v>0</v>
      </c>
      <c r="J96" s="82" t="n">
        <f aca="false">SUM(J94:J95)</f>
        <v>0</v>
      </c>
      <c r="K96" s="82" t="n">
        <f aca="false">SUM(K94:K95)</f>
        <v>0</v>
      </c>
      <c r="L96" s="82" t="n">
        <f aca="false">SUM(L94:L95)</f>
        <v>0</v>
      </c>
      <c r="M96" s="82" t="n">
        <f aca="false">SUM(M94:M95)</f>
        <v>0</v>
      </c>
      <c r="N96" s="82" t="n">
        <f aca="false">SUM(N94:N95)</f>
        <v>0</v>
      </c>
      <c r="O96" s="82" t="n">
        <f aca="false">SUM(O94:O95)</f>
        <v>0</v>
      </c>
      <c r="P96" s="82" t="n">
        <f aca="false">SUM(P94:P95)</f>
        <v>0</v>
      </c>
      <c r="Q96" s="16"/>
      <c r="R96" s="16"/>
      <c r="T96" s="82" t="n">
        <f aca="false">SUM(T94:T95)</f>
        <v>0</v>
      </c>
      <c r="U96" s="82" t="n">
        <f aca="false">SUM(U94:U95)</f>
        <v>0</v>
      </c>
      <c r="V96" s="82" t="n">
        <f aca="false">SUM(V94:V95)</f>
        <v>0</v>
      </c>
      <c r="W96" s="82" t="n">
        <f aca="false">SUM(W94:W95)</f>
        <v>0</v>
      </c>
      <c r="X96" s="82" t="n">
        <f aca="false">SUM(X94:X95)</f>
        <v>0</v>
      </c>
      <c r="Y96" s="82" t="n">
        <f aca="false">SUM(Y94:Y95)</f>
        <v>0</v>
      </c>
      <c r="Z96" s="82" t="n">
        <f aca="false">SUM(Z94:Z95)</f>
        <v>0</v>
      </c>
      <c r="AA96" s="82" t="n">
        <f aca="false">SUM(AA94:AA95)</f>
        <v>0</v>
      </c>
      <c r="AB96" s="82" t="n">
        <f aca="false">SUM(AB94:AB95)</f>
        <v>0</v>
      </c>
      <c r="AC96" s="82" t="n">
        <f aca="false">SUM(AC94:AC95)</f>
        <v>0</v>
      </c>
      <c r="AD96" s="82" t="n">
        <f aca="false">SUM(AD94:AD95)</f>
        <v>0</v>
      </c>
      <c r="AE96" s="82" t="n">
        <f aca="false">SUM(AE94:AE95)</f>
        <v>0</v>
      </c>
      <c r="AF96" s="83" t="n">
        <f aca="false">SUM(AF94:AF95)</f>
        <v>0</v>
      </c>
      <c r="AG96" s="82" t="n">
        <f aca="false">SUM(AG94:AG95)</f>
        <v>0</v>
      </c>
      <c r="AH96" s="82" t="n">
        <f aca="false">SUM(AH94:AH95)</f>
        <v>0</v>
      </c>
      <c r="AI96" s="82" t="n">
        <f aca="false">SUM(AI94:AI95)</f>
        <v>0</v>
      </c>
      <c r="AJ96" s="82" t="n">
        <f aca="false">SUM(AJ94:AJ95)</f>
        <v>0</v>
      </c>
      <c r="AK96" s="82" t="n">
        <f aca="false">SUM(AK94:AK95)</f>
        <v>0</v>
      </c>
      <c r="AL96" s="82" t="n">
        <f aca="false">SUM(AL94:AL95)</f>
        <v>0</v>
      </c>
      <c r="AM96" s="82" t="n">
        <f aca="false">SUM(AM94:AM95)</f>
        <v>0</v>
      </c>
      <c r="AN96" s="82" t="n">
        <f aca="false">SUM(AN94:AN95)</f>
        <v>0</v>
      </c>
      <c r="AO96" s="82" t="n">
        <f aca="false">SUM(AO94:AO95)</f>
        <v>0</v>
      </c>
      <c r="AP96" s="82" t="n">
        <f aca="false">SUM(AP94:AP95)</f>
        <v>0</v>
      </c>
      <c r="AQ96" s="82" t="n">
        <f aca="false">SUM(AQ94:AQ95)</f>
        <v>0</v>
      </c>
      <c r="AR96" s="83" t="n">
        <f aca="false">SUM(AR94:AR95)</f>
        <v>0</v>
      </c>
      <c r="AS96" s="82" t="n">
        <f aca="false">SUM(AS94:AS95)</f>
        <v>0</v>
      </c>
      <c r="AT96" s="82" t="n">
        <f aca="false">SUM(AT94:AT95)</f>
        <v>0</v>
      </c>
      <c r="AU96" s="82" t="n">
        <f aca="false">SUM(AU94:AU95)</f>
        <v>0</v>
      </c>
      <c r="AV96" s="82" t="n">
        <f aca="false">SUM(AV94:AV95)</f>
        <v>0</v>
      </c>
      <c r="AW96" s="82" t="n">
        <f aca="false">SUM(AW94:AW95)</f>
        <v>0</v>
      </c>
      <c r="AX96" s="82" t="n">
        <f aca="false">SUM(AX94:AX95)</f>
        <v>0</v>
      </c>
      <c r="AY96" s="82" t="n">
        <f aca="false">SUM(AY94:AY95)</f>
        <v>0</v>
      </c>
      <c r="AZ96" s="82" t="n">
        <f aca="false">SUM(AZ94:AZ95)</f>
        <v>0</v>
      </c>
      <c r="BA96" s="82" t="n">
        <f aca="false">SUM(BA94:BA95)</f>
        <v>0</v>
      </c>
      <c r="BB96" s="82" t="n">
        <f aca="false">SUM(BB94:BB95)</f>
        <v>0</v>
      </c>
      <c r="BC96" s="82" t="n">
        <f aca="false">SUM(BC94:BC95)</f>
        <v>0</v>
      </c>
      <c r="BD96" s="83" t="n">
        <f aca="false">SUM(BD94:BD95)</f>
        <v>0</v>
      </c>
      <c r="BE96" s="82" t="n">
        <f aca="false">SUM(BE94:BE95)</f>
        <v>0</v>
      </c>
      <c r="BF96" s="82" t="n">
        <f aca="false">SUM(BF94:BF95)</f>
        <v>0</v>
      </c>
      <c r="BG96" s="82" t="n">
        <f aca="false">SUM(BG94:BG95)</f>
        <v>0</v>
      </c>
      <c r="BH96" s="82" t="n">
        <f aca="false">SUM(BH94:BH95)</f>
        <v>0</v>
      </c>
      <c r="BI96" s="82" t="n">
        <f aca="false">SUM(BI94:BI95)</f>
        <v>0</v>
      </c>
      <c r="BJ96" s="82" t="n">
        <f aca="false">SUM(BJ94:BJ95)</f>
        <v>0</v>
      </c>
      <c r="BK96" s="82" t="n">
        <f aca="false">SUM(BK94:BK95)</f>
        <v>0</v>
      </c>
      <c r="BL96" s="82" t="n">
        <f aca="false">SUM(BL94:BL95)</f>
        <v>0</v>
      </c>
      <c r="BM96" s="82" t="n">
        <f aca="false">SUM(BM94:BM95)</f>
        <v>0</v>
      </c>
      <c r="BN96" s="82" t="n">
        <f aca="false">SUM(BN94:BN95)</f>
        <v>0</v>
      </c>
      <c r="BO96" s="82" t="n">
        <f aca="false">SUM(BO94:BO95)</f>
        <v>0</v>
      </c>
      <c r="BP96" s="83" t="n">
        <f aca="false">SUM(BP94:BP95)</f>
        <v>0</v>
      </c>
      <c r="BQ96" s="82" t="n">
        <f aca="false">SUM(BQ94:BQ95)</f>
        <v>0</v>
      </c>
      <c r="BR96" s="82" t="n">
        <f aca="false">SUM(BR94:BR95)</f>
        <v>0</v>
      </c>
      <c r="BS96" s="82" t="n">
        <f aca="false">SUM(BS94:BS95)</f>
        <v>0</v>
      </c>
      <c r="BT96" s="82" t="n">
        <f aca="false">SUM(BT94:BT95)</f>
        <v>0</v>
      </c>
      <c r="BU96" s="82" t="n">
        <f aca="false">SUM(BU94:BU95)</f>
        <v>0</v>
      </c>
      <c r="BV96" s="82" t="n">
        <f aca="false">SUM(BV94:BV95)</f>
        <v>0</v>
      </c>
      <c r="BW96" s="82" t="n">
        <f aca="false">SUM(BW94:BW95)</f>
        <v>0</v>
      </c>
      <c r="BX96" s="82" t="n">
        <f aca="false">SUM(BX94:BX95)</f>
        <v>0</v>
      </c>
      <c r="BY96" s="82" t="n">
        <f aca="false">SUM(BY94:BY95)</f>
        <v>0</v>
      </c>
      <c r="BZ96" s="82" t="n">
        <f aca="false">SUM(BZ94:BZ95)</f>
        <v>0</v>
      </c>
      <c r="CA96" s="84" t="n">
        <f aca="false">SUM(CA94:CA95)</f>
        <v>0</v>
      </c>
      <c r="CC96" s="84" t="n">
        <f aca="false">SUM(CC94:CC95)</f>
        <v>0</v>
      </c>
      <c r="CD96" s="84" t="n">
        <f aca="false">SUM(CD94:CD95)</f>
        <v>0</v>
      </c>
      <c r="CE96" s="84" t="n">
        <f aca="false">SUM(CE94:CE95)</f>
        <v>0</v>
      </c>
      <c r="CF96" s="84" t="n">
        <f aca="false">SUM(CF94:CF95)</f>
        <v>0</v>
      </c>
      <c r="CG96" s="84" t="n">
        <f aca="false">SUM(CG94:CG95)</f>
        <v>0</v>
      </c>
      <c r="CI96" s="84" t="n">
        <f aca="false">CC96=L96</f>
        <v>1</v>
      </c>
      <c r="CJ96" s="84" t="n">
        <f aca="false">CD96=M96</f>
        <v>1</v>
      </c>
      <c r="CK96" s="84" t="n">
        <f aca="false">CE96=N96</f>
        <v>1</v>
      </c>
      <c r="CL96" s="84" t="n">
        <f aca="false">CF96=O96</f>
        <v>1</v>
      </c>
      <c r="CM96" s="84" t="n">
        <f aca="false">CG96=P96</f>
        <v>1</v>
      </c>
    </row>
    <row r="97" s="14" customFormat="true" ht="16.5" hidden="false" customHeight="true" outlineLevel="0" collapsed="false">
      <c r="E97" s="85"/>
      <c r="H97" s="29"/>
      <c r="I97" s="88"/>
      <c r="J97" s="88"/>
      <c r="K97" s="88"/>
      <c r="L97" s="88"/>
      <c r="M97" s="88"/>
      <c r="N97" s="88"/>
      <c r="O97" s="88"/>
      <c r="P97" s="88"/>
      <c r="Q97" s="16"/>
      <c r="R97" s="16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9"/>
      <c r="AG97" s="88"/>
      <c r="AH97" s="88"/>
      <c r="AI97" s="88"/>
      <c r="AJ97" s="88"/>
      <c r="AK97" s="88"/>
      <c r="AL97" s="88"/>
      <c r="AM97" s="88"/>
      <c r="AN97" s="88"/>
      <c r="AO97" s="88"/>
      <c r="AP97" s="88"/>
      <c r="AQ97" s="88"/>
      <c r="AR97" s="89"/>
      <c r="AS97" s="88"/>
      <c r="AT97" s="88"/>
      <c r="AU97" s="88"/>
      <c r="AV97" s="88"/>
      <c r="AW97" s="88"/>
      <c r="AX97" s="88"/>
      <c r="AY97" s="88"/>
      <c r="AZ97" s="88"/>
      <c r="BA97" s="88"/>
      <c r="BB97" s="88"/>
      <c r="BC97" s="88"/>
      <c r="BD97" s="89"/>
      <c r="BE97" s="88"/>
      <c r="BF97" s="88"/>
      <c r="BG97" s="88"/>
      <c r="BH97" s="88"/>
      <c r="BI97" s="88"/>
      <c r="BJ97" s="88"/>
      <c r="BK97" s="88"/>
      <c r="BL97" s="88"/>
      <c r="BM97" s="88"/>
      <c r="BN97" s="88"/>
      <c r="BO97" s="88"/>
      <c r="BP97" s="89"/>
      <c r="BQ97" s="88"/>
      <c r="BR97" s="88"/>
      <c r="BS97" s="88"/>
      <c r="BT97" s="88"/>
      <c r="BU97" s="88"/>
      <c r="BV97" s="88"/>
      <c r="BW97" s="88"/>
      <c r="BX97" s="88"/>
      <c r="BY97" s="88"/>
      <c r="BZ97" s="88"/>
      <c r="CA97" s="90"/>
      <c r="CC97" s="90"/>
      <c r="CD97" s="90"/>
      <c r="CE97" s="90"/>
      <c r="CF97" s="90"/>
      <c r="CG97" s="90"/>
      <c r="CI97" s="90"/>
      <c r="CJ97" s="90"/>
      <c r="CK97" s="90"/>
      <c r="CL97" s="90"/>
      <c r="CM97" s="90"/>
    </row>
    <row r="98" s="14" customFormat="true" ht="16.5" hidden="false" customHeight="true" outlineLevel="0" collapsed="false">
      <c r="E98" s="21" t="s">
        <v>138</v>
      </c>
      <c r="H98" s="29"/>
      <c r="I98" s="88"/>
      <c r="K98" s="88"/>
      <c r="L98" s="88"/>
      <c r="M98" s="88"/>
      <c r="N98" s="88"/>
      <c r="O98" s="88"/>
      <c r="P98" s="88"/>
      <c r="Q98" s="16"/>
      <c r="R98" s="16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9"/>
      <c r="AG98" s="88"/>
      <c r="AH98" s="88"/>
      <c r="AI98" s="88"/>
      <c r="AJ98" s="88"/>
      <c r="AK98" s="88"/>
      <c r="AL98" s="88"/>
      <c r="AM98" s="88"/>
      <c r="AN98" s="88"/>
      <c r="AO98" s="88"/>
      <c r="AP98" s="88"/>
      <c r="AQ98" s="88"/>
      <c r="AR98" s="89"/>
      <c r="AS98" s="88"/>
      <c r="AT98" s="88"/>
      <c r="AU98" s="88"/>
      <c r="AV98" s="88"/>
      <c r="AW98" s="88"/>
      <c r="AX98" s="88"/>
      <c r="AY98" s="88"/>
      <c r="AZ98" s="88"/>
      <c r="BA98" s="88"/>
      <c r="BB98" s="88"/>
      <c r="BC98" s="88"/>
      <c r="BD98" s="89"/>
      <c r="BE98" s="88"/>
      <c r="BF98" s="88"/>
      <c r="BG98" s="88"/>
      <c r="BH98" s="88"/>
      <c r="BI98" s="88"/>
      <c r="BJ98" s="88"/>
      <c r="BK98" s="88"/>
      <c r="BL98" s="88"/>
      <c r="BM98" s="88"/>
      <c r="BN98" s="88"/>
      <c r="BO98" s="88"/>
      <c r="BP98" s="89"/>
      <c r="BQ98" s="88"/>
      <c r="BR98" s="88"/>
      <c r="BS98" s="88"/>
      <c r="BT98" s="88"/>
      <c r="BU98" s="88"/>
      <c r="BV98" s="88"/>
      <c r="BW98" s="88"/>
      <c r="BX98" s="88"/>
      <c r="BY98" s="88"/>
      <c r="BZ98" s="88"/>
      <c r="CA98" s="90"/>
      <c r="CC98" s="90"/>
      <c r="CD98" s="90"/>
      <c r="CE98" s="90"/>
      <c r="CF98" s="90"/>
      <c r="CG98" s="90"/>
      <c r="CI98" s="90"/>
      <c r="CJ98" s="90"/>
      <c r="CK98" s="90"/>
      <c r="CL98" s="90"/>
      <c r="CM98" s="90"/>
    </row>
    <row r="99" s="14" customFormat="true" ht="16.5" hidden="false" customHeight="true" outlineLevel="0" collapsed="false">
      <c r="E99" s="91"/>
      <c r="H99" s="29"/>
      <c r="I99" s="91" t="n">
        <v>0</v>
      </c>
      <c r="J99" s="91" t="n">
        <v>0</v>
      </c>
      <c r="K99" s="212" t="n">
        <f aca="false">J99-I99</f>
        <v>0</v>
      </c>
      <c r="L99" s="91" t="n">
        <v>0</v>
      </c>
      <c r="M99" s="91" t="n">
        <v>0</v>
      </c>
      <c r="N99" s="91" t="n">
        <v>0</v>
      </c>
      <c r="O99" s="91" t="n">
        <v>0</v>
      </c>
      <c r="P99" s="91" t="n">
        <v>0</v>
      </c>
      <c r="Q99" s="93"/>
      <c r="R99" s="16" t="str">
        <f aca="false">IF(K99=P99, "", "Error")</f>
        <v/>
      </c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4"/>
      <c r="AF99" s="95"/>
      <c r="AG99" s="91"/>
      <c r="AH99" s="91"/>
      <c r="AI99" s="91"/>
      <c r="AJ99" s="91"/>
      <c r="AK99" s="91"/>
      <c r="AL99" s="91"/>
      <c r="AM99" s="91"/>
      <c r="AN99" s="91"/>
      <c r="AO99" s="91"/>
      <c r="AP99" s="91"/>
      <c r="AQ99" s="94"/>
      <c r="AR99" s="95"/>
      <c r="AS99" s="91"/>
      <c r="AT99" s="91"/>
      <c r="AU99" s="91"/>
      <c r="AV99" s="91"/>
      <c r="AW99" s="91"/>
      <c r="AX99" s="91"/>
      <c r="AY99" s="91"/>
      <c r="AZ99" s="91"/>
      <c r="BA99" s="91"/>
      <c r="BB99" s="91"/>
      <c r="BC99" s="94"/>
      <c r="BD99" s="95"/>
      <c r="BE99" s="91"/>
      <c r="BF99" s="91"/>
      <c r="BG99" s="91"/>
      <c r="BH99" s="91"/>
      <c r="BI99" s="91"/>
      <c r="BJ99" s="91"/>
      <c r="BK99" s="91"/>
      <c r="BL99" s="91"/>
      <c r="BM99" s="91"/>
      <c r="BN99" s="91"/>
      <c r="BO99" s="94"/>
      <c r="BP99" s="95"/>
      <c r="BQ99" s="91"/>
      <c r="BR99" s="91"/>
      <c r="BS99" s="91"/>
      <c r="BT99" s="91"/>
      <c r="BU99" s="91"/>
      <c r="BV99" s="91"/>
      <c r="BW99" s="91"/>
      <c r="BX99" s="91"/>
      <c r="BY99" s="91"/>
      <c r="BZ99" s="91"/>
      <c r="CA99" s="119"/>
      <c r="CC99" s="79" t="n">
        <f aca="false">SUMIFS($T99:$CA99, $T$1:$CA$1, CC$63)</f>
        <v>0</v>
      </c>
      <c r="CD99" s="79" t="n">
        <f aca="false">SUMIFS($T99:$CA99, $T$1:$CA$1, CD$63)</f>
        <v>0</v>
      </c>
      <c r="CE99" s="79" t="n">
        <f aca="false">SUMIFS($T99:$CA99, $T$1:$CA$1, CE$63)</f>
        <v>0</v>
      </c>
      <c r="CF99" s="79" t="n">
        <f aca="false">SUMIFS($T99:$CA99, $T$1:$CA$1, CF$63)</f>
        <v>0</v>
      </c>
      <c r="CG99" s="79" t="n">
        <f aca="false">SUMIFS($T99:$CA99, $T$1:$CA$1, CG$63)</f>
        <v>0</v>
      </c>
      <c r="CI99" s="79" t="n">
        <f aca="false">CC99=L99</f>
        <v>1</v>
      </c>
      <c r="CJ99" s="79" t="n">
        <f aca="false">CD99=M99</f>
        <v>1</v>
      </c>
      <c r="CK99" s="79" t="n">
        <f aca="false">CE99=N99</f>
        <v>1</v>
      </c>
      <c r="CL99" s="79" t="n">
        <f aca="false">CF99=O99</f>
        <v>1</v>
      </c>
      <c r="CM99" s="79" t="n">
        <f aca="false">CG99=P99</f>
        <v>1</v>
      </c>
    </row>
    <row r="100" s="14" customFormat="true" ht="16.5" hidden="false" customHeight="true" outlineLevel="0" collapsed="false">
      <c r="E100" s="91"/>
      <c r="H100" s="29"/>
      <c r="I100" s="91" t="n">
        <v>0</v>
      </c>
      <c r="J100" s="91" t="n">
        <v>0</v>
      </c>
      <c r="K100" s="212" t="n">
        <f aca="false">J100-I100</f>
        <v>0</v>
      </c>
      <c r="L100" s="91" t="n">
        <v>0</v>
      </c>
      <c r="M100" s="91" t="n">
        <v>0</v>
      </c>
      <c r="N100" s="91" t="n">
        <v>0</v>
      </c>
      <c r="O100" s="91" t="n">
        <v>0</v>
      </c>
      <c r="P100" s="91" t="n">
        <v>0</v>
      </c>
      <c r="Q100" s="93"/>
      <c r="R100" s="16" t="str">
        <f aca="false">IF(K100=P100, "", "Error")</f>
        <v/>
      </c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4"/>
      <c r="AF100" s="95"/>
      <c r="AG100" s="91"/>
      <c r="AH100" s="91"/>
      <c r="AI100" s="91"/>
      <c r="AJ100" s="91"/>
      <c r="AK100" s="91"/>
      <c r="AL100" s="91"/>
      <c r="AM100" s="91"/>
      <c r="AN100" s="91"/>
      <c r="AO100" s="91"/>
      <c r="AP100" s="91"/>
      <c r="AQ100" s="94"/>
      <c r="AR100" s="95"/>
      <c r="AS100" s="91"/>
      <c r="AT100" s="91"/>
      <c r="AU100" s="91"/>
      <c r="AV100" s="91"/>
      <c r="AW100" s="91"/>
      <c r="AX100" s="91"/>
      <c r="AY100" s="91"/>
      <c r="AZ100" s="91"/>
      <c r="BA100" s="91"/>
      <c r="BB100" s="91"/>
      <c r="BC100" s="94"/>
      <c r="BD100" s="95"/>
      <c r="BE100" s="91"/>
      <c r="BF100" s="91"/>
      <c r="BG100" s="91"/>
      <c r="BH100" s="91"/>
      <c r="BI100" s="91"/>
      <c r="BJ100" s="91"/>
      <c r="BK100" s="91"/>
      <c r="BL100" s="91"/>
      <c r="BM100" s="91"/>
      <c r="BN100" s="91"/>
      <c r="BO100" s="94"/>
      <c r="BP100" s="95"/>
      <c r="BQ100" s="91"/>
      <c r="BR100" s="91"/>
      <c r="BS100" s="91"/>
      <c r="BT100" s="91"/>
      <c r="BU100" s="91"/>
      <c r="BV100" s="91"/>
      <c r="BW100" s="91"/>
      <c r="BX100" s="91"/>
      <c r="BY100" s="91"/>
      <c r="BZ100" s="91"/>
      <c r="CA100" s="119"/>
      <c r="CC100" s="79" t="n">
        <f aca="false">SUMIFS($T100:$CA100, $T$1:$CA$1, CC$63)</f>
        <v>0</v>
      </c>
      <c r="CD100" s="79" t="n">
        <f aca="false">SUMIFS($T100:$CA100, $T$1:$CA$1, CD$63)</f>
        <v>0</v>
      </c>
      <c r="CE100" s="79" t="n">
        <f aca="false">SUMIFS($T100:$CA100, $T$1:$CA$1, CE$63)</f>
        <v>0</v>
      </c>
      <c r="CF100" s="79" t="n">
        <f aca="false">SUMIFS($T100:$CA100, $T$1:$CA$1, CF$63)</f>
        <v>0</v>
      </c>
      <c r="CG100" s="79" t="n">
        <f aca="false">SUMIFS($T100:$CA100, $T$1:$CA$1, CG$63)</f>
        <v>0</v>
      </c>
      <c r="CI100" s="79" t="n">
        <f aca="false">CC100=L100</f>
        <v>1</v>
      </c>
      <c r="CJ100" s="79" t="n">
        <f aca="false">CD100=M100</f>
        <v>1</v>
      </c>
      <c r="CK100" s="79" t="n">
        <f aca="false">CE100=N100</f>
        <v>1</v>
      </c>
      <c r="CL100" s="79" t="n">
        <f aca="false">CF100=O100</f>
        <v>1</v>
      </c>
      <c r="CM100" s="79" t="n">
        <f aca="false">CG100=P100</f>
        <v>1</v>
      </c>
    </row>
    <row r="101" s="14" customFormat="true" ht="16.5" hidden="false" customHeight="true" outlineLevel="0" collapsed="false">
      <c r="E101" s="91"/>
      <c r="H101" s="29"/>
      <c r="I101" s="91" t="n">
        <v>0</v>
      </c>
      <c r="J101" s="91" t="n">
        <v>0</v>
      </c>
      <c r="K101" s="212" t="n">
        <f aca="false">J101-I101</f>
        <v>0</v>
      </c>
      <c r="L101" s="91" t="n">
        <v>0</v>
      </c>
      <c r="M101" s="91" t="n">
        <v>0</v>
      </c>
      <c r="N101" s="91" t="n">
        <v>0</v>
      </c>
      <c r="O101" s="91" t="n">
        <v>0</v>
      </c>
      <c r="P101" s="91" t="n">
        <v>0</v>
      </c>
      <c r="Q101" s="93"/>
      <c r="R101" s="16" t="str">
        <f aca="false">IF(K101=P101, "", "Error")</f>
        <v/>
      </c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4"/>
      <c r="AF101" s="95"/>
      <c r="AG101" s="91"/>
      <c r="AH101" s="91"/>
      <c r="AI101" s="91"/>
      <c r="AJ101" s="91"/>
      <c r="AK101" s="91"/>
      <c r="AL101" s="91"/>
      <c r="AM101" s="91"/>
      <c r="AN101" s="91"/>
      <c r="AO101" s="91"/>
      <c r="AP101" s="91"/>
      <c r="AQ101" s="94"/>
      <c r="AR101" s="95"/>
      <c r="AS101" s="91"/>
      <c r="AT101" s="91"/>
      <c r="AU101" s="91"/>
      <c r="AV101" s="91"/>
      <c r="AW101" s="91"/>
      <c r="AX101" s="91"/>
      <c r="AY101" s="91"/>
      <c r="AZ101" s="91"/>
      <c r="BA101" s="91"/>
      <c r="BB101" s="91"/>
      <c r="BC101" s="94"/>
      <c r="BD101" s="95"/>
      <c r="BE101" s="91"/>
      <c r="BF101" s="91"/>
      <c r="BG101" s="91"/>
      <c r="BH101" s="91"/>
      <c r="BI101" s="91"/>
      <c r="BJ101" s="91"/>
      <c r="BK101" s="91"/>
      <c r="BL101" s="91"/>
      <c r="BM101" s="91"/>
      <c r="BN101" s="91"/>
      <c r="BO101" s="94"/>
      <c r="BP101" s="95"/>
      <c r="BQ101" s="91"/>
      <c r="BR101" s="91"/>
      <c r="BS101" s="91"/>
      <c r="BT101" s="91"/>
      <c r="BU101" s="91"/>
      <c r="BV101" s="91"/>
      <c r="BW101" s="91"/>
      <c r="BX101" s="91"/>
      <c r="BY101" s="91"/>
      <c r="BZ101" s="91"/>
      <c r="CA101" s="119"/>
      <c r="CC101" s="79" t="n">
        <f aca="false">SUMIFS($T101:$CA101, $T$1:$CA$1, CC$63)</f>
        <v>0</v>
      </c>
      <c r="CD101" s="79" t="n">
        <f aca="false">SUMIFS($T101:$CA101, $T$1:$CA$1, CD$63)</f>
        <v>0</v>
      </c>
      <c r="CE101" s="79" t="n">
        <f aca="false">SUMIFS($T101:$CA101, $T$1:$CA$1, CE$63)</f>
        <v>0</v>
      </c>
      <c r="CF101" s="79" t="n">
        <f aca="false">SUMIFS($T101:$CA101, $T$1:$CA$1, CF$63)</f>
        <v>0</v>
      </c>
      <c r="CG101" s="79" t="n">
        <f aca="false">SUMIFS($T101:$CA101, $T$1:$CA$1, CG$63)</f>
        <v>0</v>
      </c>
      <c r="CI101" s="79" t="n">
        <f aca="false">CC101=L101</f>
        <v>1</v>
      </c>
      <c r="CJ101" s="79" t="n">
        <f aca="false">CD101=M101</f>
        <v>1</v>
      </c>
      <c r="CK101" s="79" t="n">
        <f aca="false">CE101=N101</f>
        <v>1</v>
      </c>
      <c r="CL101" s="79" t="n">
        <f aca="false">CF101=O101</f>
        <v>1</v>
      </c>
      <c r="CM101" s="79" t="n">
        <f aca="false">CG101=P101</f>
        <v>1</v>
      </c>
    </row>
    <row r="102" s="14" customFormat="true" ht="16.5" hidden="false" customHeight="true" outlineLevel="0" collapsed="false">
      <c r="E102" s="91"/>
      <c r="H102" s="29"/>
      <c r="I102" s="91" t="n">
        <v>0</v>
      </c>
      <c r="J102" s="91" t="n">
        <v>0</v>
      </c>
      <c r="K102" s="212" t="n">
        <f aca="false">J102-I102</f>
        <v>0</v>
      </c>
      <c r="L102" s="91" t="n">
        <v>0</v>
      </c>
      <c r="M102" s="91" t="n">
        <v>0</v>
      </c>
      <c r="N102" s="91" t="n">
        <v>0</v>
      </c>
      <c r="O102" s="91" t="n">
        <v>0</v>
      </c>
      <c r="P102" s="91" t="n">
        <v>0</v>
      </c>
      <c r="Q102" s="93"/>
      <c r="R102" s="16" t="str">
        <f aca="false">IF(K102=P102, "", "Error")</f>
        <v/>
      </c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4"/>
      <c r="AF102" s="95"/>
      <c r="AG102" s="91"/>
      <c r="AH102" s="91"/>
      <c r="AI102" s="91"/>
      <c r="AJ102" s="91"/>
      <c r="AK102" s="91"/>
      <c r="AL102" s="91"/>
      <c r="AM102" s="91"/>
      <c r="AN102" s="91"/>
      <c r="AO102" s="91"/>
      <c r="AP102" s="91"/>
      <c r="AQ102" s="94"/>
      <c r="AR102" s="95"/>
      <c r="AS102" s="91"/>
      <c r="AT102" s="91"/>
      <c r="AU102" s="91"/>
      <c r="AV102" s="91"/>
      <c r="AW102" s="91"/>
      <c r="AX102" s="91"/>
      <c r="AY102" s="91"/>
      <c r="AZ102" s="91"/>
      <c r="BA102" s="91"/>
      <c r="BB102" s="91"/>
      <c r="BC102" s="94"/>
      <c r="BD102" s="95"/>
      <c r="BE102" s="91"/>
      <c r="BF102" s="91"/>
      <c r="BG102" s="91"/>
      <c r="BH102" s="91"/>
      <c r="BI102" s="91"/>
      <c r="BJ102" s="91"/>
      <c r="BK102" s="91"/>
      <c r="BL102" s="91"/>
      <c r="BM102" s="91"/>
      <c r="BN102" s="91"/>
      <c r="BO102" s="94"/>
      <c r="BP102" s="95"/>
      <c r="BQ102" s="91"/>
      <c r="BR102" s="91"/>
      <c r="BS102" s="91"/>
      <c r="BT102" s="91"/>
      <c r="BU102" s="91"/>
      <c r="BV102" s="91"/>
      <c r="BW102" s="91"/>
      <c r="BX102" s="91"/>
      <c r="BY102" s="91"/>
      <c r="BZ102" s="91"/>
      <c r="CA102" s="119"/>
      <c r="CC102" s="79" t="n">
        <f aca="false">SUMIFS($T102:$CA102, $T$1:$CA$1, CC$63)</f>
        <v>0</v>
      </c>
      <c r="CD102" s="79" t="n">
        <f aca="false">SUMIFS($T102:$CA102, $T$1:$CA$1, CD$63)</f>
        <v>0</v>
      </c>
      <c r="CE102" s="79" t="n">
        <f aca="false">SUMIFS($T102:$CA102, $T$1:$CA$1, CE$63)</f>
        <v>0</v>
      </c>
      <c r="CF102" s="79" t="n">
        <f aca="false">SUMIFS($T102:$CA102, $T$1:$CA$1, CF$63)</f>
        <v>0</v>
      </c>
      <c r="CG102" s="79" t="n">
        <f aca="false">SUMIFS($T102:$CA102, $T$1:$CA$1, CG$63)</f>
        <v>0</v>
      </c>
      <c r="CI102" s="79" t="n">
        <f aca="false">CC102=L102</f>
        <v>1</v>
      </c>
      <c r="CJ102" s="79" t="n">
        <f aca="false">CD102=M102</f>
        <v>1</v>
      </c>
      <c r="CK102" s="79" t="n">
        <f aca="false">CE102=N102</f>
        <v>1</v>
      </c>
      <c r="CL102" s="79" t="n">
        <f aca="false">CF102=O102</f>
        <v>1</v>
      </c>
      <c r="CM102" s="79" t="n">
        <f aca="false">CG102=P102</f>
        <v>1</v>
      </c>
    </row>
    <row r="103" s="14" customFormat="true" ht="16.5" hidden="false" customHeight="true" outlineLevel="0" collapsed="false">
      <c r="E103" s="91"/>
      <c r="H103" s="29"/>
      <c r="I103" s="91"/>
      <c r="J103" s="91"/>
      <c r="K103" s="212" t="n">
        <f aca="false">J103-I103</f>
        <v>0</v>
      </c>
      <c r="L103" s="91" t="n">
        <v>0</v>
      </c>
      <c r="M103" s="91" t="n">
        <v>0</v>
      </c>
      <c r="N103" s="91" t="n">
        <v>0</v>
      </c>
      <c r="O103" s="91" t="n">
        <v>0</v>
      </c>
      <c r="P103" s="91" t="n">
        <v>0</v>
      </c>
      <c r="Q103" s="93"/>
      <c r="R103" s="16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4"/>
      <c r="AF103" s="95"/>
      <c r="AG103" s="91"/>
      <c r="AH103" s="91"/>
      <c r="AI103" s="91"/>
      <c r="AJ103" s="91"/>
      <c r="AK103" s="91"/>
      <c r="AL103" s="91"/>
      <c r="AM103" s="91"/>
      <c r="AN103" s="91"/>
      <c r="AO103" s="91"/>
      <c r="AP103" s="91"/>
      <c r="AQ103" s="94"/>
      <c r="AR103" s="95"/>
      <c r="AS103" s="91"/>
      <c r="AT103" s="91"/>
      <c r="AU103" s="91"/>
      <c r="AV103" s="91"/>
      <c r="AW103" s="91"/>
      <c r="AX103" s="91"/>
      <c r="AY103" s="91"/>
      <c r="AZ103" s="91"/>
      <c r="BA103" s="91"/>
      <c r="BB103" s="91"/>
      <c r="BC103" s="94"/>
      <c r="BD103" s="95"/>
      <c r="BE103" s="91"/>
      <c r="BF103" s="91"/>
      <c r="BG103" s="91"/>
      <c r="BH103" s="91"/>
      <c r="BI103" s="91"/>
      <c r="BJ103" s="91"/>
      <c r="BK103" s="91"/>
      <c r="BL103" s="91"/>
      <c r="BM103" s="91"/>
      <c r="BN103" s="91"/>
      <c r="BO103" s="94"/>
      <c r="BP103" s="95"/>
      <c r="BQ103" s="91"/>
      <c r="BR103" s="91"/>
      <c r="BS103" s="91"/>
      <c r="BT103" s="91"/>
      <c r="BU103" s="91"/>
      <c r="BV103" s="91"/>
      <c r="BW103" s="91"/>
      <c r="BX103" s="91"/>
      <c r="BY103" s="91"/>
      <c r="BZ103" s="91"/>
      <c r="CA103" s="119"/>
      <c r="CC103" s="79"/>
      <c r="CD103" s="79"/>
      <c r="CE103" s="79"/>
      <c r="CF103" s="79"/>
      <c r="CG103" s="79"/>
      <c r="CI103" s="79"/>
      <c r="CJ103" s="79"/>
      <c r="CK103" s="79"/>
      <c r="CL103" s="79"/>
      <c r="CM103" s="79"/>
    </row>
    <row r="104" s="14" customFormat="true" ht="16.5" hidden="false" customHeight="true" outlineLevel="0" collapsed="false">
      <c r="E104" s="96" t="s">
        <v>139</v>
      </c>
      <c r="H104" s="29"/>
      <c r="I104" s="82" t="n">
        <f aca="false">SUM(I99:I103)</f>
        <v>0</v>
      </c>
      <c r="J104" s="82" t="n">
        <f aca="false">SUM(J99:J103)</f>
        <v>0</v>
      </c>
      <c r="K104" s="82" t="n">
        <f aca="false">SUM(K99:K103)</f>
        <v>0</v>
      </c>
      <c r="L104" s="82" t="n">
        <f aca="false">SUM(L99:L103)</f>
        <v>0</v>
      </c>
      <c r="M104" s="82" t="n">
        <f aca="false">SUM(M99:M103)</f>
        <v>0</v>
      </c>
      <c r="N104" s="82" t="n">
        <f aca="false">SUM(N99:N103)</f>
        <v>0</v>
      </c>
      <c r="O104" s="82" t="n">
        <f aca="false">SUM(O99:O103)</f>
        <v>0</v>
      </c>
      <c r="P104" s="82" t="n">
        <f aca="false">SUM(P99:P103)</f>
        <v>0</v>
      </c>
      <c r="Q104" s="16"/>
      <c r="R104" s="16"/>
      <c r="T104" s="82" t="n">
        <f aca="false">SUM(T99:T103)</f>
        <v>0</v>
      </c>
      <c r="U104" s="82" t="n">
        <f aca="false">SUM(U99:U103)</f>
        <v>0</v>
      </c>
      <c r="V104" s="82" t="n">
        <f aca="false">SUM(V99:V103)</f>
        <v>0</v>
      </c>
      <c r="W104" s="82" t="n">
        <f aca="false">SUM(W99:W103)</f>
        <v>0</v>
      </c>
      <c r="X104" s="82" t="n">
        <f aca="false">SUM(X99:X103)</f>
        <v>0</v>
      </c>
      <c r="Y104" s="82" t="n">
        <f aca="false">SUM(Y99:Y103)</f>
        <v>0</v>
      </c>
      <c r="Z104" s="82" t="n">
        <f aca="false">SUM(Z99:Z103)</f>
        <v>0</v>
      </c>
      <c r="AA104" s="82" t="n">
        <f aca="false">SUM(AA99:AA103)</f>
        <v>0</v>
      </c>
      <c r="AB104" s="82" t="n">
        <f aca="false">SUM(AB99:AB103)</f>
        <v>0</v>
      </c>
      <c r="AC104" s="82" t="n">
        <f aca="false">SUM(AC99:AC103)</f>
        <v>0</v>
      </c>
      <c r="AD104" s="82" t="n">
        <f aca="false">SUM(AD99:AD103)</f>
        <v>0</v>
      </c>
      <c r="AE104" s="82" t="n">
        <f aca="false">SUM(AE99:AE103)</f>
        <v>0</v>
      </c>
      <c r="AF104" s="83" t="n">
        <f aca="false">SUM(AF99:AF103)</f>
        <v>0</v>
      </c>
      <c r="AG104" s="82" t="n">
        <f aca="false">SUM(AG99:AG103)</f>
        <v>0</v>
      </c>
      <c r="AH104" s="82" t="n">
        <f aca="false">SUM(AH99:AH103)</f>
        <v>0</v>
      </c>
      <c r="AI104" s="82" t="n">
        <f aca="false">SUM(AI99:AI103)</f>
        <v>0</v>
      </c>
      <c r="AJ104" s="82" t="n">
        <f aca="false">SUM(AJ99:AJ103)</f>
        <v>0</v>
      </c>
      <c r="AK104" s="82" t="n">
        <f aca="false">SUM(AK99:AK103)</f>
        <v>0</v>
      </c>
      <c r="AL104" s="82" t="n">
        <f aca="false">SUM(AL99:AL103)</f>
        <v>0</v>
      </c>
      <c r="AM104" s="82" t="n">
        <f aca="false">SUM(AM99:AM103)</f>
        <v>0</v>
      </c>
      <c r="AN104" s="82" t="n">
        <f aca="false">SUM(AN99:AN103)</f>
        <v>0</v>
      </c>
      <c r="AO104" s="82" t="n">
        <f aca="false">SUM(AO99:AO103)</f>
        <v>0</v>
      </c>
      <c r="AP104" s="82" t="n">
        <f aca="false">SUM(AP99:AP103)</f>
        <v>0</v>
      </c>
      <c r="AQ104" s="82" t="n">
        <f aca="false">SUM(AQ99:AQ103)</f>
        <v>0</v>
      </c>
      <c r="AR104" s="83" t="n">
        <f aca="false">SUM(AR99:AR103)</f>
        <v>0</v>
      </c>
      <c r="AS104" s="82" t="n">
        <f aca="false">SUM(AS99:AS103)</f>
        <v>0</v>
      </c>
      <c r="AT104" s="82" t="n">
        <f aca="false">SUM(AT99:AT103)</f>
        <v>0</v>
      </c>
      <c r="AU104" s="82" t="n">
        <f aca="false">SUM(AU99:AU103)</f>
        <v>0</v>
      </c>
      <c r="AV104" s="82" t="n">
        <f aca="false">SUM(AV99:AV103)</f>
        <v>0</v>
      </c>
      <c r="AW104" s="82" t="n">
        <f aca="false">SUM(AW99:AW103)</f>
        <v>0</v>
      </c>
      <c r="AX104" s="82" t="n">
        <f aca="false">SUM(AX99:AX103)</f>
        <v>0</v>
      </c>
      <c r="AY104" s="82" t="n">
        <f aca="false">SUM(AY99:AY103)</f>
        <v>0</v>
      </c>
      <c r="AZ104" s="82" t="n">
        <f aca="false">SUM(AZ99:AZ103)</f>
        <v>0</v>
      </c>
      <c r="BA104" s="82" t="n">
        <f aca="false">SUM(BA99:BA103)</f>
        <v>0</v>
      </c>
      <c r="BB104" s="82" t="n">
        <f aca="false">SUM(BB99:BB103)</f>
        <v>0</v>
      </c>
      <c r="BC104" s="82" t="n">
        <f aca="false">SUM(BC99:BC103)</f>
        <v>0</v>
      </c>
      <c r="BD104" s="83" t="n">
        <f aca="false">SUM(BD99:BD103)</f>
        <v>0</v>
      </c>
      <c r="BE104" s="82" t="n">
        <f aca="false">SUM(BE99:BE103)</f>
        <v>0</v>
      </c>
      <c r="BF104" s="82" t="n">
        <f aca="false">SUM(BF99:BF103)</f>
        <v>0</v>
      </c>
      <c r="BG104" s="82" t="n">
        <f aca="false">SUM(BG99:BG103)</f>
        <v>0</v>
      </c>
      <c r="BH104" s="82" t="n">
        <f aca="false">SUM(BH99:BH103)</f>
        <v>0</v>
      </c>
      <c r="BI104" s="82" t="n">
        <f aca="false">SUM(BI99:BI103)</f>
        <v>0</v>
      </c>
      <c r="BJ104" s="82" t="n">
        <f aca="false">SUM(BJ99:BJ103)</f>
        <v>0</v>
      </c>
      <c r="BK104" s="82" t="n">
        <f aca="false">SUM(BK99:BK103)</f>
        <v>0</v>
      </c>
      <c r="BL104" s="82" t="n">
        <f aca="false">SUM(BL99:BL103)</f>
        <v>0</v>
      </c>
      <c r="BM104" s="82" t="n">
        <f aca="false">SUM(BM99:BM103)</f>
        <v>0</v>
      </c>
      <c r="BN104" s="82" t="n">
        <f aca="false">SUM(BN99:BN103)</f>
        <v>0</v>
      </c>
      <c r="BO104" s="82" t="n">
        <f aca="false">SUM(BO99:BO103)</f>
        <v>0</v>
      </c>
      <c r="BP104" s="83" t="n">
        <f aca="false">SUM(BP99:BP103)</f>
        <v>0</v>
      </c>
      <c r="BQ104" s="82" t="n">
        <f aca="false">SUM(BQ99:BQ103)</f>
        <v>0</v>
      </c>
      <c r="BR104" s="82" t="n">
        <f aca="false">SUM(BR99:BR103)</f>
        <v>0</v>
      </c>
      <c r="BS104" s="82" t="n">
        <f aca="false">SUM(BS99:BS103)</f>
        <v>0</v>
      </c>
      <c r="BT104" s="82" t="n">
        <f aca="false">SUM(BT99:BT103)</f>
        <v>0</v>
      </c>
      <c r="BU104" s="82" t="n">
        <f aca="false">SUM(BU99:BU103)</f>
        <v>0</v>
      </c>
      <c r="BV104" s="82" t="n">
        <f aca="false">SUM(BV99:BV103)</f>
        <v>0</v>
      </c>
      <c r="BW104" s="82" t="n">
        <f aca="false">SUM(BW99:BW103)</f>
        <v>0</v>
      </c>
      <c r="BX104" s="82" t="n">
        <f aca="false">SUM(BX99:BX103)</f>
        <v>0</v>
      </c>
      <c r="BY104" s="82" t="n">
        <f aca="false">SUM(BY99:BY103)</f>
        <v>0</v>
      </c>
      <c r="BZ104" s="82" t="n">
        <f aca="false">SUM(BZ99:BZ103)</f>
        <v>0</v>
      </c>
      <c r="CA104" s="84" t="n">
        <f aca="false">SUM(CA99:CA103)</f>
        <v>0</v>
      </c>
      <c r="CC104" s="84" t="n">
        <f aca="false">SUM(CC99:CC103)</f>
        <v>0</v>
      </c>
      <c r="CD104" s="84" t="n">
        <f aca="false">SUM(CD99:CD103)</f>
        <v>0</v>
      </c>
      <c r="CE104" s="84" t="n">
        <f aca="false">SUM(CE99:CE103)</f>
        <v>0</v>
      </c>
      <c r="CF104" s="84" t="n">
        <f aca="false">SUM(CF99:CF103)</f>
        <v>0</v>
      </c>
      <c r="CG104" s="84" t="n">
        <f aca="false">SUM(CG99:CG103)</f>
        <v>0</v>
      </c>
      <c r="CI104" s="84" t="n">
        <f aca="false">CC104=L104</f>
        <v>1</v>
      </c>
      <c r="CJ104" s="84" t="n">
        <f aca="false">CD104=M104</f>
        <v>1</v>
      </c>
      <c r="CK104" s="84" t="n">
        <f aca="false">CE104=N104</f>
        <v>1</v>
      </c>
      <c r="CL104" s="84" t="n">
        <f aca="false">CF104=O104</f>
        <v>1</v>
      </c>
      <c r="CM104" s="84" t="n">
        <f aca="false">CG104=P104</f>
        <v>1</v>
      </c>
    </row>
    <row r="105" s="14" customFormat="true" ht="16.5" hidden="false" customHeight="true" outlineLevel="0" collapsed="false">
      <c r="H105" s="29"/>
      <c r="I105" s="88"/>
      <c r="J105" s="88"/>
      <c r="K105" s="88"/>
      <c r="L105" s="88"/>
      <c r="M105" s="88"/>
      <c r="N105" s="88"/>
      <c r="O105" s="88"/>
      <c r="P105" s="88"/>
      <c r="Q105" s="16"/>
      <c r="R105" s="16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9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  <c r="AQ105" s="88"/>
      <c r="AR105" s="89"/>
      <c r="AS105" s="88"/>
      <c r="AT105" s="88"/>
      <c r="AU105" s="88"/>
      <c r="AV105" s="88"/>
      <c r="AW105" s="88"/>
      <c r="AX105" s="88"/>
      <c r="AY105" s="88"/>
      <c r="AZ105" s="88"/>
      <c r="BA105" s="88"/>
      <c r="BB105" s="88"/>
      <c r="BC105" s="88"/>
      <c r="BD105" s="89"/>
      <c r="BE105" s="88"/>
      <c r="BF105" s="88"/>
      <c r="BG105" s="88"/>
      <c r="BH105" s="88"/>
      <c r="BI105" s="88"/>
      <c r="BJ105" s="88"/>
      <c r="BK105" s="88"/>
      <c r="BL105" s="88"/>
      <c r="BM105" s="88"/>
      <c r="BN105" s="88"/>
      <c r="BO105" s="88"/>
      <c r="BP105" s="89"/>
      <c r="BQ105" s="88"/>
      <c r="BR105" s="88"/>
      <c r="BS105" s="88"/>
      <c r="BT105" s="88"/>
      <c r="BU105" s="88"/>
      <c r="BV105" s="88"/>
      <c r="BW105" s="88"/>
      <c r="BX105" s="88"/>
      <c r="BY105" s="88"/>
      <c r="BZ105" s="88"/>
      <c r="CA105" s="90"/>
      <c r="CC105" s="90"/>
      <c r="CD105" s="90"/>
      <c r="CE105" s="90"/>
      <c r="CF105" s="90"/>
      <c r="CG105" s="90"/>
      <c r="CI105" s="90"/>
      <c r="CJ105" s="90"/>
      <c r="CK105" s="90"/>
      <c r="CL105" s="90"/>
      <c r="CM105" s="90"/>
    </row>
    <row r="106" s="14" customFormat="true" ht="16.5" hidden="false" customHeight="true" outlineLevel="0" collapsed="false">
      <c r="E106" s="21" t="s">
        <v>140</v>
      </c>
      <c r="H106" s="29"/>
      <c r="I106" s="88"/>
      <c r="J106" s="88"/>
      <c r="K106" s="88"/>
      <c r="L106" s="88"/>
      <c r="M106" s="88"/>
      <c r="N106" s="88"/>
      <c r="O106" s="88"/>
      <c r="P106" s="88"/>
      <c r="Q106" s="16"/>
      <c r="R106" s="16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9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  <c r="AQ106" s="88"/>
      <c r="AR106" s="89"/>
      <c r="AS106" s="88"/>
      <c r="AT106" s="88"/>
      <c r="AU106" s="88"/>
      <c r="AV106" s="88"/>
      <c r="AW106" s="88"/>
      <c r="AX106" s="88"/>
      <c r="AY106" s="88"/>
      <c r="AZ106" s="88"/>
      <c r="BA106" s="88"/>
      <c r="BB106" s="88"/>
      <c r="BC106" s="88"/>
      <c r="BD106" s="89"/>
      <c r="BE106" s="88"/>
      <c r="BF106" s="88"/>
      <c r="BG106" s="88"/>
      <c r="BH106" s="88"/>
      <c r="BI106" s="88"/>
      <c r="BJ106" s="88"/>
      <c r="BK106" s="88"/>
      <c r="BL106" s="88"/>
      <c r="BM106" s="88"/>
      <c r="BN106" s="88"/>
      <c r="BO106" s="88"/>
      <c r="BP106" s="89"/>
      <c r="BQ106" s="88"/>
      <c r="BR106" s="88"/>
      <c r="BS106" s="88"/>
      <c r="BT106" s="88"/>
      <c r="BU106" s="88"/>
      <c r="BV106" s="88"/>
      <c r="BW106" s="88"/>
      <c r="BX106" s="88"/>
      <c r="BY106" s="88"/>
      <c r="BZ106" s="88"/>
      <c r="CA106" s="90"/>
      <c r="CC106" s="90"/>
      <c r="CD106" s="90"/>
      <c r="CE106" s="90"/>
      <c r="CF106" s="90"/>
      <c r="CG106" s="90"/>
      <c r="CI106" s="90"/>
      <c r="CJ106" s="90"/>
      <c r="CK106" s="90"/>
      <c r="CL106" s="90"/>
      <c r="CM106" s="90"/>
    </row>
    <row r="107" s="14" customFormat="true" ht="16.5" hidden="false" customHeight="true" outlineLevel="0" collapsed="false">
      <c r="E107" s="91" t="s">
        <v>466</v>
      </c>
      <c r="H107" s="29" t="s">
        <v>716</v>
      </c>
      <c r="I107" s="91" t="n">
        <v>0</v>
      </c>
      <c r="J107" s="213" t="n">
        <f aca="false">I107+'SVC-5 Model'!$K$118</f>
        <v>0.4</v>
      </c>
      <c r="K107" s="214" t="n">
        <f aca="false">'SVC-5 Model'!$K$118</f>
        <v>0.4</v>
      </c>
      <c r="L107" s="213" t="n">
        <f aca="false">'SVC-5 Model'!L118</f>
        <v>0</v>
      </c>
      <c r="M107" s="213" t="n">
        <f aca="false">'SVC-5 Model'!M118</f>
        <v>0.0333333333333333</v>
      </c>
      <c r="N107" s="213" t="n">
        <f aca="false">'SVC-5 Model'!N118</f>
        <v>0.366666666666667</v>
      </c>
      <c r="O107" s="213" t="n">
        <f aca="false">'SVC-5 Model'!O118</f>
        <v>0.4</v>
      </c>
      <c r="P107" s="213" t="n">
        <f aca="false">'SVC-5 Model'!P118</f>
        <v>0.4</v>
      </c>
      <c r="Q107" s="93" t="s">
        <v>266</v>
      </c>
      <c r="R107" s="16" t="str">
        <f aca="false">IF(K107=P107, "", "Error")</f>
        <v/>
      </c>
      <c r="T107" s="213" t="n">
        <f aca="false">'SVC-5 Model'!T118</f>
        <v>0</v>
      </c>
      <c r="U107" s="213" t="n">
        <f aca="false">'SVC-5 Model'!U118</f>
        <v>0</v>
      </c>
      <c r="V107" s="213" t="n">
        <f aca="false">'SVC-5 Model'!V118</f>
        <v>0</v>
      </c>
      <c r="W107" s="213" t="n">
        <f aca="false">'SVC-5 Model'!W118</f>
        <v>0</v>
      </c>
      <c r="X107" s="213" t="n">
        <f aca="false">'SVC-5 Model'!X118</f>
        <v>0</v>
      </c>
      <c r="Y107" s="213" t="n">
        <f aca="false">'SVC-5 Model'!Y118</f>
        <v>0</v>
      </c>
      <c r="Z107" s="213" t="n">
        <f aca="false">'SVC-5 Model'!Z118</f>
        <v>0</v>
      </c>
      <c r="AA107" s="213" t="n">
        <f aca="false">'SVC-5 Model'!AA118</f>
        <v>0</v>
      </c>
      <c r="AB107" s="213" t="n">
        <f aca="false">'SVC-5 Model'!AB118</f>
        <v>0</v>
      </c>
      <c r="AC107" s="213" t="n">
        <f aca="false">'SVC-5 Model'!AC118</f>
        <v>0</v>
      </c>
      <c r="AD107" s="213" t="n">
        <f aca="false">'SVC-5 Model'!AD118</f>
        <v>0</v>
      </c>
      <c r="AE107" s="215" t="n">
        <f aca="false">'SVC-5 Model'!AE118</f>
        <v>0</v>
      </c>
      <c r="AF107" s="216" t="n">
        <f aca="false">'SVC-5 Model'!AF118</f>
        <v>0</v>
      </c>
      <c r="AG107" s="216" t="n">
        <f aca="false">'SVC-5 Model'!AG118</f>
        <v>0</v>
      </c>
      <c r="AH107" s="216" t="n">
        <f aca="false">'SVC-5 Model'!AH118</f>
        <v>0</v>
      </c>
      <c r="AI107" s="216" t="n">
        <f aca="false">'SVC-5 Model'!AI118</f>
        <v>0</v>
      </c>
      <c r="AJ107" s="216" t="n">
        <f aca="false">'SVC-5 Model'!AJ118</f>
        <v>0</v>
      </c>
      <c r="AK107" s="216" t="n">
        <f aca="false">'SVC-5 Model'!AK118</f>
        <v>0</v>
      </c>
      <c r="AL107" s="216" t="n">
        <f aca="false">'SVC-5 Model'!AL118</f>
        <v>0</v>
      </c>
      <c r="AM107" s="216" t="n">
        <f aca="false">'SVC-5 Model'!AM118</f>
        <v>0</v>
      </c>
      <c r="AN107" s="216" t="n">
        <f aca="false">'SVC-5 Model'!AN118</f>
        <v>0.00208333333333333</v>
      </c>
      <c r="AO107" s="216" t="n">
        <f aca="false">'SVC-5 Model'!AO118</f>
        <v>0.00625</v>
      </c>
      <c r="AP107" s="216" t="n">
        <f aca="false">'SVC-5 Model'!AP118</f>
        <v>0.0104166666666667</v>
      </c>
      <c r="AQ107" s="216" t="n">
        <f aca="false">'SVC-5 Model'!AQ118</f>
        <v>0.0145833333333333</v>
      </c>
      <c r="AR107" s="216" t="n">
        <f aca="false">'SVC-5 Model'!AR118</f>
        <v>0.01875</v>
      </c>
      <c r="AS107" s="216" t="n">
        <f aca="false">'SVC-5 Model'!AS118</f>
        <v>0.0229166666666667</v>
      </c>
      <c r="AT107" s="216" t="n">
        <f aca="false">'SVC-5 Model'!AT118</f>
        <v>0.0270833333333333</v>
      </c>
      <c r="AU107" s="216" t="n">
        <f aca="false">'SVC-5 Model'!AU118</f>
        <v>0.03125</v>
      </c>
      <c r="AV107" s="216" t="n">
        <f aca="false">'SVC-5 Model'!AV118</f>
        <v>0.0333333333333333</v>
      </c>
      <c r="AW107" s="216" t="n">
        <f aca="false">'SVC-5 Model'!AW118</f>
        <v>0.0333333333333333</v>
      </c>
      <c r="AX107" s="216" t="n">
        <f aca="false">'SVC-5 Model'!AX118</f>
        <v>0.0333333333333333</v>
      </c>
      <c r="AY107" s="216" t="n">
        <f aca="false">'SVC-5 Model'!AY118</f>
        <v>0.0333333333333333</v>
      </c>
      <c r="AZ107" s="216" t="n">
        <f aca="false">'SVC-5 Model'!AZ118</f>
        <v>0.0333333333333333</v>
      </c>
      <c r="BA107" s="216" t="n">
        <f aca="false">'SVC-5 Model'!BA118</f>
        <v>0.0333333333333333</v>
      </c>
      <c r="BB107" s="216" t="n">
        <f aca="false">'SVC-5 Model'!BB118</f>
        <v>0.0333333333333333</v>
      </c>
      <c r="BC107" s="216" t="n">
        <f aca="false">'SVC-5 Model'!BC118</f>
        <v>0.0333333333333333</v>
      </c>
      <c r="BD107" s="216" t="n">
        <f aca="false">'SVC-5 Model'!BD118</f>
        <v>0.0333333333333333</v>
      </c>
      <c r="BE107" s="216" t="n">
        <f aca="false">'SVC-5 Model'!BE118</f>
        <v>0.0333333333333333</v>
      </c>
      <c r="BF107" s="216" t="n">
        <f aca="false">'SVC-5 Model'!BF118</f>
        <v>0.0333333333333333</v>
      </c>
      <c r="BG107" s="216" t="n">
        <f aca="false">'SVC-5 Model'!BG118</f>
        <v>0.0333333333333333</v>
      </c>
      <c r="BH107" s="216" t="n">
        <f aca="false">'SVC-5 Model'!BH118</f>
        <v>0.0333333333333333</v>
      </c>
      <c r="BI107" s="216" t="n">
        <f aca="false">'SVC-5 Model'!BI118</f>
        <v>0.0333333333333333</v>
      </c>
      <c r="BJ107" s="216" t="n">
        <f aca="false">'SVC-5 Model'!BJ118</f>
        <v>0.0333333333333333</v>
      </c>
      <c r="BK107" s="216" t="n">
        <f aca="false">'SVC-5 Model'!BK118</f>
        <v>0.0333333333333333</v>
      </c>
      <c r="BL107" s="216" t="n">
        <f aca="false">'SVC-5 Model'!BL118</f>
        <v>0.0333333333333333</v>
      </c>
      <c r="BM107" s="216" t="n">
        <f aca="false">'SVC-5 Model'!BM118</f>
        <v>0.0333333333333333</v>
      </c>
      <c r="BN107" s="216" t="n">
        <f aca="false">'SVC-5 Model'!BN118</f>
        <v>0.0333333333333333</v>
      </c>
      <c r="BO107" s="216" t="n">
        <f aca="false">'SVC-5 Model'!BO118</f>
        <v>0.0333333333333333</v>
      </c>
      <c r="BP107" s="216" t="n">
        <f aca="false">'SVC-5 Model'!BP118</f>
        <v>0.0333333333333333</v>
      </c>
      <c r="BQ107" s="216" t="n">
        <f aca="false">'SVC-5 Model'!BQ118</f>
        <v>0.0333333333333333</v>
      </c>
      <c r="BR107" s="216" t="n">
        <f aca="false">'SVC-5 Model'!BR118</f>
        <v>0.0333333333333333</v>
      </c>
      <c r="BS107" s="216" t="n">
        <f aca="false">'SVC-5 Model'!BS118</f>
        <v>0.0333333333333333</v>
      </c>
      <c r="BT107" s="216" t="n">
        <f aca="false">'SVC-5 Model'!BT118</f>
        <v>0.0333333333333333</v>
      </c>
      <c r="BU107" s="216" t="n">
        <f aca="false">'SVC-5 Model'!BU118</f>
        <v>0.0333333333333333</v>
      </c>
      <c r="BV107" s="216" t="n">
        <f aca="false">'SVC-5 Model'!BV118</f>
        <v>0.0333333333333333</v>
      </c>
      <c r="BW107" s="216" t="n">
        <f aca="false">'SVC-5 Model'!BW118</f>
        <v>0.0333333333333333</v>
      </c>
      <c r="BX107" s="216" t="n">
        <f aca="false">'SVC-5 Model'!BX118</f>
        <v>0.0333333333333333</v>
      </c>
      <c r="BY107" s="216" t="n">
        <f aca="false">'SVC-5 Model'!BY118</f>
        <v>0.0333333333333333</v>
      </c>
      <c r="BZ107" s="216" t="n">
        <f aca="false">'SVC-5 Model'!BZ118</f>
        <v>0.0333333333333333</v>
      </c>
      <c r="CA107" s="216" t="n">
        <f aca="false">'SVC-5 Model'!CA118</f>
        <v>0.0333333333333333</v>
      </c>
      <c r="CC107" s="79" t="n">
        <f aca="false">SUMIFS($T107:$CA107, $T$1:$CA$1, CC$63)</f>
        <v>0</v>
      </c>
      <c r="CD107" s="79" t="n">
        <f aca="false">SUMIFS($T107:$CA107, $T$1:$CA$1, CD$63)</f>
        <v>0.0333333333333333</v>
      </c>
      <c r="CE107" s="79" t="n">
        <f aca="false">SUMIFS($T107:$CA107, $T$1:$CA$1, CE$63)</f>
        <v>0.366666666666667</v>
      </c>
      <c r="CF107" s="79" t="n">
        <f aca="false">SUMIFS($T107:$CA107, $T$1:$CA$1, CF$63)</f>
        <v>0.4</v>
      </c>
      <c r="CG107" s="79" t="n">
        <f aca="false">SUMIFS($T107:$CA107, $T$1:$CA$1, CG$63)</f>
        <v>0.4</v>
      </c>
      <c r="CI107" s="79" t="n">
        <f aca="false">CC107=L107</f>
        <v>1</v>
      </c>
      <c r="CJ107" s="79" t="n">
        <f aca="false">CD107=M107</f>
        <v>1</v>
      </c>
      <c r="CK107" s="79" t="n">
        <f aca="false">CE107=N107</f>
        <v>1</v>
      </c>
      <c r="CL107" s="79" t="n">
        <f aca="false">CF107=O107</f>
        <v>1</v>
      </c>
      <c r="CM107" s="79" t="n">
        <f aca="false">CG107=P107</f>
        <v>1</v>
      </c>
    </row>
    <row r="108" s="14" customFormat="true" ht="16.5" hidden="false" customHeight="true" outlineLevel="0" collapsed="false">
      <c r="E108" s="91" t="s">
        <v>469</v>
      </c>
      <c r="H108" s="29" t="s">
        <v>390</v>
      </c>
      <c r="I108" s="91" t="n">
        <v>0</v>
      </c>
      <c r="J108" s="213" t="n">
        <f aca="false">I108+'SVC-5 Model'!$K$119</f>
        <v>0.2</v>
      </c>
      <c r="K108" s="214" t="n">
        <f aca="false">'SVC-5 Model'!$K$119</f>
        <v>0.2</v>
      </c>
      <c r="L108" s="213" t="n">
        <f aca="false">'SVC-5 Model'!L119</f>
        <v>0</v>
      </c>
      <c r="M108" s="213" t="n">
        <f aca="false">'SVC-5 Model'!M119</f>
        <v>0.0666666666666667</v>
      </c>
      <c r="N108" s="213" t="n">
        <f aca="false">'SVC-5 Model'!N119</f>
        <v>0.2</v>
      </c>
      <c r="O108" s="213" t="n">
        <f aca="false">'SVC-5 Model'!O119</f>
        <v>0.2</v>
      </c>
      <c r="P108" s="213" t="n">
        <f aca="false">'SVC-5 Model'!P119</f>
        <v>0.2</v>
      </c>
      <c r="Q108" s="93" t="s">
        <v>266</v>
      </c>
      <c r="R108" s="16" t="str">
        <f aca="false">IF(K108=P108, "", "Error")</f>
        <v/>
      </c>
      <c r="T108" s="213" t="n">
        <f aca="false">'SVC-5 Model'!T119</f>
        <v>0</v>
      </c>
      <c r="U108" s="213" t="n">
        <f aca="false">'SVC-5 Model'!U119</f>
        <v>0</v>
      </c>
      <c r="V108" s="213" t="n">
        <f aca="false">'SVC-5 Model'!V119</f>
        <v>0</v>
      </c>
      <c r="W108" s="213" t="n">
        <f aca="false">'SVC-5 Model'!W119</f>
        <v>0</v>
      </c>
      <c r="X108" s="213" t="n">
        <f aca="false">'SVC-5 Model'!X119</f>
        <v>0</v>
      </c>
      <c r="Y108" s="213" t="n">
        <f aca="false">'SVC-5 Model'!Y119</f>
        <v>0</v>
      </c>
      <c r="Z108" s="213" t="n">
        <f aca="false">'SVC-5 Model'!Z119</f>
        <v>0</v>
      </c>
      <c r="AA108" s="213" t="n">
        <f aca="false">'SVC-5 Model'!AA119</f>
        <v>0</v>
      </c>
      <c r="AB108" s="213" t="n">
        <f aca="false">'SVC-5 Model'!AB119</f>
        <v>0</v>
      </c>
      <c r="AC108" s="213" t="n">
        <f aca="false">'SVC-5 Model'!AC119</f>
        <v>0</v>
      </c>
      <c r="AD108" s="213" t="n">
        <f aca="false">'SVC-5 Model'!AD119</f>
        <v>0</v>
      </c>
      <c r="AE108" s="215" t="n">
        <f aca="false">'SVC-5 Model'!AE119</f>
        <v>0</v>
      </c>
      <c r="AF108" s="215" t="n">
        <f aca="false">'SVC-5 Model'!AF119</f>
        <v>0</v>
      </c>
      <c r="AG108" s="215" t="n">
        <f aca="false">'SVC-5 Model'!AG119</f>
        <v>0</v>
      </c>
      <c r="AH108" s="215" t="n">
        <f aca="false">'SVC-5 Model'!AH119</f>
        <v>0</v>
      </c>
      <c r="AI108" s="215" t="n">
        <f aca="false">'SVC-5 Model'!AI119</f>
        <v>0</v>
      </c>
      <c r="AJ108" s="215" t="n">
        <f aca="false">'SVC-5 Model'!AJ119</f>
        <v>0</v>
      </c>
      <c r="AK108" s="215" t="n">
        <f aca="false">'SVC-5 Model'!AK119</f>
        <v>0</v>
      </c>
      <c r="AL108" s="215" t="n">
        <f aca="false">'SVC-5 Model'!AL119</f>
        <v>0</v>
      </c>
      <c r="AM108" s="215" t="n">
        <f aca="false">'SVC-5 Model'!AM119</f>
        <v>0</v>
      </c>
      <c r="AN108" s="215" t="n">
        <f aca="false">'SVC-5 Model'!AN119</f>
        <v>0.0166666666666667</v>
      </c>
      <c r="AO108" s="215" t="n">
        <f aca="false">'SVC-5 Model'!AO119</f>
        <v>0.0166666666666667</v>
      </c>
      <c r="AP108" s="215" t="n">
        <f aca="false">'SVC-5 Model'!AP119</f>
        <v>0.0166666666666667</v>
      </c>
      <c r="AQ108" s="215" t="n">
        <f aca="false">'SVC-5 Model'!AQ119</f>
        <v>0.0166666666666667</v>
      </c>
      <c r="AR108" s="215" t="n">
        <f aca="false">'SVC-5 Model'!AR119</f>
        <v>0.0166666666666667</v>
      </c>
      <c r="AS108" s="215" t="n">
        <f aca="false">'SVC-5 Model'!AS119</f>
        <v>0.0166666666666667</v>
      </c>
      <c r="AT108" s="215" t="n">
        <f aca="false">'SVC-5 Model'!AT119</f>
        <v>0.0166666666666667</v>
      </c>
      <c r="AU108" s="215" t="n">
        <f aca="false">'SVC-5 Model'!AU119</f>
        <v>0.0166666666666667</v>
      </c>
      <c r="AV108" s="215" t="n">
        <f aca="false">'SVC-5 Model'!AV119</f>
        <v>0.0166666666666667</v>
      </c>
      <c r="AW108" s="215" t="n">
        <f aca="false">'SVC-5 Model'!AW119</f>
        <v>0.0166666666666667</v>
      </c>
      <c r="AX108" s="215" t="n">
        <f aca="false">'SVC-5 Model'!AX119</f>
        <v>0.0166666666666667</v>
      </c>
      <c r="AY108" s="215" t="n">
        <f aca="false">'SVC-5 Model'!AY119</f>
        <v>0.0166666666666667</v>
      </c>
      <c r="AZ108" s="215" t="n">
        <f aca="false">'SVC-5 Model'!AZ119</f>
        <v>0.0166666666666667</v>
      </c>
      <c r="BA108" s="215" t="n">
        <f aca="false">'SVC-5 Model'!BA119</f>
        <v>0.0166666666666667</v>
      </c>
      <c r="BB108" s="215" t="n">
        <f aca="false">'SVC-5 Model'!BB119</f>
        <v>0.0166666666666667</v>
      </c>
      <c r="BC108" s="215" t="n">
        <f aca="false">'SVC-5 Model'!BC119</f>
        <v>0.0166666666666667</v>
      </c>
      <c r="BD108" s="215" t="n">
        <f aca="false">'SVC-5 Model'!BD119</f>
        <v>0.0166666666666667</v>
      </c>
      <c r="BE108" s="215" t="n">
        <f aca="false">'SVC-5 Model'!BE119</f>
        <v>0.0166666666666667</v>
      </c>
      <c r="BF108" s="215" t="n">
        <f aca="false">'SVC-5 Model'!BF119</f>
        <v>0.0166666666666667</v>
      </c>
      <c r="BG108" s="215" t="n">
        <f aca="false">'SVC-5 Model'!BG119</f>
        <v>0.0166666666666667</v>
      </c>
      <c r="BH108" s="215" t="n">
        <f aca="false">'SVC-5 Model'!BH119</f>
        <v>0.0166666666666667</v>
      </c>
      <c r="BI108" s="215" t="n">
        <f aca="false">'SVC-5 Model'!BI119</f>
        <v>0.0166666666666667</v>
      </c>
      <c r="BJ108" s="215" t="n">
        <f aca="false">'SVC-5 Model'!BJ119</f>
        <v>0.0166666666666667</v>
      </c>
      <c r="BK108" s="215" t="n">
        <f aca="false">'SVC-5 Model'!BK119</f>
        <v>0.0166666666666667</v>
      </c>
      <c r="BL108" s="215" t="n">
        <f aca="false">'SVC-5 Model'!BL119</f>
        <v>0.0166666666666667</v>
      </c>
      <c r="BM108" s="215" t="n">
        <f aca="false">'SVC-5 Model'!BM119</f>
        <v>0.0166666666666667</v>
      </c>
      <c r="BN108" s="215" t="n">
        <f aca="false">'SVC-5 Model'!BN119</f>
        <v>0.0166666666666667</v>
      </c>
      <c r="BO108" s="215" t="n">
        <f aca="false">'SVC-5 Model'!BO119</f>
        <v>0.0166666666666667</v>
      </c>
      <c r="BP108" s="215" t="n">
        <f aca="false">'SVC-5 Model'!BP119</f>
        <v>0.0166666666666667</v>
      </c>
      <c r="BQ108" s="215" t="n">
        <f aca="false">'SVC-5 Model'!BQ119</f>
        <v>0.0166666666666667</v>
      </c>
      <c r="BR108" s="215" t="n">
        <f aca="false">'SVC-5 Model'!BR119</f>
        <v>0.0166666666666667</v>
      </c>
      <c r="BS108" s="215" t="n">
        <f aca="false">'SVC-5 Model'!BS119</f>
        <v>0.0166666666666667</v>
      </c>
      <c r="BT108" s="215" t="n">
        <f aca="false">'SVC-5 Model'!BT119</f>
        <v>0.0166666666666667</v>
      </c>
      <c r="BU108" s="215" t="n">
        <f aca="false">'SVC-5 Model'!BU119</f>
        <v>0.0166666666666667</v>
      </c>
      <c r="BV108" s="215" t="n">
        <f aca="false">'SVC-5 Model'!BV119</f>
        <v>0.0166666666666667</v>
      </c>
      <c r="BW108" s="215" t="n">
        <f aca="false">'SVC-5 Model'!BW119</f>
        <v>0.0166666666666667</v>
      </c>
      <c r="BX108" s="215" t="n">
        <f aca="false">'SVC-5 Model'!BX119</f>
        <v>0.0166666666666667</v>
      </c>
      <c r="BY108" s="215" t="n">
        <f aca="false">'SVC-5 Model'!BY119</f>
        <v>0.0166666666666667</v>
      </c>
      <c r="BZ108" s="215" t="n">
        <f aca="false">'SVC-5 Model'!BZ119</f>
        <v>0.0166666666666667</v>
      </c>
      <c r="CA108" s="215" t="n">
        <f aca="false">'SVC-5 Model'!CA119</f>
        <v>0.0166666666666667</v>
      </c>
      <c r="CC108" s="79" t="n">
        <f aca="false">SUMIFS($T108:$CA108, $T$1:$CA$1, CC$63)</f>
        <v>0</v>
      </c>
      <c r="CD108" s="79" t="n">
        <f aca="false">SUMIFS($T108:$CA108, $T$1:$CA$1, CD$63)</f>
        <v>0.0666666666666667</v>
      </c>
      <c r="CE108" s="79" t="n">
        <f aca="false">SUMIFS($T108:$CA108, $T$1:$CA$1, CE$63)</f>
        <v>0.2</v>
      </c>
      <c r="CF108" s="79" t="n">
        <f aca="false">SUMIFS($T108:$CA108, $T$1:$CA$1, CF$63)</f>
        <v>0.2</v>
      </c>
      <c r="CG108" s="79" t="n">
        <f aca="false">SUMIFS($T108:$CA108, $T$1:$CA$1, CG$63)</f>
        <v>0.2</v>
      </c>
      <c r="CI108" s="79" t="n">
        <f aca="false">CC108=L108</f>
        <v>1</v>
      </c>
      <c r="CJ108" s="79" t="n">
        <f aca="false">CD108=M108</f>
        <v>1</v>
      </c>
      <c r="CK108" s="79" t="n">
        <f aca="false">CE108=N108</f>
        <v>1</v>
      </c>
      <c r="CL108" s="79" t="n">
        <f aca="false">CF108=O108</f>
        <v>1</v>
      </c>
      <c r="CM108" s="79" t="n">
        <f aca="false">CG108=P108</f>
        <v>1</v>
      </c>
    </row>
    <row r="109" s="14" customFormat="true" ht="16.5" hidden="false" customHeight="true" outlineLevel="0" collapsed="false">
      <c r="E109" s="91" t="s">
        <v>386</v>
      </c>
      <c r="H109" s="29" t="s">
        <v>717</v>
      </c>
      <c r="I109" s="91" t="n">
        <v>0</v>
      </c>
      <c r="J109" s="213" t="n">
        <f aca="false">I109+'SVC-5 Model'!$K$120</f>
        <v>0.45</v>
      </c>
      <c r="K109" s="214" t="n">
        <f aca="false">'SVC-5 Model'!$K$120</f>
        <v>0.45</v>
      </c>
      <c r="L109" s="213" t="n">
        <f aca="false">'SVC-5 Model'!L120</f>
        <v>0</v>
      </c>
      <c r="M109" s="213" t="n">
        <f aca="false">'SVC-5 Model'!M120</f>
        <v>0.15</v>
      </c>
      <c r="N109" s="213" t="n">
        <f aca="false">'SVC-5 Model'!N120</f>
        <v>0.45</v>
      </c>
      <c r="O109" s="213" t="n">
        <f aca="false">'SVC-5 Model'!O120</f>
        <v>0.45</v>
      </c>
      <c r="P109" s="213" t="n">
        <f aca="false">'SVC-5 Model'!P120</f>
        <v>0.45</v>
      </c>
      <c r="Q109" s="93" t="s">
        <v>266</v>
      </c>
      <c r="R109" s="16" t="str">
        <f aca="false">IF(K109=P109, "", "Error")</f>
        <v/>
      </c>
      <c r="T109" s="213" t="n">
        <f aca="false">'SVC-5 Model'!T120</f>
        <v>0</v>
      </c>
      <c r="U109" s="213" t="n">
        <f aca="false">'SVC-5 Model'!U120</f>
        <v>0</v>
      </c>
      <c r="V109" s="213" t="n">
        <f aca="false">'SVC-5 Model'!V120</f>
        <v>0</v>
      </c>
      <c r="W109" s="213" t="n">
        <f aca="false">'SVC-5 Model'!W120</f>
        <v>0</v>
      </c>
      <c r="X109" s="213" t="n">
        <f aca="false">'SVC-5 Model'!X120</f>
        <v>0</v>
      </c>
      <c r="Y109" s="213" t="n">
        <f aca="false">'SVC-5 Model'!Y120</f>
        <v>0</v>
      </c>
      <c r="Z109" s="213" t="n">
        <f aca="false">'SVC-5 Model'!Z120</f>
        <v>0</v>
      </c>
      <c r="AA109" s="213" t="n">
        <f aca="false">'SVC-5 Model'!AA120</f>
        <v>0</v>
      </c>
      <c r="AB109" s="213" t="n">
        <f aca="false">'SVC-5 Model'!AB120</f>
        <v>0</v>
      </c>
      <c r="AC109" s="213" t="n">
        <f aca="false">'SVC-5 Model'!AC120</f>
        <v>0</v>
      </c>
      <c r="AD109" s="213" t="n">
        <f aca="false">'SVC-5 Model'!AD120</f>
        <v>0</v>
      </c>
      <c r="AE109" s="215" t="n">
        <f aca="false">'SVC-5 Model'!AE120</f>
        <v>0</v>
      </c>
      <c r="AF109" s="215" t="n">
        <f aca="false">'SVC-5 Model'!AF120</f>
        <v>0</v>
      </c>
      <c r="AG109" s="215" t="n">
        <f aca="false">'SVC-5 Model'!AG120</f>
        <v>0</v>
      </c>
      <c r="AH109" s="215" t="n">
        <f aca="false">'SVC-5 Model'!AH120</f>
        <v>0</v>
      </c>
      <c r="AI109" s="215" t="n">
        <f aca="false">'SVC-5 Model'!AI120</f>
        <v>0</v>
      </c>
      <c r="AJ109" s="215" t="n">
        <f aca="false">'SVC-5 Model'!AJ120</f>
        <v>0</v>
      </c>
      <c r="AK109" s="215" t="n">
        <f aca="false">'SVC-5 Model'!AK120</f>
        <v>0</v>
      </c>
      <c r="AL109" s="215" t="n">
        <f aca="false">'SVC-5 Model'!AL120</f>
        <v>0</v>
      </c>
      <c r="AM109" s="215" t="n">
        <f aca="false">'SVC-5 Model'!AM120</f>
        <v>0</v>
      </c>
      <c r="AN109" s="215" t="n">
        <f aca="false">'SVC-5 Model'!AN120</f>
        <v>0.0375</v>
      </c>
      <c r="AO109" s="215" t="n">
        <f aca="false">'SVC-5 Model'!AO120</f>
        <v>0.0375</v>
      </c>
      <c r="AP109" s="215" t="n">
        <f aca="false">'SVC-5 Model'!AP120</f>
        <v>0.0375</v>
      </c>
      <c r="AQ109" s="215" t="n">
        <f aca="false">'SVC-5 Model'!AQ120</f>
        <v>0.0375</v>
      </c>
      <c r="AR109" s="215" t="n">
        <f aca="false">'SVC-5 Model'!AR120</f>
        <v>0.0375</v>
      </c>
      <c r="AS109" s="215" t="n">
        <f aca="false">'SVC-5 Model'!AS120</f>
        <v>0.0375</v>
      </c>
      <c r="AT109" s="215" t="n">
        <f aca="false">'SVC-5 Model'!AT120</f>
        <v>0.0375</v>
      </c>
      <c r="AU109" s="215" t="n">
        <f aca="false">'SVC-5 Model'!AU120</f>
        <v>0.0375</v>
      </c>
      <c r="AV109" s="215" t="n">
        <f aca="false">'SVC-5 Model'!AV120</f>
        <v>0.0375</v>
      </c>
      <c r="AW109" s="215" t="n">
        <f aca="false">'SVC-5 Model'!AW120</f>
        <v>0.0375</v>
      </c>
      <c r="AX109" s="215" t="n">
        <f aca="false">'SVC-5 Model'!AX120</f>
        <v>0.0375</v>
      </c>
      <c r="AY109" s="215" t="n">
        <f aca="false">'SVC-5 Model'!AY120</f>
        <v>0.0375</v>
      </c>
      <c r="AZ109" s="215" t="n">
        <f aca="false">'SVC-5 Model'!AZ120</f>
        <v>0.0375</v>
      </c>
      <c r="BA109" s="215" t="n">
        <f aca="false">'SVC-5 Model'!BA120</f>
        <v>0.0375</v>
      </c>
      <c r="BB109" s="215" t="n">
        <f aca="false">'SVC-5 Model'!BB120</f>
        <v>0.0375</v>
      </c>
      <c r="BC109" s="215" t="n">
        <f aca="false">'SVC-5 Model'!BC120</f>
        <v>0.0375</v>
      </c>
      <c r="BD109" s="215" t="n">
        <f aca="false">'SVC-5 Model'!BD120</f>
        <v>0.0375</v>
      </c>
      <c r="BE109" s="215" t="n">
        <f aca="false">'SVC-5 Model'!BE120</f>
        <v>0.0375</v>
      </c>
      <c r="BF109" s="215" t="n">
        <f aca="false">'SVC-5 Model'!BF120</f>
        <v>0.0375</v>
      </c>
      <c r="BG109" s="215" t="n">
        <f aca="false">'SVC-5 Model'!BG120</f>
        <v>0.0375</v>
      </c>
      <c r="BH109" s="215" t="n">
        <f aca="false">'SVC-5 Model'!BH120</f>
        <v>0.0375</v>
      </c>
      <c r="BI109" s="215" t="n">
        <f aca="false">'SVC-5 Model'!BI120</f>
        <v>0.0375</v>
      </c>
      <c r="BJ109" s="215" t="n">
        <f aca="false">'SVC-5 Model'!BJ120</f>
        <v>0.0375</v>
      </c>
      <c r="BK109" s="215" t="n">
        <f aca="false">'SVC-5 Model'!BK120</f>
        <v>0.0375</v>
      </c>
      <c r="BL109" s="215" t="n">
        <f aca="false">'SVC-5 Model'!BL120</f>
        <v>0.0375</v>
      </c>
      <c r="BM109" s="215" t="n">
        <f aca="false">'SVC-5 Model'!BM120</f>
        <v>0.0375</v>
      </c>
      <c r="BN109" s="215" t="n">
        <f aca="false">'SVC-5 Model'!BN120</f>
        <v>0.0375</v>
      </c>
      <c r="BO109" s="215" t="n">
        <f aca="false">'SVC-5 Model'!BO120</f>
        <v>0.0375</v>
      </c>
      <c r="BP109" s="215" t="n">
        <f aca="false">'SVC-5 Model'!BP120</f>
        <v>0.0375</v>
      </c>
      <c r="BQ109" s="215" t="n">
        <f aca="false">'SVC-5 Model'!BQ120</f>
        <v>0.0375</v>
      </c>
      <c r="BR109" s="215" t="n">
        <f aca="false">'SVC-5 Model'!BR120</f>
        <v>0.0375</v>
      </c>
      <c r="BS109" s="215" t="n">
        <f aca="false">'SVC-5 Model'!BS120</f>
        <v>0.0375</v>
      </c>
      <c r="BT109" s="215" t="n">
        <f aca="false">'SVC-5 Model'!BT120</f>
        <v>0.0375</v>
      </c>
      <c r="BU109" s="215" t="n">
        <f aca="false">'SVC-5 Model'!BU120</f>
        <v>0.0375</v>
      </c>
      <c r="BV109" s="215" t="n">
        <f aca="false">'SVC-5 Model'!BV120</f>
        <v>0.0375</v>
      </c>
      <c r="BW109" s="215" t="n">
        <f aca="false">'SVC-5 Model'!BW120</f>
        <v>0.0375</v>
      </c>
      <c r="BX109" s="215" t="n">
        <f aca="false">'SVC-5 Model'!BX120</f>
        <v>0.0375</v>
      </c>
      <c r="BY109" s="215" t="n">
        <f aca="false">'SVC-5 Model'!BY120</f>
        <v>0.0375</v>
      </c>
      <c r="BZ109" s="215" t="n">
        <f aca="false">'SVC-5 Model'!BZ120</f>
        <v>0.0375</v>
      </c>
      <c r="CA109" s="215" t="n">
        <f aca="false">'SVC-5 Model'!CA120</f>
        <v>0.0375</v>
      </c>
      <c r="CC109" s="79" t="n">
        <f aca="false">SUMIFS($T109:$CA109, $T$1:$CA$1, CC$63)</f>
        <v>0</v>
      </c>
      <c r="CD109" s="79" t="n">
        <f aca="false">SUMIFS($T109:$CA109, $T$1:$CA$1, CD$63)</f>
        <v>0.15</v>
      </c>
      <c r="CE109" s="79" t="n">
        <f aca="false">SUMIFS($T109:$CA109, $T$1:$CA$1, CE$63)</f>
        <v>0.45</v>
      </c>
      <c r="CF109" s="79" t="n">
        <f aca="false">SUMIFS($T109:$CA109, $T$1:$CA$1, CF$63)</f>
        <v>0.45</v>
      </c>
      <c r="CG109" s="79" t="n">
        <f aca="false">SUMIFS($T109:$CA109, $T$1:$CA$1, CG$63)</f>
        <v>0.45</v>
      </c>
      <c r="CI109" s="79" t="n">
        <f aca="false">CC109=L109</f>
        <v>1</v>
      </c>
      <c r="CJ109" s="79" t="n">
        <f aca="false">CD109=M109</f>
        <v>1</v>
      </c>
      <c r="CK109" s="79" t="n">
        <f aca="false">CE109=N109</f>
        <v>1</v>
      </c>
      <c r="CL109" s="79" t="n">
        <f aca="false">CF109=O109</f>
        <v>1</v>
      </c>
      <c r="CM109" s="79" t="n">
        <f aca="false">CG109=P109</f>
        <v>1</v>
      </c>
    </row>
    <row r="110" s="14" customFormat="true" ht="16.5" hidden="false" customHeight="true" outlineLevel="0" collapsed="false">
      <c r="E110" s="91" t="s">
        <v>389</v>
      </c>
      <c r="H110" s="29" t="s">
        <v>390</v>
      </c>
      <c r="I110" s="91" t="n">
        <v>0</v>
      </c>
      <c r="J110" s="213" t="n">
        <f aca="false">I110+'SVC-5 Model'!$K$121</f>
        <v>0.15</v>
      </c>
      <c r="K110" s="214" t="n">
        <f aca="false">'SVC-5 Model'!$K$121</f>
        <v>0.15</v>
      </c>
      <c r="L110" s="213" t="n">
        <f aca="false">'SVC-5 Model'!L121</f>
        <v>0</v>
      </c>
      <c r="M110" s="213" t="n">
        <f aca="false">'SVC-5 Model'!M121</f>
        <v>0.05</v>
      </c>
      <c r="N110" s="213" t="n">
        <f aca="false">'SVC-5 Model'!N121</f>
        <v>0.15</v>
      </c>
      <c r="O110" s="213" t="n">
        <f aca="false">'SVC-5 Model'!O121</f>
        <v>0.15</v>
      </c>
      <c r="P110" s="213" t="n">
        <f aca="false">'SVC-5 Model'!P121</f>
        <v>0.15</v>
      </c>
      <c r="Q110" s="93" t="s">
        <v>266</v>
      </c>
      <c r="R110" s="16" t="str">
        <f aca="false">IF(K110=P110, "", "Error")</f>
        <v/>
      </c>
      <c r="T110" s="213" t="n">
        <f aca="false">'SVC-5 Model'!T121</f>
        <v>0</v>
      </c>
      <c r="U110" s="213" t="n">
        <f aca="false">'SVC-5 Model'!U121</f>
        <v>0</v>
      </c>
      <c r="V110" s="213" t="n">
        <f aca="false">'SVC-5 Model'!V121</f>
        <v>0</v>
      </c>
      <c r="W110" s="213" t="n">
        <f aca="false">'SVC-5 Model'!W121</f>
        <v>0</v>
      </c>
      <c r="X110" s="213" t="n">
        <f aca="false">'SVC-5 Model'!X121</f>
        <v>0</v>
      </c>
      <c r="Y110" s="213" t="n">
        <f aca="false">'SVC-5 Model'!Y121</f>
        <v>0</v>
      </c>
      <c r="Z110" s="213" t="n">
        <f aca="false">'SVC-5 Model'!Z121</f>
        <v>0</v>
      </c>
      <c r="AA110" s="213" t="n">
        <f aca="false">'SVC-5 Model'!AA121</f>
        <v>0</v>
      </c>
      <c r="AB110" s="213" t="n">
        <f aca="false">'SVC-5 Model'!AB121</f>
        <v>0</v>
      </c>
      <c r="AC110" s="213" t="n">
        <f aca="false">'SVC-5 Model'!AC121</f>
        <v>0</v>
      </c>
      <c r="AD110" s="213" t="n">
        <f aca="false">'SVC-5 Model'!AD121</f>
        <v>0</v>
      </c>
      <c r="AE110" s="215" t="n">
        <f aca="false">'SVC-5 Model'!AE121</f>
        <v>0</v>
      </c>
      <c r="AF110" s="216" t="n">
        <f aca="false">'SVC-5 Model'!AF121</f>
        <v>0</v>
      </c>
      <c r="AG110" s="213" t="n">
        <f aca="false">'SVC-5 Model'!AG121</f>
        <v>0</v>
      </c>
      <c r="AH110" s="213" t="n">
        <f aca="false">'SVC-5 Model'!AH121</f>
        <v>0</v>
      </c>
      <c r="AI110" s="213" t="n">
        <f aca="false">'SVC-5 Model'!AI121</f>
        <v>0</v>
      </c>
      <c r="AJ110" s="213" t="n">
        <f aca="false">'SVC-5 Model'!AJ121</f>
        <v>0</v>
      </c>
      <c r="AK110" s="213" t="n">
        <f aca="false">'SVC-5 Model'!AK121</f>
        <v>0</v>
      </c>
      <c r="AL110" s="213" t="n">
        <f aca="false">'SVC-5 Model'!AL121</f>
        <v>0</v>
      </c>
      <c r="AM110" s="213" t="n">
        <f aca="false">'SVC-5 Model'!AM121</f>
        <v>0</v>
      </c>
      <c r="AN110" s="213" t="n">
        <f aca="false">'SVC-5 Model'!AN121</f>
        <v>0.0125</v>
      </c>
      <c r="AO110" s="213" t="n">
        <f aca="false">'SVC-5 Model'!AO121</f>
        <v>0.0125</v>
      </c>
      <c r="AP110" s="213" t="n">
        <f aca="false">'SVC-5 Model'!AP121</f>
        <v>0.0125</v>
      </c>
      <c r="AQ110" s="215" t="n">
        <f aca="false">'SVC-5 Model'!AQ121</f>
        <v>0.0125</v>
      </c>
      <c r="AR110" s="216" t="n">
        <f aca="false">'SVC-5 Model'!AR121</f>
        <v>0.0125</v>
      </c>
      <c r="AS110" s="213" t="n">
        <f aca="false">'SVC-5 Model'!AS121</f>
        <v>0.0125</v>
      </c>
      <c r="AT110" s="213" t="n">
        <f aca="false">'SVC-5 Model'!AT121</f>
        <v>0.0125</v>
      </c>
      <c r="AU110" s="213" t="n">
        <f aca="false">'SVC-5 Model'!AU121</f>
        <v>0.0125</v>
      </c>
      <c r="AV110" s="213" t="n">
        <f aca="false">'SVC-5 Model'!AV121</f>
        <v>0.0125</v>
      </c>
      <c r="AW110" s="213" t="n">
        <f aca="false">'SVC-5 Model'!AW121</f>
        <v>0.0125</v>
      </c>
      <c r="AX110" s="213" t="n">
        <f aca="false">'SVC-5 Model'!AX121</f>
        <v>0.0125</v>
      </c>
      <c r="AY110" s="213" t="n">
        <f aca="false">'SVC-5 Model'!AY121</f>
        <v>0.0125</v>
      </c>
      <c r="AZ110" s="213" t="n">
        <f aca="false">'SVC-5 Model'!AZ121</f>
        <v>0.0125</v>
      </c>
      <c r="BA110" s="213" t="n">
        <f aca="false">'SVC-5 Model'!BA121</f>
        <v>0.0125</v>
      </c>
      <c r="BB110" s="213" t="n">
        <f aca="false">'SVC-5 Model'!BB121</f>
        <v>0.0125</v>
      </c>
      <c r="BC110" s="215" t="n">
        <f aca="false">'SVC-5 Model'!BC121</f>
        <v>0.0125</v>
      </c>
      <c r="BD110" s="216" t="n">
        <f aca="false">'SVC-5 Model'!BD121</f>
        <v>0.0125</v>
      </c>
      <c r="BE110" s="213" t="n">
        <f aca="false">'SVC-5 Model'!BE121</f>
        <v>0.0125</v>
      </c>
      <c r="BF110" s="213" t="n">
        <f aca="false">'SVC-5 Model'!BF121</f>
        <v>0.0125</v>
      </c>
      <c r="BG110" s="213" t="n">
        <f aca="false">'SVC-5 Model'!BG121</f>
        <v>0.0125</v>
      </c>
      <c r="BH110" s="213" t="n">
        <f aca="false">'SVC-5 Model'!BH121</f>
        <v>0.0125</v>
      </c>
      <c r="BI110" s="213" t="n">
        <f aca="false">'SVC-5 Model'!BI121</f>
        <v>0.0125</v>
      </c>
      <c r="BJ110" s="213" t="n">
        <f aca="false">'SVC-5 Model'!BJ121</f>
        <v>0.0125</v>
      </c>
      <c r="BK110" s="213" t="n">
        <f aca="false">'SVC-5 Model'!BK121</f>
        <v>0.0125</v>
      </c>
      <c r="BL110" s="213" t="n">
        <f aca="false">'SVC-5 Model'!BL121</f>
        <v>0.0125</v>
      </c>
      <c r="BM110" s="213" t="n">
        <f aca="false">'SVC-5 Model'!BM121</f>
        <v>0.0125</v>
      </c>
      <c r="BN110" s="213" t="n">
        <f aca="false">'SVC-5 Model'!BN121</f>
        <v>0.0125</v>
      </c>
      <c r="BO110" s="215" t="n">
        <f aca="false">'SVC-5 Model'!BO121</f>
        <v>0.0125</v>
      </c>
      <c r="BP110" s="216" t="n">
        <f aca="false">'SVC-5 Model'!BP121</f>
        <v>0.0125</v>
      </c>
      <c r="BQ110" s="213" t="n">
        <f aca="false">'SVC-5 Model'!BQ121</f>
        <v>0.0125</v>
      </c>
      <c r="BR110" s="213" t="n">
        <f aca="false">'SVC-5 Model'!BR121</f>
        <v>0.0125</v>
      </c>
      <c r="BS110" s="213" t="n">
        <f aca="false">'SVC-5 Model'!BS121</f>
        <v>0.0125</v>
      </c>
      <c r="BT110" s="213" t="n">
        <f aca="false">'SVC-5 Model'!BT121</f>
        <v>0.0125</v>
      </c>
      <c r="BU110" s="213" t="n">
        <f aca="false">'SVC-5 Model'!BU121</f>
        <v>0.0125</v>
      </c>
      <c r="BV110" s="213" t="n">
        <f aca="false">'SVC-5 Model'!BV121</f>
        <v>0.0125</v>
      </c>
      <c r="BW110" s="213" t="n">
        <f aca="false">'SVC-5 Model'!BW121</f>
        <v>0.0125</v>
      </c>
      <c r="BX110" s="213" t="n">
        <f aca="false">'SVC-5 Model'!BX121</f>
        <v>0.0125</v>
      </c>
      <c r="BY110" s="213" t="n">
        <f aca="false">'SVC-5 Model'!BY121</f>
        <v>0.0125</v>
      </c>
      <c r="BZ110" s="213" t="n">
        <f aca="false">'SVC-5 Model'!BZ121</f>
        <v>0.0125</v>
      </c>
      <c r="CA110" s="226" t="n">
        <f aca="false">'SVC-5 Model'!CA121</f>
        <v>0.0125</v>
      </c>
      <c r="CC110" s="79" t="n">
        <f aca="false">SUMIFS($T110:$CA110, $T$1:$CA$1, CC$63)</f>
        <v>0</v>
      </c>
      <c r="CD110" s="79" t="n">
        <f aca="false">SUMIFS($T110:$CA110, $T$1:$CA$1, CD$63)</f>
        <v>0.05</v>
      </c>
      <c r="CE110" s="79" t="n">
        <f aca="false">SUMIFS($T110:$CA110, $T$1:$CA$1, CE$63)</f>
        <v>0.15</v>
      </c>
      <c r="CF110" s="79" t="n">
        <f aca="false">SUMIFS($T110:$CA110, $T$1:$CA$1, CF$63)</f>
        <v>0.15</v>
      </c>
      <c r="CG110" s="79" t="n">
        <f aca="false">SUMIFS($T110:$CA110, $T$1:$CA$1, CG$63)</f>
        <v>0.15</v>
      </c>
      <c r="CI110" s="79" t="n">
        <f aca="false">CC110=L110</f>
        <v>1</v>
      </c>
      <c r="CJ110" s="79" t="n">
        <f aca="false">CD110=M110</f>
        <v>1</v>
      </c>
      <c r="CK110" s="79" t="n">
        <f aca="false">CE110=N110</f>
        <v>1</v>
      </c>
      <c r="CL110" s="79" t="n">
        <f aca="false">CF110=O110</f>
        <v>1</v>
      </c>
      <c r="CM110" s="79" t="n">
        <f aca="false">CG110=P110</f>
        <v>1</v>
      </c>
    </row>
    <row r="111" s="14" customFormat="true" ht="16.5" hidden="false" customHeight="true" outlineLevel="0" collapsed="false">
      <c r="E111" s="91" t="s">
        <v>391</v>
      </c>
      <c r="H111" s="29" t="s">
        <v>390</v>
      </c>
      <c r="I111" s="91" t="n">
        <v>0</v>
      </c>
      <c r="J111" s="213" t="n">
        <f aca="false">I111+'SVC-5 Model'!$K$122</f>
        <v>0.08</v>
      </c>
      <c r="K111" s="214" t="n">
        <f aca="false">'SVC-5 Model'!$K$122</f>
        <v>0.08</v>
      </c>
      <c r="L111" s="213" t="n">
        <f aca="false">'SVC-5 Model'!L122</f>
        <v>0</v>
      </c>
      <c r="M111" s="213" t="n">
        <f aca="false">'SVC-5 Model'!M122</f>
        <v>0.0266666666666667</v>
      </c>
      <c r="N111" s="213" t="n">
        <f aca="false">'SVC-5 Model'!N122</f>
        <v>0.08</v>
      </c>
      <c r="O111" s="213" t="n">
        <f aca="false">'SVC-5 Model'!O122</f>
        <v>0.08</v>
      </c>
      <c r="P111" s="213" t="n">
        <f aca="false">'SVC-5 Model'!P122</f>
        <v>0.08</v>
      </c>
      <c r="Q111" s="93" t="s">
        <v>266</v>
      </c>
      <c r="R111" s="16" t="str">
        <f aca="false">IF(K111=P111, "", "Error")</f>
        <v/>
      </c>
      <c r="T111" s="213" t="n">
        <f aca="false">'SVC-5 Model'!T122</f>
        <v>0</v>
      </c>
      <c r="U111" s="213" t="n">
        <f aca="false">'SVC-5 Model'!U122</f>
        <v>0</v>
      </c>
      <c r="V111" s="213" t="n">
        <f aca="false">'SVC-5 Model'!V122</f>
        <v>0</v>
      </c>
      <c r="W111" s="213" t="n">
        <f aca="false">'SVC-5 Model'!W122</f>
        <v>0</v>
      </c>
      <c r="X111" s="213" t="n">
        <f aca="false">'SVC-5 Model'!X122</f>
        <v>0</v>
      </c>
      <c r="Y111" s="213" t="n">
        <f aca="false">'SVC-5 Model'!Y122</f>
        <v>0</v>
      </c>
      <c r="Z111" s="213" t="n">
        <f aca="false">'SVC-5 Model'!Z122</f>
        <v>0</v>
      </c>
      <c r="AA111" s="213" t="n">
        <f aca="false">'SVC-5 Model'!AA122</f>
        <v>0</v>
      </c>
      <c r="AB111" s="213" t="n">
        <f aca="false">'SVC-5 Model'!AB122</f>
        <v>0</v>
      </c>
      <c r="AC111" s="213" t="n">
        <f aca="false">'SVC-5 Model'!AC122</f>
        <v>0</v>
      </c>
      <c r="AD111" s="213" t="n">
        <f aca="false">'SVC-5 Model'!AD122</f>
        <v>0</v>
      </c>
      <c r="AE111" s="215" t="n">
        <f aca="false">'SVC-5 Model'!AE122</f>
        <v>0</v>
      </c>
      <c r="AF111" s="216" t="n">
        <f aca="false">'SVC-5 Model'!AF122</f>
        <v>0</v>
      </c>
      <c r="AG111" s="213" t="n">
        <f aca="false">'SVC-5 Model'!AG122</f>
        <v>0</v>
      </c>
      <c r="AH111" s="213" t="n">
        <f aca="false">'SVC-5 Model'!AH122</f>
        <v>0</v>
      </c>
      <c r="AI111" s="213" t="n">
        <f aca="false">'SVC-5 Model'!AI122</f>
        <v>0</v>
      </c>
      <c r="AJ111" s="213" t="n">
        <f aca="false">'SVC-5 Model'!AJ122</f>
        <v>0</v>
      </c>
      <c r="AK111" s="213" t="n">
        <f aca="false">'SVC-5 Model'!AK122</f>
        <v>0</v>
      </c>
      <c r="AL111" s="213" t="n">
        <f aca="false">'SVC-5 Model'!AL122</f>
        <v>0</v>
      </c>
      <c r="AM111" s="213" t="n">
        <f aca="false">'SVC-5 Model'!AM122</f>
        <v>0</v>
      </c>
      <c r="AN111" s="213" t="n">
        <f aca="false">'SVC-5 Model'!AN122</f>
        <v>0.00666666666666667</v>
      </c>
      <c r="AO111" s="213" t="n">
        <f aca="false">'SVC-5 Model'!AO122</f>
        <v>0.00666666666666667</v>
      </c>
      <c r="AP111" s="213" t="n">
        <f aca="false">'SVC-5 Model'!AP122</f>
        <v>0.00666666666666667</v>
      </c>
      <c r="AQ111" s="215" t="n">
        <f aca="false">'SVC-5 Model'!AQ122</f>
        <v>0.00666666666666667</v>
      </c>
      <c r="AR111" s="216" t="n">
        <f aca="false">'SVC-5 Model'!AR122</f>
        <v>0.00666666666666667</v>
      </c>
      <c r="AS111" s="213" t="n">
        <f aca="false">'SVC-5 Model'!AS122</f>
        <v>0.00666666666666667</v>
      </c>
      <c r="AT111" s="213" t="n">
        <f aca="false">'SVC-5 Model'!AT122</f>
        <v>0.00666666666666667</v>
      </c>
      <c r="AU111" s="213" t="n">
        <f aca="false">'SVC-5 Model'!AU122</f>
        <v>0.00666666666666667</v>
      </c>
      <c r="AV111" s="213" t="n">
        <f aca="false">'SVC-5 Model'!AV122</f>
        <v>0.00666666666666667</v>
      </c>
      <c r="AW111" s="213" t="n">
        <f aca="false">'SVC-5 Model'!AW122</f>
        <v>0.00666666666666667</v>
      </c>
      <c r="AX111" s="213" t="n">
        <f aca="false">'SVC-5 Model'!AX122</f>
        <v>0.00666666666666667</v>
      </c>
      <c r="AY111" s="213" t="n">
        <f aca="false">'SVC-5 Model'!AY122</f>
        <v>0.00666666666666667</v>
      </c>
      <c r="AZ111" s="213" t="n">
        <f aca="false">'SVC-5 Model'!AZ122</f>
        <v>0.00666666666666667</v>
      </c>
      <c r="BA111" s="213" t="n">
        <f aca="false">'SVC-5 Model'!BA122</f>
        <v>0.00666666666666667</v>
      </c>
      <c r="BB111" s="213" t="n">
        <f aca="false">'SVC-5 Model'!BB122</f>
        <v>0.00666666666666667</v>
      </c>
      <c r="BC111" s="215" t="n">
        <f aca="false">'SVC-5 Model'!BC122</f>
        <v>0.00666666666666667</v>
      </c>
      <c r="BD111" s="216" t="n">
        <f aca="false">'SVC-5 Model'!BD122</f>
        <v>0.00666666666666667</v>
      </c>
      <c r="BE111" s="213" t="n">
        <f aca="false">'SVC-5 Model'!BE122</f>
        <v>0.00666666666666667</v>
      </c>
      <c r="BF111" s="213" t="n">
        <f aca="false">'SVC-5 Model'!BF122</f>
        <v>0.00666666666666667</v>
      </c>
      <c r="BG111" s="213" t="n">
        <f aca="false">'SVC-5 Model'!BG122</f>
        <v>0.00666666666666667</v>
      </c>
      <c r="BH111" s="213" t="n">
        <f aca="false">'SVC-5 Model'!BH122</f>
        <v>0.00666666666666667</v>
      </c>
      <c r="BI111" s="213" t="n">
        <f aca="false">'SVC-5 Model'!BI122</f>
        <v>0.00666666666666667</v>
      </c>
      <c r="BJ111" s="213" t="n">
        <f aca="false">'SVC-5 Model'!BJ122</f>
        <v>0.00666666666666667</v>
      </c>
      <c r="BK111" s="213" t="n">
        <f aca="false">'SVC-5 Model'!BK122</f>
        <v>0.00666666666666667</v>
      </c>
      <c r="BL111" s="213" t="n">
        <f aca="false">'SVC-5 Model'!BL122</f>
        <v>0.00666666666666667</v>
      </c>
      <c r="BM111" s="213" t="n">
        <f aca="false">'SVC-5 Model'!BM122</f>
        <v>0.00666666666666667</v>
      </c>
      <c r="BN111" s="213" t="n">
        <f aca="false">'SVC-5 Model'!BN122</f>
        <v>0.00666666666666667</v>
      </c>
      <c r="BO111" s="215" t="n">
        <f aca="false">'SVC-5 Model'!BO122</f>
        <v>0.00666666666666667</v>
      </c>
      <c r="BP111" s="216" t="n">
        <f aca="false">'SVC-5 Model'!BP122</f>
        <v>0.00666666666666667</v>
      </c>
      <c r="BQ111" s="213" t="n">
        <f aca="false">'SVC-5 Model'!BQ122</f>
        <v>0.00666666666666667</v>
      </c>
      <c r="BR111" s="213" t="n">
        <f aca="false">'SVC-5 Model'!BR122</f>
        <v>0.00666666666666667</v>
      </c>
      <c r="BS111" s="213" t="n">
        <f aca="false">'SVC-5 Model'!BS122</f>
        <v>0.00666666666666667</v>
      </c>
      <c r="BT111" s="213" t="n">
        <f aca="false">'SVC-5 Model'!BT122</f>
        <v>0.00666666666666667</v>
      </c>
      <c r="BU111" s="213" t="n">
        <f aca="false">'SVC-5 Model'!BU122</f>
        <v>0.00666666666666667</v>
      </c>
      <c r="BV111" s="213" t="n">
        <f aca="false">'SVC-5 Model'!BV122</f>
        <v>0.00666666666666667</v>
      </c>
      <c r="BW111" s="213" t="n">
        <f aca="false">'SVC-5 Model'!BW122</f>
        <v>0.00666666666666667</v>
      </c>
      <c r="BX111" s="213" t="n">
        <f aca="false">'SVC-5 Model'!BX122</f>
        <v>0.00666666666666667</v>
      </c>
      <c r="BY111" s="213" t="n">
        <f aca="false">'SVC-5 Model'!BY122</f>
        <v>0.00666666666666667</v>
      </c>
      <c r="BZ111" s="213" t="n">
        <f aca="false">'SVC-5 Model'!BZ122</f>
        <v>0.00666666666666667</v>
      </c>
      <c r="CA111" s="226" t="n">
        <f aca="false">'SVC-5 Model'!CA122</f>
        <v>0.00666666666666667</v>
      </c>
      <c r="CC111" s="79" t="n">
        <f aca="false">SUMIFS($T111:$CA111, $T$1:$CA$1, CC$63)</f>
        <v>0</v>
      </c>
      <c r="CD111" s="79" t="n">
        <f aca="false">SUMIFS($T111:$CA111, $T$1:$CA$1, CD$63)</f>
        <v>0.0266666666666667</v>
      </c>
      <c r="CE111" s="79" t="n">
        <f aca="false">SUMIFS($T111:$CA111, $T$1:$CA$1, CE$63)</f>
        <v>0.08</v>
      </c>
      <c r="CF111" s="79" t="n">
        <f aca="false">SUMIFS($T111:$CA111, $T$1:$CA$1, CF$63)</f>
        <v>0.08</v>
      </c>
      <c r="CG111" s="79" t="n">
        <f aca="false">SUMIFS($T111:$CA111, $T$1:$CA$1, CG$63)</f>
        <v>0.08</v>
      </c>
      <c r="CI111" s="79" t="n">
        <f aca="false">CC111=L111</f>
        <v>1</v>
      </c>
      <c r="CJ111" s="79" t="n">
        <f aca="false">CD111=M111</f>
        <v>1</v>
      </c>
      <c r="CK111" s="79" t="n">
        <f aca="false">CE111=N111</f>
        <v>1</v>
      </c>
      <c r="CL111" s="79" t="n">
        <f aca="false">CF111=O111</f>
        <v>1</v>
      </c>
      <c r="CM111" s="79" t="n">
        <f aca="false">CG111=P111</f>
        <v>1</v>
      </c>
    </row>
    <row r="112" s="14" customFormat="true" ht="16.5" hidden="false" customHeight="true" outlineLevel="0" collapsed="false">
      <c r="E112" s="96" t="s">
        <v>143</v>
      </c>
      <c r="H112" s="29"/>
      <c r="I112" s="82" t="n">
        <f aca="false">SUM(I107:I111)</f>
        <v>0</v>
      </c>
      <c r="J112" s="82" t="n">
        <f aca="false">SUM(J107:J111)</f>
        <v>1.28</v>
      </c>
      <c r="K112" s="82" t="n">
        <f aca="false">SUM(K107:K111)</f>
        <v>1.28</v>
      </c>
      <c r="L112" s="82" t="n">
        <f aca="false">SUM(L107:L111)</f>
        <v>0</v>
      </c>
      <c r="M112" s="82" t="n">
        <f aca="false">SUM(M107:M111)</f>
        <v>0.326666666666667</v>
      </c>
      <c r="N112" s="82" t="n">
        <f aca="false">SUM(N107:N111)</f>
        <v>1.24666666666667</v>
      </c>
      <c r="O112" s="82" t="n">
        <f aca="false">SUM(O107:O111)</f>
        <v>1.28</v>
      </c>
      <c r="P112" s="82" t="n">
        <f aca="false">SUM(P107:P111)</f>
        <v>1.28</v>
      </c>
      <c r="Q112" s="16"/>
      <c r="R112" s="16"/>
      <c r="T112" s="82" t="n">
        <f aca="false">SUM(T107:T111)</f>
        <v>0</v>
      </c>
      <c r="U112" s="82" t="n">
        <f aca="false">SUM(U107:U111)</f>
        <v>0</v>
      </c>
      <c r="V112" s="82" t="n">
        <f aca="false">SUM(V107:V111)</f>
        <v>0</v>
      </c>
      <c r="W112" s="82" t="n">
        <f aca="false">SUM(W107:W111)</f>
        <v>0</v>
      </c>
      <c r="X112" s="82" t="n">
        <f aca="false">SUM(X107:X111)</f>
        <v>0</v>
      </c>
      <c r="Y112" s="82" t="n">
        <f aca="false">SUM(Y107:Y111)</f>
        <v>0</v>
      </c>
      <c r="Z112" s="82" t="n">
        <f aca="false">SUM(Z107:Z111)</f>
        <v>0</v>
      </c>
      <c r="AA112" s="82" t="n">
        <f aca="false">SUM(AA107:AA111)</f>
        <v>0</v>
      </c>
      <c r="AB112" s="82" t="n">
        <f aca="false">SUM(AB107:AB111)</f>
        <v>0</v>
      </c>
      <c r="AC112" s="82" t="n">
        <f aca="false">SUM(AC107:AC111)</f>
        <v>0</v>
      </c>
      <c r="AD112" s="82" t="n">
        <f aca="false">SUM(AD107:AD111)</f>
        <v>0</v>
      </c>
      <c r="AE112" s="82" t="n">
        <f aca="false">SUM(AE107:AE111)</f>
        <v>0</v>
      </c>
      <c r="AF112" s="83" t="n">
        <f aca="false">SUM(AF107:AF111)</f>
        <v>0</v>
      </c>
      <c r="AG112" s="82" t="n">
        <f aca="false">SUM(AG107:AG111)</f>
        <v>0</v>
      </c>
      <c r="AH112" s="82" t="n">
        <f aca="false">SUM(AH107:AH111)</f>
        <v>0</v>
      </c>
      <c r="AI112" s="82" t="n">
        <f aca="false">SUM(AI107:AI111)</f>
        <v>0</v>
      </c>
      <c r="AJ112" s="82" t="n">
        <f aca="false">SUM(AJ107:AJ111)</f>
        <v>0</v>
      </c>
      <c r="AK112" s="82" t="n">
        <f aca="false">SUM(AK107:AK111)</f>
        <v>0</v>
      </c>
      <c r="AL112" s="82" t="n">
        <f aca="false">SUM(AL107:AL111)</f>
        <v>0</v>
      </c>
      <c r="AM112" s="82" t="n">
        <f aca="false">SUM(AM107:AM111)</f>
        <v>0</v>
      </c>
      <c r="AN112" s="82" t="n">
        <f aca="false">SUM(AN107:AN111)</f>
        <v>0.0754166666666667</v>
      </c>
      <c r="AO112" s="82" t="n">
        <f aca="false">SUM(AO107:AO111)</f>
        <v>0.0795833333333333</v>
      </c>
      <c r="AP112" s="82" t="n">
        <f aca="false">SUM(AP107:AP111)</f>
        <v>0.08375</v>
      </c>
      <c r="AQ112" s="82" t="n">
        <f aca="false">SUM(AQ107:AQ111)</f>
        <v>0.0879166666666667</v>
      </c>
      <c r="AR112" s="83" t="n">
        <f aca="false">SUM(AR107:AR111)</f>
        <v>0.0920833333333333</v>
      </c>
      <c r="AS112" s="82" t="n">
        <f aca="false">SUM(AS107:AS111)</f>
        <v>0.09625</v>
      </c>
      <c r="AT112" s="82" t="n">
        <f aca="false">SUM(AT107:AT111)</f>
        <v>0.100416666666667</v>
      </c>
      <c r="AU112" s="82" t="n">
        <f aca="false">SUM(AU107:AU111)</f>
        <v>0.104583333333333</v>
      </c>
      <c r="AV112" s="82" t="n">
        <f aca="false">SUM(AV107:AV111)</f>
        <v>0.106666666666667</v>
      </c>
      <c r="AW112" s="82" t="n">
        <f aca="false">SUM(AW107:AW111)</f>
        <v>0.106666666666667</v>
      </c>
      <c r="AX112" s="82" t="n">
        <f aca="false">SUM(AX107:AX111)</f>
        <v>0.106666666666667</v>
      </c>
      <c r="AY112" s="82" t="n">
        <f aca="false">SUM(AY107:AY111)</f>
        <v>0.106666666666667</v>
      </c>
      <c r="AZ112" s="82" t="n">
        <f aca="false">SUM(AZ107:AZ111)</f>
        <v>0.106666666666667</v>
      </c>
      <c r="BA112" s="82" t="n">
        <f aca="false">SUM(BA107:BA111)</f>
        <v>0.106666666666667</v>
      </c>
      <c r="BB112" s="82" t="n">
        <f aca="false">SUM(BB107:BB111)</f>
        <v>0.106666666666667</v>
      </c>
      <c r="BC112" s="82" t="n">
        <f aca="false">SUM(BC107:BC111)</f>
        <v>0.106666666666667</v>
      </c>
      <c r="BD112" s="83" t="n">
        <f aca="false">SUM(BD107:BD111)</f>
        <v>0.106666666666667</v>
      </c>
      <c r="BE112" s="82" t="n">
        <f aca="false">SUM(BE107:BE111)</f>
        <v>0.106666666666667</v>
      </c>
      <c r="BF112" s="82" t="n">
        <f aca="false">SUM(BF107:BF111)</f>
        <v>0.106666666666667</v>
      </c>
      <c r="BG112" s="82" t="n">
        <f aca="false">SUM(BG107:BG111)</f>
        <v>0.106666666666667</v>
      </c>
      <c r="BH112" s="82" t="n">
        <f aca="false">SUM(BH107:BH111)</f>
        <v>0.106666666666667</v>
      </c>
      <c r="BI112" s="82" t="n">
        <f aca="false">SUM(BI107:BI111)</f>
        <v>0.106666666666667</v>
      </c>
      <c r="BJ112" s="82" t="n">
        <f aca="false">SUM(BJ107:BJ111)</f>
        <v>0.106666666666667</v>
      </c>
      <c r="BK112" s="82" t="n">
        <f aca="false">SUM(BK107:BK111)</f>
        <v>0.106666666666667</v>
      </c>
      <c r="BL112" s="82" t="n">
        <f aca="false">SUM(BL107:BL111)</f>
        <v>0.106666666666667</v>
      </c>
      <c r="BM112" s="82" t="n">
        <f aca="false">SUM(BM107:BM111)</f>
        <v>0.106666666666667</v>
      </c>
      <c r="BN112" s="82" t="n">
        <f aca="false">SUM(BN107:BN111)</f>
        <v>0.106666666666667</v>
      </c>
      <c r="BO112" s="82" t="n">
        <f aca="false">SUM(BO107:BO111)</f>
        <v>0.106666666666667</v>
      </c>
      <c r="BP112" s="83" t="n">
        <f aca="false">SUM(BP107:BP111)</f>
        <v>0.106666666666667</v>
      </c>
      <c r="BQ112" s="82" t="n">
        <f aca="false">SUM(BQ107:BQ111)</f>
        <v>0.106666666666667</v>
      </c>
      <c r="BR112" s="82" t="n">
        <f aca="false">SUM(BR107:BR111)</f>
        <v>0.106666666666667</v>
      </c>
      <c r="BS112" s="82" t="n">
        <f aca="false">SUM(BS107:BS111)</f>
        <v>0.106666666666667</v>
      </c>
      <c r="BT112" s="82" t="n">
        <f aca="false">SUM(BT107:BT111)</f>
        <v>0.106666666666667</v>
      </c>
      <c r="BU112" s="82" t="n">
        <f aca="false">SUM(BU107:BU111)</f>
        <v>0.106666666666667</v>
      </c>
      <c r="BV112" s="82" t="n">
        <f aca="false">SUM(BV107:BV111)</f>
        <v>0.106666666666667</v>
      </c>
      <c r="BW112" s="82" t="n">
        <f aca="false">SUM(BW107:BW111)</f>
        <v>0.106666666666667</v>
      </c>
      <c r="BX112" s="82" t="n">
        <f aca="false">SUM(BX107:BX111)</f>
        <v>0.106666666666667</v>
      </c>
      <c r="BY112" s="82" t="n">
        <f aca="false">SUM(BY107:BY111)</f>
        <v>0.106666666666667</v>
      </c>
      <c r="BZ112" s="82" t="n">
        <f aca="false">SUM(BZ107:BZ111)</f>
        <v>0.106666666666667</v>
      </c>
      <c r="CA112" s="84" t="n">
        <f aca="false">SUM(CA107:CA111)</f>
        <v>0.106666666666667</v>
      </c>
      <c r="CC112" s="84" t="n">
        <f aca="false">SUM(CC107:CC111)</f>
        <v>0</v>
      </c>
      <c r="CD112" s="84" t="n">
        <f aca="false">SUM(CD107:CD111)</f>
        <v>0.326666666666667</v>
      </c>
      <c r="CE112" s="84" t="n">
        <f aca="false">SUM(CE107:CE111)</f>
        <v>1.24666666666667</v>
      </c>
      <c r="CF112" s="84" t="n">
        <f aca="false">SUM(CF107:CF111)</f>
        <v>1.28</v>
      </c>
      <c r="CG112" s="84" t="n">
        <f aca="false">SUM(CG107:CG111)</f>
        <v>1.28</v>
      </c>
      <c r="CI112" s="84" t="n">
        <f aca="false">CC112=L112</f>
        <v>1</v>
      </c>
      <c r="CJ112" s="84" t="n">
        <f aca="false">CD112=M112</f>
        <v>1</v>
      </c>
      <c r="CK112" s="84" t="n">
        <f aca="false">CE112=N112</f>
        <v>1</v>
      </c>
      <c r="CL112" s="84" t="n">
        <f aca="false">CF112=O112</f>
        <v>1</v>
      </c>
      <c r="CM112" s="84" t="n">
        <f aca="false">CG112=P112</f>
        <v>1</v>
      </c>
    </row>
    <row r="113" s="14" customFormat="true" ht="16.5" hidden="false" customHeight="true" outlineLevel="0" collapsed="false">
      <c r="E113" s="96"/>
      <c r="H113" s="29"/>
      <c r="I113" s="105"/>
      <c r="J113" s="105"/>
      <c r="K113" s="105"/>
      <c r="L113" s="105"/>
      <c r="M113" s="105"/>
      <c r="N113" s="105"/>
      <c r="O113" s="105"/>
      <c r="P113" s="105"/>
      <c r="Q113" s="16"/>
      <c r="R113" s="16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3"/>
      <c r="AG113" s="82"/>
      <c r="AH113" s="82"/>
      <c r="AI113" s="82"/>
      <c r="AJ113" s="82"/>
      <c r="AK113" s="82"/>
      <c r="AL113" s="82"/>
      <c r="AM113" s="82"/>
      <c r="AN113" s="82"/>
      <c r="AO113" s="82"/>
      <c r="AP113" s="82"/>
      <c r="AQ113" s="82"/>
      <c r="AR113" s="83"/>
      <c r="AS113" s="82"/>
      <c r="AT113" s="82"/>
      <c r="AU113" s="82"/>
      <c r="AV113" s="82"/>
      <c r="AW113" s="82"/>
      <c r="AX113" s="82"/>
      <c r="AY113" s="82"/>
      <c r="AZ113" s="82"/>
      <c r="BA113" s="82"/>
      <c r="BB113" s="82"/>
      <c r="BC113" s="82"/>
      <c r="BD113" s="83"/>
      <c r="BE113" s="82"/>
      <c r="BF113" s="82"/>
      <c r="BG113" s="82"/>
      <c r="BH113" s="82"/>
      <c r="BI113" s="82"/>
      <c r="BJ113" s="82"/>
      <c r="BK113" s="82"/>
      <c r="BL113" s="82"/>
      <c r="BM113" s="82"/>
      <c r="BN113" s="82"/>
      <c r="BO113" s="82"/>
      <c r="BP113" s="83"/>
      <c r="BQ113" s="82"/>
      <c r="BR113" s="82"/>
      <c r="BS113" s="82"/>
      <c r="BT113" s="82"/>
      <c r="BU113" s="82"/>
      <c r="BV113" s="82"/>
      <c r="BW113" s="82"/>
      <c r="BX113" s="82"/>
      <c r="BY113" s="82"/>
      <c r="BZ113" s="82"/>
      <c r="CA113" s="84"/>
      <c r="CC113" s="84"/>
      <c r="CD113" s="84"/>
      <c r="CE113" s="84"/>
      <c r="CF113" s="84"/>
      <c r="CG113" s="84"/>
      <c r="CI113" s="84"/>
      <c r="CJ113" s="84"/>
      <c r="CK113" s="84"/>
      <c r="CL113" s="84"/>
      <c r="CM113" s="84"/>
    </row>
    <row r="114" s="14" customFormat="true" ht="16.5" hidden="false" customHeight="true" outlineLevel="0" collapsed="false">
      <c r="E114" s="85"/>
      <c r="I114" s="104"/>
      <c r="J114" s="104"/>
      <c r="K114" s="104"/>
      <c r="L114" s="104"/>
      <c r="M114" s="104"/>
      <c r="N114" s="104"/>
      <c r="O114" s="104"/>
      <c r="P114" s="104"/>
      <c r="Q114" s="16"/>
      <c r="R114" s="16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9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  <c r="AQ114" s="88"/>
      <c r="AR114" s="89"/>
      <c r="AS114" s="88"/>
      <c r="AT114" s="88"/>
      <c r="AU114" s="88"/>
      <c r="AV114" s="88"/>
      <c r="AW114" s="88"/>
      <c r="AX114" s="88"/>
      <c r="AY114" s="88"/>
      <c r="AZ114" s="88"/>
      <c r="BA114" s="88"/>
      <c r="BB114" s="88"/>
      <c r="BC114" s="88"/>
      <c r="BD114" s="89"/>
      <c r="BE114" s="88"/>
      <c r="BF114" s="88"/>
      <c r="BG114" s="88"/>
      <c r="BH114" s="88"/>
      <c r="BI114" s="88"/>
      <c r="BJ114" s="88"/>
      <c r="BK114" s="88"/>
      <c r="BL114" s="88"/>
      <c r="BM114" s="88"/>
      <c r="BN114" s="88"/>
      <c r="BO114" s="88"/>
      <c r="BP114" s="89"/>
      <c r="BQ114" s="88"/>
      <c r="BR114" s="88"/>
      <c r="BS114" s="88"/>
      <c r="BT114" s="88"/>
      <c r="BU114" s="88"/>
      <c r="BV114" s="88"/>
      <c r="BW114" s="88"/>
      <c r="BX114" s="88"/>
      <c r="BY114" s="88"/>
      <c r="BZ114" s="88"/>
      <c r="CA114" s="90"/>
      <c r="CC114" s="90"/>
      <c r="CD114" s="90"/>
      <c r="CE114" s="90"/>
      <c r="CF114" s="90"/>
      <c r="CG114" s="90"/>
      <c r="CI114" s="90"/>
      <c r="CJ114" s="90"/>
      <c r="CK114" s="90"/>
      <c r="CL114" s="90"/>
      <c r="CM114" s="90"/>
    </row>
    <row r="115" s="14" customFormat="true" ht="16.5" hidden="false" customHeight="true" outlineLevel="0" collapsed="false">
      <c r="E115" s="109" t="s">
        <v>150</v>
      </c>
      <c r="F115" s="109"/>
      <c r="G115" s="109"/>
      <c r="H115" s="109"/>
      <c r="I115" s="220" t="n">
        <f aca="false">SUM(-I96, I104, I112)</f>
        <v>0</v>
      </c>
      <c r="J115" s="220" t="n">
        <f aca="false">SUM(-J96, J104, J112)</f>
        <v>1.28</v>
      </c>
      <c r="K115" s="220" t="n">
        <f aca="false">SUM(-K96, K104, K112)</f>
        <v>1.28</v>
      </c>
      <c r="L115" s="220" t="n">
        <f aca="false">SUM(-L96, L104, L112)</f>
        <v>0</v>
      </c>
      <c r="M115" s="220" t="n">
        <f aca="false">SUM(-M96, M104, M112)</f>
        <v>0.326666666666667</v>
      </c>
      <c r="N115" s="220" t="n">
        <f aca="false">SUM(-N96, N104, N112)</f>
        <v>1.24666666666667</v>
      </c>
      <c r="O115" s="220" t="n">
        <f aca="false">SUM(-O96, O104, O112)</f>
        <v>1.28</v>
      </c>
      <c r="P115" s="220" t="n">
        <f aca="false">SUM(-P96, P104, P112)</f>
        <v>1.28</v>
      </c>
      <c r="Q115" s="16"/>
      <c r="R115" s="16"/>
      <c r="T115" s="120" t="n">
        <f aca="false">SUM(-T96, T104, T112)</f>
        <v>0</v>
      </c>
      <c r="U115" s="120" t="n">
        <f aca="false">SUM(-U96, U104, U112)</f>
        <v>0</v>
      </c>
      <c r="V115" s="120" t="n">
        <f aca="false">SUM(-V96, V104, V112)</f>
        <v>0</v>
      </c>
      <c r="W115" s="120" t="n">
        <f aca="false">SUM(-W96, W104, W112)</f>
        <v>0</v>
      </c>
      <c r="X115" s="120" t="n">
        <f aca="false">SUM(-X96, X104, X112)</f>
        <v>0</v>
      </c>
      <c r="Y115" s="120" t="n">
        <f aca="false">SUM(-Y96, Y104, Y112)</f>
        <v>0</v>
      </c>
      <c r="Z115" s="120" t="n">
        <f aca="false">SUM(-Z96, Z104, Z112)</f>
        <v>0</v>
      </c>
      <c r="AA115" s="120" t="n">
        <f aca="false">SUM(-AA96, AA104, AA112)</f>
        <v>0</v>
      </c>
      <c r="AB115" s="120" t="n">
        <f aca="false">SUM(-AB96, AB104, AB112)</f>
        <v>0</v>
      </c>
      <c r="AC115" s="120" t="n">
        <f aca="false">SUM(-AC96, AC104, AC112)</f>
        <v>0</v>
      </c>
      <c r="AD115" s="120" t="n">
        <f aca="false">SUM(-AD96, AD104, AD112)</f>
        <v>0</v>
      </c>
      <c r="AE115" s="120" t="n">
        <f aca="false">SUM(-AE96, AE104, AE112)</f>
        <v>0</v>
      </c>
      <c r="AF115" s="120" t="n">
        <f aca="false">SUM(-AF96, AF104, AF112)</f>
        <v>0</v>
      </c>
      <c r="AG115" s="120" t="n">
        <f aca="false">SUM(-AG96, AG104, AG112)</f>
        <v>0</v>
      </c>
      <c r="AH115" s="120" t="n">
        <f aca="false">SUM(-AH96, AH104, AH112)</f>
        <v>0</v>
      </c>
      <c r="AI115" s="120" t="n">
        <f aca="false">SUM(-AI96, AI104, AI112)</f>
        <v>0</v>
      </c>
      <c r="AJ115" s="120" t="n">
        <f aca="false">SUM(-AJ96, AJ104, AJ112)</f>
        <v>0</v>
      </c>
      <c r="AK115" s="120" t="n">
        <f aca="false">SUM(-AK96, AK104, AK112)</f>
        <v>0</v>
      </c>
      <c r="AL115" s="120" t="n">
        <f aca="false">SUM(-AL96, AL104, AL112)</f>
        <v>0</v>
      </c>
      <c r="AM115" s="120" t="n">
        <f aca="false">SUM(-AM96, AM104, AM112)</f>
        <v>0</v>
      </c>
      <c r="AN115" s="120" t="n">
        <f aca="false">SUM(-AN96, AN104, AN112)</f>
        <v>0.0754166666666667</v>
      </c>
      <c r="AO115" s="120" t="n">
        <f aca="false">SUM(-AO96, AO104, AO112)</f>
        <v>0.0795833333333333</v>
      </c>
      <c r="AP115" s="120" t="n">
        <f aca="false">SUM(-AP96, AP104, AP112)</f>
        <v>0.08375</v>
      </c>
      <c r="AQ115" s="120" t="n">
        <f aca="false">SUM(-AQ96, AQ104, AQ112)</f>
        <v>0.0879166666666667</v>
      </c>
      <c r="AR115" s="120" t="n">
        <f aca="false">SUM(-AR96, AR104, AR112)</f>
        <v>0.0920833333333333</v>
      </c>
      <c r="AS115" s="120" t="n">
        <f aca="false">SUM(-AS96, AS104, AS112)</f>
        <v>0.09625</v>
      </c>
      <c r="AT115" s="120" t="n">
        <f aca="false">SUM(-AT96, AT104, AT112)</f>
        <v>0.100416666666667</v>
      </c>
      <c r="AU115" s="120" t="n">
        <f aca="false">SUM(-AU96, AU104, AU112)</f>
        <v>0.104583333333333</v>
      </c>
      <c r="AV115" s="120" t="n">
        <f aca="false">SUM(-AV96, AV104, AV112)</f>
        <v>0.106666666666667</v>
      </c>
      <c r="AW115" s="120" t="n">
        <f aca="false">SUM(-AW96, AW104, AW112)</f>
        <v>0.106666666666667</v>
      </c>
      <c r="AX115" s="120" t="n">
        <f aca="false">SUM(-AX96, AX104, AX112)</f>
        <v>0.106666666666667</v>
      </c>
      <c r="AY115" s="120" t="n">
        <f aca="false">SUM(-AY96, AY104, AY112)</f>
        <v>0.106666666666667</v>
      </c>
      <c r="AZ115" s="120" t="n">
        <f aca="false">SUM(-AZ96, AZ104, AZ112)</f>
        <v>0.106666666666667</v>
      </c>
      <c r="BA115" s="120" t="n">
        <f aca="false">SUM(-BA96, BA104, BA112)</f>
        <v>0.106666666666667</v>
      </c>
      <c r="BB115" s="120" t="n">
        <f aca="false">SUM(-BB96, BB104, BB112)</f>
        <v>0.106666666666667</v>
      </c>
      <c r="BC115" s="120" t="n">
        <f aca="false">SUM(-BC96, BC104, BC112)</f>
        <v>0.106666666666667</v>
      </c>
      <c r="BD115" s="120" t="n">
        <f aca="false">SUM(-BD96, BD104, BD112)</f>
        <v>0.106666666666667</v>
      </c>
      <c r="BE115" s="120" t="n">
        <f aca="false">SUM(-BE96, BE104, BE112)</f>
        <v>0.106666666666667</v>
      </c>
      <c r="BF115" s="120" t="n">
        <f aca="false">SUM(-BF96, BF104, BF112)</f>
        <v>0.106666666666667</v>
      </c>
      <c r="BG115" s="120" t="n">
        <f aca="false">SUM(-BG96, BG104, BG112)</f>
        <v>0.106666666666667</v>
      </c>
      <c r="BH115" s="120" t="n">
        <f aca="false">SUM(-BH96, BH104, BH112)</f>
        <v>0.106666666666667</v>
      </c>
      <c r="BI115" s="120" t="n">
        <f aca="false">SUM(-BI96, BI104, BI112)</f>
        <v>0.106666666666667</v>
      </c>
      <c r="BJ115" s="120" t="n">
        <f aca="false">SUM(-BJ96, BJ104, BJ112)</f>
        <v>0.106666666666667</v>
      </c>
      <c r="BK115" s="120" t="n">
        <f aca="false">SUM(-BK96, BK104, BK112)</f>
        <v>0.106666666666667</v>
      </c>
      <c r="BL115" s="120" t="n">
        <f aca="false">SUM(-BL96, BL104, BL112)</f>
        <v>0.106666666666667</v>
      </c>
      <c r="BM115" s="120" t="n">
        <f aca="false">SUM(-BM96, BM104, BM112)</f>
        <v>0.106666666666667</v>
      </c>
      <c r="BN115" s="120" t="n">
        <f aca="false">SUM(-BN96, BN104, BN112)</f>
        <v>0.106666666666667</v>
      </c>
      <c r="BO115" s="120" t="n">
        <f aca="false">SUM(-BO96, BO104, BO112)</f>
        <v>0.106666666666667</v>
      </c>
      <c r="BP115" s="120" t="n">
        <f aca="false">SUM(-BP96, BP104, BP112)</f>
        <v>0.106666666666667</v>
      </c>
      <c r="BQ115" s="120" t="n">
        <f aca="false">SUM(-BQ96, BQ104, BQ112)</f>
        <v>0.106666666666667</v>
      </c>
      <c r="BR115" s="120" t="n">
        <f aca="false">SUM(-BR96, BR104, BR112)</f>
        <v>0.106666666666667</v>
      </c>
      <c r="BS115" s="120" t="n">
        <f aca="false">SUM(-BS96, BS104, BS112)</f>
        <v>0.106666666666667</v>
      </c>
      <c r="BT115" s="120" t="n">
        <f aca="false">SUM(-BT96, BT104, BT112)</f>
        <v>0.106666666666667</v>
      </c>
      <c r="BU115" s="120" t="n">
        <f aca="false">SUM(-BU96, BU104, BU112)</f>
        <v>0.106666666666667</v>
      </c>
      <c r="BV115" s="120" t="n">
        <f aca="false">SUM(-BV96, BV104, BV112)</f>
        <v>0.106666666666667</v>
      </c>
      <c r="BW115" s="120" t="n">
        <f aca="false">SUM(-BW96, BW104, BW112)</f>
        <v>0.106666666666667</v>
      </c>
      <c r="BX115" s="120" t="n">
        <f aca="false">SUM(-BX96, BX104, BX112)</f>
        <v>0.106666666666667</v>
      </c>
      <c r="BY115" s="120" t="n">
        <f aca="false">SUM(-BY96, BY104, BY112)</f>
        <v>0.106666666666667</v>
      </c>
      <c r="BZ115" s="120" t="n">
        <f aca="false">SUM(-BZ96, BZ104, BZ112)</f>
        <v>0.106666666666667</v>
      </c>
      <c r="CA115" s="120" t="n">
        <f aca="false">SUM(-CA96, CA104, CA112)</f>
        <v>0.106666666666667</v>
      </c>
      <c r="CC115" s="120" t="n">
        <f aca="false">SUM(-CC96, CC104, CC112)</f>
        <v>0</v>
      </c>
      <c r="CD115" s="120" t="n">
        <f aca="false">SUM(-CD96, CD104, CD112)</f>
        <v>0.326666666666667</v>
      </c>
      <c r="CE115" s="120" t="n">
        <f aca="false">SUM(-CE96, CE104, CE112)</f>
        <v>1.24666666666667</v>
      </c>
      <c r="CF115" s="120" t="n">
        <f aca="false">SUM(-CF96, CF104, CF112)</f>
        <v>1.28</v>
      </c>
      <c r="CG115" s="120" t="n">
        <f aca="false">SUM(-CG96, CG104, CG112)</f>
        <v>1.28</v>
      </c>
      <c r="CI115" s="113" t="n">
        <f aca="false">CC115=L115</f>
        <v>1</v>
      </c>
      <c r="CJ115" s="113" t="n">
        <f aca="false">CD115=M115</f>
        <v>1</v>
      </c>
      <c r="CK115" s="113" t="n">
        <f aca="false">CE115=N115</f>
        <v>1</v>
      </c>
      <c r="CL115" s="113" t="n">
        <f aca="false">CF115=O115</f>
        <v>1</v>
      </c>
      <c r="CM115" s="113" t="n">
        <f aca="false">CG115=P115</f>
        <v>1</v>
      </c>
    </row>
    <row r="116" s="14" customFormat="true" ht="17.25" hidden="false" customHeight="true" outlineLevel="0" collapsed="false">
      <c r="E116" s="21"/>
      <c r="I116" s="221"/>
      <c r="J116" s="221"/>
      <c r="K116" s="221"/>
      <c r="L116" s="221"/>
      <c r="M116" s="221"/>
      <c r="N116" s="221"/>
      <c r="O116" s="221"/>
      <c r="P116" s="221"/>
      <c r="Q116" s="16"/>
      <c r="R116" s="16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  <c r="AQ116" s="88"/>
      <c r="AR116" s="88"/>
      <c r="AS116" s="88"/>
      <c r="AT116" s="88"/>
      <c r="AU116" s="88"/>
      <c r="AV116" s="88"/>
      <c r="AW116" s="88"/>
      <c r="AX116" s="88"/>
      <c r="AY116" s="88"/>
      <c r="AZ116" s="88"/>
      <c r="BA116" s="88"/>
      <c r="BB116" s="88"/>
      <c r="BC116" s="88"/>
      <c r="BD116" s="88"/>
      <c r="BE116" s="88"/>
      <c r="BF116" s="88"/>
      <c r="BG116" s="88"/>
      <c r="BH116" s="88"/>
      <c r="BI116" s="88"/>
      <c r="BJ116" s="88"/>
      <c r="BK116" s="88"/>
      <c r="BL116" s="88"/>
      <c r="BM116" s="88"/>
      <c r="BN116" s="88"/>
      <c r="BO116" s="88"/>
      <c r="BP116" s="88"/>
      <c r="BQ116" s="88"/>
      <c r="BR116" s="88"/>
      <c r="BS116" s="88"/>
      <c r="BT116" s="88"/>
      <c r="BU116" s="88"/>
      <c r="BV116" s="88"/>
      <c r="BW116" s="88"/>
      <c r="BX116" s="88"/>
      <c r="BY116" s="88"/>
      <c r="BZ116" s="88"/>
      <c r="CA116" s="121"/>
    </row>
    <row r="117" s="14" customFormat="true" ht="17.25" hidden="false" customHeight="true" outlineLevel="0" collapsed="false">
      <c r="E117" s="122" t="s">
        <v>151</v>
      </c>
      <c r="F117" s="123"/>
      <c r="G117" s="123"/>
      <c r="H117" s="123"/>
      <c r="I117" s="222" t="n">
        <f aca="false">SUM(I88, -I115)</f>
        <v>17.66433499</v>
      </c>
      <c r="J117" s="222" t="n">
        <f aca="false">SUM(J88, -J115)</f>
        <v>9.55083140023013</v>
      </c>
      <c r="K117" s="223" t="n">
        <f aca="false">SUM(K88, -K115)</f>
        <v>5.55350358976987</v>
      </c>
      <c r="L117" s="222" t="n">
        <f aca="false">SUM(L88, -L115)</f>
        <v>0</v>
      </c>
      <c r="M117" s="222" t="n">
        <f aca="false">SUM(M88, -M115)</f>
        <v>0.242791965814156</v>
      </c>
      <c r="N117" s="222" t="n">
        <f aca="false">SUM(N88, -N115)</f>
        <v>5.01737829062238</v>
      </c>
      <c r="O117" s="222" t="n">
        <f aca="false">SUM(O88, -O115)</f>
        <v>5.55350358976987</v>
      </c>
      <c r="P117" s="222" t="n">
        <f aca="false">SUM(P88, -P115)</f>
        <v>5.55350358976987</v>
      </c>
      <c r="Q117" s="16"/>
      <c r="R117" s="16" t="str">
        <f aca="false">IF(K117=P117, "", "Error")</f>
        <v/>
      </c>
      <c r="T117" s="125" t="n">
        <f aca="false">SUM(T88, -T115)</f>
        <v>0</v>
      </c>
      <c r="U117" s="125" t="n">
        <f aca="false">SUM(U88, -U115)</f>
        <v>0</v>
      </c>
      <c r="V117" s="125" t="n">
        <f aca="false">SUM(V88, -V115)</f>
        <v>0</v>
      </c>
      <c r="W117" s="125" t="n">
        <f aca="false">SUM(W88, -W115)</f>
        <v>0</v>
      </c>
      <c r="X117" s="125" t="n">
        <f aca="false">SUM(X88, -X115)</f>
        <v>0</v>
      </c>
      <c r="Y117" s="125" t="n">
        <f aca="false">SUM(Y88, -Y115)</f>
        <v>0</v>
      </c>
      <c r="Z117" s="125" t="n">
        <f aca="false">SUM(Z88, -Z115)</f>
        <v>0</v>
      </c>
      <c r="AA117" s="125" t="n">
        <f aca="false">SUM(AA88, -AA115)</f>
        <v>0</v>
      </c>
      <c r="AB117" s="125" t="n">
        <f aca="false">SUM(AB88, -AB115)</f>
        <v>0</v>
      </c>
      <c r="AC117" s="125" t="n">
        <f aca="false">SUM(AC88, -AC115)</f>
        <v>0</v>
      </c>
      <c r="AD117" s="125" t="n">
        <f aca="false">SUM(AD88, -AD115)</f>
        <v>0</v>
      </c>
      <c r="AE117" s="125" t="n">
        <f aca="false">SUM(AE88, -AE115)</f>
        <v>0</v>
      </c>
      <c r="AF117" s="125" t="n">
        <f aca="false">SUM(AF88, -AF115)</f>
        <v>0</v>
      </c>
      <c r="AG117" s="125" t="n">
        <f aca="false">SUM(AG88, -AG115)</f>
        <v>0</v>
      </c>
      <c r="AH117" s="125" t="n">
        <f aca="false">SUM(AH88, -AH115)</f>
        <v>0</v>
      </c>
      <c r="AI117" s="125" t="n">
        <f aca="false">SUM(AI88, -AI115)</f>
        <v>0</v>
      </c>
      <c r="AJ117" s="125" t="n">
        <f aca="false">SUM(AJ88, -AJ115)</f>
        <v>0</v>
      </c>
      <c r="AK117" s="125" t="n">
        <f aca="false">SUM(AK88, -AK115)</f>
        <v>0</v>
      </c>
      <c r="AL117" s="125" t="n">
        <f aca="false">SUM(AL88, -AL115)</f>
        <v>0</v>
      </c>
      <c r="AM117" s="125" t="n">
        <f aca="false">SUM(AM88, -AM115)</f>
        <v>0</v>
      </c>
      <c r="AN117" s="125" t="n">
        <f aca="false">SUM(AN88, -AN115)</f>
        <v>-0.0398255021366153</v>
      </c>
      <c r="AO117" s="125" t="n">
        <f aca="false">SUM(AO88, -AO115)</f>
        <v>0.0271901602568209</v>
      </c>
      <c r="AP117" s="125" t="n">
        <f aca="false">SUM(AP88, -AP115)</f>
        <v>0.094205822650257</v>
      </c>
      <c r="AQ117" s="125" t="n">
        <f aca="false">SUM(AQ88, -AQ115)</f>
        <v>0.161221485043693</v>
      </c>
      <c r="AR117" s="125" t="n">
        <f aca="false">SUM(AR88, -AR115)</f>
        <v>0.228237147437129</v>
      </c>
      <c r="AS117" s="125" t="n">
        <f aca="false">SUM(AS88, -AS115)</f>
        <v>0.295252809830565</v>
      </c>
      <c r="AT117" s="125" t="n">
        <f aca="false">SUM(AT88, -AT115)</f>
        <v>0.362268472224002</v>
      </c>
      <c r="AU117" s="125" t="n">
        <f aca="false">SUM(AU88, -AU115)</f>
        <v>0.429284134617438</v>
      </c>
      <c r="AV117" s="125" t="n">
        <f aca="false">SUM(AV88, -AV115)</f>
        <v>0.462791965814156</v>
      </c>
      <c r="AW117" s="125" t="n">
        <f aca="false">SUM(AW88, -AW115)</f>
        <v>0.462791965814156</v>
      </c>
      <c r="AX117" s="125" t="n">
        <f aca="false">SUM(AX88, -AX115)</f>
        <v>0.462791965814156</v>
      </c>
      <c r="AY117" s="125" t="n">
        <f aca="false">SUM(AY88, -AY115)</f>
        <v>0.462791965814156</v>
      </c>
      <c r="AZ117" s="125" t="n">
        <f aca="false">SUM(AZ88, -AZ115)</f>
        <v>0.462791965814156</v>
      </c>
      <c r="BA117" s="125" t="n">
        <f aca="false">SUM(BA88, -BA115)</f>
        <v>0.462791965814156</v>
      </c>
      <c r="BB117" s="125" t="n">
        <f aca="false">SUM(BB88, -BB115)</f>
        <v>0.462791965814156</v>
      </c>
      <c r="BC117" s="125" t="n">
        <f aca="false">SUM(BC88, -BC115)</f>
        <v>0.462791965814156</v>
      </c>
      <c r="BD117" s="125" t="n">
        <f aca="false">SUM(BD88, -BD115)</f>
        <v>0.462791965814156</v>
      </c>
      <c r="BE117" s="125" t="n">
        <f aca="false">SUM(BE88, -BE115)</f>
        <v>0.462791965814156</v>
      </c>
      <c r="BF117" s="125" t="n">
        <f aca="false">SUM(BF88, -BF115)</f>
        <v>0.462791965814156</v>
      </c>
      <c r="BG117" s="125" t="n">
        <f aca="false">SUM(BG88, -BG115)</f>
        <v>0.462791965814156</v>
      </c>
      <c r="BH117" s="125" t="n">
        <f aca="false">SUM(BH88, -BH115)</f>
        <v>0.462791965814156</v>
      </c>
      <c r="BI117" s="125" t="n">
        <f aca="false">SUM(BI88, -BI115)</f>
        <v>0.462791965814156</v>
      </c>
      <c r="BJ117" s="125" t="n">
        <f aca="false">SUM(BJ88, -BJ115)</f>
        <v>0.462791965814156</v>
      </c>
      <c r="BK117" s="125" t="n">
        <f aca="false">SUM(BK88, -BK115)</f>
        <v>0.462791965814156</v>
      </c>
      <c r="BL117" s="125" t="n">
        <f aca="false">SUM(BL88, -BL115)</f>
        <v>0.462791965814156</v>
      </c>
      <c r="BM117" s="125" t="n">
        <f aca="false">SUM(BM88, -BM115)</f>
        <v>0.462791965814156</v>
      </c>
      <c r="BN117" s="125" t="n">
        <f aca="false">SUM(BN88, -BN115)</f>
        <v>0.462791965814156</v>
      </c>
      <c r="BO117" s="125" t="n">
        <f aca="false">SUM(BO88, -BO115)</f>
        <v>0.462791965814156</v>
      </c>
      <c r="BP117" s="125" t="n">
        <f aca="false">SUM(BP88, -BP115)</f>
        <v>0.462791965814156</v>
      </c>
      <c r="BQ117" s="125" t="n">
        <f aca="false">SUM(BQ88, -BQ115)</f>
        <v>0.462791965814156</v>
      </c>
      <c r="BR117" s="125" t="n">
        <f aca="false">SUM(BR88, -BR115)</f>
        <v>0.462791965814156</v>
      </c>
      <c r="BS117" s="125" t="n">
        <f aca="false">SUM(BS88, -BS115)</f>
        <v>0.462791965814156</v>
      </c>
      <c r="BT117" s="125" t="n">
        <f aca="false">SUM(BT88, -BT115)</f>
        <v>0.462791965814156</v>
      </c>
      <c r="BU117" s="125" t="n">
        <f aca="false">SUM(BU88, -BU115)</f>
        <v>0.462791965814156</v>
      </c>
      <c r="BV117" s="125" t="n">
        <f aca="false">SUM(BV88, -BV115)</f>
        <v>0.462791965814156</v>
      </c>
      <c r="BW117" s="125" t="n">
        <f aca="false">SUM(BW88, -BW115)</f>
        <v>0.462791965814156</v>
      </c>
      <c r="BX117" s="125" t="n">
        <f aca="false">SUM(BX88, -BX115)</f>
        <v>0.462791965814156</v>
      </c>
      <c r="BY117" s="125" t="n">
        <f aca="false">SUM(BY88, -BY115)</f>
        <v>0.462791965814156</v>
      </c>
      <c r="BZ117" s="125" t="n">
        <f aca="false">SUM(BZ88, -BZ115)</f>
        <v>0.462791965814156</v>
      </c>
      <c r="CA117" s="126" t="n">
        <f aca="false">SUM(CA88, -CA115)</f>
        <v>0.462791965814156</v>
      </c>
      <c r="CC117" s="126" t="n">
        <f aca="false">SUM(CC88, -CC115)</f>
        <v>0</v>
      </c>
      <c r="CD117" s="126" t="n">
        <f aca="false">SUM(CD88, -CD115)</f>
        <v>0.242791965814156</v>
      </c>
      <c r="CE117" s="126" t="n">
        <f aca="false">SUM(CE88, -CE115)</f>
        <v>5.01737829062238</v>
      </c>
      <c r="CF117" s="126" t="n">
        <f aca="false">SUM(CF88, -CF115)</f>
        <v>5.55350358976987</v>
      </c>
      <c r="CG117" s="126" t="n">
        <f aca="false">SUM(CG88, -CG115)</f>
        <v>5.55350358976987</v>
      </c>
      <c r="CI117" s="126" t="n">
        <f aca="false">CC117=L117</f>
        <v>1</v>
      </c>
      <c r="CJ117" s="126" t="n">
        <f aca="false">CD117=M117</f>
        <v>1</v>
      </c>
      <c r="CK117" s="126" t="n">
        <f aca="false">CE117=N117</f>
        <v>1</v>
      </c>
      <c r="CL117" s="126" t="n">
        <f aca="false">CF117=O117</f>
        <v>1</v>
      </c>
      <c r="CM117" s="126" t="n">
        <f aca="false">CG117=P117</f>
        <v>1</v>
      </c>
    </row>
    <row r="118" s="14" customFormat="true" ht="17.25" hidden="false" customHeight="true" outlineLevel="0" collapsed="false">
      <c r="K118" s="127"/>
      <c r="Q118" s="16"/>
      <c r="R118" s="16"/>
    </row>
    <row r="119" s="14" customFormat="true" ht="17.25" hidden="false" customHeight="true" outlineLevel="0" collapsed="false">
      <c r="E119" s="128"/>
      <c r="Q119" s="16"/>
      <c r="R119" s="16"/>
    </row>
    <row r="120" s="14" customFormat="true" ht="16.5" hidden="false" customHeight="true" outlineLevel="0" collapsed="false">
      <c r="C120" s="19" t="s">
        <v>152</v>
      </c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20"/>
      <c r="R120" s="20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C120" s="19" t="s">
        <v>127</v>
      </c>
      <c r="CD120" s="19"/>
      <c r="CE120" s="19"/>
      <c r="CF120" s="19"/>
      <c r="CG120" s="19"/>
      <c r="CI120" s="19" t="s">
        <v>128</v>
      </c>
      <c r="CJ120" s="19"/>
      <c r="CK120" s="19"/>
      <c r="CL120" s="19"/>
      <c r="CM120" s="19"/>
    </row>
    <row r="121" s="14" customFormat="true" ht="16.5" hidden="false" customHeight="true" outlineLevel="0" collapsed="false">
      <c r="Q121" s="16"/>
      <c r="R121" s="16"/>
    </row>
    <row r="122" s="14" customFormat="true" ht="16.5" hidden="false" customHeight="true" outlineLevel="0" collapsed="false">
      <c r="Q122" s="16"/>
      <c r="R122" s="16"/>
      <c r="T122" s="62" t="n">
        <v>2026</v>
      </c>
      <c r="U122" s="129"/>
      <c r="V122" s="129"/>
      <c r="W122" s="129"/>
      <c r="X122" s="129"/>
      <c r="Y122" s="129"/>
      <c r="Z122" s="129"/>
      <c r="AA122" s="129"/>
      <c r="AB122" s="129"/>
      <c r="AC122" s="129"/>
      <c r="AD122" s="129"/>
      <c r="AE122" s="129"/>
      <c r="AF122" s="62" t="n">
        <v>2027</v>
      </c>
      <c r="AG122" s="129"/>
      <c r="AH122" s="129"/>
      <c r="AI122" s="129"/>
      <c r="AJ122" s="129"/>
      <c r="AK122" s="129"/>
      <c r="AL122" s="129"/>
      <c r="AM122" s="129"/>
      <c r="AN122" s="129"/>
      <c r="AO122" s="129"/>
      <c r="AP122" s="129"/>
      <c r="AQ122" s="129"/>
      <c r="AR122" s="62" t="n">
        <v>2028</v>
      </c>
      <c r="AS122" s="129"/>
      <c r="AT122" s="129"/>
      <c r="AU122" s="129"/>
      <c r="AV122" s="129"/>
      <c r="AW122" s="129"/>
      <c r="AX122" s="129"/>
      <c r="AY122" s="129"/>
      <c r="AZ122" s="129"/>
      <c r="BA122" s="129"/>
      <c r="BB122" s="129"/>
      <c r="BC122" s="129"/>
      <c r="BD122" s="62" t="n">
        <v>2029</v>
      </c>
      <c r="BE122" s="129"/>
      <c r="BF122" s="129"/>
      <c r="BG122" s="129"/>
      <c r="BH122" s="129"/>
      <c r="BI122" s="129"/>
      <c r="BJ122" s="129"/>
      <c r="BK122" s="129"/>
      <c r="BL122" s="129"/>
      <c r="BM122" s="129"/>
      <c r="BN122" s="129"/>
      <c r="BO122" s="129"/>
      <c r="BP122" s="62" t="n">
        <v>2030</v>
      </c>
      <c r="BQ122" s="130"/>
      <c r="BR122" s="130"/>
      <c r="BS122" s="130"/>
      <c r="BT122" s="130"/>
      <c r="BU122" s="130"/>
      <c r="BV122" s="130"/>
      <c r="BW122" s="130"/>
      <c r="BX122" s="130"/>
      <c r="BY122" s="130"/>
      <c r="BZ122" s="130"/>
      <c r="CA122" s="130"/>
    </row>
    <row r="123" s="14" customFormat="true" ht="16.5" hidden="false" customHeight="true" outlineLevel="0" collapsed="false">
      <c r="D123" s="30" t="s">
        <v>153</v>
      </c>
      <c r="E123" s="31"/>
      <c r="F123" s="31"/>
      <c r="G123" s="31"/>
      <c r="H123" s="31"/>
      <c r="I123" s="31"/>
      <c r="J123" s="31"/>
      <c r="K123" s="30" t="s">
        <v>130</v>
      </c>
      <c r="L123" s="31" t="n">
        <v>2026</v>
      </c>
      <c r="M123" s="31" t="n">
        <f aca="false">L123+1</f>
        <v>2027</v>
      </c>
      <c r="N123" s="31" t="n">
        <f aca="false">M123+1</f>
        <v>2028</v>
      </c>
      <c r="O123" s="31" t="n">
        <f aca="false">N123+1</f>
        <v>2029</v>
      </c>
      <c r="P123" s="31" t="n">
        <f aca="false">O123+1</f>
        <v>2030</v>
      </c>
      <c r="Q123" s="31" t="s">
        <v>132</v>
      </c>
      <c r="R123" s="16"/>
      <c r="T123" s="59" t="n">
        <v>46023</v>
      </c>
      <c r="U123" s="60" t="n">
        <f aca="false">EOMONTH(T123, 1)</f>
        <v>46081</v>
      </c>
      <c r="V123" s="60" t="n">
        <f aca="false">EOMONTH(U123, 1)</f>
        <v>46112</v>
      </c>
      <c r="W123" s="60" t="n">
        <f aca="false">EOMONTH(V123, 1)</f>
        <v>46142</v>
      </c>
      <c r="X123" s="60" t="n">
        <f aca="false">EOMONTH(W123, 1)</f>
        <v>46173</v>
      </c>
      <c r="Y123" s="60" t="n">
        <f aca="false">EOMONTH(X123, 1)</f>
        <v>46203</v>
      </c>
      <c r="Z123" s="60" t="n">
        <f aca="false">EOMONTH(Y123, 1)</f>
        <v>46234</v>
      </c>
      <c r="AA123" s="60" t="n">
        <f aca="false">EOMONTH(Z123, 1)</f>
        <v>46265</v>
      </c>
      <c r="AB123" s="60" t="n">
        <f aca="false">EOMONTH(AA123, 1)</f>
        <v>46295</v>
      </c>
      <c r="AC123" s="60" t="n">
        <f aca="false">EOMONTH(AB123, 1)</f>
        <v>46326</v>
      </c>
      <c r="AD123" s="60" t="n">
        <f aca="false">EOMONTH(AC123, 1)</f>
        <v>46356</v>
      </c>
      <c r="AE123" s="61" t="n">
        <f aca="false">EOMONTH(AD123, 1)</f>
        <v>46387</v>
      </c>
      <c r="AF123" s="59" t="n">
        <f aca="false">EOMONTH(AE123, 1)</f>
        <v>46418</v>
      </c>
      <c r="AG123" s="60" t="n">
        <f aca="false">EOMONTH(AF123, 1)</f>
        <v>46446</v>
      </c>
      <c r="AH123" s="60" t="n">
        <f aca="false">EOMONTH(AG123, 1)</f>
        <v>46477</v>
      </c>
      <c r="AI123" s="60" t="n">
        <f aca="false">EOMONTH(AH123, 1)</f>
        <v>46507</v>
      </c>
      <c r="AJ123" s="60" t="n">
        <f aca="false">EOMONTH(AI123, 1)</f>
        <v>46538</v>
      </c>
      <c r="AK123" s="60" t="n">
        <f aca="false">EOMONTH(AJ123, 1)</f>
        <v>46568</v>
      </c>
      <c r="AL123" s="60" t="n">
        <f aca="false">EOMONTH(AK123, 1)</f>
        <v>46599</v>
      </c>
      <c r="AM123" s="60" t="n">
        <f aca="false">EOMONTH(AL123, 1)</f>
        <v>46630</v>
      </c>
      <c r="AN123" s="60" t="n">
        <f aca="false">EOMONTH(AM123, 1)</f>
        <v>46660</v>
      </c>
      <c r="AO123" s="60" t="n">
        <f aca="false">EOMONTH(AN123, 1)</f>
        <v>46691</v>
      </c>
      <c r="AP123" s="60" t="n">
        <f aca="false">EOMONTH(AO123, 1)</f>
        <v>46721</v>
      </c>
      <c r="AQ123" s="61" t="n">
        <f aca="false">EOMONTH(AP123, 1)</f>
        <v>46752</v>
      </c>
      <c r="AR123" s="59" t="n">
        <f aca="false">EOMONTH(AQ123, 1)</f>
        <v>46783</v>
      </c>
      <c r="AS123" s="60" t="n">
        <f aca="false">EOMONTH(AR123, 1)</f>
        <v>46812</v>
      </c>
      <c r="AT123" s="60" t="n">
        <f aca="false">EOMONTH(AS123, 1)</f>
        <v>46843</v>
      </c>
      <c r="AU123" s="60" t="n">
        <f aca="false">EOMONTH(AT123, 1)</f>
        <v>46873</v>
      </c>
      <c r="AV123" s="60" t="n">
        <f aca="false">EOMONTH(AU123, 1)</f>
        <v>46904</v>
      </c>
      <c r="AW123" s="60" t="n">
        <f aca="false">EOMONTH(AV123, 1)</f>
        <v>46934</v>
      </c>
      <c r="AX123" s="60" t="n">
        <f aca="false">EOMONTH(AW123, 1)</f>
        <v>46965</v>
      </c>
      <c r="AY123" s="60" t="n">
        <f aca="false">EOMONTH(AX123, 1)</f>
        <v>46996</v>
      </c>
      <c r="AZ123" s="60" t="n">
        <f aca="false">EOMONTH(AY123, 1)</f>
        <v>47026</v>
      </c>
      <c r="BA123" s="60" t="n">
        <f aca="false">EOMONTH(AZ123, 1)</f>
        <v>47057</v>
      </c>
      <c r="BB123" s="60" t="n">
        <f aca="false">EOMONTH(BA123, 1)</f>
        <v>47087</v>
      </c>
      <c r="BC123" s="61" t="n">
        <f aca="false">EOMONTH(BB123, 1)</f>
        <v>47118</v>
      </c>
      <c r="BD123" s="59" t="n">
        <f aca="false">EOMONTH(BC123, 1)</f>
        <v>47149</v>
      </c>
      <c r="BE123" s="60" t="n">
        <f aca="false">EOMONTH(BD123, 1)</f>
        <v>47177</v>
      </c>
      <c r="BF123" s="60" t="n">
        <f aca="false">EOMONTH(BE123, 1)</f>
        <v>47208</v>
      </c>
      <c r="BG123" s="60" t="n">
        <f aca="false">EOMONTH(BF123, 1)</f>
        <v>47238</v>
      </c>
      <c r="BH123" s="60" t="n">
        <f aca="false">EOMONTH(BG123, 1)</f>
        <v>47269</v>
      </c>
      <c r="BI123" s="60" t="n">
        <f aca="false">EOMONTH(BH123, 1)</f>
        <v>47299</v>
      </c>
      <c r="BJ123" s="60" t="n">
        <f aca="false">EOMONTH(BI123, 1)</f>
        <v>47330</v>
      </c>
      <c r="BK123" s="60" t="n">
        <f aca="false">EOMONTH(BJ123, 1)</f>
        <v>47361</v>
      </c>
      <c r="BL123" s="60" t="n">
        <f aca="false">EOMONTH(BK123, 1)</f>
        <v>47391</v>
      </c>
      <c r="BM123" s="60" t="n">
        <f aca="false">EOMONTH(BL123, 1)</f>
        <v>47422</v>
      </c>
      <c r="BN123" s="60" t="n">
        <f aca="false">EOMONTH(BM123, 1)</f>
        <v>47452</v>
      </c>
      <c r="BO123" s="61" t="n">
        <f aca="false">EOMONTH(BN123, 1)</f>
        <v>47483</v>
      </c>
      <c r="BP123" s="59" t="n">
        <f aca="false">EOMONTH(BO123, 1)</f>
        <v>47514</v>
      </c>
      <c r="BQ123" s="60" t="n">
        <f aca="false">EOMONTH(BP123, 1)</f>
        <v>47542</v>
      </c>
      <c r="BR123" s="60" t="n">
        <f aca="false">EOMONTH(BQ123, 1)</f>
        <v>47573</v>
      </c>
      <c r="BS123" s="60" t="n">
        <f aca="false">EOMONTH(BR123, 1)</f>
        <v>47603</v>
      </c>
      <c r="BT123" s="60" t="n">
        <f aca="false">EOMONTH(BS123, 1)</f>
        <v>47634</v>
      </c>
      <c r="BU123" s="60" t="n">
        <f aca="false">EOMONTH(BT123, 1)</f>
        <v>47664</v>
      </c>
      <c r="BV123" s="60" t="n">
        <f aca="false">EOMONTH(BU123, 1)</f>
        <v>47695</v>
      </c>
      <c r="BW123" s="60" t="n">
        <f aca="false">EOMONTH(BV123, 1)</f>
        <v>47726</v>
      </c>
      <c r="BX123" s="60" t="n">
        <f aca="false">EOMONTH(BW123, 1)</f>
        <v>47756</v>
      </c>
      <c r="BY123" s="60" t="n">
        <f aca="false">EOMONTH(BX123, 1)</f>
        <v>47787</v>
      </c>
      <c r="BZ123" s="60" t="n">
        <f aca="false">EOMONTH(BY123, 1)</f>
        <v>47817</v>
      </c>
      <c r="CA123" s="60" t="n">
        <f aca="false">EOMONTH(BZ123, 1)</f>
        <v>47848</v>
      </c>
      <c r="CC123" s="62" t="n">
        <v>2026</v>
      </c>
      <c r="CD123" s="62" t="n">
        <f aca="false">CC123+1</f>
        <v>2027</v>
      </c>
      <c r="CE123" s="62" t="n">
        <f aca="false">CD123+1</f>
        <v>2028</v>
      </c>
      <c r="CF123" s="62" t="n">
        <f aca="false">CE123+1</f>
        <v>2029</v>
      </c>
      <c r="CG123" s="62" t="n">
        <f aca="false">CF123+1</f>
        <v>2030</v>
      </c>
      <c r="CI123" s="62" t="n">
        <v>2026</v>
      </c>
      <c r="CJ123" s="62" t="n">
        <f aca="false">CI123+1</f>
        <v>2027</v>
      </c>
      <c r="CK123" s="62" t="n">
        <f aca="false">CJ123+1</f>
        <v>2028</v>
      </c>
      <c r="CL123" s="62" t="n">
        <f aca="false">CK123+1</f>
        <v>2029</v>
      </c>
      <c r="CM123" s="62" t="n">
        <f aca="false">CL123+1</f>
        <v>2030</v>
      </c>
    </row>
    <row r="124" s="14" customFormat="true" ht="16.5" hidden="false" customHeight="true" outlineLevel="0" collapsed="false">
      <c r="E124" s="21"/>
      <c r="F124" s="21"/>
      <c r="G124" s="21"/>
      <c r="K124" s="35"/>
      <c r="Q124" s="16"/>
      <c r="R124" s="16"/>
    </row>
    <row r="125" s="14" customFormat="true" ht="16.5" hidden="false" customHeight="true" outlineLevel="0" collapsed="false">
      <c r="E125" s="21" t="s">
        <v>154</v>
      </c>
      <c r="K125" s="35"/>
      <c r="Q125" s="16"/>
      <c r="R125" s="16"/>
    </row>
    <row r="126" s="14" customFormat="true" ht="16.5" hidden="false" customHeight="true" outlineLevel="0" collapsed="false">
      <c r="E126" s="91"/>
      <c r="K126" s="35"/>
      <c r="L126" s="91"/>
      <c r="M126" s="91"/>
      <c r="N126" s="91"/>
      <c r="O126" s="91"/>
      <c r="P126" s="91"/>
      <c r="Q126" s="93"/>
      <c r="R126" s="16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1"/>
      <c r="AI126" s="91"/>
      <c r="AJ126" s="91"/>
      <c r="AK126" s="91"/>
      <c r="AL126" s="91"/>
      <c r="AM126" s="91"/>
      <c r="AN126" s="91"/>
      <c r="AO126" s="91"/>
      <c r="AP126" s="91"/>
      <c r="AQ126" s="91"/>
      <c r="AR126" s="91"/>
      <c r="AS126" s="91"/>
      <c r="AT126" s="91"/>
      <c r="AU126" s="91"/>
      <c r="AV126" s="91"/>
      <c r="AW126" s="91"/>
      <c r="AX126" s="91"/>
      <c r="AY126" s="91"/>
      <c r="AZ126" s="91"/>
      <c r="BA126" s="91"/>
      <c r="BB126" s="91"/>
      <c r="BC126" s="91"/>
      <c r="BD126" s="91"/>
      <c r="BE126" s="91"/>
      <c r="BF126" s="91"/>
      <c r="BG126" s="91"/>
      <c r="BH126" s="91"/>
      <c r="BI126" s="91"/>
      <c r="BJ126" s="91"/>
      <c r="BK126" s="91"/>
      <c r="BL126" s="91"/>
      <c r="BM126" s="91"/>
      <c r="BN126" s="91"/>
      <c r="BO126" s="91"/>
      <c r="BP126" s="91"/>
      <c r="BQ126" s="91"/>
      <c r="BR126" s="91"/>
      <c r="BS126" s="91"/>
      <c r="BT126" s="91"/>
      <c r="BU126" s="91"/>
      <c r="BV126" s="91"/>
      <c r="BW126" s="91"/>
      <c r="BX126" s="91"/>
      <c r="BY126" s="91"/>
      <c r="BZ126" s="91"/>
      <c r="CA126" s="91"/>
      <c r="CC126" s="79" t="n">
        <f aca="false">SUMIFS($T126:$CA126, $T$1:$CA$1, CC$63)</f>
        <v>0</v>
      </c>
      <c r="CD126" s="79" t="n">
        <f aca="false">SUMIFS($T126:$CA126, $T$1:$CA$1, CD$63)</f>
        <v>0</v>
      </c>
      <c r="CE126" s="79" t="n">
        <f aca="false">SUMIFS($T126:$CA126, $T$1:$CA$1, CE$63)</f>
        <v>0</v>
      </c>
      <c r="CF126" s="79" t="n">
        <f aca="false">SUMIFS($T126:$CA126, $T$1:$CA$1, CF$63)</f>
        <v>0</v>
      </c>
      <c r="CG126" s="79" t="n">
        <f aca="false">SUMIFS($T126:$CA126, $T$1:$CA$1, CG$63)</f>
        <v>0</v>
      </c>
      <c r="CI126" s="79" t="n">
        <f aca="false">CC126=L126</f>
        <v>1</v>
      </c>
      <c r="CJ126" s="79" t="n">
        <f aca="false">CD126=M126</f>
        <v>1</v>
      </c>
      <c r="CK126" s="79" t="n">
        <f aca="false">CE126=N126</f>
        <v>1</v>
      </c>
      <c r="CL126" s="79" t="n">
        <f aca="false">CF126=O126</f>
        <v>1</v>
      </c>
      <c r="CM126" s="79" t="n">
        <f aca="false">CG126=P126</f>
        <v>1</v>
      </c>
    </row>
    <row r="127" s="14" customFormat="true" ht="16.5" hidden="false" customHeight="true" outlineLevel="0" collapsed="false">
      <c r="E127" s="91"/>
      <c r="K127" s="35"/>
      <c r="L127" s="91"/>
      <c r="M127" s="91"/>
      <c r="N127" s="91"/>
      <c r="O127" s="91"/>
      <c r="P127" s="91"/>
      <c r="Q127" s="93"/>
      <c r="R127" s="16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  <c r="AK127" s="91"/>
      <c r="AL127" s="91"/>
      <c r="AM127" s="91"/>
      <c r="AN127" s="91"/>
      <c r="AO127" s="91"/>
      <c r="AP127" s="91"/>
      <c r="AQ127" s="91"/>
      <c r="AR127" s="91"/>
      <c r="AS127" s="91"/>
      <c r="AT127" s="91"/>
      <c r="AU127" s="91"/>
      <c r="AV127" s="91"/>
      <c r="AW127" s="91"/>
      <c r="AX127" s="91"/>
      <c r="AY127" s="91"/>
      <c r="AZ127" s="91"/>
      <c r="BA127" s="91"/>
      <c r="BB127" s="91"/>
      <c r="BC127" s="91"/>
      <c r="BD127" s="91"/>
      <c r="BE127" s="91"/>
      <c r="BF127" s="91"/>
      <c r="BG127" s="91"/>
      <c r="BH127" s="91"/>
      <c r="BI127" s="91"/>
      <c r="BJ127" s="91"/>
      <c r="BK127" s="91"/>
      <c r="BL127" s="91"/>
      <c r="BM127" s="91"/>
      <c r="BN127" s="91"/>
      <c r="BO127" s="91"/>
      <c r="BP127" s="91"/>
      <c r="BQ127" s="91"/>
      <c r="BR127" s="91"/>
      <c r="BS127" s="91"/>
      <c r="BT127" s="91"/>
      <c r="BU127" s="91"/>
      <c r="BV127" s="91"/>
      <c r="BW127" s="91"/>
      <c r="BX127" s="91"/>
      <c r="BY127" s="91"/>
      <c r="BZ127" s="91"/>
      <c r="CA127" s="91"/>
      <c r="CC127" s="79" t="n">
        <f aca="false">SUMIFS($T127:$CA127, $T$1:$CA$1, CC$63)</f>
        <v>0</v>
      </c>
      <c r="CD127" s="79" t="n">
        <f aca="false">SUMIFS($T127:$CA127, $T$1:$CA$1, CD$63)</f>
        <v>0</v>
      </c>
      <c r="CE127" s="79" t="n">
        <f aca="false">SUMIFS($T127:$CA127, $T$1:$CA$1, CE$63)</f>
        <v>0</v>
      </c>
      <c r="CF127" s="79" t="n">
        <f aca="false">SUMIFS($T127:$CA127, $T$1:$CA$1, CF$63)</f>
        <v>0</v>
      </c>
      <c r="CG127" s="79" t="n">
        <f aca="false">SUMIFS($T127:$CA127, $T$1:$CA$1, CG$63)</f>
        <v>0</v>
      </c>
      <c r="CI127" s="79" t="n">
        <f aca="false">CC127=L127</f>
        <v>1</v>
      </c>
      <c r="CJ127" s="79" t="n">
        <f aca="false">CD127=M127</f>
        <v>1</v>
      </c>
      <c r="CK127" s="79" t="n">
        <f aca="false">CE127=N127</f>
        <v>1</v>
      </c>
      <c r="CL127" s="79" t="n">
        <f aca="false">CF127=O127</f>
        <v>1</v>
      </c>
      <c r="CM127" s="79" t="n">
        <f aca="false">CG127=P127</f>
        <v>1</v>
      </c>
    </row>
    <row r="128" s="14" customFormat="true" ht="16.5" hidden="false" customHeight="true" outlineLevel="0" collapsed="false">
      <c r="E128" s="96" t="s">
        <v>155</v>
      </c>
      <c r="K128" s="35"/>
      <c r="L128" s="82" t="n">
        <f aca="false">SUM(L126:L127)</f>
        <v>0</v>
      </c>
      <c r="M128" s="82" t="n">
        <f aca="false">SUM(M126:M127)</f>
        <v>0</v>
      </c>
      <c r="N128" s="82" t="n">
        <f aca="false">SUM(N126:N127)</f>
        <v>0</v>
      </c>
      <c r="O128" s="82" t="n">
        <f aca="false">SUM(O126:O127)</f>
        <v>0</v>
      </c>
      <c r="P128" s="82" t="n">
        <f aca="false">SUM(P126:P127)</f>
        <v>0</v>
      </c>
      <c r="Q128" s="16"/>
      <c r="R128" s="16"/>
      <c r="T128" s="82" t="n">
        <f aca="false">SUM(T126:T127)</f>
        <v>0</v>
      </c>
      <c r="U128" s="82" t="n">
        <f aca="false">SUM(U126:U127)</f>
        <v>0</v>
      </c>
      <c r="V128" s="82" t="n">
        <f aca="false">SUM(V126:V127)</f>
        <v>0</v>
      </c>
      <c r="W128" s="82" t="n">
        <f aca="false">SUM(W126:W127)</f>
        <v>0</v>
      </c>
      <c r="X128" s="82" t="n">
        <f aca="false">SUM(X126:X127)</f>
        <v>0</v>
      </c>
      <c r="Y128" s="82" t="n">
        <f aca="false">SUM(Y126:Y127)</f>
        <v>0</v>
      </c>
      <c r="Z128" s="82" t="n">
        <f aca="false">SUM(Z126:Z127)</f>
        <v>0</v>
      </c>
      <c r="AA128" s="82" t="n">
        <f aca="false">SUM(AA126:AA127)</f>
        <v>0</v>
      </c>
      <c r="AB128" s="82" t="n">
        <f aca="false">SUM(AB126:AB127)</f>
        <v>0</v>
      </c>
      <c r="AC128" s="82" t="n">
        <f aca="false">SUM(AC126:AC127)</f>
        <v>0</v>
      </c>
      <c r="AD128" s="82" t="n">
        <f aca="false">SUM(AD126:AD127)</f>
        <v>0</v>
      </c>
      <c r="AE128" s="82" t="n">
        <f aca="false">SUM(AE126:AE127)</f>
        <v>0</v>
      </c>
      <c r="AF128" s="82" t="n">
        <f aca="false">SUM(AF126:AF127)</f>
        <v>0</v>
      </c>
      <c r="AG128" s="82" t="n">
        <f aca="false">SUM(AG126:AG127)</f>
        <v>0</v>
      </c>
      <c r="AH128" s="82" t="n">
        <f aca="false">SUM(AH126:AH127)</f>
        <v>0</v>
      </c>
      <c r="AI128" s="82" t="n">
        <f aca="false">SUM(AI126:AI127)</f>
        <v>0</v>
      </c>
      <c r="AJ128" s="82" t="n">
        <f aca="false">SUM(AJ126:AJ127)</f>
        <v>0</v>
      </c>
      <c r="AK128" s="82" t="n">
        <f aca="false">SUM(AK126:AK127)</f>
        <v>0</v>
      </c>
      <c r="AL128" s="82" t="n">
        <f aca="false">SUM(AL126:AL127)</f>
        <v>0</v>
      </c>
      <c r="AM128" s="82" t="n">
        <f aca="false">SUM(AM126:AM127)</f>
        <v>0</v>
      </c>
      <c r="AN128" s="82" t="n">
        <f aca="false">SUM(AN126:AN127)</f>
        <v>0</v>
      </c>
      <c r="AO128" s="82" t="n">
        <f aca="false">SUM(AO126:AO127)</f>
        <v>0</v>
      </c>
      <c r="AP128" s="82" t="n">
        <f aca="false">SUM(AP126:AP127)</f>
        <v>0</v>
      </c>
      <c r="AQ128" s="82" t="n">
        <f aca="false">SUM(AQ126:AQ127)</f>
        <v>0</v>
      </c>
      <c r="AR128" s="82" t="n">
        <f aca="false">SUM(AR126:AR127)</f>
        <v>0</v>
      </c>
      <c r="AS128" s="82" t="n">
        <f aca="false">SUM(AS126:AS127)</f>
        <v>0</v>
      </c>
      <c r="AT128" s="82" t="n">
        <f aca="false">SUM(AT126:AT127)</f>
        <v>0</v>
      </c>
      <c r="AU128" s="82" t="n">
        <f aca="false">SUM(AU126:AU127)</f>
        <v>0</v>
      </c>
      <c r="AV128" s="82" t="n">
        <f aca="false">SUM(AV126:AV127)</f>
        <v>0</v>
      </c>
      <c r="AW128" s="82" t="n">
        <f aca="false">SUM(AW126:AW127)</f>
        <v>0</v>
      </c>
      <c r="AX128" s="82" t="n">
        <f aca="false">SUM(AX126:AX127)</f>
        <v>0</v>
      </c>
      <c r="AY128" s="82" t="n">
        <f aca="false">SUM(AY126:AY127)</f>
        <v>0</v>
      </c>
      <c r="AZ128" s="82" t="n">
        <f aca="false">SUM(AZ126:AZ127)</f>
        <v>0</v>
      </c>
      <c r="BA128" s="82" t="n">
        <f aca="false">SUM(BA126:BA127)</f>
        <v>0</v>
      </c>
      <c r="BB128" s="82" t="n">
        <f aca="false">SUM(BB126:BB127)</f>
        <v>0</v>
      </c>
      <c r="BC128" s="82" t="n">
        <f aca="false">SUM(BC126:BC127)</f>
        <v>0</v>
      </c>
      <c r="BD128" s="82" t="n">
        <f aca="false">SUM(BD126:BD127)</f>
        <v>0</v>
      </c>
      <c r="BE128" s="82" t="n">
        <f aca="false">SUM(BE126:BE127)</f>
        <v>0</v>
      </c>
      <c r="BF128" s="82" t="n">
        <f aca="false">SUM(BF126:BF127)</f>
        <v>0</v>
      </c>
      <c r="BG128" s="82" t="n">
        <f aca="false">SUM(BG126:BG127)</f>
        <v>0</v>
      </c>
      <c r="BH128" s="82" t="n">
        <f aca="false">SUM(BH126:BH127)</f>
        <v>0</v>
      </c>
      <c r="BI128" s="82" t="n">
        <f aca="false">SUM(BI126:BI127)</f>
        <v>0</v>
      </c>
      <c r="BJ128" s="82" t="n">
        <f aca="false">SUM(BJ126:BJ127)</f>
        <v>0</v>
      </c>
      <c r="BK128" s="82" t="n">
        <f aca="false">SUM(BK126:BK127)</f>
        <v>0</v>
      </c>
      <c r="BL128" s="82" t="n">
        <f aca="false">SUM(BL126:BL127)</f>
        <v>0</v>
      </c>
      <c r="BM128" s="82" t="n">
        <f aca="false">SUM(BM126:BM127)</f>
        <v>0</v>
      </c>
      <c r="BN128" s="82" t="n">
        <f aca="false">SUM(BN126:BN127)</f>
        <v>0</v>
      </c>
      <c r="BO128" s="82" t="n">
        <f aca="false">SUM(BO126:BO127)</f>
        <v>0</v>
      </c>
      <c r="BP128" s="82" t="n">
        <f aca="false">SUM(BP126:BP127)</f>
        <v>0</v>
      </c>
      <c r="BQ128" s="82" t="n">
        <f aca="false">SUM(BQ126:BQ127)</f>
        <v>0</v>
      </c>
      <c r="BR128" s="82" t="n">
        <f aca="false">SUM(BR126:BR127)</f>
        <v>0</v>
      </c>
      <c r="BS128" s="82" t="n">
        <f aca="false">SUM(BS126:BS127)</f>
        <v>0</v>
      </c>
      <c r="BT128" s="82" t="n">
        <f aca="false">SUM(BT126:BT127)</f>
        <v>0</v>
      </c>
      <c r="BU128" s="82" t="n">
        <f aca="false">SUM(BU126:BU127)</f>
        <v>0</v>
      </c>
      <c r="BV128" s="82" t="n">
        <f aca="false">SUM(BV126:BV127)</f>
        <v>0</v>
      </c>
      <c r="BW128" s="82" t="n">
        <f aca="false">SUM(BW126:BW127)</f>
        <v>0</v>
      </c>
      <c r="BX128" s="82" t="n">
        <f aca="false">SUM(BX126:BX127)</f>
        <v>0</v>
      </c>
      <c r="BY128" s="82" t="n">
        <f aca="false">SUM(BY126:BY127)</f>
        <v>0</v>
      </c>
      <c r="BZ128" s="82" t="n">
        <f aca="false">SUM(BZ126:BZ127)</f>
        <v>0</v>
      </c>
      <c r="CA128" s="82" t="n">
        <f aca="false">SUM(CA126:CA127)</f>
        <v>0</v>
      </c>
      <c r="CC128" s="131" t="n">
        <f aca="false">SUM(CC126:CC127)</f>
        <v>0</v>
      </c>
      <c r="CD128" s="131" t="n">
        <f aca="false">SUM(CD126:CD127)</f>
        <v>0</v>
      </c>
      <c r="CE128" s="131" t="n">
        <f aca="false">SUM(CE126:CE127)</f>
        <v>0</v>
      </c>
      <c r="CF128" s="131" t="n">
        <f aca="false">SUM(CF126:CF127)</f>
        <v>0</v>
      </c>
      <c r="CG128" s="131" t="n">
        <f aca="false">SUM(CG126:CG127)</f>
        <v>0</v>
      </c>
      <c r="CI128" s="131" t="n">
        <f aca="false">CC128=L128</f>
        <v>1</v>
      </c>
      <c r="CJ128" s="131" t="n">
        <f aca="false">CD128=M128</f>
        <v>1</v>
      </c>
      <c r="CK128" s="131" t="n">
        <f aca="false">CE128=N128</f>
        <v>1</v>
      </c>
      <c r="CL128" s="131" t="n">
        <f aca="false">CF128=O128</f>
        <v>1</v>
      </c>
      <c r="CM128" s="131" t="n">
        <f aca="false">CG128=P128</f>
        <v>1</v>
      </c>
    </row>
    <row r="129" s="14" customFormat="true" ht="16.5" hidden="false" customHeight="true" outlineLevel="0" collapsed="false">
      <c r="E129" s="96"/>
      <c r="K129" s="35"/>
      <c r="L129" s="82"/>
      <c r="M129" s="82"/>
      <c r="N129" s="82"/>
      <c r="O129" s="82"/>
      <c r="P129" s="82"/>
      <c r="Q129" s="16"/>
      <c r="R129" s="16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  <c r="AG129" s="82"/>
      <c r="AH129" s="82"/>
      <c r="AI129" s="82"/>
      <c r="AJ129" s="82"/>
      <c r="AK129" s="82"/>
      <c r="AL129" s="82"/>
      <c r="AM129" s="82"/>
      <c r="AN129" s="82"/>
      <c r="AO129" s="82"/>
      <c r="AP129" s="82"/>
      <c r="AQ129" s="82"/>
      <c r="AR129" s="82"/>
      <c r="AS129" s="82"/>
      <c r="AT129" s="82"/>
      <c r="AU129" s="82"/>
      <c r="AV129" s="82"/>
      <c r="AW129" s="82"/>
      <c r="AX129" s="82"/>
      <c r="AY129" s="82"/>
      <c r="AZ129" s="82"/>
      <c r="BA129" s="82"/>
      <c r="BB129" s="82"/>
      <c r="BC129" s="82"/>
      <c r="BD129" s="82"/>
      <c r="BE129" s="82"/>
      <c r="BF129" s="82"/>
      <c r="BG129" s="82"/>
      <c r="BH129" s="82"/>
      <c r="BI129" s="82"/>
      <c r="BJ129" s="82"/>
      <c r="BK129" s="82"/>
      <c r="BL129" s="82"/>
      <c r="BM129" s="82"/>
      <c r="BN129" s="82"/>
      <c r="BO129" s="82"/>
      <c r="BP129" s="82"/>
      <c r="BQ129" s="82"/>
      <c r="BR129" s="82"/>
      <c r="BS129" s="82"/>
      <c r="BT129" s="82"/>
      <c r="BU129" s="82"/>
      <c r="BV129" s="82"/>
      <c r="BW129" s="82"/>
      <c r="BX129" s="82"/>
      <c r="BY129" s="82"/>
      <c r="BZ129" s="82"/>
      <c r="CA129" s="82"/>
    </row>
    <row r="130" s="14" customFormat="true" ht="16.5" hidden="false" customHeight="true" outlineLevel="0" collapsed="false">
      <c r="E130" s="109" t="s">
        <v>156</v>
      </c>
      <c r="F130" s="109"/>
      <c r="G130" s="109"/>
      <c r="H130" s="109"/>
      <c r="I130" s="132"/>
      <c r="J130" s="132"/>
      <c r="K130" s="224"/>
      <c r="L130" s="120" t="n">
        <f aca="false">L128</f>
        <v>0</v>
      </c>
      <c r="M130" s="120" t="n">
        <f aca="false">M128</f>
        <v>0</v>
      </c>
      <c r="N130" s="120" t="n">
        <f aca="false">N128</f>
        <v>0</v>
      </c>
      <c r="O130" s="120" t="n">
        <f aca="false">O128</f>
        <v>0</v>
      </c>
      <c r="P130" s="120" t="n">
        <f aca="false">P128</f>
        <v>0</v>
      </c>
      <c r="Q130" s="16"/>
      <c r="R130" s="16"/>
      <c r="T130" s="120" t="n">
        <f aca="false">T128</f>
        <v>0</v>
      </c>
      <c r="U130" s="120" t="n">
        <f aca="false">U128</f>
        <v>0</v>
      </c>
      <c r="V130" s="120" t="n">
        <f aca="false">V128</f>
        <v>0</v>
      </c>
      <c r="W130" s="120" t="n">
        <f aca="false">W128</f>
        <v>0</v>
      </c>
      <c r="X130" s="120" t="n">
        <f aca="false">X128</f>
        <v>0</v>
      </c>
      <c r="Y130" s="120" t="n">
        <f aca="false">Y128</f>
        <v>0</v>
      </c>
      <c r="Z130" s="120" t="n">
        <f aca="false">Z128</f>
        <v>0</v>
      </c>
      <c r="AA130" s="120" t="n">
        <f aca="false">AA128</f>
        <v>0</v>
      </c>
      <c r="AB130" s="120" t="n">
        <f aca="false">AB128</f>
        <v>0</v>
      </c>
      <c r="AC130" s="120" t="n">
        <f aca="false">AC128</f>
        <v>0</v>
      </c>
      <c r="AD130" s="120" t="n">
        <f aca="false">AD128</f>
        <v>0</v>
      </c>
      <c r="AE130" s="120" t="n">
        <f aca="false">AE128</f>
        <v>0</v>
      </c>
      <c r="AF130" s="120" t="n">
        <f aca="false">AF128</f>
        <v>0</v>
      </c>
      <c r="AG130" s="120" t="n">
        <f aca="false">AG128</f>
        <v>0</v>
      </c>
      <c r="AH130" s="120" t="n">
        <f aca="false">AH128</f>
        <v>0</v>
      </c>
      <c r="AI130" s="120" t="n">
        <f aca="false">AI128</f>
        <v>0</v>
      </c>
      <c r="AJ130" s="120" t="n">
        <f aca="false">AJ128</f>
        <v>0</v>
      </c>
      <c r="AK130" s="120" t="n">
        <f aca="false">AK128</f>
        <v>0</v>
      </c>
      <c r="AL130" s="120" t="n">
        <f aca="false">AL128</f>
        <v>0</v>
      </c>
      <c r="AM130" s="120" t="n">
        <f aca="false">AM128</f>
        <v>0</v>
      </c>
      <c r="AN130" s="120" t="n">
        <f aca="false">AN128</f>
        <v>0</v>
      </c>
      <c r="AO130" s="120" t="n">
        <f aca="false">AO128</f>
        <v>0</v>
      </c>
      <c r="AP130" s="120" t="n">
        <f aca="false">AP128</f>
        <v>0</v>
      </c>
      <c r="AQ130" s="120" t="n">
        <f aca="false">AQ128</f>
        <v>0</v>
      </c>
      <c r="AR130" s="120" t="n">
        <f aca="false">AR128</f>
        <v>0</v>
      </c>
      <c r="AS130" s="120" t="n">
        <f aca="false">AS128</f>
        <v>0</v>
      </c>
      <c r="AT130" s="120" t="n">
        <f aca="false">AT128</f>
        <v>0</v>
      </c>
      <c r="AU130" s="120" t="n">
        <f aca="false">AU128</f>
        <v>0</v>
      </c>
      <c r="AV130" s="120" t="n">
        <f aca="false">AV128</f>
        <v>0</v>
      </c>
      <c r="AW130" s="120" t="n">
        <f aca="false">AW128</f>
        <v>0</v>
      </c>
      <c r="AX130" s="120" t="n">
        <f aca="false">AX128</f>
        <v>0</v>
      </c>
      <c r="AY130" s="120" t="n">
        <f aca="false">AY128</f>
        <v>0</v>
      </c>
      <c r="AZ130" s="120" t="n">
        <f aca="false">AZ128</f>
        <v>0</v>
      </c>
      <c r="BA130" s="120" t="n">
        <f aca="false">BA128</f>
        <v>0</v>
      </c>
      <c r="BB130" s="120" t="n">
        <f aca="false">BB128</f>
        <v>0</v>
      </c>
      <c r="BC130" s="120" t="n">
        <f aca="false">BC128</f>
        <v>0</v>
      </c>
      <c r="BD130" s="120" t="n">
        <f aca="false">BD128</f>
        <v>0</v>
      </c>
      <c r="BE130" s="120" t="n">
        <f aca="false">BE128</f>
        <v>0</v>
      </c>
      <c r="BF130" s="120" t="n">
        <f aca="false">BF128</f>
        <v>0</v>
      </c>
      <c r="BG130" s="120" t="n">
        <f aca="false">BG128</f>
        <v>0</v>
      </c>
      <c r="BH130" s="120" t="n">
        <f aca="false">BH128</f>
        <v>0</v>
      </c>
      <c r="BI130" s="120" t="n">
        <f aca="false">BI128</f>
        <v>0</v>
      </c>
      <c r="BJ130" s="120" t="n">
        <f aca="false">BJ128</f>
        <v>0</v>
      </c>
      <c r="BK130" s="120" t="n">
        <f aca="false">BK128</f>
        <v>0</v>
      </c>
      <c r="BL130" s="120" t="n">
        <f aca="false">BL128</f>
        <v>0</v>
      </c>
      <c r="BM130" s="120" t="n">
        <f aca="false">BM128</f>
        <v>0</v>
      </c>
      <c r="BN130" s="120" t="n">
        <f aca="false">BN128</f>
        <v>0</v>
      </c>
      <c r="BO130" s="120" t="n">
        <f aca="false">BO128</f>
        <v>0</v>
      </c>
      <c r="BP130" s="120" t="n">
        <f aca="false">BP128</f>
        <v>0</v>
      </c>
      <c r="BQ130" s="120" t="n">
        <f aca="false">BQ128</f>
        <v>0</v>
      </c>
      <c r="BR130" s="120" t="n">
        <f aca="false">BR128</f>
        <v>0</v>
      </c>
      <c r="BS130" s="120" t="n">
        <f aca="false">BS128</f>
        <v>0</v>
      </c>
      <c r="BT130" s="120" t="n">
        <f aca="false">BT128</f>
        <v>0</v>
      </c>
      <c r="BU130" s="120" t="n">
        <f aca="false">BU128</f>
        <v>0</v>
      </c>
      <c r="BV130" s="120" t="n">
        <f aca="false">BV128</f>
        <v>0</v>
      </c>
      <c r="BW130" s="120" t="n">
        <f aca="false">BW128</f>
        <v>0</v>
      </c>
      <c r="BX130" s="120" t="n">
        <f aca="false">BX128</f>
        <v>0</v>
      </c>
      <c r="BY130" s="120" t="n">
        <f aca="false">BY128</f>
        <v>0</v>
      </c>
      <c r="BZ130" s="120" t="n">
        <f aca="false">BZ128</f>
        <v>0</v>
      </c>
      <c r="CA130" s="120" t="n">
        <f aca="false">CA128</f>
        <v>0</v>
      </c>
      <c r="CC130" s="132" t="n">
        <f aca="false">CC128</f>
        <v>0</v>
      </c>
      <c r="CD130" s="132" t="n">
        <f aca="false">CD128</f>
        <v>0</v>
      </c>
      <c r="CE130" s="132" t="n">
        <f aca="false">CE128</f>
        <v>0</v>
      </c>
      <c r="CF130" s="132" t="n">
        <f aca="false">CF128</f>
        <v>0</v>
      </c>
      <c r="CG130" s="132" t="n">
        <f aca="false">CG128</f>
        <v>0</v>
      </c>
      <c r="CI130" s="133" t="n">
        <f aca="false">CI128</f>
        <v>1</v>
      </c>
      <c r="CJ130" s="133" t="n">
        <f aca="false">CJ128</f>
        <v>1</v>
      </c>
      <c r="CK130" s="133" t="n">
        <f aca="false">CK128</f>
        <v>1</v>
      </c>
      <c r="CL130" s="133" t="n">
        <f aca="false">CL128</f>
        <v>1</v>
      </c>
      <c r="CM130" s="133" t="n">
        <f aca="false">CM128</f>
        <v>1</v>
      </c>
    </row>
    <row r="131" s="14" customFormat="true" ht="16.5" hidden="false" customHeight="true" outlineLevel="0" collapsed="false">
      <c r="K131" s="35"/>
    </row>
    <row r="132" s="14" customFormat="true" ht="16.5" hidden="false" customHeight="true" outlineLevel="0" collapsed="false">
      <c r="E132" s="85"/>
      <c r="K132" s="35"/>
      <c r="Q132" s="16"/>
      <c r="R132" s="16"/>
      <c r="T132" s="62" t="n">
        <v>2026</v>
      </c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62" t="n">
        <v>2027</v>
      </c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62" t="n">
        <v>2028</v>
      </c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62" t="n">
        <v>2029</v>
      </c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62" t="n">
        <v>2030</v>
      </c>
      <c r="BQ132" s="130"/>
      <c r="BR132" s="130"/>
      <c r="BS132" s="130"/>
      <c r="BT132" s="130"/>
      <c r="BU132" s="130"/>
      <c r="BV132" s="130"/>
      <c r="BW132" s="130"/>
      <c r="BX132" s="130"/>
      <c r="BY132" s="130"/>
      <c r="BZ132" s="130"/>
      <c r="CA132" s="130"/>
    </row>
    <row r="133" s="14" customFormat="true" ht="16.5" hidden="false" customHeight="true" outlineLevel="0" collapsed="false">
      <c r="D133" s="30" t="s">
        <v>157</v>
      </c>
      <c r="E133" s="31"/>
      <c r="F133" s="31"/>
      <c r="G133" s="31"/>
      <c r="H133" s="31"/>
      <c r="I133" s="31"/>
      <c r="J133" s="31"/>
      <c r="K133" s="30" t="s">
        <v>130</v>
      </c>
      <c r="L133" s="31" t="n">
        <v>2026</v>
      </c>
      <c r="M133" s="31" t="n">
        <f aca="false">L133+1</f>
        <v>2027</v>
      </c>
      <c r="N133" s="31" t="n">
        <f aca="false">M133+1</f>
        <v>2028</v>
      </c>
      <c r="O133" s="31" t="n">
        <f aca="false">N133+1</f>
        <v>2029</v>
      </c>
      <c r="P133" s="31" t="n">
        <f aca="false">O133+1</f>
        <v>2030</v>
      </c>
      <c r="Q133" s="16"/>
      <c r="R133" s="16"/>
      <c r="T133" s="59" t="n">
        <v>46023</v>
      </c>
      <c r="U133" s="60" t="n">
        <f aca="false">EOMONTH(T133, 1)</f>
        <v>46081</v>
      </c>
      <c r="V133" s="60" t="n">
        <f aca="false">EOMONTH(U133, 1)</f>
        <v>46112</v>
      </c>
      <c r="W133" s="60" t="n">
        <f aca="false">EOMONTH(V133, 1)</f>
        <v>46142</v>
      </c>
      <c r="X133" s="60" t="n">
        <f aca="false">EOMONTH(W133, 1)</f>
        <v>46173</v>
      </c>
      <c r="Y133" s="60" t="n">
        <f aca="false">EOMONTH(X133, 1)</f>
        <v>46203</v>
      </c>
      <c r="Z133" s="60" t="n">
        <f aca="false">EOMONTH(Y133, 1)</f>
        <v>46234</v>
      </c>
      <c r="AA133" s="60" t="n">
        <f aca="false">EOMONTH(Z133, 1)</f>
        <v>46265</v>
      </c>
      <c r="AB133" s="60" t="n">
        <f aca="false">EOMONTH(AA133, 1)</f>
        <v>46295</v>
      </c>
      <c r="AC133" s="60" t="n">
        <f aca="false">EOMONTH(AB133, 1)</f>
        <v>46326</v>
      </c>
      <c r="AD133" s="60" t="n">
        <f aca="false">EOMONTH(AC133, 1)</f>
        <v>46356</v>
      </c>
      <c r="AE133" s="61" t="n">
        <f aca="false">EOMONTH(AD133, 1)</f>
        <v>46387</v>
      </c>
      <c r="AF133" s="59" t="n">
        <f aca="false">EOMONTH(AE133, 1)</f>
        <v>46418</v>
      </c>
      <c r="AG133" s="60" t="n">
        <f aca="false">EOMONTH(AF133, 1)</f>
        <v>46446</v>
      </c>
      <c r="AH133" s="60" t="n">
        <f aca="false">EOMONTH(AG133, 1)</f>
        <v>46477</v>
      </c>
      <c r="AI133" s="60" t="n">
        <f aca="false">EOMONTH(AH133, 1)</f>
        <v>46507</v>
      </c>
      <c r="AJ133" s="60" t="n">
        <f aca="false">EOMONTH(AI133, 1)</f>
        <v>46538</v>
      </c>
      <c r="AK133" s="60" t="n">
        <f aca="false">EOMONTH(AJ133, 1)</f>
        <v>46568</v>
      </c>
      <c r="AL133" s="60" t="n">
        <f aca="false">EOMONTH(AK133, 1)</f>
        <v>46599</v>
      </c>
      <c r="AM133" s="60" t="n">
        <f aca="false">EOMONTH(AL133, 1)</f>
        <v>46630</v>
      </c>
      <c r="AN133" s="60" t="n">
        <f aca="false">EOMONTH(AM133, 1)</f>
        <v>46660</v>
      </c>
      <c r="AO133" s="60" t="n">
        <f aca="false">EOMONTH(AN133, 1)</f>
        <v>46691</v>
      </c>
      <c r="AP133" s="60" t="n">
        <f aca="false">EOMONTH(AO133, 1)</f>
        <v>46721</v>
      </c>
      <c r="AQ133" s="61" t="n">
        <f aca="false">EOMONTH(AP133, 1)</f>
        <v>46752</v>
      </c>
      <c r="AR133" s="59" t="n">
        <f aca="false">EOMONTH(AQ133, 1)</f>
        <v>46783</v>
      </c>
      <c r="AS133" s="60" t="n">
        <f aca="false">EOMONTH(AR133, 1)</f>
        <v>46812</v>
      </c>
      <c r="AT133" s="60" t="n">
        <f aca="false">EOMONTH(AS133, 1)</f>
        <v>46843</v>
      </c>
      <c r="AU133" s="60" t="n">
        <f aca="false">EOMONTH(AT133, 1)</f>
        <v>46873</v>
      </c>
      <c r="AV133" s="60" t="n">
        <f aca="false">EOMONTH(AU133, 1)</f>
        <v>46904</v>
      </c>
      <c r="AW133" s="60" t="n">
        <f aca="false">EOMONTH(AV133, 1)</f>
        <v>46934</v>
      </c>
      <c r="AX133" s="60" t="n">
        <f aca="false">EOMONTH(AW133, 1)</f>
        <v>46965</v>
      </c>
      <c r="AY133" s="60" t="n">
        <f aca="false">EOMONTH(AX133, 1)</f>
        <v>46996</v>
      </c>
      <c r="AZ133" s="60" t="n">
        <f aca="false">EOMONTH(AY133, 1)</f>
        <v>47026</v>
      </c>
      <c r="BA133" s="60" t="n">
        <f aca="false">EOMONTH(AZ133, 1)</f>
        <v>47057</v>
      </c>
      <c r="BB133" s="60" t="n">
        <f aca="false">EOMONTH(BA133, 1)</f>
        <v>47087</v>
      </c>
      <c r="BC133" s="61" t="n">
        <f aca="false">EOMONTH(BB133, 1)</f>
        <v>47118</v>
      </c>
      <c r="BD133" s="59" t="n">
        <f aca="false">EOMONTH(BC133, 1)</f>
        <v>47149</v>
      </c>
      <c r="BE133" s="60" t="n">
        <f aca="false">EOMONTH(BD133, 1)</f>
        <v>47177</v>
      </c>
      <c r="BF133" s="60" t="n">
        <f aca="false">EOMONTH(BE133, 1)</f>
        <v>47208</v>
      </c>
      <c r="BG133" s="60" t="n">
        <f aca="false">EOMONTH(BF133, 1)</f>
        <v>47238</v>
      </c>
      <c r="BH133" s="60" t="n">
        <f aca="false">EOMONTH(BG133, 1)</f>
        <v>47269</v>
      </c>
      <c r="BI133" s="60" t="n">
        <f aca="false">EOMONTH(BH133, 1)</f>
        <v>47299</v>
      </c>
      <c r="BJ133" s="60" t="n">
        <f aca="false">EOMONTH(BI133, 1)</f>
        <v>47330</v>
      </c>
      <c r="BK133" s="60" t="n">
        <f aca="false">EOMONTH(BJ133, 1)</f>
        <v>47361</v>
      </c>
      <c r="BL133" s="60" t="n">
        <f aca="false">EOMONTH(BK133, 1)</f>
        <v>47391</v>
      </c>
      <c r="BM133" s="60" t="n">
        <f aca="false">EOMONTH(BL133, 1)</f>
        <v>47422</v>
      </c>
      <c r="BN133" s="60" t="n">
        <f aca="false">EOMONTH(BM133, 1)</f>
        <v>47452</v>
      </c>
      <c r="BO133" s="61" t="n">
        <f aca="false">EOMONTH(BN133, 1)</f>
        <v>47483</v>
      </c>
      <c r="BP133" s="59" t="n">
        <f aca="false">EOMONTH(BO133, 1)</f>
        <v>47514</v>
      </c>
      <c r="BQ133" s="60" t="n">
        <f aca="false">EOMONTH(BP133, 1)</f>
        <v>47542</v>
      </c>
      <c r="BR133" s="60" t="n">
        <f aca="false">EOMONTH(BQ133, 1)</f>
        <v>47573</v>
      </c>
      <c r="BS133" s="60" t="n">
        <f aca="false">EOMONTH(BR133, 1)</f>
        <v>47603</v>
      </c>
      <c r="BT133" s="60" t="n">
        <f aca="false">EOMONTH(BS133, 1)</f>
        <v>47634</v>
      </c>
      <c r="BU133" s="60" t="n">
        <f aca="false">EOMONTH(BT133, 1)</f>
        <v>47664</v>
      </c>
      <c r="BV133" s="60" t="n">
        <f aca="false">EOMONTH(BU133, 1)</f>
        <v>47695</v>
      </c>
      <c r="BW133" s="60" t="n">
        <f aca="false">EOMONTH(BV133, 1)</f>
        <v>47726</v>
      </c>
      <c r="BX133" s="60" t="n">
        <f aca="false">EOMONTH(BW133, 1)</f>
        <v>47756</v>
      </c>
      <c r="BY133" s="60" t="n">
        <f aca="false">EOMONTH(BX133, 1)</f>
        <v>47787</v>
      </c>
      <c r="BZ133" s="60" t="n">
        <f aca="false">EOMONTH(BY133, 1)</f>
        <v>47817</v>
      </c>
      <c r="CA133" s="60" t="n">
        <f aca="false">EOMONTH(BZ133, 1)</f>
        <v>47848</v>
      </c>
      <c r="CC133" s="62" t="n">
        <v>2026</v>
      </c>
      <c r="CD133" s="62" t="n">
        <f aca="false">CC133+1</f>
        <v>2027</v>
      </c>
      <c r="CE133" s="62" t="n">
        <f aca="false">CD133+1</f>
        <v>2028</v>
      </c>
      <c r="CF133" s="62" t="n">
        <f aca="false">CE133+1</f>
        <v>2029</v>
      </c>
      <c r="CG133" s="62" t="n">
        <f aca="false">CF133+1</f>
        <v>2030</v>
      </c>
      <c r="CI133" s="62" t="n">
        <v>2026</v>
      </c>
      <c r="CJ133" s="62" t="n">
        <f aca="false">CI133+1</f>
        <v>2027</v>
      </c>
      <c r="CK133" s="62" t="n">
        <f aca="false">CJ133+1</f>
        <v>2028</v>
      </c>
      <c r="CL133" s="62" t="n">
        <f aca="false">CK133+1</f>
        <v>2029</v>
      </c>
      <c r="CM133" s="62" t="n">
        <f aca="false">CL133+1</f>
        <v>2030</v>
      </c>
    </row>
    <row r="134" s="14" customFormat="true" ht="16.5" hidden="false" customHeight="true" outlineLevel="0" collapsed="false">
      <c r="F134" s="21"/>
      <c r="G134" s="21"/>
      <c r="Q134" s="16"/>
      <c r="R134" s="16"/>
    </row>
    <row r="135" s="14" customFormat="true" ht="16.5" hidden="false" customHeight="true" outlineLevel="0" collapsed="false">
      <c r="E135" s="21" t="s">
        <v>158</v>
      </c>
      <c r="Q135" s="16"/>
      <c r="R135" s="16"/>
    </row>
    <row r="136" s="14" customFormat="true" ht="16.5" hidden="false" customHeight="true" outlineLevel="0" collapsed="false">
      <c r="D136" s="134"/>
      <c r="E136" s="91" t="s">
        <v>377</v>
      </c>
      <c r="L136" s="213" t="n">
        <f aca="false">'SVC-5 Model'!L102</f>
        <v>0</v>
      </c>
      <c r="M136" s="213" t="n">
        <f aca="false">'SVC-5 Model'!M102</f>
        <v>0</v>
      </c>
      <c r="N136" s="213" t="n">
        <f aca="false">'SVC-5 Model'!N102</f>
        <v>0</v>
      </c>
      <c r="O136" s="213" t="n">
        <f aca="false">'SVC-5 Model'!O102</f>
        <v>0</v>
      </c>
      <c r="P136" s="213" t="n">
        <f aca="false">'SVC-5 Model'!P102</f>
        <v>0</v>
      </c>
      <c r="Q136" s="93" t="s">
        <v>266</v>
      </c>
      <c r="R136" s="16"/>
      <c r="T136" s="225" t="n">
        <f aca="false">'SVC-5 Model'!T102</f>
        <v>0</v>
      </c>
      <c r="U136" s="225" t="n">
        <f aca="false">'SVC-5 Model'!U102</f>
        <v>0</v>
      </c>
      <c r="V136" s="225" t="n">
        <f aca="false">'SVC-5 Model'!V102</f>
        <v>0</v>
      </c>
      <c r="W136" s="225" t="n">
        <f aca="false">'SVC-5 Model'!W102</f>
        <v>0</v>
      </c>
      <c r="X136" s="225" t="n">
        <f aca="false">'SVC-5 Model'!X102</f>
        <v>0</v>
      </c>
      <c r="Y136" s="225" t="n">
        <f aca="false">'SVC-5 Model'!Y102</f>
        <v>0</v>
      </c>
      <c r="Z136" s="225" t="n">
        <f aca="false">'SVC-5 Model'!Z102</f>
        <v>0</v>
      </c>
      <c r="AA136" s="225" t="n">
        <f aca="false">'SVC-5 Model'!AA102</f>
        <v>0</v>
      </c>
      <c r="AB136" s="225" t="n">
        <f aca="false">'SVC-5 Model'!AB102</f>
        <v>0</v>
      </c>
      <c r="AC136" s="225" t="n">
        <f aca="false">'SVC-5 Model'!AC102</f>
        <v>0</v>
      </c>
      <c r="AD136" s="225" t="n">
        <f aca="false">'SVC-5 Model'!AD102</f>
        <v>0</v>
      </c>
      <c r="AE136" s="225" t="n">
        <f aca="false">'SVC-5 Model'!AE102</f>
        <v>0</v>
      </c>
      <c r="AF136" s="225" t="n">
        <f aca="false">'SVC-5 Model'!AF102</f>
        <v>0</v>
      </c>
      <c r="AG136" s="225" t="n">
        <f aca="false">'SVC-5 Model'!AG102</f>
        <v>0</v>
      </c>
      <c r="AH136" s="225" t="n">
        <f aca="false">'SVC-5 Model'!AH102</f>
        <v>0</v>
      </c>
      <c r="AI136" s="225" t="n">
        <f aca="false">'SVC-5 Model'!AI102</f>
        <v>0</v>
      </c>
      <c r="AJ136" s="225" t="n">
        <f aca="false">'SVC-5 Model'!AJ102</f>
        <v>0</v>
      </c>
      <c r="AK136" s="225" t="n">
        <f aca="false">'SVC-5 Model'!AK102</f>
        <v>0</v>
      </c>
      <c r="AL136" s="225" t="n">
        <f aca="false">'SVC-5 Model'!AL102</f>
        <v>0</v>
      </c>
      <c r="AM136" s="225" t="n">
        <f aca="false">'SVC-5 Model'!AM102</f>
        <v>0</v>
      </c>
      <c r="AN136" s="225" t="n">
        <f aca="false">'SVC-5 Model'!AN102</f>
        <v>0</v>
      </c>
      <c r="AO136" s="225" t="n">
        <f aca="false">'SVC-5 Model'!AO102</f>
        <v>0</v>
      </c>
      <c r="AP136" s="225" t="n">
        <f aca="false">'SVC-5 Model'!AP102</f>
        <v>0</v>
      </c>
      <c r="AQ136" s="225" t="n">
        <f aca="false">'SVC-5 Model'!AQ102</f>
        <v>0</v>
      </c>
      <c r="AR136" s="225" t="n">
        <f aca="false">'SVC-5 Model'!AR102</f>
        <v>0</v>
      </c>
      <c r="AS136" s="225" t="n">
        <f aca="false">'SVC-5 Model'!AS102</f>
        <v>0</v>
      </c>
      <c r="AT136" s="225" t="n">
        <f aca="false">'SVC-5 Model'!AT102</f>
        <v>0</v>
      </c>
      <c r="AU136" s="225" t="n">
        <f aca="false">'SVC-5 Model'!AU102</f>
        <v>0</v>
      </c>
      <c r="AV136" s="225" t="n">
        <f aca="false">'SVC-5 Model'!AV102</f>
        <v>0</v>
      </c>
      <c r="AW136" s="225" t="n">
        <f aca="false">'SVC-5 Model'!AW102</f>
        <v>0</v>
      </c>
      <c r="AX136" s="225" t="n">
        <f aca="false">'SVC-5 Model'!AX102</f>
        <v>0</v>
      </c>
      <c r="AY136" s="225" t="n">
        <f aca="false">'SVC-5 Model'!AY102</f>
        <v>0</v>
      </c>
      <c r="AZ136" s="225" t="n">
        <f aca="false">'SVC-5 Model'!AZ102</f>
        <v>0</v>
      </c>
      <c r="BA136" s="225" t="n">
        <f aca="false">'SVC-5 Model'!BA102</f>
        <v>0</v>
      </c>
      <c r="BB136" s="225" t="n">
        <f aca="false">'SVC-5 Model'!BB102</f>
        <v>0</v>
      </c>
      <c r="BC136" s="225" t="n">
        <f aca="false">'SVC-5 Model'!BC102</f>
        <v>0</v>
      </c>
      <c r="BD136" s="225" t="n">
        <f aca="false">'SVC-5 Model'!BD102</f>
        <v>0</v>
      </c>
      <c r="BE136" s="225" t="n">
        <f aca="false">'SVC-5 Model'!BE102</f>
        <v>0</v>
      </c>
      <c r="BF136" s="225" t="n">
        <f aca="false">'SVC-5 Model'!BF102</f>
        <v>0</v>
      </c>
      <c r="BG136" s="225" t="n">
        <f aca="false">'SVC-5 Model'!BG102</f>
        <v>0</v>
      </c>
      <c r="BH136" s="225" t="n">
        <f aca="false">'SVC-5 Model'!BH102</f>
        <v>0</v>
      </c>
      <c r="BI136" s="225" t="n">
        <f aca="false">'SVC-5 Model'!BI102</f>
        <v>0</v>
      </c>
      <c r="BJ136" s="225" t="n">
        <f aca="false">'SVC-5 Model'!BJ102</f>
        <v>0</v>
      </c>
      <c r="BK136" s="225" t="n">
        <f aca="false">'SVC-5 Model'!BK102</f>
        <v>0</v>
      </c>
      <c r="BL136" s="225" t="n">
        <f aca="false">'SVC-5 Model'!BL102</f>
        <v>0</v>
      </c>
      <c r="BM136" s="225" t="n">
        <f aca="false">'SVC-5 Model'!BM102</f>
        <v>0</v>
      </c>
      <c r="BN136" s="225" t="n">
        <f aca="false">'SVC-5 Model'!BN102</f>
        <v>0</v>
      </c>
      <c r="BO136" s="225" t="n">
        <f aca="false">'SVC-5 Model'!BO102</f>
        <v>0</v>
      </c>
      <c r="BP136" s="225" t="n">
        <f aca="false">'SVC-5 Model'!BP102</f>
        <v>0</v>
      </c>
      <c r="BQ136" s="225" t="n">
        <f aca="false">'SVC-5 Model'!BQ102</f>
        <v>0</v>
      </c>
      <c r="BR136" s="225" t="n">
        <f aca="false">'SVC-5 Model'!BR102</f>
        <v>0</v>
      </c>
      <c r="BS136" s="225" t="n">
        <f aca="false">'SVC-5 Model'!BS102</f>
        <v>0</v>
      </c>
      <c r="BT136" s="225" t="n">
        <f aca="false">'SVC-5 Model'!BT102</f>
        <v>0</v>
      </c>
      <c r="BU136" s="225" t="n">
        <f aca="false">'SVC-5 Model'!BU102</f>
        <v>0</v>
      </c>
      <c r="BV136" s="225" t="n">
        <f aca="false">'SVC-5 Model'!BV102</f>
        <v>0</v>
      </c>
      <c r="BW136" s="225" t="n">
        <f aca="false">'SVC-5 Model'!BW102</f>
        <v>0</v>
      </c>
      <c r="BX136" s="225" t="n">
        <f aca="false">'SVC-5 Model'!BX102</f>
        <v>0</v>
      </c>
      <c r="BY136" s="225" t="n">
        <f aca="false">'SVC-5 Model'!BY102</f>
        <v>0</v>
      </c>
      <c r="BZ136" s="226" t="n">
        <f aca="false">'SVC-5 Model'!BZ102</f>
        <v>0</v>
      </c>
      <c r="CA136" s="226" t="n">
        <f aca="false">'SVC-5 Model'!CA102</f>
        <v>0</v>
      </c>
      <c r="CC136" s="79" t="n">
        <f aca="false">SUMIFS($T136:$CA136, $T$1:$CA$1, CC$63)</f>
        <v>0</v>
      </c>
      <c r="CD136" s="79" t="n">
        <f aca="false">SUMIFS($T136:$CA136, $T$1:$CA$1, CD$63)</f>
        <v>0</v>
      </c>
      <c r="CE136" s="79" t="n">
        <f aca="false">SUMIFS($T136:$CA136, $T$1:$CA$1, CE$63)</f>
        <v>0</v>
      </c>
      <c r="CF136" s="79" t="n">
        <f aca="false">SUMIFS($T136:$CA136, $T$1:$CA$1, CF$63)</f>
        <v>0</v>
      </c>
      <c r="CG136" s="79" t="n">
        <f aca="false">SUMIFS($T136:$CA136, $T$1:$CA$1, CG$63)</f>
        <v>0</v>
      </c>
      <c r="CI136" s="79" t="n">
        <f aca="false">CC136=L136</f>
        <v>1</v>
      </c>
      <c r="CJ136" s="79" t="n">
        <f aca="false">CD136=M136</f>
        <v>1</v>
      </c>
      <c r="CK136" s="79" t="n">
        <f aca="false">CE136=N136</f>
        <v>1</v>
      </c>
      <c r="CL136" s="79" t="n">
        <f aca="false">CF136=O136</f>
        <v>1</v>
      </c>
      <c r="CM136" s="79" t="n">
        <f aca="false">CG136=P136</f>
        <v>1</v>
      </c>
    </row>
    <row r="137" s="14" customFormat="true" ht="16.5" hidden="false" customHeight="true" outlineLevel="0" collapsed="false">
      <c r="D137" s="134"/>
      <c r="E137" s="91" t="s">
        <v>378</v>
      </c>
      <c r="L137" s="213" t="n">
        <f aca="false">'SVC-5 Model'!L103</f>
        <v>0</v>
      </c>
      <c r="M137" s="213" t="n">
        <f aca="false">'SVC-5 Model'!M103</f>
        <v>0</v>
      </c>
      <c r="N137" s="213" t="n">
        <f aca="false">'SVC-5 Model'!N103</f>
        <v>0</v>
      </c>
      <c r="O137" s="213" t="n">
        <f aca="false">'SVC-5 Model'!O103</f>
        <v>0</v>
      </c>
      <c r="P137" s="213" t="n">
        <f aca="false">'SVC-5 Model'!P103</f>
        <v>0</v>
      </c>
      <c r="Q137" s="93" t="s">
        <v>266</v>
      </c>
      <c r="R137" s="16"/>
      <c r="T137" s="225" t="n">
        <f aca="false">'SVC-5 Model'!T103</f>
        <v>0</v>
      </c>
      <c r="U137" s="225" t="n">
        <f aca="false">'SVC-5 Model'!U103</f>
        <v>0</v>
      </c>
      <c r="V137" s="225" t="n">
        <f aca="false">'SVC-5 Model'!V103</f>
        <v>0</v>
      </c>
      <c r="W137" s="225" t="n">
        <f aca="false">'SVC-5 Model'!W103</f>
        <v>0</v>
      </c>
      <c r="X137" s="225" t="n">
        <f aca="false">'SVC-5 Model'!X103</f>
        <v>0</v>
      </c>
      <c r="Y137" s="225" t="n">
        <f aca="false">'SVC-5 Model'!Y103</f>
        <v>0</v>
      </c>
      <c r="Z137" s="225" t="n">
        <f aca="false">'SVC-5 Model'!Z103</f>
        <v>0</v>
      </c>
      <c r="AA137" s="225" t="n">
        <f aca="false">'SVC-5 Model'!AA103</f>
        <v>0</v>
      </c>
      <c r="AB137" s="225" t="n">
        <f aca="false">'SVC-5 Model'!AB103</f>
        <v>0</v>
      </c>
      <c r="AC137" s="225" t="n">
        <f aca="false">'SVC-5 Model'!AC103</f>
        <v>0</v>
      </c>
      <c r="AD137" s="225" t="n">
        <f aca="false">'SVC-5 Model'!AD103</f>
        <v>0</v>
      </c>
      <c r="AE137" s="225" t="n">
        <f aca="false">'SVC-5 Model'!AE103</f>
        <v>0</v>
      </c>
      <c r="AF137" s="225" t="n">
        <f aca="false">'SVC-5 Model'!AF103</f>
        <v>0</v>
      </c>
      <c r="AG137" s="225" t="n">
        <f aca="false">'SVC-5 Model'!AG103</f>
        <v>0</v>
      </c>
      <c r="AH137" s="225" t="n">
        <f aca="false">'SVC-5 Model'!AH103</f>
        <v>0</v>
      </c>
      <c r="AI137" s="225" t="n">
        <f aca="false">'SVC-5 Model'!AI103</f>
        <v>0</v>
      </c>
      <c r="AJ137" s="225" t="n">
        <f aca="false">'SVC-5 Model'!AJ103</f>
        <v>0</v>
      </c>
      <c r="AK137" s="225" t="n">
        <f aca="false">'SVC-5 Model'!AK103</f>
        <v>0</v>
      </c>
      <c r="AL137" s="225" t="n">
        <f aca="false">'SVC-5 Model'!AL103</f>
        <v>0</v>
      </c>
      <c r="AM137" s="225" t="n">
        <f aca="false">'SVC-5 Model'!AM103</f>
        <v>0</v>
      </c>
      <c r="AN137" s="225" t="n">
        <f aca="false">'SVC-5 Model'!AN103</f>
        <v>0</v>
      </c>
      <c r="AO137" s="225" t="n">
        <f aca="false">'SVC-5 Model'!AO103</f>
        <v>0</v>
      </c>
      <c r="AP137" s="225" t="n">
        <f aca="false">'SVC-5 Model'!AP103</f>
        <v>0</v>
      </c>
      <c r="AQ137" s="225" t="n">
        <f aca="false">'SVC-5 Model'!AQ103</f>
        <v>0</v>
      </c>
      <c r="AR137" s="225" t="n">
        <f aca="false">'SVC-5 Model'!AR103</f>
        <v>0</v>
      </c>
      <c r="AS137" s="225" t="n">
        <f aca="false">'SVC-5 Model'!AS103</f>
        <v>0</v>
      </c>
      <c r="AT137" s="225" t="n">
        <f aca="false">'SVC-5 Model'!AT103</f>
        <v>0</v>
      </c>
      <c r="AU137" s="225" t="n">
        <f aca="false">'SVC-5 Model'!AU103</f>
        <v>0</v>
      </c>
      <c r="AV137" s="225" t="n">
        <f aca="false">'SVC-5 Model'!AV103</f>
        <v>0</v>
      </c>
      <c r="AW137" s="225" t="n">
        <f aca="false">'SVC-5 Model'!AW103</f>
        <v>0</v>
      </c>
      <c r="AX137" s="225" t="n">
        <f aca="false">'SVC-5 Model'!AX103</f>
        <v>0</v>
      </c>
      <c r="AY137" s="225" t="n">
        <f aca="false">'SVC-5 Model'!AY103</f>
        <v>0</v>
      </c>
      <c r="AZ137" s="225" t="n">
        <f aca="false">'SVC-5 Model'!AZ103</f>
        <v>0</v>
      </c>
      <c r="BA137" s="225" t="n">
        <f aca="false">'SVC-5 Model'!BA103</f>
        <v>0</v>
      </c>
      <c r="BB137" s="225" t="n">
        <f aca="false">'SVC-5 Model'!BB103</f>
        <v>0</v>
      </c>
      <c r="BC137" s="225" t="n">
        <f aca="false">'SVC-5 Model'!BC103</f>
        <v>0</v>
      </c>
      <c r="BD137" s="225" t="n">
        <f aca="false">'SVC-5 Model'!BD103</f>
        <v>0</v>
      </c>
      <c r="BE137" s="225" t="n">
        <f aca="false">'SVC-5 Model'!BE103</f>
        <v>0</v>
      </c>
      <c r="BF137" s="225" t="n">
        <f aca="false">'SVC-5 Model'!BF103</f>
        <v>0</v>
      </c>
      <c r="BG137" s="225" t="n">
        <f aca="false">'SVC-5 Model'!BG103</f>
        <v>0</v>
      </c>
      <c r="BH137" s="225" t="n">
        <f aca="false">'SVC-5 Model'!BH103</f>
        <v>0</v>
      </c>
      <c r="BI137" s="225" t="n">
        <f aca="false">'SVC-5 Model'!BI103</f>
        <v>0</v>
      </c>
      <c r="BJ137" s="225" t="n">
        <f aca="false">'SVC-5 Model'!BJ103</f>
        <v>0</v>
      </c>
      <c r="BK137" s="225" t="n">
        <f aca="false">'SVC-5 Model'!BK103</f>
        <v>0</v>
      </c>
      <c r="BL137" s="225" t="n">
        <f aca="false">'SVC-5 Model'!BL103</f>
        <v>0</v>
      </c>
      <c r="BM137" s="225" t="n">
        <f aca="false">'SVC-5 Model'!BM103</f>
        <v>0</v>
      </c>
      <c r="BN137" s="225" t="n">
        <f aca="false">'SVC-5 Model'!BN103</f>
        <v>0</v>
      </c>
      <c r="BO137" s="225" t="n">
        <f aca="false">'SVC-5 Model'!BO103</f>
        <v>0</v>
      </c>
      <c r="BP137" s="225" t="n">
        <f aca="false">'SVC-5 Model'!BP103</f>
        <v>0</v>
      </c>
      <c r="BQ137" s="225" t="n">
        <f aca="false">'SVC-5 Model'!BQ103</f>
        <v>0</v>
      </c>
      <c r="BR137" s="225" t="n">
        <f aca="false">'SVC-5 Model'!BR103</f>
        <v>0</v>
      </c>
      <c r="BS137" s="225" t="n">
        <f aca="false">'SVC-5 Model'!BS103</f>
        <v>0</v>
      </c>
      <c r="BT137" s="225" t="n">
        <f aca="false">'SVC-5 Model'!BT103</f>
        <v>0</v>
      </c>
      <c r="BU137" s="225" t="n">
        <f aca="false">'SVC-5 Model'!BU103</f>
        <v>0</v>
      </c>
      <c r="BV137" s="225" t="n">
        <f aca="false">'SVC-5 Model'!BV103</f>
        <v>0</v>
      </c>
      <c r="BW137" s="225" t="n">
        <f aca="false">'SVC-5 Model'!BW103</f>
        <v>0</v>
      </c>
      <c r="BX137" s="225" t="n">
        <f aca="false">'SVC-5 Model'!BX103</f>
        <v>0</v>
      </c>
      <c r="BY137" s="225" t="n">
        <f aca="false">'SVC-5 Model'!BY103</f>
        <v>0</v>
      </c>
      <c r="BZ137" s="226" t="n">
        <f aca="false">'SVC-5 Model'!BZ103</f>
        <v>0</v>
      </c>
      <c r="CA137" s="226" t="n">
        <f aca="false">'SVC-5 Model'!CA103</f>
        <v>0</v>
      </c>
      <c r="CC137" s="79" t="n">
        <f aca="false">SUMIFS($T137:$CA137, $T$1:$CA$1, CC$63)</f>
        <v>0</v>
      </c>
      <c r="CD137" s="79" t="n">
        <f aca="false">SUMIFS($T137:$CA137, $T$1:$CA$1, CD$63)</f>
        <v>0</v>
      </c>
      <c r="CE137" s="79" t="n">
        <f aca="false">SUMIFS($T137:$CA137, $T$1:$CA$1, CE$63)</f>
        <v>0</v>
      </c>
      <c r="CF137" s="79" t="n">
        <f aca="false">SUMIFS($T137:$CA137, $T$1:$CA$1, CF$63)</f>
        <v>0</v>
      </c>
      <c r="CG137" s="79" t="n">
        <f aca="false">SUMIFS($T137:$CA137, $T$1:$CA$1, CG$63)</f>
        <v>0</v>
      </c>
      <c r="CI137" s="79" t="n">
        <f aca="false">CC137=L137</f>
        <v>1</v>
      </c>
      <c r="CJ137" s="79" t="n">
        <f aca="false">CD137=M137</f>
        <v>1</v>
      </c>
      <c r="CK137" s="79" t="n">
        <f aca="false">CE137=N137</f>
        <v>1</v>
      </c>
      <c r="CL137" s="79" t="n">
        <f aca="false">CF137=O137</f>
        <v>1</v>
      </c>
      <c r="CM137" s="79" t="n">
        <f aca="false">CG137=P137</f>
        <v>1</v>
      </c>
    </row>
    <row r="138" s="14" customFormat="true" ht="16.5" hidden="false" customHeight="true" outlineLevel="0" collapsed="false">
      <c r="E138" s="96" t="s">
        <v>160</v>
      </c>
      <c r="L138" s="82" t="n">
        <f aca="false">SUM(L136:L137)</f>
        <v>0</v>
      </c>
      <c r="M138" s="82" t="n">
        <f aca="false">SUM(M136:M137)</f>
        <v>0</v>
      </c>
      <c r="N138" s="82" t="n">
        <f aca="false">SUM(N136:N137)</f>
        <v>0</v>
      </c>
      <c r="O138" s="82" t="n">
        <f aca="false">SUM(O136:O137)</f>
        <v>0</v>
      </c>
      <c r="P138" s="82" t="n">
        <f aca="false">SUM(P136:P137)</f>
        <v>0</v>
      </c>
      <c r="Q138" s="16"/>
      <c r="R138" s="16"/>
      <c r="T138" s="131" t="n">
        <f aca="false">SUM(T136:T137)</f>
        <v>0</v>
      </c>
      <c r="U138" s="131" t="n">
        <f aca="false">SUM(U136:U137)</f>
        <v>0</v>
      </c>
      <c r="V138" s="131" t="n">
        <f aca="false">SUM(V136:V137)</f>
        <v>0</v>
      </c>
      <c r="W138" s="131" t="n">
        <f aca="false">SUM(W136:W137)</f>
        <v>0</v>
      </c>
      <c r="X138" s="131" t="n">
        <f aca="false">SUM(X136:X137)</f>
        <v>0</v>
      </c>
      <c r="Y138" s="131" t="n">
        <f aca="false">SUM(Y136:Y137)</f>
        <v>0</v>
      </c>
      <c r="Z138" s="131" t="n">
        <f aca="false">SUM(Z136:Z137)</f>
        <v>0</v>
      </c>
      <c r="AA138" s="131" t="n">
        <f aca="false">SUM(AA136:AA137)</f>
        <v>0</v>
      </c>
      <c r="AB138" s="131" t="n">
        <f aca="false">SUM(AB136:AB137)</f>
        <v>0</v>
      </c>
      <c r="AC138" s="131" t="n">
        <f aca="false">SUM(AC136:AC137)</f>
        <v>0</v>
      </c>
      <c r="AD138" s="131" t="n">
        <f aca="false">SUM(AD136:AD137)</f>
        <v>0</v>
      </c>
      <c r="AE138" s="131" t="n">
        <f aca="false">SUM(AE136:AE137)</f>
        <v>0</v>
      </c>
      <c r="AF138" s="131" t="n">
        <f aca="false">SUM(AF136:AF137)</f>
        <v>0</v>
      </c>
      <c r="AG138" s="131" t="n">
        <f aca="false">SUM(AG136:AG137)</f>
        <v>0</v>
      </c>
      <c r="AH138" s="131" t="n">
        <f aca="false">SUM(AH136:AH137)</f>
        <v>0</v>
      </c>
      <c r="AI138" s="131" t="n">
        <f aca="false">SUM(AI136:AI137)</f>
        <v>0</v>
      </c>
      <c r="AJ138" s="131" t="n">
        <f aca="false">SUM(AJ136:AJ137)</f>
        <v>0</v>
      </c>
      <c r="AK138" s="131" t="n">
        <f aca="false">SUM(AK136:AK137)</f>
        <v>0</v>
      </c>
      <c r="AL138" s="131" t="n">
        <f aca="false">SUM(AL136:AL137)</f>
        <v>0</v>
      </c>
      <c r="AM138" s="131" t="n">
        <f aca="false">SUM(AM136:AM137)</f>
        <v>0</v>
      </c>
      <c r="AN138" s="131" t="n">
        <f aca="false">SUM(AN136:AN137)</f>
        <v>0</v>
      </c>
      <c r="AO138" s="131" t="n">
        <f aca="false">SUM(AO136:AO137)</f>
        <v>0</v>
      </c>
      <c r="AP138" s="131" t="n">
        <f aca="false">SUM(AP136:AP137)</f>
        <v>0</v>
      </c>
      <c r="AQ138" s="131" t="n">
        <f aca="false">SUM(AQ136:AQ137)</f>
        <v>0</v>
      </c>
      <c r="AR138" s="131" t="n">
        <f aca="false">SUM(AR136:AR137)</f>
        <v>0</v>
      </c>
      <c r="AS138" s="131" t="n">
        <f aca="false">SUM(AS136:AS137)</f>
        <v>0</v>
      </c>
      <c r="AT138" s="131" t="n">
        <f aca="false">SUM(AT136:AT137)</f>
        <v>0</v>
      </c>
      <c r="AU138" s="131" t="n">
        <f aca="false">SUM(AU136:AU137)</f>
        <v>0</v>
      </c>
      <c r="AV138" s="131" t="n">
        <f aca="false">SUM(AV136:AV137)</f>
        <v>0</v>
      </c>
      <c r="AW138" s="131" t="n">
        <f aca="false">SUM(AW136:AW137)</f>
        <v>0</v>
      </c>
      <c r="AX138" s="131" t="n">
        <f aca="false">SUM(AX136:AX137)</f>
        <v>0</v>
      </c>
      <c r="AY138" s="131" t="n">
        <f aca="false">SUM(AY136:AY137)</f>
        <v>0</v>
      </c>
      <c r="AZ138" s="131" t="n">
        <f aca="false">SUM(AZ136:AZ137)</f>
        <v>0</v>
      </c>
      <c r="BA138" s="131" t="n">
        <f aca="false">SUM(BA136:BA137)</f>
        <v>0</v>
      </c>
      <c r="BB138" s="131" t="n">
        <f aca="false">SUM(BB136:BB137)</f>
        <v>0</v>
      </c>
      <c r="BC138" s="131" t="n">
        <f aca="false">SUM(BC136:BC137)</f>
        <v>0</v>
      </c>
      <c r="BD138" s="131" t="n">
        <f aca="false">SUM(BD136:BD137)</f>
        <v>0</v>
      </c>
      <c r="BE138" s="131" t="n">
        <f aca="false">SUM(BE136:BE137)</f>
        <v>0</v>
      </c>
      <c r="BF138" s="131" t="n">
        <f aca="false">SUM(BF136:BF137)</f>
        <v>0</v>
      </c>
      <c r="BG138" s="131" t="n">
        <f aca="false">SUM(BG136:BG137)</f>
        <v>0</v>
      </c>
      <c r="BH138" s="131" t="n">
        <f aca="false">SUM(BH136:BH137)</f>
        <v>0</v>
      </c>
      <c r="BI138" s="131" t="n">
        <f aca="false">SUM(BI136:BI137)</f>
        <v>0</v>
      </c>
      <c r="BJ138" s="131" t="n">
        <f aca="false">SUM(BJ136:BJ137)</f>
        <v>0</v>
      </c>
      <c r="BK138" s="131" t="n">
        <f aca="false">SUM(BK136:BK137)</f>
        <v>0</v>
      </c>
      <c r="BL138" s="131" t="n">
        <f aca="false">SUM(BL136:BL137)</f>
        <v>0</v>
      </c>
      <c r="BM138" s="131" t="n">
        <f aca="false">SUM(BM136:BM137)</f>
        <v>0</v>
      </c>
      <c r="BN138" s="131" t="n">
        <f aca="false">SUM(BN136:BN137)</f>
        <v>0</v>
      </c>
      <c r="BO138" s="131" t="n">
        <f aca="false">SUM(BO136:BO137)</f>
        <v>0</v>
      </c>
      <c r="BP138" s="131" t="n">
        <f aca="false">SUM(BP136:BP137)</f>
        <v>0</v>
      </c>
      <c r="BQ138" s="131" t="n">
        <f aca="false">SUM(BQ136:BQ137)</f>
        <v>0</v>
      </c>
      <c r="BR138" s="131" t="n">
        <f aca="false">SUM(BR136:BR137)</f>
        <v>0</v>
      </c>
      <c r="BS138" s="131" t="n">
        <f aca="false">SUM(BS136:BS137)</f>
        <v>0</v>
      </c>
      <c r="BT138" s="131" t="n">
        <f aca="false">SUM(BT136:BT137)</f>
        <v>0</v>
      </c>
      <c r="BU138" s="131" t="n">
        <f aca="false">SUM(BU136:BU137)</f>
        <v>0</v>
      </c>
      <c r="BV138" s="131" t="n">
        <f aca="false">SUM(BV136:BV137)</f>
        <v>0</v>
      </c>
      <c r="BW138" s="131" t="n">
        <f aca="false">SUM(BW136:BW137)</f>
        <v>0</v>
      </c>
      <c r="BX138" s="131" t="n">
        <f aca="false">SUM(BX136:BX137)</f>
        <v>0</v>
      </c>
      <c r="BY138" s="131" t="n">
        <f aca="false">SUM(BY136:BY137)</f>
        <v>0</v>
      </c>
      <c r="BZ138" s="136" t="n">
        <f aca="false">SUM(BZ136:BZ137)</f>
        <v>0</v>
      </c>
      <c r="CA138" s="136" t="n">
        <f aca="false">SUM(CA136:CA137)</f>
        <v>0</v>
      </c>
      <c r="CC138" s="136" t="n">
        <f aca="false">SUM(CC136:CC137)</f>
        <v>0</v>
      </c>
      <c r="CD138" s="136" t="n">
        <f aca="false">SUM(CD136:CD137)</f>
        <v>0</v>
      </c>
      <c r="CE138" s="136" t="n">
        <f aca="false">SUM(CE136:CE137)</f>
        <v>0</v>
      </c>
      <c r="CF138" s="136" t="n">
        <f aca="false">SUM(CF136:CF137)</f>
        <v>0</v>
      </c>
      <c r="CG138" s="136" t="n">
        <f aca="false">SUM(CG136:CG137)</f>
        <v>0</v>
      </c>
      <c r="CI138" s="136" t="n">
        <f aca="false">CC138=L138</f>
        <v>1</v>
      </c>
      <c r="CJ138" s="136" t="n">
        <f aca="false">CD138=M138</f>
        <v>1</v>
      </c>
      <c r="CK138" s="136" t="n">
        <f aca="false">CE138=N138</f>
        <v>1</v>
      </c>
      <c r="CL138" s="136" t="n">
        <f aca="false">CF138=O138</f>
        <v>1</v>
      </c>
      <c r="CM138" s="136" t="n">
        <f aca="false">CG138=P138</f>
        <v>1</v>
      </c>
    </row>
    <row r="139" s="14" customFormat="true" ht="16.5" hidden="false" customHeight="true" outlineLevel="0" collapsed="false">
      <c r="L139" s="88"/>
      <c r="M139" s="88"/>
      <c r="N139" s="88"/>
      <c r="O139" s="88"/>
      <c r="P139" s="88"/>
      <c r="Q139" s="16"/>
      <c r="R139" s="16"/>
      <c r="T139" s="137"/>
      <c r="U139" s="137"/>
      <c r="V139" s="137"/>
      <c r="W139" s="137"/>
      <c r="X139" s="137"/>
      <c r="Y139" s="137"/>
      <c r="Z139" s="137"/>
      <c r="AA139" s="137"/>
      <c r="AB139" s="137"/>
      <c r="AC139" s="137"/>
      <c r="AD139" s="137"/>
      <c r="AE139" s="137"/>
      <c r="AF139" s="137"/>
      <c r="AG139" s="137"/>
      <c r="AH139" s="137"/>
      <c r="AI139" s="137"/>
      <c r="AJ139" s="137"/>
      <c r="AK139" s="137"/>
      <c r="AL139" s="137"/>
      <c r="AM139" s="137"/>
      <c r="AN139" s="137"/>
      <c r="AO139" s="137"/>
      <c r="AP139" s="137"/>
      <c r="AQ139" s="137"/>
      <c r="AR139" s="137"/>
      <c r="AS139" s="137"/>
      <c r="AT139" s="137"/>
      <c r="AU139" s="137"/>
      <c r="AV139" s="137"/>
      <c r="AW139" s="137"/>
      <c r="AX139" s="137"/>
      <c r="AY139" s="137"/>
      <c r="AZ139" s="137"/>
      <c r="BA139" s="137"/>
      <c r="BB139" s="137"/>
      <c r="BC139" s="137"/>
      <c r="BD139" s="137"/>
      <c r="BE139" s="137"/>
      <c r="BF139" s="137"/>
      <c r="BG139" s="137"/>
      <c r="BH139" s="137"/>
      <c r="BI139" s="137"/>
      <c r="BJ139" s="137"/>
      <c r="BK139" s="137"/>
      <c r="BL139" s="137"/>
      <c r="BM139" s="137"/>
      <c r="BN139" s="137"/>
      <c r="BO139" s="137"/>
      <c r="BP139" s="137"/>
      <c r="BQ139" s="137"/>
      <c r="BR139" s="137"/>
      <c r="BS139" s="137"/>
      <c r="BT139" s="137"/>
      <c r="BU139" s="137"/>
      <c r="BV139" s="137"/>
      <c r="BW139" s="137"/>
      <c r="BX139" s="137"/>
      <c r="BY139" s="137"/>
      <c r="BZ139" s="121"/>
      <c r="CA139" s="121"/>
    </row>
    <row r="140" s="14" customFormat="true" ht="16.5" hidden="false" customHeight="true" outlineLevel="0" collapsed="false">
      <c r="E140" s="21" t="s">
        <v>161</v>
      </c>
      <c r="L140" s="88"/>
      <c r="M140" s="88"/>
      <c r="N140" s="88"/>
      <c r="O140" s="88"/>
      <c r="P140" s="88"/>
      <c r="Q140" s="16"/>
      <c r="R140" s="16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7"/>
      <c r="AH140" s="137"/>
      <c r="AI140" s="137"/>
      <c r="AJ140" s="137"/>
      <c r="AK140" s="137"/>
      <c r="AL140" s="137"/>
      <c r="AM140" s="137"/>
      <c r="AN140" s="137"/>
      <c r="AO140" s="137"/>
      <c r="AP140" s="137"/>
      <c r="AQ140" s="137"/>
      <c r="AR140" s="137"/>
      <c r="AS140" s="137"/>
      <c r="AT140" s="137"/>
      <c r="AU140" s="137"/>
      <c r="AV140" s="137"/>
      <c r="AW140" s="137"/>
      <c r="AX140" s="137"/>
      <c r="AY140" s="137"/>
      <c r="AZ140" s="137"/>
      <c r="BA140" s="137"/>
      <c r="BB140" s="137"/>
      <c r="BC140" s="137"/>
      <c r="BD140" s="137"/>
      <c r="BE140" s="137"/>
      <c r="BF140" s="137"/>
      <c r="BG140" s="137"/>
      <c r="BH140" s="137"/>
      <c r="BI140" s="137"/>
      <c r="BJ140" s="137"/>
      <c r="BK140" s="137"/>
      <c r="BL140" s="137"/>
      <c r="BM140" s="137"/>
      <c r="BN140" s="137"/>
      <c r="BO140" s="137"/>
      <c r="BP140" s="137"/>
      <c r="BQ140" s="137"/>
      <c r="BR140" s="137"/>
      <c r="BS140" s="137"/>
      <c r="BT140" s="137"/>
      <c r="BU140" s="137"/>
      <c r="BV140" s="137"/>
      <c r="BW140" s="137"/>
      <c r="BX140" s="137"/>
      <c r="BY140" s="137"/>
      <c r="BZ140" s="121"/>
      <c r="CA140" s="121"/>
    </row>
    <row r="141" s="14" customFormat="true" ht="16.5" hidden="false" customHeight="true" outlineLevel="0" collapsed="false">
      <c r="E141" s="91" t="s">
        <v>379</v>
      </c>
      <c r="K141" s="29"/>
      <c r="L141" s="213" t="n">
        <f aca="false">'SVC-5 Model'!L104</f>
        <v>0</v>
      </c>
      <c r="M141" s="213" t="n">
        <f aca="false">'SVC-5 Model'!M104</f>
        <v>1.39333333333333</v>
      </c>
      <c r="N141" s="213" t="n">
        <f aca="false">'SVC-5 Model'!N104</f>
        <v>0.366666666666667</v>
      </c>
      <c r="O141" s="213" t="n">
        <f aca="false">'SVC-5 Model'!O104</f>
        <v>0</v>
      </c>
      <c r="P141" s="213" t="n">
        <f aca="false">'SVC-5 Model'!P104</f>
        <v>0</v>
      </c>
      <c r="Q141" s="93" t="s">
        <v>266</v>
      </c>
      <c r="R141" s="16"/>
      <c r="T141" s="225" t="n">
        <f aca="false">'SVC-5 Model'!T104</f>
        <v>0</v>
      </c>
      <c r="U141" s="225" t="n">
        <f aca="false">'SVC-5 Model'!U104</f>
        <v>0</v>
      </c>
      <c r="V141" s="225" t="n">
        <f aca="false">'SVC-5 Model'!V104</f>
        <v>0</v>
      </c>
      <c r="W141" s="225" t="n">
        <f aca="false">'SVC-5 Model'!W104</f>
        <v>0</v>
      </c>
      <c r="X141" s="225" t="n">
        <f aca="false">'SVC-5 Model'!X104</f>
        <v>0</v>
      </c>
      <c r="Y141" s="225" t="n">
        <f aca="false">'SVC-5 Model'!Y104</f>
        <v>0</v>
      </c>
      <c r="Z141" s="225" t="n">
        <f aca="false">'SVC-5 Model'!Z104</f>
        <v>0</v>
      </c>
      <c r="AA141" s="225" t="n">
        <f aca="false">'SVC-5 Model'!AA104</f>
        <v>0</v>
      </c>
      <c r="AB141" s="225" t="n">
        <f aca="false">'SVC-5 Model'!AB104</f>
        <v>0</v>
      </c>
      <c r="AC141" s="225" t="n">
        <f aca="false">'SVC-5 Model'!AC104</f>
        <v>0</v>
      </c>
      <c r="AD141" s="225" t="n">
        <f aca="false">'SVC-5 Model'!AD104</f>
        <v>0</v>
      </c>
      <c r="AE141" s="225" t="n">
        <f aca="false">'SVC-5 Model'!AE104</f>
        <v>0</v>
      </c>
      <c r="AF141" s="225" t="n">
        <f aca="false">'SVC-5 Model'!AF104</f>
        <v>0.0733333333333334</v>
      </c>
      <c r="AG141" s="225" t="n">
        <f aca="false">'SVC-5 Model'!AG104</f>
        <v>0.0733333333333334</v>
      </c>
      <c r="AH141" s="225" t="n">
        <f aca="false">'SVC-5 Model'!AH104</f>
        <v>0.146666666666667</v>
      </c>
      <c r="AI141" s="225" t="n">
        <f aca="false">'SVC-5 Model'!AI104</f>
        <v>0.146666666666667</v>
      </c>
      <c r="AJ141" s="225" t="n">
        <f aca="false">'SVC-5 Model'!AJ104</f>
        <v>0.146666666666667</v>
      </c>
      <c r="AK141" s="225" t="n">
        <f aca="false">'SVC-5 Model'!AK104</f>
        <v>0.146666666666667</v>
      </c>
      <c r="AL141" s="225" t="n">
        <f aca="false">'SVC-5 Model'!AL104</f>
        <v>0.146666666666667</v>
      </c>
      <c r="AM141" s="225" t="n">
        <f aca="false">'SVC-5 Model'!AM104</f>
        <v>0.146666666666667</v>
      </c>
      <c r="AN141" s="225" t="n">
        <f aca="false">'SVC-5 Model'!AN104</f>
        <v>0.0916666666666667</v>
      </c>
      <c r="AO141" s="225" t="n">
        <f aca="false">'SVC-5 Model'!AO104</f>
        <v>0.0916666666666667</v>
      </c>
      <c r="AP141" s="225" t="n">
        <f aca="false">'SVC-5 Model'!AP104</f>
        <v>0.0916666666666667</v>
      </c>
      <c r="AQ141" s="225" t="n">
        <f aca="false">'SVC-5 Model'!AQ104</f>
        <v>0.0916666666666667</v>
      </c>
      <c r="AR141" s="225" t="n">
        <f aca="false">'SVC-5 Model'!AR104</f>
        <v>0.0916666666666667</v>
      </c>
      <c r="AS141" s="225" t="n">
        <f aca="false">'SVC-5 Model'!AS104</f>
        <v>0.0916666666666667</v>
      </c>
      <c r="AT141" s="225" t="n">
        <f aca="false">'SVC-5 Model'!AT104</f>
        <v>0.0916666666666667</v>
      </c>
      <c r="AU141" s="225" t="n">
        <f aca="false">'SVC-5 Model'!AU104</f>
        <v>0.0916666666666667</v>
      </c>
      <c r="AV141" s="225" t="n">
        <f aca="false">'SVC-5 Model'!AV104</f>
        <v>0</v>
      </c>
      <c r="AW141" s="225" t="n">
        <f aca="false">'SVC-5 Model'!AW104</f>
        <v>0</v>
      </c>
      <c r="AX141" s="225" t="n">
        <f aca="false">'SVC-5 Model'!AX104</f>
        <v>0</v>
      </c>
      <c r="AY141" s="225" t="n">
        <f aca="false">'SVC-5 Model'!AY104</f>
        <v>0</v>
      </c>
      <c r="AZ141" s="225" t="n">
        <f aca="false">'SVC-5 Model'!AZ104</f>
        <v>0</v>
      </c>
      <c r="BA141" s="225" t="n">
        <f aca="false">'SVC-5 Model'!BA104</f>
        <v>0</v>
      </c>
      <c r="BB141" s="225" t="n">
        <f aca="false">'SVC-5 Model'!BB104</f>
        <v>0</v>
      </c>
      <c r="BC141" s="225" t="n">
        <f aca="false">'SVC-5 Model'!BC104</f>
        <v>0</v>
      </c>
      <c r="BD141" s="225" t="n">
        <f aca="false">'SVC-5 Model'!BD104</f>
        <v>0</v>
      </c>
      <c r="BE141" s="225" t="n">
        <f aca="false">'SVC-5 Model'!BE104</f>
        <v>0</v>
      </c>
      <c r="BF141" s="225" t="n">
        <f aca="false">'SVC-5 Model'!BF104</f>
        <v>0</v>
      </c>
      <c r="BG141" s="225" t="n">
        <f aca="false">'SVC-5 Model'!BG104</f>
        <v>0</v>
      </c>
      <c r="BH141" s="225" t="n">
        <f aca="false">'SVC-5 Model'!BH104</f>
        <v>0</v>
      </c>
      <c r="BI141" s="225" t="n">
        <f aca="false">'SVC-5 Model'!BI104</f>
        <v>0</v>
      </c>
      <c r="BJ141" s="225" t="n">
        <f aca="false">'SVC-5 Model'!BJ104</f>
        <v>0</v>
      </c>
      <c r="BK141" s="225" t="n">
        <f aca="false">'SVC-5 Model'!BK104</f>
        <v>0</v>
      </c>
      <c r="BL141" s="225" t="n">
        <f aca="false">'SVC-5 Model'!BL104</f>
        <v>0</v>
      </c>
      <c r="BM141" s="225" t="n">
        <f aca="false">'SVC-5 Model'!BM104</f>
        <v>0</v>
      </c>
      <c r="BN141" s="225" t="n">
        <f aca="false">'SVC-5 Model'!BN104</f>
        <v>0</v>
      </c>
      <c r="BO141" s="225" t="n">
        <f aca="false">'SVC-5 Model'!BO104</f>
        <v>0</v>
      </c>
      <c r="BP141" s="225" t="n">
        <f aca="false">'SVC-5 Model'!BP104</f>
        <v>0</v>
      </c>
      <c r="BQ141" s="225" t="n">
        <f aca="false">'SVC-5 Model'!BQ104</f>
        <v>0</v>
      </c>
      <c r="BR141" s="225" t="n">
        <f aca="false">'SVC-5 Model'!BR104</f>
        <v>0</v>
      </c>
      <c r="BS141" s="225" t="n">
        <f aca="false">'SVC-5 Model'!BS104</f>
        <v>0</v>
      </c>
      <c r="BT141" s="225" t="n">
        <f aca="false">'SVC-5 Model'!BT104</f>
        <v>0</v>
      </c>
      <c r="BU141" s="225" t="n">
        <f aca="false">'SVC-5 Model'!BU104</f>
        <v>0</v>
      </c>
      <c r="BV141" s="225" t="n">
        <f aca="false">'SVC-5 Model'!BV104</f>
        <v>0</v>
      </c>
      <c r="BW141" s="225" t="n">
        <f aca="false">'SVC-5 Model'!BW104</f>
        <v>0</v>
      </c>
      <c r="BX141" s="225" t="n">
        <f aca="false">'SVC-5 Model'!BX104</f>
        <v>0</v>
      </c>
      <c r="BY141" s="225" t="n">
        <f aca="false">'SVC-5 Model'!BY104</f>
        <v>0</v>
      </c>
      <c r="BZ141" s="227" t="n">
        <f aca="false">'SVC-5 Model'!BZ104</f>
        <v>0</v>
      </c>
      <c r="CA141" s="227" t="n">
        <f aca="false">'SVC-5 Model'!CA104</f>
        <v>0</v>
      </c>
      <c r="CC141" s="79" t="n">
        <f aca="false">SUMIFS($T141:$CA141, $T$1:$CA$1, CC$63)</f>
        <v>0</v>
      </c>
      <c r="CD141" s="79" t="n">
        <f aca="false">SUMIFS($T141:$CA141, $T$1:$CA$1, CD$63)</f>
        <v>1.39333333333333</v>
      </c>
      <c r="CE141" s="79" t="n">
        <f aca="false">SUMIFS($T141:$CA141, $T$1:$CA$1, CE$63)</f>
        <v>0.366666666666667</v>
      </c>
      <c r="CF141" s="79" t="n">
        <f aca="false">SUMIFS($T141:$CA141, $T$1:$CA$1, CF$63)</f>
        <v>0</v>
      </c>
      <c r="CG141" s="79" t="n">
        <f aca="false">SUMIFS($T141:$CA141, $T$1:$CA$1, CG$63)</f>
        <v>0</v>
      </c>
      <c r="CI141" s="79" t="n">
        <f aca="false">CC141=L141</f>
        <v>1</v>
      </c>
      <c r="CJ141" s="79" t="n">
        <f aca="false">CD141=M141</f>
        <v>1</v>
      </c>
      <c r="CK141" s="79" t="n">
        <f aca="false">CE141=N141</f>
        <v>1</v>
      </c>
      <c r="CL141" s="79" t="n">
        <f aca="false">CF141=O141</f>
        <v>1</v>
      </c>
      <c r="CM141" s="79" t="n">
        <f aca="false">CG141=P141</f>
        <v>1</v>
      </c>
    </row>
    <row r="142" s="14" customFormat="true" ht="16.5" hidden="false" customHeight="true" outlineLevel="0" collapsed="false">
      <c r="E142" s="91" t="s">
        <v>380</v>
      </c>
      <c r="L142" s="213" t="n">
        <f aca="false">'SVC-5 Model'!L105</f>
        <v>0</v>
      </c>
      <c r="M142" s="213" t="n">
        <f aca="false">'SVC-5 Model'!M105</f>
        <v>0.85289</v>
      </c>
      <c r="N142" s="213" t="n">
        <f aca="false">'SVC-5 Model'!N105</f>
        <v>0.10763</v>
      </c>
      <c r="O142" s="213" t="n">
        <f aca="false">'SVC-5 Model'!O105</f>
        <v>0</v>
      </c>
      <c r="P142" s="213" t="n">
        <f aca="false">'SVC-5 Model'!P105</f>
        <v>0</v>
      </c>
      <c r="Q142" s="93" t="s">
        <v>266</v>
      </c>
      <c r="R142" s="16"/>
      <c r="T142" s="225" t="n">
        <f aca="false">'SVC-5 Model'!T105</f>
        <v>0</v>
      </c>
      <c r="U142" s="225" t="n">
        <f aca="false">'SVC-5 Model'!U105</f>
        <v>0</v>
      </c>
      <c r="V142" s="225" t="n">
        <f aca="false">'SVC-5 Model'!V105</f>
        <v>0</v>
      </c>
      <c r="W142" s="225" t="n">
        <f aca="false">'SVC-5 Model'!W105</f>
        <v>0</v>
      </c>
      <c r="X142" s="225" t="n">
        <f aca="false">'SVC-5 Model'!X105</f>
        <v>0</v>
      </c>
      <c r="Y142" s="225" t="n">
        <f aca="false">'SVC-5 Model'!Y105</f>
        <v>0</v>
      </c>
      <c r="Z142" s="225" t="n">
        <f aca="false">'SVC-5 Model'!Z105</f>
        <v>0</v>
      </c>
      <c r="AA142" s="225" t="n">
        <f aca="false">'SVC-5 Model'!AA105</f>
        <v>0</v>
      </c>
      <c r="AB142" s="225" t="n">
        <f aca="false">'SVC-5 Model'!AB105</f>
        <v>0</v>
      </c>
      <c r="AC142" s="225" t="n">
        <f aca="false">'SVC-5 Model'!AC105</f>
        <v>0</v>
      </c>
      <c r="AD142" s="225" t="n">
        <f aca="false">'SVC-5 Model'!AD105</f>
        <v>0</v>
      </c>
      <c r="AE142" s="225" t="n">
        <f aca="false">'SVC-5 Model'!AE105</f>
        <v>0</v>
      </c>
      <c r="AF142" s="225" t="n">
        <f aca="false">'SVC-5 Model'!AF105</f>
        <v>0.0269075</v>
      </c>
      <c r="AG142" s="225" t="n">
        <f aca="false">'SVC-5 Model'!AG105</f>
        <v>0.0269075</v>
      </c>
      <c r="AH142" s="225" t="n">
        <f aca="false">'SVC-5 Model'!AH105</f>
        <v>0.1419075</v>
      </c>
      <c r="AI142" s="225" t="n">
        <f aca="false">'SVC-5 Model'!AI105</f>
        <v>0.1419075</v>
      </c>
      <c r="AJ142" s="225" t="n">
        <f aca="false">'SVC-5 Model'!AJ105</f>
        <v>0.1019075</v>
      </c>
      <c r="AK142" s="225" t="n">
        <f aca="false">'SVC-5 Model'!AK105</f>
        <v>0.1019075</v>
      </c>
      <c r="AL142" s="225" t="n">
        <f aca="false">'SVC-5 Model'!AL105</f>
        <v>0.1019075</v>
      </c>
      <c r="AM142" s="225" t="n">
        <f aca="false">'SVC-5 Model'!AM105</f>
        <v>0.1019075</v>
      </c>
      <c r="AN142" s="225" t="n">
        <f aca="false">'SVC-5 Model'!AN105</f>
        <v>0.0269075</v>
      </c>
      <c r="AO142" s="225" t="n">
        <f aca="false">'SVC-5 Model'!AO105</f>
        <v>0.0269075</v>
      </c>
      <c r="AP142" s="225" t="n">
        <f aca="false">'SVC-5 Model'!AP105</f>
        <v>0.0269075</v>
      </c>
      <c r="AQ142" s="225" t="n">
        <f aca="false">'SVC-5 Model'!AQ105</f>
        <v>0.0269075</v>
      </c>
      <c r="AR142" s="225" t="n">
        <f aca="false">'SVC-5 Model'!AR105</f>
        <v>0.0269075</v>
      </c>
      <c r="AS142" s="225" t="n">
        <f aca="false">'SVC-5 Model'!AS105</f>
        <v>0.0269075</v>
      </c>
      <c r="AT142" s="225" t="n">
        <f aca="false">'SVC-5 Model'!AT105</f>
        <v>0.0269075</v>
      </c>
      <c r="AU142" s="225" t="n">
        <f aca="false">'SVC-5 Model'!AU105</f>
        <v>0.0269075</v>
      </c>
      <c r="AV142" s="225" t="n">
        <f aca="false">'SVC-5 Model'!AV105</f>
        <v>0</v>
      </c>
      <c r="AW142" s="225" t="n">
        <f aca="false">'SVC-5 Model'!AW105</f>
        <v>0</v>
      </c>
      <c r="AX142" s="225" t="n">
        <f aca="false">'SVC-5 Model'!AX105</f>
        <v>0</v>
      </c>
      <c r="AY142" s="225" t="n">
        <f aca="false">'SVC-5 Model'!AY105</f>
        <v>0</v>
      </c>
      <c r="AZ142" s="225" t="n">
        <f aca="false">'SVC-5 Model'!AZ105</f>
        <v>0</v>
      </c>
      <c r="BA142" s="225" t="n">
        <f aca="false">'SVC-5 Model'!BA105</f>
        <v>0</v>
      </c>
      <c r="BB142" s="225" t="n">
        <f aca="false">'SVC-5 Model'!BB105</f>
        <v>0</v>
      </c>
      <c r="BC142" s="225" t="n">
        <f aca="false">'SVC-5 Model'!BC105</f>
        <v>0</v>
      </c>
      <c r="BD142" s="225" t="n">
        <f aca="false">'SVC-5 Model'!BD105</f>
        <v>0</v>
      </c>
      <c r="BE142" s="225" t="n">
        <f aca="false">'SVC-5 Model'!BE105</f>
        <v>0</v>
      </c>
      <c r="BF142" s="225" t="n">
        <f aca="false">'SVC-5 Model'!BF105</f>
        <v>0</v>
      </c>
      <c r="BG142" s="225" t="n">
        <f aca="false">'SVC-5 Model'!BG105</f>
        <v>0</v>
      </c>
      <c r="BH142" s="225" t="n">
        <f aca="false">'SVC-5 Model'!BH105</f>
        <v>0</v>
      </c>
      <c r="BI142" s="225" t="n">
        <f aca="false">'SVC-5 Model'!BI105</f>
        <v>0</v>
      </c>
      <c r="BJ142" s="225" t="n">
        <f aca="false">'SVC-5 Model'!BJ105</f>
        <v>0</v>
      </c>
      <c r="BK142" s="225" t="n">
        <f aca="false">'SVC-5 Model'!BK105</f>
        <v>0</v>
      </c>
      <c r="BL142" s="225" t="n">
        <f aca="false">'SVC-5 Model'!BL105</f>
        <v>0</v>
      </c>
      <c r="BM142" s="225" t="n">
        <f aca="false">'SVC-5 Model'!BM105</f>
        <v>0</v>
      </c>
      <c r="BN142" s="225" t="n">
        <f aca="false">'SVC-5 Model'!BN105</f>
        <v>0</v>
      </c>
      <c r="BO142" s="225" t="n">
        <f aca="false">'SVC-5 Model'!BO105</f>
        <v>0</v>
      </c>
      <c r="BP142" s="225" t="n">
        <f aca="false">'SVC-5 Model'!BP105</f>
        <v>0</v>
      </c>
      <c r="BQ142" s="225" t="n">
        <f aca="false">'SVC-5 Model'!BQ105</f>
        <v>0</v>
      </c>
      <c r="BR142" s="225" t="n">
        <f aca="false">'SVC-5 Model'!BR105</f>
        <v>0</v>
      </c>
      <c r="BS142" s="225" t="n">
        <f aca="false">'SVC-5 Model'!BS105</f>
        <v>0</v>
      </c>
      <c r="BT142" s="225" t="n">
        <f aca="false">'SVC-5 Model'!BT105</f>
        <v>0</v>
      </c>
      <c r="BU142" s="225" t="n">
        <f aca="false">'SVC-5 Model'!BU105</f>
        <v>0</v>
      </c>
      <c r="BV142" s="225" t="n">
        <f aca="false">'SVC-5 Model'!BV105</f>
        <v>0</v>
      </c>
      <c r="BW142" s="225" t="n">
        <f aca="false">'SVC-5 Model'!BW105</f>
        <v>0</v>
      </c>
      <c r="BX142" s="225" t="n">
        <f aca="false">'SVC-5 Model'!BX105</f>
        <v>0</v>
      </c>
      <c r="BY142" s="225" t="n">
        <f aca="false">'SVC-5 Model'!BY105</f>
        <v>0</v>
      </c>
      <c r="BZ142" s="227" t="n">
        <f aca="false">'SVC-5 Model'!BZ105</f>
        <v>0</v>
      </c>
      <c r="CA142" s="227" t="n">
        <f aca="false">'SVC-5 Model'!CA105</f>
        <v>0</v>
      </c>
      <c r="CC142" s="79" t="n">
        <f aca="false">SUMIFS($T142:$CA142, $T$1:$CA$1, CC$63)</f>
        <v>0</v>
      </c>
      <c r="CD142" s="79" t="n">
        <f aca="false">SUMIFS($T142:$CA142, $T$1:$CA$1, CD$63)</f>
        <v>0.85289</v>
      </c>
      <c r="CE142" s="79" t="n">
        <f aca="false">SUMIFS($T142:$CA142, $T$1:$CA$1, CE$63)</f>
        <v>0.10763</v>
      </c>
      <c r="CF142" s="79" t="n">
        <f aca="false">SUMIFS($T142:$CA142, $T$1:$CA$1, CF$63)</f>
        <v>0</v>
      </c>
      <c r="CG142" s="79" t="n">
        <f aca="false">SUMIFS($T142:$CA142, $T$1:$CA$1, CG$63)</f>
        <v>0</v>
      </c>
      <c r="CI142" s="79" t="n">
        <f aca="false">CC142=L142</f>
        <v>1</v>
      </c>
      <c r="CJ142" s="79" t="n">
        <f aca="false">CD142=M142</f>
        <v>1</v>
      </c>
      <c r="CK142" s="79" t="n">
        <f aca="false">CE142=N142</f>
        <v>1</v>
      </c>
      <c r="CL142" s="79" t="n">
        <f aca="false">CF142=O142</f>
        <v>1</v>
      </c>
      <c r="CM142" s="79" t="n">
        <f aca="false">CG142=P142</f>
        <v>1</v>
      </c>
    </row>
    <row r="143" s="14" customFormat="true" ht="16.5" hidden="false" customHeight="true" outlineLevel="0" collapsed="false">
      <c r="E143" s="91"/>
      <c r="L143" s="91"/>
      <c r="M143" s="91"/>
      <c r="N143" s="91"/>
      <c r="O143" s="91"/>
      <c r="P143" s="91"/>
      <c r="Q143" s="93"/>
      <c r="R143" s="16"/>
      <c r="T143" s="135"/>
      <c r="U143" s="135"/>
      <c r="V143" s="135"/>
      <c r="W143" s="135"/>
      <c r="X143" s="135"/>
      <c r="Y143" s="135"/>
      <c r="Z143" s="135"/>
      <c r="AA143" s="135"/>
      <c r="AB143" s="135"/>
      <c r="AC143" s="135"/>
      <c r="AD143" s="135"/>
      <c r="AE143" s="135"/>
      <c r="AF143" s="135"/>
      <c r="AG143" s="135"/>
      <c r="AH143" s="135"/>
      <c r="AI143" s="135"/>
      <c r="AJ143" s="135"/>
      <c r="AK143" s="135"/>
      <c r="AL143" s="135"/>
      <c r="AM143" s="135"/>
      <c r="AN143" s="135"/>
      <c r="AO143" s="135"/>
      <c r="AP143" s="135"/>
      <c r="AQ143" s="135"/>
      <c r="AR143" s="135"/>
      <c r="AS143" s="135"/>
      <c r="AT143" s="135"/>
      <c r="AU143" s="135"/>
      <c r="AV143" s="135"/>
      <c r="AW143" s="135"/>
      <c r="AX143" s="135"/>
      <c r="AY143" s="135"/>
      <c r="AZ143" s="135"/>
      <c r="BA143" s="135"/>
      <c r="BB143" s="135"/>
      <c r="BC143" s="135"/>
      <c r="BD143" s="135"/>
      <c r="BE143" s="135"/>
      <c r="BF143" s="135"/>
      <c r="BG143" s="135"/>
      <c r="BH143" s="135"/>
      <c r="BI143" s="135"/>
      <c r="BJ143" s="135"/>
      <c r="BK143" s="135"/>
      <c r="BL143" s="135"/>
      <c r="BM143" s="135"/>
      <c r="BN143" s="135"/>
      <c r="BO143" s="135"/>
      <c r="BP143" s="135"/>
      <c r="BQ143" s="135"/>
      <c r="BR143" s="135"/>
      <c r="BS143" s="135"/>
      <c r="BT143" s="135"/>
      <c r="BU143" s="135"/>
      <c r="BV143" s="135"/>
      <c r="BW143" s="135"/>
      <c r="BX143" s="135"/>
      <c r="BY143" s="135"/>
      <c r="BZ143" s="138"/>
      <c r="CA143" s="138"/>
      <c r="CC143" s="79" t="n">
        <f aca="false">SUMIFS($T143:$CA143, $T$1:$CA$1, CC$63)</f>
        <v>0</v>
      </c>
      <c r="CD143" s="79" t="n">
        <f aca="false">SUMIFS($T143:$CA143, $T$1:$CA$1, CD$63)</f>
        <v>0</v>
      </c>
      <c r="CE143" s="79" t="n">
        <f aca="false">SUMIFS($T143:$CA143, $T$1:$CA$1, CE$63)</f>
        <v>0</v>
      </c>
      <c r="CF143" s="79" t="n">
        <f aca="false">SUMIFS($T143:$CA143, $T$1:$CA$1, CF$63)</f>
        <v>0</v>
      </c>
      <c r="CG143" s="79" t="n">
        <f aca="false">SUMIFS($T143:$CA143, $T$1:$CA$1, CG$63)</f>
        <v>0</v>
      </c>
      <c r="CI143" s="79" t="n">
        <f aca="false">CC143=L143</f>
        <v>1</v>
      </c>
      <c r="CJ143" s="79" t="n">
        <f aca="false">CD143=M143</f>
        <v>1</v>
      </c>
      <c r="CK143" s="79" t="n">
        <f aca="false">CE143=N143</f>
        <v>1</v>
      </c>
      <c r="CL143" s="79" t="n">
        <f aca="false">CF143=O143</f>
        <v>1</v>
      </c>
      <c r="CM143" s="79" t="n">
        <f aca="false">CG143=P143</f>
        <v>1</v>
      </c>
    </row>
    <row r="144" s="14" customFormat="true" ht="16.5" hidden="false" customHeight="true" outlineLevel="0" collapsed="false">
      <c r="E144" s="96" t="s">
        <v>162</v>
      </c>
      <c r="L144" s="82" t="n">
        <f aca="false">SUM(L141:L143)</f>
        <v>0</v>
      </c>
      <c r="M144" s="82" t="n">
        <f aca="false">SUM(M141:M143)</f>
        <v>2.24622333333333</v>
      </c>
      <c r="N144" s="82" t="n">
        <f aca="false">SUM(N141:N143)</f>
        <v>0.474296666666667</v>
      </c>
      <c r="O144" s="82" t="n">
        <f aca="false">SUM(O141:O143)</f>
        <v>0</v>
      </c>
      <c r="P144" s="82" t="n">
        <f aca="false">SUM(P141:P143)</f>
        <v>0</v>
      </c>
      <c r="Q144" s="16"/>
      <c r="R144" s="16"/>
      <c r="T144" s="131" t="n">
        <f aca="false">SUM(T141:T143)</f>
        <v>0</v>
      </c>
      <c r="U144" s="131" t="n">
        <f aca="false">SUM(U141:U143)</f>
        <v>0</v>
      </c>
      <c r="V144" s="131" t="n">
        <f aca="false">SUM(V141:V143)</f>
        <v>0</v>
      </c>
      <c r="W144" s="131" t="n">
        <f aca="false">SUM(W141:W143)</f>
        <v>0</v>
      </c>
      <c r="X144" s="131" t="n">
        <f aca="false">SUM(X141:X143)</f>
        <v>0</v>
      </c>
      <c r="Y144" s="131" t="n">
        <f aca="false">SUM(Y141:Y143)</f>
        <v>0</v>
      </c>
      <c r="Z144" s="131" t="n">
        <f aca="false">SUM(Z141:Z143)</f>
        <v>0</v>
      </c>
      <c r="AA144" s="131" t="n">
        <f aca="false">SUM(AA141:AA143)</f>
        <v>0</v>
      </c>
      <c r="AB144" s="131" t="n">
        <f aca="false">SUM(AB141:AB143)</f>
        <v>0</v>
      </c>
      <c r="AC144" s="131" t="n">
        <f aca="false">SUM(AC141:AC143)</f>
        <v>0</v>
      </c>
      <c r="AD144" s="131" t="n">
        <f aca="false">SUM(AD141:AD143)</f>
        <v>0</v>
      </c>
      <c r="AE144" s="131" t="n">
        <f aca="false">SUM(AE141:AE143)</f>
        <v>0</v>
      </c>
      <c r="AF144" s="131" t="n">
        <f aca="false">SUM(AF141:AF143)</f>
        <v>0.100240833333333</v>
      </c>
      <c r="AG144" s="131" t="n">
        <f aca="false">SUM(AG141:AG143)</f>
        <v>0.100240833333333</v>
      </c>
      <c r="AH144" s="131" t="n">
        <f aca="false">SUM(AH141:AH143)</f>
        <v>0.288574166666667</v>
      </c>
      <c r="AI144" s="131" t="n">
        <f aca="false">SUM(AI141:AI143)</f>
        <v>0.288574166666667</v>
      </c>
      <c r="AJ144" s="131" t="n">
        <f aca="false">SUM(AJ141:AJ143)</f>
        <v>0.248574166666667</v>
      </c>
      <c r="AK144" s="131" t="n">
        <f aca="false">SUM(AK141:AK143)</f>
        <v>0.248574166666667</v>
      </c>
      <c r="AL144" s="131" t="n">
        <f aca="false">SUM(AL141:AL143)</f>
        <v>0.248574166666667</v>
      </c>
      <c r="AM144" s="131" t="n">
        <f aca="false">SUM(AM141:AM143)</f>
        <v>0.248574166666667</v>
      </c>
      <c r="AN144" s="131" t="n">
        <f aca="false">SUM(AN141:AN143)</f>
        <v>0.118574166666667</v>
      </c>
      <c r="AO144" s="131" t="n">
        <f aca="false">SUM(AO141:AO143)</f>
        <v>0.118574166666667</v>
      </c>
      <c r="AP144" s="131" t="n">
        <f aca="false">SUM(AP141:AP143)</f>
        <v>0.118574166666667</v>
      </c>
      <c r="AQ144" s="131" t="n">
        <f aca="false">SUM(AQ141:AQ143)</f>
        <v>0.118574166666667</v>
      </c>
      <c r="AR144" s="131" t="n">
        <f aca="false">SUM(AR141:AR143)</f>
        <v>0.118574166666667</v>
      </c>
      <c r="AS144" s="131" t="n">
        <f aca="false">SUM(AS141:AS143)</f>
        <v>0.118574166666667</v>
      </c>
      <c r="AT144" s="131" t="n">
        <f aca="false">SUM(AT141:AT143)</f>
        <v>0.118574166666667</v>
      </c>
      <c r="AU144" s="131" t="n">
        <f aca="false">SUM(AU141:AU143)</f>
        <v>0.118574166666667</v>
      </c>
      <c r="AV144" s="131" t="n">
        <f aca="false">SUM(AV141:AV143)</f>
        <v>0</v>
      </c>
      <c r="AW144" s="131" t="n">
        <f aca="false">SUM(AW141:AW143)</f>
        <v>0</v>
      </c>
      <c r="AX144" s="131" t="n">
        <f aca="false">SUM(AX141:AX143)</f>
        <v>0</v>
      </c>
      <c r="AY144" s="131" t="n">
        <f aca="false">SUM(AY141:AY143)</f>
        <v>0</v>
      </c>
      <c r="AZ144" s="131" t="n">
        <f aca="false">SUM(AZ141:AZ143)</f>
        <v>0</v>
      </c>
      <c r="BA144" s="131" t="n">
        <f aca="false">SUM(BA141:BA143)</f>
        <v>0</v>
      </c>
      <c r="BB144" s="131" t="n">
        <f aca="false">SUM(BB141:BB143)</f>
        <v>0</v>
      </c>
      <c r="BC144" s="131" t="n">
        <f aca="false">SUM(BC141:BC143)</f>
        <v>0</v>
      </c>
      <c r="BD144" s="131" t="n">
        <f aca="false">SUM(BD141:BD143)</f>
        <v>0</v>
      </c>
      <c r="BE144" s="131" t="n">
        <f aca="false">SUM(BE141:BE143)</f>
        <v>0</v>
      </c>
      <c r="BF144" s="131" t="n">
        <f aca="false">SUM(BF141:BF143)</f>
        <v>0</v>
      </c>
      <c r="BG144" s="131" t="n">
        <f aca="false">SUM(BG141:BG143)</f>
        <v>0</v>
      </c>
      <c r="BH144" s="131" t="n">
        <f aca="false">SUM(BH141:BH143)</f>
        <v>0</v>
      </c>
      <c r="BI144" s="131" t="n">
        <f aca="false">SUM(BI141:BI143)</f>
        <v>0</v>
      </c>
      <c r="BJ144" s="131" t="n">
        <f aca="false">SUM(BJ141:BJ143)</f>
        <v>0</v>
      </c>
      <c r="BK144" s="131" t="n">
        <f aca="false">SUM(BK141:BK143)</f>
        <v>0</v>
      </c>
      <c r="BL144" s="131" t="n">
        <f aca="false">SUM(BL141:BL143)</f>
        <v>0</v>
      </c>
      <c r="BM144" s="131" t="n">
        <f aca="false">SUM(BM141:BM143)</f>
        <v>0</v>
      </c>
      <c r="BN144" s="131" t="n">
        <f aca="false">SUM(BN141:BN143)</f>
        <v>0</v>
      </c>
      <c r="BO144" s="131" t="n">
        <f aca="false">SUM(BO141:BO143)</f>
        <v>0</v>
      </c>
      <c r="BP144" s="131" t="n">
        <f aca="false">SUM(BP141:BP143)</f>
        <v>0</v>
      </c>
      <c r="BQ144" s="131" t="n">
        <f aca="false">SUM(BQ141:BQ143)</f>
        <v>0</v>
      </c>
      <c r="BR144" s="131" t="n">
        <f aca="false">SUM(BR141:BR143)</f>
        <v>0</v>
      </c>
      <c r="BS144" s="131" t="n">
        <f aca="false">SUM(BS141:BS143)</f>
        <v>0</v>
      </c>
      <c r="BT144" s="131" t="n">
        <f aca="false">SUM(BT141:BT143)</f>
        <v>0</v>
      </c>
      <c r="BU144" s="131" t="n">
        <f aca="false">SUM(BU141:BU143)</f>
        <v>0</v>
      </c>
      <c r="BV144" s="131" t="n">
        <f aca="false">SUM(BV141:BV143)</f>
        <v>0</v>
      </c>
      <c r="BW144" s="131" t="n">
        <f aca="false">SUM(BW141:BW143)</f>
        <v>0</v>
      </c>
      <c r="BX144" s="131" t="n">
        <f aca="false">SUM(BX141:BX143)</f>
        <v>0</v>
      </c>
      <c r="BY144" s="131" t="n">
        <f aca="false">SUM(BY141:BY143)</f>
        <v>0</v>
      </c>
      <c r="BZ144" s="136" t="n">
        <f aca="false">SUM(BZ141:BZ143)</f>
        <v>0</v>
      </c>
      <c r="CA144" s="136" t="n">
        <f aca="false">SUM(CA141:CA143)</f>
        <v>0</v>
      </c>
      <c r="CC144" s="136" t="n">
        <f aca="false">SUM(CC141:CC143)</f>
        <v>0</v>
      </c>
      <c r="CD144" s="136" t="n">
        <f aca="false">SUM(CD141:CD143)</f>
        <v>2.24622333333333</v>
      </c>
      <c r="CE144" s="136" t="n">
        <f aca="false">SUM(CE141:CE143)</f>
        <v>0.474296666666667</v>
      </c>
      <c r="CF144" s="136" t="n">
        <f aca="false">SUM(CF141:CF143)</f>
        <v>0</v>
      </c>
      <c r="CG144" s="136" t="n">
        <f aca="false">SUM(CG141:CG143)</f>
        <v>0</v>
      </c>
      <c r="CI144" s="136" t="n">
        <f aca="false">CC144=L144</f>
        <v>1</v>
      </c>
      <c r="CJ144" s="136" t="n">
        <f aca="false">CD144=M144</f>
        <v>1</v>
      </c>
      <c r="CK144" s="136" t="n">
        <f aca="false">CE144=N144</f>
        <v>1</v>
      </c>
      <c r="CL144" s="136" t="n">
        <f aca="false">CF144=O144</f>
        <v>1</v>
      </c>
      <c r="CM144" s="136" t="n">
        <f aca="false">CG144=P144</f>
        <v>1</v>
      </c>
    </row>
    <row r="145" s="14" customFormat="true" ht="16.5" hidden="false" customHeight="true" outlineLevel="0" collapsed="false">
      <c r="E145" s="96"/>
      <c r="L145" s="82"/>
      <c r="M145" s="82"/>
      <c r="N145" s="82"/>
      <c r="O145" s="82"/>
      <c r="P145" s="82"/>
      <c r="Q145" s="16"/>
      <c r="R145" s="16"/>
      <c r="T145" s="131"/>
      <c r="U145" s="131"/>
      <c r="V145" s="131"/>
      <c r="W145" s="131"/>
      <c r="X145" s="131"/>
      <c r="Y145" s="131"/>
      <c r="Z145" s="131"/>
      <c r="AA145" s="131"/>
      <c r="AB145" s="131"/>
      <c r="AC145" s="131"/>
      <c r="AD145" s="131"/>
      <c r="AE145" s="131"/>
      <c r="AF145" s="131"/>
      <c r="AG145" s="131"/>
      <c r="AH145" s="131"/>
      <c r="AI145" s="131"/>
      <c r="AJ145" s="131"/>
      <c r="AK145" s="131"/>
      <c r="AL145" s="131"/>
      <c r="AM145" s="131"/>
      <c r="AN145" s="131"/>
      <c r="AO145" s="131"/>
      <c r="AP145" s="131"/>
      <c r="AQ145" s="131"/>
      <c r="AR145" s="131"/>
      <c r="AS145" s="131"/>
      <c r="AT145" s="131"/>
      <c r="AU145" s="131"/>
      <c r="AV145" s="131"/>
      <c r="AW145" s="131"/>
      <c r="AX145" s="131"/>
      <c r="AY145" s="131"/>
      <c r="AZ145" s="131"/>
      <c r="BA145" s="131"/>
      <c r="BB145" s="131"/>
      <c r="BC145" s="131"/>
      <c r="BD145" s="131"/>
      <c r="BE145" s="131"/>
      <c r="BF145" s="131"/>
      <c r="BG145" s="131"/>
      <c r="BH145" s="131"/>
      <c r="BI145" s="131"/>
      <c r="BJ145" s="131"/>
      <c r="BK145" s="131"/>
      <c r="BL145" s="131"/>
      <c r="BM145" s="131"/>
      <c r="BN145" s="131"/>
      <c r="BO145" s="131"/>
      <c r="BP145" s="131"/>
      <c r="BQ145" s="131"/>
      <c r="BR145" s="131"/>
      <c r="BS145" s="131"/>
      <c r="BT145" s="131"/>
      <c r="BU145" s="131"/>
      <c r="BV145" s="131"/>
      <c r="BW145" s="131"/>
      <c r="BX145" s="131"/>
      <c r="BY145" s="131"/>
      <c r="BZ145" s="136"/>
      <c r="CA145" s="136"/>
    </row>
    <row r="146" s="14" customFormat="true" ht="16.5" hidden="false" customHeight="true" outlineLevel="0" collapsed="false">
      <c r="E146" s="96"/>
      <c r="L146" s="82"/>
      <c r="M146" s="82"/>
      <c r="N146" s="82"/>
      <c r="O146" s="82"/>
      <c r="P146" s="82"/>
      <c r="Q146" s="16"/>
      <c r="R146" s="16"/>
      <c r="T146" s="131"/>
      <c r="U146" s="131"/>
      <c r="V146" s="131"/>
      <c r="W146" s="131"/>
      <c r="X146" s="131"/>
      <c r="Y146" s="131"/>
      <c r="Z146" s="131"/>
      <c r="AA146" s="131"/>
      <c r="AB146" s="131"/>
      <c r="AC146" s="131"/>
      <c r="AD146" s="131"/>
      <c r="AE146" s="131"/>
      <c r="AF146" s="131"/>
      <c r="AG146" s="131"/>
      <c r="AH146" s="131"/>
      <c r="AI146" s="131"/>
      <c r="AJ146" s="131"/>
      <c r="AK146" s="131"/>
      <c r="AL146" s="131"/>
      <c r="AM146" s="131"/>
      <c r="AN146" s="131"/>
      <c r="AO146" s="131"/>
      <c r="AP146" s="131"/>
      <c r="AQ146" s="131"/>
      <c r="AR146" s="131"/>
      <c r="AS146" s="131"/>
      <c r="AT146" s="131"/>
      <c r="AU146" s="131"/>
      <c r="AV146" s="131"/>
      <c r="AW146" s="131"/>
      <c r="AX146" s="131"/>
      <c r="AY146" s="131"/>
      <c r="AZ146" s="131"/>
      <c r="BA146" s="131"/>
      <c r="BB146" s="131"/>
      <c r="BC146" s="131"/>
      <c r="BD146" s="131"/>
      <c r="BE146" s="131"/>
      <c r="BF146" s="131"/>
      <c r="BG146" s="131"/>
      <c r="BH146" s="131"/>
      <c r="BI146" s="131"/>
      <c r="BJ146" s="131"/>
      <c r="BK146" s="131"/>
      <c r="BL146" s="131"/>
      <c r="BM146" s="131"/>
      <c r="BN146" s="131"/>
      <c r="BO146" s="131"/>
      <c r="BP146" s="131"/>
      <c r="BQ146" s="131"/>
      <c r="BR146" s="131"/>
      <c r="BS146" s="131"/>
      <c r="BT146" s="131"/>
      <c r="BU146" s="131"/>
      <c r="BV146" s="131"/>
      <c r="BW146" s="131"/>
      <c r="BX146" s="131"/>
      <c r="BY146" s="131"/>
      <c r="BZ146" s="136"/>
      <c r="CA146" s="136"/>
    </row>
    <row r="147" s="14" customFormat="true" ht="16.5" hidden="false" customHeight="true" outlineLevel="0" collapsed="false">
      <c r="E147" s="109" t="s">
        <v>163</v>
      </c>
      <c r="F147" s="109"/>
      <c r="G147" s="109"/>
      <c r="H147" s="109"/>
      <c r="I147" s="132"/>
      <c r="J147" s="132"/>
      <c r="K147" s="132"/>
      <c r="L147" s="120" t="n">
        <f aca="false">SUM(L138, L144)</f>
        <v>0</v>
      </c>
      <c r="M147" s="120" t="n">
        <f aca="false">SUM(M138, M144)</f>
        <v>2.24622333333333</v>
      </c>
      <c r="N147" s="120" t="n">
        <f aca="false">SUM(N138, N144)</f>
        <v>0.474296666666667</v>
      </c>
      <c r="O147" s="120" t="n">
        <f aca="false">SUM(O138, O144)</f>
        <v>0</v>
      </c>
      <c r="P147" s="120" t="n">
        <f aca="false">SUM(P138, P144)</f>
        <v>0</v>
      </c>
      <c r="Q147" s="139"/>
      <c r="R147" s="139"/>
      <c r="T147" s="120" t="n">
        <f aca="false">SUM(T138, T144)</f>
        <v>0</v>
      </c>
      <c r="U147" s="120" t="n">
        <f aca="false">SUM(U138, U144)</f>
        <v>0</v>
      </c>
      <c r="V147" s="120" t="n">
        <f aca="false">SUM(V138, V144)</f>
        <v>0</v>
      </c>
      <c r="W147" s="120" t="n">
        <f aca="false">SUM(W138, W144)</f>
        <v>0</v>
      </c>
      <c r="X147" s="120" t="n">
        <f aca="false">SUM(X138, X144)</f>
        <v>0</v>
      </c>
      <c r="Y147" s="120" t="n">
        <f aca="false">SUM(Y138, Y144)</f>
        <v>0</v>
      </c>
      <c r="Z147" s="120" t="n">
        <f aca="false">SUM(Z138, Z144)</f>
        <v>0</v>
      </c>
      <c r="AA147" s="120" t="n">
        <f aca="false">SUM(AA138, AA144)</f>
        <v>0</v>
      </c>
      <c r="AB147" s="120" t="n">
        <f aca="false">SUM(AB138, AB144)</f>
        <v>0</v>
      </c>
      <c r="AC147" s="120" t="n">
        <f aca="false">SUM(AC138, AC144)</f>
        <v>0</v>
      </c>
      <c r="AD147" s="120" t="n">
        <f aca="false">SUM(AD138, AD144)</f>
        <v>0</v>
      </c>
      <c r="AE147" s="120" t="n">
        <f aca="false">SUM(AE138, AE144)</f>
        <v>0</v>
      </c>
      <c r="AF147" s="120" t="n">
        <f aca="false">SUM(AF138, AF144)</f>
        <v>0.100240833333333</v>
      </c>
      <c r="AG147" s="120" t="n">
        <f aca="false">SUM(AG138, AG144)</f>
        <v>0.100240833333333</v>
      </c>
      <c r="AH147" s="120" t="n">
        <f aca="false">SUM(AH138, AH144)</f>
        <v>0.288574166666667</v>
      </c>
      <c r="AI147" s="120" t="n">
        <f aca="false">SUM(AI138, AI144)</f>
        <v>0.288574166666667</v>
      </c>
      <c r="AJ147" s="120" t="n">
        <f aca="false">SUM(AJ138, AJ144)</f>
        <v>0.248574166666667</v>
      </c>
      <c r="AK147" s="120" t="n">
        <f aca="false">SUM(AK138, AK144)</f>
        <v>0.248574166666667</v>
      </c>
      <c r="AL147" s="120" t="n">
        <f aca="false">SUM(AL138, AL144)</f>
        <v>0.248574166666667</v>
      </c>
      <c r="AM147" s="120" t="n">
        <f aca="false">SUM(AM138, AM144)</f>
        <v>0.248574166666667</v>
      </c>
      <c r="AN147" s="120" t="n">
        <f aca="false">SUM(AN138, AN144)</f>
        <v>0.118574166666667</v>
      </c>
      <c r="AO147" s="120" t="n">
        <f aca="false">SUM(AO138, AO144)</f>
        <v>0.118574166666667</v>
      </c>
      <c r="AP147" s="120" t="n">
        <f aca="false">SUM(AP138, AP144)</f>
        <v>0.118574166666667</v>
      </c>
      <c r="AQ147" s="120" t="n">
        <f aca="false">SUM(AQ138, AQ144)</f>
        <v>0.118574166666667</v>
      </c>
      <c r="AR147" s="120" t="n">
        <f aca="false">SUM(AR138, AR144)</f>
        <v>0.118574166666667</v>
      </c>
      <c r="AS147" s="120" t="n">
        <f aca="false">SUM(AS138, AS144)</f>
        <v>0.118574166666667</v>
      </c>
      <c r="AT147" s="120" t="n">
        <f aca="false">SUM(AT138, AT144)</f>
        <v>0.118574166666667</v>
      </c>
      <c r="AU147" s="120" t="n">
        <f aca="false">SUM(AU138, AU144)</f>
        <v>0.118574166666667</v>
      </c>
      <c r="AV147" s="120" t="n">
        <f aca="false">SUM(AV138, AV144)</f>
        <v>0</v>
      </c>
      <c r="AW147" s="120" t="n">
        <f aca="false">SUM(AW138, AW144)</f>
        <v>0</v>
      </c>
      <c r="AX147" s="120" t="n">
        <f aca="false">SUM(AX138, AX144)</f>
        <v>0</v>
      </c>
      <c r="AY147" s="120" t="n">
        <f aca="false">SUM(AY138, AY144)</f>
        <v>0</v>
      </c>
      <c r="AZ147" s="120" t="n">
        <f aca="false">SUM(AZ138, AZ144)</f>
        <v>0</v>
      </c>
      <c r="BA147" s="120" t="n">
        <f aca="false">SUM(BA138, BA144)</f>
        <v>0</v>
      </c>
      <c r="BB147" s="120" t="n">
        <f aca="false">SUM(BB138, BB144)</f>
        <v>0</v>
      </c>
      <c r="BC147" s="120" t="n">
        <f aca="false">SUM(BC138, BC144)</f>
        <v>0</v>
      </c>
      <c r="BD147" s="120" t="n">
        <f aca="false">SUM(BD138, BD144)</f>
        <v>0</v>
      </c>
      <c r="BE147" s="120" t="n">
        <f aca="false">SUM(BE138, BE144)</f>
        <v>0</v>
      </c>
      <c r="BF147" s="120" t="n">
        <f aca="false">SUM(BF138, BF144)</f>
        <v>0</v>
      </c>
      <c r="BG147" s="120" t="n">
        <f aca="false">SUM(BG138, BG144)</f>
        <v>0</v>
      </c>
      <c r="BH147" s="120" t="n">
        <f aca="false">SUM(BH138, BH144)</f>
        <v>0</v>
      </c>
      <c r="BI147" s="120" t="n">
        <f aca="false">SUM(BI138, BI144)</f>
        <v>0</v>
      </c>
      <c r="BJ147" s="120" t="n">
        <f aca="false">SUM(BJ138, BJ144)</f>
        <v>0</v>
      </c>
      <c r="BK147" s="120" t="n">
        <f aca="false">SUM(BK138, BK144)</f>
        <v>0</v>
      </c>
      <c r="BL147" s="120" t="n">
        <f aca="false">SUM(BL138, BL144)</f>
        <v>0</v>
      </c>
      <c r="BM147" s="120" t="n">
        <f aca="false">SUM(BM138, BM144)</f>
        <v>0</v>
      </c>
      <c r="BN147" s="120" t="n">
        <f aca="false">SUM(BN138, BN144)</f>
        <v>0</v>
      </c>
      <c r="BO147" s="120" t="n">
        <f aca="false">SUM(BO138, BO144)</f>
        <v>0</v>
      </c>
      <c r="BP147" s="120" t="n">
        <f aca="false">SUM(BP138, BP144)</f>
        <v>0</v>
      </c>
      <c r="BQ147" s="120" t="n">
        <f aca="false">SUM(BQ138, BQ144)</f>
        <v>0</v>
      </c>
      <c r="BR147" s="120" t="n">
        <f aca="false">SUM(BR138, BR144)</f>
        <v>0</v>
      </c>
      <c r="BS147" s="120" t="n">
        <f aca="false">SUM(BS138, BS144)</f>
        <v>0</v>
      </c>
      <c r="BT147" s="120" t="n">
        <f aca="false">SUM(BT138, BT144)</f>
        <v>0</v>
      </c>
      <c r="BU147" s="120" t="n">
        <f aca="false">SUM(BU138, BU144)</f>
        <v>0</v>
      </c>
      <c r="BV147" s="120" t="n">
        <f aca="false">SUM(BV138, BV144)</f>
        <v>0</v>
      </c>
      <c r="BW147" s="120" t="n">
        <f aca="false">SUM(BW138, BW144)</f>
        <v>0</v>
      </c>
      <c r="BX147" s="120" t="n">
        <f aca="false">SUM(BX138, BX144)</f>
        <v>0</v>
      </c>
      <c r="BY147" s="120" t="n">
        <f aca="false">SUM(BY138, BY144)</f>
        <v>0</v>
      </c>
      <c r="BZ147" s="120" t="n">
        <f aca="false">SUM(BZ138, BZ144)</f>
        <v>0</v>
      </c>
      <c r="CA147" s="120" t="n">
        <f aca="false">SUM(CA138, CA144)</f>
        <v>0</v>
      </c>
      <c r="CC147" s="120" t="n">
        <f aca="false">SUM(CC138, CC144)</f>
        <v>0</v>
      </c>
      <c r="CD147" s="120" t="n">
        <f aca="false">SUM(CD138, CD144)</f>
        <v>2.24622333333333</v>
      </c>
      <c r="CE147" s="120" t="n">
        <f aca="false">SUM(CE138, CE144)</f>
        <v>0.474296666666667</v>
      </c>
      <c r="CF147" s="120" t="n">
        <f aca="false">SUM(CF138, CF144)</f>
        <v>0</v>
      </c>
      <c r="CG147" s="120" t="n">
        <f aca="false">SUM(CG138, CG144)</f>
        <v>0</v>
      </c>
      <c r="CI147" s="140" t="n">
        <f aca="false">CC147=L147</f>
        <v>1</v>
      </c>
      <c r="CJ147" s="140" t="n">
        <f aca="false">CD147=M147</f>
        <v>1</v>
      </c>
      <c r="CK147" s="140" t="n">
        <f aca="false">CE147=N147</f>
        <v>1</v>
      </c>
      <c r="CL147" s="140" t="n">
        <f aca="false">CF147=O147</f>
        <v>1</v>
      </c>
      <c r="CM147" s="140" t="n">
        <f aca="false">CG147=P147</f>
        <v>1</v>
      </c>
    </row>
    <row r="148" s="14" customFormat="true" ht="16.5" hidden="false" customHeight="true" outlineLevel="0" collapsed="false">
      <c r="E148" s="21"/>
      <c r="L148" s="88"/>
      <c r="M148" s="88"/>
      <c r="N148" s="88"/>
      <c r="O148" s="88"/>
      <c r="P148" s="88"/>
      <c r="Q148" s="121"/>
      <c r="R148" s="121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7"/>
      <c r="AH148" s="137"/>
      <c r="AI148" s="137"/>
      <c r="AJ148" s="137"/>
      <c r="AK148" s="137"/>
      <c r="AL148" s="137"/>
      <c r="AM148" s="137"/>
      <c r="AN148" s="137"/>
      <c r="AO148" s="137"/>
      <c r="AP148" s="137"/>
      <c r="AQ148" s="137"/>
      <c r="AR148" s="137"/>
      <c r="AS148" s="137"/>
      <c r="AT148" s="137"/>
      <c r="AU148" s="137"/>
      <c r="AV148" s="137"/>
      <c r="AW148" s="137"/>
      <c r="AX148" s="137"/>
      <c r="AY148" s="137"/>
      <c r="AZ148" s="137"/>
      <c r="BA148" s="137"/>
      <c r="BB148" s="137"/>
      <c r="BC148" s="137"/>
      <c r="BD148" s="137"/>
      <c r="BE148" s="137"/>
      <c r="BF148" s="137"/>
      <c r="BG148" s="137"/>
      <c r="BH148" s="137"/>
      <c r="BI148" s="137"/>
      <c r="BJ148" s="137"/>
      <c r="BK148" s="137"/>
      <c r="BL148" s="137"/>
      <c r="BM148" s="137"/>
      <c r="BN148" s="137"/>
      <c r="BO148" s="137"/>
      <c r="BP148" s="137"/>
      <c r="BQ148" s="137"/>
      <c r="BR148" s="137"/>
      <c r="BS148" s="137"/>
      <c r="BT148" s="137"/>
      <c r="BU148" s="137"/>
      <c r="BV148" s="137"/>
      <c r="BW148" s="137"/>
      <c r="BX148" s="137"/>
      <c r="BY148" s="137"/>
      <c r="BZ148" s="121"/>
      <c r="CA148" s="121"/>
    </row>
    <row r="149" s="14" customFormat="true" ht="16.5" hidden="false" customHeight="true" outlineLevel="0" collapsed="false">
      <c r="E149" s="141" t="s">
        <v>429</v>
      </c>
      <c r="F149" s="123"/>
      <c r="G149" s="123"/>
      <c r="H149" s="123"/>
      <c r="I149" s="126"/>
      <c r="J149" s="126"/>
      <c r="K149" s="142"/>
      <c r="L149" s="125" t="n">
        <f aca="false">SUM(L130, -L147)</f>
        <v>0</v>
      </c>
      <c r="M149" s="125" t="n">
        <f aca="false">SUM(M130, -M147)</f>
        <v>-2.24622333333333</v>
      </c>
      <c r="N149" s="125" t="n">
        <f aca="false">SUM(N130, -N147)</f>
        <v>-0.474296666666667</v>
      </c>
      <c r="O149" s="125" t="n">
        <f aca="false">SUM(O130, -O147)</f>
        <v>0</v>
      </c>
      <c r="P149" s="125" t="n">
        <f aca="false">SUM(P130, -P147)</f>
        <v>0</v>
      </c>
      <c r="Q149" s="143"/>
      <c r="R149" s="143"/>
      <c r="T149" s="144" t="n">
        <f aca="false">SUM(T130, -T147)</f>
        <v>0</v>
      </c>
      <c r="U149" s="144" t="n">
        <f aca="false">SUM(U130, -U147)</f>
        <v>0</v>
      </c>
      <c r="V149" s="144" t="n">
        <f aca="false">SUM(V130, -V147)</f>
        <v>0</v>
      </c>
      <c r="W149" s="144" t="n">
        <f aca="false">SUM(W130, -W147)</f>
        <v>0</v>
      </c>
      <c r="X149" s="144" t="n">
        <f aca="false">SUM(X130, -X147)</f>
        <v>0</v>
      </c>
      <c r="Y149" s="144" t="n">
        <f aca="false">SUM(Y130, -Y147)</f>
        <v>0</v>
      </c>
      <c r="Z149" s="144" t="n">
        <f aca="false">SUM(Z130, -Z147)</f>
        <v>0</v>
      </c>
      <c r="AA149" s="144" t="n">
        <f aca="false">SUM(AA130, -AA147)</f>
        <v>0</v>
      </c>
      <c r="AB149" s="144" t="n">
        <f aca="false">SUM(AB130, -AB147)</f>
        <v>0</v>
      </c>
      <c r="AC149" s="144" t="n">
        <f aca="false">SUM(AC130, -AC147)</f>
        <v>0</v>
      </c>
      <c r="AD149" s="144" t="n">
        <f aca="false">SUM(AD130, -AD147)</f>
        <v>0</v>
      </c>
      <c r="AE149" s="144" t="n">
        <f aca="false">SUM(AE130, -AE147)</f>
        <v>0</v>
      </c>
      <c r="AF149" s="144" t="n">
        <f aca="false">SUM(AF130, -AF147)</f>
        <v>-0.100240833333333</v>
      </c>
      <c r="AG149" s="144" t="n">
        <f aca="false">SUM(AG130, -AG147)</f>
        <v>-0.100240833333333</v>
      </c>
      <c r="AH149" s="144" t="n">
        <f aca="false">SUM(AH130, -AH147)</f>
        <v>-0.288574166666667</v>
      </c>
      <c r="AI149" s="144" t="n">
        <f aca="false">SUM(AI130, -AI147)</f>
        <v>-0.288574166666667</v>
      </c>
      <c r="AJ149" s="144" t="n">
        <f aca="false">SUM(AJ130, -AJ147)</f>
        <v>-0.248574166666667</v>
      </c>
      <c r="AK149" s="144" t="n">
        <f aca="false">SUM(AK130, -AK147)</f>
        <v>-0.248574166666667</v>
      </c>
      <c r="AL149" s="144" t="n">
        <f aca="false">SUM(AL130, -AL147)</f>
        <v>-0.248574166666667</v>
      </c>
      <c r="AM149" s="144" t="n">
        <f aca="false">SUM(AM130, -AM147)</f>
        <v>-0.248574166666667</v>
      </c>
      <c r="AN149" s="144" t="n">
        <f aca="false">SUM(AN130, -AN147)</f>
        <v>-0.118574166666667</v>
      </c>
      <c r="AO149" s="144" t="n">
        <f aca="false">SUM(AO130, -AO147)</f>
        <v>-0.118574166666667</v>
      </c>
      <c r="AP149" s="144" t="n">
        <f aca="false">SUM(AP130, -AP147)</f>
        <v>-0.118574166666667</v>
      </c>
      <c r="AQ149" s="144" t="n">
        <f aca="false">SUM(AQ130, -AQ147)</f>
        <v>-0.118574166666667</v>
      </c>
      <c r="AR149" s="144" t="n">
        <f aca="false">SUM(AR130, -AR147)</f>
        <v>-0.118574166666667</v>
      </c>
      <c r="AS149" s="144" t="n">
        <f aca="false">SUM(AS130, -AS147)</f>
        <v>-0.118574166666667</v>
      </c>
      <c r="AT149" s="144" t="n">
        <f aca="false">SUM(AT130, -AT147)</f>
        <v>-0.118574166666667</v>
      </c>
      <c r="AU149" s="144" t="n">
        <f aca="false">SUM(AU130, -AU147)</f>
        <v>-0.118574166666667</v>
      </c>
      <c r="AV149" s="144" t="n">
        <f aca="false">SUM(AV130, -AV147)</f>
        <v>0</v>
      </c>
      <c r="AW149" s="144" t="n">
        <f aca="false">SUM(AW130, -AW147)</f>
        <v>0</v>
      </c>
      <c r="AX149" s="144" t="n">
        <f aca="false">SUM(AX130, -AX147)</f>
        <v>0</v>
      </c>
      <c r="AY149" s="144" t="n">
        <f aca="false">SUM(AY130, -AY147)</f>
        <v>0</v>
      </c>
      <c r="AZ149" s="144" t="n">
        <f aca="false">SUM(AZ130, -AZ147)</f>
        <v>0</v>
      </c>
      <c r="BA149" s="144" t="n">
        <f aca="false">SUM(BA130, -BA147)</f>
        <v>0</v>
      </c>
      <c r="BB149" s="144" t="n">
        <f aca="false">SUM(BB130, -BB147)</f>
        <v>0</v>
      </c>
      <c r="BC149" s="144" t="n">
        <f aca="false">SUM(BC130, -BC147)</f>
        <v>0</v>
      </c>
      <c r="BD149" s="144" t="n">
        <f aca="false">SUM(BD130, -BD147)</f>
        <v>0</v>
      </c>
      <c r="BE149" s="144" t="n">
        <f aca="false">SUM(BE130, -BE147)</f>
        <v>0</v>
      </c>
      <c r="BF149" s="144" t="n">
        <f aca="false">SUM(BF130, -BF147)</f>
        <v>0</v>
      </c>
      <c r="BG149" s="144" t="n">
        <f aca="false">SUM(BG130, -BG147)</f>
        <v>0</v>
      </c>
      <c r="BH149" s="144" t="n">
        <f aca="false">SUM(BH130, -BH147)</f>
        <v>0</v>
      </c>
      <c r="BI149" s="144" t="n">
        <f aca="false">SUM(BI130, -BI147)</f>
        <v>0</v>
      </c>
      <c r="BJ149" s="144" t="n">
        <f aca="false">SUM(BJ130, -BJ147)</f>
        <v>0</v>
      </c>
      <c r="BK149" s="144" t="n">
        <f aca="false">SUM(BK130, -BK147)</f>
        <v>0</v>
      </c>
      <c r="BL149" s="144" t="n">
        <f aca="false">SUM(BL130, -BL147)</f>
        <v>0</v>
      </c>
      <c r="BM149" s="144" t="n">
        <f aca="false">SUM(BM130, -BM147)</f>
        <v>0</v>
      </c>
      <c r="BN149" s="144" t="n">
        <f aca="false">SUM(BN130, -BN147)</f>
        <v>0</v>
      </c>
      <c r="BO149" s="144" t="n">
        <f aca="false">SUM(BO130, -BO147)</f>
        <v>0</v>
      </c>
      <c r="BP149" s="144" t="n">
        <f aca="false">SUM(BP130, -BP147)</f>
        <v>0</v>
      </c>
      <c r="BQ149" s="144" t="n">
        <f aca="false">SUM(BQ130, -BQ147)</f>
        <v>0</v>
      </c>
      <c r="BR149" s="144" t="n">
        <f aca="false">SUM(BR130, -BR147)</f>
        <v>0</v>
      </c>
      <c r="BS149" s="144" t="n">
        <f aca="false">SUM(BS130, -BS147)</f>
        <v>0</v>
      </c>
      <c r="BT149" s="144" t="n">
        <f aca="false">SUM(BT130, -BT147)</f>
        <v>0</v>
      </c>
      <c r="BU149" s="144" t="n">
        <f aca="false">SUM(BU130, -BU147)</f>
        <v>0</v>
      </c>
      <c r="BV149" s="144" t="n">
        <f aca="false">SUM(BV130, -BV147)</f>
        <v>0</v>
      </c>
      <c r="BW149" s="144" t="n">
        <f aca="false">SUM(BW130, -BW147)</f>
        <v>0</v>
      </c>
      <c r="BX149" s="144" t="n">
        <f aca="false">SUM(BX130, -BX147)</f>
        <v>0</v>
      </c>
      <c r="BY149" s="144" t="n">
        <f aca="false">SUM(BY130, -BY147)</f>
        <v>0</v>
      </c>
      <c r="BZ149" s="143" t="n">
        <f aca="false">SUM(BZ130, -BZ147)</f>
        <v>0</v>
      </c>
      <c r="CA149" s="143" t="n">
        <f aca="false">SUM(CA130, -CA147)</f>
        <v>0</v>
      </c>
      <c r="CC149" s="143" t="n">
        <f aca="false">SUM(CC130, -CC147)</f>
        <v>0</v>
      </c>
      <c r="CD149" s="143" t="n">
        <f aca="false">SUM(CD130, -CD147)</f>
        <v>-2.24622333333333</v>
      </c>
      <c r="CE149" s="143" t="n">
        <f aca="false">SUM(CE130, -CE147)</f>
        <v>-0.474296666666667</v>
      </c>
      <c r="CF149" s="143" t="n">
        <f aca="false">SUM(CF130, -CF147)</f>
        <v>0</v>
      </c>
      <c r="CG149" s="143" t="n">
        <f aca="false">SUM(CG130, -CG147)</f>
        <v>0</v>
      </c>
      <c r="CI149" s="143" t="n">
        <f aca="false">CC149=L149</f>
        <v>1</v>
      </c>
      <c r="CJ149" s="143" t="n">
        <f aca="false">CD149=M149</f>
        <v>1</v>
      </c>
      <c r="CK149" s="143" t="n">
        <f aca="false">CE149=N149</f>
        <v>1</v>
      </c>
      <c r="CL149" s="143" t="n">
        <f aca="false">CF149=O149</f>
        <v>1</v>
      </c>
      <c r="CM149" s="143" t="n">
        <f aca="false">CG149=P149</f>
        <v>1</v>
      </c>
    </row>
    <row r="150" s="14" customFormat="true" ht="16.5" hidden="false" customHeight="true" outlineLevel="0" collapsed="false">
      <c r="E150" s="21"/>
      <c r="H150" s="21"/>
      <c r="I150" s="21"/>
      <c r="J150" s="21"/>
      <c r="K150" s="21"/>
      <c r="L150" s="21"/>
      <c r="M150" s="21"/>
      <c r="N150" s="21"/>
      <c r="O150" s="21"/>
      <c r="P150" s="21"/>
      <c r="Q150" s="145"/>
      <c r="R150" s="145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</row>
    <row r="151" s="14" customFormat="true" ht="16.5" hidden="false" customHeight="true" outlineLevel="0" collapsed="false">
      <c r="E151" s="21"/>
      <c r="H151" s="21"/>
      <c r="I151" s="21"/>
      <c r="J151" s="21"/>
      <c r="K151" s="21"/>
      <c r="L151" s="21"/>
      <c r="M151" s="21"/>
      <c r="N151" s="21"/>
      <c r="O151" s="21"/>
      <c r="P151" s="21"/>
      <c r="Q151" s="145"/>
      <c r="R151" s="145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</row>
    <row r="152" s="14" customFormat="true" ht="16.5" hidden="true" customHeight="true" outlineLevel="1" collapsed="false">
      <c r="C152" s="19" t="s">
        <v>165</v>
      </c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20"/>
      <c r="R152" s="20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C152" s="19" t="s">
        <v>127</v>
      </c>
      <c r="CD152" s="19"/>
      <c r="CE152" s="19"/>
      <c r="CF152" s="19"/>
      <c r="CG152" s="19"/>
      <c r="CI152" s="19" t="s">
        <v>128</v>
      </c>
      <c r="CJ152" s="19"/>
      <c r="CK152" s="19"/>
      <c r="CL152" s="19"/>
      <c r="CM152" s="19"/>
    </row>
    <row r="153" s="14" customFormat="true" ht="16.5" hidden="true" customHeight="true" outlineLevel="1" collapsed="false">
      <c r="E153" s="21"/>
      <c r="H153" s="21"/>
      <c r="I153" s="21"/>
      <c r="J153" s="21"/>
      <c r="K153" s="21"/>
      <c r="L153" s="21"/>
      <c r="M153" s="21"/>
      <c r="N153" s="21"/>
      <c r="O153" s="21"/>
      <c r="P153" s="21"/>
      <c r="Q153" s="145"/>
      <c r="R153" s="145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</row>
    <row r="154" s="14" customFormat="true" ht="16.5" hidden="true" customHeight="true" outlineLevel="1" collapsed="false">
      <c r="E154" s="21"/>
      <c r="H154" s="21"/>
      <c r="I154" s="21"/>
      <c r="J154" s="21"/>
      <c r="K154" s="21"/>
      <c r="Q154" s="145"/>
      <c r="R154" s="145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</row>
    <row r="155" s="14" customFormat="true" ht="16.5" hidden="true" customHeight="true" outlineLevel="1" collapsed="false">
      <c r="E155" s="30" t="s">
        <v>166</v>
      </c>
      <c r="F155" s="31"/>
      <c r="G155" s="31"/>
      <c r="H155" s="31"/>
      <c r="I155" s="31"/>
      <c r="J155" s="31"/>
      <c r="K155" s="31"/>
      <c r="L155" s="31" t="n">
        <v>2026</v>
      </c>
      <c r="M155" s="31" t="n">
        <f aca="false">L155+1</f>
        <v>2027</v>
      </c>
      <c r="N155" s="31" t="n">
        <f aca="false">M155+1</f>
        <v>2028</v>
      </c>
      <c r="O155" s="31" t="n">
        <f aca="false">N155+1</f>
        <v>2029</v>
      </c>
      <c r="P155" s="31" t="n">
        <f aca="false">O155+1</f>
        <v>2030</v>
      </c>
      <c r="Q155" s="31" t="s">
        <v>167</v>
      </c>
      <c r="R155" s="145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</row>
    <row r="156" s="14" customFormat="true" ht="16.5" hidden="true" customHeight="true" outlineLevel="1" collapsed="false">
      <c r="E156" s="14" t="s">
        <v>168</v>
      </c>
      <c r="H156" s="21"/>
      <c r="I156" s="21"/>
      <c r="J156" s="21"/>
      <c r="K156" s="21"/>
      <c r="L156" s="90" t="n">
        <f aca="false">L117</f>
        <v>0</v>
      </c>
      <c r="M156" s="90" t="n">
        <f aca="false">M117</f>
        <v>0.242791965814156</v>
      </c>
      <c r="N156" s="90" t="n">
        <f aca="false">N117</f>
        <v>5.01737829062238</v>
      </c>
      <c r="O156" s="90" t="n">
        <f aca="false">O117</f>
        <v>5.55350358976987</v>
      </c>
      <c r="P156" s="90" t="n">
        <f aca="false">P117</f>
        <v>5.55350358976987</v>
      </c>
      <c r="Q156" s="146" t="n">
        <f aca="false">SUM(L156:P156)</f>
        <v>16.3671774359763</v>
      </c>
      <c r="R156" s="145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</row>
    <row r="157" s="14" customFormat="true" ht="16.5" hidden="true" customHeight="true" outlineLevel="1" collapsed="false">
      <c r="E157" s="14" t="s">
        <v>169</v>
      </c>
      <c r="L157" s="90" t="n">
        <f aca="false">L130</f>
        <v>0</v>
      </c>
      <c r="M157" s="90" t="n">
        <f aca="false">M130</f>
        <v>0</v>
      </c>
      <c r="N157" s="90" t="n">
        <f aca="false">N130</f>
        <v>0</v>
      </c>
      <c r="O157" s="90" t="n">
        <f aca="false">O130</f>
        <v>0</v>
      </c>
      <c r="P157" s="90" t="n">
        <f aca="false">P130</f>
        <v>0</v>
      </c>
      <c r="Q157" s="146" t="n">
        <f aca="false">SUM(L157:P157)</f>
        <v>0</v>
      </c>
      <c r="R157" s="145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</row>
    <row r="158" s="14" customFormat="true" ht="16.5" hidden="true" customHeight="true" outlineLevel="1" collapsed="false">
      <c r="E158" s="14" t="s">
        <v>170</v>
      </c>
      <c r="L158" s="90" t="n">
        <f aca="false">-L147</f>
        <v>-0</v>
      </c>
      <c r="M158" s="90" t="n">
        <f aca="false">-M147</f>
        <v>-2.24622333333333</v>
      </c>
      <c r="N158" s="90" t="n">
        <f aca="false">-N147</f>
        <v>-0.474296666666667</v>
      </c>
      <c r="O158" s="90" t="n">
        <f aca="false">-O147</f>
        <v>-0</v>
      </c>
      <c r="P158" s="90" t="n">
        <f aca="false">-P147</f>
        <v>-0</v>
      </c>
      <c r="Q158" s="146" t="n">
        <f aca="false">SUM(L158:P158)</f>
        <v>-2.72052</v>
      </c>
      <c r="R158" s="145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</row>
    <row r="159" s="14" customFormat="true" ht="16.5" hidden="true" customHeight="true" outlineLevel="1" collapsed="false">
      <c r="E159" s="228" t="s">
        <v>166</v>
      </c>
      <c r="F159" s="228"/>
      <c r="G159" s="228"/>
      <c r="H159" s="228"/>
      <c r="I159" s="228"/>
      <c r="J159" s="228"/>
      <c r="K159" s="228"/>
      <c r="L159" s="229" t="n">
        <f aca="false">SUM(L156:L158)</f>
        <v>0</v>
      </c>
      <c r="M159" s="229" t="n">
        <f aca="false">SUM(M156:M158)</f>
        <v>-2.00343136751918</v>
      </c>
      <c r="N159" s="229" t="n">
        <f aca="false">SUM(N156:N158)</f>
        <v>4.54308162395571</v>
      </c>
      <c r="O159" s="229" t="n">
        <f aca="false">SUM(O156:O158)</f>
        <v>5.55350358976987</v>
      </c>
      <c r="P159" s="229" t="n">
        <f aca="false">SUM(P156:P158)</f>
        <v>5.55350358976987</v>
      </c>
      <c r="Q159" s="230" t="n">
        <f aca="false">SUM(L159:P159)</f>
        <v>13.6466574359763</v>
      </c>
      <c r="R159" s="145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</row>
    <row r="160" s="14" customFormat="true" ht="16.5" hidden="true" customHeight="true" outlineLevel="1" collapsed="false">
      <c r="E160" s="14" t="s">
        <v>171</v>
      </c>
      <c r="H160" s="21"/>
      <c r="I160" s="21"/>
      <c r="J160" s="21"/>
      <c r="K160" s="21"/>
      <c r="L160" s="90" t="n">
        <f aca="false">L159</f>
        <v>0</v>
      </c>
      <c r="M160" s="90" t="n">
        <f aca="false">L160+M159</f>
        <v>-2.00343136751918</v>
      </c>
      <c r="N160" s="90" t="n">
        <f aca="false">M160+N159</f>
        <v>2.53965025643654</v>
      </c>
      <c r="O160" s="90" t="n">
        <f aca="false">N160+O159</f>
        <v>8.09315384620641</v>
      </c>
      <c r="P160" s="90" t="n">
        <f aca="false">O160+P159</f>
        <v>13.6466574359763</v>
      </c>
      <c r="Q160" s="146" t="n">
        <f aca="false">P160</f>
        <v>13.6466574359763</v>
      </c>
      <c r="R160" s="145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</row>
    <row r="161" s="14" customFormat="true" ht="16.5" hidden="true" customHeight="true" outlineLevel="1" collapsed="false">
      <c r="E161" s="14" t="s">
        <v>172</v>
      </c>
      <c r="H161" s="21"/>
      <c r="I161" s="21"/>
      <c r="J161" s="21"/>
      <c r="K161" s="21"/>
      <c r="L161" s="148" t="n">
        <f aca="false">IF(L160&lt;0,1,0)</f>
        <v>0</v>
      </c>
      <c r="M161" s="148" t="n">
        <f aca="false">IF(M160&lt;0,1,IF(AND(L160&lt;0,M159&gt;0),-L160/M159,0))</f>
        <v>1</v>
      </c>
      <c r="N161" s="148" t="n">
        <f aca="false">IF(N160&lt;0,1,IF(AND(M160&lt;0,N159&gt;0),-M160/N159,0))</f>
        <v>0.44098511392687</v>
      </c>
      <c r="O161" s="148" t="n">
        <f aca="false">IF(O160&lt;0,1,IF(AND(N160&lt;0,O159&gt;0),-N160/O159,0))</f>
        <v>0</v>
      </c>
      <c r="P161" s="148" t="n">
        <f aca="false">IF(P160&lt;0,1,IF(AND(O160&lt;0,P159&gt;0),-O160/P159,0))</f>
        <v>0</v>
      </c>
      <c r="Q161" s="90"/>
      <c r="R161" s="145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</row>
    <row r="162" s="14" customFormat="true" ht="16.5" hidden="true" customHeight="true" outlineLevel="1" collapsed="false">
      <c r="H162" s="21"/>
      <c r="I162" s="21"/>
      <c r="J162" s="21"/>
      <c r="K162" s="21"/>
      <c r="R162" s="145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</row>
    <row r="163" s="14" customFormat="true" ht="16.5" hidden="true" customHeight="true" outlineLevel="1" collapsed="false">
      <c r="E163" s="21" t="s">
        <v>430</v>
      </c>
      <c r="F163" s="150" t="s">
        <v>431</v>
      </c>
      <c r="G163" s="148" t="n">
        <f aca="false">IFERROR(K117/-SUM(L149:P149),"n/a")</f>
        <v>2.04133900495856</v>
      </c>
      <c r="H163" s="21"/>
      <c r="I163" s="21"/>
      <c r="J163" s="21"/>
      <c r="K163" s="21"/>
      <c r="R163" s="145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</row>
    <row r="164" s="14" customFormat="true" ht="16.5" hidden="true" customHeight="true" outlineLevel="1" collapsed="false">
      <c r="E164" s="21" t="s">
        <v>432</v>
      </c>
      <c r="F164" s="150" t="s">
        <v>433</v>
      </c>
      <c r="G164" s="231" t="n">
        <f aca="false">IFERROR(IRR($L$159:$P$159, 0.2),"n/a")</f>
        <v>2.34434881900707</v>
      </c>
      <c r="H164" s="21"/>
      <c r="I164" s="21"/>
      <c r="J164" s="21"/>
      <c r="K164" s="21"/>
      <c r="R164" s="145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</row>
    <row r="165" s="14" customFormat="true" ht="16.5" hidden="true" customHeight="true" outlineLevel="1" collapsed="false">
      <c r="E165" s="21" t="s">
        <v>434</v>
      </c>
      <c r="F165" s="150" t="s">
        <v>176</v>
      </c>
      <c r="G165" s="148" t="n">
        <f aca="false">IF(SUM(L161:P161)=5,"&gt;5",SUM(L161:P161))</f>
        <v>1.44098511392687</v>
      </c>
      <c r="H165" s="21"/>
      <c r="I165" s="21"/>
      <c r="J165" s="21"/>
      <c r="K165" s="21"/>
      <c r="R165" s="145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</row>
    <row r="166" s="14" customFormat="true" ht="16.5" hidden="true" customHeight="true" outlineLevel="1" collapsed="false">
      <c r="E166" s="21"/>
      <c r="F166" s="150"/>
      <c r="G166" s="148"/>
      <c r="H166" s="21"/>
      <c r="I166" s="21"/>
      <c r="J166" s="21"/>
      <c r="K166" s="21"/>
      <c r="R166" s="145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</row>
    <row r="167" s="14" customFormat="true" ht="16.5" hidden="true" customHeight="true" outlineLevel="1" collapsed="false">
      <c r="E167" s="21" t="s">
        <v>173</v>
      </c>
      <c r="G167" s="149" t="n">
        <v>0.095</v>
      </c>
      <c r="H167" s="21"/>
      <c r="I167" s="21"/>
      <c r="J167" s="21"/>
      <c r="K167" s="21"/>
      <c r="R167" s="145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</row>
    <row r="168" s="14" customFormat="true" ht="16.5" hidden="true" customHeight="true" outlineLevel="1" collapsed="false">
      <c r="E168" s="21" t="s">
        <v>174</v>
      </c>
      <c r="F168" s="150" t="s">
        <v>175</v>
      </c>
      <c r="G168" s="90" t="n">
        <f aca="false">SUM(L168:P168)</f>
        <v>9.17998533859444</v>
      </c>
      <c r="H168" s="21"/>
      <c r="I168" s="21"/>
      <c r="J168" s="21"/>
      <c r="K168" s="21"/>
      <c r="L168" s="90" t="n">
        <f aca="false">L159/(1+$G$167)^L$1</f>
        <v>0</v>
      </c>
      <c r="M168" s="90" t="n">
        <f aca="false">M159/(1+$G$167)^M$1</f>
        <v>-1.67088373263208</v>
      </c>
      <c r="N168" s="90" t="n">
        <f aca="false">N159/(1+$G$167)^N$1</f>
        <v>3.46025561594954</v>
      </c>
      <c r="O168" s="90" t="n">
        <f aca="false">O159/(1+$G$167)^O$1</f>
        <v>3.86287433581303</v>
      </c>
      <c r="P168" s="90" t="n">
        <f aca="false">P159/(1+$G$167)^P$1</f>
        <v>3.52773911946395</v>
      </c>
      <c r="Q168" s="90" t="n">
        <f aca="false">SUM(L168:P168)</f>
        <v>9.17998533859444</v>
      </c>
      <c r="R168" s="145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</row>
    <row r="169" s="14" customFormat="true" ht="16.5" hidden="true" customHeight="true" outlineLevel="1" collapsed="false">
      <c r="Q169" s="16"/>
      <c r="R169" s="16"/>
    </row>
    <row r="170" s="14" customFormat="true" ht="16.5" hidden="false" customHeight="true" outlineLevel="0" collapsed="false">
      <c r="Q170" s="16"/>
      <c r="R170" s="16"/>
    </row>
    <row r="171" s="14" customFormat="true" ht="16.5" hidden="false" customHeight="true" outlineLevel="0" collapsed="false">
      <c r="C171" s="19" t="s">
        <v>178</v>
      </c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20"/>
      <c r="R171" s="20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</row>
  </sheetData>
  <mergeCells count="3">
    <mergeCell ref="F8:J10"/>
    <mergeCell ref="CI62:CM62"/>
    <mergeCell ref="CI90:CM90"/>
  </mergeCells>
  <conditionalFormatting sqref="J26">
    <cfRule type="expression" priority="2" aboveAverage="0" equalAverage="0" bottom="0" percent="0" rank="0" text="" dxfId="0">
      <formula>AND($F26="Yes")</formula>
    </cfRule>
    <cfRule type="expression" priority="3" aboveAverage="0" equalAverage="0" bottom="0" percent="0" rank="0" text="" dxfId="1">
      <formula>AND($F26="No")</formula>
    </cfRule>
  </conditionalFormatting>
  <conditionalFormatting sqref="T79:CA86">
    <cfRule type="expression" priority="4" aboveAverage="0" equalAverage="0" bottom="0" percent="0" rank="0" text="" dxfId="0">
      <formula>AND($F79="Yes")</formula>
    </cfRule>
    <cfRule type="expression" priority="5" aboveAverage="0" equalAverage="0" bottom="0" percent="0" rank="0" text="" dxfId="1">
      <formula>AND($F79="No")</formula>
    </cfRule>
  </conditionalFormatting>
  <conditionalFormatting sqref="I84:P86">
    <cfRule type="expression" priority="6" aboveAverage="0" equalAverage="0" bottom="0" percent="0" rank="0" text="" dxfId="0">
      <formula>AND($F84="Yes")</formula>
    </cfRule>
    <cfRule type="expression" priority="7" aboveAverage="0" equalAverage="0" bottom="0" percent="0" rank="0" text="" dxfId="1">
      <formula>AND($F84="No")</formula>
    </cfRule>
  </conditionalFormatting>
  <conditionalFormatting sqref="I112:K113">
    <cfRule type="expression" priority="8" aboveAverage="0" equalAverage="0" bottom="0" percent="0" rank="0" text="" dxfId="0">
      <formula>AND($F112="Yes")</formula>
    </cfRule>
    <cfRule type="expression" priority="9" aboveAverage="0" equalAverage="0" bottom="0" percent="0" rank="0" text="" dxfId="1">
      <formula>AND($F112="No")</formula>
    </cfRule>
  </conditionalFormatting>
  <conditionalFormatting sqref="E94:E95">
    <cfRule type="expression" priority="10" aboveAverage="0" equalAverage="0" bottom="0" percent="0" rank="0" text="" dxfId="0">
      <formula>AND($F94="Yes")</formula>
    </cfRule>
    <cfRule type="expression" priority="11" aboveAverage="0" equalAverage="0" bottom="0" percent="0" rank="0" text="" dxfId="1">
      <formula>AND($F94="No")</formula>
    </cfRule>
  </conditionalFormatting>
  <conditionalFormatting sqref="E107:E111">
    <cfRule type="expression" priority="12" aboveAverage="0" equalAverage="0" bottom="0" percent="0" rank="0" text="" dxfId="0">
      <formula>AND($F107="Yes")</formula>
    </cfRule>
    <cfRule type="expression" priority="13" aboveAverage="0" equalAverage="0" bottom="0" percent="0" rank="0" text="" dxfId="1">
      <formula>AND($F107="No")</formula>
    </cfRule>
  </conditionalFormatting>
  <conditionalFormatting sqref="E141:E143">
    <cfRule type="expression" priority="14" aboveAverage="0" equalAverage="0" bottom="0" percent="0" rank="0" text="" dxfId="0">
      <formula>AND($F141="Yes")</formula>
    </cfRule>
    <cfRule type="expression" priority="15" aboveAverage="0" equalAverage="0" bottom="0" percent="0" rank="0" text="" dxfId="1">
      <formula>AND($F141="No")</formula>
    </cfRule>
  </conditionalFormatting>
  <conditionalFormatting sqref="E136:E137">
    <cfRule type="expression" priority="16" aboveAverage="0" equalAverage="0" bottom="0" percent="0" rank="0" text="" dxfId="0">
      <formula>AND($F136="Yes")</formula>
    </cfRule>
    <cfRule type="expression" priority="17" aboveAverage="0" equalAverage="0" bottom="0" percent="0" rank="0" text="" dxfId="1">
      <formula>AND($F136="No")</formula>
    </cfRule>
  </conditionalFormatting>
  <conditionalFormatting sqref="E126:E127">
    <cfRule type="expression" priority="18" aboveAverage="0" equalAverage="0" bottom="0" percent="0" rank="0" text="" dxfId="0">
      <formula>AND($F126="Yes")</formula>
    </cfRule>
    <cfRule type="expression" priority="19" aboveAverage="0" equalAverage="0" bottom="0" percent="0" rank="0" text="" dxfId="1">
      <formula>AND($F126="No")</formula>
    </cfRule>
  </conditionalFormatting>
  <conditionalFormatting sqref="E66:E67">
    <cfRule type="expression" priority="20" aboveAverage="0" equalAverage="0" bottom="0" percent="0" rank="0" text="" dxfId="0">
      <formula>AND($F66="Yes")</formula>
    </cfRule>
    <cfRule type="expression" priority="21" aboveAverage="0" equalAverage="0" bottom="0" percent="0" rank="0" text="" dxfId="1">
      <formula>AND($F66="No")</formula>
    </cfRule>
  </conditionalFormatting>
  <conditionalFormatting sqref="CJ152:CM152">
    <cfRule type="containsText" priority="22" operator="containsText" aboveAverage="0" equalAverage="0" bottom="0" percent="0" rank="0" text="FALSE" dxfId="2">
      <formula>NOT(ISERROR(SEARCH("FALSE",CJ152)))</formula>
    </cfRule>
  </conditionalFormatting>
  <conditionalFormatting sqref="Q141:Q143">
    <cfRule type="containsText" priority="23" operator="containsText" aboveAverage="0" equalAverage="0" bottom="0" percent="0" rank="0" text="Error" dxfId="2">
      <formula>NOT(ISERROR(SEARCH("Error",Q141)))</formula>
    </cfRule>
    <cfRule type="containsText" priority="24" operator="containsText" aboveAverage="0" equalAverage="0" bottom="0" percent="0" rank="0" text="FALSE" dxfId="2">
      <formula>NOT(ISERROR(SEARCH("FALSE",Q141)))</formula>
    </cfRule>
  </conditionalFormatting>
  <conditionalFormatting sqref="Q136:Q137">
    <cfRule type="containsText" priority="25" operator="containsText" aboveAverage="0" equalAverage="0" bottom="0" percent="0" rank="0" text="Error" dxfId="2">
      <formula>NOT(ISERROR(SEARCH("Error",Q136)))</formula>
    </cfRule>
    <cfRule type="containsText" priority="26" operator="containsText" aboveAverage="0" equalAverage="0" bottom="0" percent="0" rank="0" text="FALSE" dxfId="2">
      <formula>NOT(ISERROR(SEARCH("FALSE",Q136)))</formula>
    </cfRule>
  </conditionalFormatting>
  <conditionalFormatting sqref="Q126:Q127">
    <cfRule type="containsText" priority="27" operator="containsText" aboveAverage="0" equalAverage="0" bottom="0" percent="0" rank="0" text="Error" dxfId="2">
      <formula>NOT(ISERROR(SEARCH("Error",Q126)))</formula>
    </cfRule>
    <cfRule type="containsText" priority="28" operator="containsText" aboveAverage="0" equalAverage="0" bottom="0" percent="0" rank="0" text="FALSE" dxfId="2">
      <formula>NOT(ISERROR(SEARCH("FALSE",Q126)))</formula>
    </cfRule>
  </conditionalFormatting>
  <conditionalFormatting sqref="J56:J57">
    <cfRule type="expression" priority="29" aboveAverage="0" equalAverage="0" bottom="0" percent="0" rank="0" text="" dxfId="0">
      <formula>AND($F56="Yes")</formula>
    </cfRule>
    <cfRule type="expression" priority="30" aboveAverage="0" equalAverage="0" bottom="0" percent="0" rank="0" text="" dxfId="1">
      <formula>AND($F56="No")</formula>
    </cfRule>
  </conditionalFormatting>
  <conditionalFormatting sqref="J46:J47 J51">
    <cfRule type="expression" priority="31" aboveAverage="0" equalAverage="0" bottom="0" percent="0" rank="0" text="" dxfId="0">
      <formula>AND($F46="Yes")</formula>
    </cfRule>
    <cfRule type="expression" priority="32" aboveAverage="0" equalAverage="0" bottom="0" percent="0" rank="0" text="" dxfId="1">
      <formula>AND($F46="No")</formula>
    </cfRule>
  </conditionalFormatting>
  <conditionalFormatting sqref="J52">
    <cfRule type="expression" priority="33" aboveAverage="0" equalAverage="0" bottom="0" percent="0" rank="0" text="" dxfId="0">
      <formula>AND(#ref!="Yes")</formula>
    </cfRule>
    <cfRule type="expression" priority="34" aboveAverage="0" equalAverage="0" bottom="0" percent="0" rank="0" text="" dxfId="1">
      <formula>AND(#ref!="No")</formula>
    </cfRule>
  </conditionalFormatting>
  <conditionalFormatting sqref="J42:J43">
    <cfRule type="expression" priority="35" aboveAverage="0" equalAverage="0" bottom="0" percent="0" rank="0" text="" dxfId="0">
      <formula>AND($F42="Yes")</formula>
    </cfRule>
    <cfRule type="expression" priority="36" aboveAverage="0" equalAverage="0" bottom="0" percent="0" rank="0" text="" dxfId="1">
      <formula>AND($F42="No")</formula>
    </cfRule>
  </conditionalFormatting>
  <conditionalFormatting sqref="J32:J33 J37">
    <cfRule type="expression" priority="37" aboveAverage="0" equalAverage="0" bottom="0" percent="0" rank="0" text="" dxfId="0">
      <formula>AND($F32="Yes")</formula>
    </cfRule>
    <cfRule type="expression" priority="38" aboveAverage="0" equalAverage="0" bottom="0" percent="0" rank="0" text="" dxfId="1">
      <formula>AND($F32="No")</formula>
    </cfRule>
  </conditionalFormatting>
  <conditionalFormatting sqref="J38">
    <cfRule type="expression" priority="39" aboveAverage="0" equalAverage="0" bottom="0" percent="0" rank="0" text="" dxfId="0">
      <formula>AND(#ref!="Yes")</formula>
    </cfRule>
    <cfRule type="expression" priority="40" aboveAverage="0" equalAverage="0" bottom="0" percent="0" rank="0" text="" dxfId="1">
      <formula>AND(#ref!="No")</formula>
    </cfRule>
  </conditionalFormatting>
  <conditionalFormatting sqref="CJ171:CM171">
    <cfRule type="containsText" priority="41" operator="containsText" aboveAverage="0" equalAverage="0" bottom="0" percent="0" rank="0" text="FALSE" dxfId="2">
      <formula>NOT(ISERROR(SEARCH("FALSE",CJ171)))</formula>
    </cfRule>
  </conditionalFormatting>
  <conditionalFormatting sqref="CJ120:CM120">
    <cfRule type="containsText" priority="42" operator="containsText" aboveAverage="0" equalAverage="0" bottom="0" percent="0" rank="0" text="FALSE" dxfId="2">
      <formula>NOT(ISERROR(SEARCH("FALSE",CJ120)))</formula>
    </cfRule>
  </conditionalFormatting>
  <conditionalFormatting sqref="P18:P21">
    <cfRule type="containsText" priority="43" operator="containsText" aboveAverage="0" equalAverage="0" bottom="0" percent="0" rank="0" text="PASS" dxfId="3">
      <formula>NOT(ISERROR(SEARCH("PASS",P18)))</formula>
    </cfRule>
  </conditionalFormatting>
  <conditionalFormatting sqref="CI141:CM144">
    <cfRule type="expression" priority="44" aboveAverage="0" equalAverage="0" bottom="0" percent="0" rank="0" text="" dxfId="0">
      <formula>AND($F141="Yes")</formula>
    </cfRule>
    <cfRule type="expression" priority="45" aboveAverage="0" equalAverage="0" bottom="0" percent="0" rank="0" text="" dxfId="1">
      <formula>AND($F141="No")</formula>
    </cfRule>
  </conditionalFormatting>
  <conditionalFormatting sqref="CI136:CM138">
    <cfRule type="expression" priority="46" aboveAverage="0" equalAverage="0" bottom="0" percent="0" rank="0" text="" dxfId="0">
      <formula>AND($F136="Yes")</formula>
    </cfRule>
    <cfRule type="expression" priority="47" aboveAverage="0" equalAverage="0" bottom="0" percent="0" rank="0" text="" dxfId="1">
      <formula>AND($F136="No")</formula>
    </cfRule>
  </conditionalFormatting>
  <conditionalFormatting sqref="CC141:CG144">
    <cfRule type="expression" priority="48" aboveAverage="0" equalAverage="0" bottom="0" percent="0" rank="0" text="" dxfId="0">
      <formula>AND($F141="Yes")</formula>
    </cfRule>
    <cfRule type="expression" priority="49" aboveAverage="0" equalAverage="0" bottom="0" percent="0" rank="0" text="" dxfId="1">
      <formula>AND($F141="No")</formula>
    </cfRule>
  </conditionalFormatting>
  <conditionalFormatting sqref="CC136:CG138">
    <cfRule type="expression" priority="50" aboveAverage="0" equalAverage="0" bottom="0" percent="0" rank="0" text="" dxfId="0">
      <formula>AND($F136="Yes")</formula>
    </cfRule>
    <cfRule type="expression" priority="51" aboveAverage="0" equalAverage="0" bottom="0" percent="0" rank="0" text="" dxfId="1">
      <formula>AND($F136="No")</formula>
    </cfRule>
  </conditionalFormatting>
  <conditionalFormatting sqref="V112:CA113">
    <cfRule type="expression" priority="52" aboveAverage="0" equalAverage="0" bottom="0" percent="0" rank="0" text="" dxfId="0">
      <formula>AND($F112="Yes")</formula>
    </cfRule>
    <cfRule type="expression" priority="53" aboveAverage="0" equalAverage="0" bottom="0" percent="0" rank="0" text="" dxfId="1">
      <formula>AND($F112="No")</formula>
    </cfRule>
  </conditionalFormatting>
  <conditionalFormatting sqref="T136:CA138">
    <cfRule type="expression" priority="54" aboveAverage="0" equalAverage="0" bottom="0" percent="0" rank="0" text="" dxfId="0">
      <formula>AND($F136="Yes")</formula>
    </cfRule>
    <cfRule type="expression" priority="55" aboveAverage="0" equalAverage="0" bottom="0" percent="0" rank="0" text="" dxfId="1">
      <formula>AND($F136="No")</formula>
    </cfRule>
  </conditionalFormatting>
  <conditionalFormatting sqref="V85:CA85">
    <cfRule type="expression" priority="56" aboveAverage="0" equalAverage="0" bottom="0" percent="0" rank="0" text="" dxfId="0">
      <formula>AND($F85="Yes")</formula>
    </cfRule>
    <cfRule type="expression" priority="57" aboveAverage="0" equalAverage="0" bottom="0" percent="0" rank="0" text="" dxfId="1">
      <formula>AND($F85="No")</formula>
    </cfRule>
  </conditionalFormatting>
  <conditionalFormatting sqref="T141:CA146">
    <cfRule type="expression" priority="58" aboveAverage="0" equalAverage="0" bottom="0" percent="0" rank="0" text="" dxfId="0">
      <formula>AND($F141="Yes")</formula>
    </cfRule>
    <cfRule type="expression" priority="59" aboveAverage="0" equalAverage="0" bottom="0" percent="0" rank="0" text="" dxfId="1">
      <formula>AND($F141="No")</formula>
    </cfRule>
  </conditionalFormatting>
  <conditionalFormatting sqref="Q63:R113 Q123">
    <cfRule type="containsText" priority="60" operator="containsText" aboveAverage="0" equalAverage="0" bottom="0" percent="0" rank="0" text="Error" dxfId="2">
      <formula>NOT(ISERROR(SEARCH("Error",Q63)))</formula>
    </cfRule>
  </conditionalFormatting>
  <conditionalFormatting sqref="Q66:R90 Q92:R113 CI66:CM119 CI121:CM149">
    <cfRule type="containsText" priority="61" operator="containsText" aboveAverage="0" equalAverage="0" bottom="0" percent="0" rank="0" text="FALSE" dxfId="2">
      <formula>NOT(ISERROR(SEARCH("FALSE",Q66)))</formula>
    </cfRule>
  </conditionalFormatting>
  <conditionalFormatting sqref="L136:P138">
    <cfRule type="expression" priority="62" aboveAverage="0" equalAverage="0" bottom="0" percent="0" rank="0" text="" dxfId="0">
      <formula>AND($F136="Yes")</formula>
    </cfRule>
    <cfRule type="expression" priority="63" aboveAverage="0" equalAverage="0" bottom="0" percent="0" rank="0" text="" dxfId="1">
      <formula>AND($F136="No")</formula>
    </cfRule>
  </conditionalFormatting>
  <conditionalFormatting sqref="Q117:R117">
    <cfRule type="containsText" priority="64" operator="containsText" aboveAverage="0" equalAverage="0" bottom="0" percent="0" rank="0" text="Error" dxfId="2">
      <formula>NOT(ISERROR(SEARCH("Error",Q117)))</formula>
    </cfRule>
    <cfRule type="containsText" priority="65" operator="containsText" aboveAverage="0" equalAverage="0" bottom="0" percent="0" rank="0" text="FALSE" dxfId="2">
      <formula>NOT(ISERROR(SEARCH("FALSE",Q117)))</formula>
    </cfRule>
  </conditionalFormatting>
  <conditionalFormatting sqref="I96:K96">
    <cfRule type="expression" priority="66" aboveAverage="0" equalAverage="0" bottom="0" percent="0" rank="0" text="" dxfId="0">
      <formula>AND($F96="Yes")</formula>
    </cfRule>
    <cfRule type="expression" priority="67" aboveAverage="0" equalAverage="0" bottom="0" percent="0" rank="0" text="" dxfId="1">
      <formula>AND($F96="No")</formula>
    </cfRule>
  </conditionalFormatting>
  <conditionalFormatting sqref="I104:K104">
    <cfRule type="expression" priority="68" aboveAverage="0" equalAverage="0" bottom="0" percent="0" rank="0" text="" dxfId="0">
      <formula>AND($F104="Yes")</formula>
    </cfRule>
    <cfRule type="expression" priority="69" aboveAverage="0" equalAverage="0" bottom="0" percent="0" rank="0" text="" dxfId="1">
      <formula>AND($F104="No")</formula>
    </cfRule>
  </conditionalFormatting>
  <conditionalFormatting sqref="E71:E75 E79:E83 E99:E103 F6:G6 I66:J67 I71:J75 I79:J83 I94:J95 I99:J103 I107:J111 J18:J21 J29 L66:P67 L71:P75 L79:P83 L94:P96 L99:P104 L107:P113 L126:P129 L141:P146 T66:CA68 T71:CA76 T94:CA96 T99:CA104 T107:CA113 T126:CA129 CC66:CG68 CC71:CG76 CC79:CG86 CC94:CG96 CC99:CG104 CC107:CG113 CC126:CG128 CI66:CM68 CI71:CM76 CI79:CM86 CI94:CM96 CI99:CM104 CI107:CM113 CI126:CM128">
    <cfRule type="expression" priority="70" aboveAverage="0" equalAverage="0" bottom="0" percent="0" rank="0" text="" dxfId="0">
      <formula>AND($F6="Yes")</formula>
    </cfRule>
    <cfRule type="expression" priority="71" aboveAverage="0" equalAverage="0" bottom="0" percent="0" rank="0" text="" dxfId="1">
      <formula>AND($F6="No")</formula>
    </cfRule>
  </conditionalFormatting>
  <conditionalFormatting sqref="E97">
    <cfRule type="expression" priority="72" aboveAverage="0" equalAverage="0" bottom="0" percent="0" rank="0" text="" dxfId="4">
      <formula>AND($F97="Yes")</formula>
    </cfRule>
    <cfRule type="expression" priority="73" aboveAverage="0" equalAverage="0" bottom="0" percent="0" rank="0" text="" dxfId="5">
      <formula>AND($F97="No")</formula>
    </cfRule>
  </conditionalFormatting>
  <conditionalFormatting sqref="E114">
    <cfRule type="expression" priority="74" aboveAverage="0" equalAverage="0" bottom="0" percent="0" rank="0" text="" dxfId="4">
      <formula>AND($F114="Yes")</formula>
    </cfRule>
    <cfRule type="expression" priority="75" aboveAverage="0" equalAverage="0" bottom="0" percent="0" rank="0" text="" dxfId="5">
      <formula>AND($F114="No")</formula>
    </cfRule>
  </conditionalFormatting>
  <conditionalFormatting sqref="I68:P68">
    <cfRule type="expression" priority="76" aboveAverage="0" equalAverage="0" bottom="0" percent="0" rank="0" text="" dxfId="0">
      <formula>AND($F68="Yes")</formula>
    </cfRule>
    <cfRule type="expression" priority="77" aboveAverage="0" equalAverage="0" bottom="0" percent="0" rank="0" text="" dxfId="1">
      <formula>AND($F68="No")</formula>
    </cfRule>
  </conditionalFormatting>
  <conditionalFormatting sqref="D136:D137 E69 E132">
    <cfRule type="expression" priority="78" aboveAverage="0" equalAverage="0" bottom="0" percent="0" rank="0" text="" dxfId="4">
      <formula>AND($F69="Yes")</formula>
    </cfRule>
    <cfRule type="expression" priority="79" aboveAverage="0" equalAverage="0" bottom="0" percent="0" rank="0" text="" dxfId="5">
      <formula>AND($F69="No")</formula>
    </cfRule>
  </conditionalFormatting>
  <conditionalFormatting sqref="I76:P76">
    <cfRule type="expression" priority="80" aboveAverage="0" equalAverage="0" bottom="0" percent="0" rank="0" text="" dxfId="0">
      <formula>AND($F76="Yes")</formula>
    </cfRule>
    <cfRule type="expression" priority="81" aboveAverage="0" equalAverage="0" bottom="0" percent="0" rank="0" text="" dxfId="1">
      <formula>AND($F76="No")</formula>
    </cfRule>
  </conditionalFormatting>
  <conditionalFormatting sqref="E87">
    <cfRule type="expression" priority="82" aboveAverage="0" equalAverage="0" bottom="0" percent="0" rank="0" text="" dxfId="4">
      <formula>AND($F87="Yes")</formula>
    </cfRule>
    <cfRule type="expression" priority="83" aboveAverage="0" equalAverage="0" bottom="0" percent="0" rank="0" text="" dxfId="5">
      <formula>AND($F87="No")</formula>
    </cfRule>
  </conditionalFormatting>
  <conditionalFormatting sqref="G167 J24:J25">
    <cfRule type="expression" priority="84" aboveAverage="0" equalAverage="0" bottom="0" percent="0" rank="0" text="" dxfId="0">
      <formula>AND(#ref!="Yes")</formula>
    </cfRule>
    <cfRule type="expression" priority="85" aboveAverage="0" equalAverage="0" bottom="0" percent="0" rank="0" text="" dxfId="1">
      <formula>AND(#ref!="No")</formula>
    </cfRule>
  </conditionalFormatting>
  <printOptions headings="false" gridLines="false" gridLinesSet="true" horizontalCentered="true" verticalCentered="false"/>
  <pageMargins left="0.25" right="0.25" top="0.75" bottom="0.75" header="0.511811023622047" footer="0.511811023622047"/>
  <pageSetup paperSize="1" scale="2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false"/>
  </sheetPr>
  <dimension ref="B2:CA1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6" topLeftCell="G7" activePane="bottomRight" state="frozen"/>
      <selection pane="topLeft" activeCell="A1" activeCellId="0" sqref="A1"/>
      <selection pane="topRight" activeCell="G1" activeCellId="0" sqref="G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4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8" min="6" style="0" width="15"/>
    <col collapsed="false" customWidth="true" hidden="false" outlineLevel="0" max="9" min="9" style="0" width="13"/>
    <col collapsed="false" customWidth="true" hidden="false" outlineLevel="0" max="10" min="10" style="0" width="2"/>
    <col collapsed="false" customWidth="true" hidden="false" outlineLevel="0" max="11" min="11" style="0" width="12"/>
    <col collapsed="false" customWidth="true" hidden="false" outlineLevel="0" max="16" min="12" style="0" width="11"/>
    <col collapsed="false" customWidth="true" hidden="false" outlineLevel="0" max="17" min="17" style="0" width="2"/>
    <col collapsed="false" customWidth="true" hidden="false" outlineLevel="0" max="18" min="18" style="0" width="60"/>
    <col collapsed="false" customWidth="true" hidden="false" outlineLevel="0" max="19" min="19" style="0" width="2"/>
    <col collapsed="false" customWidth="true" hidden="false" outlineLevel="0" max="79" min="20" style="0" width="9"/>
  </cols>
  <sheetData>
    <row r="2" customFormat="false" ht="24" hidden="false" customHeight="true" outlineLevel="0" collapsed="false">
      <c r="B2" s="153" t="s">
        <v>735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B3" s="154" t="s">
        <v>736</v>
      </c>
    </row>
    <row r="5" customFormat="false" ht="15" hidden="false" customHeight="false" outlineLevel="0" collapsed="false">
      <c r="T5" s="175" t="n">
        <v>2026</v>
      </c>
      <c r="U5" s="175" t="n">
        <v>2026</v>
      </c>
      <c r="V5" s="175" t="n">
        <v>2026</v>
      </c>
      <c r="W5" s="175" t="n">
        <v>2026</v>
      </c>
      <c r="X5" s="175" t="n">
        <v>2026</v>
      </c>
      <c r="Y5" s="175" t="n">
        <v>2026</v>
      </c>
      <c r="Z5" s="175" t="n">
        <v>2026</v>
      </c>
      <c r="AA5" s="175" t="n">
        <v>2026</v>
      </c>
      <c r="AB5" s="175" t="n">
        <v>2026</v>
      </c>
      <c r="AC5" s="175" t="n">
        <v>2026</v>
      </c>
      <c r="AD5" s="175" t="n">
        <v>2026</v>
      </c>
      <c r="AE5" s="175" t="n">
        <v>2026</v>
      </c>
      <c r="AF5" s="175" t="n">
        <v>2027</v>
      </c>
      <c r="AG5" s="175" t="n">
        <v>2027</v>
      </c>
      <c r="AH5" s="175" t="n">
        <v>2027</v>
      </c>
      <c r="AI5" s="175" t="n">
        <v>2027</v>
      </c>
      <c r="AJ5" s="175" t="n">
        <v>2027</v>
      </c>
      <c r="AK5" s="175" t="n">
        <v>2027</v>
      </c>
      <c r="AL5" s="175" t="n">
        <v>2027</v>
      </c>
      <c r="AM5" s="175" t="n">
        <v>2027</v>
      </c>
      <c r="AN5" s="175" t="n">
        <v>2027</v>
      </c>
      <c r="AO5" s="175" t="n">
        <v>2027</v>
      </c>
      <c r="AP5" s="175" t="n">
        <v>2027</v>
      </c>
      <c r="AQ5" s="175" t="n">
        <v>2027</v>
      </c>
      <c r="AR5" s="175" t="n">
        <v>2028</v>
      </c>
      <c r="AS5" s="175" t="n">
        <v>2028</v>
      </c>
      <c r="AT5" s="175" t="n">
        <v>2028</v>
      </c>
      <c r="AU5" s="175" t="n">
        <v>2028</v>
      </c>
      <c r="AV5" s="175" t="n">
        <v>2028</v>
      </c>
      <c r="AW5" s="175" t="n">
        <v>2028</v>
      </c>
      <c r="AX5" s="175" t="n">
        <v>2028</v>
      </c>
      <c r="AY5" s="175" t="n">
        <v>2028</v>
      </c>
      <c r="AZ5" s="175" t="n">
        <v>2028</v>
      </c>
      <c r="BA5" s="175" t="n">
        <v>2028</v>
      </c>
      <c r="BB5" s="175" t="n">
        <v>2028</v>
      </c>
      <c r="BC5" s="175" t="n">
        <v>2028</v>
      </c>
      <c r="BD5" s="175" t="n">
        <v>2029</v>
      </c>
      <c r="BE5" s="175" t="n">
        <v>2029</v>
      </c>
      <c r="BF5" s="175" t="n">
        <v>2029</v>
      </c>
      <c r="BG5" s="175" t="n">
        <v>2029</v>
      </c>
      <c r="BH5" s="175" t="n">
        <v>2029</v>
      </c>
      <c r="BI5" s="175" t="n">
        <v>2029</v>
      </c>
      <c r="BJ5" s="175" t="n">
        <v>2029</v>
      </c>
      <c r="BK5" s="175" t="n">
        <v>2029</v>
      </c>
      <c r="BL5" s="175" t="n">
        <v>2029</v>
      </c>
      <c r="BM5" s="175" t="n">
        <v>2029</v>
      </c>
      <c r="BN5" s="175" t="n">
        <v>2029</v>
      </c>
      <c r="BO5" s="175" t="n">
        <v>2029</v>
      </c>
      <c r="BP5" s="175" t="n">
        <v>2030</v>
      </c>
      <c r="BQ5" s="175" t="n">
        <v>2030</v>
      </c>
      <c r="BR5" s="175" t="n">
        <v>2030</v>
      </c>
      <c r="BS5" s="175" t="n">
        <v>2030</v>
      </c>
      <c r="BT5" s="175" t="n">
        <v>2030</v>
      </c>
      <c r="BU5" s="175" t="n">
        <v>2030</v>
      </c>
      <c r="BV5" s="175" t="n">
        <v>2030</v>
      </c>
      <c r="BW5" s="175" t="n">
        <v>2030</v>
      </c>
      <c r="BX5" s="175" t="n">
        <v>2030</v>
      </c>
      <c r="BY5" s="175" t="n">
        <v>2030</v>
      </c>
      <c r="BZ5" s="175" t="n">
        <v>2030</v>
      </c>
      <c r="CA5" s="175" t="n">
        <v>2030</v>
      </c>
    </row>
    <row r="6" customFormat="false" ht="15" hidden="false" customHeight="false" outlineLevel="0" collapsed="false">
      <c r="B6" s="161" t="s">
        <v>258</v>
      </c>
      <c r="K6" s="176" t="s">
        <v>259</v>
      </c>
      <c r="L6" s="176" t="n">
        <v>2026</v>
      </c>
      <c r="M6" s="176" t="n">
        <v>2027</v>
      </c>
      <c r="N6" s="176" t="n">
        <v>2028</v>
      </c>
      <c r="O6" s="176" t="n">
        <v>2029</v>
      </c>
      <c r="P6" s="176" t="n">
        <v>2030</v>
      </c>
      <c r="T6" s="177" t="n">
        <f aca="false">DATE(2026,1,31)</f>
        <v>46053</v>
      </c>
      <c r="U6" s="177" t="n">
        <f aca="false">EOMONTH(T6,1)</f>
        <v>46081</v>
      </c>
      <c r="V6" s="177" t="n">
        <f aca="false">EOMONTH(U6,1)</f>
        <v>46112</v>
      </c>
      <c r="W6" s="177" t="n">
        <f aca="false">EOMONTH(V6,1)</f>
        <v>46142</v>
      </c>
      <c r="X6" s="177" t="n">
        <f aca="false">EOMONTH(W6,1)</f>
        <v>46173</v>
      </c>
      <c r="Y6" s="177" t="n">
        <f aca="false">EOMONTH(X6,1)</f>
        <v>46203</v>
      </c>
      <c r="Z6" s="177" t="n">
        <f aca="false">EOMONTH(Y6,1)</f>
        <v>46234</v>
      </c>
      <c r="AA6" s="177" t="n">
        <f aca="false">EOMONTH(Z6,1)</f>
        <v>46265</v>
      </c>
      <c r="AB6" s="177" t="n">
        <f aca="false">EOMONTH(AA6,1)</f>
        <v>46295</v>
      </c>
      <c r="AC6" s="177" t="n">
        <f aca="false">EOMONTH(AB6,1)</f>
        <v>46326</v>
      </c>
      <c r="AD6" s="177" t="n">
        <f aca="false">EOMONTH(AC6,1)</f>
        <v>46356</v>
      </c>
      <c r="AE6" s="177" t="n">
        <f aca="false">EOMONTH(AD6,1)</f>
        <v>46387</v>
      </c>
      <c r="AF6" s="177" t="n">
        <f aca="false">EOMONTH(AE6,1)</f>
        <v>46418</v>
      </c>
      <c r="AG6" s="177" t="n">
        <f aca="false">EOMONTH(AF6,1)</f>
        <v>46446</v>
      </c>
      <c r="AH6" s="177" t="n">
        <f aca="false">EOMONTH(AG6,1)</f>
        <v>46477</v>
      </c>
      <c r="AI6" s="177" t="n">
        <f aca="false">EOMONTH(AH6,1)</f>
        <v>46507</v>
      </c>
      <c r="AJ6" s="177" t="n">
        <f aca="false">EOMONTH(AI6,1)</f>
        <v>46538</v>
      </c>
      <c r="AK6" s="177" t="n">
        <f aca="false">EOMONTH(AJ6,1)</f>
        <v>46568</v>
      </c>
      <c r="AL6" s="177" t="n">
        <f aca="false">EOMONTH(AK6,1)</f>
        <v>46599</v>
      </c>
      <c r="AM6" s="177" t="n">
        <f aca="false">EOMONTH(AL6,1)</f>
        <v>46630</v>
      </c>
      <c r="AN6" s="177" t="n">
        <f aca="false">EOMONTH(AM6,1)</f>
        <v>46660</v>
      </c>
      <c r="AO6" s="177" t="n">
        <f aca="false">EOMONTH(AN6,1)</f>
        <v>46691</v>
      </c>
      <c r="AP6" s="177" t="n">
        <f aca="false">EOMONTH(AO6,1)</f>
        <v>46721</v>
      </c>
      <c r="AQ6" s="177" t="n">
        <f aca="false">EOMONTH(AP6,1)</f>
        <v>46752</v>
      </c>
      <c r="AR6" s="177" t="n">
        <f aca="false">EOMONTH(AQ6,1)</f>
        <v>46783</v>
      </c>
      <c r="AS6" s="177" t="n">
        <f aca="false">EOMONTH(AR6,1)</f>
        <v>46812</v>
      </c>
      <c r="AT6" s="177" t="n">
        <f aca="false">EOMONTH(AS6,1)</f>
        <v>46843</v>
      </c>
      <c r="AU6" s="177" t="n">
        <f aca="false">EOMONTH(AT6,1)</f>
        <v>46873</v>
      </c>
      <c r="AV6" s="177" t="n">
        <f aca="false">EOMONTH(AU6,1)</f>
        <v>46904</v>
      </c>
      <c r="AW6" s="177" t="n">
        <f aca="false">EOMONTH(AV6,1)</f>
        <v>46934</v>
      </c>
      <c r="AX6" s="177" t="n">
        <f aca="false">EOMONTH(AW6,1)</f>
        <v>46965</v>
      </c>
      <c r="AY6" s="177" t="n">
        <f aca="false">EOMONTH(AX6,1)</f>
        <v>46996</v>
      </c>
      <c r="AZ6" s="177" t="n">
        <f aca="false">EOMONTH(AY6,1)</f>
        <v>47026</v>
      </c>
      <c r="BA6" s="177" t="n">
        <f aca="false">EOMONTH(AZ6,1)</f>
        <v>47057</v>
      </c>
      <c r="BB6" s="177" t="n">
        <f aca="false">EOMONTH(BA6,1)</f>
        <v>47087</v>
      </c>
      <c r="BC6" s="177" t="n">
        <f aca="false">EOMONTH(BB6,1)</f>
        <v>47118</v>
      </c>
      <c r="BD6" s="177" t="n">
        <f aca="false">EOMONTH(BC6,1)</f>
        <v>47149</v>
      </c>
      <c r="BE6" s="177" t="n">
        <f aca="false">EOMONTH(BD6,1)</f>
        <v>47177</v>
      </c>
      <c r="BF6" s="177" t="n">
        <f aca="false">EOMONTH(BE6,1)</f>
        <v>47208</v>
      </c>
      <c r="BG6" s="177" t="n">
        <f aca="false">EOMONTH(BF6,1)</f>
        <v>47238</v>
      </c>
      <c r="BH6" s="177" t="n">
        <f aca="false">EOMONTH(BG6,1)</f>
        <v>47269</v>
      </c>
      <c r="BI6" s="177" t="n">
        <f aca="false">EOMONTH(BH6,1)</f>
        <v>47299</v>
      </c>
      <c r="BJ6" s="177" t="n">
        <f aca="false">EOMONTH(BI6,1)</f>
        <v>47330</v>
      </c>
      <c r="BK6" s="177" t="n">
        <f aca="false">EOMONTH(BJ6,1)</f>
        <v>47361</v>
      </c>
      <c r="BL6" s="177" t="n">
        <f aca="false">EOMONTH(BK6,1)</f>
        <v>47391</v>
      </c>
      <c r="BM6" s="177" t="n">
        <f aca="false">EOMONTH(BL6,1)</f>
        <v>47422</v>
      </c>
      <c r="BN6" s="177" t="n">
        <f aca="false">EOMONTH(BM6,1)</f>
        <v>47452</v>
      </c>
      <c r="BO6" s="177" t="n">
        <f aca="false">EOMONTH(BN6,1)</f>
        <v>47483</v>
      </c>
      <c r="BP6" s="177" t="n">
        <f aca="false">EOMONTH(BO6,1)</f>
        <v>47514</v>
      </c>
      <c r="BQ6" s="177" t="n">
        <f aca="false">EOMONTH(BP6,1)</f>
        <v>47542</v>
      </c>
      <c r="BR6" s="177" t="n">
        <f aca="false">EOMONTH(BQ6,1)</f>
        <v>47573</v>
      </c>
      <c r="BS6" s="177" t="n">
        <f aca="false">EOMONTH(BR6,1)</f>
        <v>47603</v>
      </c>
      <c r="BT6" s="177" t="n">
        <f aca="false">EOMONTH(BS6,1)</f>
        <v>47634</v>
      </c>
      <c r="BU6" s="177" t="n">
        <f aca="false">EOMONTH(BT6,1)</f>
        <v>47664</v>
      </c>
      <c r="BV6" s="177" t="n">
        <f aca="false">EOMONTH(BU6,1)</f>
        <v>47695</v>
      </c>
      <c r="BW6" s="177" t="n">
        <f aca="false">EOMONTH(BV6,1)</f>
        <v>47726</v>
      </c>
      <c r="BX6" s="177" t="n">
        <f aca="false">EOMONTH(BW6,1)</f>
        <v>47756</v>
      </c>
      <c r="BY6" s="177" t="n">
        <f aca="false">EOMONTH(BX6,1)</f>
        <v>47787</v>
      </c>
      <c r="BZ6" s="177" t="n">
        <f aca="false">EOMONTH(BY6,1)</f>
        <v>47817</v>
      </c>
      <c r="CA6" s="177" t="n">
        <f aca="false">EOMONTH(BZ6,1)</f>
        <v>47848</v>
      </c>
    </row>
    <row r="8" customFormat="false" ht="18" hidden="false" customHeight="true" outlineLevel="0" collapsed="false">
      <c r="B8" s="5" t="s">
        <v>260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10" customFormat="false" ht="15" hidden="false" customHeight="false" outlineLevel="0" collapsed="false">
      <c r="B10" s="10" t="s">
        <v>261</v>
      </c>
      <c r="D10" s="9" t="s">
        <v>737</v>
      </c>
      <c r="E10" s="9"/>
      <c r="F10" s="9"/>
      <c r="G10" s="9"/>
      <c r="H10" s="9"/>
    </row>
    <row r="11" customFormat="false" ht="22.35" hidden="false" customHeight="false" outlineLevel="0" collapsed="false">
      <c r="B11" s="10" t="s">
        <v>263</v>
      </c>
      <c r="D11" s="9" t="s">
        <v>264</v>
      </c>
      <c r="E11" s="9"/>
      <c r="F11" s="9"/>
      <c r="G11" s="9"/>
      <c r="H11" s="9"/>
      <c r="I11" s="155" t="s">
        <v>265</v>
      </c>
    </row>
    <row r="12" customFormat="false" ht="15" hidden="false" customHeight="false" outlineLevel="0" collapsed="false">
      <c r="B12" s="10" t="s">
        <v>132</v>
      </c>
      <c r="D12" s="9" t="s">
        <v>266</v>
      </c>
      <c r="E12" s="9"/>
      <c r="F12" s="9"/>
      <c r="G12" s="9"/>
      <c r="H12" s="9"/>
    </row>
    <row r="13" customFormat="false" ht="22.35" hidden="false" customHeight="false" outlineLevel="0" collapsed="false">
      <c r="B13" s="3" t="s">
        <v>267</v>
      </c>
      <c r="D13" s="178" t="n">
        <f aca="false">DATE(2027,7,1)</f>
        <v>46569</v>
      </c>
      <c r="I13" s="155" t="s">
        <v>268</v>
      </c>
    </row>
    <row r="15" customFormat="false" ht="15" hidden="false" customHeight="false" outlineLevel="0" collapsed="false">
      <c r="B15" s="167" t="s">
        <v>738</v>
      </c>
    </row>
    <row r="16" customFormat="false" ht="15" hidden="false" customHeight="false" outlineLevel="0" collapsed="false">
      <c r="B16" s="167" t="s">
        <v>270</v>
      </c>
    </row>
    <row r="17" customFormat="false" ht="15" hidden="false" customHeight="false" outlineLevel="0" collapsed="false">
      <c r="B17" s="179" t="s">
        <v>271</v>
      </c>
    </row>
    <row r="18" customFormat="false" ht="15" hidden="false" customHeight="false" outlineLevel="0" collapsed="false">
      <c r="B18" s="180" t="s">
        <v>739</v>
      </c>
    </row>
    <row r="19" customFormat="false" ht="15" hidden="false" customHeight="false" outlineLevel="0" collapsed="false">
      <c r="B19" s="180" t="s">
        <v>740</v>
      </c>
    </row>
    <row r="20" customFormat="false" ht="15" hidden="false" customHeight="false" outlineLevel="0" collapsed="false">
      <c r="B20" s="180" t="s">
        <v>741</v>
      </c>
    </row>
    <row r="21" customFormat="false" ht="15" hidden="false" customHeight="false" outlineLevel="0" collapsed="false">
      <c r="B21" s="180" t="s">
        <v>742</v>
      </c>
    </row>
    <row r="22" customFormat="false" ht="15" hidden="false" customHeight="false" outlineLevel="0" collapsed="false">
      <c r="B22" s="180" t="s">
        <v>743</v>
      </c>
    </row>
    <row r="24" customFormat="false" ht="18" hidden="false" customHeight="true" outlineLevel="0" collapsed="false">
      <c r="B24" s="5" t="s">
        <v>275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6" customFormat="false" ht="15" hidden="false" customHeight="false" outlineLevel="0" collapsed="false">
      <c r="B26" s="181" t="s">
        <v>744</v>
      </c>
    </row>
    <row r="27" customFormat="false" ht="15" hidden="false" customHeight="false" outlineLevel="0" collapsed="false">
      <c r="B27" s="182" t="s">
        <v>745</v>
      </c>
      <c r="D27" s="183" t="n">
        <v>5921.3094</v>
      </c>
      <c r="E27" s="167" t="s">
        <v>287</v>
      </c>
      <c r="F27" s="155" t="s">
        <v>746</v>
      </c>
    </row>
    <row r="28" customFormat="false" ht="15" hidden="false" customHeight="false" outlineLevel="0" collapsed="false">
      <c r="B28" s="182" t="s">
        <v>747</v>
      </c>
      <c r="D28" s="183" t="n">
        <v>486.5333</v>
      </c>
      <c r="E28" s="167" t="s">
        <v>287</v>
      </c>
      <c r="F28" s="155" t="s">
        <v>748</v>
      </c>
    </row>
    <row r="29" customFormat="false" ht="15" hidden="false" customHeight="false" outlineLevel="0" collapsed="false">
      <c r="B29" s="181" t="s">
        <v>749</v>
      </c>
    </row>
    <row r="30" customFormat="false" ht="15" hidden="false" customHeight="false" outlineLevel="0" collapsed="false">
      <c r="B30" s="182" t="s">
        <v>750</v>
      </c>
      <c r="D30" s="183" t="n">
        <f aca="false">'SVC-1 Model'!$D$45</f>
        <v>540.89235</v>
      </c>
      <c r="E30" s="167" t="s">
        <v>287</v>
      </c>
      <c r="F30" s="155" t="s">
        <v>751</v>
      </c>
    </row>
    <row r="31" customFormat="false" ht="15" hidden="false" customHeight="false" outlineLevel="0" collapsed="false">
      <c r="B31" s="182" t="s">
        <v>752</v>
      </c>
      <c r="D31" s="183" t="n">
        <f aca="false">'SVC-2 Model'!$D$31</f>
        <v>867.7176</v>
      </c>
      <c r="E31" s="167" t="s">
        <v>287</v>
      </c>
      <c r="F31" s="155" t="s">
        <v>751</v>
      </c>
    </row>
    <row r="32" customFormat="false" ht="15" hidden="false" customHeight="false" outlineLevel="0" collapsed="false">
      <c r="B32" s="182" t="s">
        <v>753</v>
      </c>
      <c r="D32" s="183" t="n">
        <f aca="false">'SVC-3 Model'!$D$63</f>
        <v>1545.5491</v>
      </c>
      <c r="E32" s="167" t="s">
        <v>287</v>
      </c>
      <c r="F32" s="155" t="s">
        <v>751</v>
      </c>
    </row>
    <row r="33" customFormat="false" ht="15" hidden="false" customHeight="false" outlineLevel="0" collapsed="false">
      <c r="B33" s="182" t="s">
        <v>754</v>
      </c>
      <c r="D33" s="183" t="n">
        <f aca="false">'SVC-4 Model'!$D$55</f>
        <v>372.1395</v>
      </c>
      <c r="E33" s="167" t="s">
        <v>287</v>
      </c>
      <c r="F33" s="155" t="s">
        <v>751</v>
      </c>
    </row>
    <row r="34" customFormat="false" ht="15" hidden="false" customHeight="false" outlineLevel="0" collapsed="false">
      <c r="B34" s="182" t="s">
        <v>755</v>
      </c>
      <c r="D34" s="183" t="n">
        <f aca="false">'SVC-5 Model'!$D$34</f>
        <v>210.8406</v>
      </c>
      <c r="E34" s="167" t="s">
        <v>287</v>
      </c>
      <c r="F34" s="155" t="s">
        <v>751</v>
      </c>
    </row>
    <row r="35" customFormat="false" ht="15" hidden="false" customHeight="false" outlineLevel="0" collapsed="false">
      <c r="B35" s="182" t="s">
        <v>292</v>
      </c>
      <c r="D35" s="9"/>
    </row>
    <row r="36" customFormat="false" ht="15" hidden="false" customHeight="false" outlineLevel="0" collapsed="false">
      <c r="B36" s="182" t="s">
        <v>292</v>
      </c>
      <c r="D36" s="9"/>
    </row>
    <row r="38" customFormat="false" ht="18" hidden="false" customHeight="true" outlineLevel="0" collapsed="false">
      <c r="B38" s="5" t="s">
        <v>310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40" customFormat="false" ht="15" hidden="false" customHeight="false" outlineLevel="0" collapsed="false">
      <c r="B40" s="182" t="s">
        <v>756</v>
      </c>
      <c r="D40" s="188" t="n">
        <f aca="false">$D$27+$D$28</f>
        <v>6407.8427</v>
      </c>
      <c r="E40" s="167" t="s">
        <v>287</v>
      </c>
      <c r="F40" s="155" t="s">
        <v>757</v>
      </c>
    </row>
    <row r="41" customFormat="false" ht="15" hidden="false" customHeight="false" outlineLevel="0" collapsed="false">
      <c r="B41" s="182" t="s">
        <v>758</v>
      </c>
      <c r="D41" s="188" t="n">
        <f aca="false">$D$30+$D$31+$D$32+$D$33+$D$34</f>
        <v>3537.13915</v>
      </c>
      <c r="E41" s="167" t="s">
        <v>287</v>
      </c>
      <c r="F41" s="155" t="s">
        <v>759</v>
      </c>
    </row>
    <row r="42" customFormat="false" ht="15" hidden="false" customHeight="false" outlineLevel="0" collapsed="false">
      <c r="B42" s="182" t="s">
        <v>760</v>
      </c>
      <c r="D42" s="233" t="n">
        <f aca="false">$D$41/$D$40</f>
        <v>0.552001557404023</v>
      </c>
      <c r="E42" s="167" t="s">
        <v>282</v>
      </c>
      <c r="F42" s="155" t="s">
        <v>761</v>
      </c>
    </row>
    <row r="44" customFormat="false" ht="15" hidden="false" customHeight="false" outlineLevel="0" collapsed="false">
      <c r="B44" s="184" t="s">
        <v>762</v>
      </c>
    </row>
    <row r="45" customFormat="false" ht="22.35" hidden="false" customHeight="false" outlineLevel="0" collapsed="false">
      <c r="B45" s="169" t="s">
        <v>763</v>
      </c>
      <c r="D45" s="169" t="s">
        <v>764</v>
      </c>
      <c r="F45" s="169" t="s">
        <v>765</v>
      </c>
      <c r="H45" s="169" t="s">
        <v>766</v>
      </c>
      <c r="M45" s="238" t="s">
        <v>767</v>
      </c>
    </row>
    <row r="46" customFormat="false" ht="15" hidden="false" customHeight="false" outlineLevel="0" collapsed="false">
      <c r="B46" s="186" t="s">
        <v>768</v>
      </c>
      <c r="D46" s="158" t="n">
        <v>9786003.65</v>
      </c>
      <c r="F46" s="168" t="n">
        <v>0.55</v>
      </c>
      <c r="H46" s="159" t="n">
        <f aca="false">D46*F46*$D$42</f>
        <v>2971039.0905588</v>
      </c>
      <c r="M46" s="189" t="s">
        <v>769</v>
      </c>
    </row>
    <row r="47" customFormat="false" ht="15" hidden="false" customHeight="false" outlineLevel="0" collapsed="false">
      <c r="B47" s="186" t="s">
        <v>770</v>
      </c>
      <c r="D47" s="158" t="n">
        <v>2095950.66</v>
      </c>
      <c r="F47" s="168" t="n">
        <v>0.1</v>
      </c>
      <c r="H47" s="159" t="n">
        <f aca="false">D47*F47*$D$42</f>
        <v>115696.802856199</v>
      </c>
      <c r="M47" s="189" t="s">
        <v>771</v>
      </c>
    </row>
    <row r="48" customFormat="false" ht="15" hidden="false" customHeight="false" outlineLevel="0" collapsed="false">
      <c r="B48" s="186" t="s">
        <v>772</v>
      </c>
      <c r="D48" s="158" t="n">
        <v>1930696.92</v>
      </c>
      <c r="F48" s="168" t="n">
        <v>0.75</v>
      </c>
      <c r="H48" s="159" t="n">
        <f aca="false">D48*F48*$D$42</f>
        <v>799310.780036363</v>
      </c>
      <c r="M48" s="189" t="s">
        <v>773</v>
      </c>
    </row>
    <row r="49" customFormat="false" ht="15" hidden="false" customHeight="false" outlineLevel="0" collapsed="false">
      <c r="B49" s="186" t="s">
        <v>774</v>
      </c>
      <c r="D49" s="158" t="n">
        <v>792257.22</v>
      </c>
      <c r="F49" s="168" t="n">
        <v>0.35</v>
      </c>
      <c r="H49" s="159" t="n">
        <f aca="false">D49*F49*$D$42</f>
        <v>153064.526756604</v>
      </c>
      <c r="M49" s="189" t="s">
        <v>775</v>
      </c>
    </row>
    <row r="50" customFormat="false" ht="15" hidden="false" customHeight="false" outlineLevel="0" collapsed="false">
      <c r="B50" s="186" t="s">
        <v>776</v>
      </c>
      <c r="D50" s="158" t="n">
        <v>55484.29</v>
      </c>
      <c r="F50" s="168" t="n">
        <v>0</v>
      </c>
      <c r="H50" s="159" t="n">
        <f aca="false">D50*F50*$D$42</f>
        <v>0</v>
      </c>
      <c r="M50" s="189" t="s">
        <v>777</v>
      </c>
    </row>
    <row r="51" customFormat="false" ht="15" hidden="false" customHeight="false" outlineLevel="0" collapsed="false">
      <c r="B51" s="186" t="s">
        <v>778</v>
      </c>
      <c r="D51" s="158" t="n">
        <v>3944.67</v>
      </c>
      <c r="F51" s="168" t="n">
        <v>0.2</v>
      </c>
      <c r="H51" s="159" t="n">
        <f aca="false">D51*F51*$D$42</f>
        <v>435.492796688986</v>
      </c>
      <c r="M51" s="189" t="s">
        <v>779</v>
      </c>
    </row>
    <row r="52" customFormat="false" ht="15" hidden="false" customHeight="false" outlineLevel="0" collapsed="false">
      <c r="B52" s="3" t="s">
        <v>780</v>
      </c>
      <c r="D52" s="159" t="n">
        <f aca="false">SUM(D46:D51)</f>
        <v>14664337.41</v>
      </c>
      <c r="H52" s="159" t="n">
        <f aca="false">SUM(H46:H51)</f>
        <v>4039546.69300465</v>
      </c>
    </row>
    <row r="54" customFormat="false" ht="18" hidden="false" customHeight="true" outlineLevel="0" collapsed="false">
      <c r="B54" s="5" t="s">
        <v>317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6" customFormat="false" ht="53.7" hidden="false" customHeight="false" outlineLevel="0" collapsed="false">
      <c r="B56" s="3" t="s">
        <v>318</v>
      </c>
      <c r="D56" s="156" t="n">
        <v>9</v>
      </c>
      <c r="F56" s="155" t="s">
        <v>319</v>
      </c>
    </row>
    <row r="57" customFormat="false" ht="15" hidden="false" customHeight="false" outlineLevel="0" collapsed="false">
      <c r="B57" s="10" t="s">
        <v>320</v>
      </c>
      <c r="T57" s="190" t="n">
        <f aca="false">MIN(1,MAX(0,((YEAR(T$6)-YEAR($D$13))*12+MONTH(T$6)-MONTH($D$13)+0.5)/MAX($D$56,0.5)))</f>
        <v>0</v>
      </c>
      <c r="U57" s="190" t="n">
        <f aca="false">MIN(1,MAX(0,((YEAR(U$6)-YEAR($D$13))*12+MONTH(U$6)-MONTH($D$13)+0.5)/MAX($D$56,0.5)))</f>
        <v>0</v>
      </c>
      <c r="V57" s="190" t="n">
        <f aca="false">MIN(1,MAX(0,((YEAR(V$6)-YEAR($D$13))*12+MONTH(V$6)-MONTH($D$13)+0.5)/MAX($D$56,0.5)))</f>
        <v>0</v>
      </c>
      <c r="W57" s="190" t="n">
        <f aca="false">MIN(1,MAX(0,((YEAR(W$6)-YEAR($D$13))*12+MONTH(W$6)-MONTH($D$13)+0.5)/MAX($D$56,0.5)))</f>
        <v>0</v>
      </c>
      <c r="X57" s="190" t="n">
        <f aca="false">MIN(1,MAX(0,((YEAR(X$6)-YEAR($D$13))*12+MONTH(X$6)-MONTH($D$13)+0.5)/MAX($D$56,0.5)))</f>
        <v>0</v>
      </c>
      <c r="Y57" s="190" t="n">
        <f aca="false">MIN(1,MAX(0,((YEAR(Y$6)-YEAR($D$13))*12+MONTH(Y$6)-MONTH($D$13)+0.5)/MAX($D$56,0.5)))</f>
        <v>0</v>
      </c>
      <c r="Z57" s="190" t="n">
        <f aca="false">MIN(1,MAX(0,((YEAR(Z$6)-YEAR($D$13))*12+MONTH(Z$6)-MONTH($D$13)+0.5)/MAX($D$56,0.5)))</f>
        <v>0</v>
      </c>
      <c r="AA57" s="190" t="n">
        <f aca="false">MIN(1,MAX(0,((YEAR(AA$6)-YEAR($D$13))*12+MONTH(AA$6)-MONTH($D$13)+0.5)/MAX($D$56,0.5)))</f>
        <v>0</v>
      </c>
      <c r="AB57" s="190" t="n">
        <f aca="false">MIN(1,MAX(0,((YEAR(AB$6)-YEAR($D$13))*12+MONTH(AB$6)-MONTH($D$13)+0.5)/MAX($D$56,0.5)))</f>
        <v>0</v>
      </c>
      <c r="AC57" s="190" t="n">
        <f aca="false">MIN(1,MAX(0,((YEAR(AC$6)-YEAR($D$13))*12+MONTH(AC$6)-MONTH($D$13)+0.5)/MAX($D$56,0.5)))</f>
        <v>0</v>
      </c>
      <c r="AD57" s="190" t="n">
        <f aca="false">MIN(1,MAX(0,((YEAR(AD$6)-YEAR($D$13))*12+MONTH(AD$6)-MONTH($D$13)+0.5)/MAX($D$56,0.5)))</f>
        <v>0</v>
      </c>
      <c r="AE57" s="190" t="n">
        <f aca="false">MIN(1,MAX(0,((YEAR(AE$6)-YEAR($D$13))*12+MONTH(AE$6)-MONTH($D$13)+0.5)/MAX($D$56,0.5)))</f>
        <v>0</v>
      </c>
      <c r="AF57" s="190" t="n">
        <f aca="false">MIN(1,MAX(0,((YEAR(AF$6)-YEAR($D$13))*12+MONTH(AF$6)-MONTH($D$13)+0.5)/MAX($D$56,0.5)))</f>
        <v>0</v>
      </c>
      <c r="AG57" s="190" t="n">
        <f aca="false">MIN(1,MAX(0,((YEAR(AG$6)-YEAR($D$13))*12+MONTH(AG$6)-MONTH($D$13)+0.5)/MAX($D$56,0.5)))</f>
        <v>0</v>
      </c>
      <c r="AH57" s="190" t="n">
        <f aca="false">MIN(1,MAX(0,((YEAR(AH$6)-YEAR($D$13))*12+MONTH(AH$6)-MONTH($D$13)+0.5)/MAX($D$56,0.5)))</f>
        <v>0</v>
      </c>
      <c r="AI57" s="190" t="n">
        <f aca="false">MIN(1,MAX(0,((YEAR(AI$6)-YEAR($D$13))*12+MONTH(AI$6)-MONTH($D$13)+0.5)/MAX($D$56,0.5)))</f>
        <v>0</v>
      </c>
      <c r="AJ57" s="190" t="n">
        <f aca="false">MIN(1,MAX(0,((YEAR(AJ$6)-YEAR($D$13))*12+MONTH(AJ$6)-MONTH($D$13)+0.5)/MAX($D$56,0.5)))</f>
        <v>0</v>
      </c>
      <c r="AK57" s="190" t="n">
        <f aca="false">MIN(1,MAX(0,((YEAR(AK$6)-YEAR($D$13))*12+MONTH(AK$6)-MONTH($D$13)+0.5)/MAX($D$56,0.5)))</f>
        <v>0</v>
      </c>
      <c r="AL57" s="190" t="n">
        <f aca="false">MIN(1,MAX(0,((YEAR(AL$6)-YEAR($D$13))*12+MONTH(AL$6)-MONTH($D$13)+0.5)/MAX($D$56,0.5)))</f>
        <v>0.0555555555555556</v>
      </c>
      <c r="AM57" s="190" t="n">
        <f aca="false">MIN(1,MAX(0,((YEAR(AM$6)-YEAR($D$13))*12+MONTH(AM$6)-MONTH($D$13)+0.5)/MAX($D$56,0.5)))</f>
        <v>0.166666666666667</v>
      </c>
      <c r="AN57" s="190" t="n">
        <f aca="false">MIN(1,MAX(0,((YEAR(AN$6)-YEAR($D$13))*12+MONTH(AN$6)-MONTH($D$13)+0.5)/MAX($D$56,0.5)))</f>
        <v>0.277777777777778</v>
      </c>
      <c r="AO57" s="190" t="n">
        <f aca="false">MIN(1,MAX(0,((YEAR(AO$6)-YEAR($D$13))*12+MONTH(AO$6)-MONTH($D$13)+0.5)/MAX($D$56,0.5)))</f>
        <v>0.388888888888889</v>
      </c>
      <c r="AP57" s="190" t="n">
        <f aca="false">MIN(1,MAX(0,((YEAR(AP$6)-YEAR($D$13))*12+MONTH(AP$6)-MONTH($D$13)+0.5)/MAX($D$56,0.5)))</f>
        <v>0.5</v>
      </c>
      <c r="AQ57" s="190" t="n">
        <f aca="false">MIN(1,MAX(0,((YEAR(AQ$6)-YEAR($D$13))*12+MONTH(AQ$6)-MONTH($D$13)+0.5)/MAX($D$56,0.5)))</f>
        <v>0.611111111111111</v>
      </c>
      <c r="AR57" s="190" t="n">
        <f aca="false">MIN(1,MAX(0,((YEAR(AR$6)-YEAR($D$13))*12+MONTH(AR$6)-MONTH($D$13)+0.5)/MAX($D$56,0.5)))</f>
        <v>0.722222222222222</v>
      </c>
      <c r="AS57" s="190" t="n">
        <f aca="false">MIN(1,MAX(0,((YEAR(AS$6)-YEAR($D$13))*12+MONTH(AS$6)-MONTH($D$13)+0.5)/MAX($D$56,0.5)))</f>
        <v>0.833333333333333</v>
      </c>
      <c r="AT57" s="190" t="n">
        <f aca="false">MIN(1,MAX(0,((YEAR(AT$6)-YEAR($D$13))*12+MONTH(AT$6)-MONTH($D$13)+0.5)/MAX($D$56,0.5)))</f>
        <v>0.944444444444444</v>
      </c>
      <c r="AU57" s="190" t="n">
        <f aca="false">MIN(1,MAX(0,((YEAR(AU$6)-YEAR($D$13))*12+MONTH(AU$6)-MONTH($D$13)+0.5)/MAX($D$56,0.5)))</f>
        <v>1</v>
      </c>
      <c r="AV57" s="190" t="n">
        <f aca="false">MIN(1,MAX(0,((YEAR(AV$6)-YEAR($D$13))*12+MONTH(AV$6)-MONTH($D$13)+0.5)/MAX($D$56,0.5)))</f>
        <v>1</v>
      </c>
      <c r="AW57" s="190" t="n">
        <f aca="false">MIN(1,MAX(0,((YEAR(AW$6)-YEAR($D$13))*12+MONTH(AW$6)-MONTH($D$13)+0.5)/MAX($D$56,0.5)))</f>
        <v>1</v>
      </c>
      <c r="AX57" s="190" t="n">
        <f aca="false">MIN(1,MAX(0,((YEAR(AX$6)-YEAR($D$13))*12+MONTH(AX$6)-MONTH($D$13)+0.5)/MAX($D$56,0.5)))</f>
        <v>1</v>
      </c>
      <c r="AY57" s="190" t="n">
        <f aca="false">MIN(1,MAX(0,((YEAR(AY$6)-YEAR($D$13))*12+MONTH(AY$6)-MONTH($D$13)+0.5)/MAX($D$56,0.5)))</f>
        <v>1</v>
      </c>
      <c r="AZ57" s="190" t="n">
        <f aca="false">MIN(1,MAX(0,((YEAR(AZ$6)-YEAR($D$13))*12+MONTH(AZ$6)-MONTH($D$13)+0.5)/MAX($D$56,0.5)))</f>
        <v>1</v>
      </c>
      <c r="BA57" s="190" t="n">
        <f aca="false">MIN(1,MAX(0,((YEAR(BA$6)-YEAR($D$13))*12+MONTH(BA$6)-MONTH($D$13)+0.5)/MAX($D$56,0.5)))</f>
        <v>1</v>
      </c>
      <c r="BB57" s="190" t="n">
        <f aca="false">MIN(1,MAX(0,((YEAR(BB$6)-YEAR($D$13))*12+MONTH(BB$6)-MONTH($D$13)+0.5)/MAX($D$56,0.5)))</f>
        <v>1</v>
      </c>
      <c r="BC57" s="190" t="n">
        <f aca="false">MIN(1,MAX(0,((YEAR(BC$6)-YEAR($D$13))*12+MONTH(BC$6)-MONTH($D$13)+0.5)/MAX($D$56,0.5)))</f>
        <v>1</v>
      </c>
      <c r="BD57" s="190" t="n">
        <f aca="false">MIN(1,MAX(0,((YEAR(BD$6)-YEAR($D$13))*12+MONTH(BD$6)-MONTH($D$13)+0.5)/MAX($D$56,0.5)))</f>
        <v>1</v>
      </c>
      <c r="BE57" s="190" t="n">
        <f aca="false">MIN(1,MAX(0,((YEAR(BE$6)-YEAR($D$13))*12+MONTH(BE$6)-MONTH($D$13)+0.5)/MAX($D$56,0.5)))</f>
        <v>1</v>
      </c>
      <c r="BF57" s="190" t="n">
        <f aca="false">MIN(1,MAX(0,((YEAR(BF$6)-YEAR($D$13))*12+MONTH(BF$6)-MONTH($D$13)+0.5)/MAX($D$56,0.5)))</f>
        <v>1</v>
      </c>
      <c r="BG57" s="190" t="n">
        <f aca="false">MIN(1,MAX(0,((YEAR(BG$6)-YEAR($D$13))*12+MONTH(BG$6)-MONTH($D$13)+0.5)/MAX($D$56,0.5)))</f>
        <v>1</v>
      </c>
      <c r="BH57" s="190" t="n">
        <f aca="false">MIN(1,MAX(0,((YEAR(BH$6)-YEAR($D$13))*12+MONTH(BH$6)-MONTH($D$13)+0.5)/MAX($D$56,0.5)))</f>
        <v>1</v>
      </c>
      <c r="BI57" s="190" t="n">
        <f aca="false">MIN(1,MAX(0,((YEAR(BI$6)-YEAR($D$13))*12+MONTH(BI$6)-MONTH($D$13)+0.5)/MAX($D$56,0.5)))</f>
        <v>1</v>
      </c>
      <c r="BJ57" s="190" t="n">
        <f aca="false">MIN(1,MAX(0,((YEAR(BJ$6)-YEAR($D$13))*12+MONTH(BJ$6)-MONTH($D$13)+0.5)/MAX($D$56,0.5)))</f>
        <v>1</v>
      </c>
      <c r="BK57" s="190" t="n">
        <f aca="false">MIN(1,MAX(0,((YEAR(BK$6)-YEAR($D$13))*12+MONTH(BK$6)-MONTH($D$13)+0.5)/MAX($D$56,0.5)))</f>
        <v>1</v>
      </c>
      <c r="BL57" s="190" t="n">
        <f aca="false">MIN(1,MAX(0,((YEAR(BL$6)-YEAR($D$13))*12+MONTH(BL$6)-MONTH($D$13)+0.5)/MAX($D$56,0.5)))</f>
        <v>1</v>
      </c>
      <c r="BM57" s="190" t="n">
        <f aca="false">MIN(1,MAX(0,((YEAR(BM$6)-YEAR($D$13))*12+MONTH(BM$6)-MONTH($D$13)+0.5)/MAX($D$56,0.5)))</f>
        <v>1</v>
      </c>
      <c r="BN57" s="190" t="n">
        <f aca="false">MIN(1,MAX(0,((YEAR(BN$6)-YEAR($D$13))*12+MONTH(BN$6)-MONTH($D$13)+0.5)/MAX($D$56,0.5)))</f>
        <v>1</v>
      </c>
      <c r="BO57" s="190" t="n">
        <f aca="false">MIN(1,MAX(0,((YEAR(BO$6)-YEAR($D$13))*12+MONTH(BO$6)-MONTH($D$13)+0.5)/MAX($D$56,0.5)))</f>
        <v>1</v>
      </c>
      <c r="BP57" s="190" t="n">
        <f aca="false">MIN(1,MAX(0,((YEAR(BP$6)-YEAR($D$13))*12+MONTH(BP$6)-MONTH($D$13)+0.5)/MAX($D$56,0.5)))</f>
        <v>1</v>
      </c>
      <c r="BQ57" s="190" t="n">
        <f aca="false">MIN(1,MAX(0,((YEAR(BQ$6)-YEAR($D$13))*12+MONTH(BQ$6)-MONTH($D$13)+0.5)/MAX($D$56,0.5)))</f>
        <v>1</v>
      </c>
      <c r="BR57" s="190" t="n">
        <f aca="false">MIN(1,MAX(0,((YEAR(BR$6)-YEAR($D$13))*12+MONTH(BR$6)-MONTH($D$13)+0.5)/MAX($D$56,0.5)))</f>
        <v>1</v>
      </c>
      <c r="BS57" s="190" t="n">
        <f aca="false">MIN(1,MAX(0,((YEAR(BS$6)-YEAR($D$13))*12+MONTH(BS$6)-MONTH($D$13)+0.5)/MAX($D$56,0.5)))</f>
        <v>1</v>
      </c>
      <c r="BT57" s="190" t="n">
        <f aca="false">MIN(1,MAX(0,((YEAR(BT$6)-YEAR($D$13))*12+MONTH(BT$6)-MONTH($D$13)+0.5)/MAX($D$56,0.5)))</f>
        <v>1</v>
      </c>
      <c r="BU57" s="190" t="n">
        <f aca="false">MIN(1,MAX(0,((YEAR(BU$6)-YEAR($D$13))*12+MONTH(BU$6)-MONTH($D$13)+0.5)/MAX($D$56,0.5)))</f>
        <v>1</v>
      </c>
      <c r="BV57" s="190" t="n">
        <f aca="false">MIN(1,MAX(0,((YEAR(BV$6)-YEAR($D$13))*12+MONTH(BV$6)-MONTH($D$13)+0.5)/MAX($D$56,0.5)))</f>
        <v>1</v>
      </c>
      <c r="BW57" s="190" t="n">
        <f aca="false">MIN(1,MAX(0,((YEAR(BW$6)-YEAR($D$13))*12+MONTH(BW$6)-MONTH($D$13)+0.5)/MAX($D$56,0.5)))</f>
        <v>1</v>
      </c>
      <c r="BX57" s="190" t="n">
        <f aca="false">MIN(1,MAX(0,((YEAR(BX$6)-YEAR($D$13))*12+MONTH(BX$6)-MONTH($D$13)+0.5)/MAX($D$56,0.5)))</f>
        <v>1</v>
      </c>
      <c r="BY57" s="190" t="n">
        <f aca="false">MIN(1,MAX(0,((YEAR(BY$6)-YEAR($D$13))*12+MONTH(BY$6)-MONTH($D$13)+0.5)/MAX($D$56,0.5)))</f>
        <v>1</v>
      </c>
      <c r="BZ57" s="190" t="n">
        <f aca="false">MIN(1,MAX(0,((YEAR(BZ$6)-YEAR($D$13))*12+MONTH(BZ$6)-MONTH($D$13)+0.5)/MAX($D$56,0.5)))</f>
        <v>1</v>
      </c>
      <c r="CA57" s="190" t="n">
        <f aca="false">MIN(1,MAX(0,((YEAR(CA$6)-YEAR($D$13))*12+MONTH(CA$6)-MONTH($D$13)+0.5)/MAX($D$56,0.5)))</f>
        <v>1</v>
      </c>
    </row>
    <row r="58" customFormat="false" ht="15" hidden="false" customHeight="false" outlineLevel="0" collapsed="false">
      <c r="B58" s="10" t="s">
        <v>321</v>
      </c>
      <c r="L58" s="190" t="n">
        <f aca="false">SUMIFS($T57:$CA57,$T$5:$CA$5,2026)/12</f>
        <v>0</v>
      </c>
      <c r="M58" s="190" t="n">
        <f aca="false">SUMIFS($T57:$CA57,$T$5:$CA$5,2027)/12</f>
        <v>0.166666666666667</v>
      </c>
      <c r="N58" s="190" t="n">
        <f aca="false">SUMIFS($T57:$CA57,$T$5:$CA$5,2028)/12</f>
        <v>0.958333333333333</v>
      </c>
      <c r="O58" s="190" t="n">
        <f aca="false">SUMIFS($T57:$CA57,$T$5:$CA$5,2029)/12</f>
        <v>1</v>
      </c>
      <c r="P58" s="190" t="n">
        <f aca="false">SUMIFS($T57:$CA57,$T$5:$CA$5,2030)/12</f>
        <v>1</v>
      </c>
    </row>
    <row r="60" customFormat="false" ht="18" hidden="false" customHeight="true" outlineLevel="0" collapsed="false">
      <c r="B60" s="5" t="s">
        <v>322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2" customFormat="false" ht="15" hidden="false" customHeight="false" outlineLevel="0" collapsed="false">
      <c r="B62" s="191" t="s">
        <v>323</v>
      </c>
      <c r="D62" s="169" t="s">
        <v>324</v>
      </c>
      <c r="K62" s="192" t="s">
        <v>259</v>
      </c>
    </row>
    <row r="63" customFormat="false" ht="15" hidden="false" customHeight="false" outlineLevel="0" collapsed="false">
      <c r="B63" s="10" t="s">
        <v>781</v>
      </c>
      <c r="D63" s="193" t="n">
        <f aca="false">$D$52/1000000</f>
        <v>14.66433741</v>
      </c>
      <c r="K63" s="193" t="n">
        <f aca="false">SUMIFS($T63:$CA63,$T$5:$CA$5,2030)</f>
        <v>4.03954669300466</v>
      </c>
      <c r="L63" s="193" t="n">
        <f aca="false">SUMIFS($T63:$CA63,$T$5:$CA$5,2026)</f>
        <v>0</v>
      </c>
      <c r="M63" s="193" t="n">
        <f aca="false">SUMIFS($T63:$CA63,$T$5:$CA$5,2027)</f>
        <v>0.673257782167443</v>
      </c>
      <c r="N63" s="193" t="n">
        <f aca="false">SUMIFS($T63:$CA63,$T$5:$CA$5,2028)</f>
        <v>3.87123224746279</v>
      </c>
      <c r="O63" s="193" t="n">
        <f aca="false">SUMIFS($T63:$CA63,$T$5:$CA$5,2029)</f>
        <v>4.03954669300466</v>
      </c>
      <c r="P63" s="193" t="n">
        <f aca="false">SUMIFS($T63:$CA63,$T$5:$CA$5,2030)</f>
        <v>4.03954669300466</v>
      </c>
      <c r="R63" s="10"/>
      <c r="T63" s="193" t="n">
        <f aca="false">($H$52)/1000000/12*T$57</f>
        <v>0</v>
      </c>
      <c r="U63" s="193" t="n">
        <f aca="false">($H$52)/1000000/12*U$57</f>
        <v>0</v>
      </c>
      <c r="V63" s="193" t="n">
        <f aca="false">($H$52)/1000000/12*V$57</f>
        <v>0</v>
      </c>
      <c r="W63" s="193" t="n">
        <f aca="false">($H$52)/1000000/12*W$57</f>
        <v>0</v>
      </c>
      <c r="X63" s="193" t="n">
        <f aca="false">($H$52)/1000000/12*X$57</f>
        <v>0</v>
      </c>
      <c r="Y63" s="193" t="n">
        <f aca="false">($H$52)/1000000/12*Y$57</f>
        <v>0</v>
      </c>
      <c r="Z63" s="193" t="n">
        <f aca="false">($H$52)/1000000/12*Z$57</f>
        <v>0</v>
      </c>
      <c r="AA63" s="193" t="n">
        <f aca="false">($H$52)/1000000/12*AA$57</f>
        <v>0</v>
      </c>
      <c r="AB63" s="193" t="n">
        <f aca="false">($H$52)/1000000/12*AB$57</f>
        <v>0</v>
      </c>
      <c r="AC63" s="193" t="n">
        <f aca="false">($H$52)/1000000/12*AC$57</f>
        <v>0</v>
      </c>
      <c r="AD63" s="193" t="n">
        <f aca="false">($H$52)/1000000/12*AD$57</f>
        <v>0</v>
      </c>
      <c r="AE63" s="193" t="n">
        <f aca="false">($H$52)/1000000/12*AE$57</f>
        <v>0</v>
      </c>
      <c r="AF63" s="193" t="n">
        <f aca="false">($H$52)/1000000/12*AF$57</f>
        <v>0</v>
      </c>
      <c r="AG63" s="193" t="n">
        <f aca="false">($H$52)/1000000/12*AG$57</f>
        <v>0</v>
      </c>
      <c r="AH63" s="193" t="n">
        <f aca="false">($H$52)/1000000/12*AH$57</f>
        <v>0</v>
      </c>
      <c r="AI63" s="193" t="n">
        <f aca="false">($H$52)/1000000/12*AI$57</f>
        <v>0</v>
      </c>
      <c r="AJ63" s="193" t="n">
        <f aca="false">($H$52)/1000000/12*AJ$57</f>
        <v>0</v>
      </c>
      <c r="AK63" s="193" t="n">
        <f aca="false">($H$52)/1000000/12*AK$57</f>
        <v>0</v>
      </c>
      <c r="AL63" s="193" t="n">
        <f aca="false">($H$52)/1000000/12*AL$57</f>
        <v>0.0187016050602067</v>
      </c>
      <c r="AM63" s="193" t="n">
        <f aca="false">($H$52)/1000000/12*AM$57</f>
        <v>0.0561048151806202</v>
      </c>
      <c r="AN63" s="193" t="n">
        <f aca="false">($H$52)/1000000/12*AN$57</f>
        <v>0.0935080253010337</v>
      </c>
      <c r="AO63" s="193" t="n">
        <f aca="false">($H$52)/1000000/12*AO$57</f>
        <v>0.130911235421447</v>
      </c>
      <c r="AP63" s="193" t="n">
        <f aca="false">($H$52)/1000000/12*AP$57</f>
        <v>0.168314445541861</v>
      </c>
      <c r="AQ63" s="193" t="n">
        <f aca="false">($H$52)/1000000/12*AQ$57</f>
        <v>0.205717655662274</v>
      </c>
      <c r="AR63" s="193" t="n">
        <f aca="false">($H$52)/1000000/12*AR$57</f>
        <v>0.243120865782688</v>
      </c>
      <c r="AS63" s="193" t="n">
        <f aca="false">($H$52)/1000000/12*AS$57</f>
        <v>0.280524075903101</v>
      </c>
      <c r="AT63" s="193" t="n">
        <f aca="false">($H$52)/1000000/12*AT$57</f>
        <v>0.317927286023515</v>
      </c>
      <c r="AU63" s="193" t="n">
        <f aca="false">($H$52)/1000000/12*AU$57</f>
        <v>0.336628891083721</v>
      </c>
      <c r="AV63" s="193" t="n">
        <f aca="false">($H$52)/1000000/12*AV$57</f>
        <v>0.336628891083721</v>
      </c>
      <c r="AW63" s="193" t="n">
        <f aca="false">($H$52)/1000000/12*AW$57</f>
        <v>0.336628891083721</v>
      </c>
      <c r="AX63" s="193" t="n">
        <f aca="false">($H$52)/1000000/12*AX$57</f>
        <v>0.336628891083721</v>
      </c>
      <c r="AY63" s="193" t="n">
        <f aca="false">($H$52)/1000000/12*AY$57</f>
        <v>0.336628891083721</v>
      </c>
      <c r="AZ63" s="193" t="n">
        <f aca="false">($H$52)/1000000/12*AZ$57</f>
        <v>0.336628891083721</v>
      </c>
      <c r="BA63" s="193" t="n">
        <f aca="false">($H$52)/1000000/12*BA$57</f>
        <v>0.336628891083721</v>
      </c>
      <c r="BB63" s="193" t="n">
        <f aca="false">($H$52)/1000000/12*BB$57</f>
        <v>0.336628891083721</v>
      </c>
      <c r="BC63" s="193" t="n">
        <f aca="false">($H$52)/1000000/12*BC$57</f>
        <v>0.336628891083721</v>
      </c>
      <c r="BD63" s="193" t="n">
        <f aca="false">($H$52)/1000000/12*BD$57</f>
        <v>0.336628891083721</v>
      </c>
      <c r="BE63" s="193" t="n">
        <f aca="false">($H$52)/1000000/12*BE$57</f>
        <v>0.336628891083721</v>
      </c>
      <c r="BF63" s="193" t="n">
        <f aca="false">($H$52)/1000000/12*BF$57</f>
        <v>0.336628891083721</v>
      </c>
      <c r="BG63" s="193" t="n">
        <f aca="false">($H$52)/1000000/12*BG$57</f>
        <v>0.336628891083721</v>
      </c>
      <c r="BH63" s="193" t="n">
        <f aca="false">($H$52)/1000000/12*BH$57</f>
        <v>0.336628891083721</v>
      </c>
      <c r="BI63" s="193" t="n">
        <f aca="false">($H$52)/1000000/12*BI$57</f>
        <v>0.336628891083721</v>
      </c>
      <c r="BJ63" s="193" t="n">
        <f aca="false">($H$52)/1000000/12*BJ$57</f>
        <v>0.336628891083721</v>
      </c>
      <c r="BK63" s="193" t="n">
        <f aca="false">($H$52)/1000000/12*BK$57</f>
        <v>0.336628891083721</v>
      </c>
      <c r="BL63" s="193" t="n">
        <f aca="false">($H$52)/1000000/12*BL$57</f>
        <v>0.336628891083721</v>
      </c>
      <c r="BM63" s="193" t="n">
        <f aca="false">($H$52)/1000000/12*BM$57</f>
        <v>0.336628891083721</v>
      </c>
      <c r="BN63" s="193" t="n">
        <f aca="false">($H$52)/1000000/12*BN$57</f>
        <v>0.336628891083721</v>
      </c>
      <c r="BO63" s="193" t="n">
        <f aca="false">($H$52)/1000000/12*BO$57</f>
        <v>0.336628891083721</v>
      </c>
      <c r="BP63" s="193" t="n">
        <f aca="false">($H$52)/1000000/12*BP$57</f>
        <v>0.336628891083721</v>
      </c>
      <c r="BQ63" s="193" t="n">
        <f aca="false">($H$52)/1000000/12*BQ$57</f>
        <v>0.336628891083721</v>
      </c>
      <c r="BR63" s="193" t="n">
        <f aca="false">($H$52)/1000000/12*BR$57</f>
        <v>0.336628891083721</v>
      </c>
      <c r="BS63" s="193" t="n">
        <f aca="false">($H$52)/1000000/12*BS$57</f>
        <v>0.336628891083721</v>
      </c>
      <c r="BT63" s="193" t="n">
        <f aca="false">($H$52)/1000000/12*BT$57</f>
        <v>0.336628891083721</v>
      </c>
      <c r="BU63" s="193" t="n">
        <f aca="false">($H$52)/1000000/12*BU$57</f>
        <v>0.336628891083721</v>
      </c>
      <c r="BV63" s="193" t="n">
        <f aca="false">($H$52)/1000000/12*BV$57</f>
        <v>0.336628891083721</v>
      </c>
      <c r="BW63" s="193" t="n">
        <f aca="false">($H$52)/1000000/12*BW$57</f>
        <v>0.336628891083721</v>
      </c>
      <c r="BX63" s="193" t="n">
        <f aca="false">($H$52)/1000000/12*BX$57</f>
        <v>0.336628891083721</v>
      </c>
      <c r="BY63" s="193" t="n">
        <f aca="false">($H$52)/1000000/12*BY$57</f>
        <v>0.336628891083721</v>
      </c>
      <c r="BZ63" s="193" t="n">
        <f aca="false">($H$52)/1000000/12*BZ$57</f>
        <v>0.336628891083721</v>
      </c>
      <c r="CA63" s="193" t="n">
        <f aca="false">($H$52)/1000000/12*CA$57</f>
        <v>0.336628891083721</v>
      </c>
    </row>
    <row r="64" customFormat="false" ht="15" hidden="false" customHeight="false" outlineLevel="0" collapsed="false">
      <c r="B64" s="3" t="s">
        <v>326</v>
      </c>
      <c r="K64" s="193" t="n">
        <f aca="false">SUM(K63:K63)</f>
        <v>4.03954669300466</v>
      </c>
      <c r="L64" s="193" t="n">
        <f aca="false">SUM(L63:L63)</f>
        <v>0</v>
      </c>
      <c r="M64" s="193" t="n">
        <f aca="false">SUM(M63:M63)</f>
        <v>0.673257782167443</v>
      </c>
      <c r="N64" s="193" t="n">
        <f aca="false">SUM(N63:N63)</f>
        <v>3.87123224746279</v>
      </c>
      <c r="O64" s="193" t="n">
        <f aca="false">SUM(O63:O63)</f>
        <v>4.03954669300466</v>
      </c>
      <c r="P64" s="193" t="n">
        <f aca="false">SUM(P63:P63)</f>
        <v>4.03954669300466</v>
      </c>
    </row>
    <row r="66" customFormat="false" ht="18" hidden="false" customHeight="true" outlineLevel="0" collapsed="false">
      <c r="B66" s="5" t="s">
        <v>327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8" customFormat="false" ht="22.35" hidden="false" customHeight="false" outlineLevel="0" collapsed="false">
      <c r="B68" s="169" t="s">
        <v>221</v>
      </c>
      <c r="C68" s="169" t="s">
        <v>328</v>
      </c>
      <c r="D68" s="169" t="s">
        <v>329</v>
      </c>
      <c r="E68" s="169" t="s">
        <v>330</v>
      </c>
      <c r="F68" s="169" t="s">
        <v>331</v>
      </c>
      <c r="G68" s="169" t="s">
        <v>332</v>
      </c>
      <c r="H68" s="169" t="s">
        <v>333</v>
      </c>
      <c r="I68" s="169" t="s">
        <v>334</v>
      </c>
      <c r="K68" s="169" t="s">
        <v>335</v>
      </c>
    </row>
    <row r="69" customFormat="false" ht="30" hidden="false" customHeight="true" outlineLevel="0" collapsed="false">
      <c r="C69" s="185" t="s">
        <v>336</v>
      </c>
      <c r="E69" s="185" t="s">
        <v>337</v>
      </c>
      <c r="F69" s="185" t="s">
        <v>338</v>
      </c>
      <c r="G69" s="185" t="s">
        <v>339</v>
      </c>
      <c r="I69" s="185" t="s">
        <v>340</v>
      </c>
    </row>
    <row r="70" customFormat="false" ht="42" hidden="false" customHeight="true" outlineLevel="0" collapsed="false">
      <c r="B70" s="186" t="s">
        <v>224</v>
      </c>
      <c r="C70" s="194" t="s">
        <v>782</v>
      </c>
      <c r="D70" s="183" t="n">
        <v>0</v>
      </c>
      <c r="E70" s="183" t="n">
        <v>0</v>
      </c>
      <c r="F70" s="168" t="n">
        <v>0.1</v>
      </c>
      <c r="G70" s="159" t="n">
        <f aca="false">D70*E70*IF(K70="",'Rate Card'!$G$29,K70)*(1+F70)</f>
        <v>0</v>
      </c>
      <c r="H70" s="178" t="n">
        <f aca="false">DATE(2027,7,1)</f>
        <v>46569</v>
      </c>
      <c r="I70" s="195" t="n">
        <f aca="false">'Rate Card'!$C$45</f>
        <v>0</v>
      </c>
      <c r="K70" s="158"/>
    </row>
    <row r="71" customFormat="false" ht="42" hidden="false" customHeight="true" outlineLevel="0" collapsed="false">
      <c r="B71" s="186" t="s">
        <v>225</v>
      </c>
      <c r="C71" s="194" t="s">
        <v>783</v>
      </c>
      <c r="D71" s="183" t="n">
        <v>0</v>
      </c>
      <c r="E71" s="183" t="n">
        <v>0</v>
      </c>
      <c r="F71" s="168" t="n">
        <v>0.1</v>
      </c>
      <c r="G71" s="159" t="n">
        <f aca="false">D71*E71*IF(K71="",'Rate Card'!$G$29,K71)*(1+F71)</f>
        <v>0</v>
      </c>
      <c r="H71" s="178" t="n">
        <f aca="false">DATE(2027,7,1)</f>
        <v>46569</v>
      </c>
      <c r="I71" s="195" t="n">
        <f aca="false">'Rate Card'!$C$46</f>
        <v>0</v>
      </c>
      <c r="K71" s="158"/>
    </row>
    <row r="72" customFormat="false" ht="42" hidden="false" customHeight="true" outlineLevel="0" collapsed="false">
      <c r="B72" s="186" t="s">
        <v>226</v>
      </c>
      <c r="C72" s="194" t="s">
        <v>783</v>
      </c>
      <c r="D72" s="183" t="n">
        <v>0</v>
      </c>
      <c r="E72" s="183" t="n">
        <v>0</v>
      </c>
      <c r="F72" s="168" t="n">
        <v>0.1</v>
      </c>
      <c r="G72" s="159" t="n">
        <f aca="false">D72*E72*IF(K72="",'Rate Card'!$G$29,K72)*(1+F72)</f>
        <v>0</v>
      </c>
      <c r="H72" s="178" t="n">
        <f aca="false">DATE(2027,7,1)</f>
        <v>46569</v>
      </c>
      <c r="I72" s="195" t="n">
        <f aca="false">'Rate Card'!$C$47</f>
        <v>0</v>
      </c>
      <c r="K72" s="158"/>
    </row>
    <row r="73" customFormat="false" ht="42" hidden="false" customHeight="true" outlineLevel="0" collapsed="false">
      <c r="B73" s="186" t="s">
        <v>227</v>
      </c>
      <c r="C73" s="194" t="s">
        <v>783</v>
      </c>
      <c r="D73" s="183" t="n">
        <v>0</v>
      </c>
      <c r="E73" s="183" t="n">
        <v>0</v>
      </c>
      <c r="F73" s="168" t="n">
        <v>0.1</v>
      </c>
      <c r="G73" s="159" t="n">
        <f aca="false">D73*E73*IF(K73="",'Rate Card'!$G$29,K73)*(1+F73)</f>
        <v>0</v>
      </c>
      <c r="H73" s="178" t="n">
        <f aca="false">DATE(2027,7,1)</f>
        <v>46569</v>
      </c>
      <c r="I73" s="195" t="n">
        <f aca="false">'Rate Card'!$C$48</f>
        <v>0</v>
      </c>
      <c r="K73" s="158"/>
    </row>
    <row r="75" customFormat="false" ht="15" hidden="false" customHeight="false" outlineLevel="0" collapsed="false">
      <c r="B75" s="167" t="s">
        <v>345</v>
      </c>
    </row>
    <row r="76" customFormat="false" ht="15" hidden="false" customHeight="false" outlineLevel="0" collapsed="false">
      <c r="B76" s="196" t="s">
        <v>346</v>
      </c>
      <c r="T76" s="159" t="n">
        <f aca="false">IF(AND(T$6&gt;=EOMONTH($H$70,0),T$6&lt;=EOMONTH(EDATE($H$70,$E$70-1),0)),$G$70/MAX($E$70,1),0)</f>
        <v>0</v>
      </c>
      <c r="U76" s="159" t="n">
        <f aca="false">IF(AND(U$6&gt;=EOMONTH($H$70,0),U$6&lt;=EOMONTH(EDATE($H$70,$E$70-1),0)),$G$70/MAX($E$70,1),0)</f>
        <v>0</v>
      </c>
      <c r="V76" s="159" t="n">
        <f aca="false">IF(AND(V$6&gt;=EOMONTH($H$70,0),V$6&lt;=EOMONTH(EDATE($H$70,$E$70-1),0)),$G$70/MAX($E$70,1),0)</f>
        <v>0</v>
      </c>
      <c r="W76" s="159" t="n">
        <f aca="false">IF(AND(W$6&gt;=EOMONTH($H$70,0),W$6&lt;=EOMONTH(EDATE($H$70,$E$70-1),0)),$G$70/MAX($E$70,1),0)</f>
        <v>0</v>
      </c>
      <c r="X76" s="159" t="n">
        <f aca="false">IF(AND(X$6&gt;=EOMONTH($H$70,0),X$6&lt;=EOMONTH(EDATE($H$70,$E$70-1),0)),$G$70/MAX($E$70,1),0)</f>
        <v>0</v>
      </c>
      <c r="Y76" s="159" t="n">
        <f aca="false">IF(AND(Y$6&gt;=EOMONTH($H$70,0),Y$6&lt;=EOMONTH(EDATE($H$70,$E$70-1),0)),$G$70/MAX($E$70,1),0)</f>
        <v>0</v>
      </c>
      <c r="Z76" s="159" t="n">
        <f aca="false">IF(AND(Z$6&gt;=EOMONTH($H$70,0),Z$6&lt;=EOMONTH(EDATE($H$70,$E$70-1),0)),$G$70/MAX($E$70,1),0)</f>
        <v>0</v>
      </c>
      <c r="AA76" s="159" t="n">
        <f aca="false">IF(AND(AA$6&gt;=EOMONTH($H$70,0),AA$6&lt;=EOMONTH(EDATE($H$70,$E$70-1),0)),$G$70/MAX($E$70,1),0)</f>
        <v>0</v>
      </c>
      <c r="AB76" s="159" t="n">
        <f aca="false">IF(AND(AB$6&gt;=EOMONTH($H$70,0),AB$6&lt;=EOMONTH(EDATE($H$70,$E$70-1),0)),$G$70/MAX($E$70,1),0)</f>
        <v>0</v>
      </c>
      <c r="AC76" s="159" t="n">
        <f aca="false">IF(AND(AC$6&gt;=EOMONTH($H$70,0),AC$6&lt;=EOMONTH(EDATE($H$70,$E$70-1),0)),$G$70/MAX($E$70,1),0)</f>
        <v>0</v>
      </c>
      <c r="AD76" s="159" t="n">
        <f aca="false">IF(AND(AD$6&gt;=EOMONTH($H$70,0),AD$6&lt;=EOMONTH(EDATE($H$70,$E$70-1),0)),$G$70/MAX($E$70,1),0)</f>
        <v>0</v>
      </c>
      <c r="AE76" s="159" t="n">
        <f aca="false">IF(AND(AE$6&gt;=EOMONTH($H$70,0),AE$6&lt;=EOMONTH(EDATE($H$70,$E$70-1),0)),$G$70/MAX($E$70,1),0)</f>
        <v>0</v>
      </c>
      <c r="AF76" s="159" t="n">
        <f aca="false">IF(AND(AF$6&gt;=EOMONTH($H$70,0),AF$6&lt;=EOMONTH(EDATE($H$70,$E$70-1),0)),$G$70/MAX($E$70,1),0)</f>
        <v>0</v>
      </c>
      <c r="AG76" s="159" t="n">
        <f aca="false">IF(AND(AG$6&gt;=EOMONTH($H$70,0),AG$6&lt;=EOMONTH(EDATE($H$70,$E$70-1),0)),$G$70/MAX($E$70,1),0)</f>
        <v>0</v>
      </c>
      <c r="AH76" s="159" t="n">
        <f aca="false">IF(AND(AH$6&gt;=EOMONTH($H$70,0),AH$6&lt;=EOMONTH(EDATE($H$70,$E$70-1),0)),$G$70/MAX($E$70,1),0)</f>
        <v>0</v>
      </c>
      <c r="AI76" s="159" t="n">
        <f aca="false">IF(AND(AI$6&gt;=EOMONTH($H$70,0),AI$6&lt;=EOMONTH(EDATE($H$70,$E$70-1),0)),$G$70/MAX($E$70,1),0)</f>
        <v>0</v>
      </c>
      <c r="AJ76" s="159" t="n">
        <f aca="false">IF(AND(AJ$6&gt;=EOMONTH($H$70,0),AJ$6&lt;=EOMONTH(EDATE($H$70,$E$70-1),0)),$G$70/MAX($E$70,1),0)</f>
        <v>0</v>
      </c>
      <c r="AK76" s="159" t="n">
        <f aca="false">IF(AND(AK$6&gt;=EOMONTH($H$70,0),AK$6&lt;=EOMONTH(EDATE($H$70,$E$70-1),0)),$G$70/MAX($E$70,1),0)</f>
        <v>0</v>
      </c>
      <c r="AL76" s="159" t="n">
        <f aca="false">IF(AND(AL$6&gt;=EOMONTH($H$70,0),AL$6&lt;=EOMONTH(EDATE($H$70,$E$70-1),0)),$G$70/MAX($E$70,1),0)</f>
        <v>0</v>
      </c>
      <c r="AM76" s="159" t="n">
        <f aca="false">IF(AND(AM$6&gt;=EOMONTH($H$70,0),AM$6&lt;=EOMONTH(EDATE($H$70,$E$70-1),0)),$G$70/MAX($E$70,1),0)</f>
        <v>0</v>
      </c>
      <c r="AN76" s="159" t="n">
        <f aca="false">IF(AND(AN$6&gt;=EOMONTH($H$70,0),AN$6&lt;=EOMONTH(EDATE($H$70,$E$70-1),0)),$G$70/MAX($E$70,1),0)</f>
        <v>0</v>
      </c>
      <c r="AO76" s="159" t="n">
        <f aca="false">IF(AND(AO$6&gt;=EOMONTH($H$70,0),AO$6&lt;=EOMONTH(EDATE($H$70,$E$70-1),0)),$G$70/MAX($E$70,1),0)</f>
        <v>0</v>
      </c>
      <c r="AP76" s="159" t="n">
        <f aca="false">IF(AND(AP$6&gt;=EOMONTH($H$70,0),AP$6&lt;=EOMONTH(EDATE($H$70,$E$70-1),0)),$G$70/MAX($E$70,1),0)</f>
        <v>0</v>
      </c>
      <c r="AQ76" s="159" t="n">
        <f aca="false">IF(AND(AQ$6&gt;=EOMONTH($H$70,0),AQ$6&lt;=EOMONTH(EDATE($H$70,$E$70-1),0)),$G$70/MAX($E$70,1),0)</f>
        <v>0</v>
      </c>
      <c r="AR76" s="159" t="n">
        <f aca="false">IF(AND(AR$6&gt;=EOMONTH($H$70,0),AR$6&lt;=EOMONTH(EDATE($H$70,$E$70-1),0)),$G$70/MAX($E$70,1),0)</f>
        <v>0</v>
      </c>
      <c r="AS76" s="159" t="n">
        <f aca="false">IF(AND(AS$6&gt;=EOMONTH($H$70,0),AS$6&lt;=EOMONTH(EDATE($H$70,$E$70-1),0)),$G$70/MAX($E$70,1),0)</f>
        <v>0</v>
      </c>
      <c r="AT76" s="159" t="n">
        <f aca="false">IF(AND(AT$6&gt;=EOMONTH($H$70,0),AT$6&lt;=EOMONTH(EDATE($H$70,$E$70-1),0)),$G$70/MAX($E$70,1),0)</f>
        <v>0</v>
      </c>
      <c r="AU76" s="159" t="n">
        <f aca="false">IF(AND(AU$6&gt;=EOMONTH($H$70,0),AU$6&lt;=EOMONTH(EDATE($H$70,$E$70-1),0)),$G$70/MAX($E$70,1),0)</f>
        <v>0</v>
      </c>
      <c r="AV76" s="159" t="n">
        <f aca="false">IF(AND(AV$6&gt;=EOMONTH($H$70,0),AV$6&lt;=EOMONTH(EDATE($H$70,$E$70-1),0)),$G$70/MAX($E$70,1),0)</f>
        <v>0</v>
      </c>
      <c r="AW76" s="159" t="n">
        <f aca="false">IF(AND(AW$6&gt;=EOMONTH($H$70,0),AW$6&lt;=EOMONTH(EDATE($H$70,$E$70-1),0)),$G$70/MAX($E$70,1),0)</f>
        <v>0</v>
      </c>
      <c r="AX76" s="159" t="n">
        <f aca="false">IF(AND(AX$6&gt;=EOMONTH($H$70,0),AX$6&lt;=EOMONTH(EDATE($H$70,$E$70-1),0)),$G$70/MAX($E$70,1),0)</f>
        <v>0</v>
      </c>
      <c r="AY76" s="159" t="n">
        <f aca="false">IF(AND(AY$6&gt;=EOMONTH($H$70,0),AY$6&lt;=EOMONTH(EDATE($H$70,$E$70-1),0)),$G$70/MAX($E$70,1),0)</f>
        <v>0</v>
      </c>
      <c r="AZ76" s="159" t="n">
        <f aca="false">IF(AND(AZ$6&gt;=EOMONTH($H$70,0),AZ$6&lt;=EOMONTH(EDATE($H$70,$E$70-1),0)),$G$70/MAX($E$70,1),0)</f>
        <v>0</v>
      </c>
      <c r="BA76" s="159" t="n">
        <f aca="false">IF(AND(BA$6&gt;=EOMONTH($H$70,0),BA$6&lt;=EOMONTH(EDATE($H$70,$E$70-1),0)),$G$70/MAX($E$70,1),0)</f>
        <v>0</v>
      </c>
      <c r="BB76" s="159" t="n">
        <f aca="false">IF(AND(BB$6&gt;=EOMONTH($H$70,0),BB$6&lt;=EOMONTH(EDATE($H$70,$E$70-1),0)),$G$70/MAX($E$70,1),0)</f>
        <v>0</v>
      </c>
      <c r="BC76" s="159" t="n">
        <f aca="false">IF(AND(BC$6&gt;=EOMONTH($H$70,0),BC$6&lt;=EOMONTH(EDATE($H$70,$E$70-1),0)),$G$70/MAX($E$70,1),0)</f>
        <v>0</v>
      </c>
      <c r="BD76" s="159" t="n">
        <f aca="false">IF(AND(BD$6&gt;=EOMONTH($H$70,0),BD$6&lt;=EOMONTH(EDATE($H$70,$E$70-1),0)),$G$70/MAX($E$70,1),0)</f>
        <v>0</v>
      </c>
      <c r="BE76" s="159" t="n">
        <f aca="false">IF(AND(BE$6&gt;=EOMONTH($H$70,0),BE$6&lt;=EOMONTH(EDATE($H$70,$E$70-1),0)),$G$70/MAX($E$70,1),0)</f>
        <v>0</v>
      </c>
      <c r="BF76" s="159" t="n">
        <f aca="false">IF(AND(BF$6&gt;=EOMONTH($H$70,0),BF$6&lt;=EOMONTH(EDATE($H$70,$E$70-1),0)),$G$70/MAX($E$70,1),0)</f>
        <v>0</v>
      </c>
      <c r="BG76" s="159" t="n">
        <f aca="false">IF(AND(BG$6&gt;=EOMONTH($H$70,0),BG$6&lt;=EOMONTH(EDATE($H$70,$E$70-1),0)),$G$70/MAX($E$70,1),0)</f>
        <v>0</v>
      </c>
      <c r="BH76" s="159" t="n">
        <f aca="false">IF(AND(BH$6&gt;=EOMONTH($H$70,0),BH$6&lt;=EOMONTH(EDATE($H$70,$E$70-1),0)),$G$70/MAX($E$70,1),0)</f>
        <v>0</v>
      </c>
      <c r="BI76" s="159" t="n">
        <f aca="false">IF(AND(BI$6&gt;=EOMONTH($H$70,0),BI$6&lt;=EOMONTH(EDATE($H$70,$E$70-1),0)),$G$70/MAX($E$70,1),0)</f>
        <v>0</v>
      </c>
      <c r="BJ76" s="159" t="n">
        <f aca="false">IF(AND(BJ$6&gt;=EOMONTH($H$70,0),BJ$6&lt;=EOMONTH(EDATE($H$70,$E$70-1),0)),$G$70/MAX($E$70,1),0)</f>
        <v>0</v>
      </c>
      <c r="BK76" s="159" t="n">
        <f aca="false">IF(AND(BK$6&gt;=EOMONTH($H$70,0),BK$6&lt;=EOMONTH(EDATE($H$70,$E$70-1),0)),$G$70/MAX($E$70,1),0)</f>
        <v>0</v>
      </c>
      <c r="BL76" s="159" t="n">
        <f aca="false">IF(AND(BL$6&gt;=EOMONTH($H$70,0),BL$6&lt;=EOMONTH(EDATE($H$70,$E$70-1),0)),$G$70/MAX($E$70,1),0)</f>
        <v>0</v>
      </c>
      <c r="BM76" s="159" t="n">
        <f aca="false">IF(AND(BM$6&gt;=EOMONTH($H$70,0),BM$6&lt;=EOMONTH(EDATE($H$70,$E$70-1),0)),$G$70/MAX($E$70,1),0)</f>
        <v>0</v>
      </c>
      <c r="BN76" s="159" t="n">
        <f aca="false">IF(AND(BN$6&gt;=EOMONTH($H$70,0),BN$6&lt;=EOMONTH(EDATE($H$70,$E$70-1),0)),$G$70/MAX($E$70,1),0)</f>
        <v>0</v>
      </c>
      <c r="BO76" s="159" t="n">
        <f aca="false">IF(AND(BO$6&gt;=EOMONTH($H$70,0),BO$6&lt;=EOMONTH(EDATE($H$70,$E$70-1),0)),$G$70/MAX($E$70,1),0)</f>
        <v>0</v>
      </c>
      <c r="BP76" s="159" t="n">
        <f aca="false">IF(AND(BP$6&gt;=EOMONTH($H$70,0),BP$6&lt;=EOMONTH(EDATE($H$70,$E$70-1),0)),$G$70/MAX($E$70,1),0)</f>
        <v>0</v>
      </c>
      <c r="BQ76" s="159" t="n">
        <f aca="false">IF(AND(BQ$6&gt;=EOMONTH($H$70,0),BQ$6&lt;=EOMONTH(EDATE($H$70,$E$70-1),0)),$G$70/MAX($E$70,1),0)</f>
        <v>0</v>
      </c>
      <c r="BR76" s="159" t="n">
        <f aca="false">IF(AND(BR$6&gt;=EOMONTH($H$70,0),BR$6&lt;=EOMONTH(EDATE($H$70,$E$70-1),0)),$G$70/MAX($E$70,1),0)</f>
        <v>0</v>
      </c>
      <c r="BS76" s="159" t="n">
        <f aca="false">IF(AND(BS$6&gt;=EOMONTH($H$70,0),BS$6&lt;=EOMONTH(EDATE($H$70,$E$70-1),0)),$G$70/MAX($E$70,1),0)</f>
        <v>0</v>
      </c>
      <c r="BT76" s="159" t="n">
        <f aca="false">IF(AND(BT$6&gt;=EOMONTH($H$70,0),BT$6&lt;=EOMONTH(EDATE($H$70,$E$70-1),0)),$G$70/MAX($E$70,1),0)</f>
        <v>0</v>
      </c>
      <c r="BU76" s="159" t="n">
        <f aca="false">IF(AND(BU$6&gt;=EOMONTH($H$70,0),BU$6&lt;=EOMONTH(EDATE($H$70,$E$70-1),0)),$G$70/MAX($E$70,1),0)</f>
        <v>0</v>
      </c>
      <c r="BV76" s="159" t="n">
        <f aca="false">IF(AND(BV$6&gt;=EOMONTH($H$70,0),BV$6&lt;=EOMONTH(EDATE($H$70,$E$70-1),0)),$G$70/MAX($E$70,1),0)</f>
        <v>0</v>
      </c>
      <c r="BW76" s="159" t="n">
        <f aca="false">IF(AND(BW$6&gt;=EOMONTH($H$70,0),BW$6&lt;=EOMONTH(EDATE($H$70,$E$70-1),0)),$G$70/MAX($E$70,1),0)</f>
        <v>0</v>
      </c>
      <c r="BX76" s="159" t="n">
        <f aca="false">IF(AND(BX$6&gt;=EOMONTH($H$70,0),BX$6&lt;=EOMONTH(EDATE($H$70,$E$70-1),0)),$G$70/MAX($E$70,1),0)</f>
        <v>0</v>
      </c>
      <c r="BY76" s="159" t="n">
        <f aca="false">IF(AND(BY$6&gt;=EOMONTH($H$70,0),BY$6&lt;=EOMONTH(EDATE($H$70,$E$70-1),0)),$G$70/MAX($E$70,1),0)</f>
        <v>0</v>
      </c>
      <c r="BZ76" s="159" t="n">
        <f aca="false">IF(AND(BZ$6&gt;=EOMONTH($H$70,0),BZ$6&lt;=EOMONTH(EDATE($H$70,$E$70-1),0)),$G$70/MAX($E$70,1),0)</f>
        <v>0</v>
      </c>
      <c r="CA76" s="159" t="n">
        <f aca="false">IF(AND(CA$6&gt;=EOMONTH($H$70,0),CA$6&lt;=EOMONTH(EDATE($H$70,$E$70-1),0)),$G$70/MAX($E$70,1),0)</f>
        <v>0</v>
      </c>
    </row>
    <row r="77" customFormat="false" ht="15" hidden="false" customHeight="false" outlineLevel="0" collapsed="false">
      <c r="B77" s="196" t="s">
        <v>347</v>
      </c>
      <c r="T77" s="159" t="n">
        <f aca="false">IF(AND(T$6&gt;=EOMONTH($H$71,0),T$6&lt;=EOMONTH(EDATE($H$71,$E$71-1),0)),$G$71/MAX($E$71,1),0)</f>
        <v>0</v>
      </c>
      <c r="U77" s="159" t="n">
        <f aca="false">IF(AND(U$6&gt;=EOMONTH($H$71,0),U$6&lt;=EOMONTH(EDATE($H$71,$E$71-1),0)),$G$71/MAX($E$71,1),0)</f>
        <v>0</v>
      </c>
      <c r="V77" s="159" t="n">
        <f aca="false">IF(AND(V$6&gt;=EOMONTH($H$71,0),V$6&lt;=EOMONTH(EDATE($H$71,$E$71-1),0)),$G$71/MAX($E$71,1),0)</f>
        <v>0</v>
      </c>
      <c r="W77" s="159" t="n">
        <f aca="false">IF(AND(W$6&gt;=EOMONTH($H$71,0),W$6&lt;=EOMONTH(EDATE($H$71,$E$71-1),0)),$G$71/MAX($E$71,1),0)</f>
        <v>0</v>
      </c>
      <c r="X77" s="159" t="n">
        <f aca="false">IF(AND(X$6&gt;=EOMONTH($H$71,0),X$6&lt;=EOMONTH(EDATE($H$71,$E$71-1),0)),$G$71/MAX($E$71,1),0)</f>
        <v>0</v>
      </c>
      <c r="Y77" s="159" t="n">
        <f aca="false">IF(AND(Y$6&gt;=EOMONTH($H$71,0),Y$6&lt;=EOMONTH(EDATE($H$71,$E$71-1),0)),$G$71/MAX($E$71,1),0)</f>
        <v>0</v>
      </c>
      <c r="Z77" s="159" t="n">
        <f aca="false">IF(AND(Z$6&gt;=EOMONTH($H$71,0),Z$6&lt;=EOMONTH(EDATE($H$71,$E$71-1),0)),$G$71/MAX($E$71,1),0)</f>
        <v>0</v>
      </c>
      <c r="AA77" s="159" t="n">
        <f aca="false">IF(AND(AA$6&gt;=EOMONTH($H$71,0),AA$6&lt;=EOMONTH(EDATE($H$71,$E$71-1),0)),$G$71/MAX($E$71,1),0)</f>
        <v>0</v>
      </c>
      <c r="AB77" s="159" t="n">
        <f aca="false">IF(AND(AB$6&gt;=EOMONTH($H$71,0),AB$6&lt;=EOMONTH(EDATE($H$71,$E$71-1),0)),$G$71/MAX($E$71,1),0)</f>
        <v>0</v>
      </c>
      <c r="AC77" s="159" t="n">
        <f aca="false">IF(AND(AC$6&gt;=EOMONTH($H$71,0),AC$6&lt;=EOMONTH(EDATE($H$71,$E$71-1),0)),$G$71/MAX($E$71,1),0)</f>
        <v>0</v>
      </c>
      <c r="AD77" s="159" t="n">
        <f aca="false">IF(AND(AD$6&gt;=EOMONTH($H$71,0),AD$6&lt;=EOMONTH(EDATE($H$71,$E$71-1),0)),$G$71/MAX($E$71,1),0)</f>
        <v>0</v>
      </c>
      <c r="AE77" s="159" t="n">
        <f aca="false">IF(AND(AE$6&gt;=EOMONTH($H$71,0),AE$6&lt;=EOMONTH(EDATE($H$71,$E$71-1),0)),$G$71/MAX($E$71,1),0)</f>
        <v>0</v>
      </c>
      <c r="AF77" s="159" t="n">
        <f aca="false">IF(AND(AF$6&gt;=EOMONTH($H$71,0),AF$6&lt;=EOMONTH(EDATE($H$71,$E$71-1),0)),$G$71/MAX($E$71,1),0)</f>
        <v>0</v>
      </c>
      <c r="AG77" s="159" t="n">
        <f aca="false">IF(AND(AG$6&gt;=EOMONTH($H$71,0),AG$6&lt;=EOMONTH(EDATE($H$71,$E$71-1),0)),$G$71/MAX($E$71,1),0)</f>
        <v>0</v>
      </c>
      <c r="AH77" s="159" t="n">
        <f aca="false">IF(AND(AH$6&gt;=EOMONTH($H$71,0),AH$6&lt;=EOMONTH(EDATE($H$71,$E$71-1),0)),$G$71/MAX($E$71,1),0)</f>
        <v>0</v>
      </c>
      <c r="AI77" s="159" t="n">
        <f aca="false">IF(AND(AI$6&gt;=EOMONTH($H$71,0),AI$6&lt;=EOMONTH(EDATE($H$71,$E$71-1),0)),$G$71/MAX($E$71,1),0)</f>
        <v>0</v>
      </c>
      <c r="AJ77" s="159" t="n">
        <f aca="false">IF(AND(AJ$6&gt;=EOMONTH($H$71,0),AJ$6&lt;=EOMONTH(EDATE($H$71,$E$71-1),0)),$G$71/MAX($E$71,1),0)</f>
        <v>0</v>
      </c>
      <c r="AK77" s="159" t="n">
        <f aca="false">IF(AND(AK$6&gt;=EOMONTH($H$71,0),AK$6&lt;=EOMONTH(EDATE($H$71,$E$71-1),0)),$G$71/MAX($E$71,1),0)</f>
        <v>0</v>
      </c>
      <c r="AL77" s="159" t="n">
        <f aca="false">IF(AND(AL$6&gt;=EOMONTH($H$71,0),AL$6&lt;=EOMONTH(EDATE($H$71,$E$71-1),0)),$G$71/MAX($E$71,1),0)</f>
        <v>0</v>
      </c>
      <c r="AM77" s="159" t="n">
        <f aca="false">IF(AND(AM$6&gt;=EOMONTH($H$71,0),AM$6&lt;=EOMONTH(EDATE($H$71,$E$71-1),0)),$G$71/MAX($E$71,1),0)</f>
        <v>0</v>
      </c>
      <c r="AN77" s="159" t="n">
        <f aca="false">IF(AND(AN$6&gt;=EOMONTH($H$71,0),AN$6&lt;=EOMONTH(EDATE($H$71,$E$71-1),0)),$G$71/MAX($E$71,1),0)</f>
        <v>0</v>
      </c>
      <c r="AO77" s="159" t="n">
        <f aca="false">IF(AND(AO$6&gt;=EOMONTH($H$71,0),AO$6&lt;=EOMONTH(EDATE($H$71,$E$71-1),0)),$G$71/MAX($E$71,1),0)</f>
        <v>0</v>
      </c>
      <c r="AP77" s="159" t="n">
        <f aca="false">IF(AND(AP$6&gt;=EOMONTH($H$71,0),AP$6&lt;=EOMONTH(EDATE($H$71,$E$71-1),0)),$G$71/MAX($E$71,1),0)</f>
        <v>0</v>
      </c>
      <c r="AQ77" s="159" t="n">
        <f aca="false">IF(AND(AQ$6&gt;=EOMONTH($H$71,0),AQ$6&lt;=EOMONTH(EDATE($H$71,$E$71-1),0)),$G$71/MAX($E$71,1),0)</f>
        <v>0</v>
      </c>
      <c r="AR77" s="159" t="n">
        <f aca="false">IF(AND(AR$6&gt;=EOMONTH($H$71,0),AR$6&lt;=EOMONTH(EDATE($H$71,$E$71-1),0)),$G$71/MAX($E$71,1),0)</f>
        <v>0</v>
      </c>
      <c r="AS77" s="159" t="n">
        <f aca="false">IF(AND(AS$6&gt;=EOMONTH($H$71,0),AS$6&lt;=EOMONTH(EDATE($H$71,$E$71-1),0)),$G$71/MAX($E$71,1),0)</f>
        <v>0</v>
      </c>
      <c r="AT77" s="159" t="n">
        <f aca="false">IF(AND(AT$6&gt;=EOMONTH($H$71,0),AT$6&lt;=EOMONTH(EDATE($H$71,$E$71-1),0)),$G$71/MAX($E$71,1),0)</f>
        <v>0</v>
      </c>
      <c r="AU77" s="159" t="n">
        <f aca="false">IF(AND(AU$6&gt;=EOMONTH($H$71,0),AU$6&lt;=EOMONTH(EDATE($H$71,$E$71-1),0)),$G$71/MAX($E$71,1),0)</f>
        <v>0</v>
      </c>
      <c r="AV77" s="159" t="n">
        <f aca="false">IF(AND(AV$6&gt;=EOMONTH($H$71,0),AV$6&lt;=EOMONTH(EDATE($H$71,$E$71-1),0)),$G$71/MAX($E$71,1),0)</f>
        <v>0</v>
      </c>
      <c r="AW77" s="159" t="n">
        <f aca="false">IF(AND(AW$6&gt;=EOMONTH($H$71,0),AW$6&lt;=EOMONTH(EDATE($H$71,$E$71-1),0)),$G$71/MAX($E$71,1),0)</f>
        <v>0</v>
      </c>
      <c r="AX77" s="159" t="n">
        <f aca="false">IF(AND(AX$6&gt;=EOMONTH($H$71,0),AX$6&lt;=EOMONTH(EDATE($H$71,$E$71-1),0)),$G$71/MAX($E$71,1),0)</f>
        <v>0</v>
      </c>
      <c r="AY77" s="159" t="n">
        <f aca="false">IF(AND(AY$6&gt;=EOMONTH($H$71,0),AY$6&lt;=EOMONTH(EDATE($H$71,$E$71-1),0)),$G$71/MAX($E$71,1),0)</f>
        <v>0</v>
      </c>
      <c r="AZ77" s="159" t="n">
        <f aca="false">IF(AND(AZ$6&gt;=EOMONTH($H$71,0),AZ$6&lt;=EOMONTH(EDATE($H$71,$E$71-1),0)),$G$71/MAX($E$71,1),0)</f>
        <v>0</v>
      </c>
      <c r="BA77" s="159" t="n">
        <f aca="false">IF(AND(BA$6&gt;=EOMONTH($H$71,0),BA$6&lt;=EOMONTH(EDATE($H$71,$E$71-1),0)),$G$71/MAX($E$71,1),0)</f>
        <v>0</v>
      </c>
      <c r="BB77" s="159" t="n">
        <f aca="false">IF(AND(BB$6&gt;=EOMONTH($H$71,0),BB$6&lt;=EOMONTH(EDATE($H$71,$E$71-1),0)),$G$71/MAX($E$71,1),0)</f>
        <v>0</v>
      </c>
      <c r="BC77" s="159" t="n">
        <f aca="false">IF(AND(BC$6&gt;=EOMONTH($H$71,0),BC$6&lt;=EOMONTH(EDATE($H$71,$E$71-1),0)),$G$71/MAX($E$71,1),0)</f>
        <v>0</v>
      </c>
      <c r="BD77" s="159" t="n">
        <f aca="false">IF(AND(BD$6&gt;=EOMONTH($H$71,0),BD$6&lt;=EOMONTH(EDATE($H$71,$E$71-1),0)),$G$71/MAX($E$71,1),0)</f>
        <v>0</v>
      </c>
      <c r="BE77" s="159" t="n">
        <f aca="false">IF(AND(BE$6&gt;=EOMONTH($H$71,0),BE$6&lt;=EOMONTH(EDATE($H$71,$E$71-1),0)),$G$71/MAX($E$71,1),0)</f>
        <v>0</v>
      </c>
      <c r="BF77" s="159" t="n">
        <f aca="false">IF(AND(BF$6&gt;=EOMONTH($H$71,0),BF$6&lt;=EOMONTH(EDATE($H$71,$E$71-1),0)),$G$71/MAX($E$71,1),0)</f>
        <v>0</v>
      </c>
      <c r="BG77" s="159" t="n">
        <f aca="false">IF(AND(BG$6&gt;=EOMONTH($H$71,0),BG$6&lt;=EOMONTH(EDATE($H$71,$E$71-1),0)),$G$71/MAX($E$71,1),0)</f>
        <v>0</v>
      </c>
      <c r="BH77" s="159" t="n">
        <f aca="false">IF(AND(BH$6&gt;=EOMONTH($H$71,0),BH$6&lt;=EOMONTH(EDATE($H$71,$E$71-1),0)),$G$71/MAX($E$71,1),0)</f>
        <v>0</v>
      </c>
      <c r="BI77" s="159" t="n">
        <f aca="false">IF(AND(BI$6&gt;=EOMONTH($H$71,0),BI$6&lt;=EOMONTH(EDATE($H$71,$E$71-1),0)),$G$71/MAX($E$71,1),0)</f>
        <v>0</v>
      </c>
      <c r="BJ77" s="159" t="n">
        <f aca="false">IF(AND(BJ$6&gt;=EOMONTH($H$71,0),BJ$6&lt;=EOMONTH(EDATE($H$71,$E$71-1),0)),$G$71/MAX($E$71,1),0)</f>
        <v>0</v>
      </c>
      <c r="BK77" s="159" t="n">
        <f aca="false">IF(AND(BK$6&gt;=EOMONTH($H$71,0),BK$6&lt;=EOMONTH(EDATE($H$71,$E$71-1),0)),$G$71/MAX($E$71,1),0)</f>
        <v>0</v>
      </c>
      <c r="BL77" s="159" t="n">
        <f aca="false">IF(AND(BL$6&gt;=EOMONTH($H$71,0),BL$6&lt;=EOMONTH(EDATE($H$71,$E$71-1),0)),$G$71/MAX($E$71,1),0)</f>
        <v>0</v>
      </c>
      <c r="BM77" s="159" t="n">
        <f aca="false">IF(AND(BM$6&gt;=EOMONTH($H$71,0),BM$6&lt;=EOMONTH(EDATE($H$71,$E$71-1),0)),$G$71/MAX($E$71,1),0)</f>
        <v>0</v>
      </c>
      <c r="BN77" s="159" t="n">
        <f aca="false">IF(AND(BN$6&gt;=EOMONTH($H$71,0),BN$6&lt;=EOMONTH(EDATE($H$71,$E$71-1),0)),$G$71/MAX($E$71,1),0)</f>
        <v>0</v>
      </c>
      <c r="BO77" s="159" t="n">
        <f aca="false">IF(AND(BO$6&gt;=EOMONTH($H$71,0),BO$6&lt;=EOMONTH(EDATE($H$71,$E$71-1),0)),$G$71/MAX($E$71,1),0)</f>
        <v>0</v>
      </c>
      <c r="BP77" s="159" t="n">
        <f aca="false">IF(AND(BP$6&gt;=EOMONTH($H$71,0),BP$6&lt;=EOMONTH(EDATE($H$71,$E$71-1),0)),$G$71/MAX($E$71,1),0)</f>
        <v>0</v>
      </c>
      <c r="BQ77" s="159" t="n">
        <f aca="false">IF(AND(BQ$6&gt;=EOMONTH($H$71,0),BQ$6&lt;=EOMONTH(EDATE($H$71,$E$71-1),0)),$G$71/MAX($E$71,1),0)</f>
        <v>0</v>
      </c>
      <c r="BR77" s="159" t="n">
        <f aca="false">IF(AND(BR$6&gt;=EOMONTH($H$71,0),BR$6&lt;=EOMONTH(EDATE($H$71,$E$71-1),0)),$G$71/MAX($E$71,1),0)</f>
        <v>0</v>
      </c>
      <c r="BS77" s="159" t="n">
        <f aca="false">IF(AND(BS$6&gt;=EOMONTH($H$71,0),BS$6&lt;=EOMONTH(EDATE($H$71,$E$71-1),0)),$G$71/MAX($E$71,1),0)</f>
        <v>0</v>
      </c>
      <c r="BT77" s="159" t="n">
        <f aca="false">IF(AND(BT$6&gt;=EOMONTH($H$71,0),BT$6&lt;=EOMONTH(EDATE($H$71,$E$71-1),0)),$G$71/MAX($E$71,1),0)</f>
        <v>0</v>
      </c>
      <c r="BU77" s="159" t="n">
        <f aca="false">IF(AND(BU$6&gt;=EOMONTH($H$71,0),BU$6&lt;=EOMONTH(EDATE($H$71,$E$71-1),0)),$G$71/MAX($E$71,1),0)</f>
        <v>0</v>
      </c>
      <c r="BV77" s="159" t="n">
        <f aca="false">IF(AND(BV$6&gt;=EOMONTH($H$71,0),BV$6&lt;=EOMONTH(EDATE($H$71,$E$71-1),0)),$G$71/MAX($E$71,1),0)</f>
        <v>0</v>
      </c>
      <c r="BW77" s="159" t="n">
        <f aca="false">IF(AND(BW$6&gt;=EOMONTH($H$71,0),BW$6&lt;=EOMONTH(EDATE($H$71,$E$71-1),0)),$G$71/MAX($E$71,1),0)</f>
        <v>0</v>
      </c>
      <c r="BX77" s="159" t="n">
        <f aca="false">IF(AND(BX$6&gt;=EOMONTH($H$71,0),BX$6&lt;=EOMONTH(EDATE($H$71,$E$71-1),0)),$G$71/MAX($E$71,1),0)</f>
        <v>0</v>
      </c>
      <c r="BY77" s="159" t="n">
        <f aca="false">IF(AND(BY$6&gt;=EOMONTH($H$71,0),BY$6&lt;=EOMONTH(EDATE($H$71,$E$71-1),0)),$G$71/MAX($E$71,1),0)</f>
        <v>0</v>
      </c>
      <c r="BZ77" s="159" t="n">
        <f aca="false">IF(AND(BZ$6&gt;=EOMONTH($H$71,0),BZ$6&lt;=EOMONTH(EDATE($H$71,$E$71-1),0)),$G$71/MAX($E$71,1),0)</f>
        <v>0</v>
      </c>
      <c r="CA77" s="159" t="n">
        <f aca="false">IF(AND(CA$6&gt;=EOMONTH($H$71,0),CA$6&lt;=EOMONTH(EDATE($H$71,$E$71-1),0)),$G$71/MAX($E$71,1),0)</f>
        <v>0</v>
      </c>
    </row>
    <row r="78" customFormat="false" ht="15" hidden="false" customHeight="false" outlineLevel="0" collapsed="false">
      <c r="B78" s="196" t="s">
        <v>348</v>
      </c>
      <c r="T78" s="159" t="n">
        <f aca="false">IF(AND(T$6&gt;=EOMONTH($H$72,0),T$6&lt;=EOMONTH(EDATE($H$72,$E$72-1),0)),$G$72/MAX($E$72,1),0)</f>
        <v>0</v>
      </c>
      <c r="U78" s="159" t="n">
        <f aca="false">IF(AND(U$6&gt;=EOMONTH($H$72,0),U$6&lt;=EOMONTH(EDATE($H$72,$E$72-1),0)),$G$72/MAX($E$72,1),0)</f>
        <v>0</v>
      </c>
      <c r="V78" s="159" t="n">
        <f aca="false">IF(AND(V$6&gt;=EOMONTH($H$72,0),V$6&lt;=EOMONTH(EDATE($H$72,$E$72-1),0)),$G$72/MAX($E$72,1),0)</f>
        <v>0</v>
      </c>
      <c r="W78" s="159" t="n">
        <f aca="false">IF(AND(W$6&gt;=EOMONTH($H$72,0),W$6&lt;=EOMONTH(EDATE($H$72,$E$72-1),0)),$G$72/MAX($E$72,1),0)</f>
        <v>0</v>
      </c>
      <c r="X78" s="159" t="n">
        <f aca="false">IF(AND(X$6&gt;=EOMONTH($H$72,0),X$6&lt;=EOMONTH(EDATE($H$72,$E$72-1),0)),$G$72/MAX($E$72,1),0)</f>
        <v>0</v>
      </c>
      <c r="Y78" s="159" t="n">
        <f aca="false">IF(AND(Y$6&gt;=EOMONTH($H$72,0),Y$6&lt;=EOMONTH(EDATE($H$72,$E$72-1),0)),$G$72/MAX($E$72,1),0)</f>
        <v>0</v>
      </c>
      <c r="Z78" s="159" t="n">
        <f aca="false">IF(AND(Z$6&gt;=EOMONTH($H$72,0),Z$6&lt;=EOMONTH(EDATE($H$72,$E$72-1),0)),$G$72/MAX($E$72,1),0)</f>
        <v>0</v>
      </c>
      <c r="AA78" s="159" t="n">
        <f aca="false">IF(AND(AA$6&gt;=EOMONTH($H$72,0),AA$6&lt;=EOMONTH(EDATE($H$72,$E$72-1),0)),$G$72/MAX($E$72,1),0)</f>
        <v>0</v>
      </c>
      <c r="AB78" s="159" t="n">
        <f aca="false">IF(AND(AB$6&gt;=EOMONTH($H$72,0),AB$6&lt;=EOMONTH(EDATE($H$72,$E$72-1),0)),$G$72/MAX($E$72,1),0)</f>
        <v>0</v>
      </c>
      <c r="AC78" s="159" t="n">
        <f aca="false">IF(AND(AC$6&gt;=EOMONTH($H$72,0),AC$6&lt;=EOMONTH(EDATE($H$72,$E$72-1),0)),$G$72/MAX($E$72,1),0)</f>
        <v>0</v>
      </c>
      <c r="AD78" s="159" t="n">
        <f aca="false">IF(AND(AD$6&gt;=EOMONTH($H$72,0),AD$6&lt;=EOMONTH(EDATE($H$72,$E$72-1),0)),$G$72/MAX($E$72,1),0)</f>
        <v>0</v>
      </c>
      <c r="AE78" s="159" t="n">
        <f aca="false">IF(AND(AE$6&gt;=EOMONTH($H$72,0),AE$6&lt;=EOMONTH(EDATE($H$72,$E$72-1),0)),$G$72/MAX($E$72,1),0)</f>
        <v>0</v>
      </c>
      <c r="AF78" s="159" t="n">
        <f aca="false">IF(AND(AF$6&gt;=EOMONTH($H$72,0),AF$6&lt;=EOMONTH(EDATE($H$72,$E$72-1),0)),$G$72/MAX($E$72,1),0)</f>
        <v>0</v>
      </c>
      <c r="AG78" s="159" t="n">
        <f aca="false">IF(AND(AG$6&gt;=EOMONTH($H$72,0),AG$6&lt;=EOMONTH(EDATE($H$72,$E$72-1),0)),$G$72/MAX($E$72,1),0)</f>
        <v>0</v>
      </c>
      <c r="AH78" s="159" t="n">
        <f aca="false">IF(AND(AH$6&gt;=EOMONTH($H$72,0),AH$6&lt;=EOMONTH(EDATE($H$72,$E$72-1),0)),$G$72/MAX($E$72,1),0)</f>
        <v>0</v>
      </c>
      <c r="AI78" s="159" t="n">
        <f aca="false">IF(AND(AI$6&gt;=EOMONTH($H$72,0),AI$6&lt;=EOMONTH(EDATE($H$72,$E$72-1),0)),$G$72/MAX($E$72,1),0)</f>
        <v>0</v>
      </c>
      <c r="AJ78" s="159" t="n">
        <f aca="false">IF(AND(AJ$6&gt;=EOMONTH($H$72,0),AJ$6&lt;=EOMONTH(EDATE($H$72,$E$72-1),0)),$G$72/MAX($E$72,1),0)</f>
        <v>0</v>
      </c>
      <c r="AK78" s="159" t="n">
        <f aca="false">IF(AND(AK$6&gt;=EOMONTH($H$72,0),AK$6&lt;=EOMONTH(EDATE($H$72,$E$72-1),0)),$G$72/MAX($E$72,1),0)</f>
        <v>0</v>
      </c>
      <c r="AL78" s="159" t="n">
        <f aca="false">IF(AND(AL$6&gt;=EOMONTH($H$72,0),AL$6&lt;=EOMONTH(EDATE($H$72,$E$72-1),0)),$G$72/MAX($E$72,1),0)</f>
        <v>0</v>
      </c>
      <c r="AM78" s="159" t="n">
        <f aca="false">IF(AND(AM$6&gt;=EOMONTH($H$72,0),AM$6&lt;=EOMONTH(EDATE($H$72,$E$72-1),0)),$G$72/MAX($E$72,1),0)</f>
        <v>0</v>
      </c>
      <c r="AN78" s="159" t="n">
        <f aca="false">IF(AND(AN$6&gt;=EOMONTH($H$72,0),AN$6&lt;=EOMONTH(EDATE($H$72,$E$72-1),0)),$G$72/MAX($E$72,1),0)</f>
        <v>0</v>
      </c>
      <c r="AO78" s="159" t="n">
        <f aca="false">IF(AND(AO$6&gt;=EOMONTH($H$72,0),AO$6&lt;=EOMONTH(EDATE($H$72,$E$72-1),0)),$G$72/MAX($E$72,1),0)</f>
        <v>0</v>
      </c>
      <c r="AP78" s="159" t="n">
        <f aca="false">IF(AND(AP$6&gt;=EOMONTH($H$72,0),AP$6&lt;=EOMONTH(EDATE($H$72,$E$72-1),0)),$G$72/MAX($E$72,1),0)</f>
        <v>0</v>
      </c>
      <c r="AQ78" s="159" t="n">
        <f aca="false">IF(AND(AQ$6&gt;=EOMONTH($H$72,0),AQ$6&lt;=EOMONTH(EDATE($H$72,$E$72-1),0)),$G$72/MAX($E$72,1),0)</f>
        <v>0</v>
      </c>
      <c r="AR78" s="159" t="n">
        <f aca="false">IF(AND(AR$6&gt;=EOMONTH($H$72,0),AR$6&lt;=EOMONTH(EDATE($H$72,$E$72-1),0)),$G$72/MAX($E$72,1),0)</f>
        <v>0</v>
      </c>
      <c r="AS78" s="159" t="n">
        <f aca="false">IF(AND(AS$6&gt;=EOMONTH($H$72,0),AS$6&lt;=EOMONTH(EDATE($H$72,$E$72-1),0)),$G$72/MAX($E$72,1),0)</f>
        <v>0</v>
      </c>
      <c r="AT78" s="159" t="n">
        <f aca="false">IF(AND(AT$6&gt;=EOMONTH($H$72,0),AT$6&lt;=EOMONTH(EDATE($H$72,$E$72-1),0)),$G$72/MAX($E$72,1),0)</f>
        <v>0</v>
      </c>
      <c r="AU78" s="159" t="n">
        <f aca="false">IF(AND(AU$6&gt;=EOMONTH($H$72,0),AU$6&lt;=EOMONTH(EDATE($H$72,$E$72-1),0)),$G$72/MAX($E$72,1),0)</f>
        <v>0</v>
      </c>
      <c r="AV78" s="159" t="n">
        <f aca="false">IF(AND(AV$6&gt;=EOMONTH($H$72,0),AV$6&lt;=EOMONTH(EDATE($H$72,$E$72-1),0)),$G$72/MAX($E$72,1),0)</f>
        <v>0</v>
      </c>
      <c r="AW78" s="159" t="n">
        <f aca="false">IF(AND(AW$6&gt;=EOMONTH($H$72,0),AW$6&lt;=EOMONTH(EDATE($H$72,$E$72-1),0)),$G$72/MAX($E$72,1),0)</f>
        <v>0</v>
      </c>
      <c r="AX78" s="159" t="n">
        <f aca="false">IF(AND(AX$6&gt;=EOMONTH($H$72,0),AX$6&lt;=EOMONTH(EDATE($H$72,$E$72-1),0)),$G$72/MAX($E$72,1),0)</f>
        <v>0</v>
      </c>
      <c r="AY78" s="159" t="n">
        <f aca="false">IF(AND(AY$6&gt;=EOMONTH($H$72,0),AY$6&lt;=EOMONTH(EDATE($H$72,$E$72-1),0)),$G$72/MAX($E$72,1),0)</f>
        <v>0</v>
      </c>
      <c r="AZ78" s="159" t="n">
        <f aca="false">IF(AND(AZ$6&gt;=EOMONTH($H$72,0),AZ$6&lt;=EOMONTH(EDATE($H$72,$E$72-1),0)),$G$72/MAX($E$72,1),0)</f>
        <v>0</v>
      </c>
      <c r="BA78" s="159" t="n">
        <f aca="false">IF(AND(BA$6&gt;=EOMONTH($H$72,0),BA$6&lt;=EOMONTH(EDATE($H$72,$E$72-1),0)),$G$72/MAX($E$72,1),0)</f>
        <v>0</v>
      </c>
      <c r="BB78" s="159" t="n">
        <f aca="false">IF(AND(BB$6&gt;=EOMONTH($H$72,0),BB$6&lt;=EOMONTH(EDATE($H$72,$E$72-1),0)),$G$72/MAX($E$72,1),0)</f>
        <v>0</v>
      </c>
      <c r="BC78" s="159" t="n">
        <f aca="false">IF(AND(BC$6&gt;=EOMONTH($H$72,0),BC$6&lt;=EOMONTH(EDATE($H$72,$E$72-1),0)),$G$72/MAX($E$72,1),0)</f>
        <v>0</v>
      </c>
      <c r="BD78" s="159" t="n">
        <f aca="false">IF(AND(BD$6&gt;=EOMONTH($H$72,0),BD$6&lt;=EOMONTH(EDATE($H$72,$E$72-1),0)),$G$72/MAX($E$72,1),0)</f>
        <v>0</v>
      </c>
      <c r="BE78" s="159" t="n">
        <f aca="false">IF(AND(BE$6&gt;=EOMONTH($H$72,0),BE$6&lt;=EOMONTH(EDATE($H$72,$E$72-1),0)),$G$72/MAX($E$72,1),0)</f>
        <v>0</v>
      </c>
      <c r="BF78" s="159" t="n">
        <f aca="false">IF(AND(BF$6&gt;=EOMONTH($H$72,0),BF$6&lt;=EOMONTH(EDATE($H$72,$E$72-1),0)),$G$72/MAX($E$72,1),0)</f>
        <v>0</v>
      </c>
      <c r="BG78" s="159" t="n">
        <f aca="false">IF(AND(BG$6&gt;=EOMONTH($H$72,0),BG$6&lt;=EOMONTH(EDATE($H$72,$E$72-1),0)),$G$72/MAX($E$72,1),0)</f>
        <v>0</v>
      </c>
      <c r="BH78" s="159" t="n">
        <f aca="false">IF(AND(BH$6&gt;=EOMONTH($H$72,0),BH$6&lt;=EOMONTH(EDATE($H$72,$E$72-1),0)),$G$72/MAX($E$72,1),0)</f>
        <v>0</v>
      </c>
      <c r="BI78" s="159" t="n">
        <f aca="false">IF(AND(BI$6&gt;=EOMONTH($H$72,0),BI$6&lt;=EOMONTH(EDATE($H$72,$E$72-1),0)),$G$72/MAX($E$72,1),0)</f>
        <v>0</v>
      </c>
      <c r="BJ78" s="159" t="n">
        <f aca="false">IF(AND(BJ$6&gt;=EOMONTH($H$72,0),BJ$6&lt;=EOMONTH(EDATE($H$72,$E$72-1),0)),$G$72/MAX($E$72,1),0)</f>
        <v>0</v>
      </c>
      <c r="BK78" s="159" t="n">
        <f aca="false">IF(AND(BK$6&gt;=EOMONTH($H$72,0),BK$6&lt;=EOMONTH(EDATE($H$72,$E$72-1),0)),$G$72/MAX($E$72,1),0)</f>
        <v>0</v>
      </c>
      <c r="BL78" s="159" t="n">
        <f aca="false">IF(AND(BL$6&gt;=EOMONTH($H$72,0),BL$6&lt;=EOMONTH(EDATE($H$72,$E$72-1),0)),$G$72/MAX($E$72,1),0)</f>
        <v>0</v>
      </c>
      <c r="BM78" s="159" t="n">
        <f aca="false">IF(AND(BM$6&gt;=EOMONTH($H$72,0),BM$6&lt;=EOMONTH(EDATE($H$72,$E$72-1),0)),$G$72/MAX($E$72,1),0)</f>
        <v>0</v>
      </c>
      <c r="BN78" s="159" t="n">
        <f aca="false">IF(AND(BN$6&gt;=EOMONTH($H$72,0),BN$6&lt;=EOMONTH(EDATE($H$72,$E$72-1),0)),$G$72/MAX($E$72,1),0)</f>
        <v>0</v>
      </c>
      <c r="BO78" s="159" t="n">
        <f aca="false">IF(AND(BO$6&gt;=EOMONTH($H$72,0),BO$6&lt;=EOMONTH(EDATE($H$72,$E$72-1),0)),$G$72/MAX($E$72,1),0)</f>
        <v>0</v>
      </c>
      <c r="BP78" s="159" t="n">
        <f aca="false">IF(AND(BP$6&gt;=EOMONTH($H$72,0),BP$6&lt;=EOMONTH(EDATE($H$72,$E$72-1),0)),$G$72/MAX($E$72,1),0)</f>
        <v>0</v>
      </c>
      <c r="BQ78" s="159" t="n">
        <f aca="false">IF(AND(BQ$6&gt;=EOMONTH($H$72,0),BQ$6&lt;=EOMONTH(EDATE($H$72,$E$72-1),0)),$G$72/MAX($E$72,1),0)</f>
        <v>0</v>
      </c>
      <c r="BR78" s="159" t="n">
        <f aca="false">IF(AND(BR$6&gt;=EOMONTH($H$72,0),BR$6&lt;=EOMONTH(EDATE($H$72,$E$72-1),0)),$G$72/MAX($E$72,1),0)</f>
        <v>0</v>
      </c>
      <c r="BS78" s="159" t="n">
        <f aca="false">IF(AND(BS$6&gt;=EOMONTH($H$72,0),BS$6&lt;=EOMONTH(EDATE($H$72,$E$72-1),0)),$G$72/MAX($E$72,1),0)</f>
        <v>0</v>
      </c>
      <c r="BT78" s="159" t="n">
        <f aca="false">IF(AND(BT$6&gt;=EOMONTH($H$72,0),BT$6&lt;=EOMONTH(EDATE($H$72,$E$72-1),0)),$G$72/MAX($E$72,1),0)</f>
        <v>0</v>
      </c>
      <c r="BU78" s="159" t="n">
        <f aca="false">IF(AND(BU$6&gt;=EOMONTH($H$72,0),BU$6&lt;=EOMONTH(EDATE($H$72,$E$72-1),0)),$G$72/MAX($E$72,1),0)</f>
        <v>0</v>
      </c>
      <c r="BV78" s="159" t="n">
        <f aca="false">IF(AND(BV$6&gt;=EOMONTH($H$72,0),BV$6&lt;=EOMONTH(EDATE($H$72,$E$72-1),0)),$G$72/MAX($E$72,1),0)</f>
        <v>0</v>
      </c>
      <c r="BW78" s="159" t="n">
        <f aca="false">IF(AND(BW$6&gt;=EOMONTH($H$72,0),BW$6&lt;=EOMONTH(EDATE($H$72,$E$72-1),0)),$G$72/MAX($E$72,1),0)</f>
        <v>0</v>
      </c>
      <c r="BX78" s="159" t="n">
        <f aca="false">IF(AND(BX$6&gt;=EOMONTH($H$72,0),BX$6&lt;=EOMONTH(EDATE($H$72,$E$72-1),0)),$G$72/MAX($E$72,1),0)</f>
        <v>0</v>
      </c>
      <c r="BY78" s="159" t="n">
        <f aca="false">IF(AND(BY$6&gt;=EOMONTH($H$72,0),BY$6&lt;=EOMONTH(EDATE($H$72,$E$72-1),0)),$G$72/MAX($E$72,1),0)</f>
        <v>0</v>
      </c>
      <c r="BZ78" s="159" t="n">
        <f aca="false">IF(AND(BZ$6&gt;=EOMONTH($H$72,0),BZ$6&lt;=EOMONTH(EDATE($H$72,$E$72-1),0)),$G$72/MAX($E$72,1),0)</f>
        <v>0</v>
      </c>
      <c r="CA78" s="159" t="n">
        <f aca="false">IF(AND(CA$6&gt;=EOMONTH($H$72,0),CA$6&lt;=EOMONTH(EDATE($H$72,$E$72-1),0)),$G$72/MAX($E$72,1),0)</f>
        <v>0</v>
      </c>
    </row>
    <row r="79" customFormat="false" ht="15" hidden="false" customHeight="false" outlineLevel="0" collapsed="false">
      <c r="B79" s="196" t="s">
        <v>349</v>
      </c>
      <c r="T79" s="159" t="n">
        <f aca="false">IF(AND(T$6&gt;=EOMONTH($H$73,0),T$6&lt;=EOMONTH(EDATE($H$73,$E$73-1),0)),$G$73/MAX($E$73,1),0)</f>
        <v>0</v>
      </c>
      <c r="U79" s="159" t="n">
        <f aca="false">IF(AND(U$6&gt;=EOMONTH($H$73,0),U$6&lt;=EOMONTH(EDATE($H$73,$E$73-1),0)),$G$73/MAX($E$73,1),0)</f>
        <v>0</v>
      </c>
      <c r="V79" s="159" t="n">
        <f aca="false">IF(AND(V$6&gt;=EOMONTH($H$73,0),V$6&lt;=EOMONTH(EDATE($H$73,$E$73-1),0)),$G$73/MAX($E$73,1),0)</f>
        <v>0</v>
      </c>
      <c r="W79" s="159" t="n">
        <f aca="false">IF(AND(W$6&gt;=EOMONTH($H$73,0),W$6&lt;=EOMONTH(EDATE($H$73,$E$73-1),0)),$G$73/MAX($E$73,1),0)</f>
        <v>0</v>
      </c>
      <c r="X79" s="159" t="n">
        <f aca="false">IF(AND(X$6&gt;=EOMONTH($H$73,0),X$6&lt;=EOMONTH(EDATE($H$73,$E$73-1),0)),$G$73/MAX($E$73,1),0)</f>
        <v>0</v>
      </c>
      <c r="Y79" s="159" t="n">
        <f aca="false">IF(AND(Y$6&gt;=EOMONTH($H$73,0),Y$6&lt;=EOMONTH(EDATE($H$73,$E$73-1),0)),$G$73/MAX($E$73,1),0)</f>
        <v>0</v>
      </c>
      <c r="Z79" s="159" t="n">
        <f aca="false">IF(AND(Z$6&gt;=EOMONTH($H$73,0),Z$6&lt;=EOMONTH(EDATE($H$73,$E$73-1),0)),$G$73/MAX($E$73,1),0)</f>
        <v>0</v>
      </c>
      <c r="AA79" s="159" t="n">
        <f aca="false">IF(AND(AA$6&gt;=EOMONTH($H$73,0),AA$6&lt;=EOMONTH(EDATE($H$73,$E$73-1),0)),$G$73/MAX($E$73,1),0)</f>
        <v>0</v>
      </c>
      <c r="AB79" s="159" t="n">
        <f aca="false">IF(AND(AB$6&gt;=EOMONTH($H$73,0),AB$6&lt;=EOMONTH(EDATE($H$73,$E$73-1),0)),$G$73/MAX($E$73,1),0)</f>
        <v>0</v>
      </c>
      <c r="AC79" s="159" t="n">
        <f aca="false">IF(AND(AC$6&gt;=EOMONTH($H$73,0),AC$6&lt;=EOMONTH(EDATE($H$73,$E$73-1),0)),$G$73/MAX($E$73,1),0)</f>
        <v>0</v>
      </c>
      <c r="AD79" s="159" t="n">
        <f aca="false">IF(AND(AD$6&gt;=EOMONTH($H$73,0),AD$6&lt;=EOMONTH(EDATE($H$73,$E$73-1),0)),$G$73/MAX($E$73,1),0)</f>
        <v>0</v>
      </c>
      <c r="AE79" s="159" t="n">
        <f aca="false">IF(AND(AE$6&gt;=EOMONTH($H$73,0),AE$6&lt;=EOMONTH(EDATE($H$73,$E$73-1),0)),$G$73/MAX($E$73,1),0)</f>
        <v>0</v>
      </c>
      <c r="AF79" s="159" t="n">
        <f aca="false">IF(AND(AF$6&gt;=EOMONTH($H$73,0),AF$6&lt;=EOMONTH(EDATE($H$73,$E$73-1),0)),$G$73/MAX($E$73,1),0)</f>
        <v>0</v>
      </c>
      <c r="AG79" s="159" t="n">
        <f aca="false">IF(AND(AG$6&gt;=EOMONTH($H$73,0),AG$6&lt;=EOMONTH(EDATE($H$73,$E$73-1),0)),$G$73/MAX($E$73,1),0)</f>
        <v>0</v>
      </c>
      <c r="AH79" s="159" t="n">
        <f aca="false">IF(AND(AH$6&gt;=EOMONTH($H$73,0),AH$6&lt;=EOMONTH(EDATE($H$73,$E$73-1),0)),$G$73/MAX($E$73,1),0)</f>
        <v>0</v>
      </c>
      <c r="AI79" s="159" t="n">
        <f aca="false">IF(AND(AI$6&gt;=EOMONTH($H$73,0),AI$6&lt;=EOMONTH(EDATE($H$73,$E$73-1),0)),$G$73/MAX($E$73,1),0)</f>
        <v>0</v>
      </c>
      <c r="AJ79" s="159" t="n">
        <f aca="false">IF(AND(AJ$6&gt;=EOMONTH($H$73,0),AJ$6&lt;=EOMONTH(EDATE($H$73,$E$73-1),0)),$G$73/MAX($E$73,1),0)</f>
        <v>0</v>
      </c>
      <c r="AK79" s="159" t="n">
        <f aca="false">IF(AND(AK$6&gt;=EOMONTH($H$73,0),AK$6&lt;=EOMONTH(EDATE($H$73,$E$73-1),0)),$G$73/MAX($E$73,1),0)</f>
        <v>0</v>
      </c>
      <c r="AL79" s="159" t="n">
        <f aca="false">IF(AND(AL$6&gt;=EOMONTH($H$73,0),AL$6&lt;=EOMONTH(EDATE($H$73,$E$73-1),0)),$G$73/MAX($E$73,1),0)</f>
        <v>0</v>
      </c>
      <c r="AM79" s="159" t="n">
        <f aca="false">IF(AND(AM$6&gt;=EOMONTH($H$73,0),AM$6&lt;=EOMONTH(EDATE($H$73,$E$73-1),0)),$G$73/MAX($E$73,1),0)</f>
        <v>0</v>
      </c>
      <c r="AN79" s="159" t="n">
        <f aca="false">IF(AND(AN$6&gt;=EOMONTH($H$73,0),AN$6&lt;=EOMONTH(EDATE($H$73,$E$73-1),0)),$G$73/MAX($E$73,1),0)</f>
        <v>0</v>
      </c>
      <c r="AO79" s="159" t="n">
        <f aca="false">IF(AND(AO$6&gt;=EOMONTH($H$73,0),AO$6&lt;=EOMONTH(EDATE($H$73,$E$73-1),0)),$G$73/MAX($E$73,1),0)</f>
        <v>0</v>
      </c>
      <c r="AP79" s="159" t="n">
        <f aca="false">IF(AND(AP$6&gt;=EOMONTH($H$73,0),AP$6&lt;=EOMONTH(EDATE($H$73,$E$73-1),0)),$G$73/MAX($E$73,1),0)</f>
        <v>0</v>
      </c>
      <c r="AQ79" s="159" t="n">
        <f aca="false">IF(AND(AQ$6&gt;=EOMONTH($H$73,0),AQ$6&lt;=EOMONTH(EDATE($H$73,$E$73-1),0)),$G$73/MAX($E$73,1),0)</f>
        <v>0</v>
      </c>
      <c r="AR79" s="159" t="n">
        <f aca="false">IF(AND(AR$6&gt;=EOMONTH($H$73,0),AR$6&lt;=EOMONTH(EDATE($H$73,$E$73-1),0)),$G$73/MAX($E$73,1),0)</f>
        <v>0</v>
      </c>
      <c r="AS79" s="159" t="n">
        <f aca="false">IF(AND(AS$6&gt;=EOMONTH($H$73,0),AS$6&lt;=EOMONTH(EDATE($H$73,$E$73-1),0)),$G$73/MAX($E$73,1),0)</f>
        <v>0</v>
      </c>
      <c r="AT79" s="159" t="n">
        <f aca="false">IF(AND(AT$6&gt;=EOMONTH($H$73,0),AT$6&lt;=EOMONTH(EDATE($H$73,$E$73-1),0)),$G$73/MAX($E$73,1),0)</f>
        <v>0</v>
      </c>
      <c r="AU79" s="159" t="n">
        <f aca="false">IF(AND(AU$6&gt;=EOMONTH($H$73,0),AU$6&lt;=EOMONTH(EDATE($H$73,$E$73-1),0)),$G$73/MAX($E$73,1),0)</f>
        <v>0</v>
      </c>
      <c r="AV79" s="159" t="n">
        <f aca="false">IF(AND(AV$6&gt;=EOMONTH($H$73,0),AV$6&lt;=EOMONTH(EDATE($H$73,$E$73-1),0)),$G$73/MAX($E$73,1),0)</f>
        <v>0</v>
      </c>
      <c r="AW79" s="159" t="n">
        <f aca="false">IF(AND(AW$6&gt;=EOMONTH($H$73,0),AW$6&lt;=EOMONTH(EDATE($H$73,$E$73-1),0)),$G$73/MAX($E$73,1),0)</f>
        <v>0</v>
      </c>
      <c r="AX79" s="159" t="n">
        <f aca="false">IF(AND(AX$6&gt;=EOMONTH($H$73,0),AX$6&lt;=EOMONTH(EDATE($H$73,$E$73-1),0)),$G$73/MAX($E$73,1),0)</f>
        <v>0</v>
      </c>
      <c r="AY79" s="159" t="n">
        <f aca="false">IF(AND(AY$6&gt;=EOMONTH($H$73,0),AY$6&lt;=EOMONTH(EDATE($H$73,$E$73-1),0)),$G$73/MAX($E$73,1),0)</f>
        <v>0</v>
      </c>
      <c r="AZ79" s="159" t="n">
        <f aca="false">IF(AND(AZ$6&gt;=EOMONTH($H$73,0),AZ$6&lt;=EOMONTH(EDATE($H$73,$E$73-1),0)),$G$73/MAX($E$73,1),0)</f>
        <v>0</v>
      </c>
      <c r="BA79" s="159" t="n">
        <f aca="false">IF(AND(BA$6&gt;=EOMONTH($H$73,0),BA$6&lt;=EOMONTH(EDATE($H$73,$E$73-1),0)),$G$73/MAX($E$73,1),0)</f>
        <v>0</v>
      </c>
      <c r="BB79" s="159" t="n">
        <f aca="false">IF(AND(BB$6&gt;=EOMONTH($H$73,0),BB$6&lt;=EOMONTH(EDATE($H$73,$E$73-1),0)),$G$73/MAX($E$73,1),0)</f>
        <v>0</v>
      </c>
      <c r="BC79" s="159" t="n">
        <f aca="false">IF(AND(BC$6&gt;=EOMONTH($H$73,0),BC$6&lt;=EOMONTH(EDATE($H$73,$E$73-1),0)),$G$73/MAX($E$73,1),0)</f>
        <v>0</v>
      </c>
      <c r="BD79" s="159" t="n">
        <f aca="false">IF(AND(BD$6&gt;=EOMONTH($H$73,0),BD$6&lt;=EOMONTH(EDATE($H$73,$E$73-1),0)),$G$73/MAX($E$73,1),0)</f>
        <v>0</v>
      </c>
      <c r="BE79" s="159" t="n">
        <f aca="false">IF(AND(BE$6&gt;=EOMONTH($H$73,0),BE$6&lt;=EOMONTH(EDATE($H$73,$E$73-1),0)),$G$73/MAX($E$73,1),0)</f>
        <v>0</v>
      </c>
      <c r="BF79" s="159" t="n">
        <f aca="false">IF(AND(BF$6&gt;=EOMONTH($H$73,0),BF$6&lt;=EOMONTH(EDATE($H$73,$E$73-1),0)),$G$73/MAX($E$73,1),0)</f>
        <v>0</v>
      </c>
      <c r="BG79" s="159" t="n">
        <f aca="false">IF(AND(BG$6&gt;=EOMONTH($H$73,0),BG$6&lt;=EOMONTH(EDATE($H$73,$E$73-1),0)),$G$73/MAX($E$73,1),0)</f>
        <v>0</v>
      </c>
      <c r="BH79" s="159" t="n">
        <f aca="false">IF(AND(BH$6&gt;=EOMONTH($H$73,0),BH$6&lt;=EOMONTH(EDATE($H$73,$E$73-1),0)),$G$73/MAX($E$73,1),0)</f>
        <v>0</v>
      </c>
      <c r="BI79" s="159" t="n">
        <f aca="false">IF(AND(BI$6&gt;=EOMONTH($H$73,0),BI$6&lt;=EOMONTH(EDATE($H$73,$E$73-1),0)),$G$73/MAX($E$73,1),0)</f>
        <v>0</v>
      </c>
      <c r="BJ79" s="159" t="n">
        <f aca="false">IF(AND(BJ$6&gt;=EOMONTH($H$73,0),BJ$6&lt;=EOMONTH(EDATE($H$73,$E$73-1),0)),$G$73/MAX($E$73,1),0)</f>
        <v>0</v>
      </c>
      <c r="BK79" s="159" t="n">
        <f aca="false">IF(AND(BK$6&gt;=EOMONTH($H$73,0),BK$6&lt;=EOMONTH(EDATE($H$73,$E$73-1),0)),$G$73/MAX($E$73,1),0)</f>
        <v>0</v>
      </c>
      <c r="BL79" s="159" t="n">
        <f aca="false">IF(AND(BL$6&gt;=EOMONTH($H$73,0),BL$6&lt;=EOMONTH(EDATE($H$73,$E$73-1),0)),$G$73/MAX($E$73,1),0)</f>
        <v>0</v>
      </c>
      <c r="BM79" s="159" t="n">
        <f aca="false">IF(AND(BM$6&gt;=EOMONTH($H$73,0),BM$6&lt;=EOMONTH(EDATE($H$73,$E$73-1),0)),$G$73/MAX($E$73,1),0)</f>
        <v>0</v>
      </c>
      <c r="BN79" s="159" t="n">
        <f aca="false">IF(AND(BN$6&gt;=EOMONTH($H$73,0),BN$6&lt;=EOMONTH(EDATE($H$73,$E$73-1),0)),$G$73/MAX($E$73,1),0)</f>
        <v>0</v>
      </c>
      <c r="BO79" s="159" t="n">
        <f aca="false">IF(AND(BO$6&gt;=EOMONTH($H$73,0),BO$6&lt;=EOMONTH(EDATE($H$73,$E$73-1),0)),$G$73/MAX($E$73,1),0)</f>
        <v>0</v>
      </c>
      <c r="BP79" s="159" t="n">
        <f aca="false">IF(AND(BP$6&gt;=EOMONTH($H$73,0),BP$6&lt;=EOMONTH(EDATE($H$73,$E$73-1),0)),$G$73/MAX($E$73,1),0)</f>
        <v>0</v>
      </c>
      <c r="BQ79" s="159" t="n">
        <f aca="false">IF(AND(BQ$6&gt;=EOMONTH($H$73,0),BQ$6&lt;=EOMONTH(EDATE($H$73,$E$73-1),0)),$G$73/MAX($E$73,1),0)</f>
        <v>0</v>
      </c>
      <c r="BR79" s="159" t="n">
        <f aca="false">IF(AND(BR$6&gt;=EOMONTH($H$73,0),BR$6&lt;=EOMONTH(EDATE($H$73,$E$73-1),0)),$G$73/MAX($E$73,1),0)</f>
        <v>0</v>
      </c>
      <c r="BS79" s="159" t="n">
        <f aca="false">IF(AND(BS$6&gt;=EOMONTH($H$73,0),BS$6&lt;=EOMONTH(EDATE($H$73,$E$73-1),0)),$G$73/MAX($E$73,1),0)</f>
        <v>0</v>
      </c>
      <c r="BT79" s="159" t="n">
        <f aca="false">IF(AND(BT$6&gt;=EOMONTH($H$73,0),BT$6&lt;=EOMONTH(EDATE($H$73,$E$73-1),0)),$G$73/MAX($E$73,1),0)</f>
        <v>0</v>
      </c>
      <c r="BU79" s="159" t="n">
        <f aca="false">IF(AND(BU$6&gt;=EOMONTH($H$73,0),BU$6&lt;=EOMONTH(EDATE($H$73,$E$73-1),0)),$G$73/MAX($E$73,1),0)</f>
        <v>0</v>
      </c>
      <c r="BV79" s="159" t="n">
        <f aca="false">IF(AND(BV$6&gt;=EOMONTH($H$73,0),BV$6&lt;=EOMONTH(EDATE($H$73,$E$73-1),0)),$G$73/MAX($E$73,1),0)</f>
        <v>0</v>
      </c>
      <c r="BW79" s="159" t="n">
        <f aca="false">IF(AND(BW$6&gt;=EOMONTH($H$73,0),BW$6&lt;=EOMONTH(EDATE($H$73,$E$73-1),0)),$G$73/MAX($E$73,1),0)</f>
        <v>0</v>
      </c>
      <c r="BX79" s="159" t="n">
        <f aca="false">IF(AND(BX$6&gt;=EOMONTH($H$73,0),BX$6&lt;=EOMONTH(EDATE($H$73,$E$73-1),0)),$G$73/MAX($E$73,1),0)</f>
        <v>0</v>
      </c>
      <c r="BY79" s="159" t="n">
        <f aca="false">IF(AND(BY$6&gt;=EOMONTH($H$73,0),BY$6&lt;=EOMONTH(EDATE($H$73,$E$73-1),0)),$G$73/MAX($E$73,1),0)</f>
        <v>0</v>
      </c>
      <c r="BZ79" s="159" t="n">
        <f aca="false">IF(AND(BZ$6&gt;=EOMONTH($H$73,0),BZ$6&lt;=EOMONTH(EDATE($H$73,$E$73-1),0)),$G$73/MAX($E$73,1),0)</f>
        <v>0</v>
      </c>
      <c r="CA79" s="159" t="n">
        <f aca="false">IF(AND(CA$6&gt;=EOMONTH($H$73,0),CA$6&lt;=EOMONTH(EDATE($H$73,$E$73-1),0)),$G$73/MAX($E$73,1),0)</f>
        <v>0</v>
      </c>
    </row>
    <row r="80" customFormat="false" ht="15" hidden="false" customHeight="false" outlineLevel="0" collapsed="false">
      <c r="B80" s="3" t="s">
        <v>350</v>
      </c>
      <c r="G80" s="159" t="n">
        <f aca="false">SUM(G70:G73)</f>
        <v>0</v>
      </c>
    </row>
    <row r="82" customFormat="false" ht="15" hidden="false" customHeight="false" outlineLevel="0" collapsed="false">
      <c r="B82" s="197" t="s">
        <v>351</v>
      </c>
    </row>
    <row r="83" customFormat="false" ht="15" hidden="false" customHeight="false" outlineLevel="0" collapsed="false">
      <c r="B83" s="169" t="s">
        <v>352</v>
      </c>
      <c r="C83" s="169" t="s">
        <v>353</v>
      </c>
      <c r="D83" s="169" t="s">
        <v>354</v>
      </c>
      <c r="E83" s="169" t="s">
        <v>355</v>
      </c>
      <c r="H83" s="169" t="s">
        <v>333</v>
      </c>
      <c r="I83" s="169" t="s">
        <v>222</v>
      </c>
    </row>
    <row r="84" customFormat="false" ht="15" hidden="false" customHeight="false" outlineLevel="0" collapsed="false">
      <c r="B84" s="9" t="s">
        <v>367</v>
      </c>
      <c r="C84" s="194"/>
      <c r="D84" s="158" t="n">
        <v>0</v>
      </c>
      <c r="E84" s="156" t="n">
        <v>1</v>
      </c>
      <c r="H84" s="178" t="n">
        <f aca="false">DATE(2027,7,1)</f>
        <v>46569</v>
      </c>
      <c r="I84" s="168" t="n">
        <v>0</v>
      </c>
    </row>
    <row r="86" customFormat="false" ht="15" hidden="false" customHeight="false" outlineLevel="0" collapsed="false">
      <c r="B86" s="167" t="s">
        <v>368</v>
      </c>
    </row>
    <row r="87" customFormat="false" ht="15" hidden="false" customHeight="false" outlineLevel="0" collapsed="false">
      <c r="B87" s="196" t="s">
        <v>369</v>
      </c>
      <c r="T87" s="159" t="n">
        <f aca="false">IF(AND(T$6&gt;=EOMONTH($H$84,0),T$6&lt;=EOMONTH(EDATE($H$84,$E$84-1),0)),$D$84/MAX($E$84,1),0)</f>
        <v>0</v>
      </c>
      <c r="U87" s="159" t="n">
        <f aca="false">IF(AND(U$6&gt;=EOMONTH($H$84,0),U$6&lt;=EOMONTH(EDATE($H$84,$E$84-1),0)),$D$84/MAX($E$84,1),0)</f>
        <v>0</v>
      </c>
      <c r="V87" s="159" t="n">
        <f aca="false">IF(AND(V$6&gt;=EOMONTH($H$84,0),V$6&lt;=EOMONTH(EDATE($H$84,$E$84-1),0)),$D$84/MAX($E$84,1),0)</f>
        <v>0</v>
      </c>
      <c r="W87" s="159" t="n">
        <f aca="false">IF(AND(W$6&gt;=EOMONTH($H$84,0),W$6&lt;=EOMONTH(EDATE($H$84,$E$84-1),0)),$D$84/MAX($E$84,1),0)</f>
        <v>0</v>
      </c>
      <c r="X87" s="159" t="n">
        <f aca="false">IF(AND(X$6&gt;=EOMONTH($H$84,0),X$6&lt;=EOMONTH(EDATE($H$84,$E$84-1),0)),$D$84/MAX($E$84,1),0)</f>
        <v>0</v>
      </c>
      <c r="Y87" s="159" t="n">
        <f aca="false">IF(AND(Y$6&gt;=EOMONTH($H$84,0),Y$6&lt;=EOMONTH(EDATE($H$84,$E$84-1),0)),$D$84/MAX($E$84,1),0)</f>
        <v>0</v>
      </c>
      <c r="Z87" s="159" t="n">
        <f aca="false">IF(AND(Z$6&gt;=EOMONTH($H$84,0),Z$6&lt;=EOMONTH(EDATE($H$84,$E$84-1),0)),$D$84/MAX($E$84,1),0)</f>
        <v>0</v>
      </c>
      <c r="AA87" s="159" t="n">
        <f aca="false">IF(AND(AA$6&gt;=EOMONTH($H$84,0),AA$6&lt;=EOMONTH(EDATE($H$84,$E$84-1),0)),$D$84/MAX($E$84,1),0)</f>
        <v>0</v>
      </c>
      <c r="AB87" s="159" t="n">
        <f aca="false">IF(AND(AB$6&gt;=EOMONTH($H$84,0),AB$6&lt;=EOMONTH(EDATE($H$84,$E$84-1),0)),$D$84/MAX($E$84,1),0)</f>
        <v>0</v>
      </c>
      <c r="AC87" s="159" t="n">
        <f aca="false">IF(AND(AC$6&gt;=EOMONTH($H$84,0),AC$6&lt;=EOMONTH(EDATE($H$84,$E$84-1),0)),$D$84/MAX($E$84,1),0)</f>
        <v>0</v>
      </c>
      <c r="AD87" s="159" t="n">
        <f aca="false">IF(AND(AD$6&gt;=EOMONTH($H$84,0),AD$6&lt;=EOMONTH(EDATE($H$84,$E$84-1),0)),$D$84/MAX($E$84,1),0)</f>
        <v>0</v>
      </c>
      <c r="AE87" s="159" t="n">
        <f aca="false">IF(AND(AE$6&gt;=EOMONTH($H$84,0),AE$6&lt;=EOMONTH(EDATE($H$84,$E$84-1),0)),$D$84/MAX($E$84,1),0)</f>
        <v>0</v>
      </c>
      <c r="AF87" s="159" t="n">
        <f aca="false">IF(AND(AF$6&gt;=EOMONTH($H$84,0),AF$6&lt;=EOMONTH(EDATE($H$84,$E$84-1),0)),$D$84/MAX($E$84,1),0)</f>
        <v>0</v>
      </c>
      <c r="AG87" s="159" t="n">
        <f aca="false">IF(AND(AG$6&gt;=EOMONTH($H$84,0),AG$6&lt;=EOMONTH(EDATE($H$84,$E$84-1),0)),$D$84/MAX($E$84,1),0)</f>
        <v>0</v>
      </c>
      <c r="AH87" s="159" t="n">
        <f aca="false">IF(AND(AH$6&gt;=EOMONTH($H$84,0),AH$6&lt;=EOMONTH(EDATE($H$84,$E$84-1),0)),$D$84/MAX($E$84,1),0)</f>
        <v>0</v>
      </c>
      <c r="AI87" s="159" t="n">
        <f aca="false">IF(AND(AI$6&gt;=EOMONTH($H$84,0),AI$6&lt;=EOMONTH(EDATE($H$84,$E$84-1),0)),$D$84/MAX($E$84,1),0)</f>
        <v>0</v>
      </c>
      <c r="AJ87" s="159" t="n">
        <f aca="false">IF(AND(AJ$6&gt;=EOMONTH($H$84,0),AJ$6&lt;=EOMONTH(EDATE($H$84,$E$84-1),0)),$D$84/MAX($E$84,1),0)</f>
        <v>0</v>
      </c>
      <c r="AK87" s="159" t="n">
        <f aca="false">IF(AND(AK$6&gt;=EOMONTH($H$84,0),AK$6&lt;=EOMONTH(EDATE($H$84,$E$84-1),0)),$D$84/MAX($E$84,1),0)</f>
        <v>0</v>
      </c>
      <c r="AL87" s="159" t="n">
        <f aca="false">IF(AND(AL$6&gt;=EOMONTH($H$84,0),AL$6&lt;=EOMONTH(EDATE($H$84,$E$84-1),0)),$D$84/MAX($E$84,1),0)</f>
        <v>0</v>
      </c>
      <c r="AM87" s="159" t="n">
        <f aca="false">IF(AND(AM$6&gt;=EOMONTH($H$84,0),AM$6&lt;=EOMONTH(EDATE($H$84,$E$84-1),0)),$D$84/MAX($E$84,1),0)</f>
        <v>0</v>
      </c>
      <c r="AN87" s="159" t="n">
        <f aca="false">IF(AND(AN$6&gt;=EOMONTH($H$84,0),AN$6&lt;=EOMONTH(EDATE($H$84,$E$84-1),0)),$D$84/MAX($E$84,1),0)</f>
        <v>0</v>
      </c>
      <c r="AO87" s="159" t="n">
        <f aca="false">IF(AND(AO$6&gt;=EOMONTH($H$84,0),AO$6&lt;=EOMONTH(EDATE($H$84,$E$84-1),0)),$D$84/MAX($E$84,1),0)</f>
        <v>0</v>
      </c>
      <c r="AP87" s="159" t="n">
        <f aca="false">IF(AND(AP$6&gt;=EOMONTH($H$84,0),AP$6&lt;=EOMONTH(EDATE($H$84,$E$84-1),0)),$D$84/MAX($E$84,1),0)</f>
        <v>0</v>
      </c>
      <c r="AQ87" s="159" t="n">
        <f aca="false">IF(AND(AQ$6&gt;=EOMONTH($H$84,0),AQ$6&lt;=EOMONTH(EDATE($H$84,$E$84-1),0)),$D$84/MAX($E$84,1),0)</f>
        <v>0</v>
      </c>
      <c r="AR87" s="159" t="n">
        <f aca="false">IF(AND(AR$6&gt;=EOMONTH($H$84,0),AR$6&lt;=EOMONTH(EDATE($H$84,$E$84-1),0)),$D$84/MAX($E$84,1),0)</f>
        <v>0</v>
      </c>
      <c r="AS87" s="159" t="n">
        <f aca="false">IF(AND(AS$6&gt;=EOMONTH($H$84,0),AS$6&lt;=EOMONTH(EDATE($H$84,$E$84-1),0)),$D$84/MAX($E$84,1),0)</f>
        <v>0</v>
      </c>
      <c r="AT87" s="159" t="n">
        <f aca="false">IF(AND(AT$6&gt;=EOMONTH($H$84,0),AT$6&lt;=EOMONTH(EDATE($H$84,$E$84-1),0)),$D$84/MAX($E$84,1),0)</f>
        <v>0</v>
      </c>
      <c r="AU87" s="159" t="n">
        <f aca="false">IF(AND(AU$6&gt;=EOMONTH($H$84,0),AU$6&lt;=EOMONTH(EDATE($H$84,$E$84-1),0)),$D$84/MAX($E$84,1),0)</f>
        <v>0</v>
      </c>
      <c r="AV87" s="159" t="n">
        <f aca="false">IF(AND(AV$6&gt;=EOMONTH($H$84,0),AV$6&lt;=EOMONTH(EDATE($H$84,$E$84-1),0)),$D$84/MAX($E$84,1),0)</f>
        <v>0</v>
      </c>
      <c r="AW87" s="159" t="n">
        <f aca="false">IF(AND(AW$6&gt;=EOMONTH($H$84,0),AW$6&lt;=EOMONTH(EDATE($H$84,$E$84-1),0)),$D$84/MAX($E$84,1),0)</f>
        <v>0</v>
      </c>
      <c r="AX87" s="159" t="n">
        <f aca="false">IF(AND(AX$6&gt;=EOMONTH($H$84,0),AX$6&lt;=EOMONTH(EDATE($H$84,$E$84-1),0)),$D$84/MAX($E$84,1),0)</f>
        <v>0</v>
      </c>
      <c r="AY87" s="159" t="n">
        <f aca="false">IF(AND(AY$6&gt;=EOMONTH($H$84,0),AY$6&lt;=EOMONTH(EDATE($H$84,$E$84-1),0)),$D$84/MAX($E$84,1),0)</f>
        <v>0</v>
      </c>
      <c r="AZ87" s="159" t="n">
        <f aca="false">IF(AND(AZ$6&gt;=EOMONTH($H$84,0),AZ$6&lt;=EOMONTH(EDATE($H$84,$E$84-1),0)),$D$84/MAX($E$84,1),0)</f>
        <v>0</v>
      </c>
      <c r="BA87" s="159" t="n">
        <f aca="false">IF(AND(BA$6&gt;=EOMONTH($H$84,0),BA$6&lt;=EOMONTH(EDATE($H$84,$E$84-1),0)),$D$84/MAX($E$84,1),0)</f>
        <v>0</v>
      </c>
      <c r="BB87" s="159" t="n">
        <f aca="false">IF(AND(BB$6&gt;=EOMONTH($H$84,0),BB$6&lt;=EOMONTH(EDATE($H$84,$E$84-1),0)),$D$84/MAX($E$84,1),0)</f>
        <v>0</v>
      </c>
      <c r="BC87" s="159" t="n">
        <f aca="false">IF(AND(BC$6&gt;=EOMONTH($H$84,0),BC$6&lt;=EOMONTH(EDATE($H$84,$E$84-1),0)),$D$84/MAX($E$84,1),0)</f>
        <v>0</v>
      </c>
      <c r="BD87" s="159" t="n">
        <f aca="false">IF(AND(BD$6&gt;=EOMONTH($H$84,0),BD$6&lt;=EOMONTH(EDATE($H$84,$E$84-1),0)),$D$84/MAX($E$84,1),0)</f>
        <v>0</v>
      </c>
      <c r="BE87" s="159" t="n">
        <f aca="false">IF(AND(BE$6&gt;=EOMONTH($H$84,0),BE$6&lt;=EOMONTH(EDATE($H$84,$E$84-1),0)),$D$84/MAX($E$84,1),0)</f>
        <v>0</v>
      </c>
      <c r="BF87" s="159" t="n">
        <f aca="false">IF(AND(BF$6&gt;=EOMONTH($H$84,0),BF$6&lt;=EOMONTH(EDATE($H$84,$E$84-1),0)),$D$84/MAX($E$84,1),0)</f>
        <v>0</v>
      </c>
      <c r="BG87" s="159" t="n">
        <f aca="false">IF(AND(BG$6&gt;=EOMONTH($H$84,0),BG$6&lt;=EOMONTH(EDATE($H$84,$E$84-1),0)),$D$84/MAX($E$84,1),0)</f>
        <v>0</v>
      </c>
      <c r="BH87" s="159" t="n">
        <f aca="false">IF(AND(BH$6&gt;=EOMONTH($H$84,0),BH$6&lt;=EOMONTH(EDATE($H$84,$E$84-1),0)),$D$84/MAX($E$84,1),0)</f>
        <v>0</v>
      </c>
      <c r="BI87" s="159" t="n">
        <f aca="false">IF(AND(BI$6&gt;=EOMONTH($H$84,0),BI$6&lt;=EOMONTH(EDATE($H$84,$E$84-1),0)),$D$84/MAX($E$84,1),0)</f>
        <v>0</v>
      </c>
      <c r="BJ87" s="159" t="n">
        <f aca="false">IF(AND(BJ$6&gt;=EOMONTH($H$84,0),BJ$6&lt;=EOMONTH(EDATE($H$84,$E$84-1),0)),$D$84/MAX($E$84,1),0)</f>
        <v>0</v>
      </c>
      <c r="BK87" s="159" t="n">
        <f aca="false">IF(AND(BK$6&gt;=EOMONTH($H$84,0),BK$6&lt;=EOMONTH(EDATE($H$84,$E$84-1),0)),$D$84/MAX($E$84,1),0)</f>
        <v>0</v>
      </c>
      <c r="BL87" s="159" t="n">
        <f aca="false">IF(AND(BL$6&gt;=EOMONTH($H$84,0),BL$6&lt;=EOMONTH(EDATE($H$84,$E$84-1),0)),$D$84/MAX($E$84,1),0)</f>
        <v>0</v>
      </c>
      <c r="BM87" s="159" t="n">
        <f aca="false">IF(AND(BM$6&gt;=EOMONTH($H$84,0),BM$6&lt;=EOMONTH(EDATE($H$84,$E$84-1),0)),$D$84/MAX($E$84,1),0)</f>
        <v>0</v>
      </c>
      <c r="BN87" s="159" t="n">
        <f aca="false">IF(AND(BN$6&gt;=EOMONTH($H$84,0),BN$6&lt;=EOMONTH(EDATE($H$84,$E$84-1),0)),$D$84/MAX($E$84,1),0)</f>
        <v>0</v>
      </c>
      <c r="BO87" s="159" t="n">
        <f aca="false">IF(AND(BO$6&gt;=EOMONTH($H$84,0),BO$6&lt;=EOMONTH(EDATE($H$84,$E$84-1),0)),$D$84/MAX($E$84,1),0)</f>
        <v>0</v>
      </c>
      <c r="BP87" s="159" t="n">
        <f aca="false">IF(AND(BP$6&gt;=EOMONTH($H$84,0),BP$6&lt;=EOMONTH(EDATE($H$84,$E$84-1),0)),$D$84/MAX($E$84,1),0)</f>
        <v>0</v>
      </c>
      <c r="BQ87" s="159" t="n">
        <f aca="false">IF(AND(BQ$6&gt;=EOMONTH($H$84,0),BQ$6&lt;=EOMONTH(EDATE($H$84,$E$84-1),0)),$D$84/MAX($E$84,1),0)</f>
        <v>0</v>
      </c>
      <c r="BR87" s="159" t="n">
        <f aca="false">IF(AND(BR$6&gt;=EOMONTH($H$84,0),BR$6&lt;=EOMONTH(EDATE($H$84,$E$84-1),0)),$D$84/MAX($E$84,1),0)</f>
        <v>0</v>
      </c>
      <c r="BS87" s="159" t="n">
        <f aca="false">IF(AND(BS$6&gt;=EOMONTH($H$84,0),BS$6&lt;=EOMONTH(EDATE($H$84,$E$84-1),0)),$D$84/MAX($E$84,1),0)</f>
        <v>0</v>
      </c>
      <c r="BT87" s="159" t="n">
        <f aca="false">IF(AND(BT$6&gt;=EOMONTH($H$84,0),BT$6&lt;=EOMONTH(EDATE($H$84,$E$84-1),0)),$D$84/MAX($E$84,1),0)</f>
        <v>0</v>
      </c>
      <c r="BU87" s="159" t="n">
        <f aca="false">IF(AND(BU$6&gt;=EOMONTH($H$84,0),BU$6&lt;=EOMONTH(EDATE($H$84,$E$84-1),0)),$D$84/MAX($E$84,1),0)</f>
        <v>0</v>
      </c>
      <c r="BV87" s="159" t="n">
        <f aca="false">IF(AND(BV$6&gt;=EOMONTH($H$84,0),BV$6&lt;=EOMONTH(EDATE($H$84,$E$84-1),0)),$D$84/MAX($E$84,1),0)</f>
        <v>0</v>
      </c>
      <c r="BW87" s="159" t="n">
        <f aca="false">IF(AND(BW$6&gt;=EOMONTH($H$84,0),BW$6&lt;=EOMONTH(EDATE($H$84,$E$84-1),0)),$D$84/MAX($E$84,1),0)</f>
        <v>0</v>
      </c>
      <c r="BX87" s="159" t="n">
        <f aca="false">IF(AND(BX$6&gt;=EOMONTH($H$84,0),BX$6&lt;=EOMONTH(EDATE($H$84,$E$84-1),0)),$D$84/MAX($E$84,1),0)</f>
        <v>0</v>
      </c>
      <c r="BY87" s="159" t="n">
        <f aca="false">IF(AND(BY$6&gt;=EOMONTH($H$84,0),BY$6&lt;=EOMONTH(EDATE($H$84,$E$84-1),0)),$D$84/MAX($E$84,1),0)</f>
        <v>0</v>
      </c>
      <c r="BZ87" s="159" t="n">
        <f aca="false">IF(AND(BZ$6&gt;=EOMONTH($H$84,0),BZ$6&lt;=EOMONTH(EDATE($H$84,$E$84-1),0)),$D$84/MAX($E$84,1),0)</f>
        <v>0</v>
      </c>
      <c r="CA87" s="159" t="n">
        <f aca="false">IF(AND(CA$6&gt;=EOMONTH($H$84,0),CA$6&lt;=EOMONTH(EDATE($H$84,$E$84-1),0)),$D$84/MAX($E$84,1),0)</f>
        <v>0</v>
      </c>
    </row>
    <row r="89" customFormat="false" ht="15" hidden="false" customHeight="false" outlineLevel="0" collapsed="false">
      <c r="B89" s="197" t="s">
        <v>376</v>
      </c>
    </row>
    <row r="90" customFormat="false" ht="15" hidden="false" customHeight="false" outlineLevel="0" collapsed="false">
      <c r="B90" s="10" t="s">
        <v>377</v>
      </c>
      <c r="L90" s="193" t="n">
        <f aca="false">SUMIFS($T90:$CA90,$T$5:$CA$5,2026)</f>
        <v>0</v>
      </c>
      <c r="M90" s="193" t="n">
        <f aca="false">SUMIFS($T90:$CA90,$T$5:$CA$5,2027)</f>
        <v>0</v>
      </c>
      <c r="N90" s="193" t="n">
        <f aca="false">SUMIFS($T90:$CA90,$T$5:$CA$5,2028)</f>
        <v>0</v>
      </c>
      <c r="O90" s="193" t="n">
        <f aca="false">SUMIFS($T90:$CA90,$T$5:$CA$5,2029)</f>
        <v>0</v>
      </c>
      <c r="P90" s="193" t="n">
        <f aca="false">SUMIFS($T90:$CA90,$T$5:$CA$5,2030)</f>
        <v>0</v>
      </c>
      <c r="T90" s="193" t="n">
        <f aca="false">(SUMPRODUCT(T76:T79,$I$70:$I$73))/1000000</f>
        <v>0</v>
      </c>
      <c r="U90" s="193" t="n">
        <f aca="false">(SUMPRODUCT(U76:U79,$I$70:$I$73))/1000000</f>
        <v>0</v>
      </c>
      <c r="V90" s="193" t="n">
        <f aca="false">(SUMPRODUCT(V76:V79,$I$70:$I$73))/1000000</f>
        <v>0</v>
      </c>
      <c r="W90" s="193" t="n">
        <f aca="false">(SUMPRODUCT(W76:W79,$I$70:$I$73))/1000000</f>
        <v>0</v>
      </c>
      <c r="X90" s="193" t="n">
        <f aca="false">(SUMPRODUCT(X76:X79,$I$70:$I$73))/1000000</f>
        <v>0</v>
      </c>
      <c r="Y90" s="193" t="n">
        <f aca="false">(SUMPRODUCT(Y76:Y79,$I$70:$I$73))/1000000</f>
        <v>0</v>
      </c>
      <c r="Z90" s="193" t="n">
        <f aca="false">(SUMPRODUCT(Z76:Z79,$I$70:$I$73))/1000000</f>
        <v>0</v>
      </c>
      <c r="AA90" s="193" t="n">
        <f aca="false">(SUMPRODUCT(AA76:AA79,$I$70:$I$73))/1000000</f>
        <v>0</v>
      </c>
      <c r="AB90" s="193" t="n">
        <f aca="false">(SUMPRODUCT(AB76:AB79,$I$70:$I$73))/1000000</f>
        <v>0</v>
      </c>
      <c r="AC90" s="193" t="n">
        <f aca="false">(SUMPRODUCT(AC76:AC79,$I$70:$I$73))/1000000</f>
        <v>0</v>
      </c>
      <c r="AD90" s="193" t="n">
        <f aca="false">(SUMPRODUCT(AD76:AD79,$I$70:$I$73))/1000000</f>
        <v>0</v>
      </c>
      <c r="AE90" s="193" t="n">
        <f aca="false">(SUMPRODUCT(AE76:AE79,$I$70:$I$73))/1000000</f>
        <v>0</v>
      </c>
      <c r="AF90" s="193" t="n">
        <f aca="false">(SUMPRODUCT(AF76:AF79,$I$70:$I$73))/1000000</f>
        <v>0</v>
      </c>
      <c r="AG90" s="193" t="n">
        <f aca="false">(SUMPRODUCT(AG76:AG79,$I$70:$I$73))/1000000</f>
        <v>0</v>
      </c>
      <c r="AH90" s="193" t="n">
        <f aca="false">(SUMPRODUCT(AH76:AH79,$I$70:$I$73))/1000000</f>
        <v>0</v>
      </c>
      <c r="AI90" s="193" t="n">
        <f aca="false">(SUMPRODUCT(AI76:AI79,$I$70:$I$73))/1000000</f>
        <v>0</v>
      </c>
      <c r="AJ90" s="193" t="n">
        <f aca="false">(SUMPRODUCT(AJ76:AJ79,$I$70:$I$73))/1000000</f>
        <v>0</v>
      </c>
      <c r="AK90" s="193" t="n">
        <f aca="false">(SUMPRODUCT(AK76:AK79,$I$70:$I$73))/1000000</f>
        <v>0</v>
      </c>
      <c r="AL90" s="193" t="n">
        <f aca="false">(SUMPRODUCT(AL76:AL79,$I$70:$I$73))/1000000</f>
        <v>0</v>
      </c>
      <c r="AM90" s="193" t="n">
        <f aca="false">(SUMPRODUCT(AM76:AM79,$I$70:$I$73))/1000000</f>
        <v>0</v>
      </c>
      <c r="AN90" s="193" t="n">
        <f aca="false">(SUMPRODUCT(AN76:AN79,$I$70:$I$73))/1000000</f>
        <v>0</v>
      </c>
      <c r="AO90" s="193" t="n">
        <f aca="false">(SUMPRODUCT(AO76:AO79,$I$70:$I$73))/1000000</f>
        <v>0</v>
      </c>
      <c r="AP90" s="193" t="n">
        <f aca="false">(SUMPRODUCT(AP76:AP79,$I$70:$I$73))/1000000</f>
        <v>0</v>
      </c>
      <c r="AQ90" s="193" t="n">
        <f aca="false">(SUMPRODUCT(AQ76:AQ79,$I$70:$I$73))/1000000</f>
        <v>0</v>
      </c>
      <c r="AR90" s="193" t="n">
        <f aca="false">(SUMPRODUCT(AR76:AR79,$I$70:$I$73))/1000000</f>
        <v>0</v>
      </c>
      <c r="AS90" s="193" t="n">
        <f aca="false">(SUMPRODUCT(AS76:AS79,$I$70:$I$73))/1000000</f>
        <v>0</v>
      </c>
      <c r="AT90" s="193" t="n">
        <f aca="false">(SUMPRODUCT(AT76:AT79,$I$70:$I$73))/1000000</f>
        <v>0</v>
      </c>
      <c r="AU90" s="193" t="n">
        <f aca="false">(SUMPRODUCT(AU76:AU79,$I$70:$I$73))/1000000</f>
        <v>0</v>
      </c>
      <c r="AV90" s="193" t="n">
        <f aca="false">(SUMPRODUCT(AV76:AV79,$I$70:$I$73))/1000000</f>
        <v>0</v>
      </c>
      <c r="AW90" s="193" t="n">
        <f aca="false">(SUMPRODUCT(AW76:AW79,$I$70:$I$73))/1000000</f>
        <v>0</v>
      </c>
      <c r="AX90" s="193" t="n">
        <f aca="false">(SUMPRODUCT(AX76:AX79,$I$70:$I$73))/1000000</f>
        <v>0</v>
      </c>
      <c r="AY90" s="193" t="n">
        <f aca="false">(SUMPRODUCT(AY76:AY79,$I$70:$I$73))/1000000</f>
        <v>0</v>
      </c>
      <c r="AZ90" s="193" t="n">
        <f aca="false">(SUMPRODUCT(AZ76:AZ79,$I$70:$I$73))/1000000</f>
        <v>0</v>
      </c>
      <c r="BA90" s="193" t="n">
        <f aca="false">(SUMPRODUCT(BA76:BA79,$I$70:$I$73))/1000000</f>
        <v>0</v>
      </c>
      <c r="BB90" s="193" t="n">
        <f aca="false">(SUMPRODUCT(BB76:BB79,$I$70:$I$73))/1000000</f>
        <v>0</v>
      </c>
      <c r="BC90" s="193" t="n">
        <f aca="false">(SUMPRODUCT(BC76:BC79,$I$70:$I$73))/1000000</f>
        <v>0</v>
      </c>
      <c r="BD90" s="193" t="n">
        <f aca="false">(SUMPRODUCT(BD76:BD79,$I$70:$I$73))/1000000</f>
        <v>0</v>
      </c>
      <c r="BE90" s="193" t="n">
        <f aca="false">(SUMPRODUCT(BE76:BE79,$I$70:$I$73))/1000000</f>
        <v>0</v>
      </c>
      <c r="BF90" s="193" t="n">
        <f aca="false">(SUMPRODUCT(BF76:BF79,$I$70:$I$73))/1000000</f>
        <v>0</v>
      </c>
      <c r="BG90" s="193" t="n">
        <f aca="false">(SUMPRODUCT(BG76:BG79,$I$70:$I$73))/1000000</f>
        <v>0</v>
      </c>
      <c r="BH90" s="193" t="n">
        <f aca="false">(SUMPRODUCT(BH76:BH79,$I$70:$I$73))/1000000</f>
        <v>0</v>
      </c>
      <c r="BI90" s="193" t="n">
        <f aca="false">(SUMPRODUCT(BI76:BI79,$I$70:$I$73))/1000000</f>
        <v>0</v>
      </c>
      <c r="BJ90" s="193" t="n">
        <f aca="false">(SUMPRODUCT(BJ76:BJ79,$I$70:$I$73))/1000000</f>
        <v>0</v>
      </c>
      <c r="BK90" s="193" t="n">
        <f aca="false">(SUMPRODUCT(BK76:BK79,$I$70:$I$73))/1000000</f>
        <v>0</v>
      </c>
      <c r="BL90" s="193" t="n">
        <f aca="false">(SUMPRODUCT(BL76:BL79,$I$70:$I$73))/1000000</f>
        <v>0</v>
      </c>
      <c r="BM90" s="193" t="n">
        <f aca="false">(SUMPRODUCT(BM76:BM79,$I$70:$I$73))/1000000</f>
        <v>0</v>
      </c>
      <c r="BN90" s="193" t="n">
        <f aca="false">(SUMPRODUCT(BN76:BN79,$I$70:$I$73))/1000000</f>
        <v>0</v>
      </c>
      <c r="BO90" s="193" t="n">
        <f aca="false">(SUMPRODUCT(BO76:BO79,$I$70:$I$73))/1000000</f>
        <v>0</v>
      </c>
      <c r="BP90" s="193" t="n">
        <f aca="false">(SUMPRODUCT(BP76:BP79,$I$70:$I$73))/1000000</f>
        <v>0</v>
      </c>
      <c r="BQ90" s="193" t="n">
        <f aca="false">(SUMPRODUCT(BQ76:BQ79,$I$70:$I$73))/1000000</f>
        <v>0</v>
      </c>
      <c r="BR90" s="193" t="n">
        <f aca="false">(SUMPRODUCT(BR76:BR79,$I$70:$I$73))/1000000</f>
        <v>0</v>
      </c>
      <c r="BS90" s="193" t="n">
        <f aca="false">(SUMPRODUCT(BS76:BS79,$I$70:$I$73))/1000000</f>
        <v>0</v>
      </c>
      <c r="BT90" s="193" t="n">
        <f aca="false">(SUMPRODUCT(BT76:BT79,$I$70:$I$73))/1000000</f>
        <v>0</v>
      </c>
      <c r="BU90" s="193" t="n">
        <f aca="false">(SUMPRODUCT(BU76:BU79,$I$70:$I$73))/1000000</f>
        <v>0</v>
      </c>
      <c r="BV90" s="193" t="n">
        <f aca="false">(SUMPRODUCT(BV76:BV79,$I$70:$I$73))/1000000</f>
        <v>0</v>
      </c>
      <c r="BW90" s="193" t="n">
        <f aca="false">(SUMPRODUCT(BW76:BW79,$I$70:$I$73))/1000000</f>
        <v>0</v>
      </c>
      <c r="BX90" s="193" t="n">
        <f aca="false">(SUMPRODUCT(BX76:BX79,$I$70:$I$73))/1000000</f>
        <v>0</v>
      </c>
      <c r="BY90" s="193" t="n">
        <f aca="false">(SUMPRODUCT(BY76:BY79,$I$70:$I$73))/1000000</f>
        <v>0</v>
      </c>
      <c r="BZ90" s="193" t="n">
        <f aca="false">(SUMPRODUCT(BZ76:BZ79,$I$70:$I$73))/1000000</f>
        <v>0</v>
      </c>
      <c r="CA90" s="193" t="n">
        <f aca="false">(SUMPRODUCT(CA76:CA79,$I$70:$I$73))/1000000</f>
        <v>0</v>
      </c>
    </row>
    <row r="91" customFormat="false" ht="15" hidden="false" customHeight="false" outlineLevel="0" collapsed="false">
      <c r="B91" s="10" t="s">
        <v>378</v>
      </c>
      <c r="L91" s="193" t="n">
        <f aca="false">SUMIFS($T91:$CA91,$T$5:$CA$5,2026)</f>
        <v>0</v>
      </c>
      <c r="M91" s="193" t="n">
        <f aca="false">SUMIFS($T91:$CA91,$T$5:$CA$5,2027)</f>
        <v>0</v>
      </c>
      <c r="N91" s="193" t="n">
        <f aca="false">SUMIFS($T91:$CA91,$T$5:$CA$5,2028)</f>
        <v>0</v>
      </c>
      <c r="O91" s="193" t="n">
        <f aca="false">SUMIFS($T91:$CA91,$T$5:$CA$5,2029)</f>
        <v>0</v>
      </c>
      <c r="P91" s="193" t="n">
        <f aca="false">SUMIFS($T91:$CA91,$T$5:$CA$5,2030)</f>
        <v>0</v>
      </c>
      <c r="T91" s="193" t="n">
        <f aca="false">SUMPRODUCT(T87:T87,$I$84:$I$84)/1000000</f>
        <v>0</v>
      </c>
      <c r="U91" s="193" t="n">
        <f aca="false">SUMPRODUCT(U87:U87,$I$84:$I$84)/1000000</f>
        <v>0</v>
      </c>
      <c r="V91" s="193" t="n">
        <f aca="false">SUMPRODUCT(V87:V87,$I$84:$I$84)/1000000</f>
        <v>0</v>
      </c>
      <c r="W91" s="193" t="n">
        <f aca="false">SUMPRODUCT(W87:W87,$I$84:$I$84)/1000000</f>
        <v>0</v>
      </c>
      <c r="X91" s="193" t="n">
        <f aca="false">SUMPRODUCT(X87:X87,$I$84:$I$84)/1000000</f>
        <v>0</v>
      </c>
      <c r="Y91" s="193" t="n">
        <f aca="false">SUMPRODUCT(Y87:Y87,$I$84:$I$84)/1000000</f>
        <v>0</v>
      </c>
      <c r="Z91" s="193" t="n">
        <f aca="false">SUMPRODUCT(Z87:Z87,$I$84:$I$84)/1000000</f>
        <v>0</v>
      </c>
      <c r="AA91" s="193" t="n">
        <f aca="false">SUMPRODUCT(AA87:AA87,$I$84:$I$84)/1000000</f>
        <v>0</v>
      </c>
      <c r="AB91" s="193" t="n">
        <f aca="false">SUMPRODUCT(AB87:AB87,$I$84:$I$84)/1000000</f>
        <v>0</v>
      </c>
      <c r="AC91" s="193" t="n">
        <f aca="false">SUMPRODUCT(AC87:AC87,$I$84:$I$84)/1000000</f>
        <v>0</v>
      </c>
      <c r="AD91" s="193" t="n">
        <f aca="false">SUMPRODUCT(AD87:AD87,$I$84:$I$84)/1000000</f>
        <v>0</v>
      </c>
      <c r="AE91" s="193" t="n">
        <f aca="false">SUMPRODUCT(AE87:AE87,$I$84:$I$84)/1000000</f>
        <v>0</v>
      </c>
      <c r="AF91" s="193" t="n">
        <f aca="false">SUMPRODUCT(AF87:AF87,$I$84:$I$84)/1000000</f>
        <v>0</v>
      </c>
      <c r="AG91" s="193" t="n">
        <f aca="false">SUMPRODUCT(AG87:AG87,$I$84:$I$84)/1000000</f>
        <v>0</v>
      </c>
      <c r="AH91" s="193" t="n">
        <f aca="false">SUMPRODUCT(AH87:AH87,$I$84:$I$84)/1000000</f>
        <v>0</v>
      </c>
      <c r="AI91" s="193" t="n">
        <f aca="false">SUMPRODUCT(AI87:AI87,$I$84:$I$84)/1000000</f>
        <v>0</v>
      </c>
      <c r="AJ91" s="193" t="n">
        <f aca="false">SUMPRODUCT(AJ87:AJ87,$I$84:$I$84)/1000000</f>
        <v>0</v>
      </c>
      <c r="AK91" s="193" t="n">
        <f aca="false">SUMPRODUCT(AK87:AK87,$I$84:$I$84)/1000000</f>
        <v>0</v>
      </c>
      <c r="AL91" s="193" t="n">
        <f aca="false">SUMPRODUCT(AL87:AL87,$I$84:$I$84)/1000000</f>
        <v>0</v>
      </c>
      <c r="AM91" s="193" t="n">
        <f aca="false">SUMPRODUCT(AM87:AM87,$I$84:$I$84)/1000000</f>
        <v>0</v>
      </c>
      <c r="AN91" s="193" t="n">
        <f aca="false">SUMPRODUCT(AN87:AN87,$I$84:$I$84)/1000000</f>
        <v>0</v>
      </c>
      <c r="AO91" s="193" t="n">
        <f aca="false">SUMPRODUCT(AO87:AO87,$I$84:$I$84)/1000000</f>
        <v>0</v>
      </c>
      <c r="AP91" s="193" t="n">
        <f aca="false">SUMPRODUCT(AP87:AP87,$I$84:$I$84)/1000000</f>
        <v>0</v>
      </c>
      <c r="AQ91" s="193" t="n">
        <f aca="false">SUMPRODUCT(AQ87:AQ87,$I$84:$I$84)/1000000</f>
        <v>0</v>
      </c>
      <c r="AR91" s="193" t="n">
        <f aca="false">SUMPRODUCT(AR87:AR87,$I$84:$I$84)/1000000</f>
        <v>0</v>
      </c>
      <c r="AS91" s="193" t="n">
        <f aca="false">SUMPRODUCT(AS87:AS87,$I$84:$I$84)/1000000</f>
        <v>0</v>
      </c>
      <c r="AT91" s="193" t="n">
        <f aca="false">SUMPRODUCT(AT87:AT87,$I$84:$I$84)/1000000</f>
        <v>0</v>
      </c>
      <c r="AU91" s="193" t="n">
        <f aca="false">SUMPRODUCT(AU87:AU87,$I$84:$I$84)/1000000</f>
        <v>0</v>
      </c>
      <c r="AV91" s="193" t="n">
        <f aca="false">SUMPRODUCT(AV87:AV87,$I$84:$I$84)/1000000</f>
        <v>0</v>
      </c>
      <c r="AW91" s="193" t="n">
        <f aca="false">SUMPRODUCT(AW87:AW87,$I$84:$I$84)/1000000</f>
        <v>0</v>
      </c>
      <c r="AX91" s="193" t="n">
        <f aca="false">SUMPRODUCT(AX87:AX87,$I$84:$I$84)/1000000</f>
        <v>0</v>
      </c>
      <c r="AY91" s="193" t="n">
        <f aca="false">SUMPRODUCT(AY87:AY87,$I$84:$I$84)/1000000</f>
        <v>0</v>
      </c>
      <c r="AZ91" s="193" t="n">
        <f aca="false">SUMPRODUCT(AZ87:AZ87,$I$84:$I$84)/1000000</f>
        <v>0</v>
      </c>
      <c r="BA91" s="193" t="n">
        <f aca="false">SUMPRODUCT(BA87:BA87,$I$84:$I$84)/1000000</f>
        <v>0</v>
      </c>
      <c r="BB91" s="193" t="n">
        <f aca="false">SUMPRODUCT(BB87:BB87,$I$84:$I$84)/1000000</f>
        <v>0</v>
      </c>
      <c r="BC91" s="193" t="n">
        <f aca="false">SUMPRODUCT(BC87:BC87,$I$84:$I$84)/1000000</f>
        <v>0</v>
      </c>
      <c r="BD91" s="193" t="n">
        <f aca="false">SUMPRODUCT(BD87:BD87,$I$84:$I$84)/1000000</f>
        <v>0</v>
      </c>
      <c r="BE91" s="193" t="n">
        <f aca="false">SUMPRODUCT(BE87:BE87,$I$84:$I$84)/1000000</f>
        <v>0</v>
      </c>
      <c r="BF91" s="193" t="n">
        <f aca="false">SUMPRODUCT(BF87:BF87,$I$84:$I$84)/1000000</f>
        <v>0</v>
      </c>
      <c r="BG91" s="193" t="n">
        <f aca="false">SUMPRODUCT(BG87:BG87,$I$84:$I$84)/1000000</f>
        <v>0</v>
      </c>
      <c r="BH91" s="193" t="n">
        <f aca="false">SUMPRODUCT(BH87:BH87,$I$84:$I$84)/1000000</f>
        <v>0</v>
      </c>
      <c r="BI91" s="193" t="n">
        <f aca="false">SUMPRODUCT(BI87:BI87,$I$84:$I$84)/1000000</f>
        <v>0</v>
      </c>
      <c r="BJ91" s="193" t="n">
        <f aca="false">SUMPRODUCT(BJ87:BJ87,$I$84:$I$84)/1000000</f>
        <v>0</v>
      </c>
      <c r="BK91" s="193" t="n">
        <f aca="false">SUMPRODUCT(BK87:BK87,$I$84:$I$84)/1000000</f>
        <v>0</v>
      </c>
      <c r="BL91" s="193" t="n">
        <f aca="false">SUMPRODUCT(BL87:BL87,$I$84:$I$84)/1000000</f>
        <v>0</v>
      </c>
      <c r="BM91" s="193" t="n">
        <f aca="false">SUMPRODUCT(BM87:BM87,$I$84:$I$84)/1000000</f>
        <v>0</v>
      </c>
      <c r="BN91" s="193" t="n">
        <f aca="false">SUMPRODUCT(BN87:BN87,$I$84:$I$84)/1000000</f>
        <v>0</v>
      </c>
      <c r="BO91" s="193" t="n">
        <f aca="false">SUMPRODUCT(BO87:BO87,$I$84:$I$84)/1000000</f>
        <v>0</v>
      </c>
      <c r="BP91" s="193" t="n">
        <f aca="false">SUMPRODUCT(BP87:BP87,$I$84:$I$84)/1000000</f>
        <v>0</v>
      </c>
      <c r="BQ91" s="193" t="n">
        <f aca="false">SUMPRODUCT(BQ87:BQ87,$I$84:$I$84)/1000000</f>
        <v>0</v>
      </c>
      <c r="BR91" s="193" t="n">
        <f aca="false">SUMPRODUCT(BR87:BR87,$I$84:$I$84)/1000000</f>
        <v>0</v>
      </c>
      <c r="BS91" s="193" t="n">
        <f aca="false">SUMPRODUCT(BS87:BS87,$I$84:$I$84)/1000000</f>
        <v>0</v>
      </c>
      <c r="BT91" s="193" t="n">
        <f aca="false">SUMPRODUCT(BT87:BT87,$I$84:$I$84)/1000000</f>
        <v>0</v>
      </c>
      <c r="BU91" s="193" t="n">
        <f aca="false">SUMPRODUCT(BU87:BU87,$I$84:$I$84)/1000000</f>
        <v>0</v>
      </c>
      <c r="BV91" s="193" t="n">
        <f aca="false">SUMPRODUCT(BV87:BV87,$I$84:$I$84)/1000000</f>
        <v>0</v>
      </c>
      <c r="BW91" s="193" t="n">
        <f aca="false">SUMPRODUCT(BW87:BW87,$I$84:$I$84)/1000000</f>
        <v>0</v>
      </c>
      <c r="BX91" s="193" t="n">
        <f aca="false">SUMPRODUCT(BX87:BX87,$I$84:$I$84)/1000000</f>
        <v>0</v>
      </c>
      <c r="BY91" s="193" t="n">
        <f aca="false">SUMPRODUCT(BY87:BY87,$I$84:$I$84)/1000000</f>
        <v>0</v>
      </c>
      <c r="BZ91" s="193" t="n">
        <f aca="false">SUMPRODUCT(BZ87:BZ87,$I$84:$I$84)/1000000</f>
        <v>0</v>
      </c>
      <c r="CA91" s="193" t="n">
        <f aca="false">SUMPRODUCT(CA87:CA87,$I$84:$I$84)/1000000</f>
        <v>0</v>
      </c>
    </row>
    <row r="92" customFormat="false" ht="15" hidden="false" customHeight="false" outlineLevel="0" collapsed="false">
      <c r="B92" s="10" t="s">
        <v>379</v>
      </c>
      <c r="L92" s="193" t="n">
        <f aca="false">SUMIFS($T92:$CA92,$T$5:$CA$5,2026)</f>
        <v>0</v>
      </c>
      <c r="M92" s="193" t="n">
        <f aca="false">SUMIFS($T92:$CA92,$T$5:$CA$5,2027)</f>
        <v>0</v>
      </c>
      <c r="N92" s="193" t="n">
        <f aca="false">SUMIFS($T92:$CA92,$T$5:$CA$5,2028)</f>
        <v>0</v>
      </c>
      <c r="O92" s="193" t="n">
        <f aca="false">SUMIFS($T92:$CA92,$T$5:$CA$5,2029)</f>
        <v>0</v>
      </c>
      <c r="P92" s="193" t="n">
        <f aca="false">SUMIFS($T92:$CA92,$T$5:$CA$5,2030)</f>
        <v>0</v>
      </c>
      <c r="T92" s="193" t="n">
        <f aca="false">(SUMPRODUCT(T76:T79,1-$I$70:$I$73))/1000000</f>
        <v>0</v>
      </c>
      <c r="U92" s="193" t="n">
        <f aca="false">(SUMPRODUCT(U76:U79,1-$I$70:$I$73))/1000000</f>
        <v>0</v>
      </c>
      <c r="V92" s="193" t="n">
        <f aca="false">(SUMPRODUCT(V76:V79,1-$I$70:$I$73))/1000000</f>
        <v>0</v>
      </c>
      <c r="W92" s="193" t="n">
        <f aca="false">(SUMPRODUCT(W76:W79,1-$I$70:$I$73))/1000000</f>
        <v>0</v>
      </c>
      <c r="X92" s="193" t="n">
        <f aca="false">(SUMPRODUCT(X76:X79,1-$I$70:$I$73))/1000000</f>
        <v>0</v>
      </c>
      <c r="Y92" s="193" t="n">
        <f aca="false">(SUMPRODUCT(Y76:Y79,1-$I$70:$I$73))/1000000</f>
        <v>0</v>
      </c>
      <c r="Z92" s="193" t="n">
        <f aca="false">(SUMPRODUCT(Z76:Z79,1-$I$70:$I$73))/1000000</f>
        <v>0</v>
      </c>
      <c r="AA92" s="193" t="n">
        <f aca="false">(SUMPRODUCT(AA76:AA79,1-$I$70:$I$73))/1000000</f>
        <v>0</v>
      </c>
      <c r="AB92" s="193" t="n">
        <f aca="false">(SUMPRODUCT(AB76:AB79,1-$I$70:$I$73))/1000000</f>
        <v>0</v>
      </c>
      <c r="AC92" s="193" t="n">
        <f aca="false">(SUMPRODUCT(AC76:AC79,1-$I$70:$I$73))/1000000</f>
        <v>0</v>
      </c>
      <c r="AD92" s="193" t="n">
        <f aca="false">(SUMPRODUCT(AD76:AD79,1-$I$70:$I$73))/1000000</f>
        <v>0</v>
      </c>
      <c r="AE92" s="193" t="n">
        <f aca="false">(SUMPRODUCT(AE76:AE79,1-$I$70:$I$73))/1000000</f>
        <v>0</v>
      </c>
      <c r="AF92" s="193" t="n">
        <f aca="false">(SUMPRODUCT(AF76:AF79,1-$I$70:$I$73))/1000000</f>
        <v>0</v>
      </c>
      <c r="AG92" s="193" t="n">
        <f aca="false">(SUMPRODUCT(AG76:AG79,1-$I$70:$I$73))/1000000</f>
        <v>0</v>
      </c>
      <c r="AH92" s="193" t="n">
        <f aca="false">(SUMPRODUCT(AH76:AH79,1-$I$70:$I$73))/1000000</f>
        <v>0</v>
      </c>
      <c r="AI92" s="193" t="n">
        <f aca="false">(SUMPRODUCT(AI76:AI79,1-$I$70:$I$73))/1000000</f>
        <v>0</v>
      </c>
      <c r="AJ92" s="193" t="n">
        <f aca="false">(SUMPRODUCT(AJ76:AJ79,1-$I$70:$I$73))/1000000</f>
        <v>0</v>
      </c>
      <c r="AK92" s="193" t="n">
        <f aca="false">(SUMPRODUCT(AK76:AK79,1-$I$70:$I$73))/1000000</f>
        <v>0</v>
      </c>
      <c r="AL92" s="193" t="n">
        <f aca="false">(SUMPRODUCT(AL76:AL79,1-$I$70:$I$73))/1000000</f>
        <v>0</v>
      </c>
      <c r="AM92" s="193" t="n">
        <f aca="false">(SUMPRODUCT(AM76:AM79,1-$I$70:$I$73))/1000000</f>
        <v>0</v>
      </c>
      <c r="AN92" s="193" t="n">
        <f aca="false">(SUMPRODUCT(AN76:AN79,1-$I$70:$I$73))/1000000</f>
        <v>0</v>
      </c>
      <c r="AO92" s="193" t="n">
        <f aca="false">(SUMPRODUCT(AO76:AO79,1-$I$70:$I$73))/1000000</f>
        <v>0</v>
      </c>
      <c r="AP92" s="193" t="n">
        <f aca="false">(SUMPRODUCT(AP76:AP79,1-$I$70:$I$73))/1000000</f>
        <v>0</v>
      </c>
      <c r="AQ92" s="193" t="n">
        <f aca="false">(SUMPRODUCT(AQ76:AQ79,1-$I$70:$I$73))/1000000</f>
        <v>0</v>
      </c>
      <c r="AR92" s="193" t="n">
        <f aca="false">(SUMPRODUCT(AR76:AR79,1-$I$70:$I$73))/1000000</f>
        <v>0</v>
      </c>
      <c r="AS92" s="193" t="n">
        <f aca="false">(SUMPRODUCT(AS76:AS79,1-$I$70:$I$73))/1000000</f>
        <v>0</v>
      </c>
      <c r="AT92" s="193" t="n">
        <f aca="false">(SUMPRODUCT(AT76:AT79,1-$I$70:$I$73))/1000000</f>
        <v>0</v>
      </c>
      <c r="AU92" s="193" t="n">
        <f aca="false">(SUMPRODUCT(AU76:AU79,1-$I$70:$I$73))/1000000</f>
        <v>0</v>
      </c>
      <c r="AV92" s="193" t="n">
        <f aca="false">(SUMPRODUCT(AV76:AV79,1-$I$70:$I$73))/1000000</f>
        <v>0</v>
      </c>
      <c r="AW92" s="193" t="n">
        <f aca="false">(SUMPRODUCT(AW76:AW79,1-$I$70:$I$73))/1000000</f>
        <v>0</v>
      </c>
      <c r="AX92" s="193" t="n">
        <f aca="false">(SUMPRODUCT(AX76:AX79,1-$I$70:$I$73))/1000000</f>
        <v>0</v>
      </c>
      <c r="AY92" s="193" t="n">
        <f aca="false">(SUMPRODUCT(AY76:AY79,1-$I$70:$I$73))/1000000</f>
        <v>0</v>
      </c>
      <c r="AZ92" s="193" t="n">
        <f aca="false">(SUMPRODUCT(AZ76:AZ79,1-$I$70:$I$73))/1000000</f>
        <v>0</v>
      </c>
      <c r="BA92" s="193" t="n">
        <f aca="false">(SUMPRODUCT(BA76:BA79,1-$I$70:$I$73))/1000000</f>
        <v>0</v>
      </c>
      <c r="BB92" s="193" t="n">
        <f aca="false">(SUMPRODUCT(BB76:BB79,1-$I$70:$I$73))/1000000</f>
        <v>0</v>
      </c>
      <c r="BC92" s="193" t="n">
        <f aca="false">(SUMPRODUCT(BC76:BC79,1-$I$70:$I$73))/1000000</f>
        <v>0</v>
      </c>
      <c r="BD92" s="193" t="n">
        <f aca="false">(SUMPRODUCT(BD76:BD79,1-$I$70:$I$73))/1000000</f>
        <v>0</v>
      </c>
      <c r="BE92" s="193" t="n">
        <f aca="false">(SUMPRODUCT(BE76:BE79,1-$I$70:$I$73))/1000000</f>
        <v>0</v>
      </c>
      <c r="BF92" s="193" t="n">
        <f aca="false">(SUMPRODUCT(BF76:BF79,1-$I$70:$I$73))/1000000</f>
        <v>0</v>
      </c>
      <c r="BG92" s="193" t="n">
        <f aca="false">(SUMPRODUCT(BG76:BG79,1-$I$70:$I$73))/1000000</f>
        <v>0</v>
      </c>
      <c r="BH92" s="193" t="n">
        <f aca="false">(SUMPRODUCT(BH76:BH79,1-$I$70:$I$73))/1000000</f>
        <v>0</v>
      </c>
      <c r="BI92" s="193" t="n">
        <f aca="false">(SUMPRODUCT(BI76:BI79,1-$I$70:$I$73))/1000000</f>
        <v>0</v>
      </c>
      <c r="BJ92" s="193" t="n">
        <f aca="false">(SUMPRODUCT(BJ76:BJ79,1-$I$70:$I$73))/1000000</f>
        <v>0</v>
      </c>
      <c r="BK92" s="193" t="n">
        <f aca="false">(SUMPRODUCT(BK76:BK79,1-$I$70:$I$73))/1000000</f>
        <v>0</v>
      </c>
      <c r="BL92" s="193" t="n">
        <f aca="false">(SUMPRODUCT(BL76:BL79,1-$I$70:$I$73))/1000000</f>
        <v>0</v>
      </c>
      <c r="BM92" s="193" t="n">
        <f aca="false">(SUMPRODUCT(BM76:BM79,1-$I$70:$I$73))/1000000</f>
        <v>0</v>
      </c>
      <c r="BN92" s="193" t="n">
        <f aca="false">(SUMPRODUCT(BN76:BN79,1-$I$70:$I$73))/1000000</f>
        <v>0</v>
      </c>
      <c r="BO92" s="193" t="n">
        <f aca="false">(SUMPRODUCT(BO76:BO79,1-$I$70:$I$73))/1000000</f>
        <v>0</v>
      </c>
      <c r="BP92" s="193" t="n">
        <f aca="false">(SUMPRODUCT(BP76:BP79,1-$I$70:$I$73))/1000000</f>
        <v>0</v>
      </c>
      <c r="BQ92" s="193" t="n">
        <f aca="false">(SUMPRODUCT(BQ76:BQ79,1-$I$70:$I$73))/1000000</f>
        <v>0</v>
      </c>
      <c r="BR92" s="193" t="n">
        <f aca="false">(SUMPRODUCT(BR76:BR79,1-$I$70:$I$73))/1000000</f>
        <v>0</v>
      </c>
      <c r="BS92" s="193" t="n">
        <f aca="false">(SUMPRODUCT(BS76:BS79,1-$I$70:$I$73))/1000000</f>
        <v>0</v>
      </c>
      <c r="BT92" s="193" t="n">
        <f aca="false">(SUMPRODUCT(BT76:BT79,1-$I$70:$I$73))/1000000</f>
        <v>0</v>
      </c>
      <c r="BU92" s="193" t="n">
        <f aca="false">(SUMPRODUCT(BU76:BU79,1-$I$70:$I$73))/1000000</f>
        <v>0</v>
      </c>
      <c r="BV92" s="193" t="n">
        <f aca="false">(SUMPRODUCT(BV76:BV79,1-$I$70:$I$73))/1000000</f>
        <v>0</v>
      </c>
      <c r="BW92" s="193" t="n">
        <f aca="false">(SUMPRODUCT(BW76:BW79,1-$I$70:$I$73))/1000000</f>
        <v>0</v>
      </c>
      <c r="BX92" s="193" t="n">
        <f aca="false">(SUMPRODUCT(BX76:BX79,1-$I$70:$I$73))/1000000</f>
        <v>0</v>
      </c>
      <c r="BY92" s="193" t="n">
        <f aca="false">(SUMPRODUCT(BY76:BY79,1-$I$70:$I$73))/1000000</f>
        <v>0</v>
      </c>
      <c r="BZ92" s="193" t="n">
        <f aca="false">(SUMPRODUCT(BZ76:BZ79,1-$I$70:$I$73))/1000000</f>
        <v>0</v>
      </c>
      <c r="CA92" s="193" t="n">
        <f aca="false">(SUMPRODUCT(CA76:CA79,1-$I$70:$I$73))/1000000</f>
        <v>0</v>
      </c>
    </row>
    <row r="93" customFormat="false" ht="15" hidden="false" customHeight="false" outlineLevel="0" collapsed="false">
      <c r="B93" s="10" t="s">
        <v>380</v>
      </c>
      <c r="L93" s="193" t="n">
        <f aca="false">SUMIFS($T93:$CA93,$T$5:$CA$5,2026)</f>
        <v>0</v>
      </c>
      <c r="M93" s="193" t="n">
        <f aca="false">SUMIFS($T93:$CA93,$T$5:$CA$5,2027)</f>
        <v>0</v>
      </c>
      <c r="N93" s="193" t="n">
        <f aca="false">SUMIFS($T93:$CA93,$T$5:$CA$5,2028)</f>
        <v>0</v>
      </c>
      <c r="O93" s="193" t="n">
        <f aca="false">SUMIFS($T93:$CA93,$T$5:$CA$5,2029)</f>
        <v>0</v>
      </c>
      <c r="P93" s="193" t="n">
        <f aca="false">SUMIFS($T93:$CA93,$T$5:$CA$5,2030)</f>
        <v>0</v>
      </c>
      <c r="T93" s="193" t="n">
        <f aca="false">SUMPRODUCT(T87:T87,1-$I$84:$I$84)/1000000</f>
        <v>0</v>
      </c>
      <c r="U93" s="193" t="n">
        <f aca="false">SUMPRODUCT(U87:U87,1-$I$84:$I$84)/1000000</f>
        <v>0</v>
      </c>
      <c r="V93" s="193" t="n">
        <f aca="false">SUMPRODUCT(V87:V87,1-$I$84:$I$84)/1000000</f>
        <v>0</v>
      </c>
      <c r="W93" s="193" t="n">
        <f aca="false">SUMPRODUCT(W87:W87,1-$I$84:$I$84)/1000000</f>
        <v>0</v>
      </c>
      <c r="X93" s="193" t="n">
        <f aca="false">SUMPRODUCT(X87:X87,1-$I$84:$I$84)/1000000</f>
        <v>0</v>
      </c>
      <c r="Y93" s="193" t="n">
        <f aca="false">SUMPRODUCT(Y87:Y87,1-$I$84:$I$84)/1000000</f>
        <v>0</v>
      </c>
      <c r="Z93" s="193" t="n">
        <f aca="false">SUMPRODUCT(Z87:Z87,1-$I$84:$I$84)/1000000</f>
        <v>0</v>
      </c>
      <c r="AA93" s="193" t="n">
        <f aca="false">SUMPRODUCT(AA87:AA87,1-$I$84:$I$84)/1000000</f>
        <v>0</v>
      </c>
      <c r="AB93" s="193" t="n">
        <f aca="false">SUMPRODUCT(AB87:AB87,1-$I$84:$I$84)/1000000</f>
        <v>0</v>
      </c>
      <c r="AC93" s="193" t="n">
        <f aca="false">SUMPRODUCT(AC87:AC87,1-$I$84:$I$84)/1000000</f>
        <v>0</v>
      </c>
      <c r="AD93" s="193" t="n">
        <f aca="false">SUMPRODUCT(AD87:AD87,1-$I$84:$I$84)/1000000</f>
        <v>0</v>
      </c>
      <c r="AE93" s="193" t="n">
        <f aca="false">SUMPRODUCT(AE87:AE87,1-$I$84:$I$84)/1000000</f>
        <v>0</v>
      </c>
      <c r="AF93" s="193" t="n">
        <f aca="false">SUMPRODUCT(AF87:AF87,1-$I$84:$I$84)/1000000</f>
        <v>0</v>
      </c>
      <c r="AG93" s="193" t="n">
        <f aca="false">SUMPRODUCT(AG87:AG87,1-$I$84:$I$84)/1000000</f>
        <v>0</v>
      </c>
      <c r="AH93" s="193" t="n">
        <f aca="false">SUMPRODUCT(AH87:AH87,1-$I$84:$I$84)/1000000</f>
        <v>0</v>
      </c>
      <c r="AI93" s="193" t="n">
        <f aca="false">SUMPRODUCT(AI87:AI87,1-$I$84:$I$84)/1000000</f>
        <v>0</v>
      </c>
      <c r="AJ93" s="193" t="n">
        <f aca="false">SUMPRODUCT(AJ87:AJ87,1-$I$84:$I$84)/1000000</f>
        <v>0</v>
      </c>
      <c r="AK93" s="193" t="n">
        <f aca="false">SUMPRODUCT(AK87:AK87,1-$I$84:$I$84)/1000000</f>
        <v>0</v>
      </c>
      <c r="AL93" s="193" t="n">
        <f aca="false">SUMPRODUCT(AL87:AL87,1-$I$84:$I$84)/1000000</f>
        <v>0</v>
      </c>
      <c r="AM93" s="193" t="n">
        <f aca="false">SUMPRODUCT(AM87:AM87,1-$I$84:$I$84)/1000000</f>
        <v>0</v>
      </c>
      <c r="AN93" s="193" t="n">
        <f aca="false">SUMPRODUCT(AN87:AN87,1-$I$84:$I$84)/1000000</f>
        <v>0</v>
      </c>
      <c r="AO93" s="193" t="n">
        <f aca="false">SUMPRODUCT(AO87:AO87,1-$I$84:$I$84)/1000000</f>
        <v>0</v>
      </c>
      <c r="AP93" s="193" t="n">
        <f aca="false">SUMPRODUCT(AP87:AP87,1-$I$84:$I$84)/1000000</f>
        <v>0</v>
      </c>
      <c r="AQ93" s="193" t="n">
        <f aca="false">SUMPRODUCT(AQ87:AQ87,1-$I$84:$I$84)/1000000</f>
        <v>0</v>
      </c>
      <c r="AR93" s="193" t="n">
        <f aca="false">SUMPRODUCT(AR87:AR87,1-$I$84:$I$84)/1000000</f>
        <v>0</v>
      </c>
      <c r="AS93" s="193" t="n">
        <f aca="false">SUMPRODUCT(AS87:AS87,1-$I$84:$I$84)/1000000</f>
        <v>0</v>
      </c>
      <c r="AT93" s="193" t="n">
        <f aca="false">SUMPRODUCT(AT87:AT87,1-$I$84:$I$84)/1000000</f>
        <v>0</v>
      </c>
      <c r="AU93" s="193" t="n">
        <f aca="false">SUMPRODUCT(AU87:AU87,1-$I$84:$I$84)/1000000</f>
        <v>0</v>
      </c>
      <c r="AV93" s="193" t="n">
        <f aca="false">SUMPRODUCT(AV87:AV87,1-$I$84:$I$84)/1000000</f>
        <v>0</v>
      </c>
      <c r="AW93" s="193" t="n">
        <f aca="false">SUMPRODUCT(AW87:AW87,1-$I$84:$I$84)/1000000</f>
        <v>0</v>
      </c>
      <c r="AX93" s="193" t="n">
        <f aca="false">SUMPRODUCT(AX87:AX87,1-$I$84:$I$84)/1000000</f>
        <v>0</v>
      </c>
      <c r="AY93" s="193" t="n">
        <f aca="false">SUMPRODUCT(AY87:AY87,1-$I$84:$I$84)/1000000</f>
        <v>0</v>
      </c>
      <c r="AZ93" s="193" t="n">
        <f aca="false">SUMPRODUCT(AZ87:AZ87,1-$I$84:$I$84)/1000000</f>
        <v>0</v>
      </c>
      <c r="BA93" s="193" t="n">
        <f aca="false">SUMPRODUCT(BA87:BA87,1-$I$84:$I$84)/1000000</f>
        <v>0</v>
      </c>
      <c r="BB93" s="193" t="n">
        <f aca="false">SUMPRODUCT(BB87:BB87,1-$I$84:$I$84)/1000000</f>
        <v>0</v>
      </c>
      <c r="BC93" s="193" t="n">
        <f aca="false">SUMPRODUCT(BC87:BC87,1-$I$84:$I$84)/1000000</f>
        <v>0</v>
      </c>
      <c r="BD93" s="193" t="n">
        <f aca="false">SUMPRODUCT(BD87:BD87,1-$I$84:$I$84)/1000000</f>
        <v>0</v>
      </c>
      <c r="BE93" s="193" t="n">
        <f aca="false">SUMPRODUCT(BE87:BE87,1-$I$84:$I$84)/1000000</f>
        <v>0</v>
      </c>
      <c r="BF93" s="193" t="n">
        <f aca="false">SUMPRODUCT(BF87:BF87,1-$I$84:$I$84)/1000000</f>
        <v>0</v>
      </c>
      <c r="BG93" s="193" t="n">
        <f aca="false">SUMPRODUCT(BG87:BG87,1-$I$84:$I$84)/1000000</f>
        <v>0</v>
      </c>
      <c r="BH93" s="193" t="n">
        <f aca="false">SUMPRODUCT(BH87:BH87,1-$I$84:$I$84)/1000000</f>
        <v>0</v>
      </c>
      <c r="BI93" s="193" t="n">
        <f aca="false">SUMPRODUCT(BI87:BI87,1-$I$84:$I$84)/1000000</f>
        <v>0</v>
      </c>
      <c r="BJ93" s="193" t="n">
        <f aca="false">SUMPRODUCT(BJ87:BJ87,1-$I$84:$I$84)/1000000</f>
        <v>0</v>
      </c>
      <c r="BK93" s="193" t="n">
        <f aca="false">SUMPRODUCT(BK87:BK87,1-$I$84:$I$84)/1000000</f>
        <v>0</v>
      </c>
      <c r="BL93" s="193" t="n">
        <f aca="false">SUMPRODUCT(BL87:BL87,1-$I$84:$I$84)/1000000</f>
        <v>0</v>
      </c>
      <c r="BM93" s="193" t="n">
        <f aca="false">SUMPRODUCT(BM87:BM87,1-$I$84:$I$84)/1000000</f>
        <v>0</v>
      </c>
      <c r="BN93" s="193" t="n">
        <f aca="false">SUMPRODUCT(BN87:BN87,1-$I$84:$I$84)/1000000</f>
        <v>0</v>
      </c>
      <c r="BO93" s="193" t="n">
        <f aca="false">SUMPRODUCT(BO87:BO87,1-$I$84:$I$84)/1000000</f>
        <v>0</v>
      </c>
      <c r="BP93" s="193" t="n">
        <f aca="false">SUMPRODUCT(BP87:BP87,1-$I$84:$I$84)/1000000</f>
        <v>0</v>
      </c>
      <c r="BQ93" s="193" t="n">
        <f aca="false">SUMPRODUCT(BQ87:BQ87,1-$I$84:$I$84)/1000000</f>
        <v>0</v>
      </c>
      <c r="BR93" s="193" t="n">
        <f aca="false">SUMPRODUCT(BR87:BR87,1-$I$84:$I$84)/1000000</f>
        <v>0</v>
      </c>
      <c r="BS93" s="193" t="n">
        <f aca="false">SUMPRODUCT(BS87:BS87,1-$I$84:$I$84)/1000000</f>
        <v>0</v>
      </c>
      <c r="BT93" s="193" t="n">
        <f aca="false">SUMPRODUCT(BT87:BT87,1-$I$84:$I$84)/1000000</f>
        <v>0</v>
      </c>
      <c r="BU93" s="193" t="n">
        <f aca="false">SUMPRODUCT(BU87:BU87,1-$I$84:$I$84)/1000000</f>
        <v>0</v>
      </c>
      <c r="BV93" s="193" t="n">
        <f aca="false">SUMPRODUCT(BV87:BV87,1-$I$84:$I$84)/1000000</f>
        <v>0</v>
      </c>
      <c r="BW93" s="193" t="n">
        <f aca="false">SUMPRODUCT(BW87:BW87,1-$I$84:$I$84)/1000000</f>
        <v>0</v>
      </c>
      <c r="BX93" s="193" t="n">
        <f aca="false">SUMPRODUCT(BX87:BX87,1-$I$84:$I$84)/1000000</f>
        <v>0</v>
      </c>
      <c r="BY93" s="193" t="n">
        <f aca="false">SUMPRODUCT(BY87:BY87,1-$I$84:$I$84)/1000000</f>
        <v>0</v>
      </c>
      <c r="BZ93" s="193" t="n">
        <f aca="false">SUMPRODUCT(BZ87:BZ87,1-$I$84:$I$84)/1000000</f>
        <v>0</v>
      </c>
      <c r="CA93" s="193" t="n">
        <f aca="false">SUMPRODUCT(CA87:CA87,1-$I$84:$I$84)/1000000</f>
        <v>0</v>
      </c>
    </row>
    <row r="94" customFormat="false" ht="15" hidden="false" customHeight="false" outlineLevel="0" collapsed="false">
      <c r="B94" s="3" t="s">
        <v>381</v>
      </c>
      <c r="L94" s="193" t="n">
        <f aca="false">SUM(L90:L93)</f>
        <v>0</v>
      </c>
      <c r="M94" s="193" t="n">
        <f aca="false">SUM(M90:M93)</f>
        <v>0</v>
      </c>
      <c r="N94" s="193" t="n">
        <f aca="false">SUM(N90:N93)</f>
        <v>0</v>
      </c>
      <c r="O94" s="193" t="n">
        <f aca="false">SUM(O90:O93)</f>
        <v>0</v>
      </c>
      <c r="P94" s="193" t="n">
        <f aca="false">SUM(P90:P93)</f>
        <v>0</v>
      </c>
    </row>
    <row r="96" customFormat="false" ht="18" hidden="false" customHeight="true" outlineLevel="0" collapsed="false">
      <c r="B96" s="5" t="s">
        <v>382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8" customFormat="false" ht="22.35" hidden="false" customHeight="false" outlineLevel="0" collapsed="false">
      <c r="B98" s="169" t="s">
        <v>383</v>
      </c>
      <c r="C98" s="169" t="s">
        <v>353</v>
      </c>
      <c r="D98" s="169" t="s">
        <v>384</v>
      </c>
      <c r="H98" s="169" t="s">
        <v>333</v>
      </c>
      <c r="I98" s="169" t="s">
        <v>385</v>
      </c>
    </row>
    <row r="100" customFormat="false" ht="15" hidden="false" customHeight="false" outlineLevel="0" collapsed="false">
      <c r="B100" s="197" t="s">
        <v>392</v>
      </c>
    </row>
    <row r="101" customFormat="false" ht="15" hidden="false" customHeight="false" outlineLevel="0" collapsed="false">
      <c r="B101" s="3" t="s">
        <v>396</v>
      </c>
    </row>
    <row r="103" customFormat="false" ht="18" hidden="false" customHeight="true" outlineLevel="0" collapsed="false">
      <c r="B103" s="5" t="s">
        <v>397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</row>
    <row r="105" customFormat="false" ht="15" hidden="false" customHeight="false" outlineLevel="0" collapsed="false">
      <c r="B105" s="196" t="s">
        <v>784</v>
      </c>
      <c r="F105" s="198" t="s">
        <v>399</v>
      </c>
    </row>
    <row r="106" customFormat="false" ht="15" hidden="false" customHeight="false" outlineLevel="0" collapsed="false">
      <c r="B106" s="196" t="s">
        <v>785</v>
      </c>
      <c r="F106" s="198" t="s">
        <v>407</v>
      </c>
    </row>
    <row r="107" customFormat="false" ht="15" hidden="false" customHeight="false" outlineLevel="0" collapsed="false">
      <c r="B107" s="196" t="s">
        <v>786</v>
      </c>
      <c r="F107" s="198" t="s">
        <v>409</v>
      </c>
    </row>
    <row r="108" customFormat="false" ht="15" hidden="false" customHeight="false" outlineLevel="0" collapsed="false">
      <c r="B108" s="196" t="s">
        <v>787</v>
      </c>
      <c r="F108" s="198" t="s">
        <v>411</v>
      </c>
    </row>
    <row r="109" customFormat="false" ht="15" hidden="false" customHeight="false" outlineLevel="0" collapsed="false">
      <c r="B109" s="196" t="s">
        <v>788</v>
      </c>
      <c r="F109" s="198" t="s">
        <v>413</v>
      </c>
    </row>
    <row r="111" customFormat="false" ht="18" hidden="false" customHeight="true" outlineLevel="0" collapsed="false">
      <c r="B111" s="5" t="s">
        <v>414</v>
      </c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</row>
  </sheetData>
  <mergeCells count="3">
    <mergeCell ref="D10:H10"/>
    <mergeCell ref="D11:H11"/>
    <mergeCell ref="D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C1:CM171"/>
  <sheetViews>
    <sheetView showFormulas="false" showGridLines="false" showRowColHeaders="true" showZeros="true" rightToLeft="false" tabSelected="false" showOutlineSymbols="true" defaultGridColor="true" view="normal" topLeftCell="A1" colorId="64" zoomScale="50" zoomScaleNormal="5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5390625" defaultRowHeight="14.25" zeroHeight="false" outlineLevelRow="1" outlineLevelCol="1"/>
  <cols>
    <col collapsed="false" customWidth="true" hidden="false" outlineLevel="0" max="4" min="1" style="0" width="2.81"/>
    <col collapsed="false" customWidth="true" hidden="false" outlineLevel="0" max="5" min="5" style="0" width="65.81"/>
    <col collapsed="false" customWidth="true" hidden="false" outlineLevel="0" max="6" min="6" style="0" width="16.54"/>
    <col collapsed="false" customWidth="true" hidden="false" outlineLevel="0" max="7" min="7" style="0" width="16.18"/>
    <col collapsed="false" customWidth="true" hidden="false" outlineLevel="0" max="8" min="8" style="0" width="22.45"/>
    <col collapsed="false" customWidth="true" hidden="false" outlineLevel="0" max="16" min="9" style="0" width="13.54"/>
    <col collapsed="false" customWidth="true" hidden="false" outlineLevel="0" max="17" min="17" style="13" width="13.54"/>
    <col collapsed="false" customWidth="true" hidden="false" outlineLevel="0" max="18" min="18" style="13" width="16.45"/>
    <col collapsed="false" customWidth="true" hidden="false" outlineLevel="0" max="19" min="19" style="0" width="2.81"/>
    <col collapsed="false" customWidth="true" hidden="false" outlineLevel="0" max="67" min="20" style="0" width="16.54"/>
    <col collapsed="false" customWidth="true" hidden="true" outlineLevel="1" max="79" min="68" style="0" width="16.54"/>
    <col collapsed="false" customWidth="true" hidden="false" outlineLevel="0" max="80" min="80" style="0" width="2.81"/>
    <col collapsed="false" customWidth="true" hidden="false" outlineLevel="0" max="85" min="81" style="0" width="16.54"/>
    <col collapsed="false" customWidth="true" hidden="false" outlineLevel="0" max="86" min="86" style="0" width="2.81"/>
    <col collapsed="false" customWidth="true" hidden="false" outlineLevel="0" max="91" min="87" style="0" width="16.54"/>
  </cols>
  <sheetData>
    <row r="1" s="14" customFormat="true" ht="16.5" hidden="true" customHeight="true" outlineLevel="1" collapsed="false">
      <c r="L1" s="15" t="n">
        <v>1</v>
      </c>
      <c r="M1" s="15" t="n">
        <v>2</v>
      </c>
      <c r="N1" s="15" t="n">
        <v>3</v>
      </c>
      <c r="O1" s="15" t="n">
        <v>4</v>
      </c>
      <c r="P1" s="15" t="n">
        <v>5</v>
      </c>
      <c r="Q1" s="16"/>
      <c r="R1" s="17" t="n">
        <f aca="false">COUNTIFS($R$66:$R$117, "Error")</f>
        <v>0</v>
      </c>
      <c r="T1" s="17" t="n">
        <v>2026</v>
      </c>
      <c r="U1" s="17" t="n">
        <v>2026</v>
      </c>
      <c r="V1" s="17" t="n">
        <v>2026</v>
      </c>
      <c r="W1" s="17" t="n">
        <v>2026</v>
      </c>
      <c r="X1" s="17" t="n">
        <v>2026</v>
      </c>
      <c r="Y1" s="17" t="n">
        <v>2026</v>
      </c>
      <c r="Z1" s="17" t="n">
        <v>2026</v>
      </c>
      <c r="AA1" s="17" t="n">
        <v>2026</v>
      </c>
      <c r="AB1" s="17" t="n">
        <v>2026</v>
      </c>
      <c r="AC1" s="17" t="n">
        <v>2026</v>
      </c>
      <c r="AD1" s="17" t="n">
        <v>2026</v>
      </c>
      <c r="AE1" s="17" t="n">
        <v>2026</v>
      </c>
      <c r="AF1" s="17" t="n">
        <v>2027</v>
      </c>
      <c r="AG1" s="17" t="n">
        <v>2027</v>
      </c>
      <c r="AH1" s="17" t="n">
        <v>2027</v>
      </c>
      <c r="AI1" s="17" t="n">
        <v>2027</v>
      </c>
      <c r="AJ1" s="17" t="n">
        <v>2027</v>
      </c>
      <c r="AK1" s="17" t="n">
        <v>2027</v>
      </c>
      <c r="AL1" s="17" t="n">
        <v>2027</v>
      </c>
      <c r="AM1" s="17" t="n">
        <v>2027</v>
      </c>
      <c r="AN1" s="17" t="n">
        <v>2027</v>
      </c>
      <c r="AO1" s="17" t="n">
        <v>2027</v>
      </c>
      <c r="AP1" s="17" t="n">
        <v>2027</v>
      </c>
      <c r="AQ1" s="17" t="n">
        <v>2027</v>
      </c>
      <c r="AR1" s="17" t="n">
        <v>2028</v>
      </c>
      <c r="AS1" s="17" t="n">
        <v>2028</v>
      </c>
      <c r="AT1" s="17" t="n">
        <v>2028</v>
      </c>
      <c r="AU1" s="17" t="n">
        <v>2028</v>
      </c>
      <c r="AV1" s="17" t="n">
        <v>2028</v>
      </c>
      <c r="AW1" s="17" t="n">
        <v>2028</v>
      </c>
      <c r="AX1" s="17" t="n">
        <v>2028</v>
      </c>
      <c r="AY1" s="17" t="n">
        <v>2028</v>
      </c>
      <c r="AZ1" s="17" t="n">
        <v>2028</v>
      </c>
      <c r="BA1" s="17" t="n">
        <v>2028</v>
      </c>
      <c r="BB1" s="17" t="n">
        <v>2028</v>
      </c>
      <c r="BC1" s="17" t="n">
        <v>2028</v>
      </c>
      <c r="BD1" s="17" t="n">
        <v>2029</v>
      </c>
      <c r="BE1" s="17" t="n">
        <v>2029</v>
      </c>
      <c r="BF1" s="17" t="n">
        <v>2029</v>
      </c>
      <c r="BG1" s="17" t="n">
        <v>2029</v>
      </c>
      <c r="BH1" s="17" t="n">
        <v>2029</v>
      </c>
      <c r="BI1" s="17" t="n">
        <v>2029</v>
      </c>
      <c r="BJ1" s="17" t="n">
        <v>2029</v>
      </c>
      <c r="BK1" s="17" t="n">
        <v>2029</v>
      </c>
      <c r="BL1" s="17" t="n">
        <v>2029</v>
      </c>
      <c r="BM1" s="17" t="n">
        <v>2029</v>
      </c>
      <c r="BN1" s="17" t="n">
        <v>2029</v>
      </c>
      <c r="BO1" s="17" t="n">
        <v>2029</v>
      </c>
      <c r="BP1" s="17" t="n">
        <v>2030</v>
      </c>
      <c r="BQ1" s="17" t="n">
        <v>2030</v>
      </c>
      <c r="BR1" s="17" t="n">
        <v>2030</v>
      </c>
      <c r="BS1" s="17" t="n">
        <v>2030</v>
      </c>
      <c r="BT1" s="17" t="n">
        <v>2030</v>
      </c>
      <c r="BU1" s="17" t="n">
        <v>2030</v>
      </c>
      <c r="BV1" s="17" t="n">
        <v>2030</v>
      </c>
      <c r="BW1" s="17" t="n">
        <v>2030</v>
      </c>
      <c r="BX1" s="17" t="n">
        <v>2030</v>
      </c>
      <c r="BY1" s="17" t="n">
        <v>2030</v>
      </c>
      <c r="BZ1" s="17" t="n">
        <v>2030</v>
      </c>
      <c r="CA1" s="17" t="n">
        <v>2030</v>
      </c>
      <c r="CI1" s="17" t="n">
        <f aca="false">COUNTIFS(CI$66:CI$149, "FALSE")</f>
        <v>0</v>
      </c>
      <c r="CJ1" s="17" t="n">
        <f aca="false">COUNTIFS(CJ$66:CJ$149, "FALSE")</f>
        <v>0</v>
      </c>
      <c r="CK1" s="17" t="n">
        <f aca="false">COUNTIFS(CK$66:CK$149, "FALSE")</f>
        <v>0</v>
      </c>
      <c r="CL1" s="17" t="n">
        <f aca="false">COUNTIFS(CL$66:CL$149, "FALSE")</f>
        <v>0</v>
      </c>
      <c r="CM1" s="17" t="n">
        <f aca="false">COUNTIFS(CM$66:CM$149, "FALSE")</f>
        <v>0</v>
      </c>
    </row>
    <row r="2" s="14" customFormat="true" ht="30.75" hidden="false" customHeight="true" outlineLevel="0" collapsed="false">
      <c r="C2" s="18" t="str">
        <f aca="false">"#"&amp;$F$6&amp;" Initiative Business Case"</f>
        <v>#TBD Initiative Business Case</v>
      </c>
      <c r="Q2" s="16"/>
      <c r="R2" s="16"/>
    </row>
    <row r="3" s="14" customFormat="true" ht="16.5" hidden="false" customHeight="true" outlineLevel="0" collapsed="false">
      <c r="Q3" s="16"/>
      <c r="R3" s="16"/>
    </row>
    <row r="4" s="14" customFormat="true" ht="16.5" hidden="false" customHeight="true" outlineLevel="0" collapsed="false">
      <c r="C4" s="19" t="s">
        <v>61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</row>
    <row r="5" s="14" customFormat="true" ht="16.5" hidden="false" customHeight="true" outlineLevel="0" collapsed="false">
      <c r="Q5" s="16"/>
      <c r="R5" s="16"/>
    </row>
    <row r="6" s="14" customFormat="true" ht="16.5" hidden="false" customHeight="true" outlineLevel="0" collapsed="false">
      <c r="D6" s="21" t="s">
        <v>62</v>
      </c>
      <c r="F6" s="22" t="s">
        <v>415</v>
      </c>
      <c r="G6" s="23"/>
      <c r="Q6" s="16"/>
      <c r="R6" s="16"/>
    </row>
    <row r="7" customFormat="false" ht="16.5" hidden="false" customHeight="true" outlineLevel="0" collapsed="false">
      <c r="D7" s="21" t="s">
        <v>63</v>
      </c>
      <c r="F7" s="199" t="s">
        <v>264</v>
      </c>
      <c r="G7" s="200"/>
      <c r="I7" s="14"/>
      <c r="J7" s="14"/>
      <c r="K7" s="14"/>
    </row>
    <row r="8" s="14" customFormat="true" ht="16.5" hidden="false" customHeight="true" outlineLevel="0" collapsed="false">
      <c r="D8" s="21" t="s">
        <v>65</v>
      </c>
      <c r="F8" s="26" t="s">
        <v>737</v>
      </c>
      <c r="G8" s="26"/>
      <c r="H8" s="26"/>
      <c r="I8" s="26"/>
      <c r="J8" s="26"/>
      <c r="Q8" s="16"/>
      <c r="R8" s="16"/>
    </row>
    <row r="9" s="14" customFormat="true" ht="16.5" hidden="false" customHeight="true" outlineLevel="0" collapsed="false">
      <c r="D9" s="21"/>
      <c r="F9" s="26"/>
      <c r="G9" s="26"/>
      <c r="H9" s="26"/>
      <c r="I9" s="26"/>
      <c r="J9" s="26"/>
      <c r="N9" s="21"/>
      <c r="Q9" s="16"/>
      <c r="R9" s="16"/>
    </row>
    <row r="10" s="14" customFormat="true" ht="16.5" hidden="false" customHeight="true" outlineLevel="0" collapsed="false">
      <c r="F10" s="26"/>
      <c r="G10" s="26"/>
      <c r="H10" s="26"/>
      <c r="I10" s="26"/>
      <c r="J10" s="26"/>
      <c r="Q10" s="16"/>
      <c r="R10" s="16"/>
    </row>
    <row r="11" s="14" customFormat="true" ht="16.5" hidden="false" customHeight="true" outlineLevel="0" collapsed="false">
      <c r="D11" s="21" t="s">
        <v>69</v>
      </c>
      <c r="F11" s="201" t="n">
        <f aca="false">'SVC-6 Model'!$D$13</f>
        <v>46569</v>
      </c>
      <c r="M11" s="21"/>
      <c r="Q11" s="16"/>
      <c r="R11" s="16"/>
    </row>
    <row r="12" s="14" customFormat="true" ht="16.5" hidden="false" customHeight="true" outlineLevel="0" collapsed="false">
      <c r="D12" s="21" t="s">
        <v>70</v>
      </c>
      <c r="F12" s="28" t="n">
        <f aca="false">$K$117</f>
        <v>4.03954669300466</v>
      </c>
      <c r="M12" s="21"/>
      <c r="Q12" s="16"/>
      <c r="R12" s="16"/>
    </row>
    <row r="13" s="14" customFormat="true" ht="17.25" hidden="false" customHeight="true" outlineLevel="0" collapsed="false">
      <c r="Q13" s="16"/>
      <c r="R13" s="16"/>
    </row>
    <row r="14" s="14" customFormat="true" ht="16.5" hidden="false" customHeight="true" outlineLevel="0" collapsed="false">
      <c r="C14" s="19" t="s">
        <v>71</v>
      </c>
      <c r="D14" s="19"/>
      <c r="E14" s="19"/>
      <c r="F14" s="19"/>
      <c r="G14" s="19"/>
      <c r="H14" s="19"/>
      <c r="I14" s="19"/>
      <c r="J14" s="19"/>
      <c r="L14" s="19"/>
      <c r="M14" s="19"/>
      <c r="N14" s="19"/>
      <c r="O14" s="19"/>
      <c r="P14" s="19"/>
      <c r="Q14" s="20"/>
      <c r="R14" s="20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</row>
    <row r="15" s="14" customFormat="true" ht="17.25" hidden="false" customHeight="true" outlineLevel="0" collapsed="false">
      <c r="Q15" s="16"/>
      <c r="R15" s="16"/>
    </row>
    <row r="16" s="14" customFormat="true" ht="17.25" hidden="false" customHeight="true" outlineLevel="0" collapsed="false">
      <c r="D16" s="29" t="s">
        <v>416</v>
      </c>
    </row>
    <row r="17" s="14" customFormat="true" ht="17.25" hidden="false" customHeight="true" outlineLevel="0" collapsed="false">
      <c r="D17" s="32" t="s">
        <v>77</v>
      </c>
      <c r="E17" s="33"/>
      <c r="F17" s="33"/>
      <c r="G17" s="33"/>
      <c r="H17" s="32" t="s">
        <v>78</v>
      </c>
      <c r="I17" s="32" t="s">
        <v>79</v>
      </c>
      <c r="J17" s="34" t="s">
        <v>80</v>
      </c>
    </row>
    <row r="18" s="14" customFormat="true" ht="17.25" hidden="false" customHeight="true" outlineLevel="0" collapsed="false">
      <c r="D18" s="33"/>
      <c r="E18" s="33" t="s">
        <v>789</v>
      </c>
      <c r="F18" s="33"/>
      <c r="G18" s="36"/>
      <c r="H18" s="202" t="s">
        <v>790</v>
      </c>
      <c r="I18" s="37" t="s">
        <v>102</v>
      </c>
      <c r="J18" s="203" t="n">
        <f aca="false">'SVC-6 Model'!$D$52/1000000</f>
        <v>14.66433741</v>
      </c>
      <c r="P18" s="16"/>
      <c r="Q18" s="35"/>
      <c r="R18" s="16"/>
    </row>
    <row r="19" s="14" customFormat="true" ht="17.25" hidden="false" customHeight="true" outlineLevel="0" collapsed="false">
      <c r="D19" s="33"/>
      <c r="E19" s="33" t="s">
        <v>791</v>
      </c>
      <c r="F19" s="33"/>
      <c r="G19" s="36"/>
      <c r="H19" s="202" t="s">
        <v>792</v>
      </c>
      <c r="I19" s="37" t="s">
        <v>287</v>
      </c>
      <c r="J19" s="239" t="n">
        <f aca="false">'SVC-6 Model'!$D$40</f>
        <v>6407.8427</v>
      </c>
      <c r="P19" s="16"/>
      <c r="Q19" s="35"/>
      <c r="R19" s="16"/>
    </row>
    <row r="20" s="14" customFormat="true" ht="17.25" hidden="false" customHeight="true" outlineLevel="0" collapsed="false">
      <c r="D20" s="33"/>
      <c r="E20" s="33"/>
      <c r="F20" s="33"/>
      <c r="G20" s="36"/>
      <c r="H20" s="202"/>
      <c r="I20" s="37"/>
      <c r="J20" s="138"/>
      <c r="L20" s="205"/>
      <c r="P20" s="16"/>
      <c r="Q20" s="35"/>
      <c r="R20" s="16"/>
    </row>
    <row r="21" s="14" customFormat="true" ht="17.25" hidden="false" customHeight="true" outlineLevel="0" collapsed="false">
      <c r="D21" s="33"/>
      <c r="E21" s="40"/>
      <c r="F21" s="40"/>
      <c r="G21" s="41"/>
      <c r="H21" s="206"/>
      <c r="I21" s="42"/>
      <c r="J21" s="55"/>
      <c r="P21" s="16"/>
      <c r="Q21" s="35"/>
      <c r="R21" s="16"/>
    </row>
    <row r="22" s="14" customFormat="true" ht="17.25" hidden="false" customHeight="true" outlineLevel="0" collapsed="false">
      <c r="D22" s="33"/>
      <c r="E22" s="33"/>
      <c r="F22" s="33"/>
      <c r="G22" s="36"/>
      <c r="H22" s="33"/>
      <c r="I22" s="37"/>
      <c r="J22" s="33"/>
      <c r="Q22" s="16"/>
      <c r="R22" s="16"/>
    </row>
    <row r="23" s="14" customFormat="true" ht="17.25" hidden="false" customHeight="true" outlineLevel="0" collapsed="false">
      <c r="D23" s="32" t="s">
        <v>104</v>
      </c>
      <c r="E23" s="33"/>
      <c r="F23" s="33"/>
      <c r="G23" s="36"/>
      <c r="H23" s="32"/>
      <c r="I23" s="32"/>
      <c r="J23" s="34"/>
      <c r="Q23" s="16"/>
      <c r="R23" s="16"/>
    </row>
    <row r="24" s="14" customFormat="true" ht="17.25" hidden="false" customHeight="true" outlineLevel="0" collapsed="false">
      <c r="D24" s="33"/>
      <c r="E24" s="33" t="s">
        <v>793</v>
      </c>
      <c r="F24" s="33"/>
      <c r="G24" s="36"/>
      <c r="H24" s="33" t="s">
        <v>423</v>
      </c>
      <c r="I24" s="37" t="s">
        <v>287</v>
      </c>
      <c r="J24" s="208" t="n">
        <f aca="false">'SVC-6 Model'!$D$41</f>
        <v>3537.13915</v>
      </c>
      <c r="Q24" s="16"/>
      <c r="R24" s="16"/>
    </row>
    <row r="25" s="14" customFormat="true" ht="17.25" hidden="false" customHeight="true" outlineLevel="0" collapsed="false">
      <c r="D25" s="33"/>
      <c r="E25" s="33" t="s">
        <v>794</v>
      </c>
      <c r="F25" s="33"/>
      <c r="G25" s="36"/>
      <c r="H25" s="33" t="s">
        <v>423</v>
      </c>
      <c r="I25" s="37" t="s">
        <v>282</v>
      </c>
      <c r="J25" s="207" t="n">
        <f aca="false">'SVC-6 Model'!$H$52/'SVC-6 Model'!$D$52</f>
        <v>0.275467385948852</v>
      </c>
      <c r="Q25" s="16"/>
      <c r="R25" s="16"/>
    </row>
    <row r="26" s="14" customFormat="true" ht="17.25" hidden="false" customHeight="true" outlineLevel="0" collapsed="false">
      <c r="D26" s="33"/>
      <c r="E26" s="40"/>
      <c r="F26" s="40"/>
      <c r="G26" s="41"/>
      <c r="H26" s="40"/>
      <c r="I26" s="42"/>
      <c r="J26" s="55"/>
      <c r="K26" s="45"/>
      <c r="Q26" s="16"/>
      <c r="R26" s="16"/>
    </row>
    <row r="27" s="14" customFormat="true" ht="17.25" hidden="false" customHeight="true" outlineLevel="0" collapsed="false">
      <c r="D27" s="33"/>
      <c r="E27" s="46"/>
      <c r="F27" s="46"/>
      <c r="G27" s="47"/>
      <c r="H27" s="46"/>
      <c r="I27" s="48"/>
      <c r="J27" s="49"/>
      <c r="K27" s="50"/>
      <c r="Q27" s="16"/>
      <c r="R27" s="16"/>
    </row>
    <row r="28" s="14" customFormat="true" ht="17.25" hidden="false" customHeight="true" outlineLevel="0" collapsed="false">
      <c r="D28" s="32" t="s">
        <v>111</v>
      </c>
      <c r="E28" s="46"/>
      <c r="F28" s="46"/>
      <c r="G28" s="47"/>
      <c r="H28" s="46"/>
      <c r="I28" s="48"/>
      <c r="J28" s="49"/>
      <c r="K28" s="50"/>
      <c r="L28" s="51"/>
      <c r="Q28" s="16"/>
      <c r="R28" s="16"/>
    </row>
    <row r="29" s="14" customFormat="true" ht="17.25" hidden="false" customHeight="true" outlineLevel="0" collapsed="false">
      <c r="D29" s="32"/>
      <c r="E29" s="209" t="s">
        <v>425</v>
      </c>
      <c r="F29" s="40"/>
      <c r="G29" s="41"/>
      <c r="H29" s="40"/>
      <c r="I29" s="42" t="s">
        <v>102</v>
      </c>
      <c r="J29" s="210" t="n">
        <f aca="false">'SVC-6 Model'!$H$52/1000000</f>
        <v>4.03954669300466</v>
      </c>
      <c r="Q29" s="16"/>
      <c r="R29" s="16"/>
    </row>
    <row r="30" s="14" customFormat="true" ht="17.25" hidden="false" customHeight="true" outlineLevel="0" collapsed="false">
      <c r="D30" s="16"/>
      <c r="E30" s="16"/>
      <c r="F30" s="16"/>
      <c r="G30" s="16"/>
      <c r="H30" s="16"/>
      <c r="I30" s="16"/>
      <c r="J30" s="16"/>
      <c r="Q30" s="16"/>
      <c r="R30" s="16"/>
    </row>
    <row r="31" s="14" customFormat="true" ht="17.25" hidden="true" customHeight="true" outlineLevel="1" collapsed="false">
      <c r="D31" s="32"/>
      <c r="E31" s="33"/>
      <c r="F31" s="33"/>
      <c r="G31" s="33"/>
      <c r="H31" s="32"/>
      <c r="I31" s="42"/>
      <c r="J31" s="34"/>
      <c r="Q31" s="16"/>
      <c r="R31" s="16"/>
    </row>
    <row r="32" s="14" customFormat="true" ht="17.25" hidden="true" customHeight="true" outlineLevel="1" collapsed="false">
      <c r="D32" s="33"/>
      <c r="E32" s="33"/>
      <c r="F32" s="33"/>
      <c r="G32" s="36"/>
      <c r="H32" s="202"/>
      <c r="I32" s="37"/>
      <c r="J32" s="38"/>
      <c r="Q32" s="16"/>
      <c r="R32" s="16"/>
    </row>
    <row r="33" s="14" customFormat="true" ht="17.25" hidden="true" customHeight="true" outlineLevel="1" collapsed="false">
      <c r="D33" s="33"/>
      <c r="E33" s="33"/>
      <c r="F33" s="33"/>
      <c r="G33" s="36"/>
      <c r="H33" s="33"/>
      <c r="I33" s="37"/>
      <c r="J33" s="39"/>
      <c r="Q33" s="16"/>
      <c r="R33" s="16"/>
    </row>
    <row r="34" s="14" customFormat="true" ht="17.25" hidden="true" customHeight="true" outlineLevel="1" collapsed="false">
      <c r="D34" s="33"/>
      <c r="E34" s="40"/>
      <c r="F34" s="40"/>
      <c r="G34" s="41"/>
      <c r="H34" s="40"/>
      <c r="I34" s="42"/>
      <c r="J34" s="53"/>
      <c r="Q34" s="16"/>
      <c r="R34" s="16"/>
    </row>
    <row r="35" s="14" customFormat="true" ht="17.25" hidden="true" customHeight="true" outlineLevel="1" collapsed="false">
      <c r="D35" s="33"/>
      <c r="E35" s="33"/>
      <c r="F35" s="33"/>
      <c r="G35" s="36"/>
      <c r="H35" s="33"/>
      <c r="I35" s="37"/>
      <c r="J35" s="33"/>
      <c r="Q35" s="16"/>
      <c r="R35" s="16"/>
    </row>
    <row r="36" s="14" customFormat="true" ht="17.25" hidden="true" customHeight="true" outlineLevel="1" collapsed="false">
      <c r="D36" s="32"/>
      <c r="E36" s="33"/>
      <c r="F36" s="33"/>
      <c r="G36" s="36"/>
      <c r="H36" s="32"/>
      <c r="I36" s="32"/>
      <c r="J36" s="34"/>
      <c r="Q36" s="16"/>
      <c r="R36" s="16"/>
    </row>
    <row r="37" s="14" customFormat="true" ht="17.25" hidden="true" customHeight="true" outlineLevel="1" collapsed="false">
      <c r="D37" s="33"/>
      <c r="E37" s="33"/>
      <c r="F37" s="33"/>
      <c r="G37" s="36"/>
      <c r="H37" s="33"/>
      <c r="I37" s="37"/>
      <c r="J37" s="54"/>
      <c r="Q37" s="16"/>
      <c r="R37" s="16"/>
    </row>
    <row r="38" s="14" customFormat="true" ht="17.25" hidden="true" customHeight="true" outlineLevel="1" collapsed="false">
      <c r="D38" s="33"/>
      <c r="E38" s="33"/>
      <c r="F38" s="33"/>
      <c r="G38" s="36"/>
      <c r="H38" s="33"/>
      <c r="I38" s="37"/>
      <c r="J38" s="44"/>
      <c r="Q38" s="16"/>
      <c r="R38" s="16"/>
    </row>
    <row r="39" s="14" customFormat="true" ht="17.25" hidden="true" customHeight="true" outlineLevel="1" collapsed="false">
      <c r="D39" s="33"/>
      <c r="E39" s="40"/>
      <c r="F39" s="40"/>
      <c r="G39" s="41"/>
      <c r="H39" s="40"/>
      <c r="I39" s="42"/>
      <c r="J39" s="53"/>
      <c r="Q39" s="16"/>
      <c r="R39" s="16"/>
    </row>
    <row r="40" s="14" customFormat="true" ht="17.25" hidden="true" customHeight="true" outlineLevel="1" collapsed="false">
      <c r="D40" s="33"/>
      <c r="E40" s="46"/>
      <c r="F40" s="46"/>
      <c r="G40" s="47"/>
      <c r="H40" s="46"/>
      <c r="I40" s="48"/>
      <c r="J40" s="49"/>
      <c r="Q40" s="16"/>
      <c r="R40" s="16"/>
    </row>
    <row r="41" s="14" customFormat="true" ht="17.25" hidden="true" customHeight="true" outlineLevel="1" collapsed="false">
      <c r="D41" s="32"/>
      <c r="E41" s="46"/>
      <c r="F41" s="46"/>
      <c r="G41" s="47"/>
      <c r="H41" s="46"/>
      <c r="I41" s="48"/>
      <c r="J41" s="49"/>
      <c r="Q41" s="16"/>
      <c r="R41" s="16"/>
    </row>
    <row r="42" s="14" customFormat="true" ht="17.25" hidden="true" customHeight="true" outlineLevel="1" collapsed="false">
      <c r="D42" s="32"/>
      <c r="E42" s="33"/>
      <c r="F42" s="46"/>
      <c r="G42" s="36"/>
      <c r="H42" s="46"/>
      <c r="I42" s="37"/>
      <c r="J42" s="52"/>
      <c r="Q42" s="16"/>
      <c r="R42" s="16"/>
    </row>
    <row r="43" s="14" customFormat="true" ht="17.25" hidden="true" customHeight="true" outlineLevel="1" collapsed="false">
      <c r="D43" s="32"/>
      <c r="E43" s="33"/>
      <c r="F43" s="46"/>
      <c r="G43" s="36"/>
      <c r="H43" s="46"/>
      <c r="I43" s="37"/>
      <c r="J43" s="55"/>
      <c r="Q43" s="16"/>
      <c r="R43" s="16"/>
    </row>
    <row r="44" s="14" customFormat="true" ht="17.25" hidden="false" customHeight="true" outlineLevel="0" collapsed="false">
      <c r="E44" s="21"/>
      <c r="F44" s="21"/>
      <c r="G44" s="21"/>
      <c r="H44" s="21"/>
      <c r="I44" s="56"/>
      <c r="J44" s="57"/>
      <c r="Q44" s="16"/>
      <c r="R44" s="16"/>
    </row>
    <row r="45" s="14" customFormat="true" ht="17.25" hidden="true" customHeight="true" outlineLevel="1" collapsed="false">
      <c r="D45" s="32"/>
      <c r="E45" s="33"/>
      <c r="F45" s="33"/>
      <c r="G45" s="33"/>
      <c r="H45" s="32"/>
      <c r="I45" s="32"/>
      <c r="J45" s="34"/>
      <c r="Q45" s="16"/>
      <c r="R45" s="16"/>
    </row>
    <row r="46" s="14" customFormat="true" ht="17.25" hidden="true" customHeight="true" outlineLevel="1" collapsed="false">
      <c r="D46" s="33"/>
      <c r="E46" s="33"/>
      <c r="F46" s="33"/>
      <c r="G46" s="36"/>
      <c r="H46" s="33"/>
      <c r="I46" s="37"/>
      <c r="J46" s="38"/>
      <c r="Q46" s="16"/>
      <c r="R46" s="16"/>
    </row>
    <row r="47" s="14" customFormat="true" ht="17.25" hidden="true" customHeight="true" outlineLevel="1" collapsed="false">
      <c r="D47" s="33"/>
      <c r="E47" s="33"/>
      <c r="F47" s="33"/>
      <c r="G47" s="36"/>
      <c r="H47" s="33"/>
      <c r="I47" s="37"/>
      <c r="J47" s="39"/>
      <c r="Q47" s="16"/>
      <c r="R47" s="16"/>
    </row>
    <row r="48" s="14" customFormat="true" ht="17.25" hidden="true" customHeight="true" outlineLevel="1" collapsed="false">
      <c r="D48" s="33"/>
      <c r="E48" s="40"/>
      <c r="F48" s="40"/>
      <c r="G48" s="41"/>
      <c r="H48" s="40"/>
      <c r="I48" s="42"/>
      <c r="J48" s="53"/>
      <c r="Q48" s="16"/>
      <c r="R48" s="16"/>
    </row>
    <row r="49" s="14" customFormat="true" ht="17.25" hidden="true" customHeight="true" outlineLevel="1" collapsed="false">
      <c r="D49" s="33"/>
      <c r="E49" s="33"/>
      <c r="F49" s="33"/>
      <c r="G49" s="36"/>
      <c r="H49" s="33"/>
      <c r="I49" s="37"/>
      <c r="J49" s="33"/>
      <c r="Q49" s="16"/>
      <c r="R49" s="16"/>
    </row>
    <row r="50" s="14" customFormat="true" ht="17.25" hidden="true" customHeight="true" outlineLevel="1" collapsed="false">
      <c r="D50" s="32"/>
      <c r="E50" s="33"/>
      <c r="F50" s="33"/>
      <c r="G50" s="36"/>
      <c r="H50" s="32"/>
      <c r="I50" s="32"/>
      <c r="J50" s="34"/>
      <c r="Q50" s="16"/>
      <c r="R50" s="16"/>
    </row>
    <row r="51" s="14" customFormat="true" ht="17.25" hidden="true" customHeight="true" outlineLevel="1" collapsed="false">
      <c r="D51" s="33"/>
      <c r="E51" s="33"/>
      <c r="F51" s="33"/>
      <c r="G51" s="36"/>
      <c r="H51" s="33"/>
      <c r="I51" s="37"/>
      <c r="J51" s="54"/>
      <c r="Q51" s="16"/>
      <c r="R51" s="16"/>
    </row>
    <row r="52" s="14" customFormat="true" ht="17.25" hidden="true" customHeight="true" outlineLevel="1" collapsed="false">
      <c r="D52" s="33"/>
      <c r="E52" s="33"/>
      <c r="F52" s="33"/>
      <c r="G52" s="36"/>
      <c r="H52" s="33"/>
      <c r="I52" s="37"/>
      <c r="J52" s="44"/>
      <c r="Q52" s="16"/>
      <c r="R52" s="16"/>
    </row>
    <row r="53" s="14" customFormat="true" ht="17.25" hidden="true" customHeight="true" outlineLevel="1" collapsed="false">
      <c r="D53" s="33"/>
      <c r="E53" s="40"/>
      <c r="F53" s="40"/>
      <c r="G53" s="41"/>
      <c r="H53" s="40"/>
      <c r="I53" s="42"/>
      <c r="J53" s="53"/>
      <c r="Q53" s="16"/>
      <c r="R53" s="16"/>
    </row>
    <row r="54" s="14" customFormat="true" ht="17.25" hidden="true" customHeight="true" outlineLevel="1" collapsed="false">
      <c r="D54" s="33"/>
      <c r="E54" s="46"/>
      <c r="F54" s="46"/>
      <c r="G54" s="47"/>
      <c r="H54" s="46"/>
      <c r="I54" s="48"/>
      <c r="J54" s="49"/>
      <c r="Q54" s="16"/>
      <c r="R54" s="16"/>
    </row>
    <row r="55" s="14" customFormat="true" ht="17.25" hidden="true" customHeight="true" outlineLevel="1" collapsed="false">
      <c r="D55" s="32"/>
      <c r="E55" s="46"/>
      <c r="F55" s="46"/>
      <c r="G55" s="47"/>
      <c r="H55" s="46"/>
      <c r="I55" s="48"/>
      <c r="J55" s="49"/>
      <c r="Q55" s="16"/>
      <c r="R55" s="16"/>
    </row>
    <row r="56" s="14" customFormat="true" ht="17.25" hidden="true" customHeight="true" outlineLevel="1" collapsed="false">
      <c r="D56" s="32"/>
      <c r="E56" s="33"/>
      <c r="F56" s="46"/>
      <c r="G56" s="36"/>
      <c r="H56" s="46"/>
      <c r="I56" s="37"/>
      <c r="J56" s="52"/>
      <c r="Q56" s="16"/>
      <c r="R56" s="16"/>
    </row>
    <row r="57" s="14" customFormat="true" ht="17.25" hidden="true" customHeight="true" outlineLevel="1" collapsed="false">
      <c r="D57" s="32"/>
      <c r="E57" s="33"/>
      <c r="F57" s="46"/>
      <c r="G57" s="36"/>
      <c r="H57" s="46"/>
      <c r="I57" s="37"/>
      <c r="J57" s="55"/>
      <c r="Q57" s="16"/>
      <c r="R57" s="16"/>
    </row>
    <row r="58" s="14" customFormat="true" ht="17.25" hidden="true" customHeight="true" outlineLevel="1" collapsed="false">
      <c r="E58" s="21"/>
      <c r="F58" s="21"/>
      <c r="G58" s="21"/>
      <c r="H58" s="21"/>
      <c r="I58" s="56"/>
      <c r="J58" s="57"/>
      <c r="Q58" s="16"/>
      <c r="R58" s="16"/>
    </row>
    <row r="59" s="14" customFormat="true" ht="16.5" hidden="true" customHeight="true" outlineLevel="1" collapsed="false">
      <c r="H59" s="58"/>
      <c r="Q59" s="16"/>
      <c r="R59" s="16"/>
    </row>
    <row r="60" s="14" customFormat="true" ht="16.5" hidden="false" customHeight="true" outlineLevel="0" collapsed="false">
      <c r="C60" s="19" t="s">
        <v>126</v>
      </c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20"/>
      <c r="R60" s="20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C60" s="19" t="s">
        <v>127</v>
      </c>
      <c r="CD60" s="19"/>
      <c r="CE60" s="19"/>
      <c r="CF60" s="19"/>
      <c r="CG60" s="19"/>
      <c r="CI60" s="19" t="s">
        <v>128</v>
      </c>
      <c r="CJ60" s="19"/>
      <c r="CK60" s="19"/>
      <c r="CL60" s="19"/>
      <c r="CM60" s="19"/>
    </row>
    <row r="61" s="14" customFormat="true" ht="16.5" hidden="false" customHeight="true" outlineLevel="0" collapsed="false">
      <c r="Q61" s="16"/>
    </row>
    <row r="62" s="14" customFormat="true" ht="16.5" hidden="false" customHeight="true" outlineLevel="0" collapsed="false">
      <c r="Q62" s="16"/>
      <c r="R62" s="16"/>
      <c r="T62" s="62" t="n">
        <v>2026</v>
      </c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62" t="n">
        <v>2027</v>
      </c>
      <c r="AG62" s="129"/>
      <c r="AH62" s="129"/>
      <c r="AI62" s="129"/>
      <c r="AJ62" s="129"/>
      <c r="AK62" s="129"/>
      <c r="AL62" s="129"/>
      <c r="AM62" s="129"/>
      <c r="AN62" s="129"/>
      <c r="AO62" s="129"/>
      <c r="AP62" s="129"/>
      <c r="AQ62" s="129"/>
      <c r="AR62" s="62" t="n">
        <v>2028</v>
      </c>
      <c r="AS62" s="129"/>
      <c r="AT62" s="129"/>
      <c r="AU62" s="129"/>
      <c r="AV62" s="129"/>
      <c r="AW62" s="129"/>
      <c r="AX62" s="129"/>
      <c r="AY62" s="129"/>
      <c r="AZ62" s="129"/>
      <c r="BA62" s="129"/>
      <c r="BB62" s="129"/>
      <c r="BC62" s="129"/>
      <c r="BD62" s="62" t="n">
        <v>2029</v>
      </c>
      <c r="BE62" s="129"/>
      <c r="BF62" s="129"/>
      <c r="BG62" s="129"/>
      <c r="BH62" s="129"/>
      <c r="BI62" s="129"/>
      <c r="BJ62" s="129"/>
      <c r="BK62" s="129"/>
      <c r="BL62" s="129"/>
      <c r="BM62" s="129"/>
      <c r="BN62" s="129"/>
      <c r="BO62" s="129"/>
      <c r="BP62" s="62" t="n">
        <v>2030</v>
      </c>
      <c r="BQ62" s="130"/>
      <c r="BR62" s="130"/>
      <c r="BS62" s="130"/>
      <c r="BT62" s="130"/>
      <c r="BU62" s="130"/>
      <c r="BV62" s="130"/>
      <c r="BW62" s="130"/>
      <c r="BX62" s="130"/>
      <c r="BY62" s="130"/>
      <c r="BZ62" s="130"/>
      <c r="CA62" s="130"/>
      <c r="CC62" s="211"/>
      <c r="CD62" s="130"/>
      <c r="CE62" s="130"/>
      <c r="CF62" s="130"/>
      <c r="CG62" s="130"/>
      <c r="CI62" s="211" t="s">
        <v>426</v>
      </c>
      <c r="CJ62" s="211"/>
      <c r="CK62" s="211"/>
      <c r="CL62" s="211"/>
      <c r="CM62" s="211"/>
    </row>
    <row r="63" s="14" customFormat="true" ht="16.5" hidden="false" customHeight="true" outlineLevel="0" collapsed="false">
      <c r="D63" s="30" t="s">
        <v>129</v>
      </c>
      <c r="E63" s="31"/>
      <c r="F63" s="31"/>
      <c r="G63" s="31"/>
      <c r="H63" s="30" t="s">
        <v>130</v>
      </c>
      <c r="I63" s="31" t="s">
        <v>77</v>
      </c>
      <c r="J63" s="31" t="s">
        <v>104</v>
      </c>
      <c r="K63" s="31" t="s">
        <v>131</v>
      </c>
      <c r="L63" s="31" t="n">
        <v>2026</v>
      </c>
      <c r="M63" s="31" t="n">
        <f aca="false">L63+1</f>
        <v>2027</v>
      </c>
      <c r="N63" s="31" t="n">
        <f aca="false">M63+1</f>
        <v>2028</v>
      </c>
      <c r="O63" s="31" t="n">
        <f aca="false">N63+1</f>
        <v>2029</v>
      </c>
      <c r="P63" s="31" t="n">
        <f aca="false">O63+1</f>
        <v>2030</v>
      </c>
      <c r="Q63" s="31" t="s">
        <v>132</v>
      </c>
      <c r="R63" s="31" t="s">
        <v>75</v>
      </c>
      <c r="T63" s="59" t="n">
        <v>46023</v>
      </c>
      <c r="U63" s="60" t="n">
        <f aca="false">EOMONTH(T63, 1)</f>
        <v>46081</v>
      </c>
      <c r="V63" s="60" t="n">
        <f aca="false">EOMONTH(U63, 1)</f>
        <v>46112</v>
      </c>
      <c r="W63" s="60" t="n">
        <f aca="false">EOMONTH(V63, 1)</f>
        <v>46142</v>
      </c>
      <c r="X63" s="60" t="n">
        <f aca="false">EOMONTH(W63, 1)</f>
        <v>46173</v>
      </c>
      <c r="Y63" s="60" t="n">
        <f aca="false">EOMONTH(X63, 1)</f>
        <v>46203</v>
      </c>
      <c r="Z63" s="60" t="n">
        <f aca="false">EOMONTH(Y63, 1)</f>
        <v>46234</v>
      </c>
      <c r="AA63" s="60" t="n">
        <f aca="false">EOMONTH(Z63, 1)</f>
        <v>46265</v>
      </c>
      <c r="AB63" s="60" t="n">
        <f aca="false">EOMONTH(AA63, 1)</f>
        <v>46295</v>
      </c>
      <c r="AC63" s="60" t="n">
        <f aca="false">EOMONTH(AB63, 1)</f>
        <v>46326</v>
      </c>
      <c r="AD63" s="60" t="n">
        <f aca="false">EOMONTH(AC63, 1)</f>
        <v>46356</v>
      </c>
      <c r="AE63" s="61" t="n">
        <f aca="false">EOMONTH(AD63, 1)</f>
        <v>46387</v>
      </c>
      <c r="AF63" s="59" t="n">
        <f aca="false">EOMONTH(AE63, 1)</f>
        <v>46418</v>
      </c>
      <c r="AG63" s="60" t="n">
        <f aca="false">EOMONTH(AF63, 1)</f>
        <v>46446</v>
      </c>
      <c r="AH63" s="60" t="n">
        <f aca="false">EOMONTH(AG63, 1)</f>
        <v>46477</v>
      </c>
      <c r="AI63" s="60" t="n">
        <f aca="false">EOMONTH(AH63, 1)</f>
        <v>46507</v>
      </c>
      <c r="AJ63" s="60" t="n">
        <f aca="false">EOMONTH(AI63, 1)</f>
        <v>46538</v>
      </c>
      <c r="AK63" s="60" t="n">
        <f aca="false">EOMONTH(AJ63, 1)</f>
        <v>46568</v>
      </c>
      <c r="AL63" s="60" t="n">
        <f aca="false">EOMONTH(AK63, 1)</f>
        <v>46599</v>
      </c>
      <c r="AM63" s="60" t="n">
        <f aca="false">EOMONTH(AL63, 1)</f>
        <v>46630</v>
      </c>
      <c r="AN63" s="60" t="n">
        <f aca="false">EOMONTH(AM63, 1)</f>
        <v>46660</v>
      </c>
      <c r="AO63" s="60" t="n">
        <f aca="false">EOMONTH(AN63, 1)</f>
        <v>46691</v>
      </c>
      <c r="AP63" s="60" t="n">
        <f aca="false">EOMONTH(AO63, 1)</f>
        <v>46721</v>
      </c>
      <c r="AQ63" s="61" t="n">
        <f aca="false">EOMONTH(AP63, 1)</f>
        <v>46752</v>
      </c>
      <c r="AR63" s="59" t="n">
        <f aca="false">EOMONTH(AQ63, 1)</f>
        <v>46783</v>
      </c>
      <c r="AS63" s="60" t="n">
        <f aca="false">EOMONTH(AR63, 1)</f>
        <v>46812</v>
      </c>
      <c r="AT63" s="60" t="n">
        <f aca="false">EOMONTH(AS63, 1)</f>
        <v>46843</v>
      </c>
      <c r="AU63" s="60" t="n">
        <f aca="false">EOMONTH(AT63, 1)</f>
        <v>46873</v>
      </c>
      <c r="AV63" s="60" t="n">
        <f aca="false">EOMONTH(AU63, 1)</f>
        <v>46904</v>
      </c>
      <c r="AW63" s="60" t="n">
        <f aca="false">EOMONTH(AV63, 1)</f>
        <v>46934</v>
      </c>
      <c r="AX63" s="60" t="n">
        <f aca="false">EOMONTH(AW63, 1)</f>
        <v>46965</v>
      </c>
      <c r="AY63" s="60" t="n">
        <f aca="false">EOMONTH(AX63, 1)</f>
        <v>46996</v>
      </c>
      <c r="AZ63" s="60" t="n">
        <f aca="false">EOMONTH(AY63, 1)</f>
        <v>47026</v>
      </c>
      <c r="BA63" s="60" t="n">
        <f aca="false">EOMONTH(AZ63, 1)</f>
        <v>47057</v>
      </c>
      <c r="BB63" s="60" t="n">
        <f aca="false">EOMONTH(BA63, 1)</f>
        <v>47087</v>
      </c>
      <c r="BC63" s="61" t="n">
        <f aca="false">EOMONTH(BB63, 1)</f>
        <v>47118</v>
      </c>
      <c r="BD63" s="59" t="n">
        <f aca="false">EOMONTH(BC63, 1)</f>
        <v>47149</v>
      </c>
      <c r="BE63" s="60" t="n">
        <f aca="false">EOMONTH(BD63, 1)</f>
        <v>47177</v>
      </c>
      <c r="BF63" s="60" t="n">
        <f aca="false">EOMONTH(BE63, 1)</f>
        <v>47208</v>
      </c>
      <c r="BG63" s="60" t="n">
        <f aca="false">EOMONTH(BF63, 1)</f>
        <v>47238</v>
      </c>
      <c r="BH63" s="60" t="n">
        <f aca="false">EOMONTH(BG63, 1)</f>
        <v>47269</v>
      </c>
      <c r="BI63" s="60" t="n">
        <f aca="false">EOMONTH(BH63, 1)</f>
        <v>47299</v>
      </c>
      <c r="BJ63" s="60" t="n">
        <f aca="false">EOMONTH(BI63, 1)</f>
        <v>47330</v>
      </c>
      <c r="BK63" s="60" t="n">
        <f aca="false">EOMONTH(BJ63, 1)</f>
        <v>47361</v>
      </c>
      <c r="BL63" s="60" t="n">
        <f aca="false">EOMONTH(BK63, 1)</f>
        <v>47391</v>
      </c>
      <c r="BM63" s="60" t="n">
        <f aca="false">EOMONTH(BL63, 1)</f>
        <v>47422</v>
      </c>
      <c r="BN63" s="60" t="n">
        <f aca="false">EOMONTH(BM63, 1)</f>
        <v>47452</v>
      </c>
      <c r="BO63" s="61" t="n">
        <f aca="false">EOMONTH(BN63, 1)</f>
        <v>47483</v>
      </c>
      <c r="BP63" s="59" t="n">
        <f aca="false">EOMONTH(BO63, 1)</f>
        <v>47514</v>
      </c>
      <c r="BQ63" s="60" t="n">
        <f aca="false">EOMONTH(BP63, 1)</f>
        <v>47542</v>
      </c>
      <c r="BR63" s="60" t="n">
        <f aca="false">EOMONTH(BQ63, 1)</f>
        <v>47573</v>
      </c>
      <c r="BS63" s="60" t="n">
        <f aca="false">EOMONTH(BR63, 1)</f>
        <v>47603</v>
      </c>
      <c r="BT63" s="60" t="n">
        <f aca="false">EOMONTH(BS63, 1)</f>
        <v>47634</v>
      </c>
      <c r="BU63" s="60" t="n">
        <f aca="false">EOMONTH(BT63, 1)</f>
        <v>47664</v>
      </c>
      <c r="BV63" s="60" t="n">
        <f aca="false">EOMONTH(BU63, 1)</f>
        <v>47695</v>
      </c>
      <c r="BW63" s="60" t="n">
        <f aca="false">EOMONTH(BV63, 1)</f>
        <v>47726</v>
      </c>
      <c r="BX63" s="60" t="n">
        <f aca="false">EOMONTH(BW63, 1)</f>
        <v>47756</v>
      </c>
      <c r="BY63" s="60" t="n">
        <f aca="false">EOMONTH(BX63, 1)</f>
        <v>47787</v>
      </c>
      <c r="BZ63" s="60" t="n">
        <f aca="false">EOMONTH(BY63, 1)</f>
        <v>47817</v>
      </c>
      <c r="CA63" s="60" t="n">
        <f aca="false">EOMONTH(BZ63, 1)</f>
        <v>47848</v>
      </c>
      <c r="CC63" s="62" t="n">
        <v>2026</v>
      </c>
      <c r="CD63" s="62" t="n">
        <f aca="false">CC63+1</f>
        <v>2027</v>
      </c>
      <c r="CE63" s="62" t="n">
        <f aca="false">CD63+1</f>
        <v>2028</v>
      </c>
      <c r="CF63" s="62" t="n">
        <f aca="false">CE63+1</f>
        <v>2029</v>
      </c>
      <c r="CG63" s="62" t="n">
        <f aca="false">CF63+1</f>
        <v>2030</v>
      </c>
      <c r="CI63" s="62" t="n">
        <v>2026</v>
      </c>
      <c r="CJ63" s="62" t="n">
        <f aca="false">CI63+1</f>
        <v>2027</v>
      </c>
      <c r="CK63" s="62" t="n">
        <f aca="false">CJ63+1</f>
        <v>2028</v>
      </c>
      <c r="CL63" s="62" t="n">
        <f aca="false">CK63+1</f>
        <v>2029</v>
      </c>
      <c r="CM63" s="62" t="n">
        <f aca="false">CL63+1</f>
        <v>2030</v>
      </c>
    </row>
    <row r="64" s="14" customFormat="true" ht="16.5" hidden="false" customHeight="true" outlineLevel="0" collapsed="false">
      <c r="D64" s="63"/>
      <c r="E64" s="64" t="s">
        <v>102</v>
      </c>
      <c r="H64" s="16"/>
      <c r="I64" s="65" t="str">
        <f aca="false">$H$18</f>
        <v>FY2026 (SACP cost ledger)</v>
      </c>
      <c r="J64" s="65" t="s">
        <v>134</v>
      </c>
      <c r="K64" s="65" t="s">
        <v>135</v>
      </c>
      <c r="L64" s="66"/>
      <c r="M64" s="66"/>
      <c r="N64" s="66"/>
      <c r="O64" s="66"/>
      <c r="P64" s="66"/>
      <c r="Q64" s="16"/>
      <c r="R64" s="1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7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7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7"/>
      <c r="BE64" s="66"/>
      <c r="BF64" s="66"/>
      <c r="BG64" s="66"/>
      <c r="BH64" s="66"/>
      <c r="BI64" s="66"/>
      <c r="BJ64" s="66"/>
      <c r="BK64" s="66"/>
      <c r="BL64" s="66"/>
      <c r="BM64" s="66"/>
      <c r="BN64" s="66"/>
      <c r="BO64" s="66"/>
      <c r="BP64" s="67"/>
      <c r="BQ64" s="66"/>
      <c r="BR64" s="66"/>
      <c r="BS64" s="66"/>
      <c r="BT64" s="66"/>
      <c r="BU64" s="66"/>
      <c r="BV64" s="66"/>
      <c r="BW64" s="66"/>
      <c r="BX64" s="66"/>
      <c r="BY64" s="66"/>
      <c r="BZ64" s="66"/>
      <c r="CA64" s="66"/>
    </row>
    <row r="65" s="14" customFormat="true" ht="16.5" hidden="false" customHeight="true" outlineLevel="0" collapsed="false">
      <c r="E65" s="68" t="s">
        <v>136</v>
      </c>
      <c r="F65" s="21"/>
      <c r="G65" s="21"/>
      <c r="H65" s="16"/>
      <c r="I65" s="65"/>
      <c r="J65" s="65"/>
      <c r="K65" s="65"/>
      <c r="Q65" s="16"/>
      <c r="R65" s="16"/>
      <c r="AF65" s="69"/>
      <c r="AR65" s="69"/>
      <c r="BD65" s="69"/>
      <c r="BP65" s="69"/>
    </row>
    <row r="66" s="14" customFormat="true" ht="16.5" hidden="false" customHeight="true" outlineLevel="0" collapsed="false">
      <c r="E66" s="70"/>
      <c r="H66" s="71"/>
      <c r="I66" s="76" t="n">
        <v>0</v>
      </c>
      <c r="J66" s="76" t="n">
        <v>0</v>
      </c>
      <c r="K66" s="212" t="n">
        <f aca="false">J66-I66</f>
        <v>0</v>
      </c>
      <c r="L66" s="76"/>
      <c r="M66" s="76"/>
      <c r="N66" s="76"/>
      <c r="O66" s="76"/>
      <c r="P66" s="77"/>
      <c r="Q66" s="75"/>
      <c r="R66" s="16" t="str">
        <f aca="false">IF(K66=P66, "", "Error")</f>
        <v/>
      </c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7"/>
      <c r="AF66" s="78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7"/>
      <c r="AR66" s="78"/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7"/>
      <c r="BD66" s="78"/>
      <c r="BE66" s="76"/>
      <c r="BF66" s="76"/>
      <c r="BG66" s="76"/>
      <c r="BH66" s="76"/>
      <c r="BI66" s="76"/>
      <c r="BJ66" s="76"/>
      <c r="BK66" s="76"/>
      <c r="BL66" s="76"/>
      <c r="BM66" s="76"/>
      <c r="BN66" s="76"/>
      <c r="BO66" s="77"/>
      <c r="BP66" s="78"/>
      <c r="BQ66" s="76"/>
      <c r="BR66" s="76"/>
      <c r="BS66" s="76"/>
      <c r="BT66" s="76"/>
      <c r="BU66" s="76"/>
      <c r="BV66" s="76"/>
      <c r="BW66" s="76"/>
      <c r="BX66" s="76"/>
      <c r="BY66" s="76"/>
      <c r="BZ66" s="76"/>
      <c r="CA66" s="76"/>
      <c r="CC66" s="79" t="n">
        <f aca="false">SUMIFS($T66:$CA66, $T$1:$CA$1, CC$63)</f>
        <v>0</v>
      </c>
      <c r="CD66" s="79" t="n">
        <f aca="false">SUMIFS($T66:$CA66, $T$1:$CA$1, CD$63)</f>
        <v>0</v>
      </c>
      <c r="CE66" s="79" t="n">
        <f aca="false">SUMIFS($T66:$CA66, $T$1:$CA$1, CE$63)</f>
        <v>0</v>
      </c>
      <c r="CF66" s="79" t="n">
        <f aca="false">SUMIFS($T66:$CA66, $T$1:$CA$1, CF$63)</f>
        <v>0</v>
      </c>
      <c r="CG66" s="79" t="n">
        <f aca="false">SUMIFS($T66:$CA66, $T$1:$CA$1, CG$63)</f>
        <v>0</v>
      </c>
      <c r="CI66" s="79" t="n">
        <f aca="false">CC66=L66</f>
        <v>1</v>
      </c>
      <c r="CJ66" s="79" t="n">
        <f aca="false">CD66=M66</f>
        <v>1</v>
      </c>
      <c r="CK66" s="79" t="n">
        <f aca="false">CE66=N66</f>
        <v>1</v>
      </c>
      <c r="CL66" s="79" t="n">
        <f aca="false">CF66=O66</f>
        <v>1</v>
      </c>
      <c r="CM66" s="79" t="n">
        <f aca="false">CG66=P66</f>
        <v>1</v>
      </c>
    </row>
    <row r="67" s="14" customFormat="true" ht="16.5" hidden="false" customHeight="true" outlineLevel="0" collapsed="false">
      <c r="E67" s="70"/>
      <c r="H67" s="71"/>
      <c r="I67" s="76" t="n">
        <v>0</v>
      </c>
      <c r="J67" s="76" t="n">
        <v>0</v>
      </c>
      <c r="K67" s="212" t="n">
        <f aca="false">J67-I67</f>
        <v>0</v>
      </c>
      <c r="L67" s="76"/>
      <c r="M67" s="76"/>
      <c r="N67" s="76"/>
      <c r="O67" s="76"/>
      <c r="P67" s="77"/>
      <c r="Q67" s="75"/>
      <c r="R67" s="16" t="str">
        <f aca="false">IF(K67=P67, "", "Error")</f>
        <v/>
      </c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7"/>
      <c r="AF67" s="78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7"/>
      <c r="AR67" s="78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7"/>
      <c r="BD67" s="78"/>
      <c r="BE67" s="76"/>
      <c r="BF67" s="76"/>
      <c r="BG67" s="76"/>
      <c r="BH67" s="76"/>
      <c r="BI67" s="76"/>
      <c r="BJ67" s="76"/>
      <c r="BK67" s="76"/>
      <c r="BL67" s="76"/>
      <c r="BM67" s="76"/>
      <c r="BN67" s="76"/>
      <c r="BO67" s="77"/>
      <c r="BP67" s="78"/>
      <c r="BQ67" s="76"/>
      <c r="BR67" s="76"/>
      <c r="BS67" s="76"/>
      <c r="BT67" s="76"/>
      <c r="BU67" s="76"/>
      <c r="BV67" s="76"/>
      <c r="BW67" s="76"/>
      <c r="BX67" s="76"/>
      <c r="BY67" s="76"/>
      <c r="BZ67" s="76"/>
      <c r="CA67" s="76"/>
      <c r="CC67" s="79" t="n">
        <f aca="false">SUMIFS($T67:$CA67, $T$1:$CA$1, CC$63)</f>
        <v>0</v>
      </c>
      <c r="CD67" s="79" t="n">
        <f aca="false">SUMIFS($T67:$CA67, $T$1:$CA$1, CD$63)</f>
        <v>0</v>
      </c>
      <c r="CE67" s="79" t="n">
        <f aca="false">SUMIFS($T67:$CA67, $T$1:$CA$1, CE$63)</f>
        <v>0</v>
      </c>
      <c r="CF67" s="79" t="n">
        <f aca="false">SUMIFS($T67:$CA67, $T$1:$CA$1, CF$63)</f>
        <v>0</v>
      </c>
      <c r="CG67" s="79" t="n">
        <f aca="false">SUMIFS($T67:$CA67, $T$1:$CA$1, CG$63)</f>
        <v>0</v>
      </c>
      <c r="CI67" s="79" t="n">
        <f aca="false">CC67=L67</f>
        <v>1</v>
      </c>
      <c r="CJ67" s="79" t="n">
        <f aca="false">CD67=M67</f>
        <v>1</v>
      </c>
      <c r="CK67" s="79" t="n">
        <f aca="false">CE67=N67</f>
        <v>1</v>
      </c>
      <c r="CL67" s="79" t="n">
        <f aca="false">CF67=O67</f>
        <v>1</v>
      </c>
      <c r="CM67" s="79" t="n">
        <f aca="false">CG67=P67</f>
        <v>1</v>
      </c>
    </row>
    <row r="68" s="14" customFormat="true" ht="16.5" hidden="false" customHeight="true" outlineLevel="0" collapsed="false">
      <c r="E68" s="80" t="s">
        <v>137</v>
      </c>
      <c r="H68" s="71"/>
      <c r="I68" s="82" t="n">
        <f aca="false">SUM(I66:I67)</f>
        <v>0</v>
      </c>
      <c r="J68" s="82" t="n">
        <f aca="false">SUM(J66:J67)</f>
        <v>0</v>
      </c>
      <c r="K68" s="82" t="n">
        <f aca="false">SUM(K66:K67)</f>
        <v>0</v>
      </c>
      <c r="L68" s="82" t="n">
        <f aca="false">SUM(L66:L67)</f>
        <v>0</v>
      </c>
      <c r="M68" s="82" t="n">
        <f aca="false">SUM(M66:M67)</f>
        <v>0</v>
      </c>
      <c r="N68" s="82" t="n">
        <f aca="false">SUM(N66:N67)</f>
        <v>0</v>
      </c>
      <c r="O68" s="82" t="n">
        <f aca="false">SUM(O66:O67)</f>
        <v>0</v>
      </c>
      <c r="P68" s="82" t="n">
        <f aca="false">SUM(P66:P67)</f>
        <v>0</v>
      </c>
      <c r="Q68" s="16"/>
      <c r="R68" s="16"/>
      <c r="T68" s="82" t="n">
        <f aca="false">SUM(T66:T67)</f>
        <v>0</v>
      </c>
      <c r="U68" s="82" t="n">
        <f aca="false">SUM(U66:U67)</f>
        <v>0</v>
      </c>
      <c r="V68" s="82" t="n">
        <f aca="false">SUM(V66:V67)</f>
        <v>0</v>
      </c>
      <c r="W68" s="82" t="n">
        <f aca="false">SUM(W66:W67)</f>
        <v>0</v>
      </c>
      <c r="X68" s="82" t="n">
        <f aca="false">SUM(X66:X67)</f>
        <v>0</v>
      </c>
      <c r="Y68" s="82" t="n">
        <f aca="false">SUM(Y66:Y67)</f>
        <v>0</v>
      </c>
      <c r="Z68" s="82" t="n">
        <f aca="false">SUM(Z66:Z67)</f>
        <v>0</v>
      </c>
      <c r="AA68" s="82" t="n">
        <f aca="false">SUM(AA66:AA67)</f>
        <v>0</v>
      </c>
      <c r="AB68" s="82" t="n">
        <f aca="false">SUM(AB66:AB67)</f>
        <v>0</v>
      </c>
      <c r="AC68" s="82" t="n">
        <f aca="false">SUM(AC66:AC67)</f>
        <v>0</v>
      </c>
      <c r="AD68" s="82" t="n">
        <f aca="false">SUM(AD66:AD67)</f>
        <v>0</v>
      </c>
      <c r="AE68" s="82" t="n">
        <f aca="false">SUM(AE66:AE67)</f>
        <v>0</v>
      </c>
      <c r="AF68" s="83" t="n">
        <f aca="false">SUM(AF66:AF67)</f>
        <v>0</v>
      </c>
      <c r="AG68" s="82" t="n">
        <f aca="false">SUM(AG66:AG67)</f>
        <v>0</v>
      </c>
      <c r="AH68" s="82" t="n">
        <f aca="false">SUM(AH66:AH67)</f>
        <v>0</v>
      </c>
      <c r="AI68" s="82" t="n">
        <f aca="false">SUM(AI66:AI67)</f>
        <v>0</v>
      </c>
      <c r="AJ68" s="82" t="n">
        <f aca="false">SUM(AJ66:AJ67)</f>
        <v>0</v>
      </c>
      <c r="AK68" s="82" t="n">
        <f aca="false">SUM(AK66:AK67)</f>
        <v>0</v>
      </c>
      <c r="AL68" s="82" t="n">
        <f aca="false">SUM(AL66:AL67)</f>
        <v>0</v>
      </c>
      <c r="AM68" s="82" t="n">
        <f aca="false">SUM(AM66:AM67)</f>
        <v>0</v>
      </c>
      <c r="AN68" s="82" t="n">
        <f aca="false">SUM(AN66:AN67)</f>
        <v>0</v>
      </c>
      <c r="AO68" s="82" t="n">
        <f aca="false">SUM(AO66:AO67)</f>
        <v>0</v>
      </c>
      <c r="AP68" s="82" t="n">
        <f aca="false">SUM(AP66:AP67)</f>
        <v>0</v>
      </c>
      <c r="AQ68" s="82" t="n">
        <f aca="false">SUM(AQ66:AQ67)</f>
        <v>0</v>
      </c>
      <c r="AR68" s="83" t="n">
        <f aca="false">SUM(AR66:AR67)</f>
        <v>0</v>
      </c>
      <c r="AS68" s="82" t="n">
        <f aca="false">SUM(AS66:AS67)</f>
        <v>0</v>
      </c>
      <c r="AT68" s="82" t="n">
        <f aca="false">SUM(AT66:AT67)</f>
        <v>0</v>
      </c>
      <c r="AU68" s="82" t="n">
        <f aca="false">SUM(AU66:AU67)</f>
        <v>0</v>
      </c>
      <c r="AV68" s="82" t="n">
        <f aca="false">SUM(AV66:AV67)</f>
        <v>0</v>
      </c>
      <c r="AW68" s="82" t="n">
        <f aca="false">SUM(AW66:AW67)</f>
        <v>0</v>
      </c>
      <c r="AX68" s="82" t="n">
        <f aca="false">SUM(AX66:AX67)</f>
        <v>0</v>
      </c>
      <c r="AY68" s="82" t="n">
        <f aca="false">SUM(AY66:AY67)</f>
        <v>0</v>
      </c>
      <c r="AZ68" s="82" t="n">
        <f aca="false">SUM(AZ66:AZ67)</f>
        <v>0</v>
      </c>
      <c r="BA68" s="82" t="n">
        <f aca="false">SUM(BA66:BA67)</f>
        <v>0</v>
      </c>
      <c r="BB68" s="82" t="n">
        <f aca="false">SUM(BB66:BB67)</f>
        <v>0</v>
      </c>
      <c r="BC68" s="82" t="n">
        <f aca="false">SUM(BC66:BC67)</f>
        <v>0</v>
      </c>
      <c r="BD68" s="83" t="n">
        <f aca="false">SUM(BD66:BD67)</f>
        <v>0</v>
      </c>
      <c r="BE68" s="82" t="n">
        <f aca="false">SUM(BE66:BE67)</f>
        <v>0</v>
      </c>
      <c r="BF68" s="82" t="n">
        <f aca="false">SUM(BF66:BF67)</f>
        <v>0</v>
      </c>
      <c r="BG68" s="82" t="n">
        <f aca="false">SUM(BG66:BG67)</f>
        <v>0</v>
      </c>
      <c r="BH68" s="82" t="n">
        <f aca="false">SUM(BH66:BH67)</f>
        <v>0</v>
      </c>
      <c r="BI68" s="82" t="n">
        <f aca="false">SUM(BI66:BI67)</f>
        <v>0</v>
      </c>
      <c r="BJ68" s="82" t="n">
        <f aca="false">SUM(BJ66:BJ67)</f>
        <v>0</v>
      </c>
      <c r="BK68" s="82" t="n">
        <f aca="false">SUM(BK66:BK67)</f>
        <v>0</v>
      </c>
      <c r="BL68" s="82" t="n">
        <f aca="false">SUM(BL66:BL67)</f>
        <v>0</v>
      </c>
      <c r="BM68" s="82" t="n">
        <f aca="false">SUM(BM66:BM67)</f>
        <v>0</v>
      </c>
      <c r="BN68" s="82" t="n">
        <f aca="false">SUM(BN66:BN67)</f>
        <v>0</v>
      </c>
      <c r="BO68" s="82" t="n">
        <f aca="false">SUM(BO66:BO67)</f>
        <v>0</v>
      </c>
      <c r="BP68" s="83" t="n">
        <f aca="false">SUM(BP66:BP67)</f>
        <v>0</v>
      </c>
      <c r="BQ68" s="82" t="n">
        <f aca="false">SUM(BQ66:BQ67)</f>
        <v>0</v>
      </c>
      <c r="BR68" s="82" t="n">
        <f aca="false">SUM(BR66:BR67)</f>
        <v>0</v>
      </c>
      <c r="BS68" s="82" t="n">
        <f aca="false">SUM(BS66:BS67)</f>
        <v>0</v>
      </c>
      <c r="BT68" s="82" t="n">
        <f aca="false">SUM(BT66:BT67)</f>
        <v>0</v>
      </c>
      <c r="BU68" s="82" t="n">
        <f aca="false">SUM(BU66:BU67)</f>
        <v>0</v>
      </c>
      <c r="BV68" s="82" t="n">
        <f aca="false">SUM(BV66:BV67)</f>
        <v>0</v>
      </c>
      <c r="BW68" s="82" t="n">
        <f aca="false">SUM(BW66:BW67)</f>
        <v>0</v>
      </c>
      <c r="BX68" s="82" t="n">
        <f aca="false">SUM(BX66:BX67)</f>
        <v>0</v>
      </c>
      <c r="BY68" s="82" t="n">
        <f aca="false">SUM(BY66:BY67)</f>
        <v>0</v>
      </c>
      <c r="BZ68" s="82" t="n">
        <f aca="false">SUM(BZ66:BZ67)</f>
        <v>0</v>
      </c>
      <c r="CA68" s="82" t="n">
        <f aca="false">SUM(CA66:CA67)</f>
        <v>0</v>
      </c>
      <c r="CC68" s="84" t="n">
        <f aca="false">SUM(CC66:CC67)</f>
        <v>0</v>
      </c>
      <c r="CD68" s="84" t="n">
        <f aca="false">SUM(CD66:CD67)</f>
        <v>0</v>
      </c>
      <c r="CE68" s="84" t="n">
        <f aca="false">SUM(CE66:CE67)</f>
        <v>0</v>
      </c>
      <c r="CF68" s="84" t="n">
        <f aca="false">SUM(CF66:CF67)</f>
        <v>0</v>
      </c>
      <c r="CG68" s="84" t="n">
        <f aca="false">SUM(CG66:CG67)</f>
        <v>0</v>
      </c>
      <c r="CI68" s="84" t="n">
        <f aca="false">CC68=L68</f>
        <v>1</v>
      </c>
      <c r="CJ68" s="84" t="n">
        <f aca="false">CD68=M68</f>
        <v>1</v>
      </c>
      <c r="CK68" s="84" t="n">
        <f aca="false">CE68=N68</f>
        <v>1</v>
      </c>
      <c r="CL68" s="84" t="n">
        <f aca="false">CF68=O68</f>
        <v>1</v>
      </c>
      <c r="CM68" s="84" t="n">
        <f aca="false">CG68=P68</f>
        <v>1</v>
      </c>
    </row>
    <row r="69" s="14" customFormat="true" ht="16.5" hidden="false" customHeight="true" outlineLevel="0" collapsed="false">
      <c r="E69" s="85"/>
      <c r="H69" s="86"/>
      <c r="I69" s="88"/>
      <c r="J69" s="88"/>
      <c r="K69" s="88"/>
      <c r="L69" s="88"/>
      <c r="M69" s="88"/>
      <c r="N69" s="88"/>
      <c r="O69" s="88"/>
      <c r="P69" s="88"/>
      <c r="Q69" s="16"/>
      <c r="R69" s="16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9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9"/>
      <c r="AS69" s="88"/>
      <c r="AT69" s="88"/>
      <c r="AU69" s="88"/>
      <c r="AV69" s="88"/>
      <c r="AW69" s="88"/>
      <c r="AX69" s="88"/>
      <c r="AY69" s="88"/>
      <c r="AZ69" s="88"/>
      <c r="BA69" s="88"/>
      <c r="BB69" s="88"/>
      <c r="BC69" s="88"/>
      <c r="BD69" s="89"/>
      <c r="BE69" s="88"/>
      <c r="BF69" s="88"/>
      <c r="BG69" s="88"/>
      <c r="BH69" s="88"/>
      <c r="BI69" s="88"/>
      <c r="BJ69" s="88"/>
      <c r="BK69" s="88"/>
      <c r="BL69" s="88"/>
      <c r="BM69" s="88"/>
      <c r="BN69" s="88"/>
      <c r="BO69" s="88"/>
      <c r="BP69" s="89"/>
      <c r="BQ69" s="88"/>
      <c r="BR69" s="88"/>
      <c r="BS69" s="88"/>
      <c r="BT69" s="88"/>
      <c r="BU69" s="88"/>
      <c r="BV69" s="88"/>
      <c r="BW69" s="88"/>
      <c r="BX69" s="88"/>
      <c r="BY69" s="88"/>
      <c r="BZ69" s="88"/>
      <c r="CA69" s="88"/>
      <c r="CC69" s="90"/>
      <c r="CD69" s="90"/>
      <c r="CE69" s="90"/>
      <c r="CF69" s="90"/>
      <c r="CG69" s="90"/>
      <c r="CI69" s="90"/>
      <c r="CJ69" s="90"/>
      <c r="CK69" s="90"/>
      <c r="CL69" s="90"/>
      <c r="CM69" s="90"/>
    </row>
    <row r="70" s="14" customFormat="true" ht="16.5" hidden="false" customHeight="true" outlineLevel="0" collapsed="false">
      <c r="E70" s="21" t="s">
        <v>138</v>
      </c>
      <c r="H70" s="71"/>
      <c r="I70" s="88"/>
      <c r="J70" s="88"/>
      <c r="K70" s="88"/>
      <c r="L70" s="88"/>
      <c r="M70" s="88"/>
      <c r="N70" s="88"/>
      <c r="O70" s="88"/>
      <c r="P70" s="88"/>
      <c r="Q70" s="16"/>
      <c r="R70" s="16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9"/>
      <c r="AG70" s="88"/>
      <c r="AH70" s="88"/>
      <c r="AI70" s="88"/>
      <c r="AJ70" s="88"/>
      <c r="AK70" s="88"/>
      <c r="AL70" s="88"/>
      <c r="AM70" s="88"/>
      <c r="AN70" s="88"/>
      <c r="AO70" s="88"/>
      <c r="AP70" s="88"/>
      <c r="AQ70" s="88"/>
      <c r="AR70" s="89"/>
      <c r="AS70" s="88"/>
      <c r="AT70" s="88"/>
      <c r="AU70" s="88"/>
      <c r="AV70" s="88"/>
      <c r="AW70" s="88"/>
      <c r="AX70" s="88"/>
      <c r="AY70" s="88"/>
      <c r="AZ70" s="88"/>
      <c r="BA70" s="88"/>
      <c r="BB70" s="88"/>
      <c r="BC70" s="88"/>
      <c r="BD70" s="89"/>
      <c r="BE70" s="88"/>
      <c r="BF70" s="88"/>
      <c r="BG70" s="88"/>
      <c r="BH70" s="88"/>
      <c r="BI70" s="88"/>
      <c r="BJ70" s="88"/>
      <c r="BK70" s="88"/>
      <c r="BL70" s="88"/>
      <c r="BM70" s="88"/>
      <c r="BN70" s="88"/>
      <c r="BO70" s="88"/>
      <c r="BP70" s="89"/>
      <c r="BQ70" s="88"/>
      <c r="BR70" s="88"/>
      <c r="BS70" s="88"/>
      <c r="BT70" s="88"/>
      <c r="BU70" s="88"/>
      <c r="BV70" s="88"/>
      <c r="BW70" s="88"/>
      <c r="BX70" s="88"/>
      <c r="BY70" s="88"/>
      <c r="BZ70" s="88"/>
      <c r="CA70" s="88"/>
      <c r="CC70" s="90"/>
      <c r="CD70" s="90"/>
      <c r="CE70" s="90"/>
      <c r="CF70" s="90"/>
      <c r="CG70" s="90"/>
      <c r="CI70" s="90"/>
      <c r="CJ70" s="90"/>
      <c r="CK70" s="90"/>
      <c r="CL70" s="90"/>
      <c r="CM70" s="90"/>
    </row>
    <row r="71" s="14" customFormat="true" ht="16.5" hidden="false" customHeight="true" outlineLevel="0" collapsed="false">
      <c r="E71" s="91"/>
      <c r="H71" s="71"/>
      <c r="I71" s="91"/>
      <c r="J71" s="91"/>
      <c r="K71" s="212" t="n">
        <f aca="false">I71-J71</f>
        <v>0</v>
      </c>
      <c r="L71" s="91"/>
      <c r="M71" s="91"/>
      <c r="N71" s="91"/>
      <c r="O71" s="91"/>
      <c r="P71" s="91"/>
      <c r="Q71" s="93"/>
      <c r="R71" s="16" t="str">
        <f aca="false">IF(K71=P71, "", "Error")</f>
        <v/>
      </c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4"/>
      <c r="AF71" s="95"/>
      <c r="AG71" s="91"/>
      <c r="AH71" s="91"/>
      <c r="AI71" s="91"/>
      <c r="AJ71" s="91"/>
      <c r="AK71" s="91"/>
      <c r="AL71" s="91"/>
      <c r="AM71" s="91"/>
      <c r="AN71" s="91"/>
      <c r="AO71" s="91"/>
      <c r="AP71" s="91"/>
      <c r="AQ71" s="94"/>
      <c r="AR71" s="95"/>
      <c r="AS71" s="91"/>
      <c r="AT71" s="91"/>
      <c r="AU71" s="91"/>
      <c r="AV71" s="91"/>
      <c r="AW71" s="91"/>
      <c r="AX71" s="91"/>
      <c r="AY71" s="91"/>
      <c r="AZ71" s="91"/>
      <c r="BA71" s="91"/>
      <c r="BB71" s="91"/>
      <c r="BC71" s="94"/>
      <c r="BD71" s="95"/>
      <c r="BE71" s="91"/>
      <c r="BF71" s="91"/>
      <c r="BG71" s="91"/>
      <c r="BH71" s="91"/>
      <c r="BI71" s="91"/>
      <c r="BJ71" s="91"/>
      <c r="BK71" s="91"/>
      <c r="BL71" s="91"/>
      <c r="BM71" s="91"/>
      <c r="BN71" s="91"/>
      <c r="BO71" s="94"/>
      <c r="BP71" s="95"/>
      <c r="BQ71" s="91"/>
      <c r="BR71" s="91"/>
      <c r="BS71" s="91"/>
      <c r="BT71" s="91"/>
      <c r="BU71" s="91"/>
      <c r="BV71" s="91"/>
      <c r="BW71" s="91"/>
      <c r="BX71" s="91"/>
      <c r="BY71" s="91"/>
      <c r="BZ71" s="91"/>
      <c r="CA71" s="91"/>
      <c r="CC71" s="79" t="n">
        <f aca="false">SUMIFS($T71:$CA71, $T$1:$CA$1, CC$63)</f>
        <v>0</v>
      </c>
      <c r="CD71" s="79" t="n">
        <f aca="false">SUMIFS($T71:$CA71, $T$1:$CA$1, CD$63)</f>
        <v>0</v>
      </c>
      <c r="CE71" s="79" t="n">
        <f aca="false">SUMIFS($T71:$CA71, $T$1:$CA$1, CE$63)</f>
        <v>0</v>
      </c>
      <c r="CF71" s="79" t="n">
        <f aca="false">SUMIFS($T71:$CA71, $T$1:$CA$1, CF$63)</f>
        <v>0</v>
      </c>
      <c r="CG71" s="79" t="n">
        <f aca="false">SUMIFS($T71:$CA71, $T$1:$CA$1, CG$63)</f>
        <v>0</v>
      </c>
      <c r="CI71" s="79" t="n">
        <f aca="false">CC71=L71</f>
        <v>1</v>
      </c>
      <c r="CJ71" s="79" t="n">
        <f aca="false">CD71=M71</f>
        <v>1</v>
      </c>
      <c r="CK71" s="79" t="n">
        <f aca="false">CE71=N71</f>
        <v>1</v>
      </c>
      <c r="CL71" s="79" t="n">
        <f aca="false">CF71=O71</f>
        <v>1</v>
      </c>
      <c r="CM71" s="79" t="n">
        <f aca="false">CG71=P71</f>
        <v>1</v>
      </c>
    </row>
    <row r="72" s="14" customFormat="true" ht="16.5" hidden="false" customHeight="true" outlineLevel="0" collapsed="false">
      <c r="E72" s="91"/>
      <c r="H72" s="71"/>
      <c r="I72" s="91" t="n">
        <v>0</v>
      </c>
      <c r="J72" s="91" t="n">
        <v>0</v>
      </c>
      <c r="K72" s="212" t="n">
        <f aca="false">I72-J72</f>
        <v>0</v>
      </c>
      <c r="L72" s="91"/>
      <c r="M72" s="91"/>
      <c r="N72" s="91"/>
      <c r="O72" s="91"/>
      <c r="P72" s="91"/>
      <c r="Q72" s="93"/>
      <c r="R72" s="16" t="str">
        <f aca="false">IF(K72=P72, "", "Error")</f>
        <v/>
      </c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4"/>
      <c r="AF72" s="95"/>
      <c r="AG72" s="91"/>
      <c r="AH72" s="91"/>
      <c r="AI72" s="91"/>
      <c r="AJ72" s="91"/>
      <c r="AK72" s="91"/>
      <c r="AL72" s="91"/>
      <c r="AM72" s="91"/>
      <c r="AN72" s="91"/>
      <c r="AO72" s="91"/>
      <c r="AP72" s="91"/>
      <c r="AQ72" s="94"/>
      <c r="AR72" s="95"/>
      <c r="AS72" s="91"/>
      <c r="AT72" s="91"/>
      <c r="AU72" s="91"/>
      <c r="AV72" s="91"/>
      <c r="AW72" s="91"/>
      <c r="AX72" s="91"/>
      <c r="AY72" s="91"/>
      <c r="AZ72" s="91"/>
      <c r="BA72" s="91"/>
      <c r="BB72" s="91"/>
      <c r="BC72" s="94"/>
      <c r="BD72" s="95"/>
      <c r="BE72" s="91"/>
      <c r="BF72" s="91"/>
      <c r="BG72" s="91"/>
      <c r="BH72" s="91"/>
      <c r="BI72" s="91"/>
      <c r="BJ72" s="91"/>
      <c r="BK72" s="91"/>
      <c r="BL72" s="91"/>
      <c r="BM72" s="91"/>
      <c r="BN72" s="91"/>
      <c r="BO72" s="94"/>
      <c r="BP72" s="95"/>
      <c r="BQ72" s="91"/>
      <c r="BR72" s="91"/>
      <c r="BS72" s="91"/>
      <c r="BT72" s="91"/>
      <c r="BU72" s="91"/>
      <c r="BV72" s="91"/>
      <c r="BW72" s="91"/>
      <c r="BX72" s="91"/>
      <c r="BY72" s="91"/>
      <c r="BZ72" s="91"/>
      <c r="CA72" s="91"/>
      <c r="CC72" s="79" t="n">
        <f aca="false">SUMIFS($T72:$CA72, $T$1:$CA$1, CC$63)</f>
        <v>0</v>
      </c>
      <c r="CD72" s="79" t="n">
        <f aca="false">SUMIFS($T72:$CA72, $T$1:$CA$1, CD$63)</f>
        <v>0</v>
      </c>
      <c r="CE72" s="79" t="n">
        <f aca="false">SUMIFS($T72:$CA72, $T$1:$CA$1, CE$63)</f>
        <v>0</v>
      </c>
      <c r="CF72" s="79" t="n">
        <f aca="false">SUMIFS($T72:$CA72, $T$1:$CA$1, CF$63)</f>
        <v>0</v>
      </c>
      <c r="CG72" s="79" t="n">
        <f aca="false">SUMIFS($T72:$CA72, $T$1:$CA$1, CG$63)</f>
        <v>0</v>
      </c>
      <c r="CI72" s="79" t="n">
        <f aca="false">CC72=L72</f>
        <v>1</v>
      </c>
      <c r="CJ72" s="79" t="n">
        <f aca="false">CD72=M72</f>
        <v>1</v>
      </c>
      <c r="CK72" s="79" t="n">
        <f aca="false">CE72=N72</f>
        <v>1</v>
      </c>
      <c r="CL72" s="79" t="n">
        <f aca="false">CF72=O72</f>
        <v>1</v>
      </c>
      <c r="CM72" s="79" t="n">
        <f aca="false">CG72=P72</f>
        <v>1</v>
      </c>
    </row>
    <row r="73" s="14" customFormat="true" ht="16.5" hidden="false" customHeight="true" outlineLevel="0" collapsed="false">
      <c r="E73" s="91"/>
      <c r="H73" s="71"/>
      <c r="I73" s="91" t="n">
        <v>0</v>
      </c>
      <c r="J73" s="91" t="n">
        <v>0</v>
      </c>
      <c r="K73" s="212" t="n">
        <f aca="false">I73-J73</f>
        <v>0</v>
      </c>
      <c r="L73" s="91"/>
      <c r="M73" s="91"/>
      <c r="N73" s="91"/>
      <c r="O73" s="91"/>
      <c r="P73" s="91"/>
      <c r="Q73" s="93"/>
      <c r="R73" s="16" t="str">
        <f aca="false">IF(K73=P73, "", "Error")</f>
        <v/>
      </c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4"/>
      <c r="AF73" s="95"/>
      <c r="AG73" s="91"/>
      <c r="AH73" s="91"/>
      <c r="AI73" s="91"/>
      <c r="AJ73" s="91"/>
      <c r="AK73" s="91"/>
      <c r="AL73" s="91"/>
      <c r="AM73" s="91"/>
      <c r="AN73" s="91"/>
      <c r="AO73" s="91"/>
      <c r="AP73" s="91"/>
      <c r="AQ73" s="94"/>
      <c r="AR73" s="95"/>
      <c r="AS73" s="91"/>
      <c r="AT73" s="91"/>
      <c r="AU73" s="91"/>
      <c r="AV73" s="91"/>
      <c r="AW73" s="91"/>
      <c r="AX73" s="91"/>
      <c r="AY73" s="91"/>
      <c r="AZ73" s="91"/>
      <c r="BA73" s="91"/>
      <c r="BB73" s="91"/>
      <c r="BC73" s="94"/>
      <c r="BD73" s="95"/>
      <c r="BE73" s="91"/>
      <c r="BF73" s="91"/>
      <c r="BG73" s="91"/>
      <c r="BH73" s="91"/>
      <c r="BI73" s="91"/>
      <c r="BJ73" s="91"/>
      <c r="BK73" s="91"/>
      <c r="BL73" s="91"/>
      <c r="BM73" s="91"/>
      <c r="BN73" s="91"/>
      <c r="BO73" s="94"/>
      <c r="BP73" s="95"/>
      <c r="BQ73" s="91"/>
      <c r="BR73" s="91"/>
      <c r="BS73" s="91"/>
      <c r="BT73" s="91"/>
      <c r="BU73" s="91"/>
      <c r="BV73" s="91"/>
      <c r="BW73" s="91"/>
      <c r="BX73" s="91"/>
      <c r="BY73" s="91"/>
      <c r="BZ73" s="91"/>
      <c r="CA73" s="91"/>
      <c r="CC73" s="79" t="n">
        <f aca="false">SUMIFS($T73:$CA73, $T$1:$CA$1, CC$63)</f>
        <v>0</v>
      </c>
      <c r="CD73" s="79" t="n">
        <f aca="false">SUMIFS($T73:$CA73, $T$1:$CA$1, CD$63)</f>
        <v>0</v>
      </c>
      <c r="CE73" s="79" t="n">
        <f aca="false">SUMIFS($T73:$CA73, $T$1:$CA$1, CE$63)</f>
        <v>0</v>
      </c>
      <c r="CF73" s="79" t="n">
        <f aca="false">SUMIFS($T73:$CA73, $T$1:$CA$1, CF$63)</f>
        <v>0</v>
      </c>
      <c r="CG73" s="79" t="n">
        <f aca="false">SUMIFS($T73:$CA73, $T$1:$CA$1, CG$63)</f>
        <v>0</v>
      </c>
      <c r="CI73" s="79" t="n">
        <f aca="false">CC73=L73</f>
        <v>1</v>
      </c>
      <c r="CJ73" s="79" t="n">
        <f aca="false">CD73=M73</f>
        <v>1</v>
      </c>
      <c r="CK73" s="79" t="n">
        <f aca="false">CE73=N73</f>
        <v>1</v>
      </c>
      <c r="CL73" s="79" t="n">
        <f aca="false">CF73=O73</f>
        <v>1</v>
      </c>
      <c r="CM73" s="79" t="n">
        <f aca="false">CG73=P73</f>
        <v>1</v>
      </c>
    </row>
    <row r="74" s="14" customFormat="true" ht="16.5" hidden="false" customHeight="true" outlineLevel="0" collapsed="false">
      <c r="E74" s="91"/>
      <c r="H74" s="71"/>
      <c r="I74" s="91" t="n">
        <v>0</v>
      </c>
      <c r="J74" s="91" t="n">
        <v>0</v>
      </c>
      <c r="K74" s="212" t="n">
        <f aca="false">I74-J74</f>
        <v>0</v>
      </c>
      <c r="L74" s="91"/>
      <c r="M74" s="91"/>
      <c r="N74" s="91"/>
      <c r="O74" s="91"/>
      <c r="P74" s="91"/>
      <c r="Q74" s="93"/>
      <c r="R74" s="16" t="str">
        <f aca="false">IF(K74=P74, "", "Error")</f>
        <v/>
      </c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4"/>
      <c r="AF74" s="95"/>
      <c r="AG74" s="91"/>
      <c r="AH74" s="91"/>
      <c r="AI74" s="91"/>
      <c r="AJ74" s="91"/>
      <c r="AK74" s="91"/>
      <c r="AL74" s="91"/>
      <c r="AM74" s="91"/>
      <c r="AN74" s="91"/>
      <c r="AO74" s="91"/>
      <c r="AP74" s="91"/>
      <c r="AQ74" s="94"/>
      <c r="AR74" s="95"/>
      <c r="AS74" s="91"/>
      <c r="AT74" s="91"/>
      <c r="AU74" s="91"/>
      <c r="AV74" s="91"/>
      <c r="AW74" s="91"/>
      <c r="AX74" s="91"/>
      <c r="AY74" s="91"/>
      <c r="AZ74" s="91"/>
      <c r="BA74" s="91"/>
      <c r="BB74" s="91"/>
      <c r="BC74" s="94"/>
      <c r="BD74" s="95"/>
      <c r="BE74" s="91"/>
      <c r="BF74" s="91"/>
      <c r="BG74" s="91"/>
      <c r="BH74" s="91"/>
      <c r="BI74" s="91"/>
      <c r="BJ74" s="91"/>
      <c r="BK74" s="91"/>
      <c r="BL74" s="91"/>
      <c r="BM74" s="91"/>
      <c r="BN74" s="91"/>
      <c r="BO74" s="94"/>
      <c r="BP74" s="95"/>
      <c r="BQ74" s="91"/>
      <c r="BR74" s="91"/>
      <c r="BS74" s="91"/>
      <c r="BT74" s="91"/>
      <c r="BU74" s="91"/>
      <c r="BV74" s="91"/>
      <c r="BW74" s="91"/>
      <c r="BX74" s="91"/>
      <c r="BY74" s="91"/>
      <c r="BZ74" s="91"/>
      <c r="CA74" s="91"/>
      <c r="CC74" s="79" t="n">
        <f aca="false">SUMIFS($T74:$CA74, $T$1:$CA$1, CC$63)</f>
        <v>0</v>
      </c>
      <c r="CD74" s="79" t="n">
        <f aca="false">SUMIFS($T74:$CA74, $T$1:$CA$1, CD$63)</f>
        <v>0</v>
      </c>
      <c r="CE74" s="79" t="n">
        <f aca="false">SUMIFS($T74:$CA74, $T$1:$CA$1, CE$63)</f>
        <v>0</v>
      </c>
      <c r="CF74" s="79" t="n">
        <f aca="false">SUMIFS($T74:$CA74, $T$1:$CA$1, CF$63)</f>
        <v>0</v>
      </c>
      <c r="CG74" s="79" t="n">
        <f aca="false">SUMIFS($T74:$CA74, $T$1:$CA$1, CG$63)</f>
        <v>0</v>
      </c>
      <c r="CI74" s="79" t="n">
        <f aca="false">CC74=L74</f>
        <v>1</v>
      </c>
      <c r="CJ74" s="79" t="n">
        <f aca="false">CD74=M74</f>
        <v>1</v>
      </c>
      <c r="CK74" s="79" t="n">
        <f aca="false">CE74=N74</f>
        <v>1</v>
      </c>
      <c r="CL74" s="79" t="n">
        <f aca="false">CF74=O74</f>
        <v>1</v>
      </c>
      <c r="CM74" s="79" t="n">
        <f aca="false">CG74=P74</f>
        <v>1</v>
      </c>
    </row>
    <row r="75" s="14" customFormat="true" ht="16.5" hidden="false" customHeight="true" outlineLevel="0" collapsed="false">
      <c r="E75" s="91"/>
      <c r="H75" s="71"/>
      <c r="I75" s="91"/>
      <c r="J75" s="91"/>
      <c r="K75" s="212" t="n">
        <f aca="false">I75-J75</f>
        <v>0</v>
      </c>
      <c r="L75" s="91"/>
      <c r="M75" s="91"/>
      <c r="N75" s="91"/>
      <c r="O75" s="91"/>
      <c r="P75" s="91"/>
      <c r="Q75" s="93"/>
      <c r="R75" s="16" t="str">
        <f aca="false">IF(K75=P75, "", "Error")</f>
        <v/>
      </c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4"/>
      <c r="AF75" s="95"/>
      <c r="AG75" s="91"/>
      <c r="AH75" s="91"/>
      <c r="AI75" s="91"/>
      <c r="AJ75" s="91"/>
      <c r="AK75" s="91"/>
      <c r="AL75" s="91"/>
      <c r="AM75" s="91"/>
      <c r="AN75" s="91"/>
      <c r="AO75" s="91"/>
      <c r="AP75" s="91"/>
      <c r="AQ75" s="94"/>
      <c r="AR75" s="95"/>
      <c r="AS75" s="91"/>
      <c r="AT75" s="91"/>
      <c r="AU75" s="91"/>
      <c r="AV75" s="91"/>
      <c r="AW75" s="91"/>
      <c r="AX75" s="91"/>
      <c r="AY75" s="91"/>
      <c r="AZ75" s="91"/>
      <c r="BA75" s="91"/>
      <c r="BB75" s="91"/>
      <c r="BC75" s="94"/>
      <c r="BD75" s="95"/>
      <c r="BE75" s="91"/>
      <c r="BF75" s="91"/>
      <c r="BG75" s="91"/>
      <c r="BH75" s="91"/>
      <c r="BI75" s="91"/>
      <c r="BJ75" s="91"/>
      <c r="BK75" s="91"/>
      <c r="BL75" s="91"/>
      <c r="BM75" s="91"/>
      <c r="BN75" s="91"/>
      <c r="BO75" s="94"/>
      <c r="BP75" s="95"/>
      <c r="BQ75" s="91"/>
      <c r="BR75" s="91"/>
      <c r="BS75" s="91"/>
      <c r="BT75" s="91"/>
      <c r="BU75" s="91"/>
      <c r="BV75" s="91"/>
      <c r="BW75" s="91"/>
      <c r="BX75" s="91"/>
      <c r="BY75" s="91"/>
      <c r="BZ75" s="91"/>
      <c r="CA75" s="91"/>
      <c r="CC75" s="79" t="n">
        <f aca="false">SUMIFS($T75:$CA75, $T$1:$CA$1, CC$63)</f>
        <v>0</v>
      </c>
      <c r="CD75" s="79" t="n">
        <f aca="false">SUMIFS($T75:$CA75, $T$1:$CA$1, CD$63)</f>
        <v>0</v>
      </c>
      <c r="CE75" s="79" t="n">
        <f aca="false">SUMIFS($T75:$CA75, $T$1:$CA$1, CE$63)</f>
        <v>0</v>
      </c>
      <c r="CF75" s="79" t="n">
        <f aca="false">SUMIFS($T75:$CA75, $T$1:$CA$1, CF$63)</f>
        <v>0</v>
      </c>
      <c r="CG75" s="79" t="n">
        <f aca="false">SUMIFS($T75:$CA75, $T$1:$CA$1, CG$63)</f>
        <v>0</v>
      </c>
      <c r="CI75" s="79" t="n">
        <f aca="false">CC75=L75</f>
        <v>1</v>
      </c>
      <c r="CJ75" s="79" t="n">
        <f aca="false">CD75=M75</f>
        <v>1</v>
      </c>
      <c r="CK75" s="79" t="n">
        <f aca="false">CE75=N75</f>
        <v>1</v>
      </c>
      <c r="CL75" s="79" t="n">
        <f aca="false">CF75=O75</f>
        <v>1</v>
      </c>
      <c r="CM75" s="79" t="n">
        <f aca="false">CG75=P75</f>
        <v>1</v>
      </c>
    </row>
    <row r="76" s="14" customFormat="true" ht="16.5" hidden="false" customHeight="true" outlineLevel="0" collapsed="false">
      <c r="E76" s="96" t="s">
        <v>139</v>
      </c>
      <c r="H76" s="71"/>
      <c r="I76" s="82" t="n">
        <f aca="false">SUM(I71:I75)</f>
        <v>0</v>
      </c>
      <c r="J76" s="82" t="n">
        <f aca="false">SUM(J71:J75)</f>
        <v>0</v>
      </c>
      <c r="K76" s="82" t="n">
        <f aca="false">SUM(K71:K75)</f>
        <v>0</v>
      </c>
      <c r="L76" s="82" t="n">
        <f aca="false">SUM(L71:L75)</f>
        <v>0</v>
      </c>
      <c r="M76" s="82" t="n">
        <f aca="false">SUM(M71:M75)</f>
        <v>0</v>
      </c>
      <c r="N76" s="82" t="n">
        <f aca="false">SUM(N71:N75)</f>
        <v>0</v>
      </c>
      <c r="O76" s="82" t="n">
        <f aca="false">SUM(O71:O75)</f>
        <v>0</v>
      </c>
      <c r="P76" s="82" t="n">
        <f aca="false">SUM(P71:P75)</f>
        <v>0</v>
      </c>
      <c r="Q76" s="16"/>
      <c r="R76" s="16"/>
      <c r="T76" s="82" t="n">
        <f aca="false">SUM(T71:T75)</f>
        <v>0</v>
      </c>
      <c r="U76" s="82" t="n">
        <f aca="false">SUM(U71:U75)</f>
        <v>0</v>
      </c>
      <c r="V76" s="82" t="n">
        <f aca="false">SUM(V71:V75)</f>
        <v>0</v>
      </c>
      <c r="W76" s="82" t="n">
        <f aca="false">SUM(W71:W75)</f>
        <v>0</v>
      </c>
      <c r="X76" s="82" t="n">
        <f aca="false">SUM(X71:X75)</f>
        <v>0</v>
      </c>
      <c r="Y76" s="82" t="n">
        <f aca="false">SUM(Y71:Y75)</f>
        <v>0</v>
      </c>
      <c r="Z76" s="82" t="n">
        <f aca="false">SUM(Z71:Z75)</f>
        <v>0</v>
      </c>
      <c r="AA76" s="82" t="n">
        <f aca="false">SUM(AA71:AA75)</f>
        <v>0</v>
      </c>
      <c r="AB76" s="82" t="n">
        <f aca="false">SUM(AB71:AB75)</f>
        <v>0</v>
      </c>
      <c r="AC76" s="82" t="n">
        <f aca="false">SUM(AC71:AC75)</f>
        <v>0</v>
      </c>
      <c r="AD76" s="82" t="n">
        <f aca="false">SUM(AD71:AD75)</f>
        <v>0</v>
      </c>
      <c r="AE76" s="82" t="n">
        <f aca="false">SUM(AE71:AE75)</f>
        <v>0</v>
      </c>
      <c r="AF76" s="83" t="n">
        <f aca="false">SUM(AF71:AF75)</f>
        <v>0</v>
      </c>
      <c r="AG76" s="82" t="n">
        <f aca="false">SUM(AG71:AG75)</f>
        <v>0</v>
      </c>
      <c r="AH76" s="82" t="n">
        <f aca="false">SUM(AH71:AH75)</f>
        <v>0</v>
      </c>
      <c r="AI76" s="82" t="n">
        <f aca="false">SUM(AI71:AI75)</f>
        <v>0</v>
      </c>
      <c r="AJ76" s="82" t="n">
        <f aca="false">SUM(AJ71:AJ75)</f>
        <v>0</v>
      </c>
      <c r="AK76" s="82" t="n">
        <f aca="false">SUM(AK71:AK75)</f>
        <v>0</v>
      </c>
      <c r="AL76" s="82" t="n">
        <f aca="false">SUM(AL71:AL75)</f>
        <v>0</v>
      </c>
      <c r="AM76" s="82" t="n">
        <f aca="false">SUM(AM71:AM75)</f>
        <v>0</v>
      </c>
      <c r="AN76" s="82" t="n">
        <f aca="false">SUM(AN71:AN75)</f>
        <v>0</v>
      </c>
      <c r="AO76" s="82" t="n">
        <f aca="false">SUM(AO71:AO75)</f>
        <v>0</v>
      </c>
      <c r="AP76" s="82" t="n">
        <f aca="false">SUM(AP71:AP75)</f>
        <v>0</v>
      </c>
      <c r="AQ76" s="82" t="n">
        <f aca="false">SUM(AQ71:AQ75)</f>
        <v>0</v>
      </c>
      <c r="AR76" s="83" t="n">
        <f aca="false">SUM(AR71:AR75)</f>
        <v>0</v>
      </c>
      <c r="AS76" s="82" t="n">
        <f aca="false">SUM(AS71:AS75)</f>
        <v>0</v>
      </c>
      <c r="AT76" s="82" t="n">
        <f aca="false">SUM(AT71:AT75)</f>
        <v>0</v>
      </c>
      <c r="AU76" s="82" t="n">
        <f aca="false">SUM(AU71:AU75)</f>
        <v>0</v>
      </c>
      <c r="AV76" s="82" t="n">
        <f aca="false">SUM(AV71:AV75)</f>
        <v>0</v>
      </c>
      <c r="AW76" s="82" t="n">
        <f aca="false">SUM(AW71:AW75)</f>
        <v>0</v>
      </c>
      <c r="AX76" s="82" t="n">
        <f aca="false">SUM(AX71:AX75)</f>
        <v>0</v>
      </c>
      <c r="AY76" s="82" t="n">
        <f aca="false">SUM(AY71:AY75)</f>
        <v>0</v>
      </c>
      <c r="AZ76" s="82" t="n">
        <f aca="false">SUM(AZ71:AZ75)</f>
        <v>0</v>
      </c>
      <c r="BA76" s="82" t="n">
        <f aca="false">SUM(BA71:BA75)</f>
        <v>0</v>
      </c>
      <c r="BB76" s="82" t="n">
        <f aca="false">SUM(BB71:BB75)</f>
        <v>0</v>
      </c>
      <c r="BC76" s="82" t="n">
        <f aca="false">SUM(BC71:BC75)</f>
        <v>0</v>
      </c>
      <c r="BD76" s="83" t="n">
        <f aca="false">SUM(BD71:BD75)</f>
        <v>0</v>
      </c>
      <c r="BE76" s="82" t="n">
        <f aca="false">SUM(BE71:BE75)</f>
        <v>0</v>
      </c>
      <c r="BF76" s="82" t="n">
        <f aca="false">SUM(BF71:BF75)</f>
        <v>0</v>
      </c>
      <c r="BG76" s="82" t="n">
        <f aca="false">SUM(BG71:BG75)</f>
        <v>0</v>
      </c>
      <c r="BH76" s="82" t="n">
        <f aca="false">SUM(BH71:BH75)</f>
        <v>0</v>
      </c>
      <c r="BI76" s="82" t="n">
        <f aca="false">SUM(BI71:BI75)</f>
        <v>0</v>
      </c>
      <c r="BJ76" s="82" t="n">
        <f aca="false">SUM(BJ71:BJ75)</f>
        <v>0</v>
      </c>
      <c r="BK76" s="82" t="n">
        <f aca="false">SUM(BK71:BK75)</f>
        <v>0</v>
      </c>
      <c r="BL76" s="82" t="n">
        <f aca="false">SUM(BL71:BL75)</f>
        <v>0</v>
      </c>
      <c r="BM76" s="82" t="n">
        <f aca="false">SUM(BM71:BM75)</f>
        <v>0</v>
      </c>
      <c r="BN76" s="82" t="n">
        <f aca="false">SUM(BN71:BN75)</f>
        <v>0</v>
      </c>
      <c r="BO76" s="82" t="n">
        <f aca="false">SUM(BO71:BO75)</f>
        <v>0</v>
      </c>
      <c r="BP76" s="83" t="n">
        <f aca="false">SUM(BP71:BP75)</f>
        <v>0</v>
      </c>
      <c r="BQ76" s="82" t="n">
        <f aca="false">SUM(BQ71:BQ75)</f>
        <v>0</v>
      </c>
      <c r="BR76" s="82" t="n">
        <f aca="false">SUM(BR71:BR75)</f>
        <v>0</v>
      </c>
      <c r="BS76" s="82" t="n">
        <f aca="false">SUM(BS71:BS75)</f>
        <v>0</v>
      </c>
      <c r="BT76" s="82" t="n">
        <f aca="false">SUM(BT71:BT75)</f>
        <v>0</v>
      </c>
      <c r="BU76" s="82" t="n">
        <f aca="false">SUM(BU71:BU75)</f>
        <v>0</v>
      </c>
      <c r="BV76" s="82" t="n">
        <f aca="false">SUM(BV71:BV75)</f>
        <v>0</v>
      </c>
      <c r="BW76" s="82" t="n">
        <f aca="false">SUM(BW71:BW75)</f>
        <v>0</v>
      </c>
      <c r="BX76" s="82" t="n">
        <f aca="false">SUM(BX71:BX75)</f>
        <v>0</v>
      </c>
      <c r="BY76" s="82" t="n">
        <f aca="false">SUM(BY71:BY75)</f>
        <v>0</v>
      </c>
      <c r="BZ76" s="82" t="n">
        <f aca="false">SUM(BZ71:BZ75)</f>
        <v>0</v>
      </c>
      <c r="CA76" s="82" t="n">
        <f aca="false">SUM(CA71:CA75)</f>
        <v>0</v>
      </c>
      <c r="CC76" s="84" t="n">
        <f aca="false">SUM(CC71:CC75)</f>
        <v>0</v>
      </c>
      <c r="CD76" s="84" t="n">
        <f aca="false">SUM(CD71:CD75)</f>
        <v>0</v>
      </c>
      <c r="CE76" s="84" t="n">
        <f aca="false">SUM(CE71:CE75)</f>
        <v>0</v>
      </c>
      <c r="CF76" s="84" t="n">
        <f aca="false">SUM(CF71:CF75)</f>
        <v>0</v>
      </c>
      <c r="CG76" s="84" t="n">
        <f aca="false">SUM(CG71:CG75)</f>
        <v>0</v>
      </c>
      <c r="CI76" s="84" t="n">
        <f aca="false">CC76=L76</f>
        <v>1</v>
      </c>
      <c r="CJ76" s="84" t="n">
        <f aca="false">CD76=M76</f>
        <v>1</v>
      </c>
      <c r="CK76" s="84" t="n">
        <f aca="false">CE76=N76</f>
        <v>1</v>
      </c>
      <c r="CL76" s="84" t="n">
        <f aca="false">CF76=O76</f>
        <v>1</v>
      </c>
      <c r="CM76" s="84" t="n">
        <f aca="false">CG76=P76</f>
        <v>1</v>
      </c>
    </row>
    <row r="77" s="14" customFormat="true" ht="16.5" hidden="false" customHeight="true" outlineLevel="0" collapsed="false">
      <c r="H77" s="71"/>
      <c r="I77" s="88"/>
      <c r="J77" s="88"/>
      <c r="K77" s="88"/>
      <c r="L77" s="88"/>
      <c r="M77" s="88"/>
      <c r="N77" s="88"/>
      <c r="O77" s="88"/>
      <c r="P77" s="88"/>
      <c r="Q77" s="16"/>
      <c r="R77" s="16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9"/>
      <c r="AG77" s="88"/>
      <c r="AH77" s="88"/>
      <c r="AI77" s="88"/>
      <c r="AJ77" s="88"/>
      <c r="AK77" s="88"/>
      <c r="AL77" s="88"/>
      <c r="AM77" s="88"/>
      <c r="AN77" s="88"/>
      <c r="AO77" s="88"/>
      <c r="AP77" s="88"/>
      <c r="AQ77" s="88"/>
      <c r="AR77" s="89"/>
      <c r="AS77" s="88"/>
      <c r="AT77" s="88"/>
      <c r="AU77" s="88"/>
      <c r="AV77" s="88"/>
      <c r="AW77" s="88"/>
      <c r="AX77" s="88"/>
      <c r="AY77" s="88"/>
      <c r="AZ77" s="88"/>
      <c r="BA77" s="88"/>
      <c r="BB77" s="88"/>
      <c r="BC77" s="88"/>
      <c r="BD77" s="89"/>
      <c r="BE77" s="88"/>
      <c r="BF77" s="88"/>
      <c r="BG77" s="88"/>
      <c r="BH77" s="88"/>
      <c r="BI77" s="88"/>
      <c r="BJ77" s="88"/>
      <c r="BK77" s="88"/>
      <c r="BL77" s="88"/>
      <c r="BM77" s="88"/>
      <c r="BN77" s="88"/>
      <c r="BO77" s="88"/>
      <c r="BP77" s="89"/>
      <c r="BQ77" s="88"/>
      <c r="BR77" s="88"/>
      <c r="BS77" s="88"/>
      <c r="BT77" s="88"/>
      <c r="BU77" s="88"/>
      <c r="BV77" s="88"/>
      <c r="BW77" s="88"/>
      <c r="BX77" s="88"/>
      <c r="BY77" s="88"/>
      <c r="BZ77" s="88"/>
      <c r="CA77" s="88"/>
      <c r="CC77" s="90"/>
      <c r="CD77" s="90"/>
      <c r="CE77" s="90"/>
      <c r="CF77" s="90"/>
      <c r="CG77" s="90"/>
      <c r="CI77" s="90"/>
      <c r="CJ77" s="90"/>
      <c r="CK77" s="90"/>
      <c r="CL77" s="90"/>
      <c r="CM77" s="90"/>
    </row>
    <row r="78" s="14" customFormat="true" ht="16.5" hidden="false" customHeight="true" outlineLevel="0" collapsed="false">
      <c r="E78" s="21" t="s">
        <v>140</v>
      </c>
      <c r="H78" s="71"/>
      <c r="I78" s="88"/>
      <c r="J78" s="88"/>
      <c r="K78" s="88"/>
      <c r="L78" s="88"/>
      <c r="M78" s="88"/>
      <c r="N78" s="88"/>
      <c r="O78" s="88"/>
      <c r="P78" s="88"/>
      <c r="Q78" s="16"/>
      <c r="R78" s="16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9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9"/>
      <c r="AS78" s="88"/>
      <c r="AT78" s="88"/>
      <c r="AU78" s="88"/>
      <c r="AV78" s="88"/>
      <c r="AW78" s="88"/>
      <c r="AX78" s="88"/>
      <c r="AY78" s="88"/>
      <c r="AZ78" s="88"/>
      <c r="BA78" s="88"/>
      <c r="BB78" s="88"/>
      <c r="BC78" s="88"/>
      <c r="BD78" s="89"/>
      <c r="BE78" s="88"/>
      <c r="BF78" s="88"/>
      <c r="BG78" s="88"/>
      <c r="BH78" s="88"/>
      <c r="BI78" s="88"/>
      <c r="BJ78" s="88"/>
      <c r="BK78" s="88"/>
      <c r="BL78" s="88"/>
      <c r="BM78" s="88"/>
      <c r="BN78" s="88"/>
      <c r="BO78" s="88"/>
      <c r="BP78" s="89"/>
      <c r="BQ78" s="88"/>
      <c r="BR78" s="88"/>
      <c r="BS78" s="88"/>
      <c r="BT78" s="88"/>
      <c r="BU78" s="88"/>
      <c r="BV78" s="88"/>
      <c r="BW78" s="88"/>
      <c r="BX78" s="88"/>
      <c r="BY78" s="88"/>
      <c r="BZ78" s="88"/>
      <c r="CA78" s="88"/>
      <c r="CC78" s="90"/>
      <c r="CD78" s="90"/>
      <c r="CE78" s="90"/>
      <c r="CF78" s="90"/>
      <c r="CG78" s="90"/>
      <c r="CI78" s="90"/>
      <c r="CJ78" s="90"/>
      <c r="CK78" s="90"/>
      <c r="CL78" s="90"/>
      <c r="CM78" s="90"/>
    </row>
    <row r="79" s="14" customFormat="true" ht="16.5" hidden="false" customHeight="true" outlineLevel="0" collapsed="false">
      <c r="E79" s="91" t="s">
        <v>795</v>
      </c>
      <c r="H79" s="71" t="s">
        <v>796</v>
      </c>
      <c r="I79" s="213" t="n">
        <f aca="false">'SVC-6 Model'!$D$63</f>
        <v>14.66433741</v>
      </c>
      <c r="J79" s="213" t="n">
        <f aca="false">I79-'SVC-6 Model'!$K$63</f>
        <v>10.6247907169953</v>
      </c>
      <c r="K79" s="214" t="n">
        <f aca="false">'SVC-6 Model'!$K$63</f>
        <v>4.03954669300466</v>
      </c>
      <c r="L79" s="213" t="n">
        <f aca="false">'SVC-6 Model'!L63</f>
        <v>0</v>
      </c>
      <c r="M79" s="213" t="n">
        <f aca="false">'SVC-6 Model'!M63</f>
        <v>0.673257782167443</v>
      </c>
      <c r="N79" s="213" t="n">
        <f aca="false">'SVC-6 Model'!N63</f>
        <v>3.87123224746279</v>
      </c>
      <c r="O79" s="213" t="n">
        <f aca="false">'SVC-6 Model'!O63</f>
        <v>4.03954669300466</v>
      </c>
      <c r="P79" s="213" t="n">
        <f aca="false">'SVC-6 Model'!P63</f>
        <v>4.03954669300466</v>
      </c>
      <c r="Q79" s="93" t="s">
        <v>266</v>
      </c>
      <c r="R79" s="16" t="str">
        <f aca="false">IF(K79=P79, "", "Error")</f>
        <v/>
      </c>
      <c r="T79" s="213" t="n">
        <f aca="false">'SVC-6 Model'!T63</f>
        <v>0</v>
      </c>
      <c r="U79" s="213" t="n">
        <f aca="false">'SVC-6 Model'!U63</f>
        <v>0</v>
      </c>
      <c r="V79" s="213" t="n">
        <f aca="false">'SVC-6 Model'!V63</f>
        <v>0</v>
      </c>
      <c r="W79" s="213" t="n">
        <f aca="false">'SVC-6 Model'!W63</f>
        <v>0</v>
      </c>
      <c r="X79" s="213" t="n">
        <f aca="false">'SVC-6 Model'!X63</f>
        <v>0</v>
      </c>
      <c r="Y79" s="213" t="n">
        <f aca="false">'SVC-6 Model'!Y63</f>
        <v>0</v>
      </c>
      <c r="Z79" s="213" t="n">
        <f aca="false">'SVC-6 Model'!Z63</f>
        <v>0</v>
      </c>
      <c r="AA79" s="213" t="n">
        <f aca="false">'SVC-6 Model'!AA63</f>
        <v>0</v>
      </c>
      <c r="AB79" s="213" t="n">
        <f aca="false">'SVC-6 Model'!AB63</f>
        <v>0</v>
      </c>
      <c r="AC79" s="213" t="n">
        <f aca="false">'SVC-6 Model'!AC63</f>
        <v>0</v>
      </c>
      <c r="AD79" s="213" t="n">
        <f aca="false">'SVC-6 Model'!AD63</f>
        <v>0</v>
      </c>
      <c r="AE79" s="215" t="n">
        <f aca="false">'SVC-6 Model'!AE63</f>
        <v>0</v>
      </c>
      <c r="AF79" s="216" t="n">
        <f aca="false">'SVC-6 Model'!AF63</f>
        <v>0</v>
      </c>
      <c r="AG79" s="216" t="n">
        <f aca="false">'SVC-6 Model'!AG63</f>
        <v>0</v>
      </c>
      <c r="AH79" s="216" t="n">
        <f aca="false">'SVC-6 Model'!AH63</f>
        <v>0</v>
      </c>
      <c r="AI79" s="216" t="n">
        <f aca="false">'SVC-6 Model'!AI63</f>
        <v>0</v>
      </c>
      <c r="AJ79" s="216" t="n">
        <f aca="false">'SVC-6 Model'!AJ63</f>
        <v>0</v>
      </c>
      <c r="AK79" s="216" t="n">
        <f aca="false">'SVC-6 Model'!AK63</f>
        <v>0</v>
      </c>
      <c r="AL79" s="216" t="n">
        <f aca="false">'SVC-6 Model'!AL63</f>
        <v>0.0187016050602067</v>
      </c>
      <c r="AM79" s="216" t="n">
        <f aca="false">'SVC-6 Model'!AM63</f>
        <v>0.0561048151806202</v>
      </c>
      <c r="AN79" s="216" t="n">
        <f aca="false">'SVC-6 Model'!AN63</f>
        <v>0.0935080253010337</v>
      </c>
      <c r="AO79" s="216" t="n">
        <f aca="false">'SVC-6 Model'!AO63</f>
        <v>0.130911235421447</v>
      </c>
      <c r="AP79" s="216" t="n">
        <f aca="false">'SVC-6 Model'!AP63</f>
        <v>0.168314445541861</v>
      </c>
      <c r="AQ79" s="216" t="n">
        <f aca="false">'SVC-6 Model'!AQ63</f>
        <v>0.205717655662274</v>
      </c>
      <c r="AR79" s="216" t="n">
        <f aca="false">'SVC-6 Model'!AR63</f>
        <v>0.243120865782688</v>
      </c>
      <c r="AS79" s="216" t="n">
        <f aca="false">'SVC-6 Model'!AS63</f>
        <v>0.280524075903101</v>
      </c>
      <c r="AT79" s="216" t="n">
        <f aca="false">'SVC-6 Model'!AT63</f>
        <v>0.317927286023515</v>
      </c>
      <c r="AU79" s="216" t="n">
        <f aca="false">'SVC-6 Model'!AU63</f>
        <v>0.336628891083721</v>
      </c>
      <c r="AV79" s="216" t="n">
        <f aca="false">'SVC-6 Model'!AV63</f>
        <v>0.336628891083721</v>
      </c>
      <c r="AW79" s="216" t="n">
        <f aca="false">'SVC-6 Model'!AW63</f>
        <v>0.336628891083721</v>
      </c>
      <c r="AX79" s="216" t="n">
        <f aca="false">'SVC-6 Model'!AX63</f>
        <v>0.336628891083721</v>
      </c>
      <c r="AY79" s="216" t="n">
        <f aca="false">'SVC-6 Model'!AY63</f>
        <v>0.336628891083721</v>
      </c>
      <c r="AZ79" s="216" t="n">
        <f aca="false">'SVC-6 Model'!AZ63</f>
        <v>0.336628891083721</v>
      </c>
      <c r="BA79" s="216" t="n">
        <f aca="false">'SVC-6 Model'!BA63</f>
        <v>0.336628891083721</v>
      </c>
      <c r="BB79" s="216" t="n">
        <f aca="false">'SVC-6 Model'!BB63</f>
        <v>0.336628891083721</v>
      </c>
      <c r="BC79" s="216" t="n">
        <f aca="false">'SVC-6 Model'!BC63</f>
        <v>0.336628891083721</v>
      </c>
      <c r="BD79" s="216" t="n">
        <f aca="false">'SVC-6 Model'!BD63</f>
        <v>0.336628891083721</v>
      </c>
      <c r="BE79" s="216" t="n">
        <f aca="false">'SVC-6 Model'!BE63</f>
        <v>0.336628891083721</v>
      </c>
      <c r="BF79" s="216" t="n">
        <f aca="false">'SVC-6 Model'!BF63</f>
        <v>0.336628891083721</v>
      </c>
      <c r="BG79" s="216" t="n">
        <f aca="false">'SVC-6 Model'!BG63</f>
        <v>0.336628891083721</v>
      </c>
      <c r="BH79" s="216" t="n">
        <f aca="false">'SVC-6 Model'!BH63</f>
        <v>0.336628891083721</v>
      </c>
      <c r="BI79" s="216" t="n">
        <f aca="false">'SVC-6 Model'!BI63</f>
        <v>0.336628891083721</v>
      </c>
      <c r="BJ79" s="216" t="n">
        <f aca="false">'SVC-6 Model'!BJ63</f>
        <v>0.336628891083721</v>
      </c>
      <c r="BK79" s="216" t="n">
        <f aca="false">'SVC-6 Model'!BK63</f>
        <v>0.336628891083721</v>
      </c>
      <c r="BL79" s="216" t="n">
        <f aca="false">'SVC-6 Model'!BL63</f>
        <v>0.336628891083721</v>
      </c>
      <c r="BM79" s="216" t="n">
        <f aca="false">'SVC-6 Model'!BM63</f>
        <v>0.336628891083721</v>
      </c>
      <c r="BN79" s="216" t="n">
        <f aca="false">'SVC-6 Model'!BN63</f>
        <v>0.336628891083721</v>
      </c>
      <c r="BO79" s="216" t="n">
        <f aca="false">'SVC-6 Model'!BO63</f>
        <v>0.336628891083721</v>
      </c>
      <c r="BP79" s="216" t="n">
        <f aca="false">'SVC-6 Model'!BP63</f>
        <v>0.336628891083721</v>
      </c>
      <c r="BQ79" s="216" t="n">
        <f aca="false">'SVC-6 Model'!BQ63</f>
        <v>0.336628891083721</v>
      </c>
      <c r="BR79" s="216" t="n">
        <f aca="false">'SVC-6 Model'!BR63</f>
        <v>0.336628891083721</v>
      </c>
      <c r="BS79" s="216" t="n">
        <f aca="false">'SVC-6 Model'!BS63</f>
        <v>0.336628891083721</v>
      </c>
      <c r="BT79" s="216" t="n">
        <f aca="false">'SVC-6 Model'!BT63</f>
        <v>0.336628891083721</v>
      </c>
      <c r="BU79" s="216" t="n">
        <f aca="false">'SVC-6 Model'!BU63</f>
        <v>0.336628891083721</v>
      </c>
      <c r="BV79" s="216" t="n">
        <f aca="false">'SVC-6 Model'!BV63</f>
        <v>0.336628891083721</v>
      </c>
      <c r="BW79" s="216" t="n">
        <f aca="false">'SVC-6 Model'!BW63</f>
        <v>0.336628891083721</v>
      </c>
      <c r="BX79" s="216" t="n">
        <f aca="false">'SVC-6 Model'!BX63</f>
        <v>0.336628891083721</v>
      </c>
      <c r="BY79" s="216" t="n">
        <f aca="false">'SVC-6 Model'!BY63</f>
        <v>0.336628891083721</v>
      </c>
      <c r="BZ79" s="216" t="n">
        <f aca="false">'SVC-6 Model'!BZ63</f>
        <v>0.336628891083721</v>
      </c>
      <c r="CA79" s="216" t="n">
        <f aca="false">'SVC-6 Model'!CA63</f>
        <v>0.336628891083721</v>
      </c>
      <c r="CC79" s="79" t="n">
        <f aca="false">SUMIFS($T79:$CA79, $T$1:$CA$1, CC$63)</f>
        <v>0</v>
      </c>
      <c r="CD79" s="79" t="n">
        <f aca="false">SUMIFS($T79:$CA79, $T$1:$CA$1, CD$63)</f>
        <v>0.673257782167443</v>
      </c>
      <c r="CE79" s="79" t="n">
        <f aca="false">SUMIFS($T79:$CA79, $T$1:$CA$1, CE$63)</f>
        <v>3.87123224746279</v>
      </c>
      <c r="CF79" s="79" t="n">
        <f aca="false">SUMIFS($T79:$CA79, $T$1:$CA$1, CF$63)</f>
        <v>4.03954669300466</v>
      </c>
      <c r="CG79" s="79" t="n">
        <f aca="false">SUMIFS($T79:$CA79, $T$1:$CA$1, CG$63)</f>
        <v>4.03954669300466</v>
      </c>
      <c r="CI79" s="79" t="n">
        <f aca="false">CC79=L79</f>
        <v>1</v>
      </c>
      <c r="CJ79" s="79" t="n">
        <f aca="false">CD79=M79</f>
        <v>1</v>
      </c>
      <c r="CK79" s="79" t="n">
        <f aca="false">CE79=N79</f>
        <v>1</v>
      </c>
      <c r="CL79" s="79" t="n">
        <f aca="false">CF79=O79</f>
        <v>1</v>
      </c>
      <c r="CM79" s="79" t="n">
        <f aca="false">CG79=P79</f>
        <v>1</v>
      </c>
    </row>
    <row r="80" s="14" customFormat="true" ht="16.5" hidden="false" customHeight="true" outlineLevel="0" collapsed="false">
      <c r="E80" s="91"/>
      <c r="H80" s="71"/>
      <c r="I80" s="91" t="n">
        <v>0</v>
      </c>
      <c r="J80" s="91" t="n">
        <v>0</v>
      </c>
      <c r="K80" s="212" t="n">
        <f aca="false">I80-J80</f>
        <v>0</v>
      </c>
      <c r="L80" s="91"/>
      <c r="M80" s="91"/>
      <c r="N80" s="91"/>
      <c r="O80" s="91"/>
      <c r="P80" s="91"/>
      <c r="Q80" s="93"/>
      <c r="R80" s="16" t="str">
        <f aca="false">IF(K80=P80, "", "Error")</f>
        <v/>
      </c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4"/>
      <c r="AF80" s="95"/>
      <c r="AG80" s="91"/>
      <c r="AH80" s="91"/>
      <c r="AI80" s="91"/>
      <c r="AJ80" s="91"/>
      <c r="AK80" s="91"/>
      <c r="AL80" s="91"/>
      <c r="AM80" s="91"/>
      <c r="AN80" s="91"/>
      <c r="AO80" s="91"/>
      <c r="AP80" s="91"/>
      <c r="AQ80" s="94"/>
      <c r="AR80" s="95"/>
      <c r="AS80" s="91"/>
      <c r="AT80" s="91"/>
      <c r="AU80" s="91"/>
      <c r="AV80" s="91"/>
      <c r="AW80" s="91"/>
      <c r="AX80" s="91"/>
      <c r="AY80" s="91"/>
      <c r="AZ80" s="91"/>
      <c r="BA80" s="91"/>
      <c r="BB80" s="91"/>
      <c r="BC80" s="94"/>
      <c r="BD80" s="95"/>
      <c r="BE80" s="91"/>
      <c r="BF80" s="91"/>
      <c r="BG80" s="91"/>
      <c r="BH80" s="91"/>
      <c r="BI80" s="91"/>
      <c r="BJ80" s="91"/>
      <c r="BK80" s="91"/>
      <c r="BL80" s="91"/>
      <c r="BM80" s="91"/>
      <c r="BN80" s="91"/>
      <c r="BO80" s="94"/>
      <c r="BP80" s="95"/>
      <c r="BQ80" s="91"/>
      <c r="BR80" s="91"/>
      <c r="BS80" s="91"/>
      <c r="BT80" s="91"/>
      <c r="BU80" s="91"/>
      <c r="BV80" s="91"/>
      <c r="BW80" s="91"/>
      <c r="BX80" s="91"/>
      <c r="BY80" s="91"/>
      <c r="BZ80" s="91"/>
      <c r="CA80" s="91"/>
      <c r="CC80" s="79" t="n">
        <f aca="false">SUMIFS($T80:$CA80, $T$1:$CA$1, CC$63)</f>
        <v>0</v>
      </c>
      <c r="CD80" s="79" t="n">
        <f aca="false">SUMIFS($T80:$CA80, $T$1:$CA$1, CD$63)</f>
        <v>0</v>
      </c>
      <c r="CE80" s="79" t="n">
        <f aca="false">SUMIFS($T80:$CA80, $T$1:$CA$1, CE$63)</f>
        <v>0</v>
      </c>
      <c r="CF80" s="79" t="n">
        <f aca="false">SUMIFS($T80:$CA80, $T$1:$CA$1, CF$63)</f>
        <v>0</v>
      </c>
      <c r="CG80" s="79" t="n">
        <f aca="false">SUMIFS($T80:$CA80, $T$1:$CA$1, CG$63)</f>
        <v>0</v>
      </c>
      <c r="CI80" s="79" t="n">
        <f aca="false">CC80=L80</f>
        <v>1</v>
      </c>
      <c r="CJ80" s="79" t="n">
        <f aca="false">CD80=M80</f>
        <v>1</v>
      </c>
      <c r="CK80" s="79" t="n">
        <f aca="false">CE80=N80</f>
        <v>1</v>
      </c>
      <c r="CL80" s="79" t="n">
        <f aca="false">CF80=O80</f>
        <v>1</v>
      </c>
      <c r="CM80" s="79" t="n">
        <f aca="false">CG80=P80</f>
        <v>1</v>
      </c>
    </row>
    <row r="81" s="14" customFormat="true" ht="16.5" hidden="false" customHeight="true" outlineLevel="0" collapsed="false">
      <c r="E81" s="91"/>
      <c r="H81" s="71"/>
      <c r="I81" s="91" t="n">
        <v>0</v>
      </c>
      <c r="J81" s="91" t="n">
        <v>0</v>
      </c>
      <c r="K81" s="212" t="n">
        <f aca="false">I81-J81</f>
        <v>0</v>
      </c>
      <c r="L81" s="91"/>
      <c r="M81" s="91"/>
      <c r="N81" s="91"/>
      <c r="O81" s="91"/>
      <c r="P81" s="91"/>
      <c r="Q81" s="93"/>
      <c r="R81" s="16" t="str">
        <f aca="false">IF(K81=P81, "", "Error")</f>
        <v/>
      </c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4"/>
      <c r="AF81" s="95"/>
      <c r="AG81" s="91"/>
      <c r="AH81" s="91"/>
      <c r="AI81" s="91"/>
      <c r="AJ81" s="91"/>
      <c r="AK81" s="91"/>
      <c r="AL81" s="91"/>
      <c r="AM81" s="91"/>
      <c r="AN81" s="91"/>
      <c r="AO81" s="91"/>
      <c r="AP81" s="91"/>
      <c r="AQ81" s="94"/>
      <c r="AR81" s="95"/>
      <c r="AS81" s="91"/>
      <c r="AT81" s="91"/>
      <c r="AU81" s="91"/>
      <c r="AV81" s="91"/>
      <c r="AW81" s="91"/>
      <c r="AX81" s="91"/>
      <c r="AY81" s="91"/>
      <c r="AZ81" s="91"/>
      <c r="BA81" s="91"/>
      <c r="BB81" s="91"/>
      <c r="BC81" s="94"/>
      <c r="BD81" s="95"/>
      <c r="BE81" s="91"/>
      <c r="BF81" s="91"/>
      <c r="BG81" s="91"/>
      <c r="BH81" s="91"/>
      <c r="BI81" s="91"/>
      <c r="BJ81" s="91"/>
      <c r="BK81" s="91"/>
      <c r="BL81" s="91"/>
      <c r="BM81" s="91"/>
      <c r="BN81" s="91"/>
      <c r="BO81" s="94"/>
      <c r="BP81" s="95"/>
      <c r="BQ81" s="91"/>
      <c r="BR81" s="91"/>
      <c r="BS81" s="91"/>
      <c r="BT81" s="91"/>
      <c r="BU81" s="91"/>
      <c r="BV81" s="91"/>
      <c r="BW81" s="91"/>
      <c r="BX81" s="91"/>
      <c r="BY81" s="91"/>
      <c r="BZ81" s="91"/>
      <c r="CA81" s="91"/>
      <c r="CC81" s="79" t="n">
        <f aca="false">SUMIFS($T81:$CA81, $T$1:$CA$1, CC$63)</f>
        <v>0</v>
      </c>
      <c r="CD81" s="79" t="n">
        <f aca="false">SUMIFS($T81:$CA81, $T$1:$CA$1, CD$63)</f>
        <v>0</v>
      </c>
      <c r="CE81" s="79" t="n">
        <f aca="false">SUMIFS($T81:$CA81, $T$1:$CA$1, CE$63)</f>
        <v>0</v>
      </c>
      <c r="CF81" s="79" t="n">
        <f aca="false">SUMIFS($T81:$CA81, $T$1:$CA$1, CF$63)</f>
        <v>0</v>
      </c>
      <c r="CG81" s="79" t="n">
        <f aca="false">SUMIFS($T81:$CA81, $T$1:$CA$1, CG$63)</f>
        <v>0</v>
      </c>
      <c r="CI81" s="79" t="n">
        <f aca="false">CC81=L81</f>
        <v>1</v>
      </c>
      <c r="CJ81" s="79" t="n">
        <f aca="false">CD81=M81</f>
        <v>1</v>
      </c>
      <c r="CK81" s="79" t="n">
        <f aca="false">CE81=N81</f>
        <v>1</v>
      </c>
      <c r="CL81" s="79" t="n">
        <f aca="false">CF81=O81</f>
        <v>1</v>
      </c>
      <c r="CM81" s="79" t="n">
        <f aca="false">CG81=P81</f>
        <v>1</v>
      </c>
    </row>
    <row r="82" s="14" customFormat="true" ht="16.5" hidden="false" customHeight="true" outlineLevel="0" collapsed="false">
      <c r="E82" s="91"/>
      <c r="H82" s="71"/>
      <c r="I82" s="91" t="n">
        <v>0</v>
      </c>
      <c r="J82" s="91" t="n">
        <v>0</v>
      </c>
      <c r="K82" s="212" t="n">
        <f aca="false">I82-J82</f>
        <v>0</v>
      </c>
      <c r="L82" s="91"/>
      <c r="M82" s="91"/>
      <c r="N82" s="91"/>
      <c r="O82" s="91"/>
      <c r="P82" s="91"/>
      <c r="Q82" s="93"/>
      <c r="R82" s="16" t="str">
        <f aca="false">IF(K82=P82, "", "Error")</f>
        <v/>
      </c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4"/>
      <c r="AF82" s="95"/>
      <c r="AG82" s="91"/>
      <c r="AH82" s="91"/>
      <c r="AI82" s="91"/>
      <c r="AJ82" s="91"/>
      <c r="AK82" s="91"/>
      <c r="AL82" s="91"/>
      <c r="AM82" s="91"/>
      <c r="AN82" s="91"/>
      <c r="AO82" s="91"/>
      <c r="AP82" s="91"/>
      <c r="AQ82" s="94"/>
      <c r="AR82" s="95"/>
      <c r="AS82" s="91"/>
      <c r="AT82" s="91"/>
      <c r="AU82" s="91"/>
      <c r="AV82" s="91"/>
      <c r="AW82" s="91"/>
      <c r="AX82" s="91"/>
      <c r="AY82" s="91"/>
      <c r="AZ82" s="91"/>
      <c r="BA82" s="91"/>
      <c r="BB82" s="91"/>
      <c r="BC82" s="94"/>
      <c r="BD82" s="95"/>
      <c r="BE82" s="91"/>
      <c r="BF82" s="91"/>
      <c r="BG82" s="91"/>
      <c r="BH82" s="91"/>
      <c r="BI82" s="91"/>
      <c r="BJ82" s="91"/>
      <c r="BK82" s="91"/>
      <c r="BL82" s="91"/>
      <c r="BM82" s="91"/>
      <c r="BN82" s="91"/>
      <c r="BO82" s="94"/>
      <c r="BP82" s="95"/>
      <c r="BQ82" s="91"/>
      <c r="BR82" s="91"/>
      <c r="BS82" s="91"/>
      <c r="BT82" s="91"/>
      <c r="BU82" s="91"/>
      <c r="BV82" s="91"/>
      <c r="BW82" s="91"/>
      <c r="BX82" s="91"/>
      <c r="BY82" s="91"/>
      <c r="BZ82" s="91"/>
      <c r="CA82" s="91"/>
      <c r="CC82" s="79" t="n">
        <f aca="false">SUMIFS($T82:$CA82, $T$1:$CA$1, CC$63)</f>
        <v>0</v>
      </c>
      <c r="CD82" s="79" t="n">
        <f aca="false">SUMIFS($T82:$CA82, $T$1:$CA$1, CD$63)</f>
        <v>0</v>
      </c>
      <c r="CE82" s="79" t="n">
        <f aca="false">SUMIFS($T82:$CA82, $T$1:$CA$1, CE$63)</f>
        <v>0</v>
      </c>
      <c r="CF82" s="79" t="n">
        <f aca="false">SUMIFS($T82:$CA82, $T$1:$CA$1, CF$63)</f>
        <v>0</v>
      </c>
      <c r="CG82" s="79" t="n">
        <f aca="false">SUMIFS($T82:$CA82, $T$1:$CA$1, CG$63)</f>
        <v>0</v>
      </c>
      <c r="CI82" s="79" t="n">
        <f aca="false">CC82=L82</f>
        <v>1</v>
      </c>
      <c r="CJ82" s="79" t="n">
        <f aca="false">CD82=M82</f>
        <v>1</v>
      </c>
      <c r="CK82" s="79" t="n">
        <f aca="false">CE82=N82</f>
        <v>1</v>
      </c>
      <c r="CL82" s="79" t="n">
        <f aca="false">CF82=O82</f>
        <v>1</v>
      </c>
      <c r="CM82" s="79" t="n">
        <f aca="false">CG82=P82</f>
        <v>1</v>
      </c>
    </row>
    <row r="83" s="14" customFormat="true" ht="16.5" hidden="false" customHeight="true" outlineLevel="0" collapsed="false">
      <c r="E83" s="91"/>
      <c r="H83" s="71"/>
      <c r="I83" s="91" t="n">
        <v>0</v>
      </c>
      <c r="J83" s="91" t="n">
        <v>0</v>
      </c>
      <c r="K83" s="212" t="n">
        <f aca="false">I83-J83</f>
        <v>0</v>
      </c>
      <c r="L83" s="91"/>
      <c r="M83" s="91"/>
      <c r="N83" s="91"/>
      <c r="O83" s="91"/>
      <c r="P83" s="91"/>
      <c r="Q83" s="93"/>
      <c r="R83" s="16" t="str">
        <f aca="false">IF(K83=P83, "", "Error")</f>
        <v/>
      </c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4"/>
      <c r="AF83" s="95"/>
      <c r="AG83" s="91"/>
      <c r="AH83" s="91"/>
      <c r="AI83" s="91"/>
      <c r="AJ83" s="91"/>
      <c r="AK83" s="91"/>
      <c r="AL83" s="91"/>
      <c r="AM83" s="91"/>
      <c r="AN83" s="91"/>
      <c r="AO83" s="91"/>
      <c r="AP83" s="91"/>
      <c r="AQ83" s="94"/>
      <c r="AR83" s="95"/>
      <c r="AS83" s="91"/>
      <c r="AT83" s="91"/>
      <c r="AU83" s="91"/>
      <c r="AV83" s="91"/>
      <c r="AW83" s="91"/>
      <c r="AX83" s="91"/>
      <c r="AY83" s="91"/>
      <c r="AZ83" s="91"/>
      <c r="BA83" s="91"/>
      <c r="BB83" s="91"/>
      <c r="BC83" s="94"/>
      <c r="BD83" s="95"/>
      <c r="BE83" s="91"/>
      <c r="BF83" s="91"/>
      <c r="BG83" s="91"/>
      <c r="BH83" s="91"/>
      <c r="BI83" s="91"/>
      <c r="BJ83" s="91"/>
      <c r="BK83" s="91"/>
      <c r="BL83" s="91"/>
      <c r="BM83" s="91"/>
      <c r="BN83" s="91"/>
      <c r="BO83" s="94"/>
      <c r="BP83" s="95"/>
      <c r="BQ83" s="91"/>
      <c r="BR83" s="91"/>
      <c r="BS83" s="91"/>
      <c r="BT83" s="91"/>
      <c r="BU83" s="91"/>
      <c r="BV83" s="91"/>
      <c r="BW83" s="91"/>
      <c r="BX83" s="91"/>
      <c r="BY83" s="91"/>
      <c r="BZ83" s="91"/>
      <c r="CA83" s="91"/>
      <c r="CC83" s="79" t="n">
        <f aca="false">SUMIFS($T83:$CA83, $T$1:$CA$1, CC$63)</f>
        <v>0</v>
      </c>
      <c r="CD83" s="79" t="n">
        <f aca="false">SUMIFS($T83:$CA83, $T$1:$CA$1, CD$63)</f>
        <v>0</v>
      </c>
      <c r="CE83" s="79" t="n">
        <f aca="false">SUMIFS($T83:$CA83, $T$1:$CA$1, CE$63)</f>
        <v>0</v>
      </c>
      <c r="CF83" s="79" t="n">
        <f aca="false">SUMIFS($T83:$CA83, $T$1:$CA$1, CF$63)</f>
        <v>0</v>
      </c>
      <c r="CG83" s="79" t="n">
        <f aca="false">SUMIFS($T83:$CA83, $T$1:$CA$1, CG$63)</f>
        <v>0</v>
      </c>
      <c r="CI83" s="79" t="n">
        <f aca="false">CC83=L83</f>
        <v>1</v>
      </c>
      <c r="CJ83" s="79" t="n">
        <f aca="false">CD83=M83</f>
        <v>1</v>
      </c>
      <c r="CK83" s="79" t="n">
        <f aca="false">CE83=N83</f>
        <v>1</v>
      </c>
      <c r="CL83" s="79" t="n">
        <f aca="false">CF83=O83</f>
        <v>1</v>
      </c>
      <c r="CM83" s="79" t="n">
        <f aca="false">CG83=P83</f>
        <v>1</v>
      </c>
    </row>
    <row r="84" s="14" customFormat="true" ht="16.5" hidden="false" customHeight="true" outlineLevel="0" collapsed="false">
      <c r="E84" s="96" t="s">
        <v>143</v>
      </c>
      <c r="H84" s="71"/>
      <c r="I84" s="82" t="n">
        <f aca="false">SUM(I79:I83)</f>
        <v>14.66433741</v>
      </c>
      <c r="J84" s="82" t="n">
        <f aca="false">SUM(J79:J83)</f>
        <v>10.6247907169953</v>
      </c>
      <c r="K84" s="82" t="n">
        <f aca="false">SUM(K79:K83)</f>
        <v>4.03954669300466</v>
      </c>
      <c r="L84" s="82" t="n">
        <f aca="false">SUM(L79:L83)</f>
        <v>0</v>
      </c>
      <c r="M84" s="82" t="n">
        <f aca="false">SUM(M79:M83)</f>
        <v>0.673257782167443</v>
      </c>
      <c r="N84" s="82" t="n">
        <f aca="false">SUM(N79:N83)</f>
        <v>3.87123224746279</v>
      </c>
      <c r="O84" s="82" t="n">
        <f aca="false">SUM(O79:O83)</f>
        <v>4.03954669300466</v>
      </c>
      <c r="P84" s="82" t="n">
        <f aca="false">SUM(P79:P83)</f>
        <v>4.03954669300466</v>
      </c>
      <c r="Q84" s="103"/>
      <c r="R84" s="103"/>
      <c r="S84" s="104"/>
      <c r="T84" s="82" t="n">
        <f aca="false">SUM(T79:T83)</f>
        <v>0</v>
      </c>
      <c r="U84" s="82" t="n">
        <f aca="false">SUM(U79:U83)</f>
        <v>0</v>
      </c>
      <c r="V84" s="82" t="n">
        <f aca="false">SUM(V79:V83)</f>
        <v>0</v>
      </c>
      <c r="W84" s="82" t="n">
        <f aca="false">SUM(W79:W83)</f>
        <v>0</v>
      </c>
      <c r="X84" s="82" t="n">
        <f aca="false">SUM(X79:X83)</f>
        <v>0</v>
      </c>
      <c r="Y84" s="82" t="n">
        <f aca="false">SUM(Y79:Y83)</f>
        <v>0</v>
      </c>
      <c r="Z84" s="82" t="n">
        <f aca="false">SUM(Z79:Z83)</f>
        <v>0</v>
      </c>
      <c r="AA84" s="82" t="n">
        <f aca="false">SUM(AA79:AA83)</f>
        <v>0</v>
      </c>
      <c r="AB84" s="82" t="n">
        <f aca="false">SUM(AB79:AB83)</f>
        <v>0</v>
      </c>
      <c r="AC84" s="82" t="n">
        <f aca="false">SUM(AC79:AC83)</f>
        <v>0</v>
      </c>
      <c r="AD84" s="82" t="n">
        <f aca="false">SUM(AD79:AD83)</f>
        <v>0</v>
      </c>
      <c r="AE84" s="82" t="n">
        <f aca="false">SUM(AE79:AE83)</f>
        <v>0</v>
      </c>
      <c r="AF84" s="82" t="n">
        <f aca="false">SUM(AF79:AF83)</f>
        <v>0</v>
      </c>
      <c r="AG84" s="82" t="n">
        <f aca="false">SUM(AG79:AG83)</f>
        <v>0</v>
      </c>
      <c r="AH84" s="82" t="n">
        <f aca="false">SUM(AH79:AH83)</f>
        <v>0</v>
      </c>
      <c r="AI84" s="82" t="n">
        <f aca="false">SUM(AI79:AI83)</f>
        <v>0</v>
      </c>
      <c r="AJ84" s="82" t="n">
        <f aca="false">SUM(AJ79:AJ83)</f>
        <v>0</v>
      </c>
      <c r="AK84" s="82" t="n">
        <f aca="false">SUM(AK79:AK83)</f>
        <v>0</v>
      </c>
      <c r="AL84" s="82" t="n">
        <f aca="false">SUM(AL79:AL83)</f>
        <v>0.0187016050602067</v>
      </c>
      <c r="AM84" s="82" t="n">
        <f aca="false">SUM(AM79:AM83)</f>
        <v>0.0561048151806202</v>
      </c>
      <c r="AN84" s="82" t="n">
        <f aca="false">SUM(AN79:AN83)</f>
        <v>0.0935080253010337</v>
      </c>
      <c r="AO84" s="82" t="n">
        <f aca="false">SUM(AO79:AO83)</f>
        <v>0.130911235421447</v>
      </c>
      <c r="AP84" s="82" t="n">
        <f aca="false">SUM(AP79:AP83)</f>
        <v>0.168314445541861</v>
      </c>
      <c r="AQ84" s="82" t="n">
        <f aca="false">SUM(AQ79:AQ83)</f>
        <v>0.205717655662274</v>
      </c>
      <c r="AR84" s="82" t="n">
        <f aca="false">SUM(AR79:AR83)</f>
        <v>0.243120865782688</v>
      </c>
      <c r="AS84" s="82" t="n">
        <f aca="false">SUM(AS79:AS83)</f>
        <v>0.280524075903101</v>
      </c>
      <c r="AT84" s="82" t="n">
        <f aca="false">SUM(AT79:AT83)</f>
        <v>0.317927286023515</v>
      </c>
      <c r="AU84" s="82" t="n">
        <f aca="false">SUM(AU79:AU83)</f>
        <v>0.336628891083721</v>
      </c>
      <c r="AV84" s="82" t="n">
        <f aca="false">SUM(AV79:AV83)</f>
        <v>0.336628891083721</v>
      </c>
      <c r="AW84" s="82" t="n">
        <f aca="false">SUM(AW79:AW83)</f>
        <v>0.336628891083721</v>
      </c>
      <c r="AX84" s="82" t="n">
        <f aca="false">SUM(AX79:AX83)</f>
        <v>0.336628891083721</v>
      </c>
      <c r="AY84" s="82" t="n">
        <f aca="false">SUM(AY79:AY83)</f>
        <v>0.336628891083721</v>
      </c>
      <c r="AZ84" s="82" t="n">
        <f aca="false">SUM(AZ79:AZ83)</f>
        <v>0.336628891083721</v>
      </c>
      <c r="BA84" s="82" t="n">
        <f aca="false">SUM(BA79:BA83)</f>
        <v>0.336628891083721</v>
      </c>
      <c r="BB84" s="82" t="n">
        <f aca="false">SUM(BB79:BB83)</f>
        <v>0.336628891083721</v>
      </c>
      <c r="BC84" s="82" t="n">
        <f aca="false">SUM(BC79:BC83)</f>
        <v>0.336628891083721</v>
      </c>
      <c r="BD84" s="82" t="n">
        <f aca="false">SUM(BD79:BD83)</f>
        <v>0.336628891083721</v>
      </c>
      <c r="BE84" s="82" t="n">
        <f aca="false">SUM(BE79:BE83)</f>
        <v>0.336628891083721</v>
      </c>
      <c r="BF84" s="82" t="n">
        <f aca="false">SUM(BF79:BF83)</f>
        <v>0.336628891083721</v>
      </c>
      <c r="BG84" s="82" t="n">
        <f aca="false">SUM(BG79:BG83)</f>
        <v>0.336628891083721</v>
      </c>
      <c r="BH84" s="82" t="n">
        <f aca="false">SUM(BH79:BH83)</f>
        <v>0.336628891083721</v>
      </c>
      <c r="BI84" s="82" t="n">
        <f aca="false">SUM(BI79:BI83)</f>
        <v>0.336628891083721</v>
      </c>
      <c r="BJ84" s="82" t="n">
        <f aca="false">SUM(BJ79:BJ83)</f>
        <v>0.336628891083721</v>
      </c>
      <c r="BK84" s="82" t="n">
        <f aca="false">SUM(BK79:BK83)</f>
        <v>0.336628891083721</v>
      </c>
      <c r="BL84" s="82" t="n">
        <f aca="false">SUM(BL79:BL83)</f>
        <v>0.336628891083721</v>
      </c>
      <c r="BM84" s="82" t="n">
        <f aca="false">SUM(BM79:BM83)</f>
        <v>0.336628891083721</v>
      </c>
      <c r="BN84" s="82" t="n">
        <f aca="false">SUM(BN79:BN83)</f>
        <v>0.336628891083721</v>
      </c>
      <c r="BO84" s="82" t="n">
        <f aca="false">SUM(BO79:BO83)</f>
        <v>0.336628891083721</v>
      </c>
      <c r="BP84" s="82" t="n">
        <f aca="false">SUM(BP79:BP83)</f>
        <v>0.336628891083721</v>
      </c>
      <c r="BQ84" s="82" t="n">
        <f aca="false">SUM(BQ79:BQ83)</f>
        <v>0.336628891083721</v>
      </c>
      <c r="BR84" s="82" t="n">
        <f aca="false">SUM(BR79:BR83)</f>
        <v>0.336628891083721</v>
      </c>
      <c r="BS84" s="82" t="n">
        <f aca="false">SUM(BS79:BS83)</f>
        <v>0.336628891083721</v>
      </c>
      <c r="BT84" s="82" t="n">
        <f aca="false">SUM(BT79:BT83)</f>
        <v>0.336628891083721</v>
      </c>
      <c r="BU84" s="82" t="n">
        <f aca="false">SUM(BU79:BU83)</f>
        <v>0.336628891083721</v>
      </c>
      <c r="BV84" s="82" t="n">
        <f aca="false">SUM(BV79:BV83)</f>
        <v>0.336628891083721</v>
      </c>
      <c r="BW84" s="82" t="n">
        <f aca="false">SUM(BW79:BW83)</f>
        <v>0.336628891083721</v>
      </c>
      <c r="BX84" s="82" t="n">
        <f aca="false">SUM(BX79:BX83)</f>
        <v>0.336628891083721</v>
      </c>
      <c r="BY84" s="82" t="n">
        <f aca="false">SUM(BY79:BY83)</f>
        <v>0.336628891083721</v>
      </c>
      <c r="BZ84" s="82" t="n">
        <f aca="false">SUM(BZ79:BZ83)</f>
        <v>0.336628891083721</v>
      </c>
      <c r="CA84" s="82" t="n">
        <f aca="false">SUM(CA79:CA83)</f>
        <v>0.336628891083721</v>
      </c>
      <c r="CB84" s="104"/>
      <c r="CC84" s="105" t="n">
        <f aca="false">SUM(CC79:CC83)</f>
        <v>0</v>
      </c>
      <c r="CD84" s="105" t="n">
        <f aca="false">SUM(CD79:CD83)</f>
        <v>0.673257782167443</v>
      </c>
      <c r="CE84" s="105" t="n">
        <f aca="false">SUM(CE79:CE83)</f>
        <v>3.87123224746279</v>
      </c>
      <c r="CF84" s="105" t="n">
        <f aca="false">SUM(CF79:CF83)</f>
        <v>4.03954669300466</v>
      </c>
      <c r="CG84" s="105" t="n">
        <f aca="false">SUM(CG79:CG83)</f>
        <v>4.03954669300466</v>
      </c>
      <c r="CI84" s="84" t="n">
        <f aca="false">CC84=L84</f>
        <v>1</v>
      </c>
      <c r="CJ84" s="84" t="n">
        <f aca="false">CD84=M84</f>
        <v>1</v>
      </c>
      <c r="CK84" s="84" t="n">
        <f aca="false">CE84=N84</f>
        <v>1</v>
      </c>
      <c r="CL84" s="84" t="n">
        <f aca="false">CF84=O84</f>
        <v>1</v>
      </c>
      <c r="CM84" s="84" t="n">
        <f aca="false">CG84=P84</f>
        <v>1</v>
      </c>
    </row>
    <row r="85" s="14" customFormat="true" ht="16.5" hidden="false" customHeight="true" outlineLevel="0" collapsed="false">
      <c r="E85" s="96"/>
      <c r="H85" s="71"/>
      <c r="I85" s="82"/>
      <c r="J85" s="82"/>
      <c r="K85" s="82"/>
      <c r="L85" s="82"/>
      <c r="M85" s="82"/>
      <c r="N85" s="82"/>
      <c r="O85" s="82"/>
      <c r="P85" s="82"/>
      <c r="Q85" s="16"/>
      <c r="R85" s="16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3"/>
      <c r="AG85" s="82"/>
      <c r="AH85" s="82"/>
      <c r="AI85" s="82"/>
      <c r="AJ85" s="82"/>
      <c r="AK85" s="82"/>
      <c r="AL85" s="82"/>
      <c r="AM85" s="82"/>
      <c r="AN85" s="82"/>
      <c r="AO85" s="82"/>
      <c r="AP85" s="82"/>
      <c r="AQ85" s="82"/>
      <c r="AR85" s="83"/>
      <c r="AS85" s="82"/>
      <c r="AT85" s="82"/>
      <c r="AU85" s="82"/>
      <c r="AV85" s="82"/>
      <c r="AW85" s="82"/>
      <c r="AX85" s="82"/>
      <c r="AY85" s="82"/>
      <c r="AZ85" s="82"/>
      <c r="BA85" s="82"/>
      <c r="BB85" s="82"/>
      <c r="BC85" s="82"/>
      <c r="BD85" s="83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3"/>
      <c r="BQ85" s="82"/>
      <c r="BR85" s="82"/>
      <c r="BS85" s="82"/>
      <c r="BT85" s="82"/>
      <c r="BU85" s="82"/>
      <c r="BV85" s="82"/>
      <c r="BW85" s="82"/>
      <c r="BX85" s="82"/>
      <c r="BY85" s="82"/>
      <c r="BZ85" s="82"/>
      <c r="CA85" s="82"/>
      <c r="CC85" s="84"/>
      <c r="CD85" s="84"/>
      <c r="CE85" s="84"/>
      <c r="CF85" s="84"/>
      <c r="CG85" s="84"/>
      <c r="CI85" s="84"/>
      <c r="CJ85" s="84"/>
      <c r="CK85" s="84"/>
      <c r="CL85" s="84"/>
      <c r="CM85" s="84"/>
    </row>
    <row r="86" s="14" customFormat="true" ht="16.5" hidden="false" customHeight="true" outlineLevel="0" collapsed="false">
      <c r="E86" s="96"/>
      <c r="H86" s="71"/>
      <c r="I86" s="82"/>
      <c r="J86" s="82"/>
      <c r="K86" s="82"/>
      <c r="L86" s="82"/>
      <c r="M86" s="82"/>
      <c r="N86" s="82"/>
      <c r="O86" s="82"/>
      <c r="P86" s="82"/>
      <c r="Q86" s="16"/>
      <c r="R86" s="16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3"/>
      <c r="AG86" s="82"/>
      <c r="AH86" s="82"/>
      <c r="AI86" s="82"/>
      <c r="AJ86" s="82"/>
      <c r="AK86" s="82"/>
      <c r="AL86" s="82"/>
      <c r="AM86" s="82"/>
      <c r="AN86" s="82"/>
      <c r="AO86" s="82"/>
      <c r="AP86" s="82"/>
      <c r="AQ86" s="82"/>
      <c r="AR86" s="83"/>
      <c r="AS86" s="82"/>
      <c r="AT86" s="82"/>
      <c r="AU86" s="82"/>
      <c r="AV86" s="82"/>
      <c r="AW86" s="82"/>
      <c r="AX86" s="82"/>
      <c r="AY86" s="82"/>
      <c r="AZ86" s="82"/>
      <c r="BA86" s="82"/>
      <c r="BB86" s="82"/>
      <c r="BC86" s="82"/>
      <c r="BD86" s="83"/>
      <c r="BE86" s="82"/>
      <c r="BF86" s="82"/>
      <c r="BG86" s="82"/>
      <c r="BH86" s="82"/>
      <c r="BI86" s="82"/>
      <c r="BJ86" s="82"/>
      <c r="BK86" s="82"/>
      <c r="BL86" s="82"/>
      <c r="BM86" s="82"/>
      <c r="BN86" s="82"/>
      <c r="BO86" s="82"/>
      <c r="BP86" s="83"/>
      <c r="BQ86" s="82"/>
      <c r="BR86" s="82"/>
      <c r="BS86" s="82"/>
      <c r="BT86" s="82"/>
      <c r="BU86" s="82"/>
      <c r="BV86" s="82"/>
      <c r="BW86" s="82"/>
      <c r="BX86" s="82"/>
      <c r="BY86" s="82"/>
      <c r="BZ86" s="82"/>
      <c r="CA86" s="82"/>
      <c r="CC86" s="84"/>
      <c r="CD86" s="84"/>
      <c r="CE86" s="84"/>
      <c r="CF86" s="84"/>
      <c r="CG86" s="84"/>
      <c r="CI86" s="84"/>
      <c r="CJ86" s="84"/>
      <c r="CK86" s="84"/>
      <c r="CL86" s="84"/>
      <c r="CM86" s="84"/>
    </row>
    <row r="87" s="14" customFormat="true" ht="16.5" hidden="false" customHeight="true" outlineLevel="0" collapsed="false">
      <c r="E87" s="85"/>
      <c r="H87" s="71"/>
      <c r="I87" s="88"/>
      <c r="J87" s="88"/>
      <c r="K87" s="88"/>
      <c r="L87" s="88"/>
      <c r="M87" s="88"/>
      <c r="N87" s="88"/>
      <c r="O87" s="88"/>
      <c r="P87" s="88"/>
      <c r="Q87" s="16"/>
      <c r="R87" s="16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9"/>
      <c r="AG87" s="88"/>
      <c r="AH87" s="88"/>
      <c r="AI87" s="88"/>
      <c r="AJ87" s="88"/>
      <c r="AK87" s="88"/>
      <c r="AL87" s="88"/>
      <c r="AM87" s="88"/>
      <c r="AN87" s="88"/>
      <c r="AO87" s="88"/>
      <c r="AP87" s="88"/>
      <c r="AQ87" s="88"/>
      <c r="AR87" s="89"/>
      <c r="AS87" s="88"/>
      <c r="AT87" s="88"/>
      <c r="AU87" s="88"/>
      <c r="AV87" s="88"/>
      <c r="AW87" s="88"/>
      <c r="AX87" s="88"/>
      <c r="AY87" s="88"/>
      <c r="AZ87" s="88"/>
      <c r="BA87" s="88"/>
      <c r="BB87" s="88"/>
      <c r="BC87" s="88"/>
      <c r="BD87" s="89"/>
      <c r="BE87" s="88"/>
      <c r="BF87" s="88"/>
      <c r="BG87" s="88"/>
      <c r="BH87" s="88"/>
      <c r="BI87" s="88"/>
      <c r="BJ87" s="88"/>
      <c r="BK87" s="88"/>
      <c r="BL87" s="88"/>
      <c r="BM87" s="88"/>
      <c r="BN87" s="88"/>
      <c r="BO87" s="88"/>
      <c r="BP87" s="89"/>
      <c r="BQ87" s="88"/>
      <c r="BR87" s="88"/>
      <c r="BS87" s="88"/>
      <c r="BT87" s="88"/>
      <c r="BU87" s="88"/>
      <c r="BV87" s="88"/>
      <c r="BW87" s="88"/>
      <c r="BX87" s="88"/>
      <c r="BY87" s="88"/>
      <c r="BZ87" s="88"/>
      <c r="CA87" s="88"/>
      <c r="CC87" s="90"/>
      <c r="CD87" s="90"/>
      <c r="CE87" s="90"/>
      <c r="CF87" s="90"/>
      <c r="CG87" s="90"/>
      <c r="CI87" s="90"/>
      <c r="CJ87" s="90"/>
      <c r="CK87" s="90"/>
      <c r="CL87" s="90"/>
      <c r="CM87" s="90"/>
    </row>
    <row r="88" s="14" customFormat="true" ht="16.5" hidden="false" customHeight="true" outlineLevel="0" collapsed="false">
      <c r="E88" s="109" t="s">
        <v>144</v>
      </c>
      <c r="F88" s="109"/>
      <c r="G88" s="109"/>
      <c r="H88" s="110"/>
      <c r="I88" s="217" t="n">
        <f aca="false">SUM(I68, I76, I84)</f>
        <v>14.66433741</v>
      </c>
      <c r="J88" s="217" t="n">
        <f aca="false">SUM(J68, J76, J84)</f>
        <v>10.6247907169953</v>
      </c>
      <c r="K88" s="217" t="n">
        <f aca="false">SUM(K68, K76, K84)</f>
        <v>4.03954669300466</v>
      </c>
      <c r="L88" s="217" t="n">
        <f aca="false">SUM(L68, L76, L84)</f>
        <v>0</v>
      </c>
      <c r="M88" s="217" t="n">
        <f aca="false">SUM(M68, M76, M84)</f>
        <v>0.673257782167443</v>
      </c>
      <c r="N88" s="217" t="n">
        <f aca="false">SUM(N68, N76, N84)</f>
        <v>3.87123224746279</v>
      </c>
      <c r="O88" s="217" t="n">
        <f aca="false">SUM(O68, O76, O84)</f>
        <v>4.03954669300466</v>
      </c>
      <c r="P88" s="217" t="n">
        <f aca="false">SUM(P68, P76, P84)</f>
        <v>4.03954669300466</v>
      </c>
      <c r="Q88" s="16"/>
      <c r="R88" s="16"/>
      <c r="T88" s="218" t="n">
        <f aca="false">SUM(T68, T76, T84)</f>
        <v>0</v>
      </c>
      <c r="U88" s="218" t="n">
        <f aca="false">SUM(U68, U76, U84)</f>
        <v>0</v>
      </c>
      <c r="V88" s="218" t="n">
        <f aca="false">SUM(V68, V76, V84)</f>
        <v>0</v>
      </c>
      <c r="W88" s="218" t="n">
        <f aca="false">SUM(W68, W76, W84)</f>
        <v>0</v>
      </c>
      <c r="X88" s="218" t="n">
        <f aca="false">SUM(X68, X76, X84)</f>
        <v>0</v>
      </c>
      <c r="Y88" s="218" t="n">
        <f aca="false">SUM(Y68, Y76, Y84)</f>
        <v>0</v>
      </c>
      <c r="Z88" s="218" t="n">
        <f aca="false">SUM(Z68, Z76, Z84)</f>
        <v>0</v>
      </c>
      <c r="AA88" s="218" t="n">
        <f aca="false">SUM(AA68, AA76, AA84)</f>
        <v>0</v>
      </c>
      <c r="AB88" s="218" t="n">
        <f aca="false">SUM(AB68, AB76, AB84)</f>
        <v>0</v>
      </c>
      <c r="AC88" s="218" t="n">
        <f aca="false">SUM(AC68, AC76, AC84)</f>
        <v>0</v>
      </c>
      <c r="AD88" s="218" t="n">
        <f aca="false">SUM(AD68, AD76, AD84)</f>
        <v>0</v>
      </c>
      <c r="AE88" s="218" t="n">
        <f aca="false">SUM(AE68, AE76, AE84)</f>
        <v>0</v>
      </c>
      <c r="AF88" s="218" t="n">
        <f aca="false">SUM(AF68, AF76, AF84)</f>
        <v>0</v>
      </c>
      <c r="AG88" s="218" t="n">
        <f aca="false">SUM(AG68, AG76, AG84)</f>
        <v>0</v>
      </c>
      <c r="AH88" s="218" t="n">
        <f aca="false">SUM(AH68, AH76, AH84)</f>
        <v>0</v>
      </c>
      <c r="AI88" s="218" t="n">
        <f aca="false">SUM(AI68, AI76, AI84)</f>
        <v>0</v>
      </c>
      <c r="AJ88" s="218" t="n">
        <f aca="false">SUM(AJ68, AJ76, AJ84)</f>
        <v>0</v>
      </c>
      <c r="AK88" s="218" t="n">
        <f aca="false">SUM(AK68, AK76, AK84)</f>
        <v>0</v>
      </c>
      <c r="AL88" s="218" t="n">
        <f aca="false">SUM(AL68, AL76, AL84)</f>
        <v>0.0187016050602067</v>
      </c>
      <c r="AM88" s="218" t="n">
        <f aca="false">SUM(AM68, AM76, AM84)</f>
        <v>0.0561048151806202</v>
      </c>
      <c r="AN88" s="218" t="n">
        <f aca="false">SUM(AN68, AN76, AN84)</f>
        <v>0.0935080253010337</v>
      </c>
      <c r="AO88" s="218" t="n">
        <f aca="false">SUM(AO68, AO76, AO84)</f>
        <v>0.130911235421447</v>
      </c>
      <c r="AP88" s="218" t="n">
        <f aca="false">SUM(AP68, AP76, AP84)</f>
        <v>0.168314445541861</v>
      </c>
      <c r="AQ88" s="218" t="n">
        <f aca="false">SUM(AQ68, AQ76, AQ84)</f>
        <v>0.205717655662274</v>
      </c>
      <c r="AR88" s="218" t="n">
        <f aca="false">SUM(AR68, AR76, AR84)</f>
        <v>0.243120865782688</v>
      </c>
      <c r="AS88" s="218" t="n">
        <f aca="false">SUM(AS68, AS76, AS84)</f>
        <v>0.280524075903101</v>
      </c>
      <c r="AT88" s="218" t="n">
        <f aca="false">SUM(AT68, AT76, AT84)</f>
        <v>0.317927286023515</v>
      </c>
      <c r="AU88" s="218" t="n">
        <f aca="false">SUM(AU68, AU76, AU84)</f>
        <v>0.336628891083721</v>
      </c>
      <c r="AV88" s="218" t="n">
        <f aca="false">SUM(AV68, AV76, AV84)</f>
        <v>0.336628891083721</v>
      </c>
      <c r="AW88" s="218" t="n">
        <f aca="false">SUM(AW68, AW76, AW84)</f>
        <v>0.336628891083721</v>
      </c>
      <c r="AX88" s="218" t="n">
        <f aca="false">SUM(AX68, AX76, AX84)</f>
        <v>0.336628891083721</v>
      </c>
      <c r="AY88" s="218" t="n">
        <f aca="false">SUM(AY68, AY76, AY84)</f>
        <v>0.336628891083721</v>
      </c>
      <c r="AZ88" s="218" t="n">
        <f aca="false">SUM(AZ68, AZ76, AZ84)</f>
        <v>0.336628891083721</v>
      </c>
      <c r="BA88" s="218" t="n">
        <f aca="false">SUM(BA68, BA76, BA84)</f>
        <v>0.336628891083721</v>
      </c>
      <c r="BB88" s="218" t="n">
        <f aca="false">SUM(BB68, BB76, BB84)</f>
        <v>0.336628891083721</v>
      </c>
      <c r="BC88" s="218" t="n">
        <f aca="false">SUM(BC68, BC76, BC84)</f>
        <v>0.336628891083721</v>
      </c>
      <c r="BD88" s="218" t="n">
        <f aca="false">SUM(BD68, BD76, BD84)</f>
        <v>0.336628891083721</v>
      </c>
      <c r="BE88" s="218" t="n">
        <f aca="false">SUM(BE68, BE76, BE84)</f>
        <v>0.336628891083721</v>
      </c>
      <c r="BF88" s="218" t="n">
        <f aca="false">SUM(BF68, BF76, BF84)</f>
        <v>0.336628891083721</v>
      </c>
      <c r="BG88" s="218" t="n">
        <f aca="false">SUM(BG68, BG76, BG84)</f>
        <v>0.336628891083721</v>
      </c>
      <c r="BH88" s="218" t="n">
        <f aca="false">SUM(BH68, BH76, BH84)</f>
        <v>0.336628891083721</v>
      </c>
      <c r="BI88" s="218" t="n">
        <f aca="false">SUM(BI68, BI76, BI84)</f>
        <v>0.336628891083721</v>
      </c>
      <c r="BJ88" s="218" t="n">
        <f aca="false">SUM(BJ68, BJ76, BJ84)</f>
        <v>0.336628891083721</v>
      </c>
      <c r="BK88" s="218" t="n">
        <f aca="false">SUM(BK68, BK76, BK84)</f>
        <v>0.336628891083721</v>
      </c>
      <c r="BL88" s="218" t="n">
        <f aca="false">SUM(BL68, BL76, BL84)</f>
        <v>0.336628891083721</v>
      </c>
      <c r="BM88" s="218" t="n">
        <f aca="false">SUM(BM68, BM76, BM84)</f>
        <v>0.336628891083721</v>
      </c>
      <c r="BN88" s="218" t="n">
        <f aca="false">SUM(BN68, BN76, BN84)</f>
        <v>0.336628891083721</v>
      </c>
      <c r="BO88" s="218" t="n">
        <f aca="false">SUM(BO68, BO76, BO84)</f>
        <v>0.336628891083721</v>
      </c>
      <c r="BP88" s="218" t="n">
        <f aca="false">SUM(BP68, BP76, BP84)</f>
        <v>0.336628891083721</v>
      </c>
      <c r="BQ88" s="218" t="n">
        <f aca="false">SUM(BQ68, BQ76, BQ84)</f>
        <v>0.336628891083721</v>
      </c>
      <c r="BR88" s="218" t="n">
        <f aca="false">SUM(BR68, BR76, BR84)</f>
        <v>0.336628891083721</v>
      </c>
      <c r="BS88" s="218" t="n">
        <f aca="false">SUM(BS68, BS76, BS84)</f>
        <v>0.336628891083721</v>
      </c>
      <c r="BT88" s="218" t="n">
        <f aca="false">SUM(BT68, BT76, BT84)</f>
        <v>0.336628891083721</v>
      </c>
      <c r="BU88" s="218" t="n">
        <f aca="false">SUM(BU68, BU76, BU84)</f>
        <v>0.336628891083721</v>
      </c>
      <c r="BV88" s="218" t="n">
        <f aca="false">SUM(BV68, BV76, BV84)</f>
        <v>0.336628891083721</v>
      </c>
      <c r="BW88" s="218" t="n">
        <f aca="false">SUM(BW68, BW76, BW84)</f>
        <v>0.336628891083721</v>
      </c>
      <c r="BX88" s="218" t="n">
        <f aca="false">SUM(BX68, BX76, BX84)</f>
        <v>0.336628891083721</v>
      </c>
      <c r="BY88" s="218" t="n">
        <f aca="false">SUM(BY68, BY76, BY84)</f>
        <v>0.336628891083721</v>
      </c>
      <c r="BZ88" s="218" t="n">
        <f aca="false">SUM(BZ68, BZ76, BZ84)</f>
        <v>0.336628891083721</v>
      </c>
      <c r="CA88" s="218" t="n">
        <f aca="false">SUM(CA68, CA76, CA84)</f>
        <v>0.336628891083721</v>
      </c>
      <c r="CC88" s="112" t="n">
        <f aca="false">SUM(CC68, CC76, CC84)</f>
        <v>0</v>
      </c>
      <c r="CD88" s="112" t="n">
        <f aca="false">SUM(CD68, CD76, CD84)</f>
        <v>0.673257782167443</v>
      </c>
      <c r="CE88" s="112" t="n">
        <f aca="false">SUM(CE68, CE76, CE84)</f>
        <v>3.87123224746279</v>
      </c>
      <c r="CF88" s="112" t="n">
        <f aca="false">SUM(CF68, CF76, CF84)</f>
        <v>4.03954669300466</v>
      </c>
      <c r="CG88" s="112" t="n">
        <f aca="false">SUM(CG68, CG76, CG84)</f>
        <v>4.03954669300466</v>
      </c>
      <c r="CH88" s="112" t="n">
        <f aca="false">SUM(CH68, CH76, CH84)</f>
        <v>0</v>
      </c>
      <c r="CI88" s="113" t="n">
        <f aca="false">CC88=L88</f>
        <v>1</v>
      </c>
      <c r="CJ88" s="113" t="n">
        <f aca="false">CD88=M88</f>
        <v>1</v>
      </c>
      <c r="CK88" s="113" t="n">
        <f aca="false">CE88=N88</f>
        <v>1</v>
      </c>
      <c r="CL88" s="113" t="n">
        <f aca="false">CF88=O88</f>
        <v>1</v>
      </c>
      <c r="CM88" s="113" t="n">
        <f aca="false">CG88=P88</f>
        <v>1</v>
      </c>
    </row>
    <row r="89" s="14" customFormat="true" ht="16.5" hidden="false" customHeight="true" outlineLevel="0" collapsed="false">
      <c r="H89" s="29"/>
      <c r="Q89" s="16"/>
      <c r="R89" s="16"/>
    </row>
    <row r="90" s="14" customFormat="true" ht="16.5" hidden="false" customHeight="true" outlineLevel="0" collapsed="false">
      <c r="H90" s="29"/>
      <c r="Q90" s="16"/>
      <c r="R90" s="16"/>
      <c r="T90" s="62" t="n">
        <v>2026</v>
      </c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62" t="n">
        <v>2027</v>
      </c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62" t="n">
        <v>2028</v>
      </c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62" t="n">
        <v>2029</v>
      </c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62" t="n">
        <v>2030</v>
      </c>
      <c r="BQ90" s="130"/>
      <c r="BR90" s="130"/>
      <c r="BS90" s="130"/>
      <c r="BT90" s="130"/>
      <c r="BU90" s="130"/>
      <c r="BV90" s="130"/>
      <c r="BW90" s="130"/>
      <c r="BX90" s="130"/>
      <c r="BY90" s="130"/>
      <c r="BZ90" s="130"/>
      <c r="CA90" s="130"/>
      <c r="CI90" s="211" t="s">
        <v>426</v>
      </c>
      <c r="CJ90" s="211"/>
      <c r="CK90" s="211"/>
      <c r="CL90" s="211"/>
      <c r="CM90" s="211"/>
    </row>
    <row r="91" s="14" customFormat="true" ht="16.5" hidden="false" customHeight="true" outlineLevel="0" collapsed="false">
      <c r="D91" s="30" t="s">
        <v>145</v>
      </c>
      <c r="E91" s="31"/>
      <c r="F91" s="31"/>
      <c r="G91" s="31"/>
      <c r="H91" s="219" t="s">
        <v>130</v>
      </c>
      <c r="I91" s="31" t="s">
        <v>77</v>
      </c>
      <c r="J91" s="31" t="s">
        <v>104</v>
      </c>
      <c r="K91" s="31" t="s">
        <v>131</v>
      </c>
      <c r="L91" s="31" t="n">
        <v>2026</v>
      </c>
      <c r="M91" s="31" t="n">
        <f aca="false">L91+1</f>
        <v>2027</v>
      </c>
      <c r="N91" s="31" t="n">
        <f aca="false">M91+1</f>
        <v>2028</v>
      </c>
      <c r="O91" s="31" t="n">
        <f aca="false">N91+1</f>
        <v>2029</v>
      </c>
      <c r="P91" s="31" t="n">
        <f aca="false">O91+1</f>
        <v>2030</v>
      </c>
      <c r="Q91" s="31" t="s">
        <v>132</v>
      </c>
      <c r="R91" s="31" t="s">
        <v>75</v>
      </c>
      <c r="T91" s="59" t="n">
        <v>46023</v>
      </c>
      <c r="U91" s="60" t="n">
        <f aca="false">EOMONTH(T91, 1)</f>
        <v>46081</v>
      </c>
      <c r="V91" s="60" t="n">
        <f aca="false">EOMONTH(U91, 1)</f>
        <v>46112</v>
      </c>
      <c r="W91" s="60" t="n">
        <f aca="false">EOMONTH(V91, 1)</f>
        <v>46142</v>
      </c>
      <c r="X91" s="60" t="n">
        <f aca="false">EOMONTH(W91, 1)</f>
        <v>46173</v>
      </c>
      <c r="Y91" s="60" t="n">
        <f aca="false">EOMONTH(X91, 1)</f>
        <v>46203</v>
      </c>
      <c r="Z91" s="60" t="n">
        <f aca="false">EOMONTH(Y91, 1)</f>
        <v>46234</v>
      </c>
      <c r="AA91" s="60" t="n">
        <f aca="false">EOMONTH(Z91, 1)</f>
        <v>46265</v>
      </c>
      <c r="AB91" s="60" t="n">
        <f aca="false">EOMONTH(AA91, 1)</f>
        <v>46295</v>
      </c>
      <c r="AC91" s="60" t="n">
        <f aca="false">EOMONTH(AB91, 1)</f>
        <v>46326</v>
      </c>
      <c r="AD91" s="60" t="n">
        <f aca="false">EOMONTH(AC91, 1)</f>
        <v>46356</v>
      </c>
      <c r="AE91" s="61" t="n">
        <f aca="false">EOMONTH(AD91, 1)</f>
        <v>46387</v>
      </c>
      <c r="AF91" s="59" t="n">
        <f aca="false">EOMONTH(AE91, 1)</f>
        <v>46418</v>
      </c>
      <c r="AG91" s="60" t="n">
        <f aca="false">EOMONTH(AF91, 1)</f>
        <v>46446</v>
      </c>
      <c r="AH91" s="60" t="n">
        <f aca="false">EOMONTH(AG91, 1)</f>
        <v>46477</v>
      </c>
      <c r="AI91" s="60" t="n">
        <f aca="false">EOMONTH(AH91, 1)</f>
        <v>46507</v>
      </c>
      <c r="AJ91" s="60" t="n">
        <f aca="false">EOMONTH(AI91, 1)</f>
        <v>46538</v>
      </c>
      <c r="AK91" s="60" t="n">
        <f aca="false">EOMONTH(AJ91, 1)</f>
        <v>46568</v>
      </c>
      <c r="AL91" s="60" t="n">
        <f aca="false">EOMONTH(AK91, 1)</f>
        <v>46599</v>
      </c>
      <c r="AM91" s="60" t="n">
        <f aca="false">EOMONTH(AL91, 1)</f>
        <v>46630</v>
      </c>
      <c r="AN91" s="60" t="n">
        <f aca="false">EOMONTH(AM91, 1)</f>
        <v>46660</v>
      </c>
      <c r="AO91" s="60" t="n">
        <f aca="false">EOMONTH(AN91, 1)</f>
        <v>46691</v>
      </c>
      <c r="AP91" s="60" t="n">
        <f aca="false">EOMONTH(AO91, 1)</f>
        <v>46721</v>
      </c>
      <c r="AQ91" s="61" t="n">
        <f aca="false">EOMONTH(AP91, 1)</f>
        <v>46752</v>
      </c>
      <c r="AR91" s="59" t="n">
        <f aca="false">EOMONTH(AQ91, 1)</f>
        <v>46783</v>
      </c>
      <c r="AS91" s="60" t="n">
        <f aca="false">EOMONTH(AR91, 1)</f>
        <v>46812</v>
      </c>
      <c r="AT91" s="60" t="n">
        <f aca="false">EOMONTH(AS91, 1)</f>
        <v>46843</v>
      </c>
      <c r="AU91" s="60" t="n">
        <f aca="false">EOMONTH(AT91, 1)</f>
        <v>46873</v>
      </c>
      <c r="AV91" s="60" t="n">
        <f aca="false">EOMONTH(AU91, 1)</f>
        <v>46904</v>
      </c>
      <c r="AW91" s="60" t="n">
        <f aca="false">EOMONTH(AV91, 1)</f>
        <v>46934</v>
      </c>
      <c r="AX91" s="60" t="n">
        <f aca="false">EOMONTH(AW91, 1)</f>
        <v>46965</v>
      </c>
      <c r="AY91" s="60" t="n">
        <f aca="false">EOMONTH(AX91, 1)</f>
        <v>46996</v>
      </c>
      <c r="AZ91" s="60" t="n">
        <f aca="false">EOMONTH(AY91, 1)</f>
        <v>47026</v>
      </c>
      <c r="BA91" s="60" t="n">
        <f aca="false">EOMONTH(AZ91, 1)</f>
        <v>47057</v>
      </c>
      <c r="BB91" s="60" t="n">
        <f aca="false">EOMONTH(BA91, 1)</f>
        <v>47087</v>
      </c>
      <c r="BC91" s="61" t="n">
        <f aca="false">EOMONTH(BB91, 1)</f>
        <v>47118</v>
      </c>
      <c r="BD91" s="59" t="n">
        <f aca="false">EOMONTH(BC91, 1)</f>
        <v>47149</v>
      </c>
      <c r="BE91" s="60" t="n">
        <f aca="false">EOMONTH(BD91, 1)</f>
        <v>47177</v>
      </c>
      <c r="BF91" s="60" t="n">
        <f aca="false">EOMONTH(BE91, 1)</f>
        <v>47208</v>
      </c>
      <c r="BG91" s="60" t="n">
        <f aca="false">EOMONTH(BF91, 1)</f>
        <v>47238</v>
      </c>
      <c r="BH91" s="60" t="n">
        <f aca="false">EOMONTH(BG91, 1)</f>
        <v>47269</v>
      </c>
      <c r="BI91" s="60" t="n">
        <f aca="false">EOMONTH(BH91, 1)</f>
        <v>47299</v>
      </c>
      <c r="BJ91" s="60" t="n">
        <f aca="false">EOMONTH(BI91, 1)</f>
        <v>47330</v>
      </c>
      <c r="BK91" s="60" t="n">
        <f aca="false">EOMONTH(BJ91, 1)</f>
        <v>47361</v>
      </c>
      <c r="BL91" s="60" t="n">
        <f aca="false">EOMONTH(BK91, 1)</f>
        <v>47391</v>
      </c>
      <c r="BM91" s="60" t="n">
        <f aca="false">EOMONTH(BL91, 1)</f>
        <v>47422</v>
      </c>
      <c r="BN91" s="60" t="n">
        <f aca="false">EOMONTH(BM91, 1)</f>
        <v>47452</v>
      </c>
      <c r="BO91" s="61" t="n">
        <f aca="false">EOMONTH(BN91, 1)</f>
        <v>47483</v>
      </c>
      <c r="BP91" s="59" t="n">
        <f aca="false">EOMONTH(BO91, 1)</f>
        <v>47514</v>
      </c>
      <c r="BQ91" s="60" t="n">
        <f aca="false">EOMONTH(BP91, 1)</f>
        <v>47542</v>
      </c>
      <c r="BR91" s="60" t="n">
        <f aca="false">EOMONTH(BQ91, 1)</f>
        <v>47573</v>
      </c>
      <c r="BS91" s="60" t="n">
        <f aca="false">EOMONTH(BR91, 1)</f>
        <v>47603</v>
      </c>
      <c r="BT91" s="60" t="n">
        <f aca="false">EOMONTH(BS91, 1)</f>
        <v>47634</v>
      </c>
      <c r="BU91" s="60" t="n">
        <f aca="false">EOMONTH(BT91, 1)</f>
        <v>47664</v>
      </c>
      <c r="BV91" s="60" t="n">
        <f aca="false">EOMONTH(BU91, 1)</f>
        <v>47695</v>
      </c>
      <c r="BW91" s="60" t="n">
        <f aca="false">EOMONTH(BV91, 1)</f>
        <v>47726</v>
      </c>
      <c r="BX91" s="60" t="n">
        <f aca="false">EOMONTH(BW91, 1)</f>
        <v>47756</v>
      </c>
      <c r="BY91" s="60" t="n">
        <f aca="false">EOMONTH(BX91, 1)</f>
        <v>47787</v>
      </c>
      <c r="BZ91" s="60" t="n">
        <f aca="false">EOMONTH(BY91, 1)</f>
        <v>47817</v>
      </c>
      <c r="CA91" s="60" t="n">
        <f aca="false">EOMONTH(BZ91, 1)</f>
        <v>47848</v>
      </c>
      <c r="CC91" s="62" t="n">
        <v>2026</v>
      </c>
      <c r="CD91" s="62" t="n">
        <f aca="false">CC91+1</f>
        <v>2027</v>
      </c>
      <c r="CE91" s="62" t="n">
        <f aca="false">CD91+1</f>
        <v>2028</v>
      </c>
      <c r="CF91" s="62" t="n">
        <f aca="false">CE91+1</f>
        <v>2029</v>
      </c>
      <c r="CG91" s="62" t="n">
        <f aca="false">CF91+1</f>
        <v>2030</v>
      </c>
      <c r="CI91" s="62" t="n">
        <v>2026</v>
      </c>
      <c r="CJ91" s="62" t="n">
        <f aca="false">CI91+1</f>
        <v>2027</v>
      </c>
      <c r="CK91" s="62" t="n">
        <f aca="false">CJ91+1</f>
        <v>2028</v>
      </c>
      <c r="CL91" s="62" t="n">
        <f aca="false">CK91+1</f>
        <v>2029</v>
      </c>
      <c r="CM91" s="62" t="n">
        <f aca="false">CL91+1</f>
        <v>2030</v>
      </c>
    </row>
    <row r="92" s="14" customFormat="true" ht="16.5" hidden="false" customHeight="true" outlineLevel="0" collapsed="false">
      <c r="D92" s="63"/>
      <c r="E92" s="64" t="s">
        <v>102</v>
      </c>
      <c r="H92" s="29"/>
      <c r="I92" s="65" t="str">
        <f aca="false">$H$18</f>
        <v>FY2026 (SACP cost ledger)</v>
      </c>
      <c r="J92" s="65" t="s">
        <v>134</v>
      </c>
      <c r="K92" s="65" t="s">
        <v>135</v>
      </c>
      <c r="L92" s="66"/>
      <c r="M92" s="66"/>
      <c r="N92" s="66"/>
      <c r="O92" s="66"/>
      <c r="P92" s="66"/>
      <c r="Q92" s="16"/>
      <c r="R92" s="1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7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7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6"/>
      <c r="BD92" s="67"/>
      <c r="BE92" s="66"/>
      <c r="BF92" s="66"/>
      <c r="BG92" s="66"/>
      <c r="BH92" s="66"/>
      <c r="BI92" s="66"/>
      <c r="BJ92" s="66"/>
      <c r="BK92" s="66"/>
      <c r="BL92" s="66"/>
      <c r="BM92" s="66"/>
      <c r="BN92" s="66"/>
      <c r="BO92" s="66"/>
      <c r="BP92" s="67"/>
      <c r="BQ92" s="66"/>
      <c r="BR92" s="66"/>
      <c r="BS92" s="66"/>
      <c r="BT92" s="66"/>
      <c r="BU92" s="66"/>
      <c r="BV92" s="66"/>
      <c r="BW92" s="66"/>
      <c r="BX92" s="66"/>
      <c r="BY92" s="66"/>
      <c r="BZ92" s="66"/>
      <c r="CA92" s="66"/>
    </row>
    <row r="93" s="14" customFormat="true" ht="16.5" hidden="false" customHeight="true" outlineLevel="0" collapsed="false">
      <c r="E93" s="68" t="s">
        <v>136</v>
      </c>
      <c r="F93" s="21"/>
      <c r="G93" s="21"/>
      <c r="H93" s="29"/>
      <c r="I93" s="65"/>
      <c r="J93" s="65"/>
      <c r="K93" s="65"/>
      <c r="Q93" s="16"/>
      <c r="R93" s="16"/>
      <c r="AF93" s="69"/>
      <c r="AR93" s="69"/>
      <c r="BD93" s="69"/>
      <c r="BP93" s="69"/>
    </row>
    <row r="94" s="14" customFormat="true" ht="16.5" hidden="false" customHeight="true" outlineLevel="0" collapsed="false">
      <c r="E94" s="70"/>
      <c r="H94" s="71"/>
      <c r="I94" s="76" t="n">
        <v>0</v>
      </c>
      <c r="J94" s="76" t="n">
        <v>0</v>
      </c>
      <c r="K94" s="212" t="n">
        <f aca="false">J94-I94</f>
        <v>0</v>
      </c>
      <c r="L94" s="76"/>
      <c r="M94" s="76"/>
      <c r="N94" s="76"/>
      <c r="O94" s="76"/>
      <c r="P94" s="77"/>
      <c r="Q94" s="75"/>
      <c r="R94" s="16" t="str">
        <f aca="false">IF(K94=P94, "", "Error")</f>
        <v/>
      </c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7"/>
      <c r="AF94" s="78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7"/>
      <c r="AR94" s="78"/>
      <c r="AS94" s="76"/>
      <c r="AT94" s="76"/>
      <c r="AU94" s="76"/>
      <c r="AV94" s="76"/>
      <c r="AW94" s="76"/>
      <c r="AX94" s="76"/>
      <c r="AY94" s="76"/>
      <c r="AZ94" s="76"/>
      <c r="BA94" s="76"/>
      <c r="BB94" s="76"/>
      <c r="BC94" s="77"/>
      <c r="BD94" s="78"/>
      <c r="BE94" s="76"/>
      <c r="BF94" s="76"/>
      <c r="BG94" s="76"/>
      <c r="BH94" s="76"/>
      <c r="BI94" s="76"/>
      <c r="BJ94" s="76"/>
      <c r="BK94" s="76"/>
      <c r="BL94" s="76"/>
      <c r="BM94" s="76"/>
      <c r="BN94" s="76"/>
      <c r="BO94" s="77"/>
      <c r="BP94" s="78"/>
      <c r="BQ94" s="76"/>
      <c r="BR94" s="76"/>
      <c r="BS94" s="76"/>
      <c r="BT94" s="76"/>
      <c r="BU94" s="76"/>
      <c r="BV94" s="76"/>
      <c r="BW94" s="76"/>
      <c r="BX94" s="76"/>
      <c r="BY94" s="76"/>
      <c r="BZ94" s="76"/>
      <c r="CA94" s="76"/>
      <c r="CC94" s="79" t="n">
        <f aca="false">SUMIFS($T94:$CA94, $T$1:$CA$1, CC$63)</f>
        <v>0</v>
      </c>
      <c r="CD94" s="79" t="n">
        <f aca="false">SUMIFS($T94:$CA94, $T$1:$CA$1, CD$63)</f>
        <v>0</v>
      </c>
      <c r="CE94" s="79" t="n">
        <f aca="false">SUMIFS($T94:$CA94, $T$1:$CA$1, CE$63)</f>
        <v>0</v>
      </c>
      <c r="CF94" s="79" t="n">
        <f aca="false">SUMIFS($T94:$CA94, $T$1:$CA$1, CF$63)</f>
        <v>0</v>
      </c>
      <c r="CG94" s="79" t="n">
        <f aca="false">SUMIFS($T94:$CA94, $T$1:$CA$1, CG$63)</f>
        <v>0</v>
      </c>
      <c r="CI94" s="79" t="n">
        <f aca="false">CC94=L94</f>
        <v>1</v>
      </c>
      <c r="CJ94" s="79" t="n">
        <f aca="false">CD94=M94</f>
        <v>1</v>
      </c>
      <c r="CK94" s="79" t="n">
        <f aca="false">CE94=N94</f>
        <v>1</v>
      </c>
      <c r="CL94" s="79" t="n">
        <f aca="false">CF94=O94</f>
        <v>1</v>
      </c>
      <c r="CM94" s="79" t="n">
        <f aca="false">CG94=P94</f>
        <v>1</v>
      </c>
    </row>
    <row r="95" s="14" customFormat="true" ht="16.5" hidden="false" customHeight="true" outlineLevel="0" collapsed="false">
      <c r="E95" s="70"/>
      <c r="H95" s="71"/>
      <c r="I95" s="76" t="n">
        <v>0</v>
      </c>
      <c r="J95" s="76" t="n">
        <v>0</v>
      </c>
      <c r="K95" s="212" t="n">
        <f aca="false">J95-I95</f>
        <v>0</v>
      </c>
      <c r="L95" s="76"/>
      <c r="M95" s="76"/>
      <c r="N95" s="76"/>
      <c r="O95" s="76"/>
      <c r="P95" s="77"/>
      <c r="Q95" s="75"/>
      <c r="R95" s="16" t="str">
        <f aca="false">IF(K95=P95, "", "Error")</f>
        <v/>
      </c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7"/>
      <c r="AF95" s="78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7"/>
      <c r="AR95" s="78"/>
      <c r="AS95" s="76"/>
      <c r="AT95" s="76"/>
      <c r="AU95" s="76"/>
      <c r="AV95" s="76"/>
      <c r="AW95" s="76"/>
      <c r="AX95" s="76"/>
      <c r="AY95" s="76"/>
      <c r="AZ95" s="76"/>
      <c r="BA95" s="76"/>
      <c r="BB95" s="76"/>
      <c r="BC95" s="77"/>
      <c r="BD95" s="78"/>
      <c r="BE95" s="76"/>
      <c r="BF95" s="76"/>
      <c r="BG95" s="76"/>
      <c r="BH95" s="76"/>
      <c r="BI95" s="76"/>
      <c r="BJ95" s="76"/>
      <c r="BK95" s="76"/>
      <c r="BL95" s="76"/>
      <c r="BM95" s="76"/>
      <c r="BN95" s="76"/>
      <c r="BO95" s="77"/>
      <c r="BP95" s="78"/>
      <c r="BQ95" s="76"/>
      <c r="BR95" s="76"/>
      <c r="BS95" s="76"/>
      <c r="BT95" s="76"/>
      <c r="BU95" s="76"/>
      <c r="BV95" s="76"/>
      <c r="BW95" s="76"/>
      <c r="BX95" s="76"/>
      <c r="BY95" s="76"/>
      <c r="BZ95" s="76"/>
      <c r="CA95" s="76"/>
      <c r="CC95" s="79" t="n">
        <f aca="false">SUMIFS($T95:$CA95, $T$1:$CA$1, CC$63)</f>
        <v>0</v>
      </c>
      <c r="CD95" s="79" t="n">
        <f aca="false">SUMIFS($T95:$CA95, $T$1:$CA$1, CD$63)</f>
        <v>0</v>
      </c>
      <c r="CE95" s="79" t="n">
        <f aca="false">SUMIFS($T95:$CA95, $T$1:$CA$1, CE$63)</f>
        <v>0</v>
      </c>
      <c r="CF95" s="79" t="n">
        <f aca="false">SUMIFS($T95:$CA95, $T$1:$CA$1, CF$63)</f>
        <v>0</v>
      </c>
      <c r="CG95" s="79" t="n">
        <f aca="false">SUMIFS($T95:$CA95, $T$1:$CA$1, CG$63)</f>
        <v>0</v>
      </c>
      <c r="CI95" s="79" t="n">
        <f aca="false">CC95=L95</f>
        <v>1</v>
      </c>
      <c r="CJ95" s="79" t="n">
        <f aca="false">CD95=M95</f>
        <v>1</v>
      </c>
      <c r="CK95" s="79" t="n">
        <f aca="false">CE95=N95</f>
        <v>1</v>
      </c>
      <c r="CL95" s="79" t="n">
        <f aca="false">CF95=O95</f>
        <v>1</v>
      </c>
      <c r="CM95" s="79" t="n">
        <f aca="false">CG95=P95</f>
        <v>1</v>
      </c>
    </row>
    <row r="96" s="14" customFormat="true" ht="16.5" hidden="false" customHeight="true" outlineLevel="0" collapsed="false">
      <c r="E96" s="80" t="s">
        <v>137</v>
      </c>
      <c r="H96" s="29"/>
      <c r="I96" s="82" t="n">
        <f aca="false">SUM(I94:I95)</f>
        <v>0</v>
      </c>
      <c r="J96" s="82" t="n">
        <f aca="false">SUM(J94:J95)</f>
        <v>0</v>
      </c>
      <c r="K96" s="82" t="n">
        <f aca="false">SUM(K94:K95)</f>
        <v>0</v>
      </c>
      <c r="L96" s="82" t="n">
        <f aca="false">SUM(L94:L95)</f>
        <v>0</v>
      </c>
      <c r="M96" s="82" t="n">
        <f aca="false">SUM(M94:M95)</f>
        <v>0</v>
      </c>
      <c r="N96" s="82" t="n">
        <f aca="false">SUM(N94:N95)</f>
        <v>0</v>
      </c>
      <c r="O96" s="82" t="n">
        <f aca="false">SUM(O94:O95)</f>
        <v>0</v>
      </c>
      <c r="P96" s="82" t="n">
        <f aca="false">SUM(P94:P95)</f>
        <v>0</v>
      </c>
      <c r="Q96" s="16"/>
      <c r="R96" s="16"/>
      <c r="T96" s="82" t="n">
        <f aca="false">SUM(T94:T95)</f>
        <v>0</v>
      </c>
      <c r="U96" s="82" t="n">
        <f aca="false">SUM(U94:U95)</f>
        <v>0</v>
      </c>
      <c r="V96" s="82" t="n">
        <f aca="false">SUM(V94:V95)</f>
        <v>0</v>
      </c>
      <c r="W96" s="82" t="n">
        <f aca="false">SUM(W94:W95)</f>
        <v>0</v>
      </c>
      <c r="X96" s="82" t="n">
        <f aca="false">SUM(X94:X95)</f>
        <v>0</v>
      </c>
      <c r="Y96" s="82" t="n">
        <f aca="false">SUM(Y94:Y95)</f>
        <v>0</v>
      </c>
      <c r="Z96" s="82" t="n">
        <f aca="false">SUM(Z94:Z95)</f>
        <v>0</v>
      </c>
      <c r="AA96" s="82" t="n">
        <f aca="false">SUM(AA94:AA95)</f>
        <v>0</v>
      </c>
      <c r="AB96" s="82" t="n">
        <f aca="false">SUM(AB94:AB95)</f>
        <v>0</v>
      </c>
      <c r="AC96" s="82" t="n">
        <f aca="false">SUM(AC94:AC95)</f>
        <v>0</v>
      </c>
      <c r="AD96" s="82" t="n">
        <f aca="false">SUM(AD94:AD95)</f>
        <v>0</v>
      </c>
      <c r="AE96" s="82" t="n">
        <f aca="false">SUM(AE94:AE95)</f>
        <v>0</v>
      </c>
      <c r="AF96" s="83" t="n">
        <f aca="false">SUM(AF94:AF95)</f>
        <v>0</v>
      </c>
      <c r="AG96" s="82" t="n">
        <f aca="false">SUM(AG94:AG95)</f>
        <v>0</v>
      </c>
      <c r="AH96" s="82" t="n">
        <f aca="false">SUM(AH94:AH95)</f>
        <v>0</v>
      </c>
      <c r="AI96" s="82" t="n">
        <f aca="false">SUM(AI94:AI95)</f>
        <v>0</v>
      </c>
      <c r="AJ96" s="82" t="n">
        <f aca="false">SUM(AJ94:AJ95)</f>
        <v>0</v>
      </c>
      <c r="AK96" s="82" t="n">
        <f aca="false">SUM(AK94:AK95)</f>
        <v>0</v>
      </c>
      <c r="AL96" s="82" t="n">
        <f aca="false">SUM(AL94:AL95)</f>
        <v>0</v>
      </c>
      <c r="AM96" s="82" t="n">
        <f aca="false">SUM(AM94:AM95)</f>
        <v>0</v>
      </c>
      <c r="AN96" s="82" t="n">
        <f aca="false">SUM(AN94:AN95)</f>
        <v>0</v>
      </c>
      <c r="AO96" s="82" t="n">
        <f aca="false">SUM(AO94:AO95)</f>
        <v>0</v>
      </c>
      <c r="AP96" s="82" t="n">
        <f aca="false">SUM(AP94:AP95)</f>
        <v>0</v>
      </c>
      <c r="AQ96" s="82" t="n">
        <f aca="false">SUM(AQ94:AQ95)</f>
        <v>0</v>
      </c>
      <c r="AR96" s="83" t="n">
        <f aca="false">SUM(AR94:AR95)</f>
        <v>0</v>
      </c>
      <c r="AS96" s="82" t="n">
        <f aca="false">SUM(AS94:AS95)</f>
        <v>0</v>
      </c>
      <c r="AT96" s="82" t="n">
        <f aca="false">SUM(AT94:AT95)</f>
        <v>0</v>
      </c>
      <c r="AU96" s="82" t="n">
        <f aca="false">SUM(AU94:AU95)</f>
        <v>0</v>
      </c>
      <c r="AV96" s="82" t="n">
        <f aca="false">SUM(AV94:AV95)</f>
        <v>0</v>
      </c>
      <c r="AW96" s="82" t="n">
        <f aca="false">SUM(AW94:AW95)</f>
        <v>0</v>
      </c>
      <c r="AX96" s="82" t="n">
        <f aca="false">SUM(AX94:AX95)</f>
        <v>0</v>
      </c>
      <c r="AY96" s="82" t="n">
        <f aca="false">SUM(AY94:AY95)</f>
        <v>0</v>
      </c>
      <c r="AZ96" s="82" t="n">
        <f aca="false">SUM(AZ94:AZ95)</f>
        <v>0</v>
      </c>
      <c r="BA96" s="82" t="n">
        <f aca="false">SUM(BA94:BA95)</f>
        <v>0</v>
      </c>
      <c r="BB96" s="82" t="n">
        <f aca="false">SUM(BB94:BB95)</f>
        <v>0</v>
      </c>
      <c r="BC96" s="82" t="n">
        <f aca="false">SUM(BC94:BC95)</f>
        <v>0</v>
      </c>
      <c r="BD96" s="83" t="n">
        <f aca="false">SUM(BD94:BD95)</f>
        <v>0</v>
      </c>
      <c r="BE96" s="82" t="n">
        <f aca="false">SUM(BE94:BE95)</f>
        <v>0</v>
      </c>
      <c r="BF96" s="82" t="n">
        <f aca="false">SUM(BF94:BF95)</f>
        <v>0</v>
      </c>
      <c r="BG96" s="82" t="n">
        <f aca="false">SUM(BG94:BG95)</f>
        <v>0</v>
      </c>
      <c r="BH96" s="82" t="n">
        <f aca="false">SUM(BH94:BH95)</f>
        <v>0</v>
      </c>
      <c r="BI96" s="82" t="n">
        <f aca="false">SUM(BI94:BI95)</f>
        <v>0</v>
      </c>
      <c r="BJ96" s="82" t="n">
        <f aca="false">SUM(BJ94:BJ95)</f>
        <v>0</v>
      </c>
      <c r="BK96" s="82" t="n">
        <f aca="false">SUM(BK94:BK95)</f>
        <v>0</v>
      </c>
      <c r="BL96" s="82" t="n">
        <f aca="false">SUM(BL94:BL95)</f>
        <v>0</v>
      </c>
      <c r="BM96" s="82" t="n">
        <f aca="false">SUM(BM94:BM95)</f>
        <v>0</v>
      </c>
      <c r="BN96" s="82" t="n">
        <f aca="false">SUM(BN94:BN95)</f>
        <v>0</v>
      </c>
      <c r="BO96" s="82" t="n">
        <f aca="false">SUM(BO94:BO95)</f>
        <v>0</v>
      </c>
      <c r="BP96" s="83" t="n">
        <f aca="false">SUM(BP94:BP95)</f>
        <v>0</v>
      </c>
      <c r="BQ96" s="82" t="n">
        <f aca="false">SUM(BQ94:BQ95)</f>
        <v>0</v>
      </c>
      <c r="BR96" s="82" t="n">
        <f aca="false">SUM(BR94:BR95)</f>
        <v>0</v>
      </c>
      <c r="BS96" s="82" t="n">
        <f aca="false">SUM(BS94:BS95)</f>
        <v>0</v>
      </c>
      <c r="BT96" s="82" t="n">
        <f aca="false">SUM(BT94:BT95)</f>
        <v>0</v>
      </c>
      <c r="BU96" s="82" t="n">
        <f aca="false">SUM(BU94:BU95)</f>
        <v>0</v>
      </c>
      <c r="BV96" s="82" t="n">
        <f aca="false">SUM(BV94:BV95)</f>
        <v>0</v>
      </c>
      <c r="BW96" s="82" t="n">
        <f aca="false">SUM(BW94:BW95)</f>
        <v>0</v>
      </c>
      <c r="BX96" s="82" t="n">
        <f aca="false">SUM(BX94:BX95)</f>
        <v>0</v>
      </c>
      <c r="BY96" s="82" t="n">
        <f aca="false">SUM(BY94:BY95)</f>
        <v>0</v>
      </c>
      <c r="BZ96" s="82" t="n">
        <f aca="false">SUM(BZ94:BZ95)</f>
        <v>0</v>
      </c>
      <c r="CA96" s="84" t="n">
        <f aca="false">SUM(CA94:CA95)</f>
        <v>0</v>
      </c>
      <c r="CC96" s="84" t="n">
        <f aca="false">SUM(CC94:CC95)</f>
        <v>0</v>
      </c>
      <c r="CD96" s="84" t="n">
        <f aca="false">SUM(CD94:CD95)</f>
        <v>0</v>
      </c>
      <c r="CE96" s="84" t="n">
        <f aca="false">SUM(CE94:CE95)</f>
        <v>0</v>
      </c>
      <c r="CF96" s="84" t="n">
        <f aca="false">SUM(CF94:CF95)</f>
        <v>0</v>
      </c>
      <c r="CG96" s="84" t="n">
        <f aca="false">SUM(CG94:CG95)</f>
        <v>0</v>
      </c>
      <c r="CI96" s="84" t="n">
        <f aca="false">CC96=L96</f>
        <v>1</v>
      </c>
      <c r="CJ96" s="84" t="n">
        <f aca="false">CD96=M96</f>
        <v>1</v>
      </c>
      <c r="CK96" s="84" t="n">
        <f aca="false">CE96=N96</f>
        <v>1</v>
      </c>
      <c r="CL96" s="84" t="n">
        <f aca="false">CF96=O96</f>
        <v>1</v>
      </c>
      <c r="CM96" s="84" t="n">
        <f aca="false">CG96=P96</f>
        <v>1</v>
      </c>
    </row>
    <row r="97" s="14" customFormat="true" ht="16.5" hidden="false" customHeight="true" outlineLevel="0" collapsed="false">
      <c r="E97" s="85"/>
      <c r="H97" s="29"/>
      <c r="I97" s="88"/>
      <c r="J97" s="88"/>
      <c r="K97" s="88"/>
      <c r="L97" s="88"/>
      <c r="M97" s="88"/>
      <c r="N97" s="88"/>
      <c r="O97" s="88"/>
      <c r="P97" s="88"/>
      <c r="Q97" s="16"/>
      <c r="R97" s="16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9"/>
      <c r="AG97" s="88"/>
      <c r="AH97" s="88"/>
      <c r="AI97" s="88"/>
      <c r="AJ97" s="88"/>
      <c r="AK97" s="88"/>
      <c r="AL97" s="88"/>
      <c r="AM97" s="88"/>
      <c r="AN97" s="88"/>
      <c r="AO97" s="88"/>
      <c r="AP97" s="88"/>
      <c r="AQ97" s="88"/>
      <c r="AR97" s="89"/>
      <c r="AS97" s="88"/>
      <c r="AT97" s="88"/>
      <c r="AU97" s="88"/>
      <c r="AV97" s="88"/>
      <c r="AW97" s="88"/>
      <c r="AX97" s="88"/>
      <c r="AY97" s="88"/>
      <c r="AZ97" s="88"/>
      <c r="BA97" s="88"/>
      <c r="BB97" s="88"/>
      <c r="BC97" s="88"/>
      <c r="BD97" s="89"/>
      <c r="BE97" s="88"/>
      <c r="BF97" s="88"/>
      <c r="BG97" s="88"/>
      <c r="BH97" s="88"/>
      <c r="BI97" s="88"/>
      <c r="BJ97" s="88"/>
      <c r="BK97" s="88"/>
      <c r="BL97" s="88"/>
      <c r="BM97" s="88"/>
      <c r="BN97" s="88"/>
      <c r="BO97" s="88"/>
      <c r="BP97" s="89"/>
      <c r="BQ97" s="88"/>
      <c r="BR97" s="88"/>
      <c r="BS97" s="88"/>
      <c r="BT97" s="88"/>
      <c r="BU97" s="88"/>
      <c r="BV97" s="88"/>
      <c r="BW97" s="88"/>
      <c r="BX97" s="88"/>
      <c r="BY97" s="88"/>
      <c r="BZ97" s="88"/>
      <c r="CA97" s="90"/>
      <c r="CC97" s="90"/>
      <c r="CD97" s="90"/>
      <c r="CE97" s="90"/>
      <c r="CF97" s="90"/>
      <c r="CG97" s="90"/>
      <c r="CI97" s="90"/>
      <c r="CJ97" s="90"/>
      <c r="CK97" s="90"/>
      <c r="CL97" s="90"/>
      <c r="CM97" s="90"/>
    </row>
    <row r="98" s="14" customFormat="true" ht="16.5" hidden="false" customHeight="true" outlineLevel="0" collapsed="false">
      <c r="E98" s="21" t="s">
        <v>138</v>
      </c>
      <c r="H98" s="29"/>
      <c r="I98" s="88"/>
      <c r="K98" s="88"/>
      <c r="L98" s="88"/>
      <c r="M98" s="88"/>
      <c r="N98" s="88"/>
      <c r="O98" s="88"/>
      <c r="P98" s="88"/>
      <c r="Q98" s="16"/>
      <c r="R98" s="16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9"/>
      <c r="AG98" s="88"/>
      <c r="AH98" s="88"/>
      <c r="AI98" s="88"/>
      <c r="AJ98" s="88"/>
      <c r="AK98" s="88"/>
      <c r="AL98" s="88"/>
      <c r="AM98" s="88"/>
      <c r="AN98" s="88"/>
      <c r="AO98" s="88"/>
      <c r="AP98" s="88"/>
      <c r="AQ98" s="88"/>
      <c r="AR98" s="89"/>
      <c r="AS98" s="88"/>
      <c r="AT98" s="88"/>
      <c r="AU98" s="88"/>
      <c r="AV98" s="88"/>
      <c r="AW98" s="88"/>
      <c r="AX98" s="88"/>
      <c r="AY98" s="88"/>
      <c r="AZ98" s="88"/>
      <c r="BA98" s="88"/>
      <c r="BB98" s="88"/>
      <c r="BC98" s="88"/>
      <c r="BD98" s="89"/>
      <c r="BE98" s="88"/>
      <c r="BF98" s="88"/>
      <c r="BG98" s="88"/>
      <c r="BH98" s="88"/>
      <c r="BI98" s="88"/>
      <c r="BJ98" s="88"/>
      <c r="BK98" s="88"/>
      <c r="BL98" s="88"/>
      <c r="BM98" s="88"/>
      <c r="BN98" s="88"/>
      <c r="BO98" s="88"/>
      <c r="BP98" s="89"/>
      <c r="BQ98" s="88"/>
      <c r="BR98" s="88"/>
      <c r="BS98" s="88"/>
      <c r="BT98" s="88"/>
      <c r="BU98" s="88"/>
      <c r="BV98" s="88"/>
      <c r="BW98" s="88"/>
      <c r="BX98" s="88"/>
      <c r="BY98" s="88"/>
      <c r="BZ98" s="88"/>
      <c r="CA98" s="90"/>
      <c r="CC98" s="90"/>
      <c r="CD98" s="90"/>
      <c r="CE98" s="90"/>
      <c r="CF98" s="90"/>
      <c r="CG98" s="90"/>
      <c r="CI98" s="90"/>
      <c r="CJ98" s="90"/>
      <c r="CK98" s="90"/>
      <c r="CL98" s="90"/>
      <c r="CM98" s="90"/>
    </row>
    <row r="99" s="14" customFormat="true" ht="16.5" hidden="false" customHeight="true" outlineLevel="0" collapsed="false">
      <c r="E99" s="91"/>
      <c r="H99" s="29"/>
      <c r="I99" s="91" t="n">
        <v>0</v>
      </c>
      <c r="J99" s="91" t="n">
        <v>0</v>
      </c>
      <c r="K99" s="212" t="n">
        <f aca="false">J99-I99</f>
        <v>0</v>
      </c>
      <c r="L99" s="91" t="n">
        <v>0</v>
      </c>
      <c r="M99" s="91" t="n">
        <v>0</v>
      </c>
      <c r="N99" s="91" t="n">
        <v>0</v>
      </c>
      <c r="O99" s="91" t="n">
        <v>0</v>
      </c>
      <c r="P99" s="91" t="n">
        <v>0</v>
      </c>
      <c r="Q99" s="93"/>
      <c r="R99" s="16" t="str">
        <f aca="false">IF(K99=P99, "", "Error")</f>
        <v/>
      </c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4"/>
      <c r="AF99" s="95"/>
      <c r="AG99" s="91"/>
      <c r="AH99" s="91"/>
      <c r="AI99" s="91"/>
      <c r="AJ99" s="91"/>
      <c r="AK99" s="91"/>
      <c r="AL99" s="91"/>
      <c r="AM99" s="91"/>
      <c r="AN99" s="91"/>
      <c r="AO99" s="91"/>
      <c r="AP99" s="91"/>
      <c r="AQ99" s="94"/>
      <c r="AR99" s="95"/>
      <c r="AS99" s="91"/>
      <c r="AT99" s="91"/>
      <c r="AU99" s="91"/>
      <c r="AV99" s="91"/>
      <c r="AW99" s="91"/>
      <c r="AX99" s="91"/>
      <c r="AY99" s="91"/>
      <c r="AZ99" s="91"/>
      <c r="BA99" s="91"/>
      <c r="BB99" s="91"/>
      <c r="BC99" s="94"/>
      <c r="BD99" s="95"/>
      <c r="BE99" s="91"/>
      <c r="BF99" s="91"/>
      <c r="BG99" s="91"/>
      <c r="BH99" s="91"/>
      <c r="BI99" s="91"/>
      <c r="BJ99" s="91"/>
      <c r="BK99" s="91"/>
      <c r="BL99" s="91"/>
      <c r="BM99" s="91"/>
      <c r="BN99" s="91"/>
      <c r="BO99" s="94"/>
      <c r="BP99" s="95"/>
      <c r="BQ99" s="91"/>
      <c r="BR99" s="91"/>
      <c r="BS99" s="91"/>
      <c r="BT99" s="91"/>
      <c r="BU99" s="91"/>
      <c r="BV99" s="91"/>
      <c r="BW99" s="91"/>
      <c r="BX99" s="91"/>
      <c r="BY99" s="91"/>
      <c r="BZ99" s="91"/>
      <c r="CA99" s="119"/>
      <c r="CC99" s="79" t="n">
        <f aca="false">SUMIFS($T99:$CA99, $T$1:$CA$1, CC$63)</f>
        <v>0</v>
      </c>
      <c r="CD99" s="79" t="n">
        <f aca="false">SUMIFS($T99:$CA99, $T$1:$CA$1, CD$63)</f>
        <v>0</v>
      </c>
      <c r="CE99" s="79" t="n">
        <f aca="false">SUMIFS($T99:$CA99, $T$1:$CA$1, CE$63)</f>
        <v>0</v>
      </c>
      <c r="CF99" s="79" t="n">
        <f aca="false">SUMIFS($T99:$CA99, $T$1:$CA$1, CF$63)</f>
        <v>0</v>
      </c>
      <c r="CG99" s="79" t="n">
        <f aca="false">SUMIFS($T99:$CA99, $T$1:$CA$1, CG$63)</f>
        <v>0</v>
      </c>
      <c r="CI99" s="79" t="n">
        <f aca="false">CC99=L99</f>
        <v>1</v>
      </c>
      <c r="CJ99" s="79" t="n">
        <f aca="false">CD99=M99</f>
        <v>1</v>
      </c>
      <c r="CK99" s="79" t="n">
        <f aca="false">CE99=N99</f>
        <v>1</v>
      </c>
      <c r="CL99" s="79" t="n">
        <f aca="false">CF99=O99</f>
        <v>1</v>
      </c>
      <c r="CM99" s="79" t="n">
        <f aca="false">CG99=P99</f>
        <v>1</v>
      </c>
    </row>
    <row r="100" s="14" customFormat="true" ht="16.5" hidden="false" customHeight="true" outlineLevel="0" collapsed="false">
      <c r="E100" s="91"/>
      <c r="H100" s="29"/>
      <c r="I100" s="91" t="n">
        <v>0</v>
      </c>
      <c r="J100" s="91" t="n">
        <v>0</v>
      </c>
      <c r="K100" s="212" t="n">
        <f aca="false">J100-I100</f>
        <v>0</v>
      </c>
      <c r="L100" s="91" t="n">
        <v>0</v>
      </c>
      <c r="M100" s="91" t="n">
        <v>0</v>
      </c>
      <c r="N100" s="91" t="n">
        <v>0</v>
      </c>
      <c r="O100" s="91" t="n">
        <v>0</v>
      </c>
      <c r="P100" s="91" t="n">
        <v>0</v>
      </c>
      <c r="Q100" s="93"/>
      <c r="R100" s="16" t="str">
        <f aca="false">IF(K100=P100, "", "Error")</f>
        <v/>
      </c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4"/>
      <c r="AF100" s="95"/>
      <c r="AG100" s="91"/>
      <c r="AH100" s="91"/>
      <c r="AI100" s="91"/>
      <c r="AJ100" s="91"/>
      <c r="AK100" s="91"/>
      <c r="AL100" s="91"/>
      <c r="AM100" s="91"/>
      <c r="AN100" s="91"/>
      <c r="AO100" s="91"/>
      <c r="AP100" s="91"/>
      <c r="AQ100" s="94"/>
      <c r="AR100" s="95"/>
      <c r="AS100" s="91"/>
      <c r="AT100" s="91"/>
      <c r="AU100" s="91"/>
      <c r="AV100" s="91"/>
      <c r="AW100" s="91"/>
      <c r="AX100" s="91"/>
      <c r="AY100" s="91"/>
      <c r="AZ100" s="91"/>
      <c r="BA100" s="91"/>
      <c r="BB100" s="91"/>
      <c r="BC100" s="94"/>
      <c r="BD100" s="95"/>
      <c r="BE100" s="91"/>
      <c r="BF100" s="91"/>
      <c r="BG100" s="91"/>
      <c r="BH100" s="91"/>
      <c r="BI100" s="91"/>
      <c r="BJ100" s="91"/>
      <c r="BK100" s="91"/>
      <c r="BL100" s="91"/>
      <c r="BM100" s="91"/>
      <c r="BN100" s="91"/>
      <c r="BO100" s="94"/>
      <c r="BP100" s="95"/>
      <c r="BQ100" s="91"/>
      <c r="BR100" s="91"/>
      <c r="BS100" s="91"/>
      <c r="BT100" s="91"/>
      <c r="BU100" s="91"/>
      <c r="BV100" s="91"/>
      <c r="BW100" s="91"/>
      <c r="BX100" s="91"/>
      <c r="BY100" s="91"/>
      <c r="BZ100" s="91"/>
      <c r="CA100" s="119"/>
      <c r="CC100" s="79" t="n">
        <f aca="false">SUMIFS($T100:$CA100, $T$1:$CA$1, CC$63)</f>
        <v>0</v>
      </c>
      <c r="CD100" s="79" t="n">
        <f aca="false">SUMIFS($T100:$CA100, $T$1:$CA$1, CD$63)</f>
        <v>0</v>
      </c>
      <c r="CE100" s="79" t="n">
        <f aca="false">SUMIFS($T100:$CA100, $T$1:$CA$1, CE$63)</f>
        <v>0</v>
      </c>
      <c r="CF100" s="79" t="n">
        <f aca="false">SUMIFS($T100:$CA100, $T$1:$CA$1, CF$63)</f>
        <v>0</v>
      </c>
      <c r="CG100" s="79" t="n">
        <f aca="false">SUMIFS($T100:$CA100, $T$1:$CA$1, CG$63)</f>
        <v>0</v>
      </c>
      <c r="CI100" s="79" t="n">
        <f aca="false">CC100=L100</f>
        <v>1</v>
      </c>
      <c r="CJ100" s="79" t="n">
        <f aca="false">CD100=M100</f>
        <v>1</v>
      </c>
      <c r="CK100" s="79" t="n">
        <f aca="false">CE100=N100</f>
        <v>1</v>
      </c>
      <c r="CL100" s="79" t="n">
        <f aca="false">CF100=O100</f>
        <v>1</v>
      </c>
      <c r="CM100" s="79" t="n">
        <f aca="false">CG100=P100</f>
        <v>1</v>
      </c>
    </row>
    <row r="101" s="14" customFormat="true" ht="16.5" hidden="false" customHeight="true" outlineLevel="0" collapsed="false">
      <c r="E101" s="91"/>
      <c r="H101" s="29"/>
      <c r="I101" s="91" t="n">
        <v>0</v>
      </c>
      <c r="J101" s="91" t="n">
        <v>0</v>
      </c>
      <c r="K101" s="212" t="n">
        <f aca="false">J101-I101</f>
        <v>0</v>
      </c>
      <c r="L101" s="91" t="n">
        <v>0</v>
      </c>
      <c r="M101" s="91" t="n">
        <v>0</v>
      </c>
      <c r="N101" s="91" t="n">
        <v>0</v>
      </c>
      <c r="O101" s="91" t="n">
        <v>0</v>
      </c>
      <c r="P101" s="91" t="n">
        <v>0</v>
      </c>
      <c r="Q101" s="93"/>
      <c r="R101" s="16" t="str">
        <f aca="false">IF(K101=P101, "", "Error")</f>
        <v/>
      </c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4"/>
      <c r="AF101" s="95"/>
      <c r="AG101" s="91"/>
      <c r="AH101" s="91"/>
      <c r="AI101" s="91"/>
      <c r="AJ101" s="91"/>
      <c r="AK101" s="91"/>
      <c r="AL101" s="91"/>
      <c r="AM101" s="91"/>
      <c r="AN101" s="91"/>
      <c r="AO101" s="91"/>
      <c r="AP101" s="91"/>
      <c r="AQ101" s="94"/>
      <c r="AR101" s="95"/>
      <c r="AS101" s="91"/>
      <c r="AT101" s="91"/>
      <c r="AU101" s="91"/>
      <c r="AV101" s="91"/>
      <c r="AW101" s="91"/>
      <c r="AX101" s="91"/>
      <c r="AY101" s="91"/>
      <c r="AZ101" s="91"/>
      <c r="BA101" s="91"/>
      <c r="BB101" s="91"/>
      <c r="BC101" s="94"/>
      <c r="BD101" s="95"/>
      <c r="BE101" s="91"/>
      <c r="BF101" s="91"/>
      <c r="BG101" s="91"/>
      <c r="BH101" s="91"/>
      <c r="BI101" s="91"/>
      <c r="BJ101" s="91"/>
      <c r="BK101" s="91"/>
      <c r="BL101" s="91"/>
      <c r="BM101" s="91"/>
      <c r="BN101" s="91"/>
      <c r="BO101" s="94"/>
      <c r="BP101" s="95"/>
      <c r="BQ101" s="91"/>
      <c r="BR101" s="91"/>
      <c r="BS101" s="91"/>
      <c r="BT101" s="91"/>
      <c r="BU101" s="91"/>
      <c r="BV101" s="91"/>
      <c r="BW101" s="91"/>
      <c r="BX101" s="91"/>
      <c r="BY101" s="91"/>
      <c r="BZ101" s="91"/>
      <c r="CA101" s="119"/>
      <c r="CC101" s="79" t="n">
        <f aca="false">SUMIFS($T101:$CA101, $T$1:$CA$1, CC$63)</f>
        <v>0</v>
      </c>
      <c r="CD101" s="79" t="n">
        <f aca="false">SUMIFS($T101:$CA101, $T$1:$CA$1, CD$63)</f>
        <v>0</v>
      </c>
      <c r="CE101" s="79" t="n">
        <f aca="false">SUMIFS($T101:$CA101, $T$1:$CA$1, CE$63)</f>
        <v>0</v>
      </c>
      <c r="CF101" s="79" t="n">
        <f aca="false">SUMIFS($T101:$CA101, $T$1:$CA$1, CF$63)</f>
        <v>0</v>
      </c>
      <c r="CG101" s="79" t="n">
        <f aca="false">SUMIFS($T101:$CA101, $T$1:$CA$1, CG$63)</f>
        <v>0</v>
      </c>
      <c r="CI101" s="79" t="n">
        <f aca="false">CC101=L101</f>
        <v>1</v>
      </c>
      <c r="CJ101" s="79" t="n">
        <f aca="false">CD101=M101</f>
        <v>1</v>
      </c>
      <c r="CK101" s="79" t="n">
        <f aca="false">CE101=N101</f>
        <v>1</v>
      </c>
      <c r="CL101" s="79" t="n">
        <f aca="false">CF101=O101</f>
        <v>1</v>
      </c>
      <c r="CM101" s="79" t="n">
        <f aca="false">CG101=P101</f>
        <v>1</v>
      </c>
    </row>
    <row r="102" s="14" customFormat="true" ht="16.5" hidden="false" customHeight="true" outlineLevel="0" collapsed="false">
      <c r="E102" s="91"/>
      <c r="H102" s="29"/>
      <c r="I102" s="91" t="n">
        <v>0</v>
      </c>
      <c r="J102" s="91" t="n">
        <v>0</v>
      </c>
      <c r="K102" s="212" t="n">
        <f aca="false">J102-I102</f>
        <v>0</v>
      </c>
      <c r="L102" s="91" t="n">
        <v>0</v>
      </c>
      <c r="M102" s="91" t="n">
        <v>0</v>
      </c>
      <c r="N102" s="91" t="n">
        <v>0</v>
      </c>
      <c r="O102" s="91" t="n">
        <v>0</v>
      </c>
      <c r="P102" s="91" t="n">
        <v>0</v>
      </c>
      <c r="Q102" s="93"/>
      <c r="R102" s="16" t="str">
        <f aca="false">IF(K102=P102, "", "Error")</f>
        <v/>
      </c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4"/>
      <c r="AF102" s="95"/>
      <c r="AG102" s="91"/>
      <c r="AH102" s="91"/>
      <c r="AI102" s="91"/>
      <c r="AJ102" s="91"/>
      <c r="AK102" s="91"/>
      <c r="AL102" s="91"/>
      <c r="AM102" s="91"/>
      <c r="AN102" s="91"/>
      <c r="AO102" s="91"/>
      <c r="AP102" s="91"/>
      <c r="AQ102" s="94"/>
      <c r="AR102" s="95"/>
      <c r="AS102" s="91"/>
      <c r="AT102" s="91"/>
      <c r="AU102" s="91"/>
      <c r="AV102" s="91"/>
      <c r="AW102" s="91"/>
      <c r="AX102" s="91"/>
      <c r="AY102" s="91"/>
      <c r="AZ102" s="91"/>
      <c r="BA102" s="91"/>
      <c r="BB102" s="91"/>
      <c r="BC102" s="94"/>
      <c r="BD102" s="95"/>
      <c r="BE102" s="91"/>
      <c r="BF102" s="91"/>
      <c r="BG102" s="91"/>
      <c r="BH102" s="91"/>
      <c r="BI102" s="91"/>
      <c r="BJ102" s="91"/>
      <c r="BK102" s="91"/>
      <c r="BL102" s="91"/>
      <c r="BM102" s="91"/>
      <c r="BN102" s="91"/>
      <c r="BO102" s="94"/>
      <c r="BP102" s="95"/>
      <c r="BQ102" s="91"/>
      <c r="BR102" s="91"/>
      <c r="BS102" s="91"/>
      <c r="BT102" s="91"/>
      <c r="BU102" s="91"/>
      <c r="BV102" s="91"/>
      <c r="BW102" s="91"/>
      <c r="BX102" s="91"/>
      <c r="BY102" s="91"/>
      <c r="BZ102" s="91"/>
      <c r="CA102" s="119"/>
      <c r="CC102" s="79" t="n">
        <f aca="false">SUMIFS($T102:$CA102, $T$1:$CA$1, CC$63)</f>
        <v>0</v>
      </c>
      <c r="CD102" s="79" t="n">
        <f aca="false">SUMIFS($T102:$CA102, $T$1:$CA$1, CD$63)</f>
        <v>0</v>
      </c>
      <c r="CE102" s="79" t="n">
        <f aca="false">SUMIFS($T102:$CA102, $T$1:$CA$1, CE$63)</f>
        <v>0</v>
      </c>
      <c r="CF102" s="79" t="n">
        <f aca="false">SUMIFS($T102:$CA102, $T$1:$CA$1, CF$63)</f>
        <v>0</v>
      </c>
      <c r="CG102" s="79" t="n">
        <f aca="false">SUMIFS($T102:$CA102, $T$1:$CA$1, CG$63)</f>
        <v>0</v>
      </c>
      <c r="CI102" s="79" t="n">
        <f aca="false">CC102=L102</f>
        <v>1</v>
      </c>
      <c r="CJ102" s="79" t="n">
        <f aca="false">CD102=M102</f>
        <v>1</v>
      </c>
      <c r="CK102" s="79" t="n">
        <f aca="false">CE102=N102</f>
        <v>1</v>
      </c>
      <c r="CL102" s="79" t="n">
        <f aca="false">CF102=O102</f>
        <v>1</v>
      </c>
      <c r="CM102" s="79" t="n">
        <f aca="false">CG102=P102</f>
        <v>1</v>
      </c>
    </row>
    <row r="103" s="14" customFormat="true" ht="16.5" hidden="false" customHeight="true" outlineLevel="0" collapsed="false">
      <c r="E103" s="91"/>
      <c r="H103" s="29"/>
      <c r="I103" s="91"/>
      <c r="J103" s="91"/>
      <c r="K103" s="212" t="n">
        <f aca="false">J103-I103</f>
        <v>0</v>
      </c>
      <c r="L103" s="91" t="n">
        <v>0</v>
      </c>
      <c r="M103" s="91" t="n">
        <v>0</v>
      </c>
      <c r="N103" s="91" t="n">
        <v>0</v>
      </c>
      <c r="O103" s="91" t="n">
        <v>0</v>
      </c>
      <c r="P103" s="91" t="n">
        <v>0</v>
      </c>
      <c r="Q103" s="93"/>
      <c r="R103" s="16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4"/>
      <c r="AF103" s="95"/>
      <c r="AG103" s="91"/>
      <c r="AH103" s="91"/>
      <c r="AI103" s="91"/>
      <c r="AJ103" s="91"/>
      <c r="AK103" s="91"/>
      <c r="AL103" s="91"/>
      <c r="AM103" s="91"/>
      <c r="AN103" s="91"/>
      <c r="AO103" s="91"/>
      <c r="AP103" s="91"/>
      <c r="AQ103" s="94"/>
      <c r="AR103" s="95"/>
      <c r="AS103" s="91"/>
      <c r="AT103" s="91"/>
      <c r="AU103" s="91"/>
      <c r="AV103" s="91"/>
      <c r="AW103" s="91"/>
      <c r="AX103" s="91"/>
      <c r="AY103" s="91"/>
      <c r="AZ103" s="91"/>
      <c r="BA103" s="91"/>
      <c r="BB103" s="91"/>
      <c r="BC103" s="94"/>
      <c r="BD103" s="95"/>
      <c r="BE103" s="91"/>
      <c r="BF103" s="91"/>
      <c r="BG103" s="91"/>
      <c r="BH103" s="91"/>
      <c r="BI103" s="91"/>
      <c r="BJ103" s="91"/>
      <c r="BK103" s="91"/>
      <c r="BL103" s="91"/>
      <c r="BM103" s="91"/>
      <c r="BN103" s="91"/>
      <c r="BO103" s="94"/>
      <c r="BP103" s="95"/>
      <c r="BQ103" s="91"/>
      <c r="BR103" s="91"/>
      <c r="BS103" s="91"/>
      <c r="BT103" s="91"/>
      <c r="BU103" s="91"/>
      <c r="BV103" s="91"/>
      <c r="BW103" s="91"/>
      <c r="BX103" s="91"/>
      <c r="BY103" s="91"/>
      <c r="BZ103" s="91"/>
      <c r="CA103" s="119"/>
      <c r="CC103" s="79"/>
      <c r="CD103" s="79"/>
      <c r="CE103" s="79"/>
      <c r="CF103" s="79"/>
      <c r="CG103" s="79"/>
      <c r="CI103" s="79"/>
      <c r="CJ103" s="79"/>
      <c r="CK103" s="79"/>
      <c r="CL103" s="79"/>
      <c r="CM103" s="79"/>
    </row>
    <row r="104" s="14" customFormat="true" ht="16.5" hidden="false" customHeight="true" outlineLevel="0" collapsed="false">
      <c r="E104" s="96" t="s">
        <v>139</v>
      </c>
      <c r="H104" s="29"/>
      <c r="I104" s="82" t="n">
        <f aca="false">SUM(I99:I103)</f>
        <v>0</v>
      </c>
      <c r="J104" s="82" t="n">
        <f aca="false">SUM(J99:J103)</f>
        <v>0</v>
      </c>
      <c r="K104" s="82" t="n">
        <f aca="false">SUM(K99:K103)</f>
        <v>0</v>
      </c>
      <c r="L104" s="82" t="n">
        <f aca="false">SUM(L99:L103)</f>
        <v>0</v>
      </c>
      <c r="M104" s="82" t="n">
        <f aca="false">SUM(M99:M103)</f>
        <v>0</v>
      </c>
      <c r="N104" s="82" t="n">
        <f aca="false">SUM(N99:N103)</f>
        <v>0</v>
      </c>
      <c r="O104" s="82" t="n">
        <f aca="false">SUM(O99:O103)</f>
        <v>0</v>
      </c>
      <c r="P104" s="82" t="n">
        <f aca="false">SUM(P99:P103)</f>
        <v>0</v>
      </c>
      <c r="Q104" s="16"/>
      <c r="R104" s="16"/>
      <c r="T104" s="82" t="n">
        <f aca="false">SUM(T99:T103)</f>
        <v>0</v>
      </c>
      <c r="U104" s="82" t="n">
        <f aca="false">SUM(U99:U103)</f>
        <v>0</v>
      </c>
      <c r="V104" s="82" t="n">
        <f aca="false">SUM(V99:V103)</f>
        <v>0</v>
      </c>
      <c r="W104" s="82" t="n">
        <f aca="false">SUM(W99:W103)</f>
        <v>0</v>
      </c>
      <c r="X104" s="82" t="n">
        <f aca="false">SUM(X99:X103)</f>
        <v>0</v>
      </c>
      <c r="Y104" s="82" t="n">
        <f aca="false">SUM(Y99:Y103)</f>
        <v>0</v>
      </c>
      <c r="Z104" s="82" t="n">
        <f aca="false">SUM(Z99:Z103)</f>
        <v>0</v>
      </c>
      <c r="AA104" s="82" t="n">
        <f aca="false">SUM(AA99:AA103)</f>
        <v>0</v>
      </c>
      <c r="AB104" s="82" t="n">
        <f aca="false">SUM(AB99:AB103)</f>
        <v>0</v>
      </c>
      <c r="AC104" s="82" t="n">
        <f aca="false">SUM(AC99:AC103)</f>
        <v>0</v>
      </c>
      <c r="AD104" s="82" t="n">
        <f aca="false">SUM(AD99:AD103)</f>
        <v>0</v>
      </c>
      <c r="AE104" s="82" t="n">
        <f aca="false">SUM(AE99:AE103)</f>
        <v>0</v>
      </c>
      <c r="AF104" s="83" t="n">
        <f aca="false">SUM(AF99:AF103)</f>
        <v>0</v>
      </c>
      <c r="AG104" s="82" t="n">
        <f aca="false">SUM(AG99:AG103)</f>
        <v>0</v>
      </c>
      <c r="AH104" s="82" t="n">
        <f aca="false">SUM(AH99:AH103)</f>
        <v>0</v>
      </c>
      <c r="AI104" s="82" t="n">
        <f aca="false">SUM(AI99:AI103)</f>
        <v>0</v>
      </c>
      <c r="AJ104" s="82" t="n">
        <f aca="false">SUM(AJ99:AJ103)</f>
        <v>0</v>
      </c>
      <c r="AK104" s="82" t="n">
        <f aca="false">SUM(AK99:AK103)</f>
        <v>0</v>
      </c>
      <c r="AL104" s="82" t="n">
        <f aca="false">SUM(AL99:AL103)</f>
        <v>0</v>
      </c>
      <c r="AM104" s="82" t="n">
        <f aca="false">SUM(AM99:AM103)</f>
        <v>0</v>
      </c>
      <c r="AN104" s="82" t="n">
        <f aca="false">SUM(AN99:AN103)</f>
        <v>0</v>
      </c>
      <c r="AO104" s="82" t="n">
        <f aca="false">SUM(AO99:AO103)</f>
        <v>0</v>
      </c>
      <c r="AP104" s="82" t="n">
        <f aca="false">SUM(AP99:AP103)</f>
        <v>0</v>
      </c>
      <c r="AQ104" s="82" t="n">
        <f aca="false">SUM(AQ99:AQ103)</f>
        <v>0</v>
      </c>
      <c r="AR104" s="83" t="n">
        <f aca="false">SUM(AR99:AR103)</f>
        <v>0</v>
      </c>
      <c r="AS104" s="82" t="n">
        <f aca="false">SUM(AS99:AS103)</f>
        <v>0</v>
      </c>
      <c r="AT104" s="82" t="n">
        <f aca="false">SUM(AT99:AT103)</f>
        <v>0</v>
      </c>
      <c r="AU104" s="82" t="n">
        <f aca="false">SUM(AU99:AU103)</f>
        <v>0</v>
      </c>
      <c r="AV104" s="82" t="n">
        <f aca="false">SUM(AV99:AV103)</f>
        <v>0</v>
      </c>
      <c r="AW104" s="82" t="n">
        <f aca="false">SUM(AW99:AW103)</f>
        <v>0</v>
      </c>
      <c r="AX104" s="82" t="n">
        <f aca="false">SUM(AX99:AX103)</f>
        <v>0</v>
      </c>
      <c r="AY104" s="82" t="n">
        <f aca="false">SUM(AY99:AY103)</f>
        <v>0</v>
      </c>
      <c r="AZ104" s="82" t="n">
        <f aca="false">SUM(AZ99:AZ103)</f>
        <v>0</v>
      </c>
      <c r="BA104" s="82" t="n">
        <f aca="false">SUM(BA99:BA103)</f>
        <v>0</v>
      </c>
      <c r="BB104" s="82" t="n">
        <f aca="false">SUM(BB99:BB103)</f>
        <v>0</v>
      </c>
      <c r="BC104" s="82" t="n">
        <f aca="false">SUM(BC99:BC103)</f>
        <v>0</v>
      </c>
      <c r="BD104" s="83" t="n">
        <f aca="false">SUM(BD99:BD103)</f>
        <v>0</v>
      </c>
      <c r="BE104" s="82" t="n">
        <f aca="false">SUM(BE99:BE103)</f>
        <v>0</v>
      </c>
      <c r="BF104" s="82" t="n">
        <f aca="false">SUM(BF99:BF103)</f>
        <v>0</v>
      </c>
      <c r="BG104" s="82" t="n">
        <f aca="false">SUM(BG99:BG103)</f>
        <v>0</v>
      </c>
      <c r="BH104" s="82" t="n">
        <f aca="false">SUM(BH99:BH103)</f>
        <v>0</v>
      </c>
      <c r="BI104" s="82" t="n">
        <f aca="false">SUM(BI99:BI103)</f>
        <v>0</v>
      </c>
      <c r="BJ104" s="82" t="n">
        <f aca="false">SUM(BJ99:BJ103)</f>
        <v>0</v>
      </c>
      <c r="BK104" s="82" t="n">
        <f aca="false">SUM(BK99:BK103)</f>
        <v>0</v>
      </c>
      <c r="BL104" s="82" t="n">
        <f aca="false">SUM(BL99:BL103)</f>
        <v>0</v>
      </c>
      <c r="BM104" s="82" t="n">
        <f aca="false">SUM(BM99:BM103)</f>
        <v>0</v>
      </c>
      <c r="BN104" s="82" t="n">
        <f aca="false">SUM(BN99:BN103)</f>
        <v>0</v>
      </c>
      <c r="BO104" s="82" t="n">
        <f aca="false">SUM(BO99:BO103)</f>
        <v>0</v>
      </c>
      <c r="BP104" s="83" t="n">
        <f aca="false">SUM(BP99:BP103)</f>
        <v>0</v>
      </c>
      <c r="BQ104" s="82" t="n">
        <f aca="false">SUM(BQ99:BQ103)</f>
        <v>0</v>
      </c>
      <c r="BR104" s="82" t="n">
        <f aca="false">SUM(BR99:BR103)</f>
        <v>0</v>
      </c>
      <c r="BS104" s="82" t="n">
        <f aca="false">SUM(BS99:BS103)</f>
        <v>0</v>
      </c>
      <c r="BT104" s="82" t="n">
        <f aca="false">SUM(BT99:BT103)</f>
        <v>0</v>
      </c>
      <c r="BU104" s="82" t="n">
        <f aca="false">SUM(BU99:BU103)</f>
        <v>0</v>
      </c>
      <c r="BV104" s="82" t="n">
        <f aca="false">SUM(BV99:BV103)</f>
        <v>0</v>
      </c>
      <c r="BW104" s="82" t="n">
        <f aca="false">SUM(BW99:BW103)</f>
        <v>0</v>
      </c>
      <c r="BX104" s="82" t="n">
        <f aca="false">SUM(BX99:BX103)</f>
        <v>0</v>
      </c>
      <c r="BY104" s="82" t="n">
        <f aca="false">SUM(BY99:BY103)</f>
        <v>0</v>
      </c>
      <c r="BZ104" s="82" t="n">
        <f aca="false">SUM(BZ99:BZ103)</f>
        <v>0</v>
      </c>
      <c r="CA104" s="84" t="n">
        <f aca="false">SUM(CA99:CA103)</f>
        <v>0</v>
      </c>
      <c r="CC104" s="84" t="n">
        <f aca="false">SUM(CC99:CC103)</f>
        <v>0</v>
      </c>
      <c r="CD104" s="84" t="n">
        <f aca="false">SUM(CD99:CD103)</f>
        <v>0</v>
      </c>
      <c r="CE104" s="84" t="n">
        <f aca="false">SUM(CE99:CE103)</f>
        <v>0</v>
      </c>
      <c r="CF104" s="84" t="n">
        <f aca="false">SUM(CF99:CF103)</f>
        <v>0</v>
      </c>
      <c r="CG104" s="84" t="n">
        <f aca="false">SUM(CG99:CG103)</f>
        <v>0</v>
      </c>
      <c r="CI104" s="84" t="n">
        <f aca="false">CC104=L104</f>
        <v>1</v>
      </c>
      <c r="CJ104" s="84" t="n">
        <f aca="false">CD104=M104</f>
        <v>1</v>
      </c>
      <c r="CK104" s="84" t="n">
        <f aca="false">CE104=N104</f>
        <v>1</v>
      </c>
      <c r="CL104" s="84" t="n">
        <f aca="false">CF104=O104</f>
        <v>1</v>
      </c>
      <c r="CM104" s="84" t="n">
        <f aca="false">CG104=P104</f>
        <v>1</v>
      </c>
    </row>
    <row r="105" s="14" customFormat="true" ht="16.5" hidden="false" customHeight="true" outlineLevel="0" collapsed="false">
      <c r="H105" s="29"/>
      <c r="I105" s="88"/>
      <c r="J105" s="88"/>
      <c r="K105" s="88"/>
      <c r="L105" s="88"/>
      <c r="M105" s="88"/>
      <c r="N105" s="88"/>
      <c r="O105" s="88"/>
      <c r="P105" s="88"/>
      <c r="Q105" s="16"/>
      <c r="R105" s="16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9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  <c r="AQ105" s="88"/>
      <c r="AR105" s="89"/>
      <c r="AS105" s="88"/>
      <c r="AT105" s="88"/>
      <c r="AU105" s="88"/>
      <c r="AV105" s="88"/>
      <c r="AW105" s="88"/>
      <c r="AX105" s="88"/>
      <c r="AY105" s="88"/>
      <c r="AZ105" s="88"/>
      <c r="BA105" s="88"/>
      <c r="BB105" s="88"/>
      <c r="BC105" s="88"/>
      <c r="BD105" s="89"/>
      <c r="BE105" s="88"/>
      <c r="BF105" s="88"/>
      <c r="BG105" s="88"/>
      <c r="BH105" s="88"/>
      <c r="BI105" s="88"/>
      <c r="BJ105" s="88"/>
      <c r="BK105" s="88"/>
      <c r="BL105" s="88"/>
      <c r="BM105" s="88"/>
      <c r="BN105" s="88"/>
      <c r="BO105" s="88"/>
      <c r="BP105" s="89"/>
      <c r="BQ105" s="88"/>
      <c r="BR105" s="88"/>
      <c r="BS105" s="88"/>
      <c r="BT105" s="88"/>
      <c r="BU105" s="88"/>
      <c r="BV105" s="88"/>
      <c r="BW105" s="88"/>
      <c r="BX105" s="88"/>
      <c r="BY105" s="88"/>
      <c r="BZ105" s="88"/>
      <c r="CA105" s="90"/>
      <c r="CC105" s="90"/>
      <c r="CD105" s="90"/>
      <c r="CE105" s="90"/>
      <c r="CF105" s="90"/>
      <c r="CG105" s="90"/>
      <c r="CI105" s="90"/>
      <c r="CJ105" s="90"/>
      <c r="CK105" s="90"/>
      <c r="CL105" s="90"/>
      <c r="CM105" s="90"/>
    </row>
    <row r="106" s="14" customFormat="true" ht="16.5" hidden="false" customHeight="true" outlineLevel="0" collapsed="false">
      <c r="E106" s="21" t="s">
        <v>140</v>
      </c>
      <c r="H106" s="29"/>
      <c r="I106" s="88"/>
      <c r="J106" s="88"/>
      <c r="K106" s="88"/>
      <c r="L106" s="88"/>
      <c r="M106" s="88"/>
      <c r="N106" s="88"/>
      <c r="O106" s="88"/>
      <c r="P106" s="88"/>
      <c r="Q106" s="16"/>
      <c r="R106" s="16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9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  <c r="AQ106" s="88"/>
      <c r="AR106" s="89"/>
      <c r="AS106" s="88"/>
      <c r="AT106" s="88"/>
      <c r="AU106" s="88"/>
      <c r="AV106" s="88"/>
      <c r="AW106" s="88"/>
      <c r="AX106" s="88"/>
      <c r="AY106" s="88"/>
      <c r="AZ106" s="88"/>
      <c r="BA106" s="88"/>
      <c r="BB106" s="88"/>
      <c r="BC106" s="88"/>
      <c r="BD106" s="89"/>
      <c r="BE106" s="88"/>
      <c r="BF106" s="88"/>
      <c r="BG106" s="88"/>
      <c r="BH106" s="88"/>
      <c r="BI106" s="88"/>
      <c r="BJ106" s="88"/>
      <c r="BK106" s="88"/>
      <c r="BL106" s="88"/>
      <c r="BM106" s="88"/>
      <c r="BN106" s="88"/>
      <c r="BO106" s="88"/>
      <c r="BP106" s="89"/>
      <c r="BQ106" s="88"/>
      <c r="BR106" s="88"/>
      <c r="BS106" s="88"/>
      <c r="BT106" s="88"/>
      <c r="BU106" s="88"/>
      <c r="BV106" s="88"/>
      <c r="BW106" s="88"/>
      <c r="BX106" s="88"/>
      <c r="BY106" s="88"/>
      <c r="BZ106" s="88"/>
      <c r="CA106" s="90"/>
      <c r="CC106" s="90"/>
      <c r="CD106" s="90"/>
      <c r="CE106" s="90"/>
      <c r="CF106" s="90"/>
      <c r="CG106" s="90"/>
      <c r="CI106" s="90"/>
      <c r="CJ106" s="90"/>
      <c r="CK106" s="90"/>
      <c r="CL106" s="90"/>
      <c r="CM106" s="90"/>
    </row>
    <row r="107" s="14" customFormat="true" ht="16.5" hidden="false" customHeight="true" outlineLevel="0" collapsed="false">
      <c r="E107" s="91"/>
      <c r="H107" s="29"/>
      <c r="I107" s="91" t="n">
        <v>0</v>
      </c>
      <c r="J107" s="91" t="n">
        <v>0</v>
      </c>
      <c r="K107" s="212" t="n">
        <f aca="false">J107-I107</f>
        <v>0</v>
      </c>
      <c r="L107" s="91" t="n">
        <v>0</v>
      </c>
      <c r="M107" s="91" t="n">
        <f aca="false">$K107</f>
        <v>0</v>
      </c>
      <c r="N107" s="91" t="n">
        <f aca="false">$K107</f>
        <v>0</v>
      </c>
      <c r="O107" s="91" t="n">
        <f aca="false">$K107</f>
        <v>0</v>
      </c>
      <c r="P107" s="91" t="n">
        <f aca="false">$K107</f>
        <v>0</v>
      </c>
      <c r="Q107" s="93"/>
      <c r="R107" s="16" t="str">
        <f aca="false">IF(K107=P107, "", "Error")</f>
        <v/>
      </c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4"/>
      <c r="AF107" s="95" t="n">
        <f aca="false">$K$107/12</f>
        <v>0</v>
      </c>
      <c r="AG107" s="95" t="n">
        <f aca="false">$K$107/12</f>
        <v>0</v>
      </c>
      <c r="AH107" s="95" t="n">
        <f aca="false">$K$107/12</f>
        <v>0</v>
      </c>
      <c r="AI107" s="95" t="n">
        <f aca="false">$K$107/12</f>
        <v>0</v>
      </c>
      <c r="AJ107" s="95" t="n">
        <f aca="false">$K$107/12</f>
        <v>0</v>
      </c>
      <c r="AK107" s="95" t="n">
        <f aca="false">$K$107/12</f>
        <v>0</v>
      </c>
      <c r="AL107" s="95" t="n">
        <f aca="false">$K$107/12</f>
        <v>0</v>
      </c>
      <c r="AM107" s="95" t="n">
        <f aca="false">$K$107/12</f>
        <v>0</v>
      </c>
      <c r="AN107" s="95" t="n">
        <f aca="false">$K$107/12</f>
        <v>0</v>
      </c>
      <c r="AO107" s="95" t="n">
        <f aca="false">$K$107/12</f>
        <v>0</v>
      </c>
      <c r="AP107" s="95" t="n">
        <f aca="false">$K$107/12</f>
        <v>0</v>
      </c>
      <c r="AQ107" s="95" t="n">
        <f aca="false">$K$107/12</f>
        <v>0</v>
      </c>
      <c r="AR107" s="95" t="n">
        <f aca="false">$K$107/12</f>
        <v>0</v>
      </c>
      <c r="AS107" s="95" t="n">
        <f aca="false">$K$107/12</f>
        <v>0</v>
      </c>
      <c r="AT107" s="95" t="n">
        <f aca="false">$K$107/12</f>
        <v>0</v>
      </c>
      <c r="AU107" s="95" t="n">
        <f aca="false">$K$107/12</f>
        <v>0</v>
      </c>
      <c r="AV107" s="95" t="n">
        <f aca="false">$K$107/12</f>
        <v>0</v>
      </c>
      <c r="AW107" s="95" t="n">
        <f aca="false">$K$107/12</f>
        <v>0</v>
      </c>
      <c r="AX107" s="95" t="n">
        <f aca="false">$K$107/12</f>
        <v>0</v>
      </c>
      <c r="AY107" s="95" t="n">
        <f aca="false">$K$107/12</f>
        <v>0</v>
      </c>
      <c r="AZ107" s="95" t="n">
        <f aca="false">$K$107/12</f>
        <v>0</v>
      </c>
      <c r="BA107" s="95" t="n">
        <f aca="false">$K$107/12</f>
        <v>0</v>
      </c>
      <c r="BB107" s="95" t="n">
        <f aca="false">$K$107/12</f>
        <v>0</v>
      </c>
      <c r="BC107" s="95" t="n">
        <f aca="false">$K$107/12</f>
        <v>0</v>
      </c>
      <c r="BD107" s="95" t="n">
        <f aca="false">$K$107/12</f>
        <v>0</v>
      </c>
      <c r="BE107" s="95" t="n">
        <f aca="false">$K$107/12</f>
        <v>0</v>
      </c>
      <c r="BF107" s="95" t="n">
        <f aca="false">$K$107/12</f>
        <v>0</v>
      </c>
      <c r="BG107" s="95" t="n">
        <f aca="false">$K$107/12</f>
        <v>0</v>
      </c>
      <c r="BH107" s="95" t="n">
        <f aca="false">$K$107/12</f>
        <v>0</v>
      </c>
      <c r="BI107" s="95" t="n">
        <f aca="false">$K$107/12</f>
        <v>0</v>
      </c>
      <c r="BJ107" s="95" t="n">
        <f aca="false">$K$107/12</f>
        <v>0</v>
      </c>
      <c r="BK107" s="95" t="n">
        <f aca="false">$K$107/12</f>
        <v>0</v>
      </c>
      <c r="BL107" s="95" t="n">
        <f aca="false">$K$107/12</f>
        <v>0</v>
      </c>
      <c r="BM107" s="95" t="n">
        <f aca="false">$K$107/12</f>
        <v>0</v>
      </c>
      <c r="BN107" s="95" t="n">
        <f aca="false">$K$107/12</f>
        <v>0</v>
      </c>
      <c r="BO107" s="95" t="n">
        <f aca="false">$K$107/12</f>
        <v>0</v>
      </c>
      <c r="BP107" s="95" t="n">
        <f aca="false">$K$107/12</f>
        <v>0</v>
      </c>
      <c r="BQ107" s="95" t="n">
        <f aca="false">$K$107/12</f>
        <v>0</v>
      </c>
      <c r="BR107" s="95" t="n">
        <f aca="false">$K$107/12</f>
        <v>0</v>
      </c>
      <c r="BS107" s="95" t="n">
        <f aca="false">$K$107/12</f>
        <v>0</v>
      </c>
      <c r="BT107" s="95" t="n">
        <f aca="false">$K$107/12</f>
        <v>0</v>
      </c>
      <c r="BU107" s="95" t="n">
        <f aca="false">$K$107/12</f>
        <v>0</v>
      </c>
      <c r="BV107" s="95" t="n">
        <f aca="false">$K$107/12</f>
        <v>0</v>
      </c>
      <c r="BW107" s="95" t="n">
        <f aca="false">$K$107/12</f>
        <v>0</v>
      </c>
      <c r="BX107" s="95" t="n">
        <f aca="false">$K$107/12</f>
        <v>0</v>
      </c>
      <c r="BY107" s="95" t="n">
        <f aca="false">$K$107/12</f>
        <v>0</v>
      </c>
      <c r="BZ107" s="95" t="n">
        <f aca="false">$K$107/12</f>
        <v>0</v>
      </c>
      <c r="CA107" s="95" t="n">
        <f aca="false">$K$107/12</f>
        <v>0</v>
      </c>
      <c r="CC107" s="79" t="n">
        <f aca="false">SUMIFS($T107:$CA107, $T$1:$CA$1, CC$63)</f>
        <v>0</v>
      </c>
      <c r="CD107" s="79" t="n">
        <f aca="false">SUMIFS($T107:$CA107, $T$1:$CA$1, CD$63)</f>
        <v>0</v>
      </c>
      <c r="CE107" s="79" t="n">
        <f aca="false">SUMIFS($T107:$CA107, $T$1:$CA$1, CE$63)</f>
        <v>0</v>
      </c>
      <c r="CF107" s="79" t="n">
        <f aca="false">SUMIFS($T107:$CA107, $T$1:$CA$1, CF$63)</f>
        <v>0</v>
      </c>
      <c r="CG107" s="79" t="n">
        <f aca="false">SUMIFS($T107:$CA107, $T$1:$CA$1, CG$63)</f>
        <v>0</v>
      </c>
      <c r="CI107" s="79" t="n">
        <f aca="false">CC107=L107</f>
        <v>1</v>
      </c>
      <c r="CJ107" s="79" t="n">
        <f aca="false">CD107=M107</f>
        <v>1</v>
      </c>
      <c r="CK107" s="79" t="n">
        <f aca="false">CE107=N107</f>
        <v>1</v>
      </c>
      <c r="CL107" s="79" t="n">
        <f aca="false">CF107=O107</f>
        <v>1</v>
      </c>
      <c r="CM107" s="79" t="n">
        <f aca="false">CG107=P107</f>
        <v>1</v>
      </c>
    </row>
    <row r="108" s="14" customFormat="true" ht="16.5" hidden="false" customHeight="true" outlineLevel="0" collapsed="false">
      <c r="E108" s="91"/>
      <c r="H108" s="29"/>
      <c r="I108" s="91" t="n">
        <v>0</v>
      </c>
      <c r="J108" s="91" t="n">
        <v>0</v>
      </c>
      <c r="K108" s="212" t="n">
        <f aca="false">J108-I108</f>
        <v>0</v>
      </c>
      <c r="L108" s="91" t="n">
        <v>0</v>
      </c>
      <c r="M108" s="91" t="n">
        <v>0</v>
      </c>
      <c r="N108" s="91" t="n">
        <v>0</v>
      </c>
      <c r="O108" s="91" t="n">
        <v>0</v>
      </c>
      <c r="P108" s="91" t="n">
        <v>0</v>
      </c>
      <c r="Q108" s="93"/>
      <c r="R108" s="16" t="str">
        <f aca="false">IF(K108=P108, "", "Error")</f>
        <v/>
      </c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4"/>
      <c r="AF108" s="94"/>
      <c r="AG108" s="94"/>
      <c r="AH108" s="94"/>
      <c r="AI108" s="94"/>
      <c r="AJ108" s="94"/>
      <c r="AK108" s="94"/>
      <c r="AL108" s="94"/>
      <c r="AM108" s="94"/>
      <c r="AN108" s="94"/>
      <c r="AO108" s="94"/>
      <c r="AP108" s="94"/>
      <c r="AQ108" s="94"/>
      <c r="AR108" s="94"/>
      <c r="AS108" s="94"/>
      <c r="AT108" s="94"/>
      <c r="AU108" s="94"/>
      <c r="AV108" s="94"/>
      <c r="AW108" s="94"/>
      <c r="AX108" s="94"/>
      <c r="AY108" s="94"/>
      <c r="AZ108" s="94"/>
      <c r="BA108" s="94"/>
      <c r="BB108" s="94"/>
      <c r="BC108" s="94"/>
      <c r="BD108" s="94"/>
      <c r="BE108" s="94"/>
      <c r="BF108" s="94"/>
      <c r="BG108" s="94"/>
      <c r="BH108" s="94"/>
      <c r="BI108" s="94"/>
      <c r="BJ108" s="94"/>
      <c r="BK108" s="94"/>
      <c r="BL108" s="94"/>
      <c r="BM108" s="94"/>
      <c r="BN108" s="94"/>
      <c r="BO108" s="94"/>
      <c r="BP108" s="94"/>
      <c r="BQ108" s="94"/>
      <c r="BR108" s="94"/>
      <c r="BS108" s="94"/>
      <c r="BT108" s="94"/>
      <c r="BU108" s="94"/>
      <c r="BV108" s="94"/>
      <c r="BW108" s="94"/>
      <c r="BX108" s="94"/>
      <c r="BY108" s="94"/>
      <c r="BZ108" s="94"/>
      <c r="CA108" s="94"/>
      <c r="CC108" s="79" t="n">
        <f aca="false">SUMIFS($T108:$CA108, $T$1:$CA$1, CC$63)</f>
        <v>0</v>
      </c>
      <c r="CD108" s="79" t="n">
        <f aca="false">SUMIFS($T108:$CA108, $T$1:$CA$1, CD$63)</f>
        <v>0</v>
      </c>
      <c r="CE108" s="79" t="n">
        <f aca="false">SUMIFS($T108:$CA108, $T$1:$CA$1, CE$63)</f>
        <v>0</v>
      </c>
      <c r="CF108" s="79" t="n">
        <f aca="false">SUMIFS($T108:$CA108, $T$1:$CA$1, CF$63)</f>
        <v>0</v>
      </c>
      <c r="CG108" s="79" t="n">
        <f aca="false">SUMIFS($T108:$CA108, $T$1:$CA$1, CG$63)</f>
        <v>0</v>
      </c>
      <c r="CI108" s="79" t="n">
        <f aca="false">CC108=L108</f>
        <v>1</v>
      </c>
      <c r="CJ108" s="79" t="n">
        <f aca="false">CD108=M108</f>
        <v>1</v>
      </c>
      <c r="CK108" s="79" t="n">
        <f aca="false">CE108=N108</f>
        <v>1</v>
      </c>
      <c r="CL108" s="79" t="n">
        <f aca="false">CF108=O108</f>
        <v>1</v>
      </c>
      <c r="CM108" s="79" t="n">
        <f aca="false">CG108=P108</f>
        <v>1</v>
      </c>
    </row>
    <row r="109" s="14" customFormat="true" ht="16.5" hidden="false" customHeight="true" outlineLevel="0" collapsed="false">
      <c r="E109" s="91"/>
      <c r="H109" s="29"/>
      <c r="I109" s="91" t="n">
        <v>0</v>
      </c>
      <c r="J109" s="91" t="n">
        <v>0</v>
      </c>
      <c r="K109" s="212" t="n">
        <f aca="false">J109-I109</f>
        <v>0</v>
      </c>
      <c r="L109" s="91" t="n">
        <v>0</v>
      </c>
      <c r="M109" s="91" t="n">
        <v>0</v>
      </c>
      <c r="N109" s="91" t="n">
        <v>0</v>
      </c>
      <c r="O109" s="91" t="n">
        <v>0</v>
      </c>
      <c r="P109" s="91" t="n">
        <v>0</v>
      </c>
      <c r="Q109" s="93"/>
      <c r="R109" s="16" t="str">
        <f aca="false">IF(K109=P109, "", "Error")</f>
        <v/>
      </c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4"/>
      <c r="AF109" s="94"/>
      <c r="AG109" s="94"/>
      <c r="AH109" s="94"/>
      <c r="AI109" s="94"/>
      <c r="AJ109" s="94"/>
      <c r="AK109" s="94"/>
      <c r="AL109" s="94"/>
      <c r="AM109" s="94"/>
      <c r="AN109" s="94"/>
      <c r="AO109" s="94"/>
      <c r="AP109" s="94"/>
      <c r="AQ109" s="94"/>
      <c r="AR109" s="94"/>
      <c r="AS109" s="94"/>
      <c r="AT109" s="94"/>
      <c r="AU109" s="94"/>
      <c r="AV109" s="94"/>
      <c r="AW109" s="94"/>
      <c r="AX109" s="94"/>
      <c r="AY109" s="94"/>
      <c r="AZ109" s="94"/>
      <c r="BA109" s="94"/>
      <c r="BB109" s="94"/>
      <c r="BC109" s="94"/>
      <c r="BD109" s="94"/>
      <c r="BE109" s="94"/>
      <c r="BF109" s="94"/>
      <c r="BG109" s="94"/>
      <c r="BH109" s="94"/>
      <c r="BI109" s="94"/>
      <c r="BJ109" s="94"/>
      <c r="BK109" s="94"/>
      <c r="BL109" s="94"/>
      <c r="BM109" s="94"/>
      <c r="BN109" s="94"/>
      <c r="BO109" s="94"/>
      <c r="BP109" s="94"/>
      <c r="BQ109" s="94"/>
      <c r="BR109" s="94"/>
      <c r="BS109" s="94"/>
      <c r="BT109" s="94"/>
      <c r="BU109" s="94"/>
      <c r="BV109" s="94"/>
      <c r="BW109" s="94"/>
      <c r="BX109" s="94"/>
      <c r="BY109" s="94"/>
      <c r="BZ109" s="94"/>
      <c r="CA109" s="94"/>
      <c r="CC109" s="79" t="n">
        <f aca="false">SUMIFS($T109:$CA109, $T$1:$CA$1, CC$63)</f>
        <v>0</v>
      </c>
      <c r="CD109" s="79" t="n">
        <f aca="false">SUMIFS($T109:$CA109, $T$1:$CA$1, CD$63)</f>
        <v>0</v>
      </c>
      <c r="CE109" s="79" t="n">
        <f aca="false">SUMIFS($T109:$CA109, $T$1:$CA$1, CE$63)</f>
        <v>0</v>
      </c>
      <c r="CF109" s="79" t="n">
        <f aca="false">SUMIFS($T109:$CA109, $T$1:$CA$1, CF$63)</f>
        <v>0</v>
      </c>
      <c r="CG109" s="79" t="n">
        <f aca="false">SUMIFS($T109:$CA109, $T$1:$CA$1, CG$63)</f>
        <v>0</v>
      </c>
      <c r="CI109" s="79" t="n">
        <f aca="false">CC109=L109</f>
        <v>1</v>
      </c>
      <c r="CJ109" s="79" t="n">
        <f aca="false">CD109=M109</f>
        <v>1</v>
      </c>
      <c r="CK109" s="79" t="n">
        <f aca="false">CE109=N109</f>
        <v>1</v>
      </c>
      <c r="CL109" s="79" t="n">
        <f aca="false">CF109=O109</f>
        <v>1</v>
      </c>
      <c r="CM109" s="79" t="n">
        <f aca="false">CG109=P109</f>
        <v>1</v>
      </c>
    </row>
    <row r="110" s="14" customFormat="true" ht="16.5" hidden="false" customHeight="true" outlineLevel="0" collapsed="false">
      <c r="E110" s="91"/>
      <c r="H110" s="29"/>
      <c r="I110" s="91" t="n">
        <v>0</v>
      </c>
      <c r="J110" s="91" t="n">
        <v>0</v>
      </c>
      <c r="K110" s="212" t="n">
        <f aca="false">J110-I110</f>
        <v>0</v>
      </c>
      <c r="L110" s="91" t="n">
        <v>0</v>
      </c>
      <c r="M110" s="91" t="n">
        <v>0</v>
      </c>
      <c r="N110" s="91" t="n">
        <v>0</v>
      </c>
      <c r="O110" s="91" t="n">
        <v>0</v>
      </c>
      <c r="P110" s="91" t="n">
        <v>0</v>
      </c>
      <c r="Q110" s="93"/>
      <c r="R110" s="16" t="str">
        <f aca="false">IF(K110=P110, "", "Error")</f>
        <v/>
      </c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4"/>
      <c r="AF110" s="95"/>
      <c r="AG110" s="91"/>
      <c r="AH110" s="91"/>
      <c r="AI110" s="91"/>
      <c r="AJ110" s="91"/>
      <c r="AK110" s="91"/>
      <c r="AL110" s="91"/>
      <c r="AM110" s="91"/>
      <c r="AN110" s="91"/>
      <c r="AO110" s="91"/>
      <c r="AP110" s="91"/>
      <c r="AQ110" s="94"/>
      <c r="AR110" s="95"/>
      <c r="AS110" s="91"/>
      <c r="AT110" s="91"/>
      <c r="AU110" s="91"/>
      <c r="AV110" s="91"/>
      <c r="AW110" s="91"/>
      <c r="AX110" s="91"/>
      <c r="AY110" s="91"/>
      <c r="AZ110" s="91"/>
      <c r="BA110" s="91"/>
      <c r="BB110" s="91"/>
      <c r="BC110" s="94"/>
      <c r="BD110" s="95"/>
      <c r="BE110" s="91"/>
      <c r="BF110" s="91"/>
      <c r="BG110" s="91"/>
      <c r="BH110" s="91"/>
      <c r="BI110" s="91"/>
      <c r="BJ110" s="91"/>
      <c r="BK110" s="91"/>
      <c r="BL110" s="91"/>
      <c r="BM110" s="91"/>
      <c r="BN110" s="91"/>
      <c r="BO110" s="94"/>
      <c r="BP110" s="95"/>
      <c r="BQ110" s="91"/>
      <c r="BR110" s="91"/>
      <c r="BS110" s="91"/>
      <c r="BT110" s="91"/>
      <c r="BU110" s="91"/>
      <c r="BV110" s="91"/>
      <c r="BW110" s="91"/>
      <c r="BX110" s="91"/>
      <c r="BY110" s="91"/>
      <c r="BZ110" s="91"/>
      <c r="CA110" s="119"/>
      <c r="CC110" s="79" t="n">
        <f aca="false">SUMIFS($T110:$CA110, $T$1:$CA$1, CC$63)</f>
        <v>0</v>
      </c>
      <c r="CD110" s="79" t="n">
        <f aca="false">SUMIFS($T110:$CA110, $T$1:$CA$1, CD$63)</f>
        <v>0</v>
      </c>
      <c r="CE110" s="79" t="n">
        <f aca="false">SUMIFS($T110:$CA110, $T$1:$CA$1, CE$63)</f>
        <v>0</v>
      </c>
      <c r="CF110" s="79" t="n">
        <f aca="false">SUMIFS($T110:$CA110, $T$1:$CA$1, CF$63)</f>
        <v>0</v>
      </c>
      <c r="CG110" s="79" t="n">
        <f aca="false">SUMIFS($T110:$CA110, $T$1:$CA$1, CG$63)</f>
        <v>0</v>
      </c>
      <c r="CI110" s="79" t="n">
        <f aca="false">CC110=L110</f>
        <v>1</v>
      </c>
      <c r="CJ110" s="79" t="n">
        <f aca="false">CD110=M110</f>
        <v>1</v>
      </c>
      <c r="CK110" s="79" t="n">
        <f aca="false">CE110=N110</f>
        <v>1</v>
      </c>
      <c r="CL110" s="79" t="n">
        <f aca="false">CF110=O110</f>
        <v>1</v>
      </c>
      <c r="CM110" s="79" t="n">
        <f aca="false">CG110=P110</f>
        <v>1</v>
      </c>
    </row>
    <row r="111" s="14" customFormat="true" ht="16.5" hidden="false" customHeight="true" outlineLevel="0" collapsed="false">
      <c r="E111" s="91"/>
      <c r="H111" s="29"/>
      <c r="I111" s="91" t="n">
        <v>0</v>
      </c>
      <c r="J111" s="91" t="n">
        <v>0</v>
      </c>
      <c r="K111" s="212" t="n">
        <f aca="false">J111-I111</f>
        <v>0</v>
      </c>
      <c r="L111" s="91" t="n">
        <v>0</v>
      </c>
      <c r="M111" s="91" t="n">
        <v>0</v>
      </c>
      <c r="N111" s="91" t="n">
        <v>0</v>
      </c>
      <c r="O111" s="91" t="n">
        <v>0</v>
      </c>
      <c r="P111" s="91" t="n">
        <v>0</v>
      </c>
      <c r="Q111" s="93"/>
      <c r="R111" s="16" t="str">
        <f aca="false">IF(K111=P111, "", "Error")</f>
        <v/>
      </c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4"/>
      <c r="AF111" s="95"/>
      <c r="AG111" s="91"/>
      <c r="AH111" s="91"/>
      <c r="AI111" s="91"/>
      <c r="AJ111" s="91"/>
      <c r="AK111" s="91"/>
      <c r="AL111" s="91"/>
      <c r="AM111" s="91"/>
      <c r="AN111" s="91"/>
      <c r="AO111" s="91"/>
      <c r="AP111" s="91"/>
      <c r="AQ111" s="94"/>
      <c r="AR111" s="95"/>
      <c r="AS111" s="91"/>
      <c r="AT111" s="91"/>
      <c r="AU111" s="91"/>
      <c r="AV111" s="91"/>
      <c r="AW111" s="91"/>
      <c r="AX111" s="91"/>
      <c r="AY111" s="91"/>
      <c r="AZ111" s="91"/>
      <c r="BA111" s="91"/>
      <c r="BB111" s="91"/>
      <c r="BC111" s="94"/>
      <c r="BD111" s="95"/>
      <c r="BE111" s="91"/>
      <c r="BF111" s="91"/>
      <c r="BG111" s="91"/>
      <c r="BH111" s="91"/>
      <c r="BI111" s="91"/>
      <c r="BJ111" s="91"/>
      <c r="BK111" s="91"/>
      <c r="BL111" s="91"/>
      <c r="BM111" s="91"/>
      <c r="BN111" s="91"/>
      <c r="BO111" s="94"/>
      <c r="BP111" s="95"/>
      <c r="BQ111" s="91"/>
      <c r="BR111" s="91"/>
      <c r="BS111" s="91"/>
      <c r="BT111" s="91"/>
      <c r="BU111" s="91"/>
      <c r="BV111" s="91"/>
      <c r="BW111" s="91"/>
      <c r="BX111" s="91"/>
      <c r="BY111" s="91"/>
      <c r="BZ111" s="91"/>
      <c r="CA111" s="119"/>
      <c r="CC111" s="79" t="n">
        <f aca="false">SUMIFS($T111:$CA111, $T$1:$CA$1, CC$63)</f>
        <v>0</v>
      </c>
      <c r="CD111" s="79" t="n">
        <f aca="false">SUMIFS($T111:$CA111, $T$1:$CA$1, CD$63)</f>
        <v>0</v>
      </c>
      <c r="CE111" s="79" t="n">
        <f aca="false">SUMIFS($T111:$CA111, $T$1:$CA$1, CE$63)</f>
        <v>0</v>
      </c>
      <c r="CF111" s="79" t="n">
        <f aca="false">SUMIFS($T111:$CA111, $T$1:$CA$1, CF$63)</f>
        <v>0</v>
      </c>
      <c r="CG111" s="79" t="n">
        <f aca="false">SUMIFS($T111:$CA111, $T$1:$CA$1, CG$63)</f>
        <v>0</v>
      </c>
      <c r="CI111" s="79" t="n">
        <f aca="false">CC111=L111</f>
        <v>1</v>
      </c>
      <c r="CJ111" s="79" t="n">
        <f aca="false">CD111=M111</f>
        <v>1</v>
      </c>
      <c r="CK111" s="79" t="n">
        <f aca="false">CE111=N111</f>
        <v>1</v>
      </c>
      <c r="CL111" s="79" t="n">
        <f aca="false">CF111=O111</f>
        <v>1</v>
      </c>
      <c r="CM111" s="79" t="n">
        <f aca="false">CG111=P111</f>
        <v>1</v>
      </c>
    </row>
    <row r="112" s="14" customFormat="true" ht="16.5" hidden="false" customHeight="true" outlineLevel="0" collapsed="false">
      <c r="E112" s="96" t="s">
        <v>143</v>
      </c>
      <c r="H112" s="29"/>
      <c r="I112" s="82" t="n">
        <f aca="false">SUM(I107:I111)</f>
        <v>0</v>
      </c>
      <c r="J112" s="82" t="n">
        <f aca="false">SUM(J107:J111)</f>
        <v>0</v>
      </c>
      <c r="K112" s="82" t="n">
        <f aca="false">SUM(K107:K111)</f>
        <v>0</v>
      </c>
      <c r="L112" s="82" t="n">
        <f aca="false">SUM(L107:L111)</f>
        <v>0</v>
      </c>
      <c r="M112" s="82" t="n">
        <f aca="false">SUM(M107:M111)</f>
        <v>0</v>
      </c>
      <c r="N112" s="82" t="n">
        <f aca="false">SUM(N107:N111)</f>
        <v>0</v>
      </c>
      <c r="O112" s="82" t="n">
        <f aca="false">SUM(O107:O111)</f>
        <v>0</v>
      </c>
      <c r="P112" s="82" t="n">
        <f aca="false">SUM(P107:P111)</f>
        <v>0</v>
      </c>
      <c r="Q112" s="16"/>
      <c r="R112" s="16"/>
      <c r="T112" s="82" t="n">
        <f aca="false">SUM(T107:T111)</f>
        <v>0</v>
      </c>
      <c r="U112" s="82" t="n">
        <f aca="false">SUM(U107:U111)</f>
        <v>0</v>
      </c>
      <c r="V112" s="82" t="n">
        <f aca="false">SUM(V107:V111)</f>
        <v>0</v>
      </c>
      <c r="W112" s="82" t="n">
        <f aca="false">SUM(W107:W111)</f>
        <v>0</v>
      </c>
      <c r="X112" s="82" t="n">
        <f aca="false">SUM(X107:X111)</f>
        <v>0</v>
      </c>
      <c r="Y112" s="82" t="n">
        <f aca="false">SUM(Y107:Y111)</f>
        <v>0</v>
      </c>
      <c r="Z112" s="82" t="n">
        <f aca="false">SUM(Z107:Z111)</f>
        <v>0</v>
      </c>
      <c r="AA112" s="82" t="n">
        <f aca="false">SUM(AA107:AA111)</f>
        <v>0</v>
      </c>
      <c r="AB112" s="82" t="n">
        <f aca="false">SUM(AB107:AB111)</f>
        <v>0</v>
      </c>
      <c r="AC112" s="82" t="n">
        <f aca="false">SUM(AC107:AC111)</f>
        <v>0</v>
      </c>
      <c r="AD112" s="82" t="n">
        <f aca="false">SUM(AD107:AD111)</f>
        <v>0</v>
      </c>
      <c r="AE112" s="82" t="n">
        <f aca="false">SUM(AE107:AE111)</f>
        <v>0</v>
      </c>
      <c r="AF112" s="83" t="n">
        <f aca="false">SUM(AF107:AF111)</f>
        <v>0</v>
      </c>
      <c r="AG112" s="82" t="n">
        <f aca="false">SUM(AG107:AG111)</f>
        <v>0</v>
      </c>
      <c r="AH112" s="82" t="n">
        <f aca="false">SUM(AH107:AH111)</f>
        <v>0</v>
      </c>
      <c r="AI112" s="82" t="n">
        <f aca="false">SUM(AI107:AI111)</f>
        <v>0</v>
      </c>
      <c r="AJ112" s="82" t="n">
        <f aca="false">SUM(AJ107:AJ111)</f>
        <v>0</v>
      </c>
      <c r="AK112" s="82" t="n">
        <f aca="false">SUM(AK107:AK111)</f>
        <v>0</v>
      </c>
      <c r="AL112" s="82" t="n">
        <f aca="false">SUM(AL107:AL111)</f>
        <v>0</v>
      </c>
      <c r="AM112" s="82" t="n">
        <f aca="false">SUM(AM107:AM111)</f>
        <v>0</v>
      </c>
      <c r="AN112" s="82" t="n">
        <f aca="false">SUM(AN107:AN111)</f>
        <v>0</v>
      </c>
      <c r="AO112" s="82" t="n">
        <f aca="false">SUM(AO107:AO111)</f>
        <v>0</v>
      </c>
      <c r="AP112" s="82" t="n">
        <f aca="false">SUM(AP107:AP111)</f>
        <v>0</v>
      </c>
      <c r="AQ112" s="82" t="n">
        <f aca="false">SUM(AQ107:AQ111)</f>
        <v>0</v>
      </c>
      <c r="AR112" s="83" t="n">
        <f aca="false">SUM(AR107:AR111)</f>
        <v>0</v>
      </c>
      <c r="AS112" s="82" t="n">
        <f aca="false">SUM(AS107:AS111)</f>
        <v>0</v>
      </c>
      <c r="AT112" s="82" t="n">
        <f aca="false">SUM(AT107:AT111)</f>
        <v>0</v>
      </c>
      <c r="AU112" s="82" t="n">
        <f aca="false">SUM(AU107:AU111)</f>
        <v>0</v>
      </c>
      <c r="AV112" s="82" t="n">
        <f aca="false">SUM(AV107:AV111)</f>
        <v>0</v>
      </c>
      <c r="AW112" s="82" t="n">
        <f aca="false">SUM(AW107:AW111)</f>
        <v>0</v>
      </c>
      <c r="AX112" s="82" t="n">
        <f aca="false">SUM(AX107:AX111)</f>
        <v>0</v>
      </c>
      <c r="AY112" s="82" t="n">
        <f aca="false">SUM(AY107:AY111)</f>
        <v>0</v>
      </c>
      <c r="AZ112" s="82" t="n">
        <f aca="false">SUM(AZ107:AZ111)</f>
        <v>0</v>
      </c>
      <c r="BA112" s="82" t="n">
        <f aca="false">SUM(BA107:BA111)</f>
        <v>0</v>
      </c>
      <c r="BB112" s="82" t="n">
        <f aca="false">SUM(BB107:BB111)</f>
        <v>0</v>
      </c>
      <c r="BC112" s="82" t="n">
        <f aca="false">SUM(BC107:BC111)</f>
        <v>0</v>
      </c>
      <c r="BD112" s="83" t="n">
        <f aca="false">SUM(BD107:BD111)</f>
        <v>0</v>
      </c>
      <c r="BE112" s="82" t="n">
        <f aca="false">SUM(BE107:BE111)</f>
        <v>0</v>
      </c>
      <c r="BF112" s="82" t="n">
        <f aca="false">SUM(BF107:BF111)</f>
        <v>0</v>
      </c>
      <c r="BG112" s="82" t="n">
        <f aca="false">SUM(BG107:BG111)</f>
        <v>0</v>
      </c>
      <c r="BH112" s="82" t="n">
        <f aca="false">SUM(BH107:BH111)</f>
        <v>0</v>
      </c>
      <c r="BI112" s="82" t="n">
        <f aca="false">SUM(BI107:BI111)</f>
        <v>0</v>
      </c>
      <c r="BJ112" s="82" t="n">
        <f aca="false">SUM(BJ107:BJ111)</f>
        <v>0</v>
      </c>
      <c r="BK112" s="82" t="n">
        <f aca="false">SUM(BK107:BK111)</f>
        <v>0</v>
      </c>
      <c r="BL112" s="82" t="n">
        <f aca="false">SUM(BL107:BL111)</f>
        <v>0</v>
      </c>
      <c r="BM112" s="82" t="n">
        <f aca="false">SUM(BM107:BM111)</f>
        <v>0</v>
      </c>
      <c r="BN112" s="82" t="n">
        <f aca="false">SUM(BN107:BN111)</f>
        <v>0</v>
      </c>
      <c r="BO112" s="82" t="n">
        <f aca="false">SUM(BO107:BO111)</f>
        <v>0</v>
      </c>
      <c r="BP112" s="83" t="n">
        <f aca="false">SUM(BP107:BP111)</f>
        <v>0</v>
      </c>
      <c r="BQ112" s="82" t="n">
        <f aca="false">SUM(BQ107:BQ111)</f>
        <v>0</v>
      </c>
      <c r="BR112" s="82" t="n">
        <f aca="false">SUM(BR107:BR111)</f>
        <v>0</v>
      </c>
      <c r="BS112" s="82" t="n">
        <f aca="false">SUM(BS107:BS111)</f>
        <v>0</v>
      </c>
      <c r="BT112" s="82" t="n">
        <f aca="false">SUM(BT107:BT111)</f>
        <v>0</v>
      </c>
      <c r="BU112" s="82" t="n">
        <f aca="false">SUM(BU107:BU111)</f>
        <v>0</v>
      </c>
      <c r="BV112" s="82" t="n">
        <f aca="false">SUM(BV107:BV111)</f>
        <v>0</v>
      </c>
      <c r="BW112" s="82" t="n">
        <f aca="false">SUM(BW107:BW111)</f>
        <v>0</v>
      </c>
      <c r="BX112" s="82" t="n">
        <f aca="false">SUM(BX107:BX111)</f>
        <v>0</v>
      </c>
      <c r="BY112" s="82" t="n">
        <f aca="false">SUM(BY107:BY111)</f>
        <v>0</v>
      </c>
      <c r="BZ112" s="82" t="n">
        <f aca="false">SUM(BZ107:BZ111)</f>
        <v>0</v>
      </c>
      <c r="CA112" s="84" t="n">
        <f aca="false">SUM(CA107:CA111)</f>
        <v>0</v>
      </c>
      <c r="CC112" s="84" t="n">
        <f aca="false">SUM(CC107:CC111)</f>
        <v>0</v>
      </c>
      <c r="CD112" s="84" t="n">
        <f aca="false">SUM(CD107:CD111)</f>
        <v>0</v>
      </c>
      <c r="CE112" s="84" t="n">
        <f aca="false">SUM(CE107:CE111)</f>
        <v>0</v>
      </c>
      <c r="CF112" s="84" t="n">
        <f aca="false">SUM(CF107:CF111)</f>
        <v>0</v>
      </c>
      <c r="CG112" s="84" t="n">
        <f aca="false">SUM(CG107:CG111)</f>
        <v>0</v>
      </c>
      <c r="CI112" s="84" t="n">
        <f aca="false">CC112=L112</f>
        <v>1</v>
      </c>
      <c r="CJ112" s="84" t="n">
        <f aca="false">CD112=M112</f>
        <v>1</v>
      </c>
      <c r="CK112" s="84" t="n">
        <f aca="false">CE112=N112</f>
        <v>1</v>
      </c>
      <c r="CL112" s="84" t="n">
        <f aca="false">CF112=O112</f>
        <v>1</v>
      </c>
      <c r="CM112" s="84" t="n">
        <f aca="false">CG112=P112</f>
        <v>1</v>
      </c>
    </row>
    <row r="113" s="14" customFormat="true" ht="16.5" hidden="false" customHeight="true" outlineLevel="0" collapsed="false">
      <c r="E113" s="96"/>
      <c r="H113" s="29"/>
      <c r="I113" s="105"/>
      <c r="J113" s="105"/>
      <c r="K113" s="105"/>
      <c r="L113" s="105"/>
      <c r="M113" s="105"/>
      <c r="N113" s="105"/>
      <c r="O113" s="105"/>
      <c r="P113" s="105"/>
      <c r="Q113" s="16"/>
      <c r="R113" s="16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3"/>
      <c r="AG113" s="82"/>
      <c r="AH113" s="82"/>
      <c r="AI113" s="82"/>
      <c r="AJ113" s="82"/>
      <c r="AK113" s="82"/>
      <c r="AL113" s="82"/>
      <c r="AM113" s="82"/>
      <c r="AN113" s="82"/>
      <c r="AO113" s="82"/>
      <c r="AP113" s="82"/>
      <c r="AQ113" s="82"/>
      <c r="AR113" s="83"/>
      <c r="AS113" s="82"/>
      <c r="AT113" s="82"/>
      <c r="AU113" s="82"/>
      <c r="AV113" s="82"/>
      <c r="AW113" s="82"/>
      <c r="AX113" s="82"/>
      <c r="AY113" s="82"/>
      <c r="AZ113" s="82"/>
      <c r="BA113" s="82"/>
      <c r="BB113" s="82"/>
      <c r="BC113" s="82"/>
      <c r="BD113" s="83"/>
      <c r="BE113" s="82"/>
      <c r="BF113" s="82"/>
      <c r="BG113" s="82"/>
      <c r="BH113" s="82"/>
      <c r="BI113" s="82"/>
      <c r="BJ113" s="82"/>
      <c r="BK113" s="82"/>
      <c r="BL113" s="82"/>
      <c r="BM113" s="82"/>
      <c r="BN113" s="82"/>
      <c r="BO113" s="82"/>
      <c r="BP113" s="83"/>
      <c r="BQ113" s="82"/>
      <c r="BR113" s="82"/>
      <c r="BS113" s="82"/>
      <c r="BT113" s="82"/>
      <c r="BU113" s="82"/>
      <c r="BV113" s="82"/>
      <c r="BW113" s="82"/>
      <c r="BX113" s="82"/>
      <c r="BY113" s="82"/>
      <c r="BZ113" s="82"/>
      <c r="CA113" s="84"/>
      <c r="CC113" s="84"/>
      <c r="CD113" s="84"/>
      <c r="CE113" s="84"/>
      <c r="CF113" s="84"/>
      <c r="CG113" s="84"/>
      <c r="CI113" s="84"/>
      <c r="CJ113" s="84"/>
      <c r="CK113" s="84"/>
      <c r="CL113" s="84"/>
      <c r="CM113" s="84"/>
    </row>
    <row r="114" s="14" customFormat="true" ht="16.5" hidden="false" customHeight="true" outlineLevel="0" collapsed="false">
      <c r="E114" s="85"/>
      <c r="I114" s="104"/>
      <c r="J114" s="104"/>
      <c r="K114" s="104"/>
      <c r="L114" s="104"/>
      <c r="M114" s="104"/>
      <c r="N114" s="104"/>
      <c r="O114" s="104"/>
      <c r="P114" s="104"/>
      <c r="Q114" s="16"/>
      <c r="R114" s="16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9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  <c r="AQ114" s="88"/>
      <c r="AR114" s="89"/>
      <c r="AS114" s="88"/>
      <c r="AT114" s="88"/>
      <c r="AU114" s="88"/>
      <c r="AV114" s="88"/>
      <c r="AW114" s="88"/>
      <c r="AX114" s="88"/>
      <c r="AY114" s="88"/>
      <c r="AZ114" s="88"/>
      <c r="BA114" s="88"/>
      <c r="BB114" s="88"/>
      <c r="BC114" s="88"/>
      <c r="BD114" s="89"/>
      <c r="BE114" s="88"/>
      <c r="BF114" s="88"/>
      <c r="BG114" s="88"/>
      <c r="BH114" s="88"/>
      <c r="BI114" s="88"/>
      <c r="BJ114" s="88"/>
      <c r="BK114" s="88"/>
      <c r="BL114" s="88"/>
      <c r="BM114" s="88"/>
      <c r="BN114" s="88"/>
      <c r="BO114" s="88"/>
      <c r="BP114" s="89"/>
      <c r="BQ114" s="88"/>
      <c r="BR114" s="88"/>
      <c r="BS114" s="88"/>
      <c r="BT114" s="88"/>
      <c r="BU114" s="88"/>
      <c r="BV114" s="88"/>
      <c r="BW114" s="88"/>
      <c r="BX114" s="88"/>
      <c r="BY114" s="88"/>
      <c r="BZ114" s="88"/>
      <c r="CA114" s="90"/>
      <c r="CC114" s="90"/>
      <c r="CD114" s="90"/>
      <c r="CE114" s="90"/>
      <c r="CF114" s="90"/>
      <c r="CG114" s="90"/>
      <c r="CI114" s="90"/>
      <c r="CJ114" s="90"/>
      <c r="CK114" s="90"/>
      <c r="CL114" s="90"/>
      <c r="CM114" s="90"/>
    </row>
    <row r="115" s="14" customFormat="true" ht="16.5" hidden="false" customHeight="true" outlineLevel="0" collapsed="false">
      <c r="E115" s="109" t="s">
        <v>150</v>
      </c>
      <c r="F115" s="109"/>
      <c r="G115" s="109"/>
      <c r="H115" s="109"/>
      <c r="I115" s="220" t="n">
        <f aca="false">SUM(-I96, I104, I112)</f>
        <v>0</v>
      </c>
      <c r="J115" s="220" t="n">
        <f aca="false">SUM(-J96, J104, J112)</f>
        <v>0</v>
      </c>
      <c r="K115" s="220" t="n">
        <f aca="false">SUM(-K96, K104, K112)</f>
        <v>0</v>
      </c>
      <c r="L115" s="220" t="n">
        <f aca="false">SUM(-L96, L104, L112)</f>
        <v>0</v>
      </c>
      <c r="M115" s="220" t="n">
        <f aca="false">SUM(-M96, M104, M112)</f>
        <v>0</v>
      </c>
      <c r="N115" s="220" t="n">
        <f aca="false">SUM(-N96, N104, N112)</f>
        <v>0</v>
      </c>
      <c r="O115" s="220" t="n">
        <f aca="false">SUM(-O96, O104, O112)</f>
        <v>0</v>
      </c>
      <c r="P115" s="220" t="n">
        <f aca="false">SUM(-P96, P104, P112)</f>
        <v>0</v>
      </c>
      <c r="Q115" s="16"/>
      <c r="R115" s="16"/>
      <c r="T115" s="120" t="n">
        <f aca="false">SUM(-T96, T104, T112)</f>
        <v>0</v>
      </c>
      <c r="U115" s="120" t="n">
        <f aca="false">SUM(-U96, U104, U112)</f>
        <v>0</v>
      </c>
      <c r="V115" s="120" t="n">
        <f aca="false">SUM(-V96, V104, V112)</f>
        <v>0</v>
      </c>
      <c r="W115" s="120" t="n">
        <f aca="false">SUM(-W96, W104, W112)</f>
        <v>0</v>
      </c>
      <c r="X115" s="120" t="n">
        <f aca="false">SUM(-X96, X104, X112)</f>
        <v>0</v>
      </c>
      <c r="Y115" s="120" t="n">
        <f aca="false">SUM(-Y96, Y104, Y112)</f>
        <v>0</v>
      </c>
      <c r="Z115" s="120" t="n">
        <f aca="false">SUM(-Z96, Z104, Z112)</f>
        <v>0</v>
      </c>
      <c r="AA115" s="120" t="n">
        <f aca="false">SUM(-AA96, AA104, AA112)</f>
        <v>0</v>
      </c>
      <c r="AB115" s="120" t="n">
        <f aca="false">SUM(-AB96, AB104, AB112)</f>
        <v>0</v>
      </c>
      <c r="AC115" s="120" t="n">
        <f aca="false">SUM(-AC96, AC104, AC112)</f>
        <v>0</v>
      </c>
      <c r="AD115" s="120" t="n">
        <f aca="false">SUM(-AD96, AD104, AD112)</f>
        <v>0</v>
      </c>
      <c r="AE115" s="120" t="n">
        <f aca="false">SUM(-AE96, AE104, AE112)</f>
        <v>0</v>
      </c>
      <c r="AF115" s="120" t="n">
        <f aca="false">SUM(-AF96, AF104, AF112)</f>
        <v>0</v>
      </c>
      <c r="AG115" s="120" t="n">
        <f aca="false">SUM(-AG96, AG104, AG112)</f>
        <v>0</v>
      </c>
      <c r="AH115" s="120" t="n">
        <f aca="false">SUM(-AH96, AH104, AH112)</f>
        <v>0</v>
      </c>
      <c r="AI115" s="120" t="n">
        <f aca="false">SUM(-AI96, AI104, AI112)</f>
        <v>0</v>
      </c>
      <c r="AJ115" s="120" t="n">
        <f aca="false">SUM(-AJ96, AJ104, AJ112)</f>
        <v>0</v>
      </c>
      <c r="AK115" s="120" t="n">
        <f aca="false">SUM(-AK96, AK104, AK112)</f>
        <v>0</v>
      </c>
      <c r="AL115" s="120" t="n">
        <f aca="false">SUM(-AL96, AL104, AL112)</f>
        <v>0</v>
      </c>
      <c r="AM115" s="120" t="n">
        <f aca="false">SUM(-AM96, AM104, AM112)</f>
        <v>0</v>
      </c>
      <c r="AN115" s="120" t="n">
        <f aca="false">SUM(-AN96, AN104, AN112)</f>
        <v>0</v>
      </c>
      <c r="AO115" s="120" t="n">
        <f aca="false">SUM(-AO96, AO104, AO112)</f>
        <v>0</v>
      </c>
      <c r="AP115" s="120" t="n">
        <f aca="false">SUM(-AP96, AP104, AP112)</f>
        <v>0</v>
      </c>
      <c r="AQ115" s="120" t="n">
        <f aca="false">SUM(-AQ96, AQ104, AQ112)</f>
        <v>0</v>
      </c>
      <c r="AR115" s="120" t="n">
        <f aca="false">SUM(-AR96, AR104, AR112)</f>
        <v>0</v>
      </c>
      <c r="AS115" s="120" t="n">
        <f aca="false">SUM(-AS96, AS104, AS112)</f>
        <v>0</v>
      </c>
      <c r="AT115" s="120" t="n">
        <f aca="false">SUM(-AT96, AT104, AT112)</f>
        <v>0</v>
      </c>
      <c r="AU115" s="120" t="n">
        <f aca="false">SUM(-AU96, AU104, AU112)</f>
        <v>0</v>
      </c>
      <c r="AV115" s="120" t="n">
        <f aca="false">SUM(-AV96, AV104, AV112)</f>
        <v>0</v>
      </c>
      <c r="AW115" s="120" t="n">
        <f aca="false">SUM(-AW96, AW104, AW112)</f>
        <v>0</v>
      </c>
      <c r="AX115" s="120" t="n">
        <f aca="false">SUM(-AX96, AX104, AX112)</f>
        <v>0</v>
      </c>
      <c r="AY115" s="120" t="n">
        <f aca="false">SUM(-AY96, AY104, AY112)</f>
        <v>0</v>
      </c>
      <c r="AZ115" s="120" t="n">
        <f aca="false">SUM(-AZ96, AZ104, AZ112)</f>
        <v>0</v>
      </c>
      <c r="BA115" s="120" t="n">
        <f aca="false">SUM(-BA96, BA104, BA112)</f>
        <v>0</v>
      </c>
      <c r="BB115" s="120" t="n">
        <f aca="false">SUM(-BB96, BB104, BB112)</f>
        <v>0</v>
      </c>
      <c r="BC115" s="120" t="n">
        <f aca="false">SUM(-BC96, BC104, BC112)</f>
        <v>0</v>
      </c>
      <c r="BD115" s="120" t="n">
        <f aca="false">SUM(-BD96, BD104, BD112)</f>
        <v>0</v>
      </c>
      <c r="BE115" s="120" t="n">
        <f aca="false">SUM(-BE96, BE104, BE112)</f>
        <v>0</v>
      </c>
      <c r="BF115" s="120" t="n">
        <f aca="false">SUM(-BF96, BF104, BF112)</f>
        <v>0</v>
      </c>
      <c r="BG115" s="120" t="n">
        <f aca="false">SUM(-BG96, BG104, BG112)</f>
        <v>0</v>
      </c>
      <c r="BH115" s="120" t="n">
        <f aca="false">SUM(-BH96, BH104, BH112)</f>
        <v>0</v>
      </c>
      <c r="BI115" s="120" t="n">
        <f aca="false">SUM(-BI96, BI104, BI112)</f>
        <v>0</v>
      </c>
      <c r="BJ115" s="120" t="n">
        <f aca="false">SUM(-BJ96, BJ104, BJ112)</f>
        <v>0</v>
      </c>
      <c r="BK115" s="120" t="n">
        <f aca="false">SUM(-BK96, BK104, BK112)</f>
        <v>0</v>
      </c>
      <c r="BL115" s="120" t="n">
        <f aca="false">SUM(-BL96, BL104, BL112)</f>
        <v>0</v>
      </c>
      <c r="BM115" s="120" t="n">
        <f aca="false">SUM(-BM96, BM104, BM112)</f>
        <v>0</v>
      </c>
      <c r="BN115" s="120" t="n">
        <f aca="false">SUM(-BN96, BN104, BN112)</f>
        <v>0</v>
      </c>
      <c r="BO115" s="120" t="n">
        <f aca="false">SUM(-BO96, BO104, BO112)</f>
        <v>0</v>
      </c>
      <c r="BP115" s="120" t="n">
        <f aca="false">SUM(-BP96, BP104, BP112)</f>
        <v>0</v>
      </c>
      <c r="BQ115" s="120" t="n">
        <f aca="false">SUM(-BQ96, BQ104, BQ112)</f>
        <v>0</v>
      </c>
      <c r="BR115" s="120" t="n">
        <f aca="false">SUM(-BR96, BR104, BR112)</f>
        <v>0</v>
      </c>
      <c r="BS115" s="120" t="n">
        <f aca="false">SUM(-BS96, BS104, BS112)</f>
        <v>0</v>
      </c>
      <c r="BT115" s="120" t="n">
        <f aca="false">SUM(-BT96, BT104, BT112)</f>
        <v>0</v>
      </c>
      <c r="BU115" s="120" t="n">
        <f aca="false">SUM(-BU96, BU104, BU112)</f>
        <v>0</v>
      </c>
      <c r="BV115" s="120" t="n">
        <f aca="false">SUM(-BV96, BV104, BV112)</f>
        <v>0</v>
      </c>
      <c r="BW115" s="120" t="n">
        <f aca="false">SUM(-BW96, BW104, BW112)</f>
        <v>0</v>
      </c>
      <c r="BX115" s="120" t="n">
        <f aca="false">SUM(-BX96, BX104, BX112)</f>
        <v>0</v>
      </c>
      <c r="BY115" s="120" t="n">
        <f aca="false">SUM(-BY96, BY104, BY112)</f>
        <v>0</v>
      </c>
      <c r="BZ115" s="120" t="n">
        <f aca="false">SUM(-BZ96, BZ104, BZ112)</f>
        <v>0</v>
      </c>
      <c r="CA115" s="120" t="n">
        <f aca="false">SUM(-CA96, CA104, CA112)</f>
        <v>0</v>
      </c>
      <c r="CC115" s="120" t="n">
        <f aca="false">SUM(-CC96, CC104, CC112)</f>
        <v>0</v>
      </c>
      <c r="CD115" s="120" t="n">
        <f aca="false">SUM(-CD96, CD104, CD112)</f>
        <v>0</v>
      </c>
      <c r="CE115" s="120" t="n">
        <f aca="false">SUM(-CE96, CE104, CE112)</f>
        <v>0</v>
      </c>
      <c r="CF115" s="120" t="n">
        <f aca="false">SUM(-CF96, CF104, CF112)</f>
        <v>0</v>
      </c>
      <c r="CG115" s="120" t="n">
        <f aca="false">SUM(-CG96, CG104, CG112)</f>
        <v>0</v>
      </c>
      <c r="CI115" s="113" t="n">
        <f aca="false">CC115=L115</f>
        <v>1</v>
      </c>
      <c r="CJ115" s="113" t="n">
        <f aca="false">CD115=M115</f>
        <v>1</v>
      </c>
      <c r="CK115" s="113" t="n">
        <f aca="false">CE115=N115</f>
        <v>1</v>
      </c>
      <c r="CL115" s="113" t="n">
        <f aca="false">CF115=O115</f>
        <v>1</v>
      </c>
      <c r="CM115" s="113" t="n">
        <f aca="false">CG115=P115</f>
        <v>1</v>
      </c>
    </row>
    <row r="116" s="14" customFormat="true" ht="17.25" hidden="false" customHeight="true" outlineLevel="0" collapsed="false">
      <c r="E116" s="21"/>
      <c r="I116" s="221"/>
      <c r="J116" s="221"/>
      <c r="K116" s="221"/>
      <c r="L116" s="221"/>
      <c r="M116" s="221"/>
      <c r="N116" s="221"/>
      <c r="O116" s="221"/>
      <c r="P116" s="221"/>
      <c r="Q116" s="16"/>
      <c r="R116" s="16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  <c r="AQ116" s="88"/>
      <c r="AR116" s="88"/>
      <c r="AS116" s="88"/>
      <c r="AT116" s="88"/>
      <c r="AU116" s="88"/>
      <c r="AV116" s="88"/>
      <c r="AW116" s="88"/>
      <c r="AX116" s="88"/>
      <c r="AY116" s="88"/>
      <c r="AZ116" s="88"/>
      <c r="BA116" s="88"/>
      <c r="BB116" s="88"/>
      <c r="BC116" s="88"/>
      <c r="BD116" s="88"/>
      <c r="BE116" s="88"/>
      <c r="BF116" s="88"/>
      <c r="BG116" s="88"/>
      <c r="BH116" s="88"/>
      <c r="BI116" s="88"/>
      <c r="BJ116" s="88"/>
      <c r="BK116" s="88"/>
      <c r="BL116" s="88"/>
      <c r="BM116" s="88"/>
      <c r="BN116" s="88"/>
      <c r="BO116" s="88"/>
      <c r="BP116" s="88"/>
      <c r="BQ116" s="88"/>
      <c r="BR116" s="88"/>
      <c r="BS116" s="88"/>
      <c r="BT116" s="88"/>
      <c r="BU116" s="88"/>
      <c r="BV116" s="88"/>
      <c r="BW116" s="88"/>
      <c r="BX116" s="88"/>
      <c r="BY116" s="88"/>
      <c r="BZ116" s="88"/>
      <c r="CA116" s="121"/>
    </row>
    <row r="117" s="14" customFormat="true" ht="17.25" hidden="false" customHeight="true" outlineLevel="0" collapsed="false">
      <c r="E117" s="122" t="s">
        <v>151</v>
      </c>
      <c r="F117" s="123"/>
      <c r="G117" s="123"/>
      <c r="H117" s="123"/>
      <c r="I117" s="222" t="n">
        <f aca="false">SUM(I88, -I115)</f>
        <v>14.66433741</v>
      </c>
      <c r="J117" s="222" t="n">
        <f aca="false">SUM(J88, -J115)</f>
        <v>10.6247907169953</v>
      </c>
      <c r="K117" s="223" t="n">
        <f aca="false">SUM(K88, -K115)</f>
        <v>4.03954669300466</v>
      </c>
      <c r="L117" s="222" t="n">
        <f aca="false">SUM(L88, -L115)</f>
        <v>0</v>
      </c>
      <c r="M117" s="222" t="n">
        <f aca="false">SUM(M88, -M115)</f>
        <v>0.673257782167443</v>
      </c>
      <c r="N117" s="222" t="n">
        <f aca="false">SUM(N88, -N115)</f>
        <v>3.87123224746279</v>
      </c>
      <c r="O117" s="222" t="n">
        <f aca="false">SUM(O88, -O115)</f>
        <v>4.03954669300466</v>
      </c>
      <c r="P117" s="222" t="n">
        <f aca="false">SUM(P88, -P115)</f>
        <v>4.03954669300466</v>
      </c>
      <c r="Q117" s="16"/>
      <c r="R117" s="16" t="str">
        <f aca="false">IF(K117=P117, "", "Error")</f>
        <v/>
      </c>
      <c r="T117" s="125" t="n">
        <f aca="false">SUM(T88, -T115)</f>
        <v>0</v>
      </c>
      <c r="U117" s="125" t="n">
        <f aca="false">SUM(U88, -U115)</f>
        <v>0</v>
      </c>
      <c r="V117" s="125" t="n">
        <f aca="false">SUM(V88, -V115)</f>
        <v>0</v>
      </c>
      <c r="W117" s="125" t="n">
        <f aca="false">SUM(W88, -W115)</f>
        <v>0</v>
      </c>
      <c r="X117" s="125" t="n">
        <f aca="false">SUM(X88, -X115)</f>
        <v>0</v>
      </c>
      <c r="Y117" s="125" t="n">
        <f aca="false">SUM(Y88, -Y115)</f>
        <v>0</v>
      </c>
      <c r="Z117" s="125" t="n">
        <f aca="false">SUM(Z88, -Z115)</f>
        <v>0</v>
      </c>
      <c r="AA117" s="125" t="n">
        <f aca="false">SUM(AA88, -AA115)</f>
        <v>0</v>
      </c>
      <c r="AB117" s="125" t="n">
        <f aca="false">SUM(AB88, -AB115)</f>
        <v>0</v>
      </c>
      <c r="AC117" s="125" t="n">
        <f aca="false">SUM(AC88, -AC115)</f>
        <v>0</v>
      </c>
      <c r="AD117" s="125" t="n">
        <f aca="false">SUM(AD88, -AD115)</f>
        <v>0</v>
      </c>
      <c r="AE117" s="125" t="n">
        <f aca="false">SUM(AE88, -AE115)</f>
        <v>0</v>
      </c>
      <c r="AF117" s="125" t="n">
        <f aca="false">SUM(AF88, -AF115)</f>
        <v>0</v>
      </c>
      <c r="AG117" s="125" t="n">
        <f aca="false">SUM(AG88, -AG115)</f>
        <v>0</v>
      </c>
      <c r="AH117" s="125" t="n">
        <f aca="false">SUM(AH88, -AH115)</f>
        <v>0</v>
      </c>
      <c r="AI117" s="125" t="n">
        <f aca="false">SUM(AI88, -AI115)</f>
        <v>0</v>
      </c>
      <c r="AJ117" s="125" t="n">
        <f aca="false">SUM(AJ88, -AJ115)</f>
        <v>0</v>
      </c>
      <c r="AK117" s="125" t="n">
        <f aca="false">SUM(AK88, -AK115)</f>
        <v>0</v>
      </c>
      <c r="AL117" s="125" t="n">
        <f aca="false">SUM(AL88, -AL115)</f>
        <v>0.0187016050602067</v>
      </c>
      <c r="AM117" s="125" t="n">
        <f aca="false">SUM(AM88, -AM115)</f>
        <v>0.0561048151806202</v>
      </c>
      <c r="AN117" s="125" t="n">
        <f aca="false">SUM(AN88, -AN115)</f>
        <v>0.0935080253010337</v>
      </c>
      <c r="AO117" s="125" t="n">
        <f aca="false">SUM(AO88, -AO115)</f>
        <v>0.130911235421447</v>
      </c>
      <c r="AP117" s="125" t="n">
        <f aca="false">SUM(AP88, -AP115)</f>
        <v>0.168314445541861</v>
      </c>
      <c r="AQ117" s="125" t="n">
        <f aca="false">SUM(AQ88, -AQ115)</f>
        <v>0.205717655662274</v>
      </c>
      <c r="AR117" s="125" t="n">
        <f aca="false">SUM(AR88, -AR115)</f>
        <v>0.243120865782688</v>
      </c>
      <c r="AS117" s="125" t="n">
        <f aca="false">SUM(AS88, -AS115)</f>
        <v>0.280524075903101</v>
      </c>
      <c r="AT117" s="125" t="n">
        <f aca="false">SUM(AT88, -AT115)</f>
        <v>0.317927286023515</v>
      </c>
      <c r="AU117" s="125" t="n">
        <f aca="false">SUM(AU88, -AU115)</f>
        <v>0.336628891083721</v>
      </c>
      <c r="AV117" s="125" t="n">
        <f aca="false">SUM(AV88, -AV115)</f>
        <v>0.336628891083721</v>
      </c>
      <c r="AW117" s="125" t="n">
        <f aca="false">SUM(AW88, -AW115)</f>
        <v>0.336628891083721</v>
      </c>
      <c r="AX117" s="125" t="n">
        <f aca="false">SUM(AX88, -AX115)</f>
        <v>0.336628891083721</v>
      </c>
      <c r="AY117" s="125" t="n">
        <f aca="false">SUM(AY88, -AY115)</f>
        <v>0.336628891083721</v>
      </c>
      <c r="AZ117" s="125" t="n">
        <f aca="false">SUM(AZ88, -AZ115)</f>
        <v>0.336628891083721</v>
      </c>
      <c r="BA117" s="125" t="n">
        <f aca="false">SUM(BA88, -BA115)</f>
        <v>0.336628891083721</v>
      </c>
      <c r="BB117" s="125" t="n">
        <f aca="false">SUM(BB88, -BB115)</f>
        <v>0.336628891083721</v>
      </c>
      <c r="BC117" s="125" t="n">
        <f aca="false">SUM(BC88, -BC115)</f>
        <v>0.336628891083721</v>
      </c>
      <c r="BD117" s="125" t="n">
        <f aca="false">SUM(BD88, -BD115)</f>
        <v>0.336628891083721</v>
      </c>
      <c r="BE117" s="125" t="n">
        <f aca="false">SUM(BE88, -BE115)</f>
        <v>0.336628891083721</v>
      </c>
      <c r="BF117" s="125" t="n">
        <f aca="false">SUM(BF88, -BF115)</f>
        <v>0.336628891083721</v>
      </c>
      <c r="BG117" s="125" t="n">
        <f aca="false">SUM(BG88, -BG115)</f>
        <v>0.336628891083721</v>
      </c>
      <c r="BH117" s="125" t="n">
        <f aca="false">SUM(BH88, -BH115)</f>
        <v>0.336628891083721</v>
      </c>
      <c r="BI117" s="125" t="n">
        <f aca="false">SUM(BI88, -BI115)</f>
        <v>0.336628891083721</v>
      </c>
      <c r="BJ117" s="125" t="n">
        <f aca="false">SUM(BJ88, -BJ115)</f>
        <v>0.336628891083721</v>
      </c>
      <c r="BK117" s="125" t="n">
        <f aca="false">SUM(BK88, -BK115)</f>
        <v>0.336628891083721</v>
      </c>
      <c r="BL117" s="125" t="n">
        <f aca="false">SUM(BL88, -BL115)</f>
        <v>0.336628891083721</v>
      </c>
      <c r="BM117" s="125" t="n">
        <f aca="false">SUM(BM88, -BM115)</f>
        <v>0.336628891083721</v>
      </c>
      <c r="BN117" s="125" t="n">
        <f aca="false">SUM(BN88, -BN115)</f>
        <v>0.336628891083721</v>
      </c>
      <c r="BO117" s="125" t="n">
        <f aca="false">SUM(BO88, -BO115)</f>
        <v>0.336628891083721</v>
      </c>
      <c r="BP117" s="125" t="n">
        <f aca="false">SUM(BP88, -BP115)</f>
        <v>0.336628891083721</v>
      </c>
      <c r="BQ117" s="125" t="n">
        <f aca="false">SUM(BQ88, -BQ115)</f>
        <v>0.336628891083721</v>
      </c>
      <c r="BR117" s="125" t="n">
        <f aca="false">SUM(BR88, -BR115)</f>
        <v>0.336628891083721</v>
      </c>
      <c r="BS117" s="125" t="n">
        <f aca="false">SUM(BS88, -BS115)</f>
        <v>0.336628891083721</v>
      </c>
      <c r="BT117" s="125" t="n">
        <f aca="false">SUM(BT88, -BT115)</f>
        <v>0.336628891083721</v>
      </c>
      <c r="BU117" s="125" t="n">
        <f aca="false">SUM(BU88, -BU115)</f>
        <v>0.336628891083721</v>
      </c>
      <c r="BV117" s="125" t="n">
        <f aca="false">SUM(BV88, -BV115)</f>
        <v>0.336628891083721</v>
      </c>
      <c r="BW117" s="125" t="n">
        <f aca="false">SUM(BW88, -BW115)</f>
        <v>0.336628891083721</v>
      </c>
      <c r="BX117" s="125" t="n">
        <f aca="false">SUM(BX88, -BX115)</f>
        <v>0.336628891083721</v>
      </c>
      <c r="BY117" s="125" t="n">
        <f aca="false">SUM(BY88, -BY115)</f>
        <v>0.336628891083721</v>
      </c>
      <c r="BZ117" s="125" t="n">
        <f aca="false">SUM(BZ88, -BZ115)</f>
        <v>0.336628891083721</v>
      </c>
      <c r="CA117" s="126" t="n">
        <f aca="false">SUM(CA88, -CA115)</f>
        <v>0.336628891083721</v>
      </c>
      <c r="CC117" s="126" t="n">
        <f aca="false">SUM(CC88, -CC115)</f>
        <v>0</v>
      </c>
      <c r="CD117" s="126" t="n">
        <f aca="false">SUM(CD88, -CD115)</f>
        <v>0.673257782167443</v>
      </c>
      <c r="CE117" s="126" t="n">
        <f aca="false">SUM(CE88, -CE115)</f>
        <v>3.87123224746279</v>
      </c>
      <c r="CF117" s="126" t="n">
        <f aca="false">SUM(CF88, -CF115)</f>
        <v>4.03954669300466</v>
      </c>
      <c r="CG117" s="126" t="n">
        <f aca="false">SUM(CG88, -CG115)</f>
        <v>4.03954669300466</v>
      </c>
      <c r="CI117" s="126" t="n">
        <f aca="false">CC117=L117</f>
        <v>1</v>
      </c>
      <c r="CJ117" s="126" t="n">
        <f aca="false">CD117=M117</f>
        <v>1</v>
      </c>
      <c r="CK117" s="126" t="n">
        <f aca="false">CE117=N117</f>
        <v>1</v>
      </c>
      <c r="CL117" s="126" t="n">
        <f aca="false">CF117=O117</f>
        <v>1</v>
      </c>
      <c r="CM117" s="126" t="n">
        <f aca="false">CG117=P117</f>
        <v>1</v>
      </c>
    </row>
    <row r="118" s="14" customFormat="true" ht="17.25" hidden="false" customHeight="true" outlineLevel="0" collapsed="false">
      <c r="K118" s="127"/>
      <c r="Q118" s="16"/>
      <c r="R118" s="16"/>
    </row>
    <row r="119" s="14" customFormat="true" ht="17.25" hidden="false" customHeight="true" outlineLevel="0" collapsed="false">
      <c r="E119" s="128"/>
      <c r="Q119" s="16"/>
      <c r="R119" s="16"/>
    </row>
    <row r="120" s="14" customFormat="true" ht="16.5" hidden="false" customHeight="true" outlineLevel="0" collapsed="false">
      <c r="C120" s="19" t="s">
        <v>152</v>
      </c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20"/>
      <c r="R120" s="20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C120" s="19" t="s">
        <v>127</v>
      </c>
      <c r="CD120" s="19"/>
      <c r="CE120" s="19"/>
      <c r="CF120" s="19"/>
      <c r="CG120" s="19"/>
      <c r="CI120" s="19" t="s">
        <v>128</v>
      </c>
      <c r="CJ120" s="19"/>
      <c r="CK120" s="19"/>
      <c r="CL120" s="19"/>
      <c r="CM120" s="19"/>
    </row>
    <row r="121" s="14" customFormat="true" ht="16.5" hidden="false" customHeight="true" outlineLevel="0" collapsed="false">
      <c r="Q121" s="16"/>
      <c r="R121" s="16"/>
    </row>
    <row r="122" s="14" customFormat="true" ht="16.5" hidden="false" customHeight="true" outlineLevel="0" collapsed="false">
      <c r="Q122" s="16"/>
      <c r="R122" s="16"/>
      <c r="T122" s="62" t="n">
        <v>2026</v>
      </c>
      <c r="U122" s="129"/>
      <c r="V122" s="129"/>
      <c r="W122" s="129"/>
      <c r="X122" s="129"/>
      <c r="Y122" s="129"/>
      <c r="Z122" s="129"/>
      <c r="AA122" s="129"/>
      <c r="AB122" s="129"/>
      <c r="AC122" s="129"/>
      <c r="AD122" s="129"/>
      <c r="AE122" s="129"/>
      <c r="AF122" s="62" t="n">
        <v>2027</v>
      </c>
      <c r="AG122" s="129"/>
      <c r="AH122" s="129"/>
      <c r="AI122" s="129"/>
      <c r="AJ122" s="129"/>
      <c r="AK122" s="129"/>
      <c r="AL122" s="129"/>
      <c r="AM122" s="129"/>
      <c r="AN122" s="129"/>
      <c r="AO122" s="129"/>
      <c r="AP122" s="129"/>
      <c r="AQ122" s="129"/>
      <c r="AR122" s="62" t="n">
        <v>2028</v>
      </c>
      <c r="AS122" s="129"/>
      <c r="AT122" s="129"/>
      <c r="AU122" s="129"/>
      <c r="AV122" s="129"/>
      <c r="AW122" s="129"/>
      <c r="AX122" s="129"/>
      <c r="AY122" s="129"/>
      <c r="AZ122" s="129"/>
      <c r="BA122" s="129"/>
      <c r="BB122" s="129"/>
      <c r="BC122" s="129"/>
      <c r="BD122" s="62" t="n">
        <v>2029</v>
      </c>
      <c r="BE122" s="129"/>
      <c r="BF122" s="129"/>
      <c r="BG122" s="129"/>
      <c r="BH122" s="129"/>
      <c r="BI122" s="129"/>
      <c r="BJ122" s="129"/>
      <c r="BK122" s="129"/>
      <c r="BL122" s="129"/>
      <c r="BM122" s="129"/>
      <c r="BN122" s="129"/>
      <c r="BO122" s="129"/>
      <c r="BP122" s="62" t="n">
        <v>2030</v>
      </c>
      <c r="BQ122" s="130"/>
      <c r="BR122" s="130"/>
      <c r="BS122" s="130"/>
      <c r="BT122" s="130"/>
      <c r="BU122" s="130"/>
      <c r="BV122" s="130"/>
      <c r="BW122" s="130"/>
      <c r="BX122" s="130"/>
      <c r="BY122" s="130"/>
      <c r="BZ122" s="130"/>
      <c r="CA122" s="130"/>
    </row>
    <row r="123" s="14" customFormat="true" ht="16.5" hidden="false" customHeight="true" outlineLevel="0" collapsed="false">
      <c r="D123" s="30" t="s">
        <v>153</v>
      </c>
      <c r="E123" s="31"/>
      <c r="F123" s="31"/>
      <c r="G123" s="31"/>
      <c r="H123" s="31"/>
      <c r="I123" s="31"/>
      <c r="J123" s="31"/>
      <c r="K123" s="30" t="s">
        <v>130</v>
      </c>
      <c r="L123" s="31" t="n">
        <v>2026</v>
      </c>
      <c r="M123" s="31" t="n">
        <f aca="false">L123+1</f>
        <v>2027</v>
      </c>
      <c r="N123" s="31" t="n">
        <f aca="false">M123+1</f>
        <v>2028</v>
      </c>
      <c r="O123" s="31" t="n">
        <f aca="false">N123+1</f>
        <v>2029</v>
      </c>
      <c r="P123" s="31" t="n">
        <f aca="false">O123+1</f>
        <v>2030</v>
      </c>
      <c r="Q123" s="31" t="s">
        <v>132</v>
      </c>
      <c r="R123" s="16"/>
      <c r="T123" s="59" t="n">
        <v>46023</v>
      </c>
      <c r="U123" s="60" t="n">
        <f aca="false">EOMONTH(T123, 1)</f>
        <v>46081</v>
      </c>
      <c r="V123" s="60" t="n">
        <f aca="false">EOMONTH(U123, 1)</f>
        <v>46112</v>
      </c>
      <c r="W123" s="60" t="n">
        <f aca="false">EOMONTH(V123, 1)</f>
        <v>46142</v>
      </c>
      <c r="X123" s="60" t="n">
        <f aca="false">EOMONTH(W123, 1)</f>
        <v>46173</v>
      </c>
      <c r="Y123" s="60" t="n">
        <f aca="false">EOMONTH(X123, 1)</f>
        <v>46203</v>
      </c>
      <c r="Z123" s="60" t="n">
        <f aca="false">EOMONTH(Y123, 1)</f>
        <v>46234</v>
      </c>
      <c r="AA123" s="60" t="n">
        <f aca="false">EOMONTH(Z123, 1)</f>
        <v>46265</v>
      </c>
      <c r="AB123" s="60" t="n">
        <f aca="false">EOMONTH(AA123, 1)</f>
        <v>46295</v>
      </c>
      <c r="AC123" s="60" t="n">
        <f aca="false">EOMONTH(AB123, 1)</f>
        <v>46326</v>
      </c>
      <c r="AD123" s="60" t="n">
        <f aca="false">EOMONTH(AC123, 1)</f>
        <v>46356</v>
      </c>
      <c r="AE123" s="61" t="n">
        <f aca="false">EOMONTH(AD123, 1)</f>
        <v>46387</v>
      </c>
      <c r="AF123" s="59" t="n">
        <f aca="false">EOMONTH(AE123, 1)</f>
        <v>46418</v>
      </c>
      <c r="AG123" s="60" t="n">
        <f aca="false">EOMONTH(AF123, 1)</f>
        <v>46446</v>
      </c>
      <c r="AH123" s="60" t="n">
        <f aca="false">EOMONTH(AG123, 1)</f>
        <v>46477</v>
      </c>
      <c r="AI123" s="60" t="n">
        <f aca="false">EOMONTH(AH123, 1)</f>
        <v>46507</v>
      </c>
      <c r="AJ123" s="60" t="n">
        <f aca="false">EOMONTH(AI123, 1)</f>
        <v>46538</v>
      </c>
      <c r="AK123" s="60" t="n">
        <f aca="false">EOMONTH(AJ123, 1)</f>
        <v>46568</v>
      </c>
      <c r="AL123" s="60" t="n">
        <f aca="false">EOMONTH(AK123, 1)</f>
        <v>46599</v>
      </c>
      <c r="AM123" s="60" t="n">
        <f aca="false">EOMONTH(AL123, 1)</f>
        <v>46630</v>
      </c>
      <c r="AN123" s="60" t="n">
        <f aca="false">EOMONTH(AM123, 1)</f>
        <v>46660</v>
      </c>
      <c r="AO123" s="60" t="n">
        <f aca="false">EOMONTH(AN123, 1)</f>
        <v>46691</v>
      </c>
      <c r="AP123" s="60" t="n">
        <f aca="false">EOMONTH(AO123, 1)</f>
        <v>46721</v>
      </c>
      <c r="AQ123" s="61" t="n">
        <f aca="false">EOMONTH(AP123, 1)</f>
        <v>46752</v>
      </c>
      <c r="AR123" s="59" t="n">
        <f aca="false">EOMONTH(AQ123, 1)</f>
        <v>46783</v>
      </c>
      <c r="AS123" s="60" t="n">
        <f aca="false">EOMONTH(AR123, 1)</f>
        <v>46812</v>
      </c>
      <c r="AT123" s="60" t="n">
        <f aca="false">EOMONTH(AS123, 1)</f>
        <v>46843</v>
      </c>
      <c r="AU123" s="60" t="n">
        <f aca="false">EOMONTH(AT123, 1)</f>
        <v>46873</v>
      </c>
      <c r="AV123" s="60" t="n">
        <f aca="false">EOMONTH(AU123, 1)</f>
        <v>46904</v>
      </c>
      <c r="AW123" s="60" t="n">
        <f aca="false">EOMONTH(AV123, 1)</f>
        <v>46934</v>
      </c>
      <c r="AX123" s="60" t="n">
        <f aca="false">EOMONTH(AW123, 1)</f>
        <v>46965</v>
      </c>
      <c r="AY123" s="60" t="n">
        <f aca="false">EOMONTH(AX123, 1)</f>
        <v>46996</v>
      </c>
      <c r="AZ123" s="60" t="n">
        <f aca="false">EOMONTH(AY123, 1)</f>
        <v>47026</v>
      </c>
      <c r="BA123" s="60" t="n">
        <f aca="false">EOMONTH(AZ123, 1)</f>
        <v>47057</v>
      </c>
      <c r="BB123" s="60" t="n">
        <f aca="false">EOMONTH(BA123, 1)</f>
        <v>47087</v>
      </c>
      <c r="BC123" s="61" t="n">
        <f aca="false">EOMONTH(BB123, 1)</f>
        <v>47118</v>
      </c>
      <c r="BD123" s="59" t="n">
        <f aca="false">EOMONTH(BC123, 1)</f>
        <v>47149</v>
      </c>
      <c r="BE123" s="60" t="n">
        <f aca="false">EOMONTH(BD123, 1)</f>
        <v>47177</v>
      </c>
      <c r="BF123" s="60" t="n">
        <f aca="false">EOMONTH(BE123, 1)</f>
        <v>47208</v>
      </c>
      <c r="BG123" s="60" t="n">
        <f aca="false">EOMONTH(BF123, 1)</f>
        <v>47238</v>
      </c>
      <c r="BH123" s="60" t="n">
        <f aca="false">EOMONTH(BG123, 1)</f>
        <v>47269</v>
      </c>
      <c r="BI123" s="60" t="n">
        <f aca="false">EOMONTH(BH123, 1)</f>
        <v>47299</v>
      </c>
      <c r="BJ123" s="60" t="n">
        <f aca="false">EOMONTH(BI123, 1)</f>
        <v>47330</v>
      </c>
      <c r="BK123" s="60" t="n">
        <f aca="false">EOMONTH(BJ123, 1)</f>
        <v>47361</v>
      </c>
      <c r="BL123" s="60" t="n">
        <f aca="false">EOMONTH(BK123, 1)</f>
        <v>47391</v>
      </c>
      <c r="BM123" s="60" t="n">
        <f aca="false">EOMONTH(BL123, 1)</f>
        <v>47422</v>
      </c>
      <c r="BN123" s="60" t="n">
        <f aca="false">EOMONTH(BM123, 1)</f>
        <v>47452</v>
      </c>
      <c r="BO123" s="61" t="n">
        <f aca="false">EOMONTH(BN123, 1)</f>
        <v>47483</v>
      </c>
      <c r="BP123" s="59" t="n">
        <f aca="false">EOMONTH(BO123, 1)</f>
        <v>47514</v>
      </c>
      <c r="BQ123" s="60" t="n">
        <f aca="false">EOMONTH(BP123, 1)</f>
        <v>47542</v>
      </c>
      <c r="BR123" s="60" t="n">
        <f aca="false">EOMONTH(BQ123, 1)</f>
        <v>47573</v>
      </c>
      <c r="BS123" s="60" t="n">
        <f aca="false">EOMONTH(BR123, 1)</f>
        <v>47603</v>
      </c>
      <c r="BT123" s="60" t="n">
        <f aca="false">EOMONTH(BS123, 1)</f>
        <v>47634</v>
      </c>
      <c r="BU123" s="60" t="n">
        <f aca="false">EOMONTH(BT123, 1)</f>
        <v>47664</v>
      </c>
      <c r="BV123" s="60" t="n">
        <f aca="false">EOMONTH(BU123, 1)</f>
        <v>47695</v>
      </c>
      <c r="BW123" s="60" t="n">
        <f aca="false">EOMONTH(BV123, 1)</f>
        <v>47726</v>
      </c>
      <c r="BX123" s="60" t="n">
        <f aca="false">EOMONTH(BW123, 1)</f>
        <v>47756</v>
      </c>
      <c r="BY123" s="60" t="n">
        <f aca="false">EOMONTH(BX123, 1)</f>
        <v>47787</v>
      </c>
      <c r="BZ123" s="60" t="n">
        <f aca="false">EOMONTH(BY123, 1)</f>
        <v>47817</v>
      </c>
      <c r="CA123" s="60" t="n">
        <f aca="false">EOMONTH(BZ123, 1)</f>
        <v>47848</v>
      </c>
      <c r="CC123" s="62" t="n">
        <v>2026</v>
      </c>
      <c r="CD123" s="62" t="n">
        <f aca="false">CC123+1</f>
        <v>2027</v>
      </c>
      <c r="CE123" s="62" t="n">
        <f aca="false">CD123+1</f>
        <v>2028</v>
      </c>
      <c r="CF123" s="62" t="n">
        <f aca="false">CE123+1</f>
        <v>2029</v>
      </c>
      <c r="CG123" s="62" t="n">
        <f aca="false">CF123+1</f>
        <v>2030</v>
      </c>
      <c r="CI123" s="62" t="n">
        <v>2026</v>
      </c>
      <c r="CJ123" s="62" t="n">
        <f aca="false">CI123+1</f>
        <v>2027</v>
      </c>
      <c r="CK123" s="62" t="n">
        <f aca="false">CJ123+1</f>
        <v>2028</v>
      </c>
      <c r="CL123" s="62" t="n">
        <f aca="false">CK123+1</f>
        <v>2029</v>
      </c>
      <c r="CM123" s="62" t="n">
        <f aca="false">CL123+1</f>
        <v>2030</v>
      </c>
    </row>
    <row r="124" s="14" customFormat="true" ht="16.5" hidden="false" customHeight="true" outlineLevel="0" collapsed="false">
      <c r="E124" s="21"/>
      <c r="F124" s="21"/>
      <c r="G124" s="21"/>
      <c r="K124" s="35"/>
      <c r="Q124" s="16"/>
      <c r="R124" s="16"/>
    </row>
    <row r="125" s="14" customFormat="true" ht="16.5" hidden="false" customHeight="true" outlineLevel="0" collapsed="false">
      <c r="E125" s="21" t="s">
        <v>154</v>
      </c>
      <c r="K125" s="35"/>
      <c r="Q125" s="16"/>
      <c r="R125" s="16"/>
    </row>
    <row r="126" s="14" customFormat="true" ht="16.5" hidden="false" customHeight="true" outlineLevel="0" collapsed="false">
      <c r="E126" s="91"/>
      <c r="K126" s="35"/>
      <c r="L126" s="91"/>
      <c r="M126" s="91"/>
      <c r="N126" s="91"/>
      <c r="O126" s="91"/>
      <c r="P126" s="91"/>
      <c r="Q126" s="93"/>
      <c r="R126" s="16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1"/>
      <c r="AI126" s="91"/>
      <c r="AJ126" s="91"/>
      <c r="AK126" s="91"/>
      <c r="AL126" s="91"/>
      <c r="AM126" s="91"/>
      <c r="AN126" s="91"/>
      <c r="AO126" s="91"/>
      <c r="AP126" s="91"/>
      <c r="AQ126" s="91"/>
      <c r="AR126" s="91"/>
      <c r="AS126" s="91"/>
      <c r="AT126" s="91"/>
      <c r="AU126" s="91"/>
      <c r="AV126" s="91"/>
      <c r="AW126" s="91"/>
      <c r="AX126" s="91"/>
      <c r="AY126" s="91"/>
      <c r="AZ126" s="91"/>
      <c r="BA126" s="91"/>
      <c r="BB126" s="91"/>
      <c r="BC126" s="91"/>
      <c r="BD126" s="91"/>
      <c r="BE126" s="91"/>
      <c r="BF126" s="91"/>
      <c r="BG126" s="91"/>
      <c r="BH126" s="91"/>
      <c r="BI126" s="91"/>
      <c r="BJ126" s="91"/>
      <c r="BK126" s="91"/>
      <c r="BL126" s="91"/>
      <c r="BM126" s="91"/>
      <c r="BN126" s="91"/>
      <c r="BO126" s="91"/>
      <c r="BP126" s="91"/>
      <c r="BQ126" s="91"/>
      <c r="BR126" s="91"/>
      <c r="BS126" s="91"/>
      <c r="BT126" s="91"/>
      <c r="BU126" s="91"/>
      <c r="BV126" s="91"/>
      <c r="BW126" s="91"/>
      <c r="BX126" s="91"/>
      <c r="BY126" s="91"/>
      <c r="BZ126" s="91"/>
      <c r="CA126" s="91"/>
      <c r="CC126" s="79" t="n">
        <f aca="false">SUMIFS($T126:$CA126, $T$1:$CA$1, CC$63)</f>
        <v>0</v>
      </c>
      <c r="CD126" s="79" t="n">
        <f aca="false">SUMIFS($T126:$CA126, $T$1:$CA$1, CD$63)</f>
        <v>0</v>
      </c>
      <c r="CE126" s="79" t="n">
        <f aca="false">SUMIFS($T126:$CA126, $T$1:$CA$1, CE$63)</f>
        <v>0</v>
      </c>
      <c r="CF126" s="79" t="n">
        <f aca="false">SUMIFS($T126:$CA126, $T$1:$CA$1, CF$63)</f>
        <v>0</v>
      </c>
      <c r="CG126" s="79" t="n">
        <f aca="false">SUMIFS($T126:$CA126, $T$1:$CA$1, CG$63)</f>
        <v>0</v>
      </c>
      <c r="CI126" s="79" t="n">
        <f aca="false">CC126=L126</f>
        <v>1</v>
      </c>
      <c r="CJ126" s="79" t="n">
        <f aca="false">CD126=M126</f>
        <v>1</v>
      </c>
      <c r="CK126" s="79" t="n">
        <f aca="false">CE126=N126</f>
        <v>1</v>
      </c>
      <c r="CL126" s="79" t="n">
        <f aca="false">CF126=O126</f>
        <v>1</v>
      </c>
      <c r="CM126" s="79" t="n">
        <f aca="false">CG126=P126</f>
        <v>1</v>
      </c>
    </row>
    <row r="127" s="14" customFormat="true" ht="16.5" hidden="false" customHeight="true" outlineLevel="0" collapsed="false">
      <c r="E127" s="91"/>
      <c r="K127" s="35"/>
      <c r="L127" s="91"/>
      <c r="M127" s="91"/>
      <c r="N127" s="91"/>
      <c r="O127" s="91"/>
      <c r="P127" s="91"/>
      <c r="Q127" s="93"/>
      <c r="R127" s="16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  <c r="AK127" s="91"/>
      <c r="AL127" s="91"/>
      <c r="AM127" s="91"/>
      <c r="AN127" s="91"/>
      <c r="AO127" s="91"/>
      <c r="AP127" s="91"/>
      <c r="AQ127" s="91"/>
      <c r="AR127" s="91"/>
      <c r="AS127" s="91"/>
      <c r="AT127" s="91"/>
      <c r="AU127" s="91"/>
      <c r="AV127" s="91"/>
      <c r="AW127" s="91"/>
      <c r="AX127" s="91"/>
      <c r="AY127" s="91"/>
      <c r="AZ127" s="91"/>
      <c r="BA127" s="91"/>
      <c r="BB127" s="91"/>
      <c r="BC127" s="91"/>
      <c r="BD127" s="91"/>
      <c r="BE127" s="91"/>
      <c r="BF127" s="91"/>
      <c r="BG127" s="91"/>
      <c r="BH127" s="91"/>
      <c r="BI127" s="91"/>
      <c r="BJ127" s="91"/>
      <c r="BK127" s="91"/>
      <c r="BL127" s="91"/>
      <c r="BM127" s="91"/>
      <c r="BN127" s="91"/>
      <c r="BO127" s="91"/>
      <c r="BP127" s="91"/>
      <c r="BQ127" s="91"/>
      <c r="BR127" s="91"/>
      <c r="BS127" s="91"/>
      <c r="BT127" s="91"/>
      <c r="BU127" s="91"/>
      <c r="BV127" s="91"/>
      <c r="BW127" s="91"/>
      <c r="BX127" s="91"/>
      <c r="BY127" s="91"/>
      <c r="BZ127" s="91"/>
      <c r="CA127" s="91"/>
      <c r="CC127" s="79" t="n">
        <f aca="false">SUMIFS($T127:$CA127, $T$1:$CA$1, CC$63)</f>
        <v>0</v>
      </c>
      <c r="CD127" s="79" t="n">
        <f aca="false">SUMIFS($T127:$CA127, $T$1:$CA$1, CD$63)</f>
        <v>0</v>
      </c>
      <c r="CE127" s="79" t="n">
        <f aca="false">SUMIFS($T127:$CA127, $T$1:$CA$1, CE$63)</f>
        <v>0</v>
      </c>
      <c r="CF127" s="79" t="n">
        <f aca="false">SUMIFS($T127:$CA127, $T$1:$CA$1, CF$63)</f>
        <v>0</v>
      </c>
      <c r="CG127" s="79" t="n">
        <f aca="false">SUMIFS($T127:$CA127, $T$1:$CA$1, CG$63)</f>
        <v>0</v>
      </c>
      <c r="CI127" s="79" t="n">
        <f aca="false">CC127=L127</f>
        <v>1</v>
      </c>
      <c r="CJ127" s="79" t="n">
        <f aca="false">CD127=M127</f>
        <v>1</v>
      </c>
      <c r="CK127" s="79" t="n">
        <f aca="false">CE127=N127</f>
        <v>1</v>
      </c>
      <c r="CL127" s="79" t="n">
        <f aca="false">CF127=O127</f>
        <v>1</v>
      </c>
      <c r="CM127" s="79" t="n">
        <f aca="false">CG127=P127</f>
        <v>1</v>
      </c>
    </row>
    <row r="128" s="14" customFormat="true" ht="16.5" hidden="false" customHeight="true" outlineLevel="0" collapsed="false">
      <c r="E128" s="96" t="s">
        <v>155</v>
      </c>
      <c r="K128" s="35"/>
      <c r="L128" s="82" t="n">
        <f aca="false">SUM(L126:L127)</f>
        <v>0</v>
      </c>
      <c r="M128" s="82" t="n">
        <f aca="false">SUM(M126:M127)</f>
        <v>0</v>
      </c>
      <c r="N128" s="82" t="n">
        <f aca="false">SUM(N126:N127)</f>
        <v>0</v>
      </c>
      <c r="O128" s="82" t="n">
        <f aca="false">SUM(O126:O127)</f>
        <v>0</v>
      </c>
      <c r="P128" s="82" t="n">
        <f aca="false">SUM(P126:P127)</f>
        <v>0</v>
      </c>
      <c r="Q128" s="16"/>
      <c r="R128" s="16"/>
      <c r="T128" s="82" t="n">
        <f aca="false">SUM(T126:T127)</f>
        <v>0</v>
      </c>
      <c r="U128" s="82" t="n">
        <f aca="false">SUM(U126:U127)</f>
        <v>0</v>
      </c>
      <c r="V128" s="82" t="n">
        <f aca="false">SUM(V126:V127)</f>
        <v>0</v>
      </c>
      <c r="W128" s="82" t="n">
        <f aca="false">SUM(W126:W127)</f>
        <v>0</v>
      </c>
      <c r="X128" s="82" t="n">
        <f aca="false">SUM(X126:X127)</f>
        <v>0</v>
      </c>
      <c r="Y128" s="82" t="n">
        <f aca="false">SUM(Y126:Y127)</f>
        <v>0</v>
      </c>
      <c r="Z128" s="82" t="n">
        <f aca="false">SUM(Z126:Z127)</f>
        <v>0</v>
      </c>
      <c r="AA128" s="82" t="n">
        <f aca="false">SUM(AA126:AA127)</f>
        <v>0</v>
      </c>
      <c r="AB128" s="82" t="n">
        <f aca="false">SUM(AB126:AB127)</f>
        <v>0</v>
      </c>
      <c r="AC128" s="82" t="n">
        <f aca="false">SUM(AC126:AC127)</f>
        <v>0</v>
      </c>
      <c r="AD128" s="82" t="n">
        <f aca="false">SUM(AD126:AD127)</f>
        <v>0</v>
      </c>
      <c r="AE128" s="82" t="n">
        <f aca="false">SUM(AE126:AE127)</f>
        <v>0</v>
      </c>
      <c r="AF128" s="82" t="n">
        <f aca="false">SUM(AF126:AF127)</f>
        <v>0</v>
      </c>
      <c r="AG128" s="82" t="n">
        <f aca="false">SUM(AG126:AG127)</f>
        <v>0</v>
      </c>
      <c r="AH128" s="82" t="n">
        <f aca="false">SUM(AH126:AH127)</f>
        <v>0</v>
      </c>
      <c r="AI128" s="82" t="n">
        <f aca="false">SUM(AI126:AI127)</f>
        <v>0</v>
      </c>
      <c r="AJ128" s="82" t="n">
        <f aca="false">SUM(AJ126:AJ127)</f>
        <v>0</v>
      </c>
      <c r="AK128" s="82" t="n">
        <f aca="false">SUM(AK126:AK127)</f>
        <v>0</v>
      </c>
      <c r="AL128" s="82" t="n">
        <f aca="false">SUM(AL126:AL127)</f>
        <v>0</v>
      </c>
      <c r="AM128" s="82" t="n">
        <f aca="false">SUM(AM126:AM127)</f>
        <v>0</v>
      </c>
      <c r="AN128" s="82" t="n">
        <f aca="false">SUM(AN126:AN127)</f>
        <v>0</v>
      </c>
      <c r="AO128" s="82" t="n">
        <f aca="false">SUM(AO126:AO127)</f>
        <v>0</v>
      </c>
      <c r="AP128" s="82" t="n">
        <f aca="false">SUM(AP126:AP127)</f>
        <v>0</v>
      </c>
      <c r="AQ128" s="82" t="n">
        <f aca="false">SUM(AQ126:AQ127)</f>
        <v>0</v>
      </c>
      <c r="AR128" s="82" t="n">
        <f aca="false">SUM(AR126:AR127)</f>
        <v>0</v>
      </c>
      <c r="AS128" s="82" t="n">
        <f aca="false">SUM(AS126:AS127)</f>
        <v>0</v>
      </c>
      <c r="AT128" s="82" t="n">
        <f aca="false">SUM(AT126:AT127)</f>
        <v>0</v>
      </c>
      <c r="AU128" s="82" t="n">
        <f aca="false">SUM(AU126:AU127)</f>
        <v>0</v>
      </c>
      <c r="AV128" s="82" t="n">
        <f aca="false">SUM(AV126:AV127)</f>
        <v>0</v>
      </c>
      <c r="AW128" s="82" t="n">
        <f aca="false">SUM(AW126:AW127)</f>
        <v>0</v>
      </c>
      <c r="AX128" s="82" t="n">
        <f aca="false">SUM(AX126:AX127)</f>
        <v>0</v>
      </c>
      <c r="AY128" s="82" t="n">
        <f aca="false">SUM(AY126:AY127)</f>
        <v>0</v>
      </c>
      <c r="AZ128" s="82" t="n">
        <f aca="false">SUM(AZ126:AZ127)</f>
        <v>0</v>
      </c>
      <c r="BA128" s="82" t="n">
        <f aca="false">SUM(BA126:BA127)</f>
        <v>0</v>
      </c>
      <c r="BB128" s="82" t="n">
        <f aca="false">SUM(BB126:BB127)</f>
        <v>0</v>
      </c>
      <c r="BC128" s="82" t="n">
        <f aca="false">SUM(BC126:BC127)</f>
        <v>0</v>
      </c>
      <c r="BD128" s="82" t="n">
        <f aca="false">SUM(BD126:BD127)</f>
        <v>0</v>
      </c>
      <c r="BE128" s="82" t="n">
        <f aca="false">SUM(BE126:BE127)</f>
        <v>0</v>
      </c>
      <c r="BF128" s="82" t="n">
        <f aca="false">SUM(BF126:BF127)</f>
        <v>0</v>
      </c>
      <c r="BG128" s="82" t="n">
        <f aca="false">SUM(BG126:BG127)</f>
        <v>0</v>
      </c>
      <c r="BH128" s="82" t="n">
        <f aca="false">SUM(BH126:BH127)</f>
        <v>0</v>
      </c>
      <c r="BI128" s="82" t="n">
        <f aca="false">SUM(BI126:BI127)</f>
        <v>0</v>
      </c>
      <c r="BJ128" s="82" t="n">
        <f aca="false">SUM(BJ126:BJ127)</f>
        <v>0</v>
      </c>
      <c r="BK128" s="82" t="n">
        <f aca="false">SUM(BK126:BK127)</f>
        <v>0</v>
      </c>
      <c r="BL128" s="82" t="n">
        <f aca="false">SUM(BL126:BL127)</f>
        <v>0</v>
      </c>
      <c r="BM128" s="82" t="n">
        <f aca="false">SUM(BM126:BM127)</f>
        <v>0</v>
      </c>
      <c r="BN128" s="82" t="n">
        <f aca="false">SUM(BN126:BN127)</f>
        <v>0</v>
      </c>
      <c r="BO128" s="82" t="n">
        <f aca="false">SUM(BO126:BO127)</f>
        <v>0</v>
      </c>
      <c r="BP128" s="82" t="n">
        <f aca="false">SUM(BP126:BP127)</f>
        <v>0</v>
      </c>
      <c r="BQ128" s="82" t="n">
        <f aca="false">SUM(BQ126:BQ127)</f>
        <v>0</v>
      </c>
      <c r="BR128" s="82" t="n">
        <f aca="false">SUM(BR126:BR127)</f>
        <v>0</v>
      </c>
      <c r="BS128" s="82" t="n">
        <f aca="false">SUM(BS126:BS127)</f>
        <v>0</v>
      </c>
      <c r="BT128" s="82" t="n">
        <f aca="false">SUM(BT126:BT127)</f>
        <v>0</v>
      </c>
      <c r="BU128" s="82" t="n">
        <f aca="false">SUM(BU126:BU127)</f>
        <v>0</v>
      </c>
      <c r="BV128" s="82" t="n">
        <f aca="false">SUM(BV126:BV127)</f>
        <v>0</v>
      </c>
      <c r="BW128" s="82" t="n">
        <f aca="false">SUM(BW126:BW127)</f>
        <v>0</v>
      </c>
      <c r="BX128" s="82" t="n">
        <f aca="false">SUM(BX126:BX127)</f>
        <v>0</v>
      </c>
      <c r="BY128" s="82" t="n">
        <f aca="false">SUM(BY126:BY127)</f>
        <v>0</v>
      </c>
      <c r="BZ128" s="82" t="n">
        <f aca="false">SUM(BZ126:BZ127)</f>
        <v>0</v>
      </c>
      <c r="CA128" s="82" t="n">
        <f aca="false">SUM(CA126:CA127)</f>
        <v>0</v>
      </c>
      <c r="CC128" s="131" t="n">
        <f aca="false">SUM(CC126:CC127)</f>
        <v>0</v>
      </c>
      <c r="CD128" s="131" t="n">
        <f aca="false">SUM(CD126:CD127)</f>
        <v>0</v>
      </c>
      <c r="CE128" s="131" t="n">
        <f aca="false">SUM(CE126:CE127)</f>
        <v>0</v>
      </c>
      <c r="CF128" s="131" t="n">
        <f aca="false">SUM(CF126:CF127)</f>
        <v>0</v>
      </c>
      <c r="CG128" s="131" t="n">
        <f aca="false">SUM(CG126:CG127)</f>
        <v>0</v>
      </c>
      <c r="CI128" s="131" t="n">
        <f aca="false">CC128=L128</f>
        <v>1</v>
      </c>
      <c r="CJ128" s="131" t="n">
        <f aca="false">CD128=M128</f>
        <v>1</v>
      </c>
      <c r="CK128" s="131" t="n">
        <f aca="false">CE128=N128</f>
        <v>1</v>
      </c>
      <c r="CL128" s="131" t="n">
        <f aca="false">CF128=O128</f>
        <v>1</v>
      </c>
      <c r="CM128" s="131" t="n">
        <f aca="false">CG128=P128</f>
        <v>1</v>
      </c>
    </row>
    <row r="129" s="14" customFormat="true" ht="16.5" hidden="false" customHeight="true" outlineLevel="0" collapsed="false">
      <c r="E129" s="96"/>
      <c r="K129" s="35"/>
      <c r="L129" s="82"/>
      <c r="M129" s="82"/>
      <c r="N129" s="82"/>
      <c r="O129" s="82"/>
      <c r="P129" s="82"/>
      <c r="Q129" s="16"/>
      <c r="R129" s="16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  <c r="AG129" s="82"/>
      <c r="AH129" s="82"/>
      <c r="AI129" s="82"/>
      <c r="AJ129" s="82"/>
      <c r="AK129" s="82"/>
      <c r="AL129" s="82"/>
      <c r="AM129" s="82"/>
      <c r="AN129" s="82"/>
      <c r="AO129" s="82"/>
      <c r="AP129" s="82"/>
      <c r="AQ129" s="82"/>
      <c r="AR129" s="82"/>
      <c r="AS129" s="82"/>
      <c r="AT129" s="82"/>
      <c r="AU129" s="82"/>
      <c r="AV129" s="82"/>
      <c r="AW129" s="82"/>
      <c r="AX129" s="82"/>
      <c r="AY129" s="82"/>
      <c r="AZ129" s="82"/>
      <c r="BA129" s="82"/>
      <c r="BB129" s="82"/>
      <c r="BC129" s="82"/>
      <c r="BD129" s="82"/>
      <c r="BE129" s="82"/>
      <c r="BF129" s="82"/>
      <c r="BG129" s="82"/>
      <c r="BH129" s="82"/>
      <c r="BI129" s="82"/>
      <c r="BJ129" s="82"/>
      <c r="BK129" s="82"/>
      <c r="BL129" s="82"/>
      <c r="BM129" s="82"/>
      <c r="BN129" s="82"/>
      <c r="BO129" s="82"/>
      <c r="BP129" s="82"/>
      <c r="BQ129" s="82"/>
      <c r="BR129" s="82"/>
      <c r="BS129" s="82"/>
      <c r="BT129" s="82"/>
      <c r="BU129" s="82"/>
      <c r="BV129" s="82"/>
      <c r="BW129" s="82"/>
      <c r="BX129" s="82"/>
      <c r="BY129" s="82"/>
      <c r="BZ129" s="82"/>
      <c r="CA129" s="82"/>
    </row>
    <row r="130" s="14" customFormat="true" ht="16.5" hidden="false" customHeight="true" outlineLevel="0" collapsed="false">
      <c r="E130" s="109" t="s">
        <v>156</v>
      </c>
      <c r="F130" s="109"/>
      <c r="G130" s="109"/>
      <c r="H130" s="109"/>
      <c r="I130" s="132"/>
      <c r="J130" s="132"/>
      <c r="K130" s="224"/>
      <c r="L130" s="120" t="n">
        <f aca="false">L128</f>
        <v>0</v>
      </c>
      <c r="M130" s="120" t="n">
        <f aca="false">M128</f>
        <v>0</v>
      </c>
      <c r="N130" s="120" t="n">
        <f aca="false">N128</f>
        <v>0</v>
      </c>
      <c r="O130" s="120" t="n">
        <f aca="false">O128</f>
        <v>0</v>
      </c>
      <c r="P130" s="120" t="n">
        <f aca="false">P128</f>
        <v>0</v>
      </c>
      <c r="Q130" s="16"/>
      <c r="R130" s="16"/>
      <c r="T130" s="120" t="n">
        <f aca="false">T128</f>
        <v>0</v>
      </c>
      <c r="U130" s="120" t="n">
        <f aca="false">U128</f>
        <v>0</v>
      </c>
      <c r="V130" s="120" t="n">
        <f aca="false">V128</f>
        <v>0</v>
      </c>
      <c r="W130" s="120" t="n">
        <f aca="false">W128</f>
        <v>0</v>
      </c>
      <c r="X130" s="120" t="n">
        <f aca="false">X128</f>
        <v>0</v>
      </c>
      <c r="Y130" s="120" t="n">
        <f aca="false">Y128</f>
        <v>0</v>
      </c>
      <c r="Z130" s="120" t="n">
        <f aca="false">Z128</f>
        <v>0</v>
      </c>
      <c r="AA130" s="120" t="n">
        <f aca="false">AA128</f>
        <v>0</v>
      </c>
      <c r="AB130" s="120" t="n">
        <f aca="false">AB128</f>
        <v>0</v>
      </c>
      <c r="AC130" s="120" t="n">
        <f aca="false">AC128</f>
        <v>0</v>
      </c>
      <c r="AD130" s="120" t="n">
        <f aca="false">AD128</f>
        <v>0</v>
      </c>
      <c r="AE130" s="120" t="n">
        <f aca="false">AE128</f>
        <v>0</v>
      </c>
      <c r="AF130" s="120" t="n">
        <f aca="false">AF128</f>
        <v>0</v>
      </c>
      <c r="AG130" s="120" t="n">
        <f aca="false">AG128</f>
        <v>0</v>
      </c>
      <c r="AH130" s="120" t="n">
        <f aca="false">AH128</f>
        <v>0</v>
      </c>
      <c r="AI130" s="120" t="n">
        <f aca="false">AI128</f>
        <v>0</v>
      </c>
      <c r="AJ130" s="120" t="n">
        <f aca="false">AJ128</f>
        <v>0</v>
      </c>
      <c r="AK130" s="120" t="n">
        <f aca="false">AK128</f>
        <v>0</v>
      </c>
      <c r="AL130" s="120" t="n">
        <f aca="false">AL128</f>
        <v>0</v>
      </c>
      <c r="AM130" s="120" t="n">
        <f aca="false">AM128</f>
        <v>0</v>
      </c>
      <c r="AN130" s="120" t="n">
        <f aca="false">AN128</f>
        <v>0</v>
      </c>
      <c r="AO130" s="120" t="n">
        <f aca="false">AO128</f>
        <v>0</v>
      </c>
      <c r="AP130" s="120" t="n">
        <f aca="false">AP128</f>
        <v>0</v>
      </c>
      <c r="AQ130" s="120" t="n">
        <f aca="false">AQ128</f>
        <v>0</v>
      </c>
      <c r="AR130" s="120" t="n">
        <f aca="false">AR128</f>
        <v>0</v>
      </c>
      <c r="AS130" s="120" t="n">
        <f aca="false">AS128</f>
        <v>0</v>
      </c>
      <c r="AT130" s="120" t="n">
        <f aca="false">AT128</f>
        <v>0</v>
      </c>
      <c r="AU130" s="120" t="n">
        <f aca="false">AU128</f>
        <v>0</v>
      </c>
      <c r="AV130" s="120" t="n">
        <f aca="false">AV128</f>
        <v>0</v>
      </c>
      <c r="AW130" s="120" t="n">
        <f aca="false">AW128</f>
        <v>0</v>
      </c>
      <c r="AX130" s="120" t="n">
        <f aca="false">AX128</f>
        <v>0</v>
      </c>
      <c r="AY130" s="120" t="n">
        <f aca="false">AY128</f>
        <v>0</v>
      </c>
      <c r="AZ130" s="120" t="n">
        <f aca="false">AZ128</f>
        <v>0</v>
      </c>
      <c r="BA130" s="120" t="n">
        <f aca="false">BA128</f>
        <v>0</v>
      </c>
      <c r="BB130" s="120" t="n">
        <f aca="false">BB128</f>
        <v>0</v>
      </c>
      <c r="BC130" s="120" t="n">
        <f aca="false">BC128</f>
        <v>0</v>
      </c>
      <c r="BD130" s="120" t="n">
        <f aca="false">BD128</f>
        <v>0</v>
      </c>
      <c r="BE130" s="120" t="n">
        <f aca="false">BE128</f>
        <v>0</v>
      </c>
      <c r="BF130" s="120" t="n">
        <f aca="false">BF128</f>
        <v>0</v>
      </c>
      <c r="BG130" s="120" t="n">
        <f aca="false">BG128</f>
        <v>0</v>
      </c>
      <c r="BH130" s="120" t="n">
        <f aca="false">BH128</f>
        <v>0</v>
      </c>
      <c r="BI130" s="120" t="n">
        <f aca="false">BI128</f>
        <v>0</v>
      </c>
      <c r="BJ130" s="120" t="n">
        <f aca="false">BJ128</f>
        <v>0</v>
      </c>
      <c r="BK130" s="120" t="n">
        <f aca="false">BK128</f>
        <v>0</v>
      </c>
      <c r="BL130" s="120" t="n">
        <f aca="false">BL128</f>
        <v>0</v>
      </c>
      <c r="BM130" s="120" t="n">
        <f aca="false">BM128</f>
        <v>0</v>
      </c>
      <c r="BN130" s="120" t="n">
        <f aca="false">BN128</f>
        <v>0</v>
      </c>
      <c r="BO130" s="120" t="n">
        <f aca="false">BO128</f>
        <v>0</v>
      </c>
      <c r="BP130" s="120" t="n">
        <f aca="false">BP128</f>
        <v>0</v>
      </c>
      <c r="BQ130" s="120" t="n">
        <f aca="false">BQ128</f>
        <v>0</v>
      </c>
      <c r="BR130" s="120" t="n">
        <f aca="false">BR128</f>
        <v>0</v>
      </c>
      <c r="BS130" s="120" t="n">
        <f aca="false">BS128</f>
        <v>0</v>
      </c>
      <c r="BT130" s="120" t="n">
        <f aca="false">BT128</f>
        <v>0</v>
      </c>
      <c r="BU130" s="120" t="n">
        <f aca="false">BU128</f>
        <v>0</v>
      </c>
      <c r="BV130" s="120" t="n">
        <f aca="false">BV128</f>
        <v>0</v>
      </c>
      <c r="BW130" s="120" t="n">
        <f aca="false">BW128</f>
        <v>0</v>
      </c>
      <c r="BX130" s="120" t="n">
        <f aca="false">BX128</f>
        <v>0</v>
      </c>
      <c r="BY130" s="120" t="n">
        <f aca="false">BY128</f>
        <v>0</v>
      </c>
      <c r="BZ130" s="120" t="n">
        <f aca="false">BZ128</f>
        <v>0</v>
      </c>
      <c r="CA130" s="120" t="n">
        <f aca="false">CA128</f>
        <v>0</v>
      </c>
      <c r="CC130" s="132" t="n">
        <f aca="false">CC128</f>
        <v>0</v>
      </c>
      <c r="CD130" s="132" t="n">
        <f aca="false">CD128</f>
        <v>0</v>
      </c>
      <c r="CE130" s="132" t="n">
        <f aca="false">CE128</f>
        <v>0</v>
      </c>
      <c r="CF130" s="132" t="n">
        <f aca="false">CF128</f>
        <v>0</v>
      </c>
      <c r="CG130" s="132" t="n">
        <f aca="false">CG128</f>
        <v>0</v>
      </c>
      <c r="CI130" s="133" t="n">
        <f aca="false">CI128</f>
        <v>1</v>
      </c>
      <c r="CJ130" s="133" t="n">
        <f aca="false">CJ128</f>
        <v>1</v>
      </c>
      <c r="CK130" s="133" t="n">
        <f aca="false">CK128</f>
        <v>1</v>
      </c>
      <c r="CL130" s="133" t="n">
        <f aca="false">CL128</f>
        <v>1</v>
      </c>
      <c r="CM130" s="133" t="n">
        <f aca="false">CM128</f>
        <v>1</v>
      </c>
    </row>
    <row r="131" s="14" customFormat="true" ht="16.5" hidden="false" customHeight="true" outlineLevel="0" collapsed="false">
      <c r="K131" s="35"/>
    </row>
    <row r="132" s="14" customFormat="true" ht="16.5" hidden="false" customHeight="true" outlineLevel="0" collapsed="false">
      <c r="E132" s="85"/>
      <c r="K132" s="35"/>
      <c r="Q132" s="16"/>
      <c r="R132" s="16"/>
      <c r="T132" s="62" t="n">
        <v>2026</v>
      </c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62" t="n">
        <v>2027</v>
      </c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62" t="n">
        <v>2028</v>
      </c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62" t="n">
        <v>2029</v>
      </c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62" t="n">
        <v>2030</v>
      </c>
      <c r="BQ132" s="130"/>
      <c r="BR132" s="130"/>
      <c r="BS132" s="130"/>
      <c r="BT132" s="130"/>
      <c r="BU132" s="130"/>
      <c r="BV132" s="130"/>
      <c r="BW132" s="130"/>
      <c r="BX132" s="130"/>
      <c r="BY132" s="130"/>
      <c r="BZ132" s="130"/>
      <c r="CA132" s="130"/>
    </row>
    <row r="133" s="14" customFormat="true" ht="16.5" hidden="false" customHeight="true" outlineLevel="0" collapsed="false">
      <c r="D133" s="30" t="s">
        <v>157</v>
      </c>
      <c r="E133" s="31"/>
      <c r="F133" s="31"/>
      <c r="G133" s="31"/>
      <c r="H133" s="31"/>
      <c r="I133" s="31"/>
      <c r="J133" s="31"/>
      <c r="K133" s="30" t="s">
        <v>130</v>
      </c>
      <c r="L133" s="31" t="n">
        <v>2026</v>
      </c>
      <c r="M133" s="31" t="n">
        <f aca="false">L133+1</f>
        <v>2027</v>
      </c>
      <c r="N133" s="31" t="n">
        <f aca="false">M133+1</f>
        <v>2028</v>
      </c>
      <c r="O133" s="31" t="n">
        <f aca="false">N133+1</f>
        <v>2029</v>
      </c>
      <c r="P133" s="31" t="n">
        <f aca="false">O133+1</f>
        <v>2030</v>
      </c>
      <c r="Q133" s="16"/>
      <c r="R133" s="16"/>
      <c r="T133" s="59" t="n">
        <v>46023</v>
      </c>
      <c r="U133" s="60" t="n">
        <f aca="false">EOMONTH(T133, 1)</f>
        <v>46081</v>
      </c>
      <c r="V133" s="60" t="n">
        <f aca="false">EOMONTH(U133, 1)</f>
        <v>46112</v>
      </c>
      <c r="W133" s="60" t="n">
        <f aca="false">EOMONTH(V133, 1)</f>
        <v>46142</v>
      </c>
      <c r="X133" s="60" t="n">
        <f aca="false">EOMONTH(W133, 1)</f>
        <v>46173</v>
      </c>
      <c r="Y133" s="60" t="n">
        <f aca="false">EOMONTH(X133, 1)</f>
        <v>46203</v>
      </c>
      <c r="Z133" s="60" t="n">
        <f aca="false">EOMONTH(Y133, 1)</f>
        <v>46234</v>
      </c>
      <c r="AA133" s="60" t="n">
        <f aca="false">EOMONTH(Z133, 1)</f>
        <v>46265</v>
      </c>
      <c r="AB133" s="60" t="n">
        <f aca="false">EOMONTH(AA133, 1)</f>
        <v>46295</v>
      </c>
      <c r="AC133" s="60" t="n">
        <f aca="false">EOMONTH(AB133, 1)</f>
        <v>46326</v>
      </c>
      <c r="AD133" s="60" t="n">
        <f aca="false">EOMONTH(AC133, 1)</f>
        <v>46356</v>
      </c>
      <c r="AE133" s="61" t="n">
        <f aca="false">EOMONTH(AD133, 1)</f>
        <v>46387</v>
      </c>
      <c r="AF133" s="59" t="n">
        <f aca="false">EOMONTH(AE133, 1)</f>
        <v>46418</v>
      </c>
      <c r="AG133" s="60" t="n">
        <f aca="false">EOMONTH(AF133, 1)</f>
        <v>46446</v>
      </c>
      <c r="AH133" s="60" t="n">
        <f aca="false">EOMONTH(AG133, 1)</f>
        <v>46477</v>
      </c>
      <c r="AI133" s="60" t="n">
        <f aca="false">EOMONTH(AH133, 1)</f>
        <v>46507</v>
      </c>
      <c r="AJ133" s="60" t="n">
        <f aca="false">EOMONTH(AI133, 1)</f>
        <v>46538</v>
      </c>
      <c r="AK133" s="60" t="n">
        <f aca="false">EOMONTH(AJ133, 1)</f>
        <v>46568</v>
      </c>
      <c r="AL133" s="60" t="n">
        <f aca="false">EOMONTH(AK133, 1)</f>
        <v>46599</v>
      </c>
      <c r="AM133" s="60" t="n">
        <f aca="false">EOMONTH(AL133, 1)</f>
        <v>46630</v>
      </c>
      <c r="AN133" s="60" t="n">
        <f aca="false">EOMONTH(AM133, 1)</f>
        <v>46660</v>
      </c>
      <c r="AO133" s="60" t="n">
        <f aca="false">EOMONTH(AN133, 1)</f>
        <v>46691</v>
      </c>
      <c r="AP133" s="60" t="n">
        <f aca="false">EOMONTH(AO133, 1)</f>
        <v>46721</v>
      </c>
      <c r="AQ133" s="61" t="n">
        <f aca="false">EOMONTH(AP133, 1)</f>
        <v>46752</v>
      </c>
      <c r="AR133" s="59" t="n">
        <f aca="false">EOMONTH(AQ133, 1)</f>
        <v>46783</v>
      </c>
      <c r="AS133" s="60" t="n">
        <f aca="false">EOMONTH(AR133, 1)</f>
        <v>46812</v>
      </c>
      <c r="AT133" s="60" t="n">
        <f aca="false">EOMONTH(AS133, 1)</f>
        <v>46843</v>
      </c>
      <c r="AU133" s="60" t="n">
        <f aca="false">EOMONTH(AT133, 1)</f>
        <v>46873</v>
      </c>
      <c r="AV133" s="60" t="n">
        <f aca="false">EOMONTH(AU133, 1)</f>
        <v>46904</v>
      </c>
      <c r="AW133" s="60" t="n">
        <f aca="false">EOMONTH(AV133, 1)</f>
        <v>46934</v>
      </c>
      <c r="AX133" s="60" t="n">
        <f aca="false">EOMONTH(AW133, 1)</f>
        <v>46965</v>
      </c>
      <c r="AY133" s="60" t="n">
        <f aca="false">EOMONTH(AX133, 1)</f>
        <v>46996</v>
      </c>
      <c r="AZ133" s="60" t="n">
        <f aca="false">EOMONTH(AY133, 1)</f>
        <v>47026</v>
      </c>
      <c r="BA133" s="60" t="n">
        <f aca="false">EOMONTH(AZ133, 1)</f>
        <v>47057</v>
      </c>
      <c r="BB133" s="60" t="n">
        <f aca="false">EOMONTH(BA133, 1)</f>
        <v>47087</v>
      </c>
      <c r="BC133" s="61" t="n">
        <f aca="false">EOMONTH(BB133, 1)</f>
        <v>47118</v>
      </c>
      <c r="BD133" s="59" t="n">
        <f aca="false">EOMONTH(BC133, 1)</f>
        <v>47149</v>
      </c>
      <c r="BE133" s="60" t="n">
        <f aca="false">EOMONTH(BD133, 1)</f>
        <v>47177</v>
      </c>
      <c r="BF133" s="60" t="n">
        <f aca="false">EOMONTH(BE133, 1)</f>
        <v>47208</v>
      </c>
      <c r="BG133" s="60" t="n">
        <f aca="false">EOMONTH(BF133, 1)</f>
        <v>47238</v>
      </c>
      <c r="BH133" s="60" t="n">
        <f aca="false">EOMONTH(BG133, 1)</f>
        <v>47269</v>
      </c>
      <c r="BI133" s="60" t="n">
        <f aca="false">EOMONTH(BH133, 1)</f>
        <v>47299</v>
      </c>
      <c r="BJ133" s="60" t="n">
        <f aca="false">EOMONTH(BI133, 1)</f>
        <v>47330</v>
      </c>
      <c r="BK133" s="60" t="n">
        <f aca="false">EOMONTH(BJ133, 1)</f>
        <v>47361</v>
      </c>
      <c r="BL133" s="60" t="n">
        <f aca="false">EOMONTH(BK133, 1)</f>
        <v>47391</v>
      </c>
      <c r="BM133" s="60" t="n">
        <f aca="false">EOMONTH(BL133, 1)</f>
        <v>47422</v>
      </c>
      <c r="BN133" s="60" t="n">
        <f aca="false">EOMONTH(BM133, 1)</f>
        <v>47452</v>
      </c>
      <c r="BO133" s="61" t="n">
        <f aca="false">EOMONTH(BN133, 1)</f>
        <v>47483</v>
      </c>
      <c r="BP133" s="59" t="n">
        <f aca="false">EOMONTH(BO133, 1)</f>
        <v>47514</v>
      </c>
      <c r="BQ133" s="60" t="n">
        <f aca="false">EOMONTH(BP133, 1)</f>
        <v>47542</v>
      </c>
      <c r="BR133" s="60" t="n">
        <f aca="false">EOMONTH(BQ133, 1)</f>
        <v>47573</v>
      </c>
      <c r="BS133" s="60" t="n">
        <f aca="false">EOMONTH(BR133, 1)</f>
        <v>47603</v>
      </c>
      <c r="BT133" s="60" t="n">
        <f aca="false">EOMONTH(BS133, 1)</f>
        <v>47634</v>
      </c>
      <c r="BU133" s="60" t="n">
        <f aca="false">EOMONTH(BT133, 1)</f>
        <v>47664</v>
      </c>
      <c r="BV133" s="60" t="n">
        <f aca="false">EOMONTH(BU133, 1)</f>
        <v>47695</v>
      </c>
      <c r="BW133" s="60" t="n">
        <f aca="false">EOMONTH(BV133, 1)</f>
        <v>47726</v>
      </c>
      <c r="BX133" s="60" t="n">
        <f aca="false">EOMONTH(BW133, 1)</f>
        <v>47756</v>
      </c>
      <c r="BY133" s="60" t="n">
        <f aca="false">EOMONTH(BX133, 1)</f>
        <v>47787</v>
      </c>
      <c r="BZ133" s="60" t="n">
        <f aca="false">EOMONTH(BY133, 1)</f>
        <v>47817</v>
      </c>
      <c r="CA133" s="60" t="n">
        <f aca="false">EOMONTH(BZ133, 1)</f>
        <v>47848</v>
      </c>
      <c r="CC133" s="62" t="n">
        <v>2026</v>
      </c>
      <c r="CD133" s="62" t="n">
        <f aca="false">CC133+1</f>
        <v>2027</v>
      </c>
      <c r="CE133" s="62" t="n">
        <f aca="false">CD133+1</f>
        <v>2028</v>
      </c>
      <c r="CF133" s="62" t="n">
        <f aca="false">CE133+1</f>
        <v>2029</v>
      </c>
      <c r="CG133" s="62" t="n">
        <f aca="false">CF133+1</f>
        <v>2030</v>
      </c>
      <c r="CI133" s="62" t="n">
        <v>2026</v>
      </c>
      <c r="CJ133" s="62" t="n">
        <f aca="false">CI133+1</f>
        <v>2027</v>
      </c>
      <c r="CK133" s="62" t="n">
        <f aca="false">CJ133+1</f>
        <v>2028</v>
      </c>
      <c r="CL133" s="62" t="n">
        <f aca="false">CK133+1</f>
        <v>2029</v>
      </c>
      <c r="CM133" s="62" t="n">
        <f aca="false">CL133+1</f>
        <v>2030</v>
      </c>
    </row>
    <row r="134" s="14" customFormat="true" ht="16.5" hidden="false" customHeight="true" outlineLevel="0" collapsed="false">
      <c r="F134" s="21"/>
      <c r="G134" s="21"/>
      <c r="Q134" s="16"/>
      <c r="R134" s="16"/>
    </row>
    <row r="135" s="14" customFormat="true" ht="16.5" hidden="false" customHeight="true" outlineLevel="0" collapsed="false">
      <c r="E135" s="21" t="s">
        <v>158</v>
      </c>
      <c r="Q135" s="16"/>
      <c r="R135" s="16"/>
    </row>
    <row r="136" s="14" customFormat="true" ht="16.5" hidden="false" customHeight="true" outlineLevel="0" collapsed="false">
      <c r="D136" s="134"/>
      <c r="E136" s="91" t="s">
        <v>377</v>
      </c>
      <c r="L136" s="213" t="n">
        <f aca="false">'SVC-6 Model'!L90</f>
        <v>0</v>
      </c>
      <c r="M136" s="213" t="n">
        <f aca="false">'SVC-6 Model'!M90</f>
        <v>0</v>
      </c>
      <c r="N136" s="213" t="n">
        <f aca="false">'SVC-6 Model'!N90</f>
        <v>0</v>
      </c>
      <c r="O136" s="213" t="n">
        <f aca="false">'SVC-6 Model'!O90</f>
        <v>0</v>
      </c>
      <c r="P136" s="213" t="n">
        <f aca="false">'SVC-6 Model'!P90</f>
        <v>0</v>
      </c>
      <c r="Q136" s="93" t="s">
        <v>266</v>
      </c>
      <c r="R136" s="16"/>
      <c r="T136" s="225" t="n">
        <f aca="false">'SVC-6 Model'!T90</f>
        <v>0</v>
      </c>
      <c r="U136" s="225" t="n">
        <f aca="false">'SVC-6 Model'!U90</f>
        <v>0</v>
      </c>
      <c r="V136" s="225" t="n">
        <f aca="false">'SVC-6 Model'!V90</f>
        <v>0</v>
      </c>
      <c r="W136" s="225" t="n">
        <f aca="false">'SVC-6 Model'!W90</f>
        <v>0</v>
      </c>
      <c r="X136" s="225" t="n">
        <f aca="false">'SVC-6 Model'!X90</f>
        <v>0</v>
      </c>
      <c r="Y136" s="225" t="n">
        <f aca="false">'SVC-6 Model'!Y90</f>
        <v>0</v>
      </c>
      <c r="Z136" s="225" t="n">
        <f aca="false">'SVC-6 Model'!Z90</f>
        <v>0</v>
      </c>
      <c r="AA136" s="225" t="n">
        <f aca="false">'SVC-6 Model'!AA90</f>
        <v>0</v>
      </c>
      <c r="AB136" s="225" t="n">
        <f aca="false">'SVC-6 Model'!AB90</f>
        <v>0</v>
      </c>
      <c r="AC136" s="225" t="n">
        <f aca="false">'SVC-6 Model'!AC90</f>
        <v>0</v>
      </c>
      <c r="AD136" s="225" t="n">
        <f aca="false">'SVC-6 Model'!AD90</f>
        <v>0</v>
      </c>
      <c r="AE136" s="225" t="n">
        <f aca="false">'SVC-6 Model'!AE90</f>
        <v>0</v>
      </c>
      <c r="AF136" s="225" t="n">
        <f aca="false">'SVC-6 Model'!AF90</f>
        <v>0</v>
      </c>
      <c r="AG136" s="225" t="n">
        <f aca="false">'SVC-6 Model'!AG90</f>
        <v>0</v>
      </c>
      <c r="AH136" s="225" t="n">
        <f aca="false">'SVC-6 Model'!AH90</f>
        <v>0</v>
      </c>
      <c r="AI136" s="225" t="n">
        <f aca="false">'SVC-6 Model'!AI90</f>
        <v>0</v>
      </c>
      <c r="AJ136" s="225" t="n">
        <f aca="false">'SVC-6 Model'!AJ90</f>
        <v>0</v>
      </c>
      <c r="AK136" s="225" t="n">
        <f aca="false">'SVC-6 Model'!AK90</f>
        <v>0</v>
      </c>
      <c r="AL136" s="225" t="n">
        <f aca="false">'SVC-6 Model'!AL90</f>
        <v>0</v>
      </c>
      <c r="AM136" s="225" t="n">
        <f aca="false">'SVC-6 Model'!AM90</f>
        <v>0</v>
      </c>
      <c r="AN136" s="225" t="n">
        <f aca="false">'SVC-6 Model'!AN90</f>
        <v>0</v>
      </c>
      <c r="AO136" s="225" t="n">
        <f aca="false">'SVC-6 Model'!AO90</f>
        <v>0</v>
      </c>
      <c r="AP136" s="225" t="n">
        <f aca="false">'SVC-6 Model'!AP90</f>
        <v>0</v>
      </c>
      <c r="AQ136" s="225" t="n">
        <f aca="false">'SVC-6 Model'!AQ90</f>
        <v>0</v>
      </c>
      <c r="AR136" s="225" t="n">
        <f aca="false">'SVC-6 Model'!AR90</f>
        <v>0</v>
      </c>
      <c r="AS136" s="225" t="n">
        <f aca="false">'SVC-6 Model'!AS90</f>
        <v>0</v>
      </c>
      <c r="AT136" s="225" t="n">
        <f aca="false">'SVC-6 Model'!AT90</f>
        <v>0</v>
      </c>
      <c r="AU136" s="225" t="n">
        <f aca="false">'SVC-6 Model'!AU90</f>
        <v>0</v>
      </c>
      <c r="AV136" s="225" t="n">
        <f aca="false">'SVC-6 Model'!AV90</f>
        <v>0</v>
      </c>
      <c r="AW136" s="225" t="n">
        <f aca="false">'SVC-6 Model'!AW90</f>
        <v>0</v>
      </c>
      <c r="AX136" s="225" t="n">
        <f aca="false">'SVC-6 Model'!AX90</f>
        <v>0</v>
      </c>
      <c r="AY136" s="225" t="n">
        <f aca="false">'SVC-6 Model'!AY90</f>
        <v>0</v>
      </c>
      <c r="AZ136" s="225" t="n">
        <f aca="false">'SVC-6 Model'!AZ90</f>
        <v>0</v>
      </c>
      <c r="BA136" s="225" t="n">
        <f aca="false">'SVC-6 Model'!BA90</f>
        <v>0</v>
      </c>
      <c r="BB136" s="225" t="n">
        <f aca="false">'SVC-6 Model'!BB90</f>
        <v>0</v>
      </c>
      <c r="BC136" s="225" t="n">
        <f aca="false">'SVC-6 Model'!BC90</f>
        <v>0</v>
      </c>
      <c r="BD136" s="225" t="n">
        <f aca="false">'SVC-6 Model'!BD90</f>
        <v>0</v>
      </c>
      <c r="BE136" s="225" t="n">
        <f aca="false">'SVC-6 Model'!BE90</f>
        <v>0</v>
      </c>
      <c r="BF136" s="225" t="n">
        <f aca="false">'SVC-6 Model'!BF90</f>
        <v>0</v>
      </c>
      <c r="BG136" s="225" t="n">
        <f aca="false">'SVC-6 Model'!BG90</f>
        <v>0</v>
      </c>
      <c r="BH136" s="225" t="n">
        <f aca="false">'SVC-6 Model'!BH90</f>
        <v>0</v>
      </c>
      <c r="BI136" s="225" t="n">
        <f aca="false">'SVC-6 Model'!BI90</f>
        <v>0</v>
      </c>
      <c r="BJ136" s="225" t="n">
        <f aca="false">'SVC-6 Model'!BJ90</f>
        <v>0</v>
      </c>
      <c r="BK136" s="225" t="n">
        <f aca="false">'SVC-6 Model'!BK90</f>
        <v>0</v>
      </c>
      <c r="BL136" s="225" t="n">
        <f aca="false">'SVC-6 Model'!BL90</f>
        <v>0</v>
      </c>
      <c r="BM136" s="225" t="n">
        <f aca="false">'SVC-6 Model'!BM90</f>
        <v>0</v>
      </c>
      <c r="BN136" s="225" t="n">
        <f aca="false">'SVC-6 Model'!BN90</f>
        <v>0</v>
      </c>
      <c r="BO136" s="225" t="n">
        <f aca="false">'SVC-6 Model'!BO90</f>
        <v>0</v>
      </c>
      <c r="BP136" s="225" t="n">
        <f aca="false">'SVC-6 Model'!BP90</f>
        <v>0</v>
      </c>
      <c r="BQ136" s="225" t="n">
        <f aca="false">'SVC-6 Model'!BQ90</f>
        <v>0</v>
      </c>
      <c r="BR136" s="225" t="n">
        <f aca="false">'SVC-6 Model'!BR90</f>
        <v>0</v>
      </c>
      <c r="BS136" s="225" t="n">
        <f aca="false">'SVC-6 Model'!BS90</f>
        <v>0</v>
      </c>
      <c r="BT136" s="225" t="n">
        <f aca="false">'SVC-6 Model'!BT90</f>
        <v>0</v>
      </c>
      <c r="BU136" s="225" t="n">
        <f aca="false">'SVC-6 Model'!BU90</f>
        <v>0</v>
      </c>
      <c r="BV136" s="225" t="n">
        <f aca="false">'SVC-6 Model'!BV90</f>
        <v>0</v>
      </c>
      <c r="BW136" s="225" t="n">
        <f aca="false">'SVC-6 Model'!BW90</f>
        <v>0</v>
      </c>
      <c r="BX136" s="225" t="n">
        <f aca="false">'SVC-6 Model'!BX90</f>
        <v>0</v>
      </c>
      <c r="BY136" s="225" t="n">
        <f aca="false">'SVC-6 Model'!BY90</f>
        <v>0</v>
      </c>
      <c r="BZ136" s="226" t="n">
        <f aca="false">'SVC-6 Model'!BZ90</f>
        <v>0</v>
      </c>
      <c r="CA136" s="226" t="n">
        <f aca="false">'SVC-6 Model'!CA90</f>
        <v>0</v>
      </c>
      <c r="CC136" s="79" t="n">
        <f aca="false">SUMIFS($T136:$CA136, $T$1:$CA$1, CC$63)</f>
        <v>0</v>
      </c>
      <c r="CD136" s="79" t="n">
        <f aca="false">SUMIFS($T136:$CA136, $T$1:$CA$1, CD$63)</f>
        <v>0</v>
      </c>
      <c r="CE136" s="79" t="n">
        <f aca="false">SUMIFS($T136:$CA136, $T$1:$CA$1, CE$63)</f>
        <v>0</v>
      </c>
      <c r="CF136" s="79" t="n">
        <f aca="false">SUMIFS($T136:$CA136, $T$1:$CA$1, CF$63)</f>
        <v>0</v>
      </c>
      <c r="CG136" s="79" t="n">
        <f aca="false">SUMIFS($T136:$CA136, $T$1:$CA$1, CG$63)</f>
        <v>0</v>
      </c>
      <c r="CI136" s="79" t="n">
        <f aca="false">CC136=L136</f>
        <v>1</v>
      </c>
      <c r="CJ136" s="79" t="n">
        <f aca="false">CD136=M136</f>
        <v>1</v>
      </c>
      <c r="CK136" s="79" t="n">
        <f aca="false">CE136=N136</f>
        <v>1</v>
      </c>
      <c r="CL136" s="79" t="n">
        <f aca="false">CF136=O136</f>
        <v>1</v>
      </c>
      <c r="CM136" s="79" t="n">
        <f aca="false">CG136=P136</f>
        <v>1</v>
      </c>
    </row>
    <row r="137" s="14" customFormat="true" ht="16.5" hidden="false" customHeight="true" outlineLevel="0" collapsed="false">
      <c r="D137" s="134"/>
      <c r="E137" s="91" t="s">
        <v>378</v>
      </c>
      <c r="L137" s="213" t="n">
        <f aca="false">'SVC-6 Model'!L91</f>
        <v>0</v>
      </c>
      <c r="M137" s="213" t="n">
        <f aca="false">'SVC-6 Model'!M91</f>
        <v>0</v>
      </c>
      <c r="N137" s="213" t="n">
        <f aca="false">'SVC-6 Model'!N91</f>
        <v>0</v>
      </c>
      <c r="O137" s="213" t="n">
        <f aca="false">'SVC-6 Model'!O91</f>
        <v>0</v>
      </c>
      <c r="P137" s="213" t="n">
        <f aca="false">'SVC-6 Model'!P91</f>
        <v>0</v>
      </c>
      <c r="Q137" s="93" t="s">
        <v>266</v>
      </c>
      <c r="R137" s="16"/>
      <c r="T137" s="225" t="n">
        <f aca="false">'SVC-6 Model'!T91</f>
        <v>0</v>
      </c>
      <c r="U137" s="225" t="n">
        <f aca="false">'SVC-6 Model'!U91</f>
        <v>0</v>
      </c>
      <c r="V137" s="225" t="n">
        <f aca="false">'SVC-6 Model'!V91</f>
        <v>0</v>
      </c>
      <c r="W137" s="225" t="n">
        <f aca="false">'SVC-6 Model'!W91</f>
        <v>0</v>
      </c>
      <c r="X137" s="225" t="n">
        <f aca="false">'SVC-6 Model'!X91</f>
        <v>0</v>
      </c>
      <c r="Y137" s="225" t="n">
        <f aca="false">'SVC-6 Model'!Y91</f>
        <v>0</v>
      </c>
      <c r="Z137" s="225" t="n">
        <f aca="false">'SVC-6 Model'!Z91</f>
        <v>0</v>
      </c>
      <c r="AA137" s="225" t="n">
        <f aca="false">'SVC-6 Model'!AA91</f>
        <v>0</v>
      </c>
      <c r="AB137" s="225" t="n">
        <f aca="false">'SVC-6 Model'!AB91</f>
        <v>0</v>
      </c>
      <c r="AC137" s="225" t="n">
        <f aca="false">'SVC-6 Model'!AC91</f>
        <v>0</v>
      </c>
      <c r="AD137" s="225" t="n">
        <f aca="false">'SVC-6 Model'!AD91</f>
        <v>0</v>
      </c>
      <c r="AE137" s="225" t="n">
        <f aca="false">'SVC-6 Model'!AE91</f>
        <v>0</v>
      </c>
      <c r="AF137" s="225" t="n">
        <f aca="false">'SVC-6 Model'!AF91</f>
        <v>0</v>
      </c>
      <c r="AG137" s="225" t="n">
        <f aca="false">'SVC-6 Model'!AG91</f>
        <v>0</v>
      </c>
      <c r="AH137" s="225" t="n">
        <f aca="false">'SVC-6 Model'!AH91</f>
        <v>0</v>
      </c>
      <c r="AI137" s="225" t="n">
        <f aca="false">'SVC-6 Model'!AI91</f>
        <v>0</v>
      </c>
      <c r="AJ137" s="225" t="n">
        <f aca="false">'SVC-6 Model'!AJ91</f>
        <v>0</v>
      </c>
      <c r="AK137" s="225" t="n">
        <f aca="false">'SVC-6 Model'!AK91</f>
        <v>0</v>
      </c>
      <c r="AL137" s="225" t="n">
        <f aca="false">'SVC-6 Model'!AL91</f>
        <v>0</v>
      </c>
      <c r="AM137" s="225" t="n">
        <f aca="false">'SVC-6 Model'!AM91</f>
        <v>0</v>
      </c>
      <c r="AN137" s="225" t="n">
        <f aca="false">'SVC-6 Model'!AN91</f>
        <v>0</v>
      </c>
      <c r="AO137" s="225" t="n">
        <f aca="false">'SVC-6 Model'!AO91</f>
        <v>0</v>
      </c>
      <c r="AP137" s="225" t="n">
        <f aca="false">'SVC-6 Model'!AP91</f>
        <v>0</v>
      </c>
      <c r="AQ137" s="225" t="n">
        <f aca="false">'SVC-6 Model'!AQ91</f>
        <v>0</v>
      </c>
      <c r="AR137" s="225" t="n">
        <f aca="false">'SVC-6 Model'!AR91</f>
        <v>0</v>
      </c>
      <c r="AS137" s="225" t="n">
        <f aca="false">'SVC-6 Model'!AS91</f>
        <v>0</v>
      </c>
      <c r="AT137" s="225" t="n">
        <f aca="false">'SVC-6 Model'!AT91</f>
        <v>0</v>
      </c>
      <c r="AU137" s="225" t="n">
        <f aca="false">'SVC-6 Model'!AU91</f>
        <v>0</v>
      </c>
      <c r="AV137" s="225" t="n">
        <f aca="false">'SVC-6 Model'!AV91</f>
        <v>0</v>
      </c>
      <c r="AW137" s="225" t="n">
        <f aca="false">'SVC-6 Model'!AW91</f>
        <v>0</v>
      </c>
      <c r="AX137" s="225" t="n">
        <f aca="false">'SVC-6 Model'!AX91</f>
        <v>0</v>
      </c>
      <c r="AY137" s="225" t="n">
        <f aca="false">'SVC-6 Model'!AY91</f>
        <v>0</v>
      </c>
      <c r="AZ137" s="225" t="n">
        <f aca="false">'SVC-6 Model'!AZ91</f>
        <v>0</v>
      </c>
      <c r="BA137" s="225" t="n">
        <f aca="false">'SVC-6 Model'!BA91</f>
        <v>0</v>
      </c>
      <c r="BB137" s="225" t="n">
        <f aca="false">'SVC-6 Model'!BB91</f>
        <v>0</v>
      </c>
      <c r="BC137" s="225" t="n">
        <f aca="false">'SVC-6 Model'!BC91</f>
        <v>0</v>
      </c>
      <c r="BD137" s="225" t="n">
        <f aca="false">'SVC-6 Model'!BD91</f>
        <v>0</v>
      </c>
      <c r="BE137" s="225" t="n">
        <f aca="false">'SVC-6 Model'!BE91</f>
        <v>0</v>
      </c>
      <c r="BF137" s="225" t="n">
        <f aca="false">'SVC-6 Model'!BF91</f>
        <v>0</v>
      </c>
      <c r="BG137" s="225" t="n">
        <f aca="false">'SVC-6 Model'!BG91</f>
        <v>0</v>
      </c>
      <c r="BH137" s="225" t="n">
        <f aca="false">'SVC-6 Model'!BH91</f>
        <v>0</v>
      </c>
      <c r="BI137" s="225" t="n">
        <f aca="false">'SVC-6 Model'!BI91</f>
        <v>0</v>
      </c>
      <c r="BJ137" s="225" t="n">
        <f aca="false">'SVC-6 Model'!BJ91</f>
        <v>0</v>
      </c>
      <c r="BK137" s="225" t="n">
        <f aca="false">'SVC-6 Model'!BK91</f>
        <v>0</v>
      </c>
      <c r="BL137" s="225" t="n">
        <f aca="false">'SVC-6 Model'!BL91</f>
        <v>0</v>
      </c>
      <c r="BM137" s="225" t="n">
        <f aca="false">'SVC-6 Model'!BM91</f>
        <v>0</v>
      </c>
      <c r="BN137" s="225" t="n">
        <f aca="false">'SVC-6 Model'!BN91</f>
        <v>0</v>
      </c>
      <c r="BO137" s="225" t="n">
        <f aca="false">'SVC-6 Model'!BO91</f>
        <v>0</v>
      </c>
      <c r="BP137" s="225" t="n">
        <f aca="false">'SVC-6 Model'!BP91</f>
        <v>0</v>
      </c>
      <c r="BQ137" s="225" t="n">
        <f aca="false">'SVC-6 Model'!BQ91</f>
        <v>0</v>
      </c>
      <c r="BR137" s="225" t="n">
        <f aca="false">'SVC-6 Model'!BR91</f>
        <v>0</v>
      </c>
      <c r="BS137" s="225" t="n">
        <f aca="false">'SVC-6 Model'!BS91</f>
        <v>0</v>
      </c>
      <c r="BT137" s="225" t="n">
        <f aca="false">'SVC-6 Model'!BT91</f>
        <v>0</v>
      </c>
      <c r="BU137" s="225" t="n">
        <f aca="false">'SVC-6 Model'!BU91</f>
        <v>0</v>
      </c>
      <c r="BV137" s="225" t="n">
        <f aca="false">'SVC-6 Model'!BV91</f>
        <v>0</v>
      </c>
      <c r="BW137" s="225" t="n">
        <f aca="false">'SVC-6 Model'!BW91</f>
        <v>0</v>
      </c>
      <c r="BX137" s="225" t="n">
        <f aca="false">'SVC-6 Model'!BX91</f>
        <v>0</v>
      </c>
      <c r="BY137" s="225" t="n">
        <f aca="false">'SVC-6 Model'!BY91</f>
        <v>0</v>
      </c>
      <c r="BZ137" s="226" t="n">
        <f aca="false">'SVC-6 Model'!BZ91</f>
        <v>0</v>
      </c>
      <c r="CA137" s="226" t="n">
        <f aca="false">'SVC-6 Model'!CA91</f>
        <v>0</v>
      </c>
      <c r="CC137" s="79" t="n">
        <f aca="false">SUMIFS($T137:$CA137, $T$1:$CA$1, CC$63)</f>
        <v>0</v>
      </c>
      <c r="CD137" s="79" t="n">
        <f aca="false">SUMIFS($T137:$CA137, $T$1:$CA$1, CD$63)</f>
        <v>0</v>
      </c>
      <c r="CE137" s="79" t="n">
        <f aca="false">SUMIFS($T137:$CA137, $T$1:$CA$1, CE$63)</f>
        <v>0</v>
      </c>
      <c r="CF137" s="79" t="n">
        <f aca="false">SUMIFS($T137:$CA137, $T$1:$CA$1, CF$63)</f>
        <v>0</v>
      </c>
      <c r="CG137" s="79" t="n">
        <f aca="false">SUMIFS($T137:$CA137, $T$1:$CA$1, CG$63)</f>
        <v>0</v>
      </c>
      <c r="CI137" s="79" t="n">
        <f aca="false">CC137=L137</f>
        <v>1</v>
      </c>
      <c r="CJ137" s="79" t="n">
        <f aca="false">CD137=M137</f>
        <v>1</v>
      </c>
      <c r="CK137" s="79" t="n">
        <f aca="false">CE137=N137</f>
        <v>1</v>
      </c>
      <c r="CL137" s="79" t="n">
        <f aca="false">CF137=O137</f>
        <v>1</v>
      </c>
      <c r="CM137" s="79" t="n">
        <f aca="false">CG137=P137</f>
        <v>1</v>
      </c>
    </row>
    <row r="138" s="14" customFormat="true" ht="16.5" hidden="false" customHeight="true" outlineLevel="0" collapsed="false">
      <c r="E138" s="96" t="s">
        <v>160</v>
      </c>
      <c r="L138" s="82" t="n">
        <f aca="false">SUM(L136:L137)</f>
        <v>0</v>
      </c>
      <c r="M138" s="82" t="n">
        <f aca="false">SUM(M136:M137)</f>
        <v>0</v>
      </c>
      <c r="N138" s="82" t="n">
        <f aca="false">SUM(N136:N137)</f>
        <v>0</v>
      </c>
      <c r="O138" s="82" t="n">
        <f aca="false">SUM(O136:O137)</f>
        <v>0</v>
      </c>
      <c r="P138" s="82" t="n">
        <f aca="false">SUM(P136:P137)</f>
        <v>0</v>
      </c>
      <c r="Q138" s="16"/>
      <c r="R138" s="16"/>
      <c r="T138" s="131" t="n">
        <f aca="false">SUM(T136:T137)</f>
        <v>0</v>
      </c>
      <c r="U138" s="131" t="n">
        <f aca="false">SUM(U136:U137)</f>
        <v>0</v>
      </c>
      <c r="V138" s="131" t="n">
        <f aca="false">SUM(V136:V137)</f>
        <v>0</v>
      </c>
      <c r="W138" s="131" t="n">
        <f aca="false">SUM(W136:W137)</f>
        <v>0</v>
      </c>
      <c r="X138" s="131" t="n">
        <f aca="false">SUM(X136:X137)</f>
        <v>0</v>
      </c>
      <c r="Y138" s="131" t="n">
        <f aca="false">SUM(Y136:Y137)</f>
        <v>0</v>
      </c>
      <c r="Z138" s="131" t="n">
        <f aca="false">SUM(Z136:Z137)</f>
        <v>0</v>
      </c>
      <c r="AA138" s="131" t="n">
        <f aca="false">SUM(AA136:AA137)</f>
        <v>0</v>
      </c>
      <c r="AB138" s="131" t="n">
        <f aca="false">SUM(AB136:AB137)</f>
        <v>0</v>
      </c>
      <c r="AC138" s="131" t="n">
        <f aca="false">SUM(AC136:AC137)</f>
        <v>0</v>
      </c>
      <c r="AD138" s="131" t="n">
        <f aca="false">SUM(AD136:AD137)</f>
        <v>0</v>
      </c>
      <c r="AE138" s="131" t="n">
        <f aca="false">SUM(AE136:AE137)</f>
        <v>0</v>
      </c>
      <c r="AF138" s="131" t="n">
        <f aca="false">SUM(AF136:AF137)</f>
        <v>0</v>
      </c>
      <c r="AG138" s="131" t="n">
        <f aca="false">SUM(AG136:AG137)</f>
        <v>0</v>
      </c>
      <c r="AH138" s="131" t="n">
        <f aca="false">SUM(AH136:AH137)</f>
        <v>0</v>
      </c>
      <c r="AI138" s="131" t="n">
        <f aca="false">SUM(AI136:AI137)</f>
        <v>0</v>
      </c>
      <c r="AJ138" s="131" t="n">
        <f aca="false">SUM(AJ136:AJ137)</f>
        <v>0</v>
      </c>
      <c r="AK138" s="131" t="n">
        <f aca="false">SUM(AK136:AK137)</f>
        <v>0</v>
      </c>
      <c r="AL138" s="131" t="n">
        <f aca="false">SUM(AL136:AL137)</f>
        <v>0</v>
      </c>
      <c r="AM138" s="131" t="n">
        <f aca="false">SUM(AM136:AM137)</f>
        <v>0</v>
      </c>
      <c r="AN138" s="131" t="n">
        <f aca="false">SUM(AN136:AN137)</f>
        <v>0</v>
      </c>
      <c r="AO138" s="131" t="n">
        <f aca="false">SUM(AO136:AO137)</f>
        <v>0</v>
      </c>
      <c r="AP138" s="131" t="n">
        <f aca="false">SUM(AP136:AP137)</f>
        <v>0</v>
      </c>
      <c r="AQ138" s="131" t="n">
        <f aca="false">SUM(AQ136:AQ137)</f>
        <v>0</v>
      </c>
      <c r="AR138" s="131" t="n">
        <f aca="false">SUM(AR136:AR137)</f>
        <v>0</v>
      </c>
      <c r="AS138" s="131" t="n">
        <f aca="false">SUM(AS136:AS137)</f>
        <v>0</v>
      </c>
      <c r="AT138" s="131" t="n">
        <f aca="false">SUM(AT136:AT137)</f>
        <v>0</v>
      </c>
      <c r="AU138" s="131" t="n">
        <f aca="false">SUM(AU136:AU137)</f>
        <v>0</v>
      </c>
      <c r="AV138" s="131" t="n">
        <f aca="false">SUM(AV136:AV137)</f>
        <v>0</v>
      </c>
      <c r="AW138" s="131" t="n">
        <f aca="false">SUM(AW136:AW137)</f>
        <v>0</v>
      </c>
      <c r="AX138" s="131" t="n">
        <f aca="false">SUM(AX136:AX137)</f>
        <v>0</v>
      </c>
      <c r="AY138" s="131" t="n">
        <f aca="false">SUM(AY136:AY137)</f>
        <v>0</v>
      </c>
      <c r="AZ138" s="131" t="n">
        <f aca="false">SUM(AZ136:AZ137)</f>
        <v>0</v>
      </c>
      <c r="BA138" s="131" t="n">
        <f aca="false">SUM(BA136:BA137)</f>
        <v>0</v>
      </c>
      <c r="BB138" s="131" t="n">
        <f aca="false">SUM(BB136:BB137)</f>
        <v>0</v>
      </c>
      <c r="BC138" s="131" t="n">
        <f aca="false">SUM(BC136:BC137)</f>
        <v>0</v>
      </c>
      <c r="BD138" s="131" t="n">
        <f aca="false">SUM(BD136:BD137)</f>
        <v>0</v>
      </c>
      <c r="BE138" s="131" t="n">
        <f aca="false">SUM(BE136:BE137)</f>
        <v>0</v>
      </c>
      <c r="BF138" s="131" t="n">
        <f aca="false">SUM(BF136:BF137)</f>
        <v>0</v>
      </c>
      <c r="BG138" s="131" t="n">
        <f aca="false">SUM(BG136:BG137)</f>
        <v>0</v>
      </c>
      <c r="BH138" s="131" t="n">
        <f aca="false">SUM(BH136:BH137)</f>
        <v>0</v>
      </c>
      <c r="BI138" s="131" t="n">
        <f aca="false">SUM(BI136:BI137)</f>
        <v>0</v>
      </c>
      <c r="BJ138" s="131" t="n">
        <f aca="false">SUM(BJ136:BJ137)</f>
        <v>0</v>
      </c>
      <c r="BK138" s="131" t="n">
        <f aca="false">SUM(BK136:BK137)</f>
        <v>0</v>
      </c>
      <c r="BL138" s="131" t="n">
        <f aca="false">SUM(BL136:BL137)</f>
        <v>0</v>
      </c>
      <c r="BM138" s="131" t="n">
        <f aca="false">SUM(BM136:BM137)</f>
        <v>0</v>
      </c>
      <c r="BN138" s="131" t="n">
        <f aca="false">SUM(BN136:BN137)</f>
        <v>0</v>
      </c>
      <c r="BO138" s="131" t="n">
        <f aca="false">SUM(BO136:BO137)</f>
        <v>0</v>
      </c>
      <c r="BP138" s="131" t="n">
        <f aca="false">SUM(BP136:BP137)</f>
        <v>0</v>
      </c>
      <c r="BQ138" s="131" t="n">
        <f aca="false">SUM(BQ136:BQ137)</f>
        <v>0</v>
      </c>
      <c r="BR138" s="131" t="n">
        <f aca="false">SUM(BR136:BR137)</f>
        <v>0</v>
      </c>
      <c r="BS138" s="131" t="n">
        <f aca="false">SUM(BS136:BS137)</f>
        <v>0</v>
      </c>
      <c r="BT138" s="131" t="n">
        <f aca="false">SUM(BT136:BT137)</f>
        <v>0</v>
      </c>
      <c r="BU138" s="131" t="n">
        <f aca="false">SUM(BU136:BU137)</f>
        <v>0</v>
      </c>
      <c r="BV138" s="131" t="n">
        <f aca="false">SUM(BV136:BV137)</f>
        <v>0</v>
      </c>
      <c r="BW138" s="131" t="n">
        <f aca="false">SUM(BW136:BW137)</f>
        <v>0</v>
      </c>
      <c r="BX138" s="131" t="n">
        <f aca="false">SUM(BX136:BX137)</f>
        <v>0</v>
      </c>
      <c r="BY138" s="131" t="n">
        <f aca="false">SUM(BY136:BY137)</f>
        <v>0</v>
      </c>
      <c r="BZ138" s="136" t="n">
        <f aca="false">SUM(BZ136:BZ137)</f>
        <v>0</v>
      </c>
      <c r="CA138" s="136" t="n">
        <f aca="false">SUM(CA136:CA137)</f>
        <v>0</v>
      </c>
      <c r="CC138" s="136" t="n">
        <f aca="false">SUM(CC136:CC137)</f>
        <v>0</v>
      </c>
      <c r="CD138" s="136" t="n">
        <f aca="false">SUM(CD136:CD137)</f>
        <v>0</v>
      </c>
      <c r="CE138" s="136" t="n">
        <f aca="false">SUM(CE136:CE137)</f>
        <v>0</v>
      </c>
      <c r="CF138" s="136" t="n">
        <f aca="false">SUM(CF136:CF137)</f>
        <v>0</v>
      </c>
      <c r="CG138" s="136" t="n">
        <f aca="false">SUM(CG136:CG137)</f>
        <v>0</v>
      </c>
      <c r="CI138" s="136" t="n">
        <f aca="false">CC138=L138</f>
        <v>1</v>
      </c>
      <c r="CJ138" s="136" t="n">
        <f aca="false">CD138=M138</f>
        <v>1</v>
      </c>
      <c r="CK138" s="136" t="n">
        <f aca="false">CE138=N138</f>
        <v>1</v>
      </c>
      <c r="CL138" s="136" t="n">
        <f aca="false">CF138=O138</f>
        <v>1</v>
      </c>
      <c r="CM138" s="136" t="n">
        <f aca="false">CG138=P138</f>
        <v>1</v>
      </c>
    </row>
    <row r="139" s="14" customFormat="true" ht="16.5" hidden="false" customHeight="true" outlineLevel="0" collapsed="false">
      <c r="L139" s="88"/>
      <c r="M139" s="88"/>
      <c r="N139" s="88"/>
      <c r="O139" s="88"/>
      <c r="P139" s="88"/>
      <c r="Q139" s="16"/>
      <c r="R139" s="16"/>
      <c r="T139" s="137"/>
      <c r="U139" s="137"/>
      <c r="V139" s="137"/>
      <c r="W139" s="137"/>
      <c r="X139" s="137"/>
      <c r="Y139" s="137"/>
      <c r="Z139" s="137"/>
      <c r="AA139" s="137"/>
      <c r="AB139" s="137"/>
      <c r="AC139" s="137"/>
      <c r="AD139" s="137"/>
      <c r="AE139" s="137"/>
      <c r="AF139" s="137"/>
      <c r="AG139" s="137"/>
      <c r="AH139" s="137"/>
      <c r="AI139" s="137"/>
      <c r="AJ139" s="137"/>
      <c r="AK139" s="137"/>
      <c r="AL139" s="137"/>
      <c r="AM139" s="137"/>
      <c r="AN139" s="137"/>
      <c r="AO139" s="137"/>
      <c r="AP139" s="137"/>
      <c r="AQ139" s="137"/>
      <c r="AR139" s="137"/>
      <c r="AS139" s="137"/>
      <c r="AT139" s="137"/>
      <c r="AU139" s="137"/>
      <c r="AV139" s="137"/>
      <c r="AW139" s="137"/>
      <c r="AX139" s="137"/>
      <c r="AY139" s="137"/>
      <c r="AZ139" s="137"/>
      <c r="BA139" s="137"/>
      <c r="BB139" s="137"/>
      <c r="BC139" s="137"/>
      <c r="BD139" s="137"/>
      <c r="BE139" s="137"/>
      <c r="BF139" s="137"/>
      <c r="BG139" s="137"/>
      <c r="BH139" s="137"/>
      <c r="BI139" s="137"/>
      <c r="BJ139" s="137"/>
      <c r="BK139" s="137"/>
      <c r="BL139" s="137"/>
      <c r="BM139" s="137"/>
      <c r="BN139" s="137"/>
      <c r="BO139" s="137"/>
      <c r="BP139" s="137"/>
      <c r="BQ139" s="137"/>
      <c r="BR139" s="137"/>
      <c r="BS139" s="137"/>
      <c r="BT139" s="137"/>
      <c r="BU139" s="137"/>
      <c r="BV139" s="137"/>
      <c r="BW139" s="137"/>
      <c r="BX139" s="137"/>
      <c r="BY139" s="137"/>
      <c r="BZ139" s="121"/>
      <c r="CA139" s="121"/>
    </row>
    <row r="140" s="14" customFormat="true" ht="16.5" hidden="false" customHeight="true" outlineLevel="0" collapsed="false">
      <c r="E140" s="21" t="s">
        <v>161</v>
      </c>
      <c r="L140" s="88"/>
      <c r="M140" s="88"/>
      <c r="N140" s="88"/>
      <c r="O140" s="88"/>
      <c r="P140" s="88"/>
      <c r="Q140" s="16"/>
      <c r="R140" s="16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7"/>
      <c r="AH140" s="137"/>
      <c r="AI140" s="137"/>
      <c r="AJ140" s="137"/>
      <c r="AK140" s="137"/>
      <c r="AL140" s="137"/>
      <c r="AM140" s="137"/>
      <c r="AN140" s="137"/>
      <c r="AO140" s="137"/>
      <c r="AP140" s="137"/>
      <c r="AQ140" s="137"/>
      <c r="AR140" s="137"/>
      <c r="AS140" s="137"/>
      <c r="AT140" s="137"/>
      <c r="AU140" s="137"/>
      <c r="AV140" s="137"/>
      <c r="AW140" s="137"/>
      <c r="AX140" s="137"/>
      <c r="AY140" s="137"/>
      <c r="AZ140" s="137"/>
      <c r="BA140" s="137"/>
      <c r="BB140" s="137"/>
      <c r="BC140" s="137"/>
      <c r="BD140" s="137"/>
      <c r="BE140" s="137"/>
      <c r="BF140" s="137"/>
      <c r="BG140" s="137"/>
      <c r="BH140" s="137"/>
      <c r="BI140" s="137"/>
      <c r="BJ140" s="137"/>
      <c r="BK140" s="137"/>
      <c r="BL140" s="137"/>
      <c r="BM140" s="137"/>
      <c r="BN140" s="137"/>
      <c r="BO140" s="137"/>
      <c r="BP140" s="137"/>
      <c r="BQ140" s="137"/>
      <c r="BR140" s="137"/>
      <c r="BS140" s="137"/>
      <c r="BT140" s="137"/>
      <c r="BU140" s="137"/>
      <c r="BV140" s="137"/>
      <c r="BW140" s="137"/>
      <c r="BX140" s="137"/>
      <c r="BY140" s="137"/>
      <c r="BZ140" s="121"/>
      <c r="CA140" s="121"/>
    </row>
    <row r="141" s="14" customFormat="true" ht="16.5" hidden="false" customHeight="true" outlineLevel="0" collapsed="false">
      <c r="E141" s="91" t="s">
        <v>379</v>
      </c>
      <c r="K141" s="29"/>
      <c r="L141" s="213" t="n">
        <f aca="false">'SVC-6 Model'!L92</f>
        <v>0</v>
      </c>
      <c r="M141" s="213" t="n">
        <f aca="false">'SVC-6 Model'!M92</f>
        <v>0</v>
      </c>
      <c r="N141" s="213" t="n">
        <f aca="false">'SVC-6 Model'!N92</f>
        <v>0</v>
      </c>
      <c r="O141" s="213" t="n">
        <f aca="false">'SVC-6 Model'!O92</f>
        <v>0</v>
      </c>
      <c r="P141" s="213" t="n">
        <f aca="false">'SVC-6 Model'!P92</f>
        <v>0</v>
      </c>
      <c r="Q141" s="93" t="s">
        <v>266</v>
      </c>
      <c r="R141" s="16"/>
      <c r="T141" s="225" t="n">
        <f aca="false">'SVC-6 Model'!T92</f>
        <v>0</v>
      </c>
      <c r="U141" s="225" t="n">
        <f aca="false">'SVC-6 Model'!U92</f>
        <v>0</v>
      </c>
      <c r="V141" s="225" t="n">
        <f aca="false">'SVC-6 Model'!V92</f>
        <v>0</v>
      </c>
      <c r="W141" s="225" t="n">
        <f aca="false">'SVC-6 Model'!W92</f>
        <v>0</v>
      </c>
      <c r="X141" s="225" t="n">
        <f aca="false">'SVC-6 Model'!X92</f>
        <v>0</v>
      </c>
      <c r="Y141" s="225" t="n">
        <f aca="false">'SVC-6 Model'!Y92</f>
        <v>0</v>
      </c>
      <c r="Z141" s="225" t="n">
        <f aca="false">'SVC-6 Model'!Z92</f>
        <v>0</v>
      </c>
      <c r="AA141" s="225" t="n">
        <f aca="false">'SVC-6 Model'!AA92</f>
        <v>0</v>
      </c>
      <c r="AB141" s="225" t="n">
        <f aca="false">'SVC-6 Model'!AB92</f>
        <v>0</v>
      </c>
      <c r="AC141" s="225" t="n">
        <f aca="false">'SVC-6 Model'!AC92</f>
        <v>0</v>
      </c>
      <c r="AD141" s="225" t="n">
        <f aca="false">'SVC-6 Model'!AD92</f>
        <v>0</v>
      </c>
      <c r="AE141" s="225" t="n">
        <f aca="false">'SVC-6 Model'!AE92</f>
        <v>0</v>
      </c>
      <c r="AF141" s="225" t="n">
        <f aca="false">'SVC-6 Model'!AF92</f>
        <v>0</v>
      </c>
      <c r="AG141" s="225" t="n">
        <f aca="false">'SVC-6 Model'!AG92</f>
        <v>0</v>
      </c>
      <c r="AH141" s="225" t="n">
        <f aca="false">'SVC-6 Model'!AH92</f>
        <v>0</v>
      </c>
      <c r="AI141" s="225" t="n">
        <f aca="false">'SVC-6 Model'!AI92</f>
        <v>0</v>
      </c>
      <c r="AJ141" s="225" t="n">
        <f aca="false">'SVC-6 Model'!AJ92</f>
        <v>0</v>
      </c>
      <c r="AK141" s="225" t="n">
        <f aca="false">'SVC-6 Model'!AK92</f>
        <v>0</v>
      </c>
      <c r="AL141" s="225" t="n">
        <f aca="false">'SVC-6 Model'!AL92</f>
        <v>0</v>
      </c>
      <c r="AM141" s="225" t="n">
        <f aca="false">'SVC-6 Model'!AM92</f>
        <v>0</v>
      </c>
      <c r="AN141" s="225" t="n">
        <f aca="false">'SVC-6 Model'!AN92</f>
        <v>0</v>
      </c>
      <c r="AO141" s="225" t="n">
        <f aca="false">'SVC-6 Model'!AO92</f>
        <v>0</v>
      </c>
      <c r="AP141" s="225" t="n">
        <f aca="false">'SVC-6 Model'!AP92</f>
        <v>0</v>
      </c>
      <c r="AQ141" s="225" t="n">
        <f aca="false">'SVC-6 Model'!AQ92</f>
        <v>0</v>
      </c>
      <c r="AR141" s="225" t="n">
        <f aca="false">'SVC-6 Model'!AR92</f>
        <v>0</v>
      </c>
      <c r="AS141" s="225" t="n">
        <f aca="false">'SVC-6 Model'!AS92</f>
        <v>0</v>
      </c>
      <c r="AT141" s="225" t="n">
        <f aca="false">'SVC-6 Model'!AT92</f>
        <v>0</v>
      </c>
      <c r="AU141" s="225" t="n">
        <f aca="false">'SVC-6 Model'!AU92</f>
        <v>0</v>
      </c>
      <c r="AV141" s="225" t="n">
        <f aca="false">'SVC-6 Model'!AV92</f>
        <v>0</v>
      </c>
      <c r="AW141" s="225" t="n">
        <f aca="false">'SVC-6 Model'!AW92</f>
        <v>0</v>
      </c>
      <c r="AX141" s="225" t="n">
        <f aca="false">'SVC-6 Model'!AX92</f>
        <v>0</v>
      </c>
      <c r="AY141" s="225" t="n">
        <f aca="false">'SVC-6 Model'!AY92</f>
        <v>0</v>
      </c>
      <c r="AZ141" s="225" t="n">
        <f aca="false">'SVC-6 Model'!AZ92</f>
        <v>0</v>
      </c>
      <c r="BA141" s="225" t="n">
        <f aca="false">'SVC-6 Model'!BA92</f>
        <v>0</v>
      </c>
      <c r="BB141" s="225" t="n">
        <f aca="false">'SVC-6 Model'!BB92</f>
        <v>0</v>
      </c>
      <c r="BC141" s="225" t="n">
        <f aca="false">'SVC-6 Model'!BC92</f>
        <v>0</v>
      </c>
      <c r="BD141" s="225" t="n">
        <f aca="false">'SVC-6 Model'!BD92</f>
        <v>0</v>
      </c>
      <c r="BE141" s="225" t="n">
        <f aca="false">'SVC-6 Model'!BE92</f>
        <v>0</v>
      </c>
      <c r="BF141" s="225" t="n">
        <f aca="false">'SVC-6 Model'!BF92</f>
        <v>0</v>
      </c>
      <c r="BG141" s="225" t="n">
        <f aca="false">'SVC-6 Model'!BG92</f>
        <v>0</v>
      </c>
      <c r="BH141" s="225" t="n">
        <f aca="false">'SVC-6 Model'!BH92</f>
        <v>0</v>
      </c>
      <c r="BI141" s="225" t="n">
        <f aca="false">'SVC-6 Model'!BI92</f>
        <v>0</v>
      </c>
      <c r="BJ141" s="225" t="n">
        <f aca="false">'SVC-6 Model'!BJ92</f>
        <v>0</v>
      </c>
      <c r="BK141" s="225" t="n">
        <f aca="false">'SVC-6 Model'!BK92</f>
        <v>0</v>
      </c>
      <c r="BL141" s="225" t="n">
        <f aca="false">'SVC-6 Model'!BL92</f>
        <v>0</v>
      </c>
      <c r="BM141" s="225" t="n">
        <f aca="false">'SVC-6 Model'!BM92</f>
        <v>0</v>
      </c>
      <c r="BN141" s="225" t="n">
        <f aca="false">'SVC-6 Model'!BN92</f>
        <v>0</v>
      </c>
      <c r="BO141" s="225" t="n">
        <f aca="false">'SVC-6 Model'!BO92</f>
        <v>0</v>
      </c>
      <c r="BP141" s="225" t="n">
        <f aca="false">'SVC-6 Model'!BP92</f>
        <v>0</v>
      </c>
      <c r="BQ141" s="225" t="n">
        <f aca="false">'SVC-6 Model'!BQ92</f>
        <v>0</v>
      </c>
      <c r="BR141" s="225" t="n">
        <f aca="false">'SVC-6 Model'!BR92</f>
        <v>0</v>
      </c>
      <c r="BS141" s="225" t="n">
        <f aca="false">'SVC-6 Model'!BS92</f>
        <v>0</v>
      </c>
      <c r="BT141" s="225" t="n">
        <f aca="false">'SVC-6 Model'!BT92</f>
        <v>0</v>
      </c>
      <c r="BU141" s="225" t="n">
        <f aca="false">'SVC-6 Model'!BU92</f>
        <v>0</v>
      </c>
      <c r="BV141" s="225" t="n">
        <f aca="false">'SVC-6 Model'!BV92</f>
        <v>0</v>
      </c>
      <c r="BW141" s="225" t="n">
        <f aca="false">'SVC-6 Model'!BW92</f>
        <v>0</v>
      </c>
      <c r="BX141" s="225" t="n">
        <f aca="false">'SVC-6 Model'!BX92</f>
        <v>0</v>
      </c>
      <c r="BY141" s="225" t="n">
        <f aca="false">'SVC-6 Model'!BY92</f>
        <v>0</v>
      </c>
      <c r="BZ141" s="227" t="n">
        <f aca="false">'SVC-6 Model'!BZ92</f>
        <v>0</v>
      </c>
      <c r="CA141" s="227" t="n">
        <f aca="false">'SVC-6 Model'!CA92</f>
        <v>0</v>
      </c>
      <c r="CC141" s="79" t="n">
        <f aca="false">SUMIFS($T141:$CA141, $T$1:$CA$1, CC$63)</f>
        <v>0</v>
      </c>
      <c r="CD141" s="79" t="n">
        <f aca="false">SUMIFS($T141:$CA141, $T$1:$CA$1, CD$63)</f>
        <v>0</v>
      </c>
      <c r="CE141" s="79" t="n">
        <f aca="false">SUMIFS($T141:$CA141, $T$1:$CA$1, CE$63)</f>
        <v>0</v>
      </c>
      <c r="CF141" s="79" t="n">
        <f aca="false">SUMIFS($T141:$CA141, $T$1:$CA$1, CF$63)</f>
        <v>0</v>
      </c>
      <c r="CG141" s="79" t="n">
        <f aca="false">SUMIFS($T141:$CA141, $T$1:$CA$1, CG$63)</f>
        <v>0</v>
      </c>
      <c r="CI141" s="79" t="n">
        <f aca="false">CC141=L141</f>
        <v>1</v>
      </c>
      <c r="CJ141" s="79" t="n">
        <f aca="false">CD141=M141</f>
        <v>1</v>
      </c>
      <c r="CK141" s="79" t="n">
        <f aca="false">CE141=N141</f>
        <v>1</v>
      </c>
      <c r="CL141" s="79" t="n">
        <f aca="false">CF141=O141</f>
        <v>1</v>
      </c>
      <c r="CM141" s="79" t="n">
        <f aca="false">CG141=P141</f>
        <v>1</v>
      </c>
    </row>
    <row r="142" s="14" customFormat="true" ht="16.5" hidden="false" customHeight="true" outlineLevel="0" collapsed="false">
      <c r="E142" s="91" t="s">
        <v>380</v>
      </c>
      <c r="L142" s="213" t="n">
        <f aca="false">'SVC-6 Model'!L93</f>
        <v>0</v>
      </c>
      <c r="M142" s="213" t="n">
        <f aca="false">'SVC-6 Model'!M93</f>
        <v>0</v>
      </c>
      <c r="N142" s="213" t="n">
        <f aca="false">'SVC-6 Model'!N93</f>
        <v>0</v>
      </c>
      <c r="O142" s="213" t="n">
        <f aca="false">'SVC-6 Model'!O93</f>
        <v>0</v>
      </c>
      <c r="P142" s="213" t="n">
        <f aca="false">'SVC-6 Model'!P93</f>
        <v>0</v>
      </c>
      <c r="Q142" s="93" t="s">
        <v>266</v>
      </c>
      <c r="R142" s="16"/>
      <c r="T142" s="225" t="n">
        <f aca="false">'SVC-6 Model'!T93</f>
        <v>0</v>
      </c>
      <c r="U142" s="225" t="n">
        <f aca="false">'SVC-6 Model'!U93</f>
        <v>0</v>
      </c>
      <c r="V142" s="225" t="n">
        <f aca="false">'SVC-6 Model'!V93</f>
        <v>0</v>
      </c>
      <c r="W142" s="225" t="n">
        <f aca="false">'SVC-6 Model'!W93</f>
        <v>0</v>
      </c>
      <c r="X142" s="225" t="n">
        <f aca="false">'SVC-6 Model'!X93</f>
        <v>0</v>
      </c>
      <c r="Y142" s="225" t="n">
        <f aca="false">'SVC-6 Model'!Y93</f>
        <v>0</v>
      </c>
      <c r="Z142" s="225" t="n">
        <f aca="false">'SVC-6 Model'!Z93</f>
        <v>0</v>
      </c>
      <c r="AA142" s="225" t="n">
        <f aca="false">'SVC-6 Model'!AA93</f>
        <v>0</v>
      </c>
      <c r="AB142" s="225" t="n">
        <f aca="false">'SVC-6 Model'!AB93</f>
        <v>0</v>
      </c>
      <c r="AC142" s="225" t="n">
        <f aca="false">'SVC-6 Model'!AC93</f>
        <v>0</v>
      </c>
      <c r="AD142" s="225" t="n">
        <f aca="false">'SVC-6 Model'!AD93</f>
        <v>0</v>
      </c>
      <c r="AE142" s="225" t="n">
        <f aca="false">'SVC-6 Model'!AE93</f>
        <v>0</v>
      </c>
      <c r="AF142" s="225" t="n">
        <f aca="false">'SVC-6 Model'!AF93</f>
        <v>0</v>
      </c>
      <c r="AG142" s="225" t="n">
        <f aca="false">'SVC-6 Model'!AG93</f>
        <v>0</v>
      </c>
      <c r="AH142" s="225" t="n">
        <f aca="false">'SVC-6 Model'!AH93</f>
        <v>0</v>
      </c>
      <c r="AI142" s="225" t="n">
        <f aca="false">'SVC-6 Model'!AI93</f>
        <v>0</v>
      </c>
      <c r="AJ142" s="225" t="n">
        <f aca="false">'SVC-6 Model'!AJ93</f>
        <v>0</v>
      </c>
      <c r="AK142" s="225" t="n">
        <f aca="false">'SVC-6 Model'!AK93</f>
        <v>0</v>
      </c>
      <c r="AL142" s="225" t="n">
        <f aca="false">'SVC-6 Model'!AL93</f>
        <v>0</v>
      </c>
      <c r="AM142" s="225" t="n">
        <f aca="false">'SVC-6 Model'!AM93</f>
        <v>0</v>
      </c>
      <c r="AN142" s="225" t="n">
        <f aca="false">'SVC-6 Model'!AN93</f>
        <v>0</v>
      </c>
      <c r="AO142" s="225" t="n">
        <f aca="false">'SVC-6 Model'!AO93</f>
        <v>0</v>
      </c>
      <c r="AP142" s="225" t="n">
        <f aca="false">'SVC-6 Model'!AP93</f>
        <v>0</v>
      </c>
      <c r="AQ142" s="225" t="n">
        <f aca="false">'SVC-6 Model'!AQ93</f>
        <v>0</v>
      </c>
      <c r="AR142" s="225" t="n">
        <f aca="false">'SVC-6 Model'!AR93</f>
        <v>0</v>
      </c>
      <c r="AS142" s="225" t="n">
        <f aca="false">'SVC-6 Model'!AS93</f>
        <v>0</v>
      </c>
      <c r="AT142" s="225" t="n">
        <f aca="false">'SVC-6 Model'!AT93</f>
        <v>0</v>
      </c>
      <c r="AU142" s="225" t="n">
        <f aca="false">'SVC-6 Model'!AU93</f>
        <v>0</v>
      </c>
      <c r="AV142" s="225" t="n">
        <f aca="false">'SVC-6 Model'!AV93</f>
        <v>0</v>
      </c>
      <c r="AW142" s="225" t="n">
        <f aca="false">'SVC-6 Model'!AW93</f>
        <v>0</v>
      </c>
      <c r="AX142" s="225" t="n">
        <f aca="false">'SVC-6 Model'!AX93</f>
        <v>0</v>
      </c>
      <c r="AY142" s="225" t="n">
        <f aca="false">'SVC-6 Model'!AY93</f>
        <v>0</v>
      </c>
      <c r="AZ142" s="225" t="n">
        <f aca="false">'SVC-6 Model'!AZ93</f>
        <v>0</v>
      </c>
      <c r="BA142" s="225" t="n">
        <f aca="false">'SVC-6 Model'!BA93</f>
        <v>0</v>
      </c>
      <c r="BB142" s="225" t="n">
        <f aca="false">'SVC-6 Model'!BB93</f>
        <v>0</v>
      </c>
      <c r="BC142" s="225" t="n">
        <f aca="false">'SVC-6 Model'!BC93</f>
        <v>0</v>
      </c>
      <c r="BD142" s="225" t="n">
        <f aca="false">'SVC-6 Model'!BD93</f>
        <v>0</v>
      </c>
      <c r="BE142" s="225" t="n">
        <f aca="false">'SVC-6 Model'!BE93</f>
        <v>0</v>
      </c>
      <c r="BF142" s="225" t="n">
        <f aca="false">'SVC-6 Model'!BF93</f>
        <v>0</v>
      </c>
      <c r="BG142" s="225" t="n">
        <f aca="false">'SVC-6 Model'!BG93</f>
        <v>0</v>
      </c>
      <c r="BH142" s="225" t="n">
        <f aca="false">'SVC-6 Model'!BH93</f>
        <v>0</v>
      </c>
      <c r="BI142" s="225" t="n">
        <f aca="false">'SVC-6 Model'!BI93</f>
        <v>0</v>
      </c>
      <c r="BJ142" s="225" t="n">
        <f aca="false">'SVC-6 Model'!BJ93</f>
        <v>0</v>
      </c>
      <c r="BK142" s="225" t="n">
        <f aca="false">'SVC-6 Model'!BK93</f>
        <v>0</v>
      </c>
      <c r="BL142" s="225" t="n">
        <f aca="false">'SVC-6 Model'!BL93</f>
        <v>0</v>
      </c>
      <c r="BM142" s="225" t="n">
        <f aca="false">'SVC-6 Model'!BM93</f>
        <v>0</v>
      </c>
      <c r="BN142" s="225" t="n">
        <f aca="false">'SVC-6 Model'!BN93</f>
        <v>0</v>
      </c>
      <c r="BO142" s="225" t="n">
        <f aca="false">'SVC-6 Model'!BO93</f>
        <v>0</v>
      </c>
      <c r="BP142" s="225" t="n">
        <f aca="false">'SVC-6 Model'!BP93</f>
        <v>0</v>
      </c>
      <c r="BQ142" s="225" t="n">
        <f aca="false">'SVC-6 Model'!BQ93</f>
        <v>0</v>
      </c>
      <c r="BR142" s="225" t="n">
        <f aca="false">'SVC-6 Model'!BR93</f>
        <v>0</v>
      </c>
      <c r="BS142" s="225" t="n">
        <f aca="false">'SVC-6 Model'!BS93</f>
        <v>0</v>
      </c>
      <c r="BT142" s="225" t="n">
        <f aca="false">'SVC-6 Model'!BT93</f>
        <v>0</v>
      </c>
      <c r="BU142" s="225" t="n">
        <f aca="false">'SVC-6 Model'!BU93</f>
        <v>0</v>
      </c>
      <c r="BV142" s="225" t="n">
        <f aca="false">'SVC-6 Model'!BV93</f>
        <v>0</v>
      </c>
      <c r="BW142" s="225" t="n">
        <f aca="false">'SVC-6 Model'!BW93</f>
        <v>0</v>
      </c>
      <c r="BX142" s="225" t="n">
        <f aca="false">'SVC-6 Model'!BX93</f>
        <v>0</v>
      </c>
      <c r="BY142" s="225" t="n">
        <f aca="false">'SVC-6 Model'!BY93</f>
        <v>0</v>
      </c>
      <c r="BZ142" s="227" t="n">
        <f aca="false">'SVC-6 Model'!BZ93</f>
        <v>0</v>
      </c>
      <c r="CA142" s="227" t="n">
        <f aca="false">'SVC-6 Model'!CA93</f>
        <v>0</v>
      </c>
      <c r="CC142" s="79" t="n">
        <f aca="false">SUMIFS($T142:$CA142, $T$1:$CA$1, CC$63)</f>
        <v>0</v>
      </c>
      <c r="CD142" s="79" t="n">
        <f aca="false">SUMIFS($T142:$CA142, $T$1:$CA$1, CD$63)</f>
        <v>0</v>
      </c>
      <c r="CE142" s="79" t="n">
        <f aca="false">SUMIFS($T142:$CA142, $T$1:$CA$1, CE$63)</f>
        <v>0</v>
      </c>
      <c r="CF142" s="79" t="n">
        <f aca="false">SUMIFS($T142:$CA142, $T$1:$CA$1, CF$63)</f>
        <v>0</v>
      </c>
      <c r="CG142" s="79" t="n">
        <f aca="false">SUMIFS($T142:$CA142, $T$1:$CA$1, CG$63)</f>
        <v>0</v>
      </c>
      <c r="CI142" s="79" t="n">
        <f aca="false">CC142=L142</f>
        <v>1</v>
      </c>
      <c r="CJ142" s="79" t="n">
        <f aca="false">CD142=M142</f>
        <v>1</v>
      </c>
      <c r="CK142" s="79" t="n">
        <f aca="false">CE142=N142</f>
        <v>1</v>
      </c>
      <c r="CL142" s="79" t="n">
        <f aca="false">CF142=O142</f>
        <v>1</v>
      </c>
      <c r="CM142" s="79" t="n">
        <f aca="false">CG142=P142</f>
        <v>1</v>
      </c>
    </row>
    <row r="143" s="14" customFormat="true" ht="16.5" hidden="false" customHeight="true" outlineLevel="0" collapsed="false">
      <c r="E143" s="91"/>
      <c r="L143" s="91"/>
      <c r="M143" s="91"/>
      <c r="N143" s="91"/>
      <c r="O143" s="91"/>
      <c r="P143" s="91"/>
      <c r="Q143" s="93"/>
      <c r="R143" s="16"/>
      <c r="T143" s="135"/>
      <c r="U143" s="135"/>
      <c r="V143" s="135"/>
      <c r="W143" s="135"/>
      <c r="X143" s="135"/>
      <c r="Y143" s="135"/>
      <c r="Z143" s="135"/>
      <c r="AA143" s="135"/>
      <c r="AB143" s="135"/>
      <c r="AC143" s="135"/>
      <c r="AD143" s="135"/>
      <c r="AE143" s="135"/>
      <c r="AF143" s="135"/>
      <c r="AG143" s="135"/>
      <c r="AH143" s="135"/>
      <c r="AI143" s="135"/>
      <c r="AJ143" s="135"/>
      <c r="AK143" s="135"/>
      <c r="AL143" s="135"/>
      <c r="AM143" s="135"/>
      <c r="AN143" s="135"/>
      <c r="AO143" s="135"/>
      <c r="AP143" s="135"/>
      <c r="AQ143" s="135"/>
      <c r="AR143" s="135"/>
      <c r="AS143" s="135"/>
      <c r="AT143" s="135"/>
      <c r="AU143" s="135"/>
      <c r="AV143" s="135"/>
      <c r="AW143" s="135"/>
      <c r="AX143" s="135"/>
      <c r="AY143" s="135"/>
      <c r="AZ143" s="135"/>
      <c r="BA143" s="135"/>
      <c r="BB143" s="135"/>
      <c r="BC143" s="135"/>
      <c r="BD143" s="135"/>
      <c r="BE143" s="135"/>
      <c r="BF143" s="135"/>
      <c r="BG143" s="135"/>
      <c r="BH143" s="135"/>
      <c r="BI143" s="135"/>
      <c r="BJ143" s="135"/>
      <c r="BK143" s="135"/>
      <c r="BL143" s="135"/>
      <c r="BM143" s="135"/>
      <c r="BN143" s="135"/>
      <c r="BO143" s="135"/>
      <c r="BP143" s="135"/>
      <c r="BQ143" s="135"/>
      <c r="BR143" s="135"/>
      <c r="BS143" s="135"/>
      <c r="BT143" s="135"/>
      <c r="BU143" s="135"/>
      <c r="BV143" s="135"/>
      <c r="BW143" s="135"/>
      <c r="BX143" s="135"/>
      <c r="BY143" s="135"/>
      <c r="BZ143" s="138"/>
      <c r="CA143" s="138"/>
      <c r="CC143" s="79" t="n">
        <f aca="false">SUMIFS($T143:$CA143, $T$1:$CA$1, CC$63)</f>
        <v>0</v>
      </c>
      <c r="CD143" s="79" t="n">
        <f aca="false">SUMIFS($T143:$CA143, $T$1:$CA$1, CD$63)</f>
        <v>0</v>
      </c>
      <c r="CE143" s="79" t="n">
        <f aca="false">SUMIFS($T143:$CA143, $T$1:$CA$1, CE$63)</f>
        <v>0</v>
      </c>
      <c r="CF143" s="79" t="n">
        <f aca="false">SUMIFS($T143:$CA143, $T$1:$CA$1, CF$63)</f>
        <v>0</v>
      </c>
      <c r="CG143" s="79" t="n">
        <f aca="false">SUMIFS($T143:$CA143, $T$1:$CA$1, CG$63)</f>
        <v>0</v>
      </c>
      <c r="CI143" s="79" t="n">
        <f aca="false">CC143=L143</f>
        <v>1</v>
      </c>
      <c r="CJ143" s="79" t="n">
        <f aca="false">CD143=M143</f>
        <v>1</v>
      </c>
      <c r="CK143" s="79" t="n">
        <f aca="false">CE143=N143</f>
        <v>1</v>
      </c>
      <c r="CL143" s="79" t="n">
        <f aca="false">CF143=O143</f>
        <v>1</v>
      </c>
      <c r="CM143" s="79" t="n">
        <f aca="false">CG143=P143</f>
        <v>1</v>
      </c>
    </row>
    <row r="144" s="14" customFormat="true" ht="16.5" hidden="false" customHeight="true" outlineLevel="0" collapsed="false">
      <c r="E144" s="96" t="s">
        <v>162</v>
      </c>
      <c r="L144" s="82" t="n">
        <f aca="false">SUM(L141:L143)</f>
        <v>0</v>
      </c>
      <c r="M144" s="82" t="n">
        <f aca="false">SUM(M141:M143)</f>
        <v>0</v>
      </c>
      <c r="N144" s="82" t="n">
        <f aca="false">SUM(N141:N143)</f>
        <v>0</v>
      </c>
      <c r="O144" s="82" t="n">
        <f aca="false">SUM(O141:O143)</f>
        <v>0</v>
      </c>
      <c r="P144" s="82" t="n">
        <f aca="false">SUM(P141:P143)</f>
        <v>0</v>
      </c>
      <c r="Q144" s="16"/>
      <c r="R144" s="16"/>
      <c r="T144" s="131" t="n">
        <f aca="false">SUM(T141:T143)</f>
        <v>0</v>
      </c>
      <c r="U144" s="131" t="n">
        <f aca="false">SUM(U141:U143)</f>
        <v>0</v>
      </c>
      <c r="V144" s="131" t="n">
        <f aca="false">SUM(V141:V143)</f>
        <v>0</v>
      </c>
      <c r="W144" s="131" t="n">
        <f aca="false">SUM(W141:W143)</f>
        <v>0</v>
      </c>
      <c r="X144" s="131" t="n">
        <f aca="false">SUM(X141:X143)</f>
        <v>0</v>
      </c>
      <c r="Y144" s="131" t="n">
        <f aca="false">SUM(Y141:Y143)</f>
        <v>0</v>
      </c>
      <c r="Z144" s="131" t="n">
        <f aca="false">SUM(Z141:Z143)</f>
        <v>0</v>
      </c>
      <c r="AA144" s="131" t="n">
        <f aca="false">SUM(AA141:AA143)</f>
        <v>0</v>
      </c>
      <c r="AB144" s="131" t="n">
        <f aca="false">SUM(AB141:AB143)</f>
        <v>0</v>
      </c>
      <c r="AC144" s="131" t="n">
        <f aca="false">SUM(AC141:AC143)</f>
        <v>0</v>
      </c>
      <c r="AD144" s="131" t="n">
        <f aca="false">SUM(AD141:AD143)</f>
        <v>0</v>
      </c>
      <c r="AE144" s="131" t="n">
        <f aca="false">SUM(AE141:AE143)</f>
        <v>0</v>
      </c>
      <c r="AF144" s="131" t="n">
        <f aca="false">SUM(AF141:AF143)</f>
        <v>0</v>
      </c>
      <c r="AG144" s="131" t="n">
        <f aca="false">SUM(AG141:AG143)</f>
        <v>0</v>
      </c>
      <c r="AH144" s="131" t="n">
        <f aca="false">SUM(AH141:AH143)</f>
        <v>0</v>
      </c>
      <c r="AI144" s="131" t="n">
        <f aca="false">SUM(AI141:AI143)</f>
        <v>0</v>
      </c>
      <c r="AJ144" s="131" t="n">
        <f aca="false">SUM(AJ141:AJ143)</f>
        <v>0</v>
      </c>
      <c r="AK144" s="131" t="n">
        <f aca="false">SUM(AK141:AK143)</f>
        <v>0</v>
      </c>
      <c r="AL144" s="131" t="n">
        <f aca="false">SUM(AL141:AL143)</f>
        <v>0</v>
      </c>
      <c r="AM144" s="131" t="n">
        <f aca="false">SUM(AM141:AM143)</f>
        <v>0</v>
      </c>
      <c r="AN144" s="131" t="n">
        <f aca="false">SUM(AN141:AN143)</f>
        <v>0</v>
      </c>
      <c r="AO144" s="131" t="n">
        <f aca="false">SUM(AO141:AO143)</f>
        <v>0</v>
      </c>
      <c r="AP144" s="131" t="n">
        <f aca="false">SUM(AP141:AP143)</f>
        <v>0</v>
      </c>
      <c r="AQ144" s="131" t="n">
        <f aca="false">SUM(AQ141:AQ143)</f>
        <v>0</v>
      </c>
      <c r="AR144" s="131" t="n">
        <f aca="false">SUM(AR141:AR143)</f>
        <v>0</v>
      </c>
      <c r="AS144" s="131" t="n">
        <f aca="false">SUM(AS141:AS143)</f>
        <v>0</v>
      </c>
      <c r="AT144" s="131" t="n">
        <f aca="false">SUM(AT141:AT143)</f>
        <v>0</v>
      </c>
      <c r="AU144" s="131" t="n">
        <f aca="false">SUM(AU141:AU143)</f>
        <v>0</v>
      </c>
      <c r="AV144" s="131" t="n">
        <f aca="false">SUM(AV141:AV143)</f>
        <v>0</v>
      </c>
      <c r="AW144" s="131" t="n">
        <f aca="false">SUM(AW141:AW143)</f>
        <v>0</v>
      </c>
      <c r="AX144" s="131" t="n">
        <f aca="false">SUM(AX141:AX143)</f>
        <v>0</v>
      </c>
      <c r="AY144" s="131" t="n">
        <f aca="false">SUM(AY141:AY143)</f>
        <v>0</v>
      </c>
      <c r="AZ144" s="131" t="n">
        <f aca="false">SUM(AZ141:AZ143)</f>
        <v>0</v>
      </c>
      <c r="BA144" s="131" t="n">
        <f aca="false">SUM(BA141:BA143)</f>
        <v>0</v>
      </c>
      <c r="BB144" s="131" t="n">
        <f aca="false">SUM(BB141:BB143)</f>
        <v>0</v>
      </c>
      <c r="BC144" s="131" t="n">
        <f aca="false">SUM(BC141:BC143)</f>
        <v>0</v>
      </c>
      <c r="BD144" s="131" t="n">
        <f aca="false">SUM(BD141:BD143)</f>
        <v>0</v>
      </c>
      <c r="BE144" s="131" t="n">
        <f aca="false">SUM(BE141:BE143)</f>
        <v>0</v>
      </c>
      <c r="BF144" s="131" t="n">
        <f aca="false">SUM(BF141:BF143)</f>
        <v>0</v>
      </c>
      <c r="BG144" s="131" t="n">
        <f aca="false">SUM(BG141:BG143)</f>
        <v>0</v>
      </c>
      <c r="BH144" s="131" t="n">
        <f aca="false">SUM(BH141:BH143)</f>
        <v>0</v>
      </c>
      <c r="BI144" s="131" t="n">
        <f aca="false">SUM(BI141:BI143)</f>
        <v>0</v>
      </c>
      <c r="BJ144" s="131" t="n">
        <f aca="false">SUM(BJ141:BJ143)</f>
        <v>0</v>
      </c>
      <c r="BK144" s="131" t="n">
        <f aca="false">SUM(BK141:BK143)</f>
        <v>0</v>
      </c>
      <c r="BL144" s="131" t="n">
        <f aca="false">SUM(BL141:BL143)</f>
        <v>0</v>
      </c>
      <c r="BM144" s="131" t="n">
        <f aca="false">SUM(BM141:BM143)</f>
        <v>0</v>
      </c>
      <c r="BN144" s="131" t="n">
        <f aca="false">SUM(BN141:BN143)</f>
        <v>0</v>
      </c>
      <c r="BO144" s="131" t="n">
        <f aca="false">SUM(BO141:BO143)</f>
        <v>0</v>
      </c>
      <c r="BP144" s="131" t="n">
        <f aca="false">SUM(BP141:BP143)</f>
        <v>0</v>
      </c>
      <c r="BQ144" s="131" t="n">
        <f aca="false">SUM(BQ141:BQ143)</f>
        <v>0</v>
      </c>
      <c r="BR144" s="131" t="n">
        <f aca="false">SUM(BR141:BR143)</f>
        <v>0</v>
      </c>
      <c r="BS144" s="131" t="n">
        <f aca="false">SUM(BS141:BS143)</f>
        <v>0</v>
      </c>
      <c r="BT144" s="131" t="n">
        <f aca="false">SUM(BT141:BT143)</f>
        <v>0</v>
      </c>
      <c r="BU144" s="131" t="n">
        <f aca="false">SUM(BU141:BU143)</f>
        <v>0</v>
      </c>
      <c r="BV144" s="131" t="n">
        <f aca="false">SUM(BV141:BV143)</f>
        <v>0</v>
      </c>
      <c r="BW144" s="131" t="n">
        <f aca="false">SUM(BW141:BW143)</f>
        <v>0</v>
      </c>
      <c r="BX144" s="131" t="n">
        <f aca="false">SUM(BX141:BX143)</f>
        <v>0</v>
      </c>
      <c r="BY144" s="131" t="n">
        <f aca="false">SUM(BY141:BY143)</f>
        <v>0</v>
      </c>
      <c r="BZ144" s="136" t="n">
        <f aca="false">SUM(BZ141:BZ143)</f>
        <v>0</v>
      </c>
      <c r="CA144" s="136" t="n">
        <f aca="false">SUM(CA141:CA143)</f>
        <v>0</v>
      </c>
      <c r="CC144" s="136" t="n">
        <f aca="false">SUM(CC141:CC143)</f>
        <v>0</v>
      </c>
      <c r="CD144" s="136" t="n">
        <f aca="false">SUM(CD141:CD143)</f>
        <v>0</v>
      </c>
      <c r="CE144" s="136" t="n">
        <f aca="false">SUM(CE141:CE143)</f>
        <v>0</v>
      </c>
      <c r="CF144" s="136" t="n">
        <f aca="false">SUM(CF141:CF143)</f>
        <v>0</v>
      </c>
      <c r="CG144" s="136" t="n">
        <f aca="false">SUM(CG141:CG143)</f>
        <v>0</v>
      </c>
      <c r="CI144" s="136" t="n">
        <f aca="false">CC144=L144</f>
        <v>1</v>
      </c>
      <c r="CJ144" s="136" t="n">
        <f aca="false">CD144=M144</f>
        <v>1</v>
      </c>
      <c r="CK144" s="136" t="n">
        <f aca="false">CE144=N144</f>
        <v>1</v>
      </c>
      <c r="CL144" s="136" t="n">
        <f aca="false">CF144=O144</f>
        <v>1</v>
      </c>
      <c r="CM144" s="136" t="n">
        <f aca="false">CG144=P144</f>
        <v>1</v>
      </c>
    </row>
    <row r="145" s="14" customFormat="true" ht="16.5" hidden="false" customHeight="true" outlineLevel="0" collapsed="false">
      <c r="E145" s="96"/>
      <c r="L145" s="82"/>
      <c r="M145" s="82"/>
      <c r="N145" s="82"/>
      <c r="O145" s="82"/>
      <c r="P145" s="82"/>
      <c r="Q145" s="16"/>
      <c r="R145" s="16"/>
      <c r="T145" s="131"/>
      <c r="U145" s="131"/>
      <c r="V145" s="131"/>
      <c r="W145" s="131"/>
      <c r="X145" s="131"/>
      <c r="Y145" s="131"/>
      <c r="Z145" s="131"/>
      <c r="AA145" s="131"/>
      <c r="AB145" s="131"/>
      <c r="AC145" s="131"/>
      <c r="AD145" s="131"/>
      <c r="AE145" s="131"/>
      <c r="AF145" s="131"/>
      <c r="AG145" s="131"/>
      <c r="AH145" s="131"/>
      <c r="AI145" s="131"/>
      <c r="AJ145" s="131"/>
      <c r="AK145" s="131"/>
      <c r="AL145" s="131"/>
      <c r="AM145" s="131"/>
      <c r="AN145" s="131"/>
      <c r="AO145" s="131"/>
      <c r="AP145" s="131"/>
      <c r="AQ145" s="131"/>
      <c r="AR145" s="131"/>
      <c r="AS145" s="131"/>
      <c r="AT145" s="131"/>
      <c r="AU145" s="131"/>
      <c r="AV145" s="131"/>
      <c r="AW145" s="131"/>
      <c r="AX145" s="131"/>
      <c r="AY145" s="131"/>
      <c r="AZ145" s="131"/>
      <c r="BA145" s="131"/>
      <c r="BB145" s="131"/>
      <c r="BC145" s="131"/>
      <c r="BD145" s="131"/>
      <c r="BE145" s="131"/>
      <c r="BF145" s="131"/>
      <c r="BG145" s="131"/>
      <c r="BH145" s="131"/>
      <c r="BI145" s="131"/>
      <c r="BJ145" s="131"/>
      <c r="BK145" s="131"/>
      <c r="BL145" s="131"/>
      <c r="BM145" s="131"/>
      <c r="BN145" s="131"/>
      <c r="BO145" s="131"/>
      <c r="BP145" s="131"/>
      <c r="BQ145" s="131"/>
      <c r="BR145" s="131"/>
      <c r="BS145" s="131"/>
      <c r="BT145" s="131"/>
      <c r="BU145" s="131"/>
      <c r="BV145" s="131"/>
      <c r="BW145" s="131"/>
      <c r="BX145" s="131"/>
      <c r="BY145" s="131"/>
      <c r="BZ145" s="136"/>
      <c r="CA145" s="136"/>
    </row>
    <row r="146" s="14" customFormat="true" ht="16.5" hidden="false" customHeight="true" outlineLevel="0" collapsed="false">
      <c r="E146" s="96"/>
      <c r="L146" s="82"/>
      <c r="M146" s="82"/>
      <c r="N146" s="82"/>
      <c r="O146" s="82"/>
      <c r="P146" s="82"/>
      <c r="Q146" s="16"/>
      <c r="R146" s="16"/>
      <c r="T146" s="131"/>
      <c r="U146" s="131"/>
      <c r="V146" s="131"/>
      <c r="W146" s="131"/>
      <c r="X146" s="131"/>
      <c r="Y146" s="131"/>
      <c r="Z146" s="131"/>
      <c r="AA146" s="131"/>
      <c r="AB146" s="131"/>
      <c r="AC146" s="131"/>
      <c r="AD146" s="131"/>
      <c r="AE146" s="131"/>
      <c r="AF146" s="131"/>
      <c r="AG146" s="131"/>
      <c r="AH146" s="131"/>
      <c r="AI146" s="131"/>
      <c r="AJ146" s="131"/>
      <c r="AK146" s="131"/>
      <c r="AL146" s="131"/>
      <c r="AM146" s="131"/>
      <c r="AN146" s="131"/>
      <c r="AO146" s="131"/>
      <c r="AP146" s="131"/>
      <c r="AQ146" s="131"/>
      <c r="AR146" s="131"/>
      <c r="AS146" s="131"/>
      <c r="AT146" s="131"/>
      <c r="AU146" s="131"/>
      <c r="AV146" s="131"/>
      <c r="AW146" s="131"/>
      <c r="AX146" s="131"/>
      <c r="AY146" s="131"/>
      <c r="AZ146" s="131"/>
      <c r="BA146" s="131"/>
      <c r="BB146" s="131"/>
      <c r="BC146" s="131"/>
      <c r="BD146" s="131"/>
      <c r="BE146" s="131"/>
      <c r="BF146" s="131"/>
      <c r="BG146" s="131"/>
      <c r="BH146" s="131"/>
      <c r="BI146" s="131"/>
      <c r="BJ146" s="131"/>
      <c r="BK146" s="131"/>
      <c r="BL146" s="131"/>
      <c r="BM146" s="131"/>
      <c r="BN146" s="131"/>
      <c r="BO146" s="131"/>
      <c r="BP146" s="131"/>
      <c r="BQ146" s="131"/>
      <c r="BR146" s="131"/>
      <c r="BS146" s="131"/>
      <c r="BT146" s="131"/>
      <c r="BU146" s="131"/>
      <c r="BV146" s="131"/>
      <c r="BW146" s="131"/>
      <c r="BX146" s="131"/>
      <c r="BY146" s="131"/>
      <c r="BZ146" s="136"/>
      <c r="CA146" s="136"/>
    </row>
    <row r="147" s="14" customFormat="true" ht="16.5" hidden="false" customHeight="true" outlineLevel="0" collapsed="false">
      <c r="E147" s="109" t="s">
        <v>163</v>
      </c>
      <c r="F147" s="109"/>
      <c r="G147" s="109"/>
      <c r="H147" s="109"/>
      <c r="I147" s="132"/>
      <c r="J147" s="132"/>
      <c r="K147" s="132"/>
      <c r="L147" s="120" t="n">
        <f aca="false">SUM(L138, L144)</f>
        <v>0</v>
      </c>
      <c r="M147" s="120" t="n">
        <f aca="false">SUM(M138, M144)</f>
        <v>0</v>
      </c>
      <c r="N147" s="120" t="n">
        <f aca="false">SUM(N138, N144)</f>
        <v>0</v>
      </c>
      <c r="O147" s="120" t="n">
        <f aca="false">SUM(O138, O144)</f>
        <v>0</v>
      </c>
      <c r="P147" s="120" t="n">
        <f aca="false">SUM(P138, P144)</f>
        <v>0</v>
      </c>
      <c r="Q147" s="139"/>
      <c r="R147" s="139"/>
      <c r="T147" s="120" t="n">
        <f aca="false">SUM(T138, T144)</f>
        <v>0</v>
      </c>
      <c r="U147" s="120" t="n">
        <f aca="false">SUM(U138, U144)</f>
        <v>0</v>
      </c>
      <c r="V147" s="120" t="n">
        <f aca="false">SUM(V138, V144)</f>
        <v>0</v>
      </c>
      <c r="W147" s="120" t="n">
        <f aca="false">SUM(W138, W144)</f>
        <v>0</v>
      </c>
      <c r="X147" s="120" t="n">
        <f aca="false">SUM(X138, X144)</f>
        <v>0</v>
      </c>
      <c r="Y147" s="120" t="n">
        <f aca="false">SUM(Y138, Y144)</f>
        <v>0</v>
      </c>
      <c r="Z147" s="120" t="n">
        <f aca="false">SUM(Z138, Z144)</f>
        <v>0</v>
      </c>
      <c r="AA147" s="120" t="n">
        <f aca="false">SUM(AA138, AA144)</f>
        <v>0</v>
      </c>
      <c r="AB147" s="120" t="n">
        <f aca="false">SUM(AB138, AB144)</f>
        <v>0</v>
      </c>
      <c r="AC147" s="120" t="n">
        <f aca="false">SUM(AC138, AC144)</f>
        <v>0</v>
      </c>
      <c r="AD147" s="120" t="n">
        <f aca="false">SUM(AD138, AD144)</f>
        <v>0</v>
      </c>
      <c r="AE147" s="120" t="n">
        <f aca="false">SUM(AE138, AE144)</f>
        <v>0</v>
      </c>
      <c r="AF147" s="120" t="n">
        <f aca="false">SUM(AF138, AF144)</f>
        <v>0</v>
      </c>
      <c r="AG147" s="120" t="n">
        <f aca="false">SUM(AG138, AG144)</f>
        <v>0</v>
      </c>
      <c r="AH147" s="120" t="n">
        <f aca="false">SUM(AH138, AH144)</f>
        <v>0</v>
      </c>
      <c r="AI147" s="120" t="n">
        <f aca="false">SUM(AI138, AI144)</f>
        <v>0</v>
      </c>
      <c r="AJ147" s="120" t="n">
        <f aca="false">SUM(AJ138, AJ144)</f>
        <v>0</v>
      </c>
      <c r="AK147" s="120" t="n">
        <f aca="false">SUM(AK138, AK144)</f>
        <v>0</v>
      </c>
      <c r="AL147" s="120" t="n">
        <f aca="false">SUM(AL138, AL144)</f>
        <v>0</v>
      </c>
      <c r="AM147" s="120" t="n">
        <f aca="false">SUM(AM138, AM144)</f>
        <v>0</v>
      </c>
      <c r="AN147" s="120" t="n">
        <f aca="false">SUM(AN138, AN144)</f>
        <v>0</v>
      </c>
      <c r="AO147" s="120" t="n">
        <f aca="false">SUM(AO138, AO144)</f>
        <v>0</v>
      </c>
      <c r="AP147" s="120" t="n">
        <f aca="false">SUM(AP138, AP144)</f>
        <v>0</v>
      </c>
      <c r="AQ147" s="120" t="n">
        <f aca="false">SUM(AQ138, AQ144)</f>
        <v>0</v>
      </c>
      <c r="AR147" s="120" t="n">
        <f aca="false">SUM(AR138, AR144)</f>
        <v>0</v>
      </c>
      <c r="AS147" s="120" t="n">
        <f aca="false">SUM(AS138, AS144)</f>
        <v>0</v>
      </c>
      <c r="AT147" s="120" t="n">
        <f aca="false">SUM(AT138, AT144)</f>
        <v>0</v>
      </c>
      <c r="AU147" s="120" t="n">
        <f aca="false">SUM(AU138, AU144)</f>
        <v>0</v>
      </c>
      <c r="AV147" s="120" t="n">
        <f aca="false">SUM(AV138, AV144)</f>
        <v>0</v>
      </c>
      <c r="AW147" s="120" t="n">
        <f aca="false">SUM(AW138, AW144)</f>
        <v>0</v>
      </c>
      <c r="AX147" s="120" t="n">
        <f aca="false">SUM(AX138, AX144)</f>
        <v>0</v>
      </c>
      <c r="AY147" s="120" t="n">
        <f aca="false">SUM(AY138, AY144)</f>
        <v>0</v>
      </c>
      <c r="AZ147" s="120" t="n">
        <f aca="false">SUM(AZ138, AZ144)</f>
        <v>0</v>
      </c>
      <c r="BA147" s="120" t="n">
        <f aca="false">SUM(BA138, BA144)</f>
        <v>0</v>
      </c>
      <c r="BB147" s="120" t="n">
        <f aca="false">SUM(BB138, BB144)</f>
        <v>0</v>
      </c>
      <c r="BC147" s="120" t="n">
        <f aca="false">SUM(BC138, BC144)</f>
        <v>0</v>
      </c>
      <c r="BD147" s="120" t="n">
        <f aca="false">SUM(BD138, BD144)</f>
        <v>0</v>
      </c>
      <c r="BE147" s="120" t="n">
        <f aca="false">SUM(BE138, BE144)</f>
        <v>0</v>
      </c>
      <c r="BF147" s="120" t="n">
        <f aca="false">SUM(BF138, BF144)</f>
        <v>0</v>
      </c>
      <c r="BG147" s="120" t="n">
        <f aca="false">SUM(BG138, BG144)</f>
        <v>0</v>
      </c>
      <c r="BH147" s="120" t="n">
        <f aca="false">SUM(BH138, BH144)</f>
        <v>0</v>
      </c>
      <c r="BI147" s="120" t="n">
        <f aca="false">SUM(BI138, BI144)</f>
        <v>0</v>
      </c>
      <c r="BJ147" s="120" t="n">
        <f aca="false">SUM(BJ138, BJ144)</f>
        <v>0</v>
      </c>
      <c r="BK147" s="120" t="n">
        <f aca="false">SUM(BK138, BK144)</f>
        <v>0</v>
      </c>
      <c r="BL147" s="120" t="n">
        <f aca="false">SUM(BL138, BL144)</f>
        <v>0</v>
      </c>
      <c r="BM147" s="120" t="n">
        <f aca="false">SUM(BM138, BM144)</f>
        <v>0</v>
      </c>
      <c r="BN147" s="120" t="n">
        <f aca="false">SUM(BN138, BN144)</f>
        <v>0</v>
      </c>
      <c r="BO147" s="120" t="n">
        <f aca="false">SUM(BO138, BO144)</f>
        <v>0</v>
      </c>
      <c r="BP147" s="120" t="n">
        <f aca="false">SUM(BP138, BP144)</f>
        <v>0</v>
      </c>
      <c r="BQ147" s="120" t="n">
        <f aca="false">SUM(BQ138, BQ144)</f>
        <v>0</v>
      </c>
      <c r="BR147" s="120" t="n">
        <f aca="false">SUM(BR138, BR144)</f>
        <v>0</v>
      </c>
      <c r="BS147" s="120" t="n">
        <f aca="false">SUM(BS138, BS144)</f>
        <v>0</v>
      </c>
      <c r="BT147" s="120" t="n">
        <f aca="false">SUM(BT138, BT144)</f>
        <v>0</v>
      </c>
      <c r="BU147" s="120" t="n">
        <f aca="false">SUM(BU138, BU144)</f>
        <v>0</v>
      </c>
      <c r="BV147" s="120" t="n">
        <f aca="false">SUM(BV138, BV144)</f>
        <v>0</v>
      </c>
      <c r="BW147" s="120" t="n">
        <f aca="false">SUM(BW138, BW144)</f>
        <v>0</v>
      </c>
      <c r="BX147" s="120" t="n">
        <f aca="false">SUM(BX138, BX144)</f>
        <v>0</v>
      </c>
      <c r="BY147" s="120" t="n">
        <f aca="false">SUM(BY138, BY144)</f>
        <v>0</v>
      </c>
      <c r="BZ147" s="120" t="n">
        <f aca="false">SUM(BZ138, BZ144)</f>
        <v>0</v>
      </c>
      <c r="CA147" s="120" t="n">
        <f aca="false">SUM(CA138, CA144)</f>
        <v>0</v>
      </c>
      <c r="CC147" s="120" t="n">
        <f aca="false">SUM(CC138, CC144)</f>
        <v>0</v>
      </c>
      <c r="CD147" s="120" t="n">
        <f aca="false">SUM(CD138, CD144)</f>
        <v>0</v>
      </c>
      <c r="CE147" s="120" t="n">
        <f aca="false">SUM(CE138, CE144)</f>
        <v>0</v>
      </c>
      <c r="CF147" s="120" t="n">
        <f aca="false">SUM(CF138, CF144)</f>
        <v>0</v>
      </c>
      <c r="CG147" s="120" t="n">
        <f aca="false">SUM(CG138, CG144)</f>
        <v>0</v>
      </c>
      <c r="CI147" s="140" t="n">
        <f aca="false">CC147=L147</f>
        <v>1</v>
      </c>
      <c r="CJ147" s="140" t="n">
        <f aca="false">CD147=M147</f>
        <v>1</v>
      </c>
      <c r="CK147" s="140" t="n">
        <f aca="false">CE147=N147</f>
        <v>1</v>
      </c>
      <c r="CL147" s="140" t="n">
        <f aca="false">CF147=O147</f>
        <v>1</v>
      </c>
      <c r="CM147" s="140" t="n">
        <f aca="false">CG147=P147</f>
        <v>1</v>
      </c>
    </row>
    <row r="148" s="14" customFormat="true" ht="16.5" hidden="false" customHeight="true" outlineLevel="0" collapsed="false">
      <c r="E148" s="21"/>
      <c r="L148" s="88"/>
      <c r="M148" s="88"/>
      <c r="N148" s="88"/>
      <c r="O148" s="88"/>
      <c r="P148" s="88"/>
      <c r="Q148" s="121"/>
      <c r="R148" s="121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7"/>
      <c r="AH148" s="137"/>
      <c r="AI148" s="137"/>
      <c r="AJ148" s="137"/>
      <c r="AK148" s="137"/>
      <c r="AL148" s="137"/>
      <c r="AM148" s="137"/>
      <c r="AN148" s="137"/>
      <c r="AO148" s="137"/>
      <c r="AP148" s="137"/>
      <c r="AQ148" s="137"/>
      <c r="AR148" s="137"/>
      <c r="AS148" s="137"/>
      <c r="AT148" s="137"/>
      <c r="AU148" s="137"/>
      <c r="AV148" s="137"/>
      <c r="AW148" s="137"/>
      <c r="AX148" s="137"/>
      <c r="AY148" s="137"/>
      <c r="AZ148" s="137"/>
      <c r="BA148" s="137"/>
      <c r="BB148" s="137"/>
      <c r="BC148" s="137"/>
      <c r="BD148" s="137"/>
      <c r="BE148" s="137"/>
      <c r="BF148" s="137"/>
      <c r="BG148" s="137"/>
      <c r="BH148" s="137"/>
      <c r="BI148" s="137"/>
      <c r="BJ148" s="137"/>
      <c r="BK148" s="137"/>
      <c r="BL148" s="137"/>
      <c r="BM148" s="137"/>
      <c r="BN148" s="137"/>
      <c r="BO148" s="137"/>
      <c r="BP148" s="137"/>
      <c r="BQ148" s="137"/>
      <c r="BR148" s="137"/>
      <c r="BS148" s="137"/>
      <c r="BT148" s="137"/>
      <c r="BU148" s="137"/>
      <c r="BV148" s="137"/>
      <c r="BW148" s="137"/>
      <c r="BX148" s="137"/>
      <c r="BY148" s="137"/>
      <c r="BZ148" s="121"/>
      <c r="CA148" s="121"/>
    </row>
    <row r="149" s="14" customFormat="true" ht="16.5" hidden="false" customHeight="true" outlineLevel="0" collapsed="false">
      <c r="E149" s="141" t="s">
        <v>429</v>
      </c>
      <c r="F149" s="123"/>
      <c r="G149" s="123"/>
      <c r="H149" s="123"/>
      <c r="I149" s="126"/>
      <c r="J149" s="126"/>
      <c r="K149" s="142"/>
      <c r="L149" s="125" t="n">
        <f aca="false">SUM(L130, -L147)</f>
        <v>0</v>
      </c>
      <c r="M149" s="125" t="n">
        <f aca="false">SUM(M130, -M147)</f>
        <v>0</v>
      </c>
      <c r="N149" s="125" t="n">
        <f aca="false">SUM(N130, -N147)</f>
        <v>0</v>
      </c>
      <c r="O149" s="125" t="n">
        <f aca="false">SUM(O130, -O147)</f>
        <v>0</v>
      </c>
      <c r="P149" s="125" t="n">
        <f aca="false">SUM(P130, -P147)</f>
        <v>0</v>
      </c>
      <c r="Q149" s="143"/>
      <c r="R149" s="143"/>
      <c r="T149" s="144" t="n">
        <f aca="false">SUM(T130, -T147)</f>
        <v>0</v>
      </c>
      <c r="U149" s="144" t="n">
        <f aca="false">SUM(U130, -U147)</f>
        <v>0</v>
      </c>
      <c r="V149" s="144" t="n">
        <f aca="false">SUM(V130, -V147)</f>
        <v>0</v>
      </c>
      <c r="W149" s="144" t="n">
        <f aca="false">SUM(W130, -W147)</f>
        <v>0</v>
      </c>
      <c r="X149" s="144" t="n">
        <f aca="false">SUM(X130, -X147)</f>
        <v>0</v>
      </c>
      <c r="Y149" s="144" t="n">
        <f aca="false">SUM(Y130, -Y147)</f>
        <v>0</v>
      </c>
      <c r="Z149" s="144" t="n">
        <f aca="false">SUM(Z130, -Z147)</f>
        <v>0</v>
      </c>
      <c r="AA149" s="144" t="n">
        <f aca="false">SUM(AA130, -AA147)</f>
        <v>0</v>
      </c>
      <c r="AB149" s="144" t="n">
        <f aca="false">SUM(AB130, -AB147)</f>
        <v>0</v>
      </c>
      <c r="AC149" s="144" t="n">
        <f aca="false">SUM(AC130, -AC147)</f>
        <v>0</v>
      </c>
      <c r="AD149" s="144" t="n">
        <f aca="false">SUM(AD130, -AD147)</f>
        <v>0</v>
      </c>
      <c r="AE149" s="144" t="n">
        <f aca="false">SUM(AE130, -AE147)</f>
        <v>0</v>
      </c>
      <c r="AF149" s="144" t="n">
        <f aca="false">SUM(AF130, -AF147)</f>
        <v>0</v>
      </c>
      <c r="AG149" s="144" t="n">
        <f aca="false">SUM(AG130, -AG147)</f>
        <v>0</v>
      </c>
      <c r="AH149" s="144" t="n">
        <f aca="false">SUM(AH130, -AH147)</f>
        <v>0</v>
      </c>
      <c r="AI149" s="144" t="n">
        <f aca="false">SUM(AI130, -AI147)</f>
        <v>0</v>
      </c>
      <c r="AJ149" s="144" t="n">
        <f aca="false">SUM(AJ130, -AJ147)</f>
        <v>0</v>
      </c>
      <c r="AK149" s="144" t="n">
        <f aca="false">SUM(AK130, -AK147)</f>
        <v>0</v>
      </c>
      <c r="AL149" s="144" t="n">
        <f aca="false">SUM(AL130, -AL147)</f>
        <v>0</v>
      </c>
      <c r="AM149" s="144" t="n">
        <f aca="false">SUM(AM130, -AM147)</f>
        <v>0</v>
      </c>
      <c r="AN149" s="144" t="n">
        <f aca="false">SUM(AN130, -AN147)</f>
        <v>0</v>
      </c>
      <c r="AO149" s="144" t="n">
        <f aca="false">SUM(AO130, -AO147)</f>
        <v>0</v>
      </c>
      <c r="AP149" s="144" t="n">
        <f aca="false">SUM(AP130, -AP147)</f>
        <v>0</v>
      </c>
      <c r="AQ149" s="144" t="n">
        <f aca="false">SUM(AQ130, -AQ147)</f>
        <v>0</v>
      </c>
      <c r="AR149" s="144" t="n">
        <f aca="false">SUM(AR130, -AR147)</f>
        <v>0</v>
      </c>
      <c r="AS149" s="144" t="n">
        <f aca="false">SUM(AS130, -AS147)</f>
        <v>0</v>
      </c>
      <c r="AT149" s="144" t="n">
        <f aca="false">SUM(AT130, -AT147)</f>
        <v>0</v>
      </c>
      <c r="AU149" s="144" t="n">
        <f aca="false">SUM(AU130, -AU147)</f>
        <v>0</v>
      </c>
      <c r="AV149" s="144" t="n">
        <f aca="false">SUM(AV130, -AV147)</f>
        <v>0</v>
      </c>
      <c r="AW149" s="144" t="n">
        <f aca="false">SUM(AW130, -AW147)</f>
        <v>0</v>
      </c>
      <c r="AX149" s="144" t="n">
        <f aca="false">SUM(AX130, -AX147)</f>
        <v>0</v>
      </c>
      <c r="AY149" s="144" t="n">
        <f aca="false">SUM(AY130, -AY147)</f>
        <v>0</v>
      </c>
      <c r="AZ149" s="144" t="n">
        <f aca="false">SUM(AZ130, -AZ147)</f>
        <v>0</v>
      </c>
      <c r="BA149" s="144" t="n">
        <f aca="false">SUM(BA130, -BA147)</f>
        <v>0</v>
      </c>
      <c r="BB149" s="144" t="n">
        <f aca="false">SUM(BB130, -BB147)</f>
        <v>0</v>
      </c>
      <c r="BC149" s="144" t="n">
        <f aca="false">SUM(BC130, -BC147)</f>
        <v>0</v>
      </c>
      <c r="BD149" s="144" t="n">
        <f aca="false">SUM(BD130, -BD147)</f>
        <v>0</v>
      </c>
      <c r="BE149" s="144" t="n">
        <f aca="false">SUM(BE130, -BE147)</f>
        <v>0</v>
      </c>
      <c r="BF149" s="144" t="n">
        <f aca="false">SUM(BF130, -BF147)</f>
        <v>0</v>
      </c>
      <c r="BG149" s="144" t="n">
        <f aca="false">SUM(BG130, -BG147)</f>
        <v>0</v>
      </c>
      <c r="BH149" s="144" t="n">
        <f aca="false">SUM(BH130, -BH147)</f>
        <v>0</v>
      </c>
      <c r="BI149" s="144" t="n">
        <f aca="false">SUM(BI130, -BI147)</f>
        <v>0</v>
      </c>
      <c r="BJ149" s="144" t="n">
        <f aca="false">SUM(BJ130, -BJ147)</f>
        <v>0</v>
      </c>
      <c r="BK149" s="144" t="n">
        <f aca="false">SUM(BK130, -BK147)</f>
        <v>0</v>
      </c>
      <c r="BL149" s="144" t="n">
        <f aca="false">SUM(BL130, -BL147)</f>
        <v>0</v>
      </c>
      <c r="BM149" s="144" t="n">
        <f aca="false">SUM(BM130, -BM147)</f>
        <v>0</v>
      </c>
      <c r="BN149" s="144" t="n">
        <f aca="false">SUM(BN130, -BN147)</f>
        <v>0</v>
      </c>
      <c r="BO149" s="144" t="n">
        <f aca="false">SUM(BO130, -BO147)</f>
        <v>0</v>
      </c>
      <c r="BP149" s="144" t="n">
        <f aca="false">SUM(BP130, -BP147)</f>
        <v>0</v>
      </c>
      <c r="BQ149" s="144" t="n">
        <f aca="false">SUM(BQ130, -BQ147)</f>
        <v>0</v>
      </c>
      <c r="BR149" s="144" t="n">
        <f aca="false">SUM(BR130, -BR147)</f>
        <v>0</v>
      </c>
      <c r="BS149" s="144" t="n">
        <f aca="false">SUM(BS130, -BS147)</f>
        <v>0</v>
      </c>
      <c r="BT149" s="144" t="n">
        <f aca="false">SUM(BT130, -BT147)</f>
        <v>0</v>
      </c>
      <c r="BU149" s="144" t="n">
        <f aca="false">SUM(BU130, -BU147)</f>
        <v>0</v>
      </c>
      <c r="BV149" s="144" t="n">
        <f aca="false">SUM(BV130, -BV147)</f>
        <v>0</v>
      </c>
      <c r="BW149" s="144" t="n">
        <f aca="false">SUM(BW130, -BW147)</f>
        <v>0</v>
      </c>
      <c r="BX149" s="144" t="n">
        <f aca="false">SUM(BX130, -BX147)</f>
        <v>0</v>
      </c>
      <c r="BY149" s="144" t="n">
        <f aca="false">SUM(BY130, -BY147)</f>
        <v>0</v>
      </c>
      <c r="BZ149" s="143" t="n">
        <f aca="false">SUM(BZ130, -BZ147)</f>
        <v>0</v>
      </c>
      <c r="CA149" s="143" t="n">
        <f aca="false">SUM(CA130, -CA147)</f>
        <v>0</v>
      </c>
      <c r="CC149" s="143" t="n">
        <f aca="false">SUM(CC130, -CC147)</f>
        <v>0</v>
      </c>
      <c r="CD149" s="143" t="n">
        <f aca="false">SUM(CD130, -CD147)</f>
        <v>0</v>
      </c>
      <c r="CE149" s="143" t="n">
        <f aca="false">SUM(CE130, -CE147)</f>
        <v>0</v>
      </c>
      <c r="CF149" s="143" t="n">
        <f aca="false">SUM(CF130, -CF147)</f>
        <v>0</v>
      </c>
      <c r="CG149" s="143" t="n">
        <f aca="false">SUM(CG130, -CG147)</f>
        <v>0</v>
      </c>
      <c r="CI149" s="143" t="n">
        <f aca="false">CC149=L149</f>
        <v>1</v>
      </c>
      <c r="CJ149" s="143" t="n">
        <f aca="false">CD149=M149</f>
        <v>1</v>
      </c>
      <c r="CK149" s="143" t="n">
        <f aca="false">CE149=N149</f>
        <v>1</v>
      </c>
      <c r="CL149" s="143" t="n">
        <f aca="false">CF149=O149</f>
        <v>1</v>
      </c>
      <c r="CM149" s="143" t="n">
        <f aca="false">CG149=P149</f>
        <v>1</v>
      </c>
    </row>
    <row r="150" s="14" customFormat="true" ht="16.5" hidden="false" customHeight="true" outlineLevel="0" collapsed="false">
      <c r="E150" s="21"/>
      <c r="H150" s="21"/>
      <c r="I150" s="21"/>
      <c r="J150" s="21"/>
      <c r="K150" s="21"/>
      <c r="L150" s="21"/>
      <c r="M150" s="21"/>
      <c r="N150" s="21"/>
      <c r="O150" s="21"/>
      <c r="P150" s="21"/>
      <c r="Q150" s="145"/>
      <c r="R150" s="145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</row>
    <row r="151" s="14" customFormat="true" ht="16.5" hidden="false" customHeight="true" outlineLevel="0" collapsed="false">
      <c r="E151" s="21"/>
      <c r="H151" s="21"/>
      <c r="I151" s="21"/>
      <c r="J151" s="21"/>
      <c r="K151" s="21"/>
      <c r="L151" s="21"/>
      <c r="M151" s="21"/>
      <c r="N151" s="21"/>
      <c r="O151" s="21"/>
      <c r="P151" s="21"/>
      <c r="Q151" s="145"/>
      <c r="R151" s="145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</row>
    <row r="152" s="14" customFormat="true" ht="16.5" hidden="true" customHeight="true" outlineLevel="1" collapsed="false">
      <c r="C152" s="19" t="s">
        <v>165</v>
      </c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20"/>
      <c r="R152" s="20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C152" s="19" t="s">
        <v>127</v>
      </c>
      <c r="CD152" s="19"/>
      <c r="CE152" s="19"/>
      <c r="CF152" s="19"/>
      <c r="CG152" s="19"/>
      <c r="CI152" s="19" t="s">
        <v>128</v>
      </c>
      <c r="CJ152" s="19"/>
      <c r="CK152" s="19"/>
      <c r="CL152" s="19"/>
      <c r="CM152" s="19"/>
    </row>
    <row r="153" s="14" customFormat="true" ht="16.5" hidden="true" customHeight="true" outlineLevel="1" collapsed="false">
      <c r="E153" s="21"/>
      <c r="H153" s="21"/>
      <c r="I153" s="21"/>
      <c r="J153" s="21"/>
      <c r="K153" s="21"/>
      <c r="L153" s="21"/>
      <c r="M153" s="21"/>
      <c r="N153" s="21"/>
      <c r="O153" s="21"/>
      <c r="P153" s="21"/>
      <c r="Q153" s="145"/>
      <c r="R153" s="145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</row>
    <row r="154" s="14" customFormat="true" ht="16.5" hidden="true" customHeight="true" outlineLevel="1" collapsed="false">
      <c r="E154" s="21"/>
      <c r="H154" s="21"/>
      <c r="I154" s="21"/>
      <c r="J154" s="21"/>
      <c r="K154" s="21"/>
      <c r="Q154" s="145"/>
      <c r="R154" s="145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</row>
    <row r="155" s="14" customFormat="true" ht="16.5" hidden="true" customHeight="true" outlineLevel="1" collapsed="false">
      <c r="E155" s="30" t="s">
        <v>166</v>
      </c>
      <c r="F155" s="31"/>
      <c r="G155" s="31"/>
      <c r="H155" s="31"/>
      <c r="I155" s="31"/>
      <c r="J155" s="31"/>
      <c r="K155" s="31"/>
      <c r="L155" s="31" t="n">
        <v>2026</v>
      </c>
      <c r="M155" s="31" t="n">
        <f aca="false">L155+1</f>
        <v>2027</v>
      </c>
      <c r="N155" s="31" t="n">
        <f aca="false">M155+1</f>
        <v>2028</v>
      </c>
      <c r="O155" s="31" t="n">
        <f aca="false">N155+1</f>
        <v>2029</v>
      </c>
      <c r="P155" s="31" t="n">
        <f aca="false">O155+1</f>
        <v>2030</v>
      </c>
      <c r="Q155" s="31" t="s">
        <v>167</v>
      </c>
      <c r="R155" s="145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</row>
    <row r="156" s="14" customFormat="true" ht="16.5" hidden="true" customHeight="true" outlineLevel="1" collapsed="false">
      <c r="E156" s="14" t="s">
        <v>168</v>
      </c>
      <c r="H156" s="21"/>
      <c r="I156" s="21"/>
      <c r="J156" s="21"/>
      <c r="K156" s="21"/>
      <c r="L156" s="90" t="n">
        <f aca="false">L117</f>
        <v>0</v>
      </c>
      <c r="M156" s="90" t="n">
        <f aca="false">M117</f>
        <v>0.673257782167443</v>
      </c>
      <c r="N156" s="90" t="n">
        <f aca="false">N117</f>
        <v>3.87123224746279</v>
      </c>
      <c r="O156" s="90" t="n">
        <f aca="false">O117</f>
        <v>4.03954669300466</v>
      </c>
      <c r="P156" s="90" t="n">
        <f aca="false">P117</f>
        <v>4.03954669300466</v>
      </c>
      <c r="Q156" s="146" t="n">
        <f aca="false">SUM(L156:P156)</f>
        <v>12.6235834156395</v>
      </c>
      <c r="R156" s="145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</row>
    <row r="157" s="14" customFormat="true" ht="16.5" hidden="true" customHeight="true" outlineLevel="1" collapsed="false">
      <c r="E157" s="14" t="s">
        <v>169</v>
      </c>
      <c r="L157" s="90" t="n">
        <f aca="false">L130</f>
        <v>0</v>
      </c>
      <c r="M157" s="90" t="n">
        <f aca="false">M130</f>
        <v>0</v>
      </c>
      <c r="N157" s="90" t="n">
        <f aca="false">N130</f>
        <v>0</v>
      </c>
      <c r="O157" s="90" t="n">
        <f aca="false">O130</f>
        <v>0</v>
      </c>
      <c r="P157" s="90" t="n">
        <f aca="false">P130</f>
        <v>0</v>
      </c>
      <c r="Q157" s="146" t="n">
        <f aca="false">SUM(L157:P157)</f>
        <v>0</v>
      </c>
      <c r="R157" s="145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</row>
    <row r="158" s="14" customFormat="true" ht="16.5" hidden="true" customHeight="true" outlineLevel="1" collapsed="false">
      <c r="E158" s="14" t="s">
        <v>170</v>
      </c>
      <c r="L158" s="90" t="n">
        <f aca="false">-L147</f>
        <v>-0</v>
      </c>
      <c r="M158" s="90" t="n">
        <f aca="false">-M147</f>
        <v>-0</v>
      </c>
      <c r="N158" s="90" t="n">
        <f aca="false">-N147</f>
        <v>-0</v>
      </c>
      <c r="O158" s="90" t="n">
        <f aca="false">-O147</f>
        <v>-0</v>
      </c>
      <c r="P158" s="90" t="n">
        <f aca="false">-P147</f>
        <v>-0</v>
      </c>
      <c r="Q158" s="146" t="n">
        <f aca="false">SUM(L158:P158)</f>
        <v>0</v>
      </c>
      <c r="R158" s="145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</row>
    <row r="159" s="14" customFormat="true" ht="16.5" hidden="true" customHeight="true" outlineLevel="1" collapsed="false">
      <c r="E159" s="228" t="s">
        <v>166</v>
      </c>
      <c r="F159" s="228"/>
      <c r="G159" s="228"/>
      <c r="H159" s="228"/>
      <c r="I159" s="228"/>
      <c r="J159" s="228"/>
      <c r="K159" s="228"/>
      <c r="L159" s="229" t="n">
        <f aca="false">SUM(L156:L158)</f>
        <v>0</v>
      </c>
      <c r="M159" s="229" t="n">
        <f aca="false">SUM(M156:M158)</f>
        <v>0.673257782167443</v>
      </c>
      <c r="N159" s="229" t="n">
        <f aca="false">SUM(N156:N158)</f>
        <v>3.87123224746279</v>
      </c>
      <c r="O159" s="229" t="n">
        <f aca="false">SUM(O156:O158)</f>
        <v>4.03954669300466</v>
      </c>
      <c r="P159" s="229" t="n">
        <f aca="false">SUM(P156:P158)</f>
        <v>4.03954669300466</v>
      </c>
      <c r="Q159" s="230" t="n">
        <f aca="false">SUM(L159:P159)</f>
        <v>12.6235834156395</v>
      </c>
      <c r="R159" s="145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</row>
    <row r="160" s="14" customFormat="true" ht="16.5" hidden="true" customHeight="true" outlineLevel="1" collapsed="false">
      <c r="E160" s="14" t="s">
        <v>171</v>
      </c>
      <c r="H160" s="21"/>
      <c r="I160" s="21"/>
      <c r="J160" s="21"/>
      <c r="K160" s="21"/>
      <c r="L160" s="90" t="n">
        <f aca="false">L159</f>
        <v>0</v>
      </c>
      <c r="M160" s="90" t="n">
        <f aca="false">L160+M159</f>
        <v>0.673257782167443</v>
      </c>
      <c r="N160" s="90" t="n">
        <f aca="false">M160+N159</f>
        <v>4.54449002963024</v>
      </c>
      <c r="O160" s="90" t="n">
        <f aca="false">N160+O159</f>
        <v>8.58403672263489</v>
      </c>
      <c r="P160" s="90" t="n">
        <f aca="false">O160+P159</f>
        <v>12.6235834156395</v>
      </c>
      <c r="Q160" s="146" t="n">
        <f aca="false">P160</f>
        <v>12.6235834156395</v>
      </c>
      <c r="R160" s="145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</row>
    <row r="161" s="14" customFormat="true" ht="16.5" hidden="true" customHeight="true" outlineLevel="1" collapsed="false">
      <c r="E161" s="14" t="s">
        <v>172</v>
      </c>
      <c r="H161" s="21"/>
      <c r="I161" s="21"/>
      <c r="J161" s="21"/>
      <c r="K161" s="21"/>
      <c r="L161" s="148" t="n">
        <f aca="false">IF(L160&lt;0,1,0)</f>
        <v>0</v>
      </c>
      <c r="M161" s="148" t="n">
        <f aca="false">IF(M160&lt;0,1,IF(AND(L160&lt;0,M159&gt;0),-L160/M159,0))</f>
        <v>0</v>
      </c>
      <c r="N161" s="148" t="n">
        <f aca="false">IF(N160&lt;0,1,IF(AND(M160&lt;0,N159&gt;0),-M160/N159,0))</f>
        <v>0</v>
      </c>
      <c r="O161" s="148" t="n">
        <f aca="false">IF(O160&lt;0,1,IF(AND(N160&lt;0,O159&gt;0),-N160/O159,0))</f>
        <v>0</v>
      </c>
      <c r="P161" s="148" t="n">
        <f aca="false">IF(P160&lt;0,1,IF(AND(O160&lt;0,P159&gt;0),-O160/P159,0))</f>
        <v>0</v>
      </c>
      <c r="Q161" s="90"/>
      <c r="R161" s="145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</row>
    <row r="162" s="14" customFormat="true" ht="16.5" hidden="true" customHeight="true" outlineLevel="1" collapsed="false">
      <c r="H162" s="21"/>
      <c r="I162" s="21"/>
      <c r="J162" s="21"/>
      <c r="K162" s="21"/>
      <c r="R162" s="145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</row>
    <row r="163" s="14" customFormat="true" ht="16.5" hidden="true" customHeight="true" outlineLevel="1" collapsed="false">
      <c r="E163" s="21" t="s">
        <v>430</v>
      </c>
      <c r="F163" s="150" t="s">
        <v>431</v>
      </c>
      <c r="G163" s="148" t="str">
        <f aca="false">IFERROR(K117/-SUM(L149:P149),"n/a")</f>
        <v>n/a</v>
      </c>
      <c r="H163" s="21"/>
      <c r="I163" s="21"/>
      <c r="J163" s="21"/>
      <c r="K163" s="21"/>
      <c r="R163" s="145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</row>
    <row r="164" s="14" customFormat="true" ht="16.5" hidden="true" customHeight="true" outlineLevel="1" collapsed="false">
      <c r="E164" s="21" t="s">
        <v>432</v>
      </c>
      <c r="F164" s="150" t="s">
        <v>433</v>
      </c>
      <c r="G164" s="231" t="str">
        <f aca="false">IFERROR(IRR($L$159:$P$159, 0.2),"n/a")</f>
        <v>n/a</v>
      </c>
      <c r="H164" s="21"/>
      <c r="I164" s="21"/>
      <c r="J164" s="21"/>
      <c r="K164" s="21"/>
      <c r="R164" s="145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</row>
    <row r="165" s="14" customFormat="true" ht="16.5" hidden="true" customHeight="true" outlineLevel="1" collapsed="false">
      <c r="E165" s="21" t="s">
        <v>434</v>
      </c>
      <c r="F165" s="150" t="s">
        <v>176</v>
      </c>
      <c r="G165" s="148" t="n">
        <f aca="false">IF(SUM(L161:P161)=5,"&gt;5",SUM(L161:P161))</f>
        <v>0</v>
      </c>
      <c r="H165" s="21"/>
      <c r="I165" s="21"/>
      <c r="J165" s="21"/>
      <c r="K165" s="21"/>
      <c r="R165" s="145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</row>
    <row r="166" s="14" customFormat="true" ht="16.5" hidden="true" customHeight="true" outlineLevel="1" collapsed="false">
      <c r="E166" s="21"/>
      <c r="F166" s="150"/>
      <c r="G166" s="148"/>
      <c r="H166" s="21"/>
      <c r="I166" s="21"/>
      <c r="J166" s="21"/>
      <c r="K166" s="21"/>
      <c r="R166" s="145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</row>
    <row r="167" s="14" customFormat="true" ht="16.5" hidden="true" customHeight="true" outlineLevel="1" collapsed="false">
      <c r="E167" s="21" t="s">
        <v>173</v>
      </c>
      <c r="G167" s="149" t="n">
        <v>0.095</v>
      </c>
      <c r="H167" s="21"/>
      <c r="I167" s="21"/>
      <c r="J167" s="21"/>
      <c r="K167" s="21"/>
      <c r="R167" s="145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</row>
    <row r="168" s="14" customFormat="true" ht="16.5" hidden="true" customHeight="true" outlineLevel="1" collapsed="false">
      <c r="E168" s="21" t="s">
        <v>174</v>
      </c>
      <c r="F168" s="150" t="s">
        <v>175</v>
      </c>
      <c r="G168" s="90" t="n">
        <f aca="false">SUM(L168:P168)</f>
        <v>8.88587997649227</v>
      </c>
      <c r="H168" s="21"/>
      <c r="I168" s="21"/>
      <c r="J168" s="21"/>
      <c r="K168" s="21"/>
      <c r="L168" s="90" t="n">
        <f aca="false">L159/(1+$G$167)^L$1</f>
        <v>0</v>
      </c>
      <c r="M168" s="90" t="n">
        <f aca="false">M159/(1+$G$167)^M$1</f>
        <v>0.561504374110167</v>
      </c>
      <c r="N168" s="90" t="n">
        <f aca="false">N159/(1+$G$167)^N$1</f>
        <v>2.94853895080681</v>
      </c>
      <c r="O168" s="90" t="n">
        <f aca="false">O159/(1+$G$167)^O$1</f>
        <v>2.80980483698088</v>
      </c>
      <c r="P168" s="90" t="n">
        <f aca="false">P159/(1+$G$167)^P$1</f>
        <v>2.56603181459441</v>
      </c>
      <c r="Q168" s="90" t="n">
        <f aca="false">SUM(L168:P168)</f>
        <v>8.88587997649227</v>
      </c>
      <c r="R168" s="145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</row>
    <row r="169" s="14" customFormat="true" ht="16.5" hidden="true" customHeight="true" outlineLevel="1" collapsed="false">
      <c r="Q169" s="16"/>
      <c r="R169" s="16"/>
    </row>
    <row r="170" s="14" customFormat="true" ht="16.5" hidden="false" customHeight="true" outlineLevel="0" collapsed="false">
      <c r="Q170" s="16"/>
      <c r="R170" s="16"/>
    </row>
    <row r="171" s="14" customFormat="true" ht="16.5" hidden="false" customHeight="true" outlineLevel="0" collapsed="false">
      <c r="C171" s="19" t="s">
        <v>178</v>
      </c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20"/>
      <c r="R171" s="20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</row>
  </sheetData>
  <mergeCells count="3">
    <mergeCell ref="F8:J10"/>
    <mergeCell ref="CI62:CM62"/>
    <mergeCell ref="CI90:CM90"/>
  </mergeCells>
  <conditionalFormatting sqref="J26">
    <cfRule type="expression" priority="2" aboveAverage="0" equalAverage="0" bottom="0" percent="0" rank="0" text="" dxfId="0">
      <formula>AND($F26="Yes")</formula>
    </cfRule>
    <cfRule type="expression" priority="3" aboveAverage="0" equalAverage="0" bottom="0" percent="0" rank="0" text="" dxfId="1">
      <formula>AND($F26="No")</formula>
    </cfRule>
  </conditionalFormatting>
  <conditionalFormatting sqref="T79:CA86">
    <cfRule type="expression" priority="4" aboveAverage="0" equalAverage="0" bottom="0" percent="0" rank="0" text="" dxfId="0">
      <formula>AND($F79="Yes")</formula>
    </cfRule>
    <cfRule type="expression" priority="5" aboveAverage="0" equalAverage="0" bottom="0" percent="0" rank="0" text="" dxfId="1">
      <formula>AND($F79="No")</formula>
    </cfRule>
  </conditionalFormatting>
  <conditionalFormatting sqref="I84:P86">
    <cfRule type="expression" priority="6" aboveAverage="0" equalAverage="0" bottom="0" percent="0" rank="0" text="" dxfId="0">
      <formula>AND($F84="Yes")</formula>
    </cfRule>
    <cfRule type="expression" priority="7" aboveAverage="0" equalAverage="0" bottom="0" percent="0" rank="0" text="" dxfId="1">
      <formula>AND($F84="No")</formula>
    </cfRule>
  </conditionalFormatting>
  <conditionalFormatting sqref="I112:K113">
    <cfRule type="expression" priority="8" aboveAverage="0" equalAverage="0" bottom="0" percent="0" rank="0" text="" dxfId="0">
      <formula>AND($F112="Yes")</formula>
    </cfRule>
    <cfRule type="expression" priority="9" aboveAverage="0" equalAverage="0" bottom="0" percent="0" rank="0" text="" dxfId="1">
      <formula>AND($F112="No")</formula>
    </cfRule>
  </conditionalFormatting>
  <conditionalFormatting sqref="E94:E95">
    <cfRule type="expression" priority="10" aboveAverage="0" equalAverage="0" bottom="0" percent="0" rank="0" text="" dxfId="0">
      <formula>AND($F94="Yes")</formula>
    </cfRule>
    <cfRule type="expression" priority="11" aboveAverage="0" equalAverage="0" bottom="0" percent="0" rank="0" text="" dxfId="1">
      <formula>AND($F94="No")</formula>
    </cfRule>
  </conditionalFormatting>
  <conditionalFormatting sqref="E107:E111">
    <cfRule type="expression" priority="12" aboveAverage="0" equalAverage="0" bottom="0" percent="0" rank="0" text="" dxfId="0">
      <formula>AND($F107="Yes")</formula>
    </cfRule>
    <cfRule type="expression" priority="13" aboveAverage="0" equalAverage="0" bottom="0" percent="0" rank="0" text="" dxfId="1">
      <formula>AND($F107="No")</formula>
    </cfRule>
  </conditionalFormatting>
  <conditionalFormatting sqref="E141:E143">
    <cfRule type="expression" priority="14" aboveAverage="0" equalAverage="0" bottom="0" percent="0" rank="0" text="" dxfId="0">
      <formula>AND($F141="Yes")</formula>
    </cfRule>
    <cfRule type="expression" priority="15" aboveAverage="0" equalAverage="0" bottom="0" percent="0" rank="0" text="" dxfId="1">
      <formula>AND($F141="No")</formula>
    </cfRule>
  </conditionalFormatting>
  <conditionalFormatting sqref="E136:E137">
    <cfRule type="expression" priority="16" aboveAverage="0" equalAverage="0" bottom="0" percent="0" rank="0" text="" dxfId="0">
      <formula>AND($F136="Yes")</formula>
    </cfRule>
    <cfRule type="expression" priority="17" aboveAverage="0" equalAverage="0" bottom="0" percent="0" rank="0" text="" dxfId="1">
      <formula>AND($F136="No")</formula>
    </cfRule>
  </conditionalFormatting>
  <conditionalFormatting sqref="E126:E127">
    <cfRule type="expression" priority="18" aboveAverage="0" equalAverage="0" bottom="0" percent="0" rank="0" text="" dxfId="0">
      <formula>AND($F126="Yes")</formula>
    </cfRule>
    <cfRule type="expression" priority="19" aboveAverage="0" equalAverage="0" bottom="0" percent="0" rank="0" text="" dxfId="1">
      <formula>AND($F126="No")</formula>
    </cfRule>
  </conditionalFormatting>
  <conditionalFormatting sqref="E66:E67">
    <cfRule type="expression" priority="20" aboveAverage="0" equalAverage="0" bottom="0" percent="0" rank="0" text="" dxfId="0">
      <formula>AND($F66="Yes")</formula>
    </cfRule>
    <cfRule type="expression" priority="21" aboveAverage="0" equalAverage="0" bottom="0" percent="0" rank="0" text="" dxfId="1">
      <formula>AND($F66="No")</formula>
    </cfRule>
  </conditionalFormatting>
  <conditionalFormatting sqref="CJ152:CM152">
    <cfRule type="containsText" priority="22" operator="containsText" aboveAverage="0" equalAverage="0" bottom="0" percent="0" rank="0" text="FALSE" dxfId="2">
      <formula>NOT(ISERROR(SEARCH("FALSE",CJ152)))</formula>
    </cfRule>
  </conditionalFormatting>
  <conditionalFormatting sqref="Q141:Q143">
    <cfRule type="containsText" priority="23" operator="containsText" aboveAverage="0" equalAverage="0" bottom="0" percent="0" rank="0" text="Error" dxfId="2">
      <formula>NOT(ISERROR(SEARCH("Error",Q141)))</formula>
    </cfRule>
    <cfRule type="containsText" priority="24" operator="containsText" aboveAverage="0" equalAverage="0" bottom="0" percent="0" rank="0" text="FALSE" dxfId="2">
      <formula>NOT(ISERROR(SEARCH("FALSE",Q141)))</formula>
    </cfRule>
  </conditionalFormatting>
  <conditionalFormatting sqref="Q136:Q137">
    <cfRule type="containsText" priority="25" operator="containsText" aboveAverage="0" equalAverage="0" bottom="0" percent="0" rank="0" text="Error" dxfId="2">
      <formula>NOT(ISERROR(SEARCH("Error",Q136)))</formula>
    </cfRule>
    <cfRule type="containsText" priority="26" operator="containsText" aboveAverage="0" equalAverage="0" bottom="0" percent="0" rank="0" text="FALSE" dxfId="2">
      <formula>NOT(ISERROR(SEARCH("FALSE",Q136)))</formula>
    </cfRule>
  </conditionalFormatting>
  <conditionalFormatting sqref="Q126:Q127">
    <cfRule type="containsText" priority="27" operator="containsText" aboveAverage="0" equalAverage="0" bottom="0" percent="0" rank="0" text="Error" dxfId="2">
      <formula>NOT(ISERROR(SEARCH("Error",Q126)))</formula>
    </cfRule>
    <cfRule type="containsText" priority="28" operator="containsText" aboveAverage="0" equalAverage="0" bottom="0" percent="0" rank="0" text="FALSE" dxfId="2">
      <formula>NOT(ISERROR(SEARCH("FALSE",Q126)))</formula>
    </cfRule>
  </conditionalFormatting>
  <conditionalFormatting sqref="J56:J57">
    <cfRule type="expression" priority="29" aboveAverage="0" equalAverage="0" bottom="0" percent="0" rank="0" text="" dxfId="0">
      <formula>AND($F56="Yes")</formula>
    </cfRule>
    <cfRule type="expression" priority="30" aboveAverage="0" equalAverage="0" bottom="0" percent="0" rank="0" text="" dxfId="1">
      <formula>AND($F56="No")</formula>
    </cfRule>
  </conditionalFormatting>
  <conditionalFormatting sqref="J46:J47 J51">
    <cfRule type="expression" priority="31" aboveAverage="0" equalAverage="0" bottom="0" percent="0" rank="0" text="" dxfId="0">
      <formula>AND($F46="Yes")</formula>
    </cfRule>
    <cfRule type="expression" priority="32" aboveAverage="0" equalAverage="0" bottom="0" percent="0" rank="0" text="" dxfId="1">
      <formula>AND($F46="No")</formula>
    </cfRule>
  </conditionalFormatting>
  <conditionalFormatting sqref="J52">
    <cfRule type="expression" priority="33" aboveAverage="0" equalAverage="0" bottom="0" percent="0" rank="0" text="" dxfId="0">
      <formula>AND(#ref!="Yes")</formula>
    </cfRule>
    <cfRule type="expression" priority="34" aboveAverage="0" equalAverage="0" bottom="0" percent="0" rank="0" text="" dxfId="1">
      <formula>AND(#ref!="No")</formula>
    </cfRule>
  </conditionalFormatting>
  <conditionalFormatting sqref="J42:J43">
    <cfRule type="expression" priority="35" aboveAverage="0" equalAverage="0" bottom="0" percent="0" rank="0" text="" dxfId="0">
      <formula>AND($F42="Yes")</formula>
    </cfRule>
    <cfRule type="expression" priority="36" aboveAverage="0" equalAverage="0" bottom="0" percent="0" rank="0" text="" dxfId="1">
      <formula>AND($F42="No")</formula>
    </cfRule>
  </conditionalFormatting>
  <conditionalFormatting sqref="J32:J33 J37">
    <cfRule type="expression" priority="37" aboveAverage="0" equalAverage="0" bottom="0" percent="0" rank="0" text="" dxfId="0">
      <formula>AND($F32="Yes")</formula>
    </cfRule>
    <cfRule type="expression" priority="38" aboveAverage="0" equalAverage="0" bottom="0" percent="0" rank="0" text="" dxfId="1">
      <formula>AND($F32="No")</formula>
    </cfRule>
  </conditionalFormatting>
  <conditionalFormatting sqref="J38">
    <cfRule type="expression" priority="39" aboveAverage="0" equalAverage="0" bottom="0" percent="0" rank="0" text="" dxfId="0">
      <formula>AND(#ref!="Yes")</formula>
    </cfRule>
    <cfRule type="expression" priority="40" aboveAverage="0" equalAverage="0" bottom="0" percent="0" rank="0" text="" dxfId="1">
      <formula>AND(#ref!="No")</formula>
    </cfRule>
  </conditionalFormatting>
  <conditionalFormatting sqref="CJ171:CM171">
    <cfRule type="containsText" priority="41" operator="containsText" aboveAverage="0" equalAverage="0" bottom="0" percent="0" rank="0" text="FALSE" dxfId="2">
      <formula>NOT(ISERROR(SEARCH("FALSE",CJ171)))</formula>
    </cfRule>
  </conditionalFormatting>
  <conditionalFormatting sqref="CJ120:CM120">
    <cfRule type="containsText" priority="42" operator="containsText" aboveAverage="0" equalAverage="0" bottom="0" percent="0" rank="0" text="FALSE" dxfId="2">
      <formula>NOT(ISERROR(SEARCH("FALSE",CJ120)))</formula>
    </cfRule>
  </conditionalFormatting>
  <conditionalFormatting sqref="P18:P21">
    <cfRule type="containsText" priority="43" operator="containsText" aboveAverage="0" equalAverage="0" bottom="0" percent="0" rank="0" text="PASS" dxfId="3">
      <formula>NOT(ISERROR(SEARCH("PASS",P18)))</formula>
    </cfRule>
  </conditionalFormatting>
  <conditionalFormatting sqref="CI141:CM144">
    <cfRule type="expression" priority="44" aboveAverage="0" equalAverage="0" bottom="0" percent="0" rank="0" text="" dxfId="0">
      <formula>AND($F141="Yes")</formula>
    </cfRule>
    <cfRule type="expression" priority="45" aboveAverage="0" equalAverage="0" bottom="0" percent="0" rank="0" text="" dxfId="1">
      <formula>AND($F141="No")</formula>
    </cfRule>
  </conditionalFormatting>
  <conditionalFormatting sqref="CI136:CM138">
    <cfRule type="expression" priority="46" aboveAverage="0" equalAverage="0" bottom="0" percent="0" rank="0" text="" dxfId="0">
      <formula>AND($F136="Yes")</formula>
    </cfRule>
    <cfRule type="expression" priority="47" aboveAverage="0" equalAverage="0" bottom="0" percent="0" rank="0" text="" dxfId="1">
      <formula>AND($F136="No")</formula>
    </cfRule>
  </conditionalFormatting>
  <conditionalFormatting sqref="CC141:CG144">
    <cfRule type="expression" priority="48" aboveAverage="0" equalAverage="0" bottom="0" percent="0" rank="0" text="" dxfId="0">
      <formula>AND($F141="Yes")</formula>
    </cfRule>
    <cfRule type="expression" priority="49" aboveAverage="0" equalAverage="0" bottom="0" percent="0" rank="0" text="" dxfId="1">
      <formula>AND($F141="No")</formula>
    </cfRule>
  </conditionalFormatting>
  <conditionalFormatting sqref="CC136:CG138">
    <cfRule type="expression" priority="50" aboveAverage="0" equalAverage="0" bottom="0" percent="0" rank="0" text="" dxfId="0">
      <formula>AND($F136="Yes")</formula>
    </cfRule>
    <cfRule type="expression" priority="51" aboveAverage="0" equalAverage="0" bottom="0" percent="0" rank="0" text="" dxfId="1">
      <formula>AND($F136="No")</formula>
    </cfRule>
  </conditionalFormatting>
  <conditionalFormatting sqref="V112:CA113">
    <cfRule type="expression" priority="52" aboveAverage="0" equalAverage="0" bottom="0" percent="0" rank="0" text="" dxfId="0">
      <formula>AND($F112="Yes")</formula>
    </cfRule>
    <cfRule type="expression" priority="53" aboveAverage="0" equalAverage="0" bottom="0" percent="0" rank="0" text="" dxfId="1">
      <formula>AND($F112="No")</formula>
    </cfRule>
  </conditionalFormatting>
  <conditionalFormatting sqref="T136:CA138">
    <cfRule type="expression" priority="54" aboveAverage="0" equalAverage="0" bottom="0" percent="0" rank="0" text="" dxfId="0">
      <formula>AND($F136="Yes")</formula>
    </cfRule>
    <cfRule type="expression" priority="55" aboveAverage="0" equalAverage="0" bottom="0" percent="0" rank="0" text="" dxfId="1">
      <formula>AND($F136="No")</formula>
    </cfRule>
  </conditionalFormatting>
  <conditionalFormatting sqref="V85:CA85">
    <cfRule type="expression" priority="56" aboveAverage="0" equalAverage="0" bottom="0" percent="0" rank="0" text="" dxfId="0">
      <formula>AND($F85="Yes")</formula>
    </cfRule>
    <cfRule type="expression" priority="57" aboveAverage="0" equalAverage="0" bottom="0" percent="0" rank="0" text="" dxfId="1">
      <formula>AND($F85="No")</formula>
    </cfRule>
  </conditionalFormatting>
  <conditionalFormatting sqref="T141:CA146">
    <cfRule type="expression" priority="58" aboveAverage="0" equalAverage="0" bottom="0" percent="0" rank="0" text="" dxfId="0">
      <formula>AND($F141="Yes")</formula>
    </cfRule>
    <cfRule type="expression" priority="59" aboveAverage="0" equalAverage="0" bottom="0" percent="0" rank="0" text="" dxfId="1">
      <formula>AND($F141="No")</formula>
    </cfRule>
  </conditionalFormatting>
  <conditionalFormatting sqref="Q63:R113 Q123">
    <cfRule type="containsText" priority="60" operator="containsText" aboveAverage="0" equalAverage="0" bottom="0" percent="0" rank="0" text="Error" dxfId="2">
      <formula>NOT(ISERROR(SEARCH("Error",Q63)))</formula>
    </cfRule>
  </conditionalFormatting>
  <conditionalFormatting sqref="Q66:R90 Q92:R113 CI66:CM119 CI121:CM149">
    <cfRule type="containsText" priority="61" operator="containsText" aboveAverage="0" equalAverage="0" bottom="0" percent="0" rank="0" text="FALSE" dxfId="2">
      <formula>NOT(ISERROR(SEARCH("FALSE",Q66)))</formula>
    </cfRule>
  </conditionalFormatting>
  <conditionalFormatting sqref="L136:P138">
    <cfRule type="expression" priority="62" aboveAverage="0" equalAverage="0" bottom="0" percent="0" rank="0" text="" dxfId="0">
      <formula>AND($F136="Yes")</formula>
    </cfRule>
    <cfRule type="expression" priority="63" aboveAverage="0" equalAverage="0" bottom="0" percent="0" rank="0" text="" dxfId="1">
      <formula>AND($F136="No")</formula>
    </cfRule>
  </conditionalFormatting>
  <conditionalFormatting sqref="Q117:R117">
    <cfRule type="containsText" priority="64" operator="containsText" aboveAverage="0" equalAverage="0" bottom="0" percent="0" rank="0" text="Error" dxfId="2">
      <formula>NOT(ISERROR(SEARCH("Error",Q117)))</formula>
    </cfRule>
    <cfRule type="containsText" priority="65" operator="containsText" aboveAverage="0" equalAverage="0" bottom="0" percent="0" rank="0" text="FALSE" dxfId="2">
      <formula>NOT(ISERROR(SEARCH("FALSE",Q117)))</formula>
    </cfRule>
  </conditionalFormatting>
  <conditionalFormatting sqref="I96:K96">
    <cfRule type="expression" priority="66" aboveAverage="0" equalAverage="0" bottom="0" percent="0" rank="0" text="" dxfId="0">
      <formula>AND($F96="Yes")</formula>
    </cfRule>
    <cfRule type="expression" priority="67" aboveAverage="0" equalAverage="0" bottom="0" percent="0" rank="0" text="" dxfId="1">
      <formula>AND($F96="No")</formula>
    </cfRule>
  </conditionalFormatting>
  <conditionalFormatting sqref="I104:K104">
    <cfRule type="expression" priority="68" aboveAverage="0" equalAverage="0" bottom="0" percent="0" rank="0" text="" dxfId="0">
      <formula>AND($F104="Yes")</formula>
    </cfRule>
    <cfRule type="expression" priority="69" aboveAverage="0" equalAverage="0" bottom="0" percent="0" rank="0" text="" dxfId="1">
      <formula>AND($F104="No")</formula>
    </cfRule>
  </conditionalFormatting>
  <conditionalFormatting sqref="E71:E75 E79:E83 E99:E103 F6:G6 I66:J67 I71:J75 I79:J83 I94:J95 I99:J103 I107:J111 J18:J21 J29 L66:P67 L71:P75 L79:P83 L94:P96 L99:P104 L107:P113 L126:P129 L141:P146 T66:CA68 T71:CA76 T94:CA96 T99:CA104 T107:CA113 T126:CA129 CC66:CG68 CC71:CG76 CC79:CG86 CC94:CG96 CC99:CG104 CC107:CG113 CC126:CG128 CI66:CM68 CI71:CM76 CI79:CM86 CI94:CM96 CI99:CM104 CI107:CM113 CI126:CM128">
    <cfRule type="expression" priority="70" aboveAverage="0" equalAverage="0" bottom="0" percent="0" rank="0" text="" dxfId="0">
      <formula>AND($F6="Yes")</formula>
    </cfRule>
    <cfRule type="expression" priority="71" aboveAverage="0" equalAverage="0" bottom="0" percent="0" rank="0" text="" dxfId="1">
      <formula>AND($F6="No")</formula>
    </cfRule>
  </conditionalFormatting>
  <conditionalFormatting sqref="E97">
    <cfRule type="expression" priority="72" aboveAverage="0" equalAverage="0" bottom="0" percent="0" rank="0" text="" dxfId="4">
      <formula>AND($F97="Yes")</formula>
    </cfRule>
    <cfRule type="expression" priority="73" aboveAverage="0" equalAverage="0" bottom="0" percent="0" rank="0" text="" dxfId="5">
      <formula>AND($F97="No")</formula>
    </cfRule>
  </conditionalFormatting>
  <conditionalFormatting sqref="E114">
    <cfRule type="expression" priority="74" aboveAverage="0" equalAverage="0" bottom="0" percent="0" rank="0" text="" dxfId="4">
      <formula>AND($F114="Yes")</formula>
    </cfRule>
    <cfRule type="expression" priority="75" aboveAverage="0" equalAverage="0" bottom="0" percent="0" rank="0" text="" dxfId="5">
      <formula>AND($F114="No")</formula>
    </cfRule>
  </conditionalFormatting>
  <conditionalFormatting sqref="I68:P68">
    <cfRule type="expression" priority="76" aboveAverage="0" equalAverage="0" bottom="0" percent="0" rank="0" text="" dxfId="0">
      <formula>AND($F68="Yes")</formula>
    </cfRule>
    <cfRule type="expression" priority="77" aboveAverage="0" equalAverage="0" bottom="0" percent="0" rank="0" text="" dxfId="1">
      <formula>AND($F68="No")</formula>
    </cfRule>
  </conditionalFormatting>
  <conditionalFormatting sqref="D136:D137 E69 E132">
    <cfRule type="expression" priority="78" aboveAverage="0" equalAverage="0" bottom="0" percent="0" rank="0" text="" dxfId="4">
      <formula>AND($F69="Yes")</formula>
    </cfRule>
    <cfRule type="expression" priority="79" aboveAverage="0" equalAverage="0" bottom="0" percent="0" rank="0" text="" dxfId="5">
      <formula>AND($F69="No")</formula>
    </cfRule>
  </conditionalFormatting>
  <conditionalFormatting sqref="I76:P76">
    <cfRule type="expression" priority="80" aboveAverage="0" equalAverage="0" bottom="0" percent="0" rank="0" text="" dxfId="0">
      <formula>AND($F76="Yes")</formula>
    </cfRule>
    <cfRule type="expression" priority="81" aboveAverage="0" equalAverage="0" bottom="0" percent="0" rank="0" text="" dxfId="1">
      <formula>AND($F76="No")</formula>
    </cfRule>
  </conditionalFormatting>
  <conditionalFormatting sqref="E87">
    <cfRule type="expression" priority="82" aboveAverage="0" equalAverage="0" bottom="0" percent="0" rank="0" text="" dxfId="4">
      <formula>AND($F87="Yes")</formula>
    </cfRule>
    <cfRule type="expression" priority="83" aboveAverage="0" equalAverage="0" bottom="0" percent="0" rank="0" text="" dxfId="5">
      <formula>AND($F87="No")</formula>
    </cfRule>
  </conditionalFormatting>
  <conditionalFormatting sqref="G167 J24:J25">
    <cfRule type="expression" priority="84" aboveAverage="0" equalAverage="0" bottom="0" percent="0" rank="0" text="" dxfId="0">
      <formula>AND(#ref!="Yes")</formula>
    </cfRule>
    <cfRule type="expression" priority="85" aboveAverage="0" equalAverage="0" bottom="0" percent="0" rank="0" text="" dxfId="1">
      <formula>AND(#ref!="No")</formula>
    </cfRule>
  </conditionalFormatting>
  <printOptions headings="false" gridLines="false" gridLinesSet="true" horizontalCentered="true" verticalCentered="false"/>
  <pageMargins left="0.25" right="0.25" top="0.75" bottom="0.75" header="0.511811023622047" footer="0.511811023622047"/>
  <pageSetup paperSize="1" scale="2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C1:CM171"/>
  <sheetViews>
    <sheetView showFormulas="false" showGridLines="false" showRowColHeaders="true" showZeros="true" rightToLeft="false" tabSelected="false" showOutlineSymbols="true" defaultGridColor="true" view="normal" topLeftCell="A1" colorId="64" zoomScale="50" zoomScaleNormal="5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H18" activeCellId="0" sqref="H18"/>
    </sheetView>
  </sheetViews>
  <sheetFormatPr defaultColWidth="8.5390625" defaultRowHeight="14.25" zeroHeight="false" outlineLevelRow="1" outlineLevelCol="1"/>
  <cols>
    <col collapsed="false" customWidth="true" hidden="false" outlineLevel="0" max="4" min="1" style="0" width="2.81"/>
    <col collapsed="false" customWidth="true" hidden="false" outlineLevel="0" max="5" min="5" style="0" width="65.81"/>
    <col collapsed="false" customWidth="true" hidden="false" outlineLevel="0" max="6" min="6" style="0" width="16.54"/>
    <col collapsed="false" customWidth="true" hidden="false" outlineLevel="0" max="7" min="7" style="0" width="16.18"/>
    <col collapsed="false" customWidth="true" hidden="false" outlineLevel="0" max="8" min="8" style="0" width="22.45"/>
    <col collapsed="false" customWidth="true" hidden="false" outlineLevel="0" max="16" min="9" style="0" width="13.54"/>
    <col collapsed="false" customWidth="true" hidden="false" outlineLevel="0" max="17" min="17" style="13" width="13.54"/>
    <col collapsed="false" customWidth="true" hidden="false" outlineLevel="0" max="18" min="18" style="13" width="16.45"/>
    <col collapsed="false" customWidth="true" hidden="false" outlineLevel="0" max="19" min="19" style="0" width="2.81"/>
    <col collapsed="false" customWidth="true" hidden="false" outlineLevel="0" max="67" min="20" style="0" width="16.54"/>
    <col collapsed="false" customWidth="true" hidden="true" outlineLevel="1" max="79" min="68" style="0" width="16.54"/>
    <col collapsed="false" customWidth="true" hidden="false" outlineLevel="0" max="80" min="80" style="0" width="2.81"/>
    <col collapsed="false" customWidth="true" hidden="false" outlineLevel="0" max="85" min="81" style="0" width="16.54"/>
    <col collapsed="false" customWidth="true" hidden="false" outlineLevel="0" max="86" min="86" style="0" width="2.81"/>
    <col collapsed="false" customWidth="true" hidden="false" outlineLevel="0" max="91" min="87" style="0" width="16.54"/>
  </cols>
  <sheetData>
    <row r="1" s="14" customFormat="true" ht="16.5" hidden="true" customHeight="true" outlineLevel="1" collapsed="false">
      <c r="L1" s="15" t="n">
        <v>1</v>
      </c>
      <c r="M1" s="15" t="n">
        <v>2</v>
      </c>
      <c r="N1" s="15" t="n">
        <v>3</v>
      </c>
      <c r="O1" s="15" t="n">
        <v>4</v>
      </c>
      <c r="P1" s="15" t="n">
        <v>5</v>
      </c>
      <c r="Q1" s="16"/>
      <c r="R1" s="17" t="n">
        <f aca="false">COUNTIFS($R$66:$R$117, "Error")</f>
        <v>0</v>
      </c>
      <c r="T1" s="17" t="n">
        <v>2026</v>
      </c>
      <c r="U1" s="17" t="n">
        <v>2026</v>
      </c>
      <c r="V1" s="17" t="n">
        <v>2026</v>
      </c>
      <c r="W1" s="17" t="n">
        <v>2026</v>
      </c>
      <c r="X1" s="17" t="n">
        <v>2026</v>
      </c>
      <c r="Y1" s="17" t="n">
        <v>2026</v>
      </c>
      <c r="Z1" s="17" t="n">
        <v>2026</v>
      </c>
      <c r="AA1" s="17" t="n">
        <v>2026</v>
      </c>
      <c r="AB1" s="17" t="n">
        <v>2026</v>
      </c>
      <c r="AC1" s="17" t="n">
        <v>2026</v>
      </c>
      <c r="AD1" s="17" t="n">
        <v>2026</v>
      </c>
      <c r="AE1" s="17" t="n">
        <v>2026</v>
      </c>
      <c r="AF1" s="17" t="n">
        <v>2027</v>
      </c>
      <c r="AG1" s="17" t="n">
        <v>2027</v>
      </c>
      <c r="AH1" s="17" t="n">
        <v>2027</v>
      </c>
      <c r="AI1" s="17" t="n">
        <v>2027</v>
      </c>
      <c r="AJ1" s="17" t="n">
        <v>2027</v>
      </c>
      <c r="AK1" s="17" t="n">
        <v>2027</v>
      </c>
      <c r="AL1" s="17" t="n">
        <v>2027</v>
      </c>
      <c r="AM1" s="17" t="n">
        <v>2027</v>
      </c>
      <c r="AN1" s="17" t="n">
        <v>2027</v>
      </c>
      <c r="AO1" s="17" t="n">
        <v>2027</v>
      </c>
      <c r="AP1" s="17" t="n">
        <v>2027</v>
      </c>
      <c r="AQ1" s="17" t="n">
        <v>2027</v>
      </c>
      <c r="AR1" s="17" t="n">
        <v>2028</v>
      </c>
      <c r="AS1" s="17" t="n">
        <v>2028</v>
      </c>
      <c r="AT1" s="17" t="n">
        <v>2028</v>
      </c>
      <c r="AU1" s="17" t="n">
        <v>2028</v>
      </c>
      <c r="AV1" s="17" t="n">
        <v>2028</v>
      </c>
      <c r="AW1" s="17" t="n">
        <v>2028</v>
      </c>
      <c r="AX1" s="17" t="n">
        <v>2028</v>
      </c>
      <c r="AY1" s="17" t="n">
        <v>2028</v>
      </c>
      <c r="AZ1" s="17" t="n">
        <v>2028</v>
      </c>
      <c r="BA1" s="17" t="n">
        <v>2028</v>
      </c>
      <c r="BB1" s="17" t="n">
        <v>2028</v>
      </c>
      <c r="BC1" s="17" t="n">
        <v>2028</v>
      </c>
      <c r="BD1" s="17" t="n">
        <v>2029</v>
      </c>
      <c r="BE1" s="17" t="n">
        <v>2029</v>
      </c>
      <c r="BF1" s="17" t="n">
        <v>2029</v>
      </c>
      <c r="BG1" s="17" t="n">
        <v>2029</v>
      </c>
      <c r="BH1" s="17" t="n">
        <v>2029</v>
      </c>
      <c r="BI1" s="17" t="n">
        <v>2029</v>
      </c>
      <c r="BJ1" s="17" t="n">
        <v>2029</v>
      </c>
      <c r="BK1" s="17" t="n">
        <v>2029</v>
      </c>
      <c r="BL1" s="17" t="n">
        <v>2029</v>
      </c>
      <c r="BM1" s="17" t="n">
        <v>2029</v>
      </c>
      <c r="BN1" s="17" t="n">
        <v>2029</v>
      </c>
      <c r="BO1" s="17" t="n">
        <v>2029</v>
      </c>
      <c r="BP1" s="17" t="n">
        <v>2030</v>
      </c>
      <c r="BQ1" s="17" t="n">
        <v>2030</v>
      </c>
      <c r="BR1" s="17" t="n">
        <v>2030</v>
      </c>
      <c r="BS1" s="17" t="n">
        <v>2030</v>
      </c>
      <c r="BT1" s="17" t="n">
        <v>2030</v>
      </c>
      <c r="BU1" s="17" t="n">
        <v>2030</v>
      </c>
      <c r="BV1" s="17" t="n">
        <v>2030</v>
      </c>
      <c r="BW1" s="17" t="n">
        <v>2030</v>
      </c>
      <c r="BX1" s="17" t="n">
        <v>2030</v>
      </c>
      <c r="BY1" s="17" t="n">
        <v>2030</v>
      </c>
      <c r="BZ1" s="17" t="n">
        <v>2030</v>
      </c>
      <c r="CA1" s="17" t="n">
        <v>2030</v>
      </c>
      <c r="CI1" s="17" t="n">
        <f aca="false">COUNTIFS(CI$66:CI$149, "FALSE")</f>
        <v>0</v>
      </c>
      <c r="CJ1" s="17" t="n">
        <f aca="false">COUNTIFS(CJ$66:CJ$149, "FALSE")</f>
        <v>0</v>
      </c>
      <c r="CK1" s="17" t="n">
        <f aca="false">COUNTIFS(CK$66:CK$149, "FALSE")</f>
        <v>0</v>
      </c>
      <c r="CL1" s="17" t="n">
        <f aca="false">COUNTIFS(CL$66:CL$149, "FALSE")</f>
        <v>0</v>
      </c>
      <c r="CM1" s="17" t="n">
        <f aca="false">COUNTIFS(CM$66:CM$149, "FALSE")</f>
        <v>0</v>
      </c>
    </row>
    <row r="2" s="14" customFormat="true" ht="30.75" hidden="false" customHeight="true" outlineLevel="0" collapsed="false">
      <c r="C2" s="18" t="str">
        <f aca="false">"#"&amp;$F$6&amp;" Initiative Business Case"</f>
        <v># Initiative Business Case</v>
      </c>
      <c r="Q2" s="16"/>
      <c r="R2" s="16"/>
    </row>
    <row r="3" s="14" customFormat="true" ht="16.5" hidden="false" customHeight="true" outlineLevel="0" collapsed="false">
      <c r="Q3" s="16"/>
      <c r="R3" s="16"/>
    </row>
    <row r="4" s="14" customFormat="true" ht="16.5" hidden="false" customHeight="true" outlineLevel="0" collapsed="false">
      <c r="C4" s="19" t="s">
        <v>61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</row>
    <row r="5" s="14" customFormat="true" ht="16.5" hidden="false" customHeight="true" outlineLevel="0" collapsed="false">
      <c r="Q5" s="16"/>
      <c r="R5" s="16"/>
    </row>
    <row r="6" s="14" customFormat="true" ht="16.5" hidden="false" customHeight="true" outlineLevel="0" collapsed="false">
      <c r="D6" s="21" t="s">
        <v>62</v>
      </c>
      <c r="F6" s="22"/>
      <c r="G6" s="23"/>
      <c r="Q6" s="16"/>
      <c r="R6" s="16"/>
    </row>
    <row r="7" customFormat="false" ht="16.5" hidden="false" customHeight="true" outlineLevel="0" collapsed="false">
      <c r="D7" s="21" t="s">
        <v>63</v>
      </c>
      <c r="F7" s="199"/>
      <c r="G7" s="200"/>
      <c r="I7" s="14"/>
      <c r="J7" s="14"/>
      <c r="K7" s="14"/>
    </row>
    <row r="8" s="14" customFormat="true" ht="16.5" hidden="false" customHeight="true" outlineLevel="0" collapsed="false">
      <c r="D8" s="21" t="s">
        <v>65</v>
      </c>
      <c r="F8" s="26"/>
      <c r="G8" s="26"/>
      <c r="H8" s="26"/>
      <c r="I8" s="26"/>
      <c r="J8" s="26"/>
      <c r="Q8" s="16"/>
      <c r="R8" s="16"/>
    </row>
    <row r="9" s="14" customFormat="true" ht="16.5" hidden="false" customHeight="true" outlineLevel="0" collapsed="false">
      <c r="D9" s="21"/>
      <c r="F9" s="26"/>
      <c r="G9" s="26"/>
      <c r="H9" s="26"/>
      <c r="I9" s="26"/>
      <c r="J9" s="26"/>
      <c r="N9" s="21"/>
      <c r="Q9" s="16"/>
      <c r="R9" s="16"/>
    </row>
    <row r="10" s="14" customFormat="true" ht="16.5" hidden="false" customHeight="true" outlineLevel="0" collapsed="false">
      <c r="F10" s="26"/>
      <c r="G10" s="26"/>
      <c r="H10" s="26"/>
      <c r="I10" s="26"/>
      <c r="J10" s="26"/>
      <c r="Q10" s="16"/>
      <c r="R10" s="16"/>
    </row>
    <row r="11" s="14" customFormat="true" ht="16.5" hidden="false" customHeight="true" outlineLevel="0" collapsed="false">
      <c r="D11" s="21" t="s">
        <v>69</v>
      </c>
      <c r="F11" s="240"/>
      <c r="M11" s="21"/>
      <c r="Q11" s="16"/>
      <c r="R11" s="16"/>
    </row>
    <row r="12" s="14" customFormat="true" ht="16.5" hidden="false" customHeight="true" outlineLevel="0" collapsed="false">
      <c r="D12" s="21" t="s">
        <v>70</v>
      </c>
      <c r="F12" s="28" t="n">
        <f aca="false">$K$117</f>
        <v>0</v>
      </c>
      <c r="M12" s="21"/>
      <c r="Q12" s="16"/>
      <c r="R12" s="16"/>
    </row>
    <row r="13" s="14" customFormat="true" ht="17.25" hidden="false" customHeight="true" outlineLevel="0" collapsed="false">
      <c r="Q13" s="16"/>
      <c r="R13" s="16"/>
    </row>
    <row r="14" s="14" customFormat="true" ht="16.5" hidden="false" customHeight="true" outlineLevel="0" collapsed="false">
      <c r="C14" s="19" t="s">
        <v>71</v>
      </c>
      <c r="D14" s="19"/>
      <c r="E14" s="19"/>
      <c r="F14" s="19"/>
      <c r="G14" s="19"/>
      <c r="H14" s="19"/>
      <c r="I14" s="19"/>
      <c r="J14" s="19"/>
      <c r="L14" s="19"/>
      <c r="M14" s="19"/>
      <c r="N14" s="19"/>
      <c r="O14" s="19"/>
      <c r="P14" s="19"/>
      <c r="Q14" s="20"/>
      <c r="R14" s="20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</row>
    <row r="15" s="14" customFormat="true" ht="17.25" hidden="false" customHeight="true" outlineLevel="0" collapsed="false">
      <c r="Q15" s="16"/>
      <c r="R15" s="16"/>
    </row>
    <row r="16" s="14" customFormat="true" ht="17.25" hidden="false" customHeight="true" outlineLevel="0" collapsed="false">
      <c r="D16" s="29" t="s">
        <v>73</v>
      </c>
    </row>
    <row r="17" s="14" customFormat="true" ht="17.25" hidden="false" customHeight="true" outlineLevel="0" collapsed="false">
      <c r="D17" s="32" t="s">
        <v>77</v>
      </c>
      <c r="E17" s="33"/>
      <c r="F17" s="33"/>
      <c r="G17" s="33"/>
      <c r="H17" s="32" t="s">
        <v>78</v>
      </c>
      <c r="I17" s="32" t="s">
        <v>79</v>
      </c>
      <c r="J17" s="34" t="s">
        <v>80</v>
      </c>
    </row>
    <row r="18" s="14" customFormat="true" ht="17.25" hidden="false" customHeight="true" outlineLevel="0" collapsed="false">
      <c r="D18" s="33"/>
      <c r="E18" s="33" t="s">
        <v>797</v>
      </c>
      <c r="F18" s="33"/>
      <c r="G18" s="36"/>
      <c r="H18" s="202" t="s">
        <v>798</v>
      </c>
      <c r="I18" s="37" t="s">
        <v>799</v>
      </c>
      <c r="J18" s="38"/>
      <c r="P18" s="16"/>
      <c r="Q18" s="35"/>
      <c r="R18" s="16"/>
    </row>
    <row r="19" s="14" customFormat="true" ht="17.25" hidden="false" customHeight="true" outlineLevel="0" collapsed="false">
      <c r="D19" s="33"/>
      <c r="E19" s="33" t="s">
        <v>800</v>
      </c>
      <c r="F19" s="33"/>
      <c r="G19" s="36"/>
      <c r="H19" s="202" t="str">
        <f aca="false">$H$18</f>
        <v>TTM 6/1/26</v>
      </c>
      <c r="I19" s="37" t="s">
        <v>801</v>
      </c>
      <c r="J19" s="38"/>
      <c r="P19" s="16"/>
      <c r="Q19" s="35"/>
      <c r="R19" s="16"/>
    </row>
    <row r="20" s="14" customFormat="true" ht="17.25" hidden="false" customHeight="true" outlineLevel="0" collapsed="false">
      <c r="D20" s="33"/>
      <c r="E20" s="33" t="s">
        <v>802</v>
      </c>
      <c r="F20" s="33"/>
      <c r="G20" s="36"/>
      <c r="H20" s="202" t="str">
        <f aca="false">$H$18</f>
        <v>TTM 6/1/26</v>
      </c>
      <c r="I20" s="37" t="s">
        <v>803</v>
      </c>
      <c r="J20" s="138"/>
      <c r="L20" s="205"/>
      <c r="P20" s="16"/>
      <c r="Q20" s="35"/>
      <c r="R20" s="16"/>
    </row>
    <row r="21" s="14" customFormat="true" ht="17.25" hidden="false" customHeight="true" outlineLevel="0" collapsed="false">
      <c r="D21" s="33"/>
      <c r="E21" s="40" t="s">
        <v>804</v>
      </c>
      <c r="F21" s="40"/>
      <c r="G21" s="41"/>
      <c r="H21" s="206" t="str">
        <f aca="false">$H$18</f>
        <v>TTM 6/1/26</v>
      </c>
      <c r="I21" s="42" t="s">
        <v>102</v>
      </c>
      <c r="J21" s="55" t="n">
        <f aca="false">(J18*J19*J20)/1000000</f>
        <v>0</v>
      </c>
      <c r="P21" s="16"/>
      <c r="Q21" s="35"/>
      <c r="R21" s="16"/>
    </row>
    <row r="22" s="14" customFormat="true" ht="17.25" hidden="false" customHeight="true" outlineLevel="0" collapsed="false">
      <c r="D22" s="33"/>
      <c r="E22" s="33"/>
      <c r="F22" s="33"/>
      <c r="G22" s="36"/>
      <c r="H22" s="33"/>
      <c r="I22" s="37"/>
      <c r="J22" s="33"/>
      <c r="Q22" s="16"/>
      <c r="R22" s="16"/>
    </row>
    <row r="23" s="14" customFormat="true" ht="17.25" hidden="false" customHeight="true" outlineLevel="0" collapsed="false">
      <c r="D23" s="32" t="s">
        <v>104</v>
      </c>
      <c r="E23" s="33"/>
      <c r="F23" s="33"/>
      <c r="G23" s="36"/>
      <c r="H23" s="32"/>
      <c r="I23" s="32"/>
      <c r="J23" s="34"/>
      <c r="Q23" s="16"/>
      <c r="R23" s="16"/>
    </row>
    <row r="24" s="14" customFormat="true" ht="17.25" hidden="false" customHeight="true" outlineLevel="0" collapsed="false">
      <c r="D24" s="33"/>
      <c r="E24" s="33" t="s">
        <v>805</v>
      </c>
      <c r="F24" s="33"/>
      <c r="G24" s="36"/>
      <c r="H24" s="33" t="s">
        <v>110</v>
      </c>
      <c r="I24" s="37" t="s">
        <v>806</v>
      </c>
      <c r="J24" s="241"/>
      <c r="Q24" s="16"/>
      <c r="R24" s="16"/>
    </row>
    <row r="25" s="14" customFormat="true" ht="17.25" hidden="false" customHeight="true" outlineLevel="0" collapsed="false">
      <c r="D25" s="33"/>
      <c r="E25" s="33" t="s">
        <v>807</v>
      </c>
      <c r="F25" s="33"/>
      <c r="G25" s="36"/>
      <c r="H25" s="33" t="s">
        <v>110</v>
      </c>
      <c r="I25" s="37" t="s">
        <v>808</v>
      </c>
      <c r="J25" s="241"/>
      <c r="Q25" s="16"/>
      <c r="R25" s="16"/>
    </row>
    <row r="26" s="14" customFormat="true" ht="17.25" hidden="false" customHeight="true" outlineLevel="0" collapsed="false">
      <c r="D26" s="33"/>
      <c r="E26" s="40" t="s">
        <v>809</v>
      </c>
      <c r="F26" s="40"/>
      <c r="G26" s="41"/>
      <c r="H26" s="40" t="s">
        <v>110</v>
      </c>
      <c r="I26" s="42" t="s">
        <v>810</v>
      </c>
      <c r="J26" s="55" t="n">
        <f aca="false">(J24*J25)/1000000</f>
        <v>0</v>
      </c>
      <c r="K26" s="45"/>
      <c r="Q26" s="16"/>
      <c r="R26" s="16"/>
    </row>
    <row r="27" s="14" customFormat="true" ht="17.25" hidden="false" customHeight="true" outlineLevel="0" collapsed="false">
      <c r="D27" s="33"/>
      <c r="E27" s="46"/>
      <c r="F27" s="46"/>
      <c r="G27" s="47"/>
      <c r="H27" s="46"/>
      <c r="I27" s="48"/>
      <c r="J27" s="49"/>
      <c r="K27" s="50"/>
      <c r="Q27" s="16"/>
      <c r="R27" s="16"/>
    </row>
    <row r="28" s="14" customFormat="true" ht="17.25" hidden="false" customHeight="true" outlineLevel="0" collapsed="false">
      <c r="D28" s="32" t="s">
        <v>111</v>
      </c>
      <c r="E28" s="46"/>
      <c r="F28" s="46"/>
      <c r="G28" s="47"/>
      <c r="H28" s="46"/>
      <c r="I28" s="48"/>
      <c r="J28" s="49"/>
      <c r="K28" s="50"/>
      <c r="L28" s="51"/>
      <c r="Q28" s="16"/>
      <c r="R28" s="16"/>
    </row>
    <row r="29" s="14" customFormat="true" ht="17.25" hidden="false" customHeight="true" outlineLevel="0" collapsed="false">
      <c r="D29" s="32"/>
      <c r="E29" s="209" t="s">
        <v>811</v>
      </c>
      <c r="F29" s="40"/>
      <c r="G29" s="41"/>
      <c r="H29" s="40"/>
      <c r="I29" s="42" t="s">
        <v>810</v>
      </c>
      <c r="J29" s="242" t="n">
        <f aca="false">J21-J26</f>
        <v>0</v>
      </c>
      <c r="Q29" s="16"/>
      <c r="R29" s="16"/>
    </row>
    <row r="30" s="14" customFormat="true" ht="17.25" hidden="false" customHeight="true" outlineLevel="0" collapsed="false">
      <c r="D30" s="16"/>
      <c r="E30" s="16"/>
      <c r="F30" s="16"/>
      <c r="G30" s="16"/>
      <c r="H30" s="16"/>
      <c r="I30" s="16"/>
      <c r="J30" s="16"/>
      <c r="Q30" s="16"/>
      <c r="R30" s="16"/>
    </row>
    <row r="31" s="14" customFormat="true" ht="17.25" hidden="true" customHeight="true" outlineLevel="1" collapsed="false">
      <c r="D31" s="32" t="s">
        <v>77</v>
      </c>
      <c r="E31" s="33"/>
      <c r="F31" s="33"/>
      <c r="G31" s="33"/>
      <c r="H31" s="32" t="s">
        <v>78</v>
      </c>
      <c r="I31" s="42" t="s">
        <v>102</v>
      </c>
      <c r="J31" s="34" t="s">
        <v>80</v>
      </c>
      <c r="Q31" s="16"/>
      <c r="R31" s="16"/>
    </row>
    <row r="32" s="14" customFormat="true" ht="17.25" hidden="true" customHeight="true" outlineLevel="1" collapsed="false">
      <c r="D32" s="33"/>
      <c r="E32" s="33" t="s">
        <v>118</v>
      </c>
      <c r="F32" s="33"/>
      <c r="G32" s="36"/>
      <c r="H32" s="202" t="str">
        <f aca="false">$H$18</f>
        <v>TTM 6/1/26</v>
      </c>
      <c r="I32" s="37" t="s">
        <v>118</v>
      </c>
      <c r="J32" s="38" t="n">
        <v>0</v>
      </c>
      <c r="Q32" s="16"/>
      <c r="R32" s="16"/>
    </row>
    <row r="33" s="14" customFormat="true" ht="17.25" hidden="true" customHeight="true" outlineLevel="1" collapsed="false">
      <c r="D33" s="33"/>
      <c r="E33" s="33" t="s">
        <v>119</v>
      </c>
      <c r="F33" s="33"/>
      <c r="G33" s="36" t="s">
        <v>83</v>
      </c>
      <c r="H33" s="33" t="s">
        <v>84</v>
      </c>
      <c r="I33" s="37" t="s">
        <v>120</v>
      </c>
      <c r="J33" s="39" t="n">
        <v>0</v>
      </c>
      <c r="Q33" s="16"/>
      <c r="R33" s="16"/>
    </row>
    <row r="34" s="14" customFormat="true" ht="17.25" hidden="true" customHeight="true" outlineLevel="1" collapsed="false">
      <c r="D34" s="33"/>
      <c r="E34" s="40" t="s">
        <v>121</v>
      </c>
      <c r="F34" s="40"/>
      <c r="G34" s="41" t="s">
        <v>88</v>
      </c>
      <c r="H34" s="40" t="s">
        <v>84</v>
      </c>
      <c r="I34" s="42" t="s">
        <v>122</v>
      </c>
      <c r="J34" s="53" t="n">
        <f aca="false">(J32*J33)/1000</f>
        <v>0</v>
      </c>
      <c r="Q34" s="16"/>
      <c r="R34" s="16"/>
    </row>
    <row r="35" s="14" customFormat="true" ht="17.25" hidden="true" customHeight="true" outlineLevel="1" collapsed="false">
      <c r="D35" s="33"/>
      <c r="E35" s="33"/>
      <c r="F35" s="33"/>
      <c r="G35" s="36"/>
      <c r="H35" s="33"/>
      <c r="I35" s="37"/>
      <c r="J35" s="33"/>
      <c r="Q35" s="16"/>
      <c r="R35" s="16"/>
    </row>
    <row r="36" s="14" customFormat="true" ht="17.25" hidden="true" customHeight="true" outlineLevel="1" collapsed="false">
      <c r="D36" s="32" t="s">
        <v>104</v>
      </c>
      <c r="E36" s="33"/>
      <c r="F36" s="33"/>
      <c r="G36" s="36"/>
      <c r="H36" s="32"/>
      <c r="I36" s="32"/>
      <c r="J36" s="34"/>
      <c r="Q36" s="16"/>
      <c r="R36" s="16"/>
    </row>
    <row r="37" s="14" customFormat="true" ht="17.25" hidden="true" customHeight="true" outlineLevel="1" collapsed="false">
      <c r="D37" s="33"/>
      <c r="E37" s="33" t="s">
        <v>118</v>
      </c>
      <c r="F37" s="33"/>
      <c r="G37" s="36"/>
      <c r="H37" s="33" t="s">
        <v>84</v>
      </c>
      <c r="I37" s="37" t="s">
        <v>118</v>
      </c>
      <c r="J37" s="54" t="n">
        <f aca="false">$J$18</f>
        <v>0</v>
      </c>
      <c r="Q37" s="16"/>
      <c r="R37" s="16"/>
    </row>
    <row r="38" s="14" customFormat="true" ht="17.25" hidden="true" customHeight="true" outlineLevel="1" collapsed="false">
      <c r="D38" s="33"/>
      <c r="E38" s="33" t="s">
        <v>119</v>
      </c>
      <c r="F38" s="33"/>
      <c r="G38" s="36" t="s">
        <v>93</v>
      </c>
      <c r="H38" s="33" t="s">
        <v>110</v>
      </c>
      <c r="I38" s="37" t="s">
        <v>120</v>
      </c>
      <c r="J38" s="44" t="n">
        <v>0</v>
      </c>
      <c r="Q38" s="16"/>
      <c r="R38" s="16"/>
    </row>
    <row r="39" s="14" customFormat="true" ht="17.25" hidden="true" customHeight="true" outlineLevel="1" collapsed="false">
      <c r="D39" s="33"/>
      <c r="E39" s="40" t="s">
        <v>121</v>
      </c>
      <c r="F39" s="40"/>
      <c r="G39" s="41" t="s">
        <v>101</v>
      </c>
      <c r="H39" s="40" t="s">
        <v>110</v>
      </c>
      <c r="I39" s="42" t="s">
        <v>122</v>
      </c>
      <c r="J39" s="53" t="n">
        <f aca="false">(J37*J38)/1000</f>
        <v>0</v>
      </c>
      <c r="Q39" s="16"/>
      <c r="R39" s="16"/>
    </row>
    <row r="40" s="14" customFormat="true" ht="17.25" hidden="true" customHeight="true" outlineLevel="1" collapsed="false">
      <c r="D40" s="33"/>
      <c r="E40" s="46"/>
      <c r="F40" s="46"/>
      <c r="G40" s="47"/>
      <c r="H40" s="46"/>
      <c r="I40" s="48"/>
      <c r="J40" s="49"/>
      <c r="Q40" s="16"/>
      <c r="R40" s="16"/>
    </row>
    <row r="41" s="14" customFormat="true" ht="17.25" hidden="true" customHeight="true" outlineLevel="1" collapsed="false">
      <c r="D41" s="32" t="s">
        <v>111</v>
      </c>
      <c r="E41" s="46"/>
      <c r="F41" s="46"/>
      <c r="G41" s="47"/>
      <c r="H41" s="46"/>
      <c r="I41" s="48"/>
      <c r="J41" s="49"/>
      <c r="Q41" s="16"/>
      <c r="R41" s="16"/>
    </row>
    <row r="42" s="14" customFormat="true" ht="17.25" hidden="true" customHeight="true" outlineLevel="1" collapsed="false">
      <c r="D42" s="32"/>
      <c r="E42" s="33" t="str">
        <f aca="false">E38</f>
        <v>xxxx unit cost</v>
      </c>
      <c r="F42" s="46"/>
      <c r="G42" s="36" t="s">
        <v>123</v>
      </c>
      <c r="H42" s="46"/>
      <c r="I42" s="37" t="s">
        <v>124</v>
      </c>
      <c r="J42" s="52" t="n">
        <f aca="false">J33-J38</f>
        <v>0</v>
      </c>
      <c r="Q42" s="16"/>
      <c r="R42" s="16"/>
    </row>
    <row r="43" s="14" customFormat="true" ht="17.25" hidden="true" customHeight="true" outlineLevel="1" collapsed="false">
      <c r="D43" s="32"/>
      <c r="E43" s="33" t="str">
        <f aca="false">E39</f>
        <v>xxxx total spend</v>
      </c>
      <c r="F43" s="46"/>
      <c r="G43" s="36" t="s">
        <v>125</v>
      </c>
      <c r="H43" s="46"/>
      <c r="I43" s="37" t="s">
        <v>122</v>
      </c>
      <c r="J43" s="55" t="n">
        <f aca="false">J34-J39</f>
        <v>0</v>
      </c>
      <c r="Q43" s="16"/>
      <c r="R43" s="16"/>
    </row>
    <row r="44" s="14" customFormat="true" ht="17.25" hidden="false" customHeight="true" outlineLevel="0" collapsed="false">
      <c r="E44" s="21"/>
      <c r="F44" s="21"/>
      <c r="G44" s="21"/>
      <c r="H44" s="21"/>
      <c r="I44" s="56"/>
      <c r="J44" s="57"/>
      <c r="Q44" s="16"/>
      <c r="R44" s="16"/>
    </row>
    <row r="45" s="14" customFormat="true" ht="17.25" hidden="true" customHeight="true" outlineLevel="1" collapsed="false">
      <c r="D45" s="32" t="s">
        <v>77</v>
      </c>
      <c r="E45" s="33"/>
      <c r="F45" s="33"/>
      <c r="G45" s="33"/>
      <c r="H45" s="32" t="s">
        <v>78</v>
      </c>
      <c r="I45" s="32" t="s">
        <v>79</v>
      </c>
      <c r="J45" s="34" t="s">
        <v>80</v>
      </c>
      <c r="Q45" s="16"/>
      <c r="R45" s="16"/>
    </row>
    <row r="46" s="14" customFormat="true" ht="17.25" hidden="true" customHeight="true" outlineLevel="1" collapsed="false">
      <c r="D46" s="33"/>
      <c r="E46" s="33" t="s">
        <v>118</v>
      </c>
      <c r="F46" s="33"/>
      <c r="G46" s="36"/>
      <c r="H46" s="33" t="s">
        <v>84</v>
      </c>
      <c r="I46" s="37" t="s">
        <v>118</v>
      </c>
      <c r="J46" s="38" t="n">
        <v>0</v>
      </c>
      <c r="Q46" s="16"/>
      <c r="R46" s="16"/>
    </row>
    <row r="47" s="14" customFormat="true" ht="17.25" hidden="true" customHeight="true" outlineLevel="1" collapsed="false">
      <c r="D47" s="33"/>
      <c r="E47" s="33" t="s">
        <v>119</v>
      </c>
      <c r="F47" s="33"/>
      <c r="G47" s="36" t="s">
        <v>83</v>
      </c>
      <c r="H47" s="33" t="s">
        <v>84</v>
      </c>
      <c r="I47" s="37" t="s">
        <v>120</v>
      </c>
      <c r="J47" s="39" t="n">
        <v>0</v>
      </c>
      <c r="Q47" s="16"/>
      <c r="R47" s="16"/>
    </row>
    <row r="48" s="14" customFormat="true" ht="17.25" hidden="true" customHeight="true" outlineLevel="1" collapsed="false">
      <c r="D48" s="33"/>
      <c r="E48" s="40" t="s">
        <v>121</v>
      </c>
      <c r="F48" s="40"/>
      <c r="G48" s="41" t="s">
        <v>88</v>
      </c>
      <c r="H48" s="40" t="s">
        <v>84</v>
      </c>
      <c r="I48" s="42" t="s">
        <v>122</v>
      </c>
      <c r="J48" s="53" t="n">
        <f aca="false">(J46*J47)/1000</f>
        <v>0</v>
      </c>
      <c r="Q48" s="16"/>
      <c r="R48" s="16"/>
    </row>
    <row r="49" s="14" customFormat="true" ht="17.25" hidden="true" customHeight="true" outlineLevel="1" collapsed="false">
      <c r="D49" s="33"/>
      <c r="E49" s="33"/>
      <c r="F49" s="33"/>
      <c r="G49" s="36"/>
      <c r="H49" s="33"/>
      <c r="I49" s="37"/>
      <c r="J49" s="33"/>
      <c r="Q49" s="16"/>
      <c r="R49" s="16"/>
    </row>
    <row r="50" s="14" customFormat="true" ht="17.25" hidden="true" customHeight="true" outlineLevel="1" collapsed="false">
      <c r="D50" s="32" t="s">
        <v>104</v>
      </c>
      <c r="E50" s="33"/>
      <c r="F50" s="33"/>
      <c r="G50" s="36"/>
      <c r="H50" s="32"/>
      <c r="I50" s="32"/>
      <c r="J50" s="34"/>
      <c r="Q50" s="16"/>
      <c r="R50" s="16"/>
    </row>
    <row r="51" s="14" customFormat="true" ht="17.25" hidden="true" customHeight="true" outlineLevel="1" collapsed="false">
      <c r="D51" s="33"/>
      <c r="E51" s="33" t="s">
        <v>118</v>
      </c>
      <c r="F51" s="33"/>
      <c r="G51" s="36"/>
      <c r="H51" s="33" t="s">
        <v>84</v>
      </c>
      <c r="I51" s="37" t="s">
        <v>118</v>
      </c>
      <c r="J51" s="54" t="n">
        <f aca="false">$J$18</f>
        <v>0</v>
      </c>
      <c r="Q51" s="16"/>
      <c r="R51" s="16"/>
    </row>
    <row r="52" s="14" customFormat="true" ht="17.25" hidden="true" customHeight="true" outlineLevel="1" collapsed="false">
      <c r="D52" s="33"/>
      <c r="E52" s="33" t="s">
        <v>119</v>
      </c>
      <c r="F52" s="33"/>
      <c r="G52" s="36" t="s">
        <v>93</v>
      </c>
      <c r="H52" s="33" t="s">
        <v>110</v>
      </c>
      <c r="I52" s="37" t="s">
        <v>120</v>
      </c>
      <c r="J52" s="44" t="n">
        <v>0</v>
      </c>
      <c r="Q52" s="16"/>
      <c r="R52" s="16"/>
    </row>
    <row r="53" s="14" customFormat="true" ht="17.25" hidden="true" customHeight="true" outlineLevel="1" collapsed="false">
      <c r="D53" s="33"/>
      <c r="E53" s="40" t="s">
        <v>121</v>
      </c>
      <c r="F53" s="40"/>
      <c r="G53" s="41" t="s">
        <v>101</v>
      </c>
      <c r="H53" s="40" t="s">
        <v>110</v>
      </c>
      <c r="I53" s="42" t="s">
        <v>122</v>
      </c>
      <c r="J53" s="53" t="n">
        <f aca="false">(J51*J52)/1000</f>
        <v>0</v>
      </c>
      <c r="Q53" s="16"/>
      <c r="R53" s="16"/>
    </row>
    <row r="54" s="14" customFormat="true" ht="17.25" hidden="true" customHeight="true" outlineLevel="1" collapsed="false">
      <c r="D54" s="33"/>
      <c r="E54" s="46"/>
      <c r="F54" s="46"/>
      <c r="G54" s="47"/>
      <c r="H54" s="46"/>
      <c r="I54" s="48"/>
      <c r="J54" s="49"/>
      <c r="Q54" s="16"/>
      <c r="R54" s="16"/>
    </row>
    <row r="55" s="14" customFormat="true" ht="17.25" hidden="true" customHeight="true" outlineLevel="1" collapsed="false">
      <c r="D55" s="32" t="s">
        <v>111</v>
      </c>
      <c r="E55" s="46"/>
      <c r="F55" s="46"/>
      <c r="G55" s="47"/>
      <c r="H55" s="46"/>
      <c r="I55" s="48"/>
      <c r="J55" s="49"/>
      <c r="Q55" s="16"/>
      <c r="R55" s="16"/>
    </row>
    <row r="56" s="14" customFormat="true" ht="17.25" hidden="true" customHeight="true" outlineLevel="1" collapsed="false">
      <c r="D56" s="32"/>
      <c r="E56" s="33" t="str">
        <f aca="false">E52</f>
        <v>xxxx unit cost</v>
      </c>
      <c r="F56" s="46"/>
      <c r="G56" s="36" t="s">
        <v>123</v>
      </c>
      <c r="H56" s="46"/>
      <c r="I56" s="37" t="s">
        <v>124</v>
      </c>
      <c r="J56" s="52" t="n">
        <f aca="false">J47-J52</f>
        <v>0</v>
      </c>
      <c r="Q56" s="16"/>
      <c r="R56" s="16"/>
    </row>
    <row r="57" s="14" customFormat="true" ht="17.25" hidden="true" customHeight="true" outlineLevel="1" collapsed="false">
      <c r="D57" s="32"/>
      <c r="E57" s="33" t="str">
        <f aca="false">E53</f>
        <v>xxxx total spend</v>
      </c>
      <c r="F57" s="46"/>
      <c r="G57" s="36" t="s">
        <v>125</v>
      </c>
      <c r="H57" s="46"/>
      <c r="I57" s="37" t="s">
        <v>122</v>
      </c>
      <c r="J57" s="55" t="n">
        <f aca="false">J48-J53</f>
        <v>0</v>
      </c>
      <c r="Q57" s="16"/>
      <c r="R57" s="16"/>
    </row>
    <row r="58" s="14" customFormat="true" ht="17.25" hidden="true" customHeight="true" outlineLevel="1" collapsed="false">
      <c r="E58" s="21"/>
      <c r="F58" s="21"/>
      <c r="G58" s="21"/>
      <c r="H58" s="21"/>
      <c r="I58" s="56"/>
      <c r="J58" s="57"/>
      <c r="Q58" s="16"/>
      <c r="R58" s="16"/>
    </row>
    <row r="59" s="14" customFormat="true" ht="16.5" hidden="true" customHeight="true" outlineLevel="1" collapsed="false">
      <c r="H59" s="58"/>
      <c r="Q59" s="16"/>
      <c r="R59" s="16"/>
    </row>
    <row r="60" s="14" customFormat="true" ht="16.5" hidden="false" customHeight="true" outlineLevel="0" collapsed="false">
      <c r="C60" s="19" t="s">
        <v>126</v>
      </c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20"/>
      <c r="R60" s="20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C60" s="19" t="s">
        <v>127</v>
      </c>
      <c r="CD60" s="19"/>
      <c r="CE60" s="19"/>
      <c r="CF60" s="19"/>
      <c r="CG60" s="19"/>
      <c r="CI60" s="19" t="s">
        <v>128</v>
      </c>
      <c r="CJ60" s="19"/>
      <c r="CK60" s="19"/>
      <c r="CL60" s="19"/>
      <c r="CM60" s="19"/>
    </row>
    <row r="61" s="14" customFormat="true" ht="16.5" hidden="false" customHeight="true" outlineLevel="0" collapsed="false">
      <c r="Q61" s="16"/>
    </row>
    <row r="62" s="14" customFormat="true" ht="16.5" hidden="false" customHeight="true" outlineLevel="0" collapsed="false">
      <c r="Q62" s="16"/>
      <c r="R62" s="16"/>
      <c r="T62" s="62" t="n">
        <v>2026</v>
      </c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62" t="n">
        <v>2027</v>
      </c>
      <c r="AG62" s="129"/>
      <c r="AH62" s="129"/>
      <c r="AI62" s="129"/>
      <c r="AJ62" s="129"/>
      <c r="AK62" s="129"/>
      <c r="AL62" s="129"/>
      <c r="AM62" s="129"/>
      <c r="AN62" s="129"/>
      <c r="AO62" s="129"/>
      <c r="AP62" s="129"/>
      <c r="AQ62" s="129"/>
      <c r="AR62" s="62" t="n">
        <v>2028</v>
      </c>
      <c r="AS62" s="129"/>
      <c r="AT62" s="129"/>
      <c r="AU62" s="129"/>
      <c r="AV62" s="129"/>
      <c r="AW62" s="129"/>
      <c r="AX62" s="129"/>
      <c r="AY62" s="129"/>
      <c r="AZ62" s="129"/>
      <c r="BA62" s="129"/>
      <c r="BB62" s="129"/>
      <c r="BC62" s="129"/>
      <c r="BD62" s="62" t="n">
        <v>2029</v>
      </c>
      <c r="BE62" s="129"/>
      <c r="BF62" s="129"/>
      <c r="BG62" s="129"/>
      <c r="BH62" s="129"/>
      <c r="BI62" s="129"/>
      <c r="BJ62" s="129"/>
      <c r="BK62" s="129"/>
      <c r="BL62" s="129"/>
      <c r="BM62" s="129"/>
      <c r="BN62" s="129"/>
      <c r="BO62" s="129"/>
      <c r="BP62" s="62" t="n">
        <v>2030</v>
      </c>
      <c r="BQ62" s="130"/>
      <c r="BR62" s="130"/>
      <c r="BS62" s="130"/>
      <c r="BT62" s="130"/>
      <c r="BU62" s="130"/>
      <c r="BV62" s="130"/>
      <c r="BW62" s="130"/>
      <c r="BX62" s="130"/>
      <c r="BY62" s="130"/>
      <c r="BZ62" s="130"/>
      <c r="CA62" s="130"/>
      <c r="CC62" s="211"/>
      <c r="CD62" s="130"/>
      <c r="CE62" s="130"/>
      <c r="CF62" s="130"/>
      <c r="CG62" s="130"/>
      <c r="CI62" s="211" t="s">
        <v>426</v>
      </c>
      <c r="CJ62" s="211"/>
      <c r="CK62" s="211"/>
      <c r="CL62" s="211"/>
      <c r="CM62" s="211"/>
    </row>
    <row r="63" s="14" customFormat="true" ht="16.5" hidden="false" customHeight="true" outlineLevel="0" collapsed="false">
      <c r="D63" s="30" t="s">
        <v>129</v>
      </c>
      <c r="E63" s="31"/>
      <c r="F63" s="31"/>
      <c r="G63" s="31"/>
      <c r="H63" s="30" t="s">
        <v>130</v>
      </c>
      <c r="I63" s="31" t="s">
        <v>77</v>
      </c>
      <c r="J63" s="31" t="s">
        <v>104</v>
      </c>
      <c r="K63" s="31" t="s">
        <v>131</v>
      </c>
      <c r="L63" s="31" t="n">
        <v>2026</v>
      </c>
      <c r="M63" s="31" t="n">
        <f aca="false">L63+1</f>
        <v>2027</v>
      </c>
      <c r="N63" s="31" t="n">
        <f aca="false">M63+1</f>
        <v>2028</v>
      </c>
      <c r="O63" s="31" t="n">
        <f aca="false">N63+1</f>
        <v>2029</v>
      </c>
      <c r="P63" s="31" t="n">
        <f aca="false">O63+1</f>
        <v>2030</v>
      </c>
      <c r="Q63" s="31" t="s">
        <v>132</v>
      </c>
      <c r="R63" s="31" t="s">
        <v>75</v>
      </c>
      <c r="T63" s="59" t="n">
        <v>46023</v>
      </c>
      <c r="U63" s="60" t="n">
        <f aca="false">EOMONTH(T63, 1)</f>
        <v>46081</v>
      </c>
      <c r="V63" s="60" t="n">
        <f aca="false">EOMONTH(U63, 1)</f>
        <v>46112</v>
      </c>
      <c r="W63" s="60" t="n">
        <f aca="false">EOMONTH(V63, 1)</f>
        <v>46142</v>
      </c>
      <c r="X63" s="60" t="n">
        <f aca="false">EOMONTH(W63, 1)</f>
        <v>46173</v>
      </c>
      <c r="Y63" s="60" t="n">
        <f aca="false">EOMONTH(X63, 1)</f>
        <v>46203</v>
      </c>
      <c r="Z63" s="60" t="n">
        <f aca="false">EOMONTH(Y63, 1)</f>
        <v>46234</v>
      </c>
      <c r="AA63" s="60" t="n">
        <f aca="false">EOMONTH(Z63, 1)</f>
        <v>46265</v>
      </c>
      <c r="AB63" s="60" t="n">
        <f aca="false">EOMONTH(AA63, 1)</f>
        <v>46295</v>
      </c>
      <c r="AC63" s="60" t="n">
        <f aca="false">EOMONTH(AB63, 1)</f>
        <v>46326</v>
      </c>
      <c r="AD63" s="60" t="n">
        <f aca="false">EOMONTH(AC63, 1)</f>
        <v>46356</v>
      </c>
      <c r="AE63" s="61" t="n">
        <f aca="false">EOMONTH(AD63, 1)</f>
        <v>46387</v>
      </c>
      <c r="AF63" s="59" t="n">
        <f aca="false">EOMONTH(AE63, 1)</f>
        <v>46418</v>
      </c>
      <c r="AG63" s="60" t="n">
        <f aca="false">EOMONTH(AF63, 1)</f>
        <v>46446</v>
      </c>
      <c r="AH63" s="60" t="n">
        <f aca="false">EOMONTH(AG63, 1)</f>
        <v>46477</v>
      </c>
      <c r="AI63" s="60" t="n">
        <f aca="false">EOMONTH(AH63, 1)</f>
        <v>46507</v>
      </c>
      <c r="AJ63" s="60" t="n">
        <f aca="false">EOMONTH(AI63, 1)</f>
        <v>46538</v>
      </c>
      <c r="AK63" s="60" t="n">
        <f aca="false">EOMONTH(AJ63, 1)</f>
        <v>46568</v>
      </c>
      <c r="AL63" s="60" t="n">
        <f aca="false">EOMONTH(AK63, 1)</f>
        <v>46599</v>
      </c>
      <c r="AM63" s="60" t="n">
        <f aca="false">EOMONTH(AL63, 1)</f>
        <v>46630</v>
      </c>
      <c r="AN63" s="60" t="n">
        <f aca="false">EOMONTH(AM63, 1)</f>
        <v>46660</v>
      </c>
      <c r="AO63" s="60" t="n">
        <f aca="false">EOMONTH(AN63, 1)</f>
        <v>46691</v>
      </c>
      <c r="AP63" s="60" t="n">
        <f aca="false">EOMONTH(AO63, 1)</f>
        <v>46721</v>
      </c>
      <c r="AQ63" s="61" t="n">
        <f aca="false">EOMONTH(AP63, 1)</f>
        <v>46752</v>
      </c>
      <c r="AR63" s="59" t="n">
        <f aca="false">EOMONTH(AQ63, 1)</f>
        <v>46783</v>
      </c>
      <c r="AS63" s="60" t="n">
        <f aca="false">EOMONTH(AR63, 1)</f>
        <v>46812</v>
      </c>
      <c r="AT63" s="60" t="n">
        <f aca="false">EOMONTH(AS63, 1)</f>
        <v>46843</v>
      </c>
      <c r="AU63" s="60" t="n">
        <f aca="false">EOMONTH(AT63, 1)</f>
        <v>46873</v>
      </c>
      <c r="AV63" s="60" t="n">
        <f aca="false">EOMONTH(AU63, 1)</f>
        <v>46904</v>
      </c>
      <c r="AW63" s="60" t="n">
        <f aca="false">EOMONTH(AV63, 1)</f>
        <v>46934</v>
      </c>
      <c r="AX63" s="60" t="n">
        <f aca="false">EOMONTH(AW63, 1)</f>
        <v>46965</v>
      </c>
      <c r="AY63" s="60" t="n">
        <f aca="false">EOMONTH(AX63, 1)</f>
        <v>46996</v>
      </c>
      <c r="AZ63" s="60" t="n">
        <f aca="false">EOMONTH(AY63, 1)</f>
        <v>47026</v>
      </c>
      <c r="BA63" s="60" t="n">
        <f aca="false">EOMONTH(AZ63, 1)</f>
        <v>47057</v>
      </c>
      <c r="BB63" s="60" t="n">
        <f aca="false">EOMONTH(BA63, 1)</f>
        <v>47087</v>
      </c>
      <c r="BC63" s="61" t="n">
        <f aca="false">EOMONTH(BB63, 1)</f>
        <v>47118</v>
      </c>
      <c r="BD63" s="59" t="n">
        <f aca="false">EOMONTH(BC63, 1)</f>
        <v>47149</v>
      </c>
      <c r="BE63" s="60" t="n">
        <f aca="false">EOMONTH(BD63, 1)</f>
        <v>47177</v>
      </c>
      <c r="BF63" s="60" t="n">
        <f aca="false">EOMONTH(BE63, 1)</f>
        <v>47208</v>
      </c>
      <c r="BG63" s="60" t="n">
        <f aca="false">EOMONTH(BF63, 1)</f>
        <v>47238</v>
      </c>
      <c r="BH63" s="60" t="n">
        <f aca="false">EOMONTH(BG63, 1)</f>
        <v>47269</v>
      </c>
      <c r="BI63" s="60" t="n">
        <f aca="false">EOMONTH(BH63, 1)</f>
        <v>47299</v>
      </c>
      <c r="BJ63" s="60" t="n">
        <f aca="false">EOMONTH(BI63, 1)</f>
        <v>47330</v>
      </c>
      <c r="BK63" s="60" t="n">
        <f aca="false">EOMONTH(BJ63, 1)</f>
        <v>47361</v>
      </c>
      <c r="BL63" s="60" t="n">
        <f aca="false">EOMONTH(BK63, 1)</f>
        <v>47391</v>
      </c>
      <c r="BM63" s="60" t="n">
        <f aca="false">EOMONTH(BL63, 1)</f>
        <v>47422</v>
      </c>
      <c r="BN63" s="60" t="n">
        <f aca="false">EOMONTH(BM63, 1)</f>
        <v>47452</v>
      </c>
      <c r="BO63" s="61" t="n">
        <f aca="false">EOMONTH(BN63, 1)</f>
        <v>47483</v>
      </c>
      <c r="BP63" s="59" t="n">
        <f aca="false">EOMONTH(BO63, 1)</f>
        <v>47514</v>
      </c>
      <c r="BQ63" s="60" t="n">
        <f aca="false">EOMONTH(BP63, 1)</f>
        <v>47542</v>
      </c>
      <c r="BR63" s="60" t="n">
        <f aca="false">EOMONTH(BQ63, 1)</f>
        <v>47573</v>
      </c>
      <c r="BS63" s="60" t="n">
        <f aca="false">EOMONTH(BR63, 1)</f>
        <v>47603</v>
      </c>
      <c r="BT63" s="60" t="n">
        <f aca="false">EOMONTH(BS63, 1)</f>
        <v>47634</v>
      </c>
      <c r="BU63" s="60" t="n">
        <f aca="false">EOMONTH(BT63, 1)</f>
        <v>47664</v>
      </c>
      <c r="BV63" s="60" t="n">
        <f aca="false">EOMONTH(BU63, 1)</f>
        <v>47695</v>
      </c>
      <c r="BW63" s="60" t="n">
        <f aca="false">EOMONTH(BV63, 1)</f>
        <v>47726</v>
      </c>
      <c r="BX63" s="60" t="n">
        <f aca="false">EOMONTH(BW63, 1)</f>
        <v>47756</v>
      </c>
      <c r="BY63" s="60" t="n">
        <f aca="false">EOMONTH(BX63, 1)</f>
        <v>47787</v>
      </c>
      <c r="BZ63" s="60" t="n">
        <f aca="false">EOMONTH(BY63, 1)</f>
        <v>47817</v>
      </c>
      <c r="CA63" s="60" t="n">
        <f aca="false">EOMONTH(BZ63, 1)</f>
        <v>47848</v>
      </c>
      <c r="CC63" s="62" t="n">
        <v>2026</v>
      </c>
      <c r="CD63" s="62" t="n">
        <f aca="false">CC63+1</f>
        <v>2027</v>
      </c>
      <c r="CE63" s="62" t="n">
        <f aca="false">CD63+1</f>
        <v>2028</v>
      </c>
      <c r="CF63" s="62" t="n">
        <f aca="false">CE63+1</f>
        <v>2029</v>
      </c>
      <c r="CG63" s="62" t="n">
        <f aca="false">CF63+1</f>
        <v>2030</v>
      </c>
      <c r="CI63" s="62" t="n">
        <v>2026</v>
      </c>
      <c r="CJ63" s="62" t="n">
        <f aca="false">CI63+1</f>
        <v>2027</v>
      </c>
      <c r="CK63" s="62" t="n">
        <f aca="false">CJ63+1</f>
        <v>2028</v>
      </c>
      <c r="CL63" s="62" t="n">
        <f aca="false">CK63+1</f>
        <v>2029</v>
      </c>
      <c r="CM63" s="62" t="n">
        <f aca="false">CL63+1</f>
        <v>2030</v>
      </c>
    </row>
    <row r="64" s="14" customFormat="true" ht="16.5" hidden="false" customHeight="true" outlineLevel="0" collapsed="false">
      <c r="D64" s="63"/>
      <c r="E64" s="64" t="s">
        <v>102</v>
      </c>
      <c r="H64" s="16"/>
      <c r="I64" s="65" t="str">
        <f aca="false">"TTM "&amp;TEXT($H$18,"m/d/yy")</f>
        <v>TTM TTM 6/1/26</v>
      </c>
      <c r="J64" s="65" t="s">
        <v>134</v>
      </c>
      <c r="K64" s="65" t="s">
        <v>135</v>
      </c>
      <c r="L64" s="66"/>
      <c r="M64" s="66"/>
      <c r="N64" s="66"/>
      <c r="O64" s="66"/>
      <c r="P64" s="66"/>
      <c r="Q64" s="16"/>
      <c r="R64" s="1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7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7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7"/>
      <c r="BE64" s="66"/>
      <c r="BF64" s="66"/>
      <c r="BG64" s="66"/>
      <c r="BH64" s="66"/>
      <c r="BI64" s="66"/>
      <c r="BJ64" s="66"/>
      <c r="BK64" s="66"/>
      <c r="BL64" s="66"/>
      <c r="BM64" s="66"/>
      <c r="BN64" s="66"/>
      <c r="BO64" s="66"/>
      <c r="BP64" s="67"/>
      <c r="BQ64" s="66"/>
      <c r="BR64" s="66"/>
      <c r="BS64" s="66"/>
      <c r="BT64" s="66"/>
      <c r="BU64" s="66"/>
      <c r="BV64" s="66"/>
      <c r="BW64" s="66"/>
      <c r="BX64" s="66"/>
      <c r="BY64" s="66"/>
      <c r="BZ64" s="66"/>
      <c r="CA64" s="66"/>
    </row>
    <row r="65" s="14" customFormat="true" ht="16.5" hidden="false" customHeight="true" outlineLevel="0" collapsed="false">
      <c r="E65" s="68" t="s">
        <v>136</v>
      </c>
      <c r="F65" s="21"/>
      <c r="G65" s="21"/>
      <c r="H65" s="16"/>
      <c r="I65" s="65"/>
      <c r="J65" s="65"/>
      <c r="K65" s="65"/>
      <c r="Q65" s="16"/>
      <c r="R65" s="16"/>
      <c r="AF65" s="69"/>
      <c r="AR65" s="69"/>
      <c r="BD65" s="69"/>
      <c r="BP65" s="69"/>
    </row>
    <row r="66" s="14" customFormat="true" ht="16.5" hidden="false" customHeight="true" outlineLevel="0" collapsed="false">
      <c r="E66" s="70"/>
      <c r="H66" s="71"/>
      <c r="I66" s="76" t="n">
        <v>0</v>
      </c>
      <c r="J66" s="76" t="n">
        <v>0</v>
      </c>
      <c r="K66" s="212" t="n">
        <f aca="false">J66-I66</f>
        <v>0</v>
      </c>
      <c r="L66" s="76"/>
      <c r="M66" s="76"/>
      <c r="N66" s="76"/>
      <c r="O66" s="76"/>
      <c r="P66" s="77"/>
      <c r="Q66" s="75"/>
      <c r="R66" s="16" t="str">
        <f aca="false">IF(K66=P66, "", "Error")</f>
        <v/>
      </c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7"/>
      <c r="AF66" s="78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7"/>
      <c r="AR66" s="78"/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7"/>
      <c r="BD66" s="78"/>
      <c r="BE66" s="76"/>
      <c r="BF66" s="76"/>
      <c r="BG66" s="76"/>
      <c r="BH66" s="76"/>
      <c r="BI66" s="76"/>
      <c r="BJ66" s="76"/>
      <c r="BK66" s="76"/>
      <c r="BL66" s="76"/>
      <c r="BM66" s="76"/>
      <c r="BN66" s="76"/>
      <c r="BO66" s="77"/>
      <c r="BP66" s="78"/>
      <c r="BQ66" s="76"/>
      <c r="BR66" s="76"/>
      <c r="BS66" s="76"/>
      <c r="BT66" s="76"/>
      <c r="BU66" s="76"/>
      <c r="BV66" s="76"/>
      <c r="BW66" s="76"/>
      <c r="BX66" s="76"/>
      <c r="BY66" s="76"/>
      <c r="BZ66" s="76"/>
      <c r="CA66" s="76"/>
      <c r="CC66" s="79" t="n">
        <f aca="false">SUMIFS($T66:$CA66, $T$1:$CA$1, CC$63)</f>
        <v>0</v>
      </c>
      <c r="CD66" s="79" t="n">
        <f aca="false">SUMIFS($T66:$CA66, $T$1:$CA$1, CD$63)</f>
        <v>0</v>
      </c>
      <c r="CE66" s="79" t="n">
        <f aca="false">SUMIFS($T66:$CA66, $T$1:$CA$1, CE$63)</f>
        <v>0</v>
      </c>
      <c r="CF66" s="79" t="n">
        <f aca="false">SUMIFS($T66:$CA66, $T$1:$CA$1, CF$63)</f>
        <v>0</v>
      </c>
      <c r="CG66" s="79" t="n">
        <f aca="false">SUMIFS($T66:$CA66, $T$1:$CA$1, CG$63)</f>
        <v>0</v>
      </c>
      <c r="CI66" s="79" t="n">
        <f aca="false">CC66=L66</f>
        <v>1</v>
      </c>
      <c r="CJ66" s="79" t="n">
        <f aca="false">CD66=M66</f>
        <v>1</v>
      </c>
      <c r="CK66" s="79" t="n">
        <f aca="false">CE66=N66</f>
        <v>1</v>
      </c>
      <c r="CL66" s="79" t="n">
        <f aca="false">CF66=O66</f>
        <v>1</v>
      </c>
      <c r="CM66" s="79" t="n">
        <f aca="false">CG66=P66</f>
        <v>1</v>
      </c>
    </row>
    <row r="67" s="14" customFormat="true" ht="16.5" hidden="false" customHeight="true" outlineLevel="0" collapsed="false">
      <c r="E67" s="70"/>
      <c r="H67" s="71"/>
      <c r="I67" s="76" t="n">
        <v>0</v>
      </c>
      <c r="J67" s="76" t="n">
        <v>0</v>
      </c>
      <c r="K67" s="212" t="n">
        <f aca="false">J67-I67</f>
        <v>0</v>
      </c>
      <c r="L67" s="76"/>
      <c r="M67" s="76"/>
      <c r="N67" s="76"/>
      <c r="O67" s="76"/>
      <c r="P67" s="77"/>
      <c r="Q67" s="75"/>
      <c r="R67" s="16" t="str">
        <f aca="false">IF(K67=P67, "", "Error")</f>
        <v/>
      </c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7"/>
      <c r="AF67" s="78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7"/>
      <c r="AR67" s="78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7"/>
      <c r="BD67" s="78"/>
      <c r="BE67" s="76"/>
      <c r="BF67" s="76"/>
      <c r="BG67" s="76"/>
      <c r="BH67" s="76"/>
      <c r="BI67" s="76"/>
      <c r="BJ67" s="76"/>
      <c r="BK67" s="76"/>
      <c r="BL67" s="76"/>
      <c r="BM67" s="76"/>
      <c r="BN67" s="76"/>
      <c r="BO67" s="77"/>
      <c r="BP67" s="78"/>
      <c r="BQ67" s="76"/>
      <c r="BR67" s="76"/>
      <c r="BS67" s="76"/>
      <c r="BT67" s="76"/>
      <c r="BU67" s="76"/>
      <c r="BV67" s="76"/>
      <c r="BW67" s="76"/>
      <c r="BX67" s="76"/>
      <c r="BY67" s="76"/>
      <c r="BZ67" s="76"/>
      <c r="CA67" s="76"/>
      <c r="CC67" s="79" t="n">
        <f aca="false">SUMIFS($T67:$CA67, $T$1:$CA$1, CC$63)</f>
        <v>0</v>
      </c>
      <c r="CD67" s="79" t="n">
        <f aca="false">SUMIFS($T67:$CA67, $T$1:$CA$1, CD$63)</f>
        <v>0</v>
      </c>
      <c r="CE67" s="79" t="n">
        <f aca="false">SUMIFS($T67:$CA67, $T$1:$CA$1, CE$63)</f>
        <v>0</v>
      </c>
      <c r="CF67" s="79" t="n">
        <f aca="false">SUMIFS($T67:$CA67, $T$1:$CA$1, CF$63)</f>
        <v>0</v>
      </c>
      <c r="CG67" s="79" t="n">
        <f aca="false">SUMIFS($T67:$CA67, $T$1:$CA$1, CG$63)</f>
        <v>0</v>
      </c>
      <c r="CI67" s="79" t="n">
        <f aca="false">CC67=L67</f>
        <v>1</v>
      </c>
      <c r="CJ67" s="79" t="n">
        <f aca="false">CD67=M67</f>
        <v>1</v>
      </c>
      <c r="CK67" s="79" t="n">
        <f aca="false">CE67=N67</f>
        <v>1</v>
      </c>
      <c r="CL67" s="79" t="n">
        <f aca="false">CF67=O67</f>
        <v>1</v>
      </c>
      <c r="CM67" s="79" t="n">
        <f aca="false">CG67=P67</f>
        <v>1</v>
      </c>
    </row>
    <row r="68" s="14" customFormat="true" ht="16.5" hidden="false" customHeight="true" outlineLevel="0" collapsed="false">
      <c r="E68" s="80" t="s">
        <v>137</v>
      </c>
      <c r="H68" s="71"/>
      <c r="I68" s="82" t="n">
        <f aca="false">SUM(I66:I67)</f>
        <v>0</v>
      </c>
      <c r="J68" s="82" t="n">
        <f aca="false">SUM(J66:J67)</f>
        <v>0</v>
      </c>
      <c r="K68" s="82" t="n">
        <f aca="false">SUM(K66:K67)</f>
        <v>0</v>
      </c>
      <c r="L68" s="82" t="n">
        <f aca="false">SUM(L66:L67)</f>
        <v>0</v>
      </c>
      <c r="M68" s="82" t="n">
        <f aca="false">SUM(M66:M67)</f>
        <v>0</v>
      </c>
      <c r="N68" s="82" t="n">
        <f aca="false">SUM(N66:N67)</f>
        <v>0</v>
      </c>
      <c r="O68" s="82" t="n">
        <f aca="false">SUM(O66:O67)</f>
        <v>0</v>
      </c>
      <c r="P68" s="82" t="n">
        <f aca="false">SUM(P66:P67)</f>
        <v>0</v>
      </c>
      <c r="Q68" s="16"/>
      <c r="R68" s="16"/>
      <c r="T68" s="82" t="n">
        <f aca="false">SUM(T66:T67)</f>
        <v>0</v>
      </c>
      <c r="U68" s="82" t="n">
        <f aca="false">SUM(U66:U67)</f>
        <v>0</v>
      </c>
      <c r="V68" s="82" t="n">
        <f aca="false">SUM(V66:V67)</f>
        <v>0</v>
      </c>
      <c r="W68" s="82" t="n">
        <f aca="false">SUM(W66:W67)</f>
        <v>0</v>
      </c>
      <c r="X68" s="82" t="n">
        <f aca="false">SUM(X66:X67)</f>
        <v>0</v>
      </c>
      <c r="Y68" s="82" t="n">
        <f aca="false">SUM(Y66:Y67)</f>
        <v>0</v>
      </c>
      <c r="Z68" s="82" t="n">
        <f aca="false">SUM(Z66:Z67)</f>
        <v>0</v>
      </c>
      <c r="AA68" s="82" t="n">
        <f aca="false">SUM(AA66:AA67)</f>
        <v>0</v>
      </c>
      <c r="AB68" s="82" t="n">
        <f aca="false">SUM(AB66:AB67)</f>
        <v>0</v>
      </c>
      <c r="AC68" s="82" t="n">
        <f aca="false">SUM(AC66:AC67)</f>
        <v>0</v>
      </c>
      <c r="AD68" s="82" t="n">
        <f aca="false">SUM(AD66:AD67)</f>
        <v>0</v>
      </c>
      <c r="AE68" s="82" t="n">
        <f aca="false">SUM(AE66:AE67)</f>
        <v>0</v>
      </c>
      <c r="AF68" s="83" t="n">
        <f aca="false">SUM(AF66:AF67)</f>
        <v>0</v>
      </c>
      <c r="AG68" s="82" t="n">
        <f aca="false">SUM(AG66:AG67)</f>
        <v>0</v>
      </c>
      <c r="AH68" s="82" t="n">
        <f aca="false">SUM(AH66:AH67)</f>
        <v>0</v>
      </c>
      <c r="AI68" s="82" t="n">
        <f aca="false">SUM(AI66:AI67)</f>
        <v>0</v>
      </c>
      <c r="AJ68" s="82" t="n">
        <f aca="false">SUM(AJ66:AJ67)</f>
        <v>0</v>
      </c>
      <c r="AK68" s="82" t="n">
        <f aca="false">SUM(AK66:AK67)</f>
        <v>0</v>
      </c>
      <c r="AL68" s="82" t="n">
        <f aca="false">SUM(AL66:AL67)</f>
        <v>0</v>
      </c>
      <c r="AM68" s="82" t="n">
        <f aca="false">SUM(AM66:AM67)</f>
        <v>0</v>
      </c>
      <c r="AN68" s="82" t="n">
        <f aca="false">SUM(AN66:AN67)</f>
        <v>0</v>
      </c>
      <c r="AO68" s="82" t="n">
        <f aca="false">SUM(AO66:AO67)</f>
        <v>0</v>
      </c>
      <c r="AP68" s="82" t="n">
        <f aca="false">SUM(AP66:AP67)</f>
        <v>0</v>
      </c>
      <c r="AQ68" s="82" t="n">
        <f aca="false">SUM(AQ66:AQ67)</f>
        <v>0</v>
      </c>
      <c r="AR68" s="83" t="n">
        <f aca="false">SUM(AR66:AR67)</f>
        <v>0</v>
      </c>
      <c r="AS68" s="82" t="n">
        <f aca="false">SUM(AS66:AS67)</f>
        <v>0</v>
      </c>
      <c r="AT68" s="82" t="n">
        <f aca="false">SUM(AT66:AT67)</f>
        <v>0</v>
      </c>
      <c r="AU68" s="82" t="n">
        <f aca="false">SUM(AU66:AU67)</f>
        <v>0</v>
      </c>
      <c r="AV68" s="82" t="n">
        <f aca="false">SUM(AV66:AV67)</f>
        <v>0</v>
      </c>
      <c r="AW68" s="82" t="n">
        <f aca="false">SUM(AW66:AW67)</f>
        <v>0</v>
      </c>
      <c r="AX68" s="82" t="n">
        <f aca="false">SUM(AX66:AX67)</f>
        <v>0</v>
      </c>
      <c r="AY68" s="82" t="n">
        <f aca="false">SUM(AY66:AY67)</f>
        <v>0</v>
      </c>
      <c r="AZ68" s="82" t="n">
        <f aca="false">SUM(AZ66:AZ67)</f>
        <v>0</v>
      </c>
      <c r="BA68" s="82" t="n">
        <f aca="false">SUM(BA66:BA67)</f>
        <v>0</v>
      </c>
      <c r="BB68" s="82" t="n">
        <f aca="false">SUM(BB66:BB67)</f>
        <v>0</v>
      </c>
      <c r="BC68" s="82" t="n">
        <f aca="false">SUM(BC66:BC67)</f>
        <v>0</v>
      </c>
      <c r="BD68" s="83" t="n">
        <f aca="false">SUM(BD66:BD67)</f>
        <v>0</v>
      </c>
      <c r="BE68" s="82" t="n">
        <f aca="false">SUM(BE66:BE67)</f>
        <v>0</v>
      </c>
      <c r="BF68" s="82" t="n">
        <f aca="false">SUM(BF66:BF67)</f>
        <v>0</v>
      </c>
      <c r="BG68" s="82" t="n">
        <f aca="false">SUM(BG66:BG67)</f>
        <v>0</v>
      </c>
      <c r="BH68" s="82" t="n">
        <f aca="false">SUM(BH66:BH67)</f>
        <v>0</v>
      </c>
      <c r="BI68" s="82" t="n">
        <f aca="false">SUM(BI66:BI67)</f>
        <v>0</v>
      </c>
      <c r="BJ68" s="82" t="n">
        <f aca="false">SUM(BJ66:BJ67)</f>
        <v>0</v>
      </c>
      <c r="BK68" s="82" t="n">
        <f aca="false">SUM(BK66:BK67)</f>
        <v>0</v>
      </c>
      <c r="BL68" s="82" t="n">
        <f aca="false">SUM(BL66:BL67)</f>
        <v>0</v>
      </c>
      <c r="BM68" s="82" t="n">
        <f aca="false">SUM(BM66:BM67)</f>
        <v>0</v>
      </c>
      <c r="BN68" s="82" t="n">
        <f aca="false">SUM(BN66:BN67)</f>
        <v>0</v>
      </c>
      <c r="BO68" s="82" t="n">
        <f aca="false">SUM(BO66:BO67)</f>
        <v>0</v>
      </c>
      <c r="BP68" s="83" t="n">
        <f aca="false">SUM(BP66:BP67)</f>
        <v>0</v>
      </c>
      <c r="BQ68" s="82" t="n">
        <f aca="false">SUM(BQ66:BQ67)</f>
        <v>0</v>
      </c>
      <c r="BR68" s="82" t="n">
        <f aca="false">SUM(BR66:BR67)</f>
        <v>0</v>
      </c>
      <c r="BS68" s="82" t="n">
        <f aca="false">SUM(BS66:BS67)</f>
        <v>0</v>
      </c>
      <c r="BT68" s="82" t="n">
        <f aca="false">SUM(BT66:BT67)</f>
        <v>0</v>
      </c>
      <c r="BU68" s="82" t="n">
        <f aca="false">SUM(BU66:BU67)</f>
        <v>0</v>
      </c>
      <c r="BV68" s="82" t="n">
        <f aca="false">SUM(BV66:BV67)</f>
        <v>0</v>
      </c>
      <c r="BW68" s="82" t="n">
        <f aca="false">SUM(BW66:BW67)</f>
        <v>0</v>
      </c>
      <c r="BX68" s="82" t="n">
        <f aca="false">SUM(BX66:BX67)</f>
        <v>0</v>
      </c>
      <c r="BY68" s="82" t="n">
        <f aca="false">SUM(BY66:BY67)</f>
        <v>0</v>
      </c>
      <c r="BZ68" s="82" t="n">
        <f aca="false">SUM(BZ66:BZ67)</f>
        <v>0</v>
      </c>
      <c r="CA68" s="82" t="n">
        <f aca="false">SUM(CA66:CA67)</f>
        <v>0</v>
      </c>
      <c r="CC68" s="84" t="n">
        <f aca="false">SUM(CC66:CC67)</f>
        <v>0</v>
      </c>
      <c r="CD68" s="84" t="n">
        <f aca="false">SUM(CD66:CD67)</f>
        <v>0</v>
      </c>
      <c r="CE68" s="84" t="n">
        <f aca="false">SUM(CE66:CE67)</f>
        <v>0</v>
      </c>
      <c r="CF68" s="84" t="n">
        <f aca="false">SUM(CF66:CF67)</f>
        <v>0</v>
      </c>
      <c r="CG68" s="84" t="n">
        <f aca="false">SUM(CG66:CG67)</f>
        <v>0</v>
      </c>
      <c r="CI68" s="84" t="n">
        <f aca="false">CC68=L68</f>
        <v>1</v>
      </c>
      <c r="CJ68" s="84" t="n">
        <f aca="false">CD68=M68</f>
        <v>1</v>
      </c>
      <c r="CK68" s="84" t="n">
        <f aca="false">CE68=N68</f>
        <v>1</v>
      </c>
      <c r="CL68" s="84" t="n">
        <f aca="false">CF68=O68</f>
        <v>1</v>
      </c>
      <c r="CM68" s="84" t="n">
        <f aca="false">CG68=P68</f>
        <v>1</v>
      </c>
    </row>
    <row r="69" s="14" customFormat="true" ht="16.5" hidden="false" customHeight="true" outlineLevel="0" collapsed="false">
      <c r="E69" s="85"/>
      <c r="H69" s="86"/>
      <c r="I69" s="88"/>
      <c r="J69" s="88"/>
      <c r="K69" s="88"/>
      <c r="L69" s="88"/>
      <c r="M69" s="88"/>
      <c r="N69" s="88"/>
      <c r="O69" s="88"/>
      <c r="P69" s="88"/>
      <c r="Q69" s="16"/>
      <c r="R69" s="16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9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9"/>
      <c r="AS69" s="88"/>
      <c r="AT69" s="88"/>
      <c r="AU69" s="88"/>
      <c r="AV69" s="88"/>
      <c r="AW69" s="88"/>
      <c r="AX69" s="88"/>
      <c r="AY69" s="88"/>
      <c r="AZ69" s="88"/>
      <c r="BA69" s="88"/>
      <c r="BB69" s="88"/>
      <c r="BC69" s="88"/>
      <c r="BD69" s="89"/>
      <c r="BE69" s="88"/>
      <c r="BF69" s="88"/>
      <c r="BG69" s="88"/>
      <c r="BH69" s="88"/>
      <c r="BI69" s="88"/>
      <c r="BJ69" s="88"/>
      <c r="BK69" s="88"/>
      <c r="BL69" s="88"/>
      <c r="BM69" s="88"/>
      <c r="BN69" s="88"/>
      <c r="BO69" s="88"/>
      <c r="BP69" s="89"/>
      <c r="BQ69" s="88"/>
      <c r="BR69" s="88"/>
      <c r="BS69" s="88"/>
      <c r="BT69" s="88"/>
      <c r="BU69" s="88"/>
      <c r="BV69" s="88"/>
      <c r="BW69" s="88"/>
      <c r="BX69" s="88"/>
      <c r="BY69" s="88"/>
      <c r="BZ69" s="88"/>
      <c r="CA69" s="88"/>
      <c r="CC69" s="90"/>
      <c r="CD69" s="90"/>
      <c r="CE69" s="90"/>
      <c r="CF69" s="90"/>
      <c r="CG69" s="90"/>
      <c r="CI69" s="90"/>
      <c r="CJ69" s="90"/>
      <c r="CK69" s="90"/>
      <c r="CL69" s="90"/>
      <c r="CM69" s="90"/>
    </row>
    <row r="70" s="14" customFormat="true" ht="16.5" hidden="false" customHeight="true" outlineLevel="0" collapsed="false">
      <c r="E70" s="21" t="s">
        <v>138</v>
      </c>
      <c r="H70" s="71"/>
      <c r="I70" s="88"/>
      <c r="J70" s="88"/>
      <c r="K70" s="88"/>
      <c r="L70" s="88"/>
      <c r="M70" s="88"/>
      <c r="N70" s="88"/>
      <c r="O70" s="88"/>
      <c r="P70" s="88"/>
      <c r="Q70" s="16"/>
      <c r="R70" s="16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9"/>
      <c r="AG70" s="88"/>
      <c r="AH70" s="88"/>
      <c r="AI70" s="88"/>
      <c r="AJ70" s="88"/>
      <c r="AK70" s="88"/>
      <c r="AL70" s="88"/>
      <c r="AM70" s="88"/>
      <c r="AN70" s="88"/>
      <c r="AO70" s="88"/>
      <c r="AP70" s="88"/>
      <c r="AQ70" s="88"/>
      <c r="AR70" s="89"/>
      <c r="AS70" s="88"/>
      <c r="AT70" s="88"/>
      <c r="AU70" s="88"/>
      <c r="AV70" s="88"/>
      <c r="AW70" s="88"/>
      <c r="AX70" s="88"/>
      <c r="AY70" s="88"/>
      <c r="AZ70" s="88"/>
      <c r="BA70" s="88"/>
      <c r="BB70" s="88"/>
      <c r="BC70" s="88"/>
      <c r="BD70" s="89"/>
      <c r="BE70" s="88"/>
      <c r="BF70" s="88"/>
      <c r="BG70" s="88"/>
      <c r="BH70" s="88"/>
      <c r="BI70" s="88"/>
      <c r="BJ70" s="88"/>
      <c r="BK70" s="88"/>
      <c r="BL70" s="88"/>
      <c r="BM70" s="88"/>
      <c r="BN70" s="88"/>
      <c r="BO70" s="88"/>
      <c r="BP70" s="89"/>
      <c r="BQ70" s="88"/>
      <c r="BR70" s="88"/>
      <c r="BS70" s="88"/>
      <c r="BT70" s="88"/>
      <c r="BU70" s="88"/>
      <c r="BV70" s="88"/>
      <c r="BW70" s="88"/>
      <c r="BX70" s="88"/>
      <c r="BY70" s="88"/>
      <c r="BZ70" s="88"/>
      <c r="CA70" s="88"/>
      <c r="CC70" s="90"/>
      <c r="CD70" s="90"/>
      <c r="CE70" s="90"/>
      <c r="CF70" s="90"/>
      <c r="CG70" s="90"/>
      <c r="CI70" s="90"/>
      <c r="CJ70" s="90"/>
      <c r="CK70" s="90"/>
      <c r="CL70" s="90"/>
      <c r="CM70" s="90"/>
    </row>
    <row r="71" s="14" customFormat="true" ht="16.5" hidden="false" customHeight="true" outlineLevel="0" collapsed="false">
      <c r="E71" s="91"/>
      <c r="H71" s="71"/>
      <c r="I71" s="91"/>
      <c r="J71" s="91"/>
      <c r="K71" s="212" t="n">
        <f aca="false">I71-J71</f>
        <v>0</v>
      </c>
      <c r="L71" s="91"/>
      <c r="M71" s="91"/>
      <c r="N71" s="91"/>
      <c r="O71" s="91"/>
      <c r="P71" s="91"/>
      <c r="Q71" s="93"/>
      <c r="R71" s="16" t="str">
        <f aca="false">IF(K71=P71, "", "Error")</f>
        <v/>
      </c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4"/>
      <c r="AF71" s="95"/>
      <c r="AG71" s="91"/>
      <c r="AH71" s="91"/>
      <c r="AI71" s="91"/>
      <c r="AJ71" s="91"/>
      <c r="AK71" s="91"/>
      <c r="AL71" s="91"/>
      <c r="AM71" s="91"/>
      <c r="AN71" s="91"/>
      <c r="AO71" s="91"/>
      <c r="AP71" s="91"/>
      <c r="AQ71" s="94"/>
      <c r="AR71" s="95"/>
      <c r="AS71" s="91"/>
      <c r="AT71" s="91"/>
      <c r="AU71" s="91"/>
      <c r="AV71" s="91"/>
      <c r="AW71" s="91"/>
      <c r="AX71" s="91"/>
      <c r="AY71" s="91"/>
      <c r="AZ71" s="91"/>
      <c r="BA71" s="91"/>
      <c r="BB71" s="91"/>
      <c r="BC71" s="94"/>
      <c r="BD71" s="95"/>
      <c r="BE71" s="91"/>
      <c r="BF71" s="91"/>
      <c r="BG71" s="91"/>
      <c r="BH71" s="91"/>
      <c r="BI71" s="91"/>
      <c r="BJ71" s="91"/>
      <c r="BK71" s="91"/>
      <c r="BL71" s="91"/>
      <c r="BM71" s="91"/>
      <c r="BN71" s="91"/>
      <c r="BO71" s="94"/>
      <c r="BP71" s="95"/>
      <c r="BQ71" s="91"/>
      <c r="BR71" s="91"/>
      <c r="BS71" s="91"/>
      <c r="BT71" s="91"/>
      <c r="BU71" s="91"/>
      <c r="BV71" s="91"/>
      <c r="BW71" s="91"/>
      <c r="BX71" s="91"/>
      <c r="BY71" s="91"/>
      <c r="BZ71" s="91"/>
      <c r="CA71" s="91"/>
      <c r="CC71" s="79" t="n">
        <f aca="false">SUMIFS($T71:$CA71, $T$1:$CA$1, CC$63)</f>
        <v>0</v>
      </c>
      <c r="CD71" s="79" t="n">
        <f aca="false">SUMIFS($T71:$CA71, $T$1:$CA$1, CD$63)</f>
        <v>0</v>
      </c>
      <c r="CE71" s="79" t="n">
        <f aca="false">SUMIFS($T71:$CA71, $T$1:$CA$1, CE$63)</f>
        <v>0</v>
      </c>
      <c r="CF71" s="79" t="n">
        <f aca="false">SUMIFS($T71:$CA71, $T$1:$CA$1, CF$63)</f>
        <v>0</v>
      </c>
      <c r="CG71" s="79" t="n">
        <f aca="false">SUMIFS($T71:$CA71, $T$1:$CA$1, CG$63)</f>
        <v>0</v>
      </c>
      <c r="CI71" s="79" t="n">
        <f aca="false">CC71=L71</f>
        <v>1</v>
      </c>
      <c r="CJ71" s="79" t="n">
        <f aca="false">CD71=M71</f>
        <v>1</v>
      </c>
      <c r="CK71" s="79" t="n">
        <f aca="false">CE71=N71</f>
        <v>1</v>
      </c>
      <c r="CL71" s="79" t="n">
        <f aca="false">CF71=O71</f>
        <v>1</v>
      </c>
      <c r="CM71" s="79" t="n">
        <f aca="false">CG71=P71</f>
        <v>1</v>
      </c>
    </row>
    <row r="72" s="14" customFormat="true" ht="16.5" hidden="false" customHeight="true" outlineLevel="0" collapsed="false">
      <c r="E72" s="91"/>
      <c r="H72" s="71"/>
      <c r="I72" s="91" t="n">
        <v>0</v>
      </c>
      <c r="J72" s="91" t="n">
        <v>0</v>
      </c>
      <c r="K72" s="212" t="n">
        <f aca="false">I72-J72</f>
        <v>0</v>
      </c>
      <c r="L72" s="91"/>
      <c r="M72" s="91"/>
      <c r="N72" s="91"/>
      <c r="O72" s="91"/>
      <c r="P72" s="91"/>
      <c r="Q72" s="93"/>
      <c r="R72" s="16" t="str">
        <f aca="false">IF(K72=P72, "", "Error")</f>
        <v/>
      </c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4"/>
      <c r="AF72" s="95"/>
      <c r="AG72" s="91"/>
      <c r="AH72" s="91"/>
      <c r="AI72" s="91"/>
      <c r="AJ72" s="91"/>
      <c r="AK72" s="91"/>
      <c r="AL72" s="91"/>
      <c r="AM72" s="91"/>
      <c r="AN72" s="91"/>
      <c r="AO72" s="91"/>
      <c r="AP72" s="91"/>
      <c r="AQ72" s="94"/>
      <c r="AR72" s="95"/>
      <c r="AS72" s="91"/>
      <c r="AT72" s="91"/>
      <c r="AU72" s="91"/>
      <c r="AV72" s="91"/>
      <c r="AW72" s="91"/>
      <c r="AX72" s="91"/>
      <c r="AY72" s="91"/>
      <c r="AZ72" s="91"/>
      <c r="BA72" s="91"/>
      <c r="BB72" s="91"/>
      <c r="BC72" s="94"/>
      <c r="BD72" s="95"/>
      <c r="BE72" s="91"/>
      <c r="BF72" s="91"/>
      <c r="BG72" s="91"/>
      <c r="BH72" s="91"/>
      <c r="BI72" s="91"/>
      <c r="BJ72" s="91"/>
      <c r="BK72" s="91"/>
      <c r="BL72" s="91"/>
      <c r="BM72" s="91"/>
      <c r="BN72" s="91"/>
      <c r="BO72" s="94"/>
      <c r="BP72" s="95"/>
      <c r="BQ72" s="91"/>
      <c r="BR72" s="91"/>
      <c r="BS72" s="91"/>
      <c r="BT72" s="91"/>
      <c r="BU72" s="91"/>
      <c r="BV72" s="91"/>
      <c r="BW72" s="91"/>
      <c r="BX72" s="91"/>
      <c r="BY72" s="91"/>
      <c r="BZ72" s="91"/>
      <c r="CA72" s="91"/>
      <c r="CC72" s="79" t="n">
        <f aca="false">SUMIFS($T72:$CA72, $T$1:$CA$1, CC$63)</f>
        <v>0</v>
      </c>
      <c r="CD72" s="79" t="n">
        <f aca="false">SUMIFS($T72:$CA72, $T$1:$CA$1, CD$63)</f>
        <v>0</v>
      </c>
      <c r="CE72" s="79" t="n">
        <f aca="false">SUMIFS($T72:$CA72, $T$1:$CA$1, CE$63)</f>
        <v>0</v>
      </c>
      <c r="CF72" s="79" t="n">
        <f aca="false">SUMIFS($T72:$CA72, $T$1:$CA$1, CF$63)</f>
        <v>0</v>
      </c>
      <c r="CG72" s="79" t="n">
        <f aca="false">SUMIFS($T72:$CA72, $T$1:$CA$1, CG$63)</f>
        <v>0</v>
      </c>
      <c r="CI72" s="79" t="n">
        <f aca="false">CC72=L72</f>
        <v>1</v>
      </c>
      <c r="CJ72" s="79" t="n">
        <f aca="false">CD72=M72</f>
        <v>1</v>
      </c>
      <c r="CK72" s="79" t="n">
        <f aca="false">CE72=N72</f>
        <v>1</v>
      </c>
      <c r="CL72" s="79" t="n">
        <f aca="false">CF72=O72</f>
        <v>1</v>
      </c>
      <c r="CM72" s="79" t="n">
        <f aca="false">CG72=P72</f>
        <v>1</v>
      </c>
    </row>
    <row r="73" s="14" customFormat="true" ht="16.5" hidden="false" customHeight="true" outlineLevel="0" collapsed="false">
      <c r="E73" s="91"/>
      <c r="H73" s="71"/>
      <c r="I73" s="91" t="n">
        <v>0</v>
      </c>
      <c r="J73" s="91" t="n">
        <v>0</v>
      </c>
      <c r="K73" s="212" t="n">
        <f aca="false">I73-J73</f>
        <v>0</v>
      </c>
      <c r="L73" s="91"/>
      <c r="M73" s="91"/>
      <c r="N73" s="91"/>
      <c r="O73" s="91"/>
      <c r="P73" s="91"/>
      <c r="Q73" s="93"/>
      <c r="R73" s="16" t="str">
        <f aca="false">IF(K73=P73, "", "Error")</f>
        <v/>
      </c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4"/>
      <c r="AF73" s="95"/>
      <c r="AG73" s="91"/>
      <c r="AH73" s="91"/>
      <c r="AI73" s="91"/>
      <c r="AJ73" s="91"/>
      <c r="AK73" s="91"/>
      <c r="AL73" s="91"/>
      <c r="AM73" s="91"/>
      <c r="AN73" s="91"/>
      <c r="AO73" s="91"/>
      <c r="AP73" s="91"/>
      <c r="AQ73" s="94"/>
      <c r="AR73" s="95"/>
      <c r="AS73" s="91"/>
      <c r="AT73" s="91"/>
      <c r="AU73" s="91"/>
      <c r="AV73" s="91"/>
      <c r="AW73" s="91"/>
      <c r="AX73" s="91"/>
      <c r="AY73" s="91"/>
      <c r="AZ73" s="91"/>
      <c r="BA73" s="91"/>
      <c r="BB73" s="91"/>
      <c r="BC73" s="94"/>
      <c r="BD73" s="95"/>
      <c r="BE73" s="91"/>
      <c r="BF73" s="91"/>
      <c r="BG73" s="91"/>
      <c r="BH73" s="91"/>
      <c r="BI73" s="91"/>
      <c r="BJ73" s="91"/>
      <c r="BK73" s="91"/>
      <c r="BL73" s="91"/>
      <c r="BM73" s="91"/>
      <c r="BN73" s="91"/>
      <c r="BO73" s="94"/>
      <c r="BP73" s="95"/>
      <c r="BQ73" s="91"/>
      <c r="BR73" s="91"/>
      <c r="BS73" s="91"/>
      <c r="BT73" s="91"/>
      <c r="BU73" s="91"/>
      <c r="BV73" s="91"/>
      <c r="BW73" s="91"/>
      <c r="BX73" s="91"/>
      <c r="BY73" s="91"/>
      <c r="BZ73" s="91"/>
      <c r="CA73" s="91"/>
      <c r="CC73" s="79" t="n">
        <f aca="false">SUMIFS($T73:$CA73, $T$1:$CA$1, CC$63)</f>
        <v>0</v>
      </c>
      <c r="CD73" s="79" t="n">
        <f aca="false">SUMIFS($T73:$CA73, $T$1:$CA$1, CD$63)</f>
        <v>0</v>
      </c>
      <c r="CE73" s="79" t="n">
        <f aca="false">SUMIFS($T73:$CA73, $T$1:$CA$1, CE$63)</f>
        <v>0</v>
      </c>
      <c r="CF73" s="79" t="n">
        <f aca="false">SUMIFS($T73:$CA73, $T$1:$CA$1, CF$63)</f>
        <v>0</v>
      </c>
      <c r="CG73" s="79" t="n">
        <f aca="false">SUMIFS($T73:$CA73, $T$1:$CA$1, CG$63)</f>
        <v>0</v>
      </c>
      <c r="CI73" s="79" t="n">
        <f aca="false">CC73=L73</f>
        <v>1</v>
      </c>
      <c r="CJ73" s="79" t="n">
        <f aca="false">CD73=M73</f>
        <v>1</v>
      </c>
      <c r="CK73" s="79" t="n">
        <f aca="false">CE73=N73</f>
        <v>1</v>
      </c>
      <c r="CL73" s="79" t="n">
        <f aca="false">CF73=O73</f>
        <v>1</v>
      </c>
      <c r="CM73" s="79" t="n">
        <f aca="false">CG73=P73</f>
        <v>1</v>
      </c>
    </row>
    <row r="74" s="14" customFormat="true" ht="16.5" hidden="false" customHeight="true" outlineLevel="0" collapsed="false">
      <c r="E74" s="91"/>
      <c r="H74" s="71"/>
      <c r="I74" s="91" t="n">
        <v>0</v>
      </c>
      <c r="J74" s="91" t="n">
        <v>0</v>
      </c>
      <c r="K74" s="212" t="n">
        <f aca="false">I74-J74</f>
        <v>0</v>
      </c>
      <c r="L74" s="91"/>
      <c r="M74" s="91"/>
      <c r="N74" s="91"/>
      <c r="O74" s="91"/>
      <c r="P74" s="91"/>
      <c r="Q74" s="93"/>
      <c r="R74" s="16" t="str">
        <f aca="false">IF(K74=P74, "", "Error")</f>
        <v/>
      </c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4"/>
      <c r="AF74" s="95"/>
      <c r="AG74" s="91"/>
      <c r="AH74" s="91"/>
      <c r="AI74" s="91"/>
      <c r="AJ74" s="91"/>
      <c r="AK74" s="91"/>
      <c r="AL74" s="91"/>
      <c r="AM74" s="91"/>
      <c r="AN74" s="91"/>
      <c r="AO74" s="91"/>
      <c r="AP74" s="91"/>
      <c r="AQ74" s="94"/>
      <c r="AR74" s="95"/>
      <c r="AS74" s="91"/>
      <c r="AT74" s="91"/>
      <c r="AU74" s="91"/>
      <c r="AV74" s="91"/>
      <c r="AW74" s="91"/>
      <c r="AX74" s="91"/>
      <c r="AY74" s="91"/>
      <c r="AZ74" s="91"/>
      <c r="BA74" s="91"/>
      <c r="BB74" s="91"/>
      <c r="BC74" s="94"/>
      <c r="BD74" s="95"/>
      <c r="BE74" s="91"/>
      <c r="BF74" s="91"/>
      <c r="BG74" s="91"/>
      <c r="BH74" s="91"/>
      <c r="BI74" s="91"/>
      <c r="BJ74" s="91"/>
      <c r="BK74" s="91"/>
      <c r="BL74" s="91"/>
      <c r="BM74" s="91"/>
      <c r="BN74" s="91"/>
      <c r="BO74" s="94"/>
      <c r="BP74" s="95"/>
      <c r="BQ74" s="91"/>
      <c r="BR74" s="91"/>
      <c r="BS74" s="91"/>
      <c r="BT74" s="91"/>
      <c r="BU74" s="91"/>
      <c r="BV74" s="91"/>
      <c r="BW74" s="91"/>
      <c r="BX74" s="91"/>
      <c r="BY74" s="91"/>
      <c r="BZ74" s="91"/>
      <c r="CA74" s="91"/>
      <c r="CC74" s="79" t="n">
        <f aca="false">SUMIFS($T74:$CA74, $T$1:$CA$1, CC$63)</f>
        <v>0</v>
      </c>
      <c r="CD74" s="79" t="n">
        <f aca="false">SUMIFS($T74:$CA74, $T$1:$CA$1, CD$63)</f>
        <v>0</v>
      </c>
      <c r="CE74" s="79" t="n">
        <f aca="false">SUMIFS($T74:$CA74, $T$1:$CA$1, CE$63)</f>
        <v>0</v>
      </c>
      <c r="CF74" s="79" t="n">
        <f aca="false">SUMIFS($T74:$CA74, $T$1:$CA$1, CF$63)</f>
        <v>0</v>
      </c>
      <c r="CG74" s="79" t="n">
        <f aca="false">SUMIFS($T74:$CA74, $T$1:$CA$1, CG$63)</f>
        <v>0</v>
      </c>
      <c r="CI74" s="79" t="n">
        <f aca="false">CC74=L74</f>
        <v>1</v>
      </c>
      <c r="CJ74" s="79" t="n">
        <f aca="false">CD74=M74</f>
        <v>1</v>
      </c>
      <c r="CK74" s="79" t="n">
        <f aca="false">CE74=N74</f>
        <v>1</v>
      </c>
      <c r="CL74" s="79" t="n">
        <f aca="false">CF74=O74</f>
        <v>1</v>
      </c>
      <c r="CM74" s="79" t="n">
        <f aca="false">CG74=P74</f>
        <v>1</v>
      </c>
    </row>
    <row r="75" s="14" customFormat="true" ht="16.5" hidden="false" customHeight="true" outlineLevel="0" collapsed="false">
      <c r="E75" s="91"/>
      <c r="H75" s="71"/>
      <c r="I75" s="91"/>
      <c r="J75" s="91"/>
      <c r="K75" s="212" t="n">
        <f aca="false">I75-J75</f>
        <v>0</v>
      </c>
      <c r="L75" s="91"/>
      <c r="M75" s="91"/>
      <c r="N75" s="91"/>
      <c r="O75" s="91"/>
      <c r="P75" s="91"/>
      <c r="Q75" s="93"/>
      <c r="R75" s="16" t="str">
        <f aca="false">IF(K75=P75, "", "Error")</f>
        <v/>
      </c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4"/>
      <c r="AF75" s="95"/>
      <c r="AG75" s="91"/>
      <c r="AH75" s="91"/>
      <c r="AI75" s="91"/>
      <c r="AJ75" s="91"/>
      <c r="AK75" s="91"/>
      <c r="AL75" s="91"/>
      <c r="AM75" s="91"/>
      <c r="AN75" s="91"/>
      <c r="AO75" s="91"/>
      <c r="AP75" s="91"/>
      <c r="AQ75" s="94"/>
      <c r="AR75" s="95"/>
      <c r="AS75" s="91"/>
      <c r="AT75" s="91"/>
      <c r="AU75" s="91"/>
      <c r="AV75" s="91"/>
      <c r="AW75" s="91"/>
      <c r="AX75" s="91"/>
      <c r="AY75" s="91"/>
      <c r="AZ75" s="91"/>
      <c r="BA75" s="91"/>
      <c r="BB75" s="91"/>
      <c r="BC75" s="94"/>
      <c r="BD75" s="95"/>
      <c r="BE75" s="91"/>
      <c r="BF75" s="91"/>
      <c r="BG75" s="91"/>
      <c r="BH75" s="91"/>
      <c r="BI75" s="91"/>
      <c r="BJ75" s="91"/>
      <c r="BK75" s="91"/>
      <c r="BL75" s="91"/>
      <c r="BM75" s="91"/>
      <c r="BN75" s="91"/>
      <c r="BO75" s="94"/>
      <c r="BP75" s="95"/>
      <c r="BQ75" s="91"/>
      <c r="BR75" s="91"/>
      <c r="BS75" s="91"/>
      <c r="BT75" s="91"/>
      <c r="BU75" s="91"/>
      <c r="BV75" s="91"/>
      <c r="BW75" s="91"/>
      <c r="BX75" s="91"/>
      <c r="BY75" s="91"/>
      <c r="BZ75" s="91"/>
      <c r="CA75" s="91"/>
      <c r="CC75" s="79" t="n">
        <f aca="false">SUMIFS($T75:$CA75, $T$1:$CA$1, CC$63)</f>
        <v>0</v>
      </c>
      <c r="CD75" s="79" t="n">
        <f aca="false">SUMIFS($T75:$CA75, $T$1:$CA$1, CD$63)</f>
        <v>0</v>
      </c>
      <c r="CE75" s="79" t="n">
        <f aca="false">SUMIFS($T75:$CA75, $T$1:$CA$1, CE$63)</f>
        <v>0</v>
      </c>
      <c r="CF75" s="79" t="n">
        <f aca="false">SUMIFS($T75:$CA75, $T$1:$CA$1, CF$63)</f>
        <v>0</v>
      </c>
      <c r="CG75" s="79" t="n">
        <f aca="false">SUMIFS($T75:$CA75, $T$1:$CA$1, CG$63)</f>
        <v>0</v>
      </c>
      <c r="CI75" s="79" t="n">
        <f aca="false">CC75=L75</f>
        <v>1</v>
      </c>
      <c r="CJ75" s="79" t="n">
        <f aca="false">CD75=M75</f>
        <v>1</v>
      </c>
      <c r="CK75" s="79" t="n">
        <f aca="false">CE75=N75</f>
        <v>1</v>
      </c>
      <c r="CL75" s="79" t="n">
        <f aca="false">CF75=O75</f>
        <v>1</v>
      </c>
      <c r="CM75" s="79" t="n">
        <f aca="false">CG75=P75</f>
        <v>1</v>
      </c>
    </row>
    <row r="76" s="14" customFormat="true" ht="16.5" hidden="false" customHeight="true" outlineLevel="0" collapsed="false">
      <c r="E76" s="96" t="s">
        <v>139</v>
      </c>
      <c r="H76" s="71"/>
      <c r="I76" s="82" t="n">
        <f aca="false">SUM(I71:I75)</f>
        <v>0</v>
      </c>
      <c r="J76" s="82" t="n">
        <f aca="false">SUM(J71:J75)</f>
        <v>0</v>
      </c>
      <c r="K76" s="82" t="n">
        <f aca="false">SUM(K71:K75)</f>
        <v>0</v>
      </c>
      <c r="L76" s="82" t="n">
        <f aca="false">SUM(L71:L75)</f>
        <v>0</v>
      </c>
      <c r="M76" s="82" t="n">
        <f aca="false">SUM(M71:M75)</f>
        <v>0</v>
      </c>
      <c r="N76" s="82" t="n">
        <f aca="false">SUM(N71:N75)</f>
        <v>0</v>
      </c>
      <c r="O76" s="82" t="n">
        <f aca="false">SUM(O71:O75)</f>
        <v>0</v>
      </c>
      <c r="P76" s="82" t="n">
        <f aca="false">SUM(P71:P75)</f>
        <v>0</v>
      </c>
      <c r="Q76" s="16"/>
      <c r="R76" s="16"/>
      <c r="T76" s="82" t="n">
        <f aca="false">SUM(T71:T75)</f>
        <v>0</v>
      </c>
      <c r="U76" s="82" t="n">
        <f aca="false">SUM(U71:U75)</f>
        <v>0</v>
      </c>
      <c r="V76" s="82" t="n">
        <f aca="false">SUM(V71:V75)</f>
        <v>0</v>
      </c>
      <c r="W76" s="82" t="n">
        <f aca="false">SUM(W71:W75)</f>
        <v>0</v>
      </c>
      <c r="X76" s="82" t="n">
        <f aca="false">SUM(X71:X75)</f>
        <v>0</v>
      </c>
      <c r="Y76" s="82" t="n">
        <f aca="false">SUM(Y71:Y75)</f>
        <v>0</v>
      </c>
      <c r="Z76" s="82" t="n">
        <f aca="false">SUM(Z71:Z75)</f>
        <v>0</v>
      </c>
      <c r="AA76" s="82" t="n">
        <f aca="false">SUM(AA71:AA75)</f>
        <v>0</v>
      </c>
      <c r="AB76" s="82" t="n">
        <f aca="false">SUM(AB71:AB75)</f>
        <v>0</v>
      </c>
      <c r="AC76" s="82" t="n">
        <f aca="false">SUM(AC71:AC75)</f>
        <v>0</v>
      </c>
      <c r="AD76" s="82" t="n">
        <f aca="false">SUM(AD71:AD75)</f>
        <v>0</v>
      </c>
      <c r="AE76" s="82" t="n">
        <f aca="false">SUM(AE71:AE75)</f>
        <v>0</v>
      </c>
      <c r="AF76" s="83" t="n">
        <f aca="false">SUM(AF71:AF75)</f>
        <v>0</v>
      </c>
      <c r="AG76" s="82" t="n">
        <f aca="false">SUM(AG71:AG75)</f>
        <v>0</v>
      </c>
      <c r="AH76" s="82" t="n">
        <f aca="false">SUM(AH71:AH75)</f>
        <v>0</v>
      </c>
      <c r="AI76" s="82" t="n">
        <f aca="false">SUM(AI71:AI75)</f>
        <v>0</v>
      </c>
      <c r="AJ76" s="82" t="n">
        <f aca="false">SUM(AJ71:AJ75)</f>
        <v>0</v>
      </c>
      <c r="AK76" s="82" t="n">
        <f aca="false">SUM(AK71:AK75)</f>
        <v>0</v>
      </c>
      <c r="AL76" s="82" t="n">
        <f aca="false">SUM(AL71:AL75)</f>
        <v>0</v>
      </c>
      <c r="AM76" s="82" t="n">
        <f aca="false">SUM(AM71:AM75)</f>
        <v>0</v>
      </c>
      <c r="AN76" s="82" t="n">
        <f aca="false">SUM(AN71:AN75)</f>
        <v>0</v>
      </c>
      <c r="AO76" s="82" t="n">
        <f aca="false">SUM(AO71:AO75)</f>
        <v>0</v>
      </c>
      <c r="AP76" s="82" t="n">
        <f aca="false">SUM(AP71:AP75)</f>
        <v>0</v>
      </c>
      <c r="AQ76" s="82" t="n">
        <f aca="false">SUM(AQ71:AQ75)</f>
        <v>0</v>
      </c>
      <c r="AR76" s="83" t="n">
        <f aca="false">SUM(AR71:AR75)</f>
        <v>0</v>
      </c>
      <c r="AS76" s="82" t="n">
        <f aca="false">SUM(AS71:AS75)</f>
        <v>0</v>
      </c>
      <c r="AT76" s="82" t="n">
        <f aca="false">SUM(AT71:AT75)</f>
        <v>0</v>
      </c>
      <c r="AU76" s="82" t="n">
        <f aca="false">SUM(AU71:AU75)</f>
        <v>0</v>
      </c>
      <c r="AV76" s="82" t="n">
        <f aca="false">SUM(AV71:AV75)</f>
        <v>0</v>
      </c>
      <c r="AW76" s="82" t="n">
        <f aca="false">SUM(AW71:AW75)</f>
        <v>0</v>
      </c>
      <c r="AX76" s="82" t="n">
        <f aca="false">SUM(AX71:AX75)</f>
        <v>0</v>
      </c>
      <c r="AY76" s="82" t="n">
        <f aca="false">SUM(AY71:AY75)</f>
        <v>0</v>
      </c>
      <c r="AZ76" s="82" t="n">
        <f aca="false">SUM(AZ71:AZ75)</f>
        <v>0</v>
      </c>
      <c r="BA76" s="82" t="n">
        <f aca="false">SUM(BA71:BA75)</f>
        <v>0</v>
      </c>
      <c r="BB76" s="82" t="n">
        <f aca="false">SUM(BB71:BB75)</f>
        <v>0</v>
      </c>
      <c r="BC76" s="82" t="n">
        <f aca="false">SUM(BC71:BC75)</f>
        <v>0</v>
      </c>
      <c r="BD76" s="83" t="n">
        <f aca="false">SUM(BD71:BD75)</f>
        <v>0</v>
      </c>
      <c r="BE76" s="82" t="n">
        <f aca="false">SUM(BE71:BE75)</f>
        <v>0</v>
      </c>
      <c r="BF76" s="82" t="n">
        <f aca="false">SUM(BF71:BF75)</f>
        <v>0</v>
      </c>
      <c r="BG76" s="82" t="n">
        <f aca="false">SUM(BG71:BG75)</f>
        <v>0</v>
      </c>
      <c r="BH76" s="82" t="n">
        <f aca="false">SUM(BH71:BH75)</f>
        <v>0</v>
      </c>
      <c r="BI76" s="82" t="n">
        <f aca="false">SUM(BI71:BI75)</f>
        <v>0</v>
      </c>
      <c r="BJ76" s="82" t="n">
        <f aca="false">SUM(BJ71:BJ75)</f>
        <v>0</v>
      </c>
      <c r="BK76" s="82" t="n">
        <f aca="false">SUM(BK71:BK75)</f>
        <v>0</v>
      </c>
      <c r="BL76" s="82" t="n">
        <f aca="false">SUM(BL71:BL75)</f>
        <v>0</v>
      </c>
      <c r="BM76" s="82" t="n">
        <f aca="false">SUM(BM71:BM75)</f>
        <v>0</v>
      </c>
      <c r="BN76" s="82" t="n">
        <f aca="false">SUM(BN71:BN75)</f>
        <v>0</v>
      </c>
      <c r="BO76" s="82" t="n">
        <f aca="false">SUM(BO71:BO75)</f>
        <v>0</v>
      </c>
      <c r="BP76" s="83" t="n">
        <f aca="false">SUM(BP71:BP75)</f>
        <v>0</v>
      </c>
      <c r="BQ76" s="82" t="n">
        <f aca="false">SUM(BQ71:BQ75)</f>
        <v>0</v>
      </c>
      <c r="BR76" s="82" t="n">
        <f aca="false">SUM(BR71:BR75)</f>
        <v>0</v>
      </c>
      <c r="BS76" s="82" t="n">
        <f aca="false">SUM(BS71:BS75)</f>
        <v>0</v>
      </c>
      <c r="BT76" s="82" t="n">
        <f aca="false">SUM(BT71:BT75)</f>
        <v>0</v>
      </c>
      <c r="BU76" s="82" t="n">
        <f aca="false">SUM(BU71:BU75)</f>
        <v>0</v>
      </c>
      <c r="BV76" s="82" t="n">
        <f aca="false">SUM(BV71:BV75)</f>
        <v>0</v>
      </c>
      <c r="BW76" s="82" t="n">
        <f aca="false">SUM(BW71:BW75)</f>
        <v>0</v>
      </c>
      <c r="BX76" s="82" t="n">
        <f aca="false">SUM(BX71:BX75)</f>
        <v>0</v>
      </c>
      <c r="BY76" s="82" t="n">
        <f aca="false">SUM(BY71:BY75)</f>
        <v>0</v>
      </c>
      <c r="BZ76" s="82" t="n">
        <f aca="false">SUM(BZ71:BZ75)</f>
        <v>0</v>
      </c>
      <c r="CA76" s="82" t="n">
        <f aca="false">SUM(CA71:CA75)</f>
        <v>0</v>
      </c>
      <c r="CC76" s="84" t="n">
        <f aca="false">SUM(CC71:CC75)</f>
        <v>0</v>
      </c>
      <c r="CD76" s="84" t="n">
        <f aca="false">SUM(CD71:CD75)</f>
        <v>0</v>
      </c>
      <c r="CE76" s="84" t="n">
        <f aca="false">SUM(CE71:CE75)</f>
        <v>0</v>
      </c>
      <c r="CF76" s="84" t="n">
        <f aca="false">SUM(CF71:CF75)</f>
        <v>0</v>
      </c>
      <c r="CG76" s="84" t="n">
        <f aca="false">SUM(CG71:CG75)</f>
        <v>0</v>
      </c>
      <c r="CI76" s="84" t="n">
        <f aca="false">CC76=L76</f>
        <v>1</v>
      </c>
      <c r="CJ76" s="84" t="n">
        <f aca="false">CD76=M76</f>
        <v>1</v>
      </c>
      <c r="CK76" s="84" t="n">
        <f aca="false">CE76=N76</f>
        <v>1</v>
      </c>
      <c r="CL76" s="84" t="n">
        <f aca="false">CF76=O76</f>
        <v>1</v>
      </c>
      <c r="CM76" s="84" t="n">
        <f aca="false">CG76=P76</f>
        <v>1</v>
      </c>
    </row>
    <row r="77" s="14" customFormat="true" ht="16.5" hidden="false" customHeight="true" outlineLevel="0" collapsed="false">
      <c r="H77" s="71"/>
      <c r="I77" s="88"/>
      <c r="J77" s="88"/>
      <c r="K77" s="88"/>
      <c r="L77" s="88"/>
      <c r="M77" s="88"/>
      <c r="N77" s="88"/>
      <c r="O77" s="88"/>
      <c r="P77" s="88"/>
      <c r="Q77" s="16"/>
      <c r="R77" s="16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9"/>
      <c r="AG77" s="88"/>
      <c r="AH77" s="88"/>
      <c r="AI77" s="88"/>
      <c r="AJ77" s="88"/>
      <c r="AK77" s="88"/>
      <c r="AL77" s="88"/>
      <c r="AM77" s="88"/>
      <c r="AN77" s="88"/>
      <c r="AO77" s="88"/>
      <c r="AP77" s="88"/>
      <c r="AQ77" s="88"/>
      <c r="AR77" s="89"/>
      <c r="AS77" s="88"/>
      <c r="AT77" s="88"/>
      <c r="AU77" s="88"/>
      <c r="AV77" s="88"/>
      <c r="AW77" s="88"/>
      <c r="AX77" s="88"/>
      <c r="AY77" s="88"/>
      <c r="AZ77" s="88"/>
      <c r="BA77" s="88"/>
      <c r="BB77" s="88"/>
      <c r="BC77" s="88"/>
      <c r="BD77" s="89"/>
      <c r="BE77" s="88"/>
      <c r="BF77" s="88"/>
      <c r="BG77" s="88"/>
      <c r="BH77" s="88"/>
      <c r="BI77" s="88"/>
      <c r="BJ77" s="88"/>
      <c r="BK77" s="88"/>
      <c r="BL77" s="88"/>
      <c r="BM77" s="88"/>
      <c r="BN77" s="88"/>
      <c r="BO77" s="88"/>
      <c r="BP77" s="89"/>
      <c r="BQ77" s="88"/>
      <c r="BR77" s="88"/>
      <c r="BS77" s="88"/>
      <c r="BT77" s="88"/>
      <c r="BU77" s="88"/>
      <c r="BV77" s="88"/>
      <c r="BW77" s="88"/>
      <c r="BX77" s="88"/>
      <c r="BY77" s="88"/>
      <c r="BZ77" s="88"/>
      <c r="CA77" s="88"/>
      <c r="CC77" s="90"/>
      <c r="CD77" s="90"/>
      <c r="CE77" s="90"/>
      <c r="CF77" s="90"/>
      <c r="CG77" s="90"/>
      <c r="CI77" s="90"/>
      <c r="CJ77" s="90"/>
      <c r="CK77" s="90"/>
      <c r="CL77" s="90"/>
      <c r="CM77" s="90"/>
    </row>
    <row r="78" s="14" customFormat="true" ht="16.5" hidden="false" customHeight="true" outlineLevel="0" collapsed="false">
      <c r="E78" s="21" t="s">
        <v>140</v>
      </c>
      <c r="H78" s="71"/>
      <c r="I78" s="88"/>
      <c r="J78" s="88"/>
      <c r="K78" s="88"/>
      <c r="L78" s="88"/>
      <c r="M78" s="88"/>
      <c r="N78" s="88"/>
      <c r="O78" s="88"/>
      <c r="P78" s="88"/>
      <c r="Q78" s="16"/>
      <c r="R78" s="16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9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9"/>
      <c r="AS78" s="88"/>
      <c r="AT78" s="88"/>
      <c r="AU78" s="88"/>
      <c r="AV78" s="88"/>
      <c r="AW78" s="88"/>
      <c r="AX78" s="88"/>
      <c r="AY78" s="88"/>
      <c r="AZ78" s="88"/>
      <c r="BA78" s="88"/>
      <c r="BB78" s="88"/>
      <c r="BC78" s="88"/>
      <c r="BD78" s="89"/>
      <c r="BE78" s="88"/>
      <c r="BF78" s="88"/>
      <c r="BG78" s="88"/>
      <c r="BH78" s="88"/>
      <c r="BI78" s="88"/>
      <c r="BJ78" s="88"/>
      <c r="BK78" s="88"/>
      <c r="BL78" s="88"/>
      <c r="BM78" s="88"/>
      <c r="BN78" s="88"/>
      <c r="BO78" s="88"/>
      <c r="BP78" s="89"/>
      <c r="BQ78" s="88"/>
      <c r="BR78" s="88"/>
      <c r="BS78" s="88"/>
      <c r="BT78" s="88"/>
      <c r="BU78" s="88"/>
      <c r="BV78" s="88"/>
      <c r="BW78" s="88"/>
      <c r="BX78" s="88"/>
      <c r="BY78" s="88"/>
      <c r="BZ78" s="88"/>
      <c r="CA78" s="88"/>
      <c r="CC78" s="90"/>
      <c r="CD78" s="90"/>
      <c r="CE78" s="90"/>
      <c r="CF78" s="90"/>
      <c r="CG78" s="90"/>
      <c r="CI78" s="90"/>
      <c r="CJ78" s="90"/>
      <c r="CK78" s="90"/>
      <c r="CL78" s="90"/>
      <c r="CM78" s="90"/>
    </row>
    <row r="79" s="14" customFormat="true" ht="16.5" hidden="false" customHeight="true" outlineLevel="0" collapsed="false">
      <c r="E79" s="91"/>
      <c r="H79" s="71"/>
      <c r="I79" s="91" t="n">
        <f aca="false">J21</f>
        <v>0</v>
      </c>
      <c r="J79" s="91" t="n">
        <v>0</v>
      </c>
      <c r="K79" s="212" t="n">
        <f aca="false">I79-J79</f>
        <v>0</v>
      </c>
      <c r="L79" s="91" t="n">
        <v>0</v>
      </c>
      <c r="M79" s="91" t="n">
        <f aca="false">$K79</f>
        <v>0</v>
      </c>
      <c r="N79" s="91" t="n">
        <f aca="false">$K79</f>
        <v>0</v>
      </c>
      <c r="O79" s="91" t="n">
        <f aca="false">$K79</f>
        <v>0</v>
      </c>
      <c r="P79" s="91" t="n">
        <f aca="false">$K79</f>
        <v>0</v>
      </c>
      <c r="Q79" s="93"/>
      <c r="R79" s="16" t="str">
        <f aca="false">IF(K79=P79, "", "Error")</f>
        <v/>
      </c>
      <c r="T79" s="91" t="n">
        <v>0</v>
      </c>
      <c r="U79" s="91" t="n">
        <v>0</v>
      </c>
      <c r="V79" s="91" t="n">
        <v>0</v>
      </c>
      <c r="W79" s="91" t="n">
        <v>0</v>
      </c>
      <c r="X79" s="91" t="n">
        <v>0</v>
      </c>
      <c r="Y79" s="91" t="n">
        <v>0</v>
      </c>
      <c r="Z79" s="91" t="n">
        <v>0</v>
      </c>
      <c r="AA79" s="91" t="n">
        <v>0</v>
      </c>
      <c r="AB79" s="91" t="n">
        <v>0</v>
      </c>
      <c r="AC79" s="91" t="n">
        <v>0</v>
      </c>
      <c r="AD79" s="91" t="n">
        <v>0</v>
      </c>
      <c r="AE79" s="94" t="n">
        <v>0</v>
      </c>
      <c r="AF79" s="95" t="n">
        <f aca="false">$K$79/12</f>
        <v>0</v>
      </c>
      <c r="AG79" s="95" t="n">
        <f aca="false">$K$79/12</f>
        <v>0</v>
      </c>
      <c r="AH79" s="95" t="n">
        <f aca="false">$K$79/12</f>
        <v>0</v>
      </c>
      <c r="AI79" s="95" t="n">
        <f aca="false">$K$79/12</f>
        <v>0</v>
      </c>
      <c r="AJ79" s="95" t="n">
        <f aca="false">$K$79/12</f>
        <v>0</v>
      </c>
      <c r="AK79" s="95" t="n">
        <f aca="false">$K$79/12</f>
        <v>0</v>
      </c>
      <c r="AL79" s="95" t="n">
        <f aca="false">$K$79/12</f>
        <v>0</v>
      </c>
      <c r="AM79" s="95" t="n">
        <f aca="false">$K$79/12</f>
        <v>0</v>
      </c>
      <c r="AN79" s="95" t="n">
        <f aca="false">$K$79/12</f>
        <v>0</v>
      </c>
      <c r="AO79" s="95" t="n">
        <f aca="false">$K$79/12</f>
        <v>0</v>
      </c>
      <c r="AP79" s="95" t="n">
        <f aca="false">$K$79/12</f>
        <v>0</v>
      </c>
      <c r="AQ79" s="95" t="n">
        <f aca="false">$K$79/12</f>
        <v>0</v>
      </c>
      <c r="AR79" s="95" t="n">
        <f aca="false">$K$79/12</f>
        <v>0</v>
      </c>
      <c r="AS79" s="95" t="n">
        <f aca="false">$K$79/12</f>
        <v>0</v>
      </c>
      <c r="AT79" s="95" t="n">
        <f aca="false">$K$79/12</f>
        <v>0</v>
      </c>
      <c r="AU79" s="95" t="n">
        <f aca="false">$K$79/12</f>
        <v>0</v>
      </c>
      <c r="AV79" s="95" t="n">
        <f aca="false">$K$79/12</f>
        <v>0</v>
      </c>
      <c r="AW79" s="95" t="n">
        <f aca="false">$K$79/12</f>
        <v>0</v>
      </c>
      <c r="AX79" s="95" t="n">
        <f aca="false">$K$79/12</f>
        <v>0</v>
      </c>
      <c r="AY79" s="95" t="n">
        <f aca="false">$K$79/12</f>
        <v>0</v>
      </c>
      <c r="AZ79" s="95" t="n">
        <f aca="false">$K$79/12</f>
        <v>0</v>
      </c>
      <c r="BA79" s="95" t="n">
        <f aca="false">$K$79/12</f>
        <v>0</v>
      </c>
      <c r="BB79" s="95" t="n">
        <f aca="false">$K$79/12</f>
        <v>0</v>
      </c>
      <c r="BC79" s="95" t="n">
        <f aca="false">$K$79/12</f>
        <v>0</v>
      </c>
      <c r="BD79" s="95" t="n">
        <f aca="false">$K$79/12</f>
        <v>0</v>
      </c>
      <c r="BE79" s="95" t="n">
        <f aca="false">$K$79/12</f>
        <v>0</v>
      </c>
      <c r="BF79" s="95" t="n">
        <f aca="false">$K$79/12</f>
        <v>0</v>
      </c>
      <c r="BG79" s="95" t="n">
        <f aca="false">$K$79/12</f>
        <v>0</v>
      </c>
      <c r="BH79" s="95" t="n">
        <f aca="false">$K$79/12</f>
        <v>0</v>
      </c>
      <c r="BI79" s="95" t="n">
        <f aca="false">$K$79/12</f>
        <v>0</v>
      </c>
      <c r="BJ79" s="95" t="n">
        <f aca="false">$K$79/12</f>
        <v>0</v>
      </c>
      <c r="BK79" s="95" t="n">
        <f aca="false">$K$79/12</f>
        <v>0</v>
      </c>
      <c r="BL79" s="95" t="n">
        <f aca="false">$K$79/12</f>
        <v>0</v>
      </c>
      <c r="BM79" s="95" t="n">
        <f aca="false">$K$79/12</f>
        <v>0</v>
      </c>
      <c r="BN79" s="95" t="n">
        <f aca="false">$K$79/12</f>
        <v>0</v>
      </c>
      <c r="BO79" s="95" t="n">
        <f aca="false">$K$79/12</f>
        <v>0</v>
      </c>
      <c r="BP79" s="95"/>
      <c r="BQ79" s="95"/>
      <c r="BR79" s="95"/>
      <c r="BS79" s="95"/>
      <c r="BT79" s="95"/>
      <c r="BU79" s="95"/>
      <c r="BV79" s="95"/>
      <c r="BW79" s="95"/>
      <c r="BX79" s="95"/>
      <c r="BY79" s="95"/>
      <c r="BZ79" s="95"/>
      <c r="CA79" s="95"/>
      <c r="CC79" s="79" t="n">
        <f aca="false">SUMIFS($T79:$CA79, $T$1:$CA$1, CC$63)</f>
        <v>0</v>
      </c>
      <c r="CD79" s="79" t="n">
        <f aca="false">SUMIFS($T79:$CA79, $T$1:$CA$1, CD$63)</f>
        <v>0</v>
      </c>
      <c r="CE79" s="79" t="n">
        <f aca="false">SUMIFS($T79:$CA79, $T$1:$CA$1, CE$63)</f>
        <v>0</v>
      </c>
      <c r="CF79" s="79" t="n">
        <f aca="false">SUMIFS($T79:$CA79, $T$1:$CA$1, CF$63)</f>
        <v>0</v>
      </c>
      <c r="CG79" s="79" t="n">
        <f aca="false">SUMIFS($T79:$CA79, $T$1:$CA$1, CG$63)</f>
        <v>0</v>
      </c>
      <c r="CI79" s="79" t="n">
        <f aca="false">CC79=L79</f>
        <v>1</v>
      </c>
      <c r="CJ79" s="79" t="n">
        <f aca="false">CD79=M79</f>
        <v>1</v>
      </c>
      <c r="CK79" s="79" t="n">
        <f aca="false">CE79=N79</f>
        <v>1</v>
      </c>
      <c r="CL79" s="79" t="n">
        <f aca="false">CF79=O79</f>
        <v>1</v>
      </c>
      <c r="CM79" s="79" t="n">
        <f aca="false">CG79=P79</f>
        <v>1</v>
      </c>
    </row>
    <row r="80" s="14" customFormat="true" ht="16.5" hidden="false" customHeight="true" outlineLevel="0" collapsed="false">
      <c r="E80" s="91"/>
      <c r="H80" s="71"/>
      <c r="I80" s="91" t="n">
        <v>0</v>
      </c>
      <c r="J80" s="91" t="n">
        <v>0</v>
      </c>
      <c r="K80" s="212" t="n">
        <f aca="false">I80-J80</f>
        <v>0</v>
      </c>
      <c r="L80" s="91"/>
      <c r="M80" s="91"/>
      <c r="N80" s="91"/>
      <c r="O80" s="91"/>
      <c r="P80" s="91"/>
      <c r="Q80" s="93"/>
      <c r="R80" s="16" t="str">
        <f aca="false">IF(K80=P80, "", "Error")</f>
        <v/>
      </c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4"/>
      <c r="AF80" s="95"/>
      <c r="AG80" s="91"/>
      <c r="AH80" s="91"/>
      <c r="AI80" s="91"/>
      <c r="AJ80" s="91"/>
      <c r="AK80" s="91"/>
      <c r="AL80" s="91"/>
      <c r="AM80" s="91"/>
      <c r="AN80" s="91"/>
      <c r="AO80" s="91"/>
      <c r="AP80" s="91"/>
      <c r="AQ80" s="94"/>
      <c r="AR80" s="95"/>
      <c r="AS80" s="91"/>
      <c r="AT80" s="91"/>
      <c r="AU80" s="91"/>
      <c r="AV80" s="91"/>
      <c r="AW80" s="91"/>
      <c r="AX80" s="91"/>
      <c r="AY80" s="91"/>
      <c r="AZ80" s="91"/>
      <c r="BA80" s="91"/>
      <c r="BB80" s="91"/>
      <c r="BC80" s="94"/>
      <c r="BD80" s="95"/>
      <c r="BE80" s="91"/>
      <c r="BF80" s="91"/>
      <c r="BG80" s="91"/>
      <c r="BH80" s="91"/>
      <c r="BI80" s="91"/>
      <c r="BJ80" s="91"/>
      <c r="BK80" s="91"/>
      <c r="BL80" s="91"/>
      <c r="BM80" s="91"/>
      <c r="BN80" s="91"/>
      <c r="BO80" s="94"/>
      <c r="BP80" s="95"/>
      <c r="BQ80" s="91"/>
      <c r="BR80" s="91"/>
      <c r="BS80" s="91"/>
      <c r="BT80" s="91"/>
      <c r="BU80" s="91"/>
      <c r="BV80" s="91"/>
      <c r="BW80" s="91"/>
      <c r="BX80" s="91"/>
      <c r="BY80" s="91"/>
      <c r="BZ80" s="91"/>
      <c r="CA80" s="91"/>
      <c r="CC80" s="79" t="n">
        <f aca="false">SUMIFS($T80:$CA80, $T$1:$CA$1, CC$63)</f>
        <v>0</v>
      </c>
      <c r="CD80" s="79" t="n">
        <f aca="false">SUMIFS($T80:$CA80, $T$1:$CA$1, CD$63)</f>
        <v>0</v>
      </c>
      <c r="CE80" s="79" t="n">
        <f aca="false">SUMIFS($T80:$CA80, $T$1:$CA$1, CE$63)</f>
        <v>0</v>
      </c>
      <c r="CF80" s="79" t="n">
        <f aca="false">SUMIFS($T80:$CA80, $T$1:$CA$1, CF$63)</f>
        <v>0</v>
      </c>
      <c r="CG80" s="79" t="n">
        <f aca="false">SUMIFS($T80:$CA80, $T$1:$CA$1, CG$63)</f>
        <v>0</v>
      </c>
      <c r="CI80" s="79" t="n">
        <f aca="false">CC80=L80</f>
        <v>1</v>
      </c>
      <c r="CJ80" s="79" t="n">
        <f aca="false">CD80=M80</f>
        <v>1</v>
      </c>
      <c r="CK80" s="79" t="n">
        <f aca="false">CE80=N80</f>
        <v>1</v>
      </c>
      <c r="CL80" s="79" t="n">
        <f aca="false">CF80=O80</f>
        <v>1</v>
      </c>
      <c r="CM80" s="79" t="n">
        <f aca="false">CG80=P80</f>
        <v>1</v>
      </c>
    </row>
    <row r="81" s="14" customFormat="true" ht="16.5" hidden="false" customHeight="true" outlineLevel="0" collapsed="false">
      <c r="E81" s="91"/>
      <c r="H81" s="71"/>
      <c r="I81" s="91" t="n">
        <v>0</v>
      </c>
      <c r="J81" s="91" t="n">
        <v>0</v>
      </c>
      <c r="K81" s="212" t="n">
        <f aca="false">I81-J81</f>
        <v>0</v>
      </c>
      <c r="L81" s="91"/>
      <c r="M81" s="91"/>
      <c r="N81" s="91"/>
      <c r="O81" s="91"/>
      <c r="P81" s="91"/>
      <c r="Q81" s="93"/>
      <c r="R81" s="16" t="str">
        <f aca="false">IF(K81=P81, "", "Error")</f>
        <v/>
      </c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4"/>
      <c r="AF81" s="95"/>
      <c r="AG81" s="91"/>
      <c r="AH81" s="91"/>
      <c r="AI81" s="91"/>
      <c r="AJ81" s="91"/>
      <c r="AK81" s="91"/>
      <c r="AL81" s="91"/>
      <c r="AM81" s="91"/>
      <c r="AN81" s="91"/>
      <c r="AO81" s="91"/>
      <c r="AP81" s="91"/>
      <c r="AQ81" s="94"/>
      <c r="AR81" s="95"/>
      <c r="AS81" s="91"/>
      <c r="AT81" s="91"/>
      <c r="AU81" s="91"/>
      <c r="AV81" s="91"/>
      <c r="AW81" s="91"/>
      <c r="AX81" s="91"/>
      <c r="AY81" s="91"/>
      <c r="AZ81" s="91"/>
      <c r="BA81" s="91"/>
      <c r="BB81" s="91"/>
      <c r="BC81" s="94"/>
      <c r="BD81" s="95"/>
      <c r="BE81" s="91"/>
      <c r="BF81" s="91"/>
      <c r="BG81" s="91"/>
      <c r="BH81" s="91"/>
      <c r="BI81" s="91"/>
      <c r="BJ81" s="91"/>
      <c r="BK81" s="91"/>
      <c r="BL81" s="91"/>
      <c r="BM81" s="91"/>
      <c r="BN81" s="91"/>
      <c r="BO81" s="94"/>
      <c r="BP81" s="95"/>
      <c r="BQ81" s="91"/>
      <c r="BR81" s="91"/>
      <c r="BS81" s="91"/>
      <c r="BT81" s="91"/>
      <c r="BU81" s="91"/>
      <c r="BV81" s="91"/>
      <c r="BW81" s="91"/>
      <c r="BX81" s="91"/>
      <c r="BY81" s="91"/>
      <c r="BZ81" s="91"/>
      <c r="CA81" s="91"/>
      <c r="CC81" s="79" t="n">
        <f aca="false">SUMIFS($T81:$CA81, $T$1:$CA$1, CC$63)</f>
        <v>0</v>
      </c>
      <c r="CD81" s="79" t="n">
        <f aca="false">SUMIFS($T81:$CA81, $T$1:$CA$1, CD$63)</f>
        <v>0</v>
      </c>
      <c r="CE81" s="79" t="n">
        <f aca="false">SUMIFS($T81:$CA81, $T$1:$CA$1, CE$63)</f>
        <v>0</v>
      </c>
      <c r="CF81" s="79" t="n">
        <f aca="false">SUMIFS($T81:$CA81, $T$1:$CA$1, CF$63)</f>
        <v>0</v>
      </c>
      <c r="CG81" s="79" t="n">
        <f aca="false">SUMIFS($T81:$CA81, $T$1:$CA$1, CG$63)</f>
        <v>0</v>
      </c>
      <c r="CI81" s="79" t="n">
        <f aca="false">CC81=L81</f>
        <v>1</v>
      </c>
      <c r="CJ81" s="79" t="n">
        <f aca="false">CD81=M81</f>
        <v>1</v>
      </c>
      <c r="CK81" s="79" t="n">
        <f aca="false">CE81=N81</f>
        <v>1</v>
      </c>
      <c r="CL81" s="79" t="n">
        <f aca="false">CF81=O81</f>
        <v>1</v>
      </c>
      <c r="CM81" s="79" t="n">
        <f aca="false">CG81=P81</f>
        <v>1</v>
      </c>
    </row>
    <row r="82" s="14" customFormat="true" ht="16.5" hidden="false" customHeight="true" outlineLevel="0" collapsed="false">
      <c r="E82" s="91"/>
      <c r="H82" s="71"/>
      <c r="I82" s="91" t="n">
        <v>0</v>
      </c>
      <c r="J82" s="91" t="n">
        <v>0</v>
      </c>
      <c r="K82" s="212" t="n">
        <f aca="false">I82-J82</f>
        <v>0</v>
      </c>
      <c r="L82" s="91"/>
      <c r="M82" s="91"/>
      <c r="N82" s="91"/>
      <c r="O82" s="91"/>
      <c r="P82" s="91"/>
      <c r="Q82" s="93"/>
      <c r="R82" s="16" t="str">
        <f aca="false">IF(K82=P82, "", "Error")</f>
        <v/>
      </c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4"/>
      <c r="AF82" s="95"/>
      <c r="AG82" s="91"/>
      <c r="AH82" s="91"/>
      <c r="AI82" s="91"/>
      <c r="AJ82" s="91"/>
      <c r="AK82" s="91"/>
      <c r="AL82" s="91"/>
      <c r="AM82" s="91"/>
      <c r="AN82" s="91"/>
      <c r="AO82" s="91"/>
      <c r="AP82" s="91"/>
      <c r="AQ82" s="94"/>
      <c r="AR82" s="95"/>
      <c r="AS82" s="91"/>
      <c r="AT82" s="91"/>
      <c r="AU82" s="91"/>
      <c r="AV82" s="91"/>
      <c r="AW82" s="91"/>
      <c r="AX82" s="91"/>
      <c r="AY82" s="91"/>
      <c r="AZ82" s="91"/>
      <c r="BA82" s="91"/>
      <c r="BB82" s="91"/>
      <c r="BC82" s="94"/>
      <c r="BD82" s="95"/>
      <c r="BE82" s="91"/>
      <c r="BF82" s="91"/>
      <c r="BG82" s="91"/>
      <c r="BH82" s="91"/>
      <c r="BI82" s="91"/>
      <c r="BJ82" s="91"/>
      <c r="BK82" s="91"/>
      <c r="BL82" s="91"/>
      <c r="BM82" s="91"/>
      <c r="BN82" s="91"/>
      <c r="BO82" s="94"/>
      <c r="BP82" s="95"/>
      <c r="BQ82" s="91"/>
      <c r="BR82" s="91"/>
      <c r="BS82" s="91"/>
      <c r="BT82" s="91"/>
      <c r="BU82" s="91"/>
      <c r="BV82" s="91"/>
      <c r="BW82" s="91"/>
      <c r="BX82" s="91"/>
      <c r="BY82" s="91"/>
      <c r="BZ82" s="91"/>
      <c r="CA82" s="91"/>
      <c r="CC82" s="79" t="n">
        <f aca="false">SUMIFS($T82:$CA82, $T$1:$CA$1, CC$63)</f>
        <v>0</v>
      </c>
      <c r="CD82" s="79" t="n">
        <f aca="false">SUMIFS($T82:$CA82, $T$1:$CA$1, CD$63)</f>
        <v>0</v>
      </c>
      <c r="CE82" s="79" t="n">
        <f aca="false">SUMIFS($T82:$CA82, $T$1:$CA$1, CE$63)</f>
        <v>0</v>
      </c>
      <c r="CF82" s="79" t="n">
        <f aca="false">SUMIFS($T82:$CA82, $T$1:$CA$1, CF$63)</f>
        <v>0</v>
      </c>
      <c r="CG82" s="79" t="n">
        <f aca="false">SUMIFS($T82:$CA82, $T$1:$CA$1, CG$63)</f>
        <v>0</v>
      </c>
      <c r="CI82" s="79" t="n">
        <f aca="false">CC82=L82</f>
        <v>1</v>
      </c>
      <c r="CJ82" s="79" t="n">
        <f aca="false">CD82=M82</f>
        <v>1</v>
      </c>
      <c r="CK82" s="79" t="n">
        <f aca="false">CE82=N82</f>
        <v>1</v>
      </c>
      <c r="CL82" s="79" t="n">
        <f aca="false">CF82=O82</f>
        <v>1</v>
      </c>
      <c r="CM82" s="79" t="n">
        <f aca="false">CG82=P82</f>
        <v>1</v>
      </c>
    </row>
    <row r="83" s="14" customFormat="true" ht="16.5" hidden="false" customHeight="true" outlineLevel="0" collapsed="false">
      <c r="E83" s="91"/>
      <c r="H83" s="71"/>
      <c r="I83" s="91" t="n">
        <v>0</v>
      </c>
      <c r="J83" s="91" t="n">
        <v>0</v>
      </c>
      <c r="K83" s="212" t="n">
        <f aca="false">I83-J83</f>
        <v>0</v>
      </c>
      <c r="L83" s="91"/>
      <c r="M83" s="91"/>
      <c r="N83" s="91"/>
      <c r="O83" s="91"/>
      <c r="P83" s="91"/>
      <c r="Q83" s="93"/>
      <c r="R83" s="16" t="str">
        <f aca="false">IF(K83=P83, "", "Error")</f>
        <v/>
      </c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4"/>
      <c r="AF83" s="95"/>
      <c r="AG83" s="91"/>
      <c r="AH83" s="91"/>
      <c r="AI83" s="91"/>
      <c r="AJ83" s="91"/>
      <c r="AK83" s="91"/>
      <c r="AL83" s="91"/>
      <c r="AM83" s="91"/>
      <c r="AN83" s="91"/>
      <c r="AO83" s="91"/>
      <c r="AP83" s="91"/>
      <c r="AQ83" s="94"/>
      <c r="AR83" s="95"/>
      <c r="AS83" s="91"/>
      <c r="AT83" s="91"/>
      <c r="AU83" s="91"/>
      <c r="AV83" s="91"/>
      <c r="AW83" s="91"/>
      <c r="AX83" s="91"/>
      <c r="AY83" s="91"/>
      <c r="AZ83" s="91"/>
      <c r="BA83" s="91"/>
      <c r="BB83" s="91"/>
      <c r="BC83" s="94"/>
      <c r="BD83" s="95"/>
      <c r="BE83" s="91"/>
      <c r="BF83" s="91"/>
      <c r="BG83" s="91"/>
      <c r="BH83" s="91"/>
      <c r="BI83" s="91"/>
      <c r="BJ83" s="91"/>
      <c r="BK83" s="91"/>
      <c r="BL83" s="91"/>
      <c r="BM83" s="91"/>
      <c r="BN83" s="91"/>
      <c r="BO83" s="94"/>
      <c r="BP83" s="95"/>
      <c r="BQ83" s="91"/>
      <c r="BR83" s="91"/>
      <c r="BS83" s="91"/>
      <c r="BT83" s="91"/>
      <c r="BU83" s="91"/>
      <c r="BV83" s="91"/>
      <c r="BW83" s="91"/>
      <c r="BX83" s="91"/>
      <c r="BY83" s="91"/>
      <c r="BZ83" s="91"/>
      <c r="CA83" s="91"/>
      <c r="CC83" s="79" t="n">
        <f aca="false">SUMIFS($T83:$CA83, $T$1:$CA$1, CC$63)</f>
        <v>0</v>
      </c>
      <c r="CD83" s="79" t="n">
        <f aca="false">SUMIFS($T83:$CA83, $T$1:$CA$1, CD$63)</f>
        <v>0</v>
      </c>
      <c r="CE83" s="79" t="n">
        <f aca="false">SUMIFS($T83:$CA83, $T$1:$CA$1, CE$63)</f>
        <v>0</v>
      </c>
      <c r="CF83" s="79" t="n">
        <f aca="false">SUMIFS($T83:$CA83, $T$1:$CA$1, CF$63)</f>
        <v>0</v>
      </c>
      <c r="CG83" s="79" t="n">
        <f aca="false">SUMIFS($T83:$CA83, $T$1:$CA$1, CG$63)</f>
        <v>0</v>
      </c>
      <c r="CI83" s="79" t="n">
        <f aca="false">CC83=L83</f>
        <v>1</v>
      </c>
      <c r="CJ83" s="79" t="n">
        <f aca="false">CD83=M83</f>
        <v>1</v>
      </c>
      <c r="CK83" s="79" t="n">
        <f aca="false">CE83=N83</f>
        <v>1</v>
      </c>
      <c r="CL83" s="79" t="n">
        <f aca="false">CF83=O83</f>
        <v>1</v>
      </c>
      <c r="CM83" s="79" t="n">
        <f aca="false">CG83=P83</f>
        <v>1</v>
      </c>
    </row>
    <row r="84" s="14" customFormat="true" ht="16.5" hidden="false" customHeight="true" outlineLevel="0" collapsed="false">
      <c r="E84" s="96" t="s">
        <v>143</v>
      </c>
      <c r="H84" s="71"/>
      <c r="I84" s="82" t="n">
        <f aca="false">SUM(I79:I83)</f>
        <v>0</v>
      </c>
      <c r="J84" s="82" t="n">
        <f aca="false">SUM(J79:J83)</f>
        <v>0</v>
      </c>
      <c r="K84" s="82" t="n">
        <f aca="false">SUM(K79:K83)</f>
        <v>0</v>
      </c>
      <c r="L84" s="82" t="n">
        <f aca="false">SUM(L79:L83)</f>
        <v>0</v>
      </c>
      <c r="M84" s="82" t="n">
        <f aca="false">SUM(M79:M83)</f>
        <v>0</v>
      </c>
      <c r="N84" s="82" t="n">
        <f aca="false">SUM(N79:N83)</f>
        <v>0</v>
      </c>
      <c r="O84" s="82" t="n">
        <f aca="false">SUM(O79:O83)</f>
        <v>0</v>
      </c>
      <c r="P84" s="82" t="n">
        <f aca="false">SUM(P79:P83)</f>
        <v>0</v>
      </c>
      <c r="Q84" s="103"/>
      <c r="R84" s="103"/>
      <c r="S84" s="104"/>
      <c r="T84" s="82" t="n">
        <f aca="false">SUM(T79:T83)</f>
        <v>0</v>
      </c>
      <c r="U84" s="82" t="n">
        <f aca="false">SUM(U79:U83)</f>
        <v>0</v>
      </c>
      <c r="V84" s="82" t="n">
        <f aca="false">SUM(V79:V83)</f>
        <v>0</v>
      </c>
      <c r="W84" s="82" t="n">
        <f aca="false">SUM(W79:W83)</f>
        <v>0</v>
      </c>
      <c r="X84" s="82" t="n">
        <f aca="false">SUM(X79:X83)</f>
        <v>0</v>
      </c>
      <c r="Y84" s="82" t="n">
        <f aca="false">SUM(Y79:Y83)</f>
        <v>0</v>
      </c>
      <c r="Z84" s="82" t="n">
        <f aca="false">SUM(Z79:Z83)</f>
        <v>0</v>
      </c>
      <c r="AA84" s="82" t="n">
        <f aca="false">SUM(AA79:AA83)</f>
        <v>0</v>
      </c>
      <c r="AB84" s="82" t="n">
        <f aca="false">SUM(AB79:AB83)</f>
        <v>0</v>
      </c>
      <c r="AC84" s="82" t="n">
        <f aca="false">SUM(AC79:AC83)</f>
        <v>0</v>
      </c>
      <c r="AD84" s="82" t="n">
        <f aca="false">SUM(AD79:AD83)</f>
        <v>0</v>
      </c>
      <c r="AE84" s="82" t="n">
        <f aca="false">SUM(AE79:AE83)</f>
        <v>0</v>
      </c>
      <c r="AF84" s="82" t="n">
        <f aca="false">SUM(AF79:AF83)</f>
        <v>0</v>
      </c>
      <c r="AG84" s="82" t="n">
        <f aca="false">SUM(AG79:AG83)</f>
        <v>0</v>
      </c>
      <c r="AH84" s="82" t="n">
        <f aca="false">SUM(AH79:AH83)</f>
        <v>0</v>
      </c>
      <c r="AI84" s="82" t="n">
        <f aca="false">SUM(AI79:AI83)</f>
        <v>0</v>
      </c>
      <c r="AJ84" s="82" t="n">
        <f aca="false">SUM(AJ79:AJ83)</f>
        <v>0</v>
      </c>
      <c r="AK84" s="82" t="n">
        <f aca="false">SUM(AK79:AK83)</f>
        <v>0</v>
      </c>
      <c r="AL84" s="82" t="n">
        <f aca="false">SUM(AL79:AL83)</f>
        <v>0</v>
      </c>
      <c r="AM84" s="82" t="n">
        <f aca="false">SUM(AM79:AM83)</f>
        <v>0</v>
      </c>
      <c r="AN84" s="82" t="n">
        <f aca="false">SUM(AN79:AN83)</f>
        <v>0</v>
      </c>
      <c r="AO84" s="82" t="n">
        <f aca="false">SUM(AO79:AO83)</f>
        <v>0</v>
      </c>
      <c r="AP84" s="82" t="n">
        <f aca="false">SUM(AP79:AP83)</f>
        <v>0</v>
      </c>
      <c r="AQ84" s="82" t="n">
        <f aca="false">SUM(AQ79:AQ83)</f>
        <v>0</v>
      </c>
      <c r="AR84" s="82" t="n">
        <f aca="false">SUM(AR79:AR83)</f>
        <v>0</v>
      </c>
      <c r="AS84" s="82" t="n">
        <f aca="false">SUM(AS79:AS83)</f>
        <v>0</v>
      </c>
      <c r="AT84" s="82" t="n">
        <f aca="false">SUM(AT79:AT83)</f>
        <v>0</v>
      </c>
      <c r="AU84" s="82" t="n">
        <f aca="false">SUM(AU79:AU83)</f>
        <v>0</v>
      </c>
      <c r="AV84" s="82" t="n">
        <f aca="false">SUM(AV79:AV83)</f>
        <v>0</v>
      </c>
      <c r="AW84" s="82" t="n">
        <f aca="false">SUM(AW79:AW83)</f>
        <v>0</v>
      </c>
      <c r="AX84" s="82" t="n">
        <f aca="false">SUM(AX79:AX83)</f>
        <v>0</v>
      </c>
      <c r="AY84" s="82" t="n">
        <f aca="false">SUM(AY79:AY83)</f>
        <v>0</v>
      </c>
      <c r="AZ84" s="82" t="n">
        <f aca="false">SUM(AZ79:AZ83)</f>
        <v>0</v>
      </c>
      <c r="BA84" s="82" t="n">
        <f aca="false">SUM(BA79:BA83)</f>
        <v>0</v>
      </c>
      <c r="BB84" s="82" t="n">
        <f aca="false">SUM(BB79:BB83)</f>
        <v>0</v>
      </c>
      <c r="BC84" s="82" t="n">
        <f aca="false">SUM(BC79:BC83)</f>
        <v>0</v>
      </c>
      <c r="BD84" s="82" t="n">
        <f aca="false">SUM(BD79:BD83)</f>
        <v>0</v>
      </c>
      <c r="BE84" s="82" t="n">
        <f aca="false">SUM(BE79:BE83)</f>
        <v>0</v>
      </c>
      <c r="BF84" s="82" t="n">
        <f aca="false">SUM(BF79:BF83)</f>
        <v>0</v>
      </c>
      <c r="BG84" s="82" t="n">
        <f aca="false">SUM(BG79:BG83)</f>
        <v>0</v>
      </c>
      <c r="BH84" s="82" t="n">
        <f aca="false">SUM(BH79:BH83)</f>
        <v>0</v>
      </c>
      <c r="BI84" s="82" t="n">
        <f aca="false">SUM(BI79:BI83)</f>
        <v>0</v>
      </c>
      <c r="BJ84" s="82" t="n">
        <f aca="false">SUM(BJ79:BJ83)</f>
        <v>0</v>
      </c>
      <c r="BK84" s="82" t="n">
        <f aca="false">SUM(BK79:BK83)</f>
        <v>0</v>
      </c>
      <c r="BL84" s="82" t="n">
        <f aca="false">SUM(BL79:BL83)</f>
        <v>0</v>
      </c>
      <c r="BM84" s="82" t="n">
        <f aca="false">SUM(BM79:BM83)</f>
        <v>0</v>
      </c>
      <c r="BN84" s="82" t="n">
        <f aca="false">SUM(BN79:BN83)</f>
        <v>0</v>
      </c>
      <c r="BO84" s="82" t="n">
        <f aca="false">SUM(BO79:BO83)</f>
        <v>0</v>
      </c>
      <c r="BP84" s="82" t="n">
        <f aca="false">SUM(BP79:BP83)</f>
        <v>0</v>
      </c>
      <c r="BQ84" s="82" t="n">
        <f aca="false">SUM(BQ79:BQ83)</f>
        <v>0</v>
      </c>
      <c r="BR84" s="82" t="n">
        <f aca="false">SUM(BR79:BR83)</f>
        <v>0</v>
      </c>
      <c r="BS84" s="82" t="n">
        <f aca="false">SUM(BS79:BS83)</f>
        <v>0</v>
      </c>
      <c r="BT84" s="82" t="n">
        <f aca="false">SUM(BT79:BT83)</f>
        <v>0</v>
      </c>
      <c r="BU84" s="82" t="n">
        <f aca="false">SUM(BU79:BU83)</f>
        <v>0</v>
      </c>
      <c r="BV84" s="82" t="n">
        <f aca="false">SUM(BV79:BV83)</f>
        <v>0</v>
      </c>
      <c r="BW84" s="82" t="n">
        <f aca="false">SUM(BW79:BW83)</f>
        <v>0</v>
      </c>
      <c r="BX84" s="82" t="n">
        <f aca="false">SUM(BX79:BX83)</f>
        <v>0</v>
      </c>
      <c r="BY84" s="82" t="n">
        <f aca="false">SUM(BY79:BY83)</f>
        <v>0</v>
      </c>
      <c r="BZ84" s="82" t="n">
        <f aca="false">SUM(BZ79:BZ83)</f>
        <v>0</v>
      </c>
      <c r="CA84" s="82" t="n">
        <f aca="false">SUM(CA79:CA83)</f>
        <v>0</v>
      </c>
      <c r="CB84" s="104"/>
      <c r="CC84" s="105" t="n">
        <f aca="false">SUM(CC79:CC83)</f>
        <v>0</v>
      </c>
      <c r="CD84" s="105" t="n">
        <f aca="false">SUM(CD79:CD83)</f>
        <v>0</v>
      </c>
      <c r="CE84" s="105" t="n">
        <f aca="false">SUM(CE79:CE83)</f>
        <v>0</v>
      </c>
      <c r="CF84" s="105" t="n">
        <f aca="false">SUM(CF79:CF83)</f>
        <v>0</v>
      </c>
      <c r="CG84" s="105" t="n">
        <f aca="false">SUM(CG79:CG83)</f>
        <v>0</v>
      </c>
      <c r="CI84" s="84" t="n">
        <f aca="false">CC84=L84</f>
        <v>1</v>
      </c>
      <c r="CJ84" s="84" t="n">
        <f aca="false">CD84=M84</f>
        <v>1</v>
      </c>
      <c r="CK84" s="84" t="n">
        <f aca="false">CE84=N84</f>
        <v>1</v>
      </c>
      <c r="CL84" s="84" t="n">
        <f aca="false">CF84=O84</f>
        <v>1</v>
      </c>
      <c r="CM84" s="84" t="n">
        <f aca="false">CG84=P84</f>
        <v>1</v>
      </c>
    </row>
    <row r="85" s="14" customFormat="true" ht="16.5" hidden="false" customHeight="true" outlineLevel="0" collapsed="false">
      <c r="E85" s="96"/>
      <c r="H85" s="71"/>
      <c r="I85" s="82"/>
      <c r="J85" s="82"/>
      <c r="K85" s="82"/>
      <c r="L85" s="82"/>
      <c r="M85" s="82"/>
      <c r="N85" s="82"/>
      <c r="O85" s="82"/>
      <c r="P85" s="82"/>
      <c r="Q85" s="16"/>
      <c r="R85" s="16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3"/>
      <c r="AG85" s="82"/>
      <c r="AH85" s="82"/>
      <c r="AI85" s="82"/>
      <c r="AJ85" s="82"/>
      <c r="AK85" s="82"/>
      <c r="AL85" s="82"/>
      <c r="AM85" s="82"/>
      <c r="AN85" s="82"/>
      <c r="AO85" s="82"/>
      <c r="AP85" s="82"/>
      <c r="AQ85" s="82"/>
      <c r="AR85" s="83"/>
      <c r="AS85" s="82"/>
      <c r="AT85" s="82"/>
      <c r="AU85" s="82"/>
      <c r="AV85" s="82"/>
      <c r="AW85" s="82"/>
      <c r="AX85" s="82"/>
      <c r="AY85" s="82"/>
      <c r="AZ85" s="82"/>
      <c r="BA85" s="82"/>
      <c r="BB85" s="82"/>
      <c r="BC85" s="82"/>
      <c r="BD85" s="83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3"/>
      <c r="BQ85" s="82"/>
      <c r="BR85" s="82"/>
      <c r="BS85" s="82"/>
      <c r="BT85" s="82"/>
      <c r="BU85" s="82"/>
      <c r="BV85" s="82"/>
      <c r="BW85" s="82"/>
      <c r="BX85" s="82"/>
      <c r="BY85" s="82"/>
      <c r="BZ85" s="82"/>
      <c r="CA85" s="82"/>
      <c r="CC85" s="84"/>
      <c r="CD85" s="84"/>
      <c r="CE85" s="84"/>
      <c r="CF85" s="84"/>
      <c r="CG85" s="84"/>
      <c r="CI85" s="84"/>
      <c r="CJ85" s="84"/>
      <c r="CK85" s="84"/>
      <c r="CL85" s="84"/>
      <c r="CM85" s="84"/>
    </row>
    <row r="86" s="14" customFormat="true" ht="16.5" hidden="false" customHeight="true" outlineLevel="0" collapsed="false">
      <c r="E86" s="96"/>
      <c r="H86" s="71"/>
      <c r="I86" s="82"/>
      <c r="J86" s="82"/>
      <c r="K86" s="82"/>
      <c r="L86" s="82"/>
      <c r="M86" s="82"/>
      <c r="N86" s="82"/>
      <c r="O86" s="82"/>
      <c r="P86" s="82"/>
      <c r="Q86" s="16"/>
      <c r="R86" s="16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3"/>
      <c r="AG86" s="82"/>
      <c r="AH86" s="82"/>
      <c r="AI86" s="82"/>
      <c r="AJ86" s="82"/>
      <c r="AK86" s="82"/>
      <c r="AL86" s="82"/>
      <c r="AM86" s="82"/>
      <c r="AN86" s="82"/>
      <c r="AO86" s="82"/>
      <c r="AP86" s="82"/>
      <c r="AQ86" s="82"/>
      <c r="AR86" s="83"/>
      <c r="AS86" s="82"/>
      <c r="AT86" s="82"/>
      <c r="AU86" s="82"/>
      <c r="AV86" s="82"/>
      <c r="AW86" s="82"/>
      <c r="AX86" s="82"/>
      <c r="AY86" s="82"/>
      <c r="AZ86" s="82"/>
      <c r="BA86" s="82"/>
      <c r="BB86" s="82"/>
      <c r="BC86" s="82"/>
      <c r="BD86" s="83"/>
      <c r="BE86" s="82"/>
      <c r="BF86" s="82"/>
      <c r="BG86" s="82"/>
      <c r="BH86" s="82"/>
      <c r="BI86" s="82"/>
      <c r="BJ86" s="82"/>
      <c r="BK86" s="82"/>
      <c r="BL86" s="82"/>
      <c r="BM86" s="82"/>
      <c r="BN86" s="82"/>
      <c r="BO86" s="82"/>
      <c r="BP86" s="83"/>
      <c r="BQ86" s="82"/>
      <c r="BR86" s="82"/>
      <c r="BS86" s="82"/>
      <c r="BT86" s="82"/>
      <c r="BU86" s="82"/>
      <c r="BV86" s="82"/>
      <c r="BW86" s="82"/>
      <c r="BX86" s="82"/>
      <c r="BY86" s="82"/>
      <c r="BZ86" s="82"/>
      <c r="CA86" s="82"/>
      <c r="CC86" s="84"/>
      <c r="CD86" s="84"/>
      <c r="CE86" s="84"/>
      <c r="CF86" s="84"/>
      <c r="CG86" s="84"/>
      <c r="CI86" s="84"/>
      <c r="CJ86" s="84"/>
      <c r="CK86" s="84"/>
      <c r="CL86" s="84"/>
      <c r="CM86" s="84"/>
    </row>
    <row r="87" s="14" customFormat="true" ht="16.5" hidden="false" customHeight="true" outlineLevel="0" collapsed="false">
      <c r="E87" s="85"/>
      <c r="H87" s="71"/>
      <c r="I87" s="88"/>
      <c r="J87" s="88"/>
      <c r="K87" s="88"/>
      <c r="L87" s="88"/>
      <c r="M87" s="88"/>
      <c r="N87" s="88"/>
      <c r="O87" s="88"/>
      <c r="P87" s="88"/>
      <c r="Q87" s="16"/>
      <c r="R87" s="16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9"/>
      <c r="AG87" s="88"/>
      <c r="AH87" s="88"/>
      <c r="AI87" s="88"/>
      <c r="AJ87" s="88"/>
      <c r="AK87" s="88"/>
      <c r="AL87" s="88"/>
      <c r="AM87" s="88"/>
      <c r="AN87" s="88"/>
      <c r="AO87" s="88"/>
      <c r="AP87" s="88"/>
      <c r="AQ87" s="88"/>
      <c r="AR87" s="89"/>
      <c r="AS87" s="88"/>
      <c r="AT87" s="88"/>
      <c r="AU87" s="88"/>
      <c r="AV87" s="88"/>
      <c r="AW87" s="88"/>
      <c r="AX87" s="88"/>
      <c r="AY87" s="88"/>
      <c r="AZ87" s="88"/>
      <c r="BA87" s="88"/>
      <c r="BB87" s="88"/>
      <c r="BC87" s="88"/>
      <c r="BD87" s="89"/>
      <c r="BE87" s="88"/>
      <c r="BF87" s="88"/>
      <c r="BG87" s="88"/>
      <c r="BH87" s="88"/>
      <c r="BI87" s="88"/>
      <c r="BJ87" s="88"/>
      <c r="BK87" s="88"/>
      <c r="BL87" s="88"/>
      <c r="BM87" s="88"/>
      <c r="BN87" s="88"/>
      <c r="BO87" s="88"/>
      <c r="BP87" s="89"/>
      <c r="BQ87" s="88"/>
      <c r="BR87" s="88"/>
      <c r="BS87" s="88"/>
      <c r="BT87" s="88"/>
      <c r="BU87" s="88"/>
      <c r="BV87" s="88"/>
      <c r="BW87" s="88"/>
      <c r="BX87" s="88"/>
      <c r="BY87" s="88"/>
      <c r="BZ87" s="88"/>
      <c r="CA87" s="88"/>
      <c r="CC87" s="90"/>
      <c r="CD87" s="90"/>
      <c r="CE87" s="90"/>
      <c r="CF87" s="90"/>
      <c r="CG87" s="90"/>
      <c r="CI87" s="90"/>
      <c r="CJ87" s="90"/>
      <c r="CK87" s="90"/>
      <c r="CL87" s="90"/>
      <c r="CM87" s="90"/>
    </row>
    <row r="88" s="14" customFormat="true" ht="16.5" hidden="false" customHeight="true" outlineLevel="0" collapsed="false">
      <c r="E88" s="109" t="s">
        <v>144</v>
      </c>
      <c r="F88" s="109"/>
      <c r="G88" s="109"/>
      <c r="H88" s="110"/>
      <c r="I88" s="217" t="n">
        <f aca="false">SUM(I68, I76, I84)</f>
        <v>0</v>
      </c>
      <c r="J88" s="217" t="n">
        <f aca="false">SUM(J68, J76, J84)</f>
        <v>0</v>
      </c>
      <c r="K88" s="217" t="n">
        <f aca="false">SUM(-K68, K76, K84)</f>
        <v>0</v>
      </c>
      <c r="L88" s="217" t="n">
        <f aca="false">SUM(L68, L76, L84)</f>
        <v>0</v>
      </c>
      <c r="M88" s="217" t="n">
        <f aca="false">SUM(M68, M76, M84)</f>
        <v>0</v>
      </c>
      <c r="N88" s="217" t="n">
        <f aca="false">SUM(N68, N76, N84)</f>
        <v>0</v>
      </c>
      <c r="O88" s="217" t="n">
        <f aca="false">SUM(O68, O76, O84)</f>
        <v>0</v>
      </c>
      <c r="P88" s="217" t="n">
        <f aca="false">SUM(P68, P76, P84)</f>
        <v>0</v>
      </c>
      <c r="Q88" s="16"/>
      <c r="R88" s="16"/>
      <c r="T88" s="218" t="n">
        <f aca="false">SUM(T68, T76, T84)</f>
        <v>0</v>
      </c>
      <c r="U88" s="218" t="n">
        <f aca="false">SUM(U68, U76, U84)</f>
        <v>0</v>
      </c>
      <c r="V88" s="218" t="n">
        <f aca="false">SUM(V68, V76, V84)</f>
        <v>0</v>
      </c>
      <c r="W88" s="218" t="n">
        <f aca="false">SUM(W68, W76, W84)</f>
        <v>0</v>
      </c>
      <c r="X88" s="218" t="n">
        <f aca="false">SUM(X68, X76, X84)</f>
        <v>0</v>
      </c>
      <c r="Y88" s="218" t="n">
        <f aca="false">SUM(Y68, Y76, Y84)</f>
        <v>0</v>
      </c>
      <c r="Z88" s="218" t="n">
        <f aca="false">SUM(Z68, Z76, Z84)</f>
        <v>0</v>
      </c>
      <c r="AA88" s="218" t="n">
        <f aca="false">SUM(AA68, AA76, AA84)</f>
        <v>0</v>
      </c>
      <c r="AB88" s="218" t="n">
        <f aca="false">SUM(AB68, AB76, AB84)</f>
        <v>0</v>
      </c>
      <c r="AC88" s="218" t="n">
        <f aca="false">SUM(AC68, AC76, AC84)</f>
        <v>0</v>
      </c>
      <c r="AD88" s="218" t="n">
        <f aca="false">SUM(AD68, AD76, AD84)</f>
        <v>0</v>
      </c>
      <c r="AE88" s="218" t="n">
        <f aca="false">SUM(AE68, AE76, AE84)</f>
        <v>0</v>
      </c>
      <c r="AF88" s="218" t="n">
        <f aca="false">SUM(AF68, AF76, AF84)</f>
        <v>0</v>
      </c>
      <c r="AG88" s="218" t="n">
        <f aca="false">SUM(AG68, AG76, AG84)</f>
        <v>0</v>
      </c>
      <c r="AH88" s="218" t="n">
        <f aca="false">SUM(AH68, AH76, AH84)</f>
        <v>0</v>
      </c>
      <c r="AI88" s="218" t="n">
        <f aca="false">SUM(AI68, AI76, AI84)</f>
        <v>0</v>
      </c>
      <c r="AJ88" s="218" t="n">
        <f aca="false">SUM(AJ68, AJ76, AJ84)</f>
        <v>0</v>
      </c>
      <c r="AK88" s="218" t="n">
        <f aca="false">SUM(AK68, AK76, AK84)</f>
        <v>0</v>
      </c>
      <c r="AL88" s="218" t="n">
        <f aca="false">SUM(AL68, AL76, AL84)</f>
        <v>0</v>
      </c>
      <c r="AM88" s="218" t="n">
        <f aca="false">SUM(AM68, AM76, AM84)</f>
        <v>0</v>
      </c>
      <c r="AN88" s="218" t="n">
        <f aca="false">SUM(AN68, AN76, AN84)</f>
        <v>0</v>
      </c>
      <c r="AO88" s="218" t="n">
        <f aca="false">SUM(AO68, AO76, AO84)</f>
        <v>0</v>
      </c>
      <c r="AP88" s="218" t="n">
        <f aca="false">SUM(AP68, AP76, AP84)</f>
        <v>0</v>
      </c>
      <c r="AQ88" s="218" t="n">
        <f aca="false">SUM(AQ68, AQ76, AQ84)</f>
        <v>0</v>
      </c>
      <c r="AR88" s="218" t="n">
        <f aca="false">SUM(AR68, AR76, AR84)</f>
        <v>0</v>
      </c>
      <c r="AS88" s="218" t="n">
        <f aca="false">SUM(AS68, AS76, AS84)</f>
        <v>0</v>
      </c>
      <c r="AT88" s="218" t="n">
        <f aca="false">SUM(AT68, AT76, AT84)</f>
        <v>0</v>
      </c>
      <c r="AU88" s="218" t="n">
        <f aca="false">SUM(AU68, AU76, AU84)</f>
        <v>0</v>
      </c>
      <c r="AV88" s="218" t="n">
        <f aca="false">SUM(AV68, AV76, AV84)</f>
        <v>0</v>
      </c>
      <c r="AW88" s="218" t="n">
        <f aca="false">SUM(AW68, AW76, AW84)</f>
        <v>0</v>
      </c>
      <c r="AX88" s="218" t="n">
        <f aca="false">SUM(AX68, AX76, AX84)</f>
        <v>0</v>
      </c>
      <c r="AY88" s="218" t="n">
        <f aca="false">SUM(AY68, AY76, AY84)</f>
        <v>0</v>
      </c>
      <c r="AZ88" s="218" t="n">
        <f aca="false">SUM(AZ68, AZ76, AZ84)</f>
        <v>0</v>
      </c>
      <c r="BA88" s="218" t="n">
        <f aca="false">SUM(BA68, BA76, BA84)</f>
        <v>0</v>
      </c>
      <c r="BB88" s="218" t="n">
        <f aca="false">SUM(BB68, BB76, BB84)</f>
        <v>0</v>
      </c>
      <c r="BC88" s="218" t="n">
        <f aca="false">SUM(BC68, BC76, BC84)</f>
        <v>0</v>
      </c>
      <c r="BD88" s="218" t="n">
        <f aca="false">SUM(BD68, BD76, BD84)</f>
        <v>0</v>
      </c>
      <c r="BE88" s="218" t="n">
        <f aca="false">SUM(BE68, BE76, BE84)</f>
        <v>0</v>
      </c>
      <c r="BF88" s="218" t="n">
        <f aca="false">SUM(BF68, BF76, BF84)</f>
        <v>0</v>
      </c>
      <c r="BG88" s="218" t="n">
        <f aca="false">SUM(BG68, BG76, BG84)</f>
        <v>0</v>
      </c>
      <c r="BH88" s="218" t="n">
        <f aca="false">SUM(BH68, BH76, BH84)</f>
        <v>0</v>
      </c>
      <c r="BI88" s="218" t="n">
        <f aca="false">SUM(BI68, BI76, BI84)</f>
        <v>0</v>
      </c>
      <c r="BJ88" s="218" t="n">
        <f aca="false">SUM(BJ68, BJ76, BJ84)</f>
        <v>0</v>
      </c>
      <c r="BK88" s="218" t="n">
        <f aca="false">SUM(BK68, BK76, BK84)</f>
        <v>0</v>
      </c>
      <c r="BL88" s="218" t="n">
        <f aca="false">SUM(BL68, BL76, BL84)</f>
        <v>0</v>
      </c>
      <c r="BM88" s="218" t="n">
        <f aca="false">SUM(BM68, BM76, BM84)</f>
        <v>0</v>
      </c>
      <c r="BN88" s="218" t="n">
        <f aca="false">SUM(BN68, BN76, BN84)</f>
        <v>0</v>
      </c>
      <c r="BO88" s="218" t="n">
        <f aca="false">SUM(BO68, BO76, BO84)</f>
        <v>0</v>
      </c>
      <c r="BP88" s="218" t="n">
        <f aca="false">SUM(BP68, BP76, BP84)</f>
        <v>0</v>
      </c>
      <c r="BQ88" s="218" t="n">
        <f aca="false">SUM(BQ68, BQ76, BQ84)</f>
        <v>0</v>
      </c>
      <c r="BR88" s="218" t="n">
        <f aca="false">SUM(BR68, BR76, BR84)</f>
        <v>0</v>
      </c>
      <c r="BS88" s="218" t="n">
        <f aca="false">SUM(BS68, BS76, BS84)</f>
        <v>0</v>
      </c>
      <c r="BT88" s="218" t="n">
        <f aca="false">SUM(BT68, BT76, BT84)</f>
        <v>0</v>
      </c>
      <c r="BU88" s="218" t="n">
        <f aca="false">SUM(BU68, BU76, BU84)</f>
        <v>0</v>
      </c>
      <c r="BV88" s="218" t="n">
        <f aca="false">SUM(BV68, BV76, BV84)</f>
        <v>0</v>
      </c>
      <c r="BW88" s="218" t="n">
        <f aca="false">SUM(BW68, BW76, BW84)</f>
        <v>0</v>
      </c>
      <c r="BX88" s="218" t="n">
        <f aca="false">SUM(BX68, BX76, BX84)</f>
        <v>0</v>
      </c>
      <c r="BY88" s="218" t="n">
        <f aca="false">SUM(BY68, BY76, BY84)</f>
        <v>0</v>
      </c>
      <c r="BZ88" s="218" t="n">
        <f aca="false">SUM(BZ68, BZ76, BZ84)</f>
        <v>0</v>
      </c>
      <c r="CA88" s="218" t="n">
        <f aca="false">SUM(CA68, CA76, CA84)</f>
        <v>0</v>
      </c>
      <c r="CC88" s="112" t="n">
        <f aca="false">SUM(CC68, CC76, CC84)</f>
        <v>0</v>
      </c>
      <c r="CD88" s="112" t="n">
        <f aca="false">SUM(CD68, CD76, CD84)</f>
        <v>0</v>
      </c>
      <c r="CE88" s="112" t="n">
        <f aca="false">SUM(CE68, CE76, CE84)</f>
        <v>0</v>
      </c>
      <c r="CF88" s="112" t="n">
        <f aca="false">SUM(CF68, CF76, CF84)</f>
        <v>0</v>
      </c>
      <c r="CG88" s="112" t="n">
        <f aca="false">SUM(CG68, CG76, CG84)</f>
        <v>0</v>
      </c>
      <c r="CH88" s="112" t="n">
        <f aca="false">SUM(CH68, CH76, CH84)</f>
        <v>0</v>
      </c>
      <c r="CI88" s="113" t="n">
        <f aca="false">CC88=L88</f>
        <v>1</v>
      </c>
      <c r="CJ88" s="113" t="n">
        <f aca="false">CD88=M88</f>
        <v>1</v>
      </c>
      <c r="CK88" s="113" t="n">
        <f aca="false">CE88=N88</f>
        <v>1</v>
      </c>
      <c r="CL88" s="113" t="n">
        <f aca="false">CF88=O88</f>
        <v>1</v>
      </c>
      <c r="CM88" s="113" t="n">
        <f aca="false">CG88=P88</f>
        <v>1</v>
      </c>
    </row>
    <row r="89" s="14" customFormat="true" ht="16.5" hidden="false" customHeight="true" outlineLevel="0" collapsed="false">
      <c r="H89" s="29"/>
      <c r="Q89" s="16"/>
      <c r="R89" s="16"/>
    </row>
    <row r="90" s="14" customFormat="true" ht="16.5" hidden="false" customHeight="true" outlineLevel="0" collapsed="false">
      <c r="H90" s="29"/>
      <c r="Q90" s="16"/>
      <c r="R90" s="16"/>
      <c r="T90" s="62" t="n">
        <v>2026</v>
      </c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62" t="n">
        <v>2027</v>
      </c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62" t="n">
        <v>2028</v>
      </c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62" t="n">
        <v>2029</v>
      </c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62" t="n">
        <v>2030</v>
      </c>
      <c r="BQ90" s="130"/>
      <c r="BR90" s="130"/>
      <c r="BS90" s="130"/>
      <c r="BT90" s="130"/>
      <c r="BU90" s="130"/>
      <c r="BV90" s="130"/>
      <c r="BW90" s="130"/>
      <c r="BX90" s="130"/>
      <c r="BY90" s="130"/>
      <c r="BZ90" s="130"/>
      <c r="CA90" s="130"/>
      <c r="CI90" s="211" t="s">
        <v>426</v>
      </c>
      <c r="CJ90" s="211"/>
      <c r="CK90" s="211"/>
      <c r="CL90" s="211"/>
      <c r="CM90" s="211"/>
    </row>
    <row r="91" s="14" customFormat="true" ht="16.5" hidden="false" customHeight="true" outlineLevel="0" collapsed="false">
      <c r="D91" s="30" t="s">
        <v>145</v>
      </c>
      <c r="E91" s="31"/>
      <c r="F91" s="31"/>
      <c r="G91" s="31"/>
      <c r="H91" s="219" t="s">
        <v>130</v>
      </c>
      <c r="I91" s="31" t="s">
        <v>77</v>
      </c>
      <c r="J91" s="31" t="s">
        <v>104</v>
      </c>
      <c r="K91" s="31" t="s">
        <v>131</v>
      </c>
      <c r="L91" s="31" t="n">
        <v>2026</v>
      </c>
      <c r="M91" s="31" t="n">
        <f aca="false">L91+1</f>
        <v>2027</v>
      </c>
      <c r="N91" s="31" t="n">
        <f aca="false">M91+1</f>
        <v>2028</v>
      </c>
      <c r="O91" s="31" t="n">
        <f aca="false">N91+1</f>
        <v>2029</v>
      </c>
      <c r="P91" s="31" t="n">
        <f aca="false">O91+1</f>
        <v>2030</v>
      </c>
      <c r="Q91" s="31" t="s">
        <v>132</v>
      </c>
      <c r="R91" s="31" t="s">
        <v>75</v>
      </c>
      <c r="T91" s="59" t="n">
        <v>46023</v>
      </c>
      <c r="U91" s="60" t="n">
        <f aca="false">EOMONTH(T91, 1)</f>
        <v>46081</v>
      </c>
      <c r="V91" s="60" t="n">
        <f aca="false">EOMONTH(U91, 1)</f>
        <v>46112</v>
      </c>
      <c r="W91" s="60" t="n">
        <f aca="false">EOMONTH(V91, 1)</f>
        <v>46142</v>
      </c>
      <c r="X91" s="60" t="n">
        <f aca="false">EOMONTH(W91, 1)</f>
        <v>46173</v>
      </c>
      <c r="Y91" s="60" t="n">
        <f aca="false">EOMONTH(X91, 1)</f>
        <v>46203</v>
      </c>
      <c r="Z91" s="60" t="n">
        <f aca="false">EOMONTH(Y91, 1)</f>
        <v>46234</v>
      </c>
      <c r="AA91" s="60" t="n">
        <f aca="false">EOMONTH(Z91, 1)</f>
        <v>46265</v>
      </c>
      <c r="AB91" s="60" t="n">
        <f aca="false">EOMONTH(AA91, 1)</f>
        <v>46295</v>
      </c>
      <c r="AC91" s="60" t="n">
        <f aca="false">EOMONTH(AB91, 1)</f>
        <v>46326</v>
      </c>
      <c r="AD91" s="60" t="n">
        <f aca="false">EOMONTH(AC91, 1)</f>
        <v>46356</v>
      </c>
      <c r="AE91" s="61" t="n">
        <f aca="false">EOMONTH(AD91, 1)</f>
        <v>46387</v>
      </c>
      <c r="AF91" s="59" t="n">
        <f aca="false">EOMONTH(AE91, 1)</f>
        <v>46418</v>
      </c>
      <c r="AG91" s="60" t="n">
        <f aca="false">EOMONTH(AF91, 1)</f>
        <v>46446</v>
      </c>
      <c r="AH91" s="60" t="n">
        <f aca="false">EOMONTH(AG91, 1)</f>
        <v>46477</v>
      </c>
      <c r="AI91" s="60" t="n">
        <f aca="false">EOMONTH(AH91, 1)</f>
        <v>46507</v>
      </c>
      <c r="AJ91" s="60" t="n">
        <f aca="false">EOMONTH(AI91, 1)</f>
        <v>46538</v>
      </c>
      <c r="AK91" s="60" t="n">
        <f aca="false">EOMONTH(AJ91, 1)</f>
        <v>46568</v>
      </c>
      <c r="AL91" s="60" t="n">
        <f aca="false">EOMONTH(AK91, 1)</f>
        <v>46599</v>
      </c>
      <c r="AM91" s="60" t="n">
        <f aca="false">EOMONTH(AL91, 1)</f>
        <v>46630</v>
      </c>
      <c r="AN91" s="60" t="n">
        <f aca="false">EOMONTH(AM91, 1)</f>
        <v>46660</v>
      </c>
      <c r="AO91" s="60" t="n">
        <f aca="false">EOMONTH(AN91, 1)</f>
        <v>46691</v>
      </c>
      <c r="AP91" s="60" t="n">
        <f aca="false">EOMONTH(AO91, 1)</f>
        <v>46721</v>
      </c>
      <c r="AQ91" s="61" t="n">
        <f aca="false">EOMONTH(AP91, 1)</f>
        <v>46752</v>
      </c>
      <c r="AR91" s="59" t="n">
        <f aca="false">EOMONTH(AQ91, 1)</f>
        <v>46783</v>
      </c>
      <c r="AS91" s="60" t="n">
        <f aca="false">EOMONTH(AR91, 1)</f>
        <v>46812</v>
      </c>
      <c r="AT91" s="60" t="n">
        <f aca="false">EOMONTH(AS91, 1)</f>
        <v>46843</v>
      </c>
      <c r="AU91" s="60" t="n">
        <f aca="false">EOMONTH(AT91, 1)</f>
        <v>46873</v>
      </c>
      <c r="AV91" s="60" t="n">
        <f aca="false">EOMONTH(AU91, 1)</f>
        <v>46904</v>
      </c>
      <c r="AW91" s="60" t="n">
        <f aca="false">EOMONTH(AV91, 1)</f>
        <v>46934</v>
      </c>
      <c r="AX91" s="60" t="n">
        <f aca="false">EOMONTH(AW91, 1)</f>
        <v>46965</v>
      </c>
      <c r="AY91" s="60" t="n">
        <f aca="false">EOMONTH(AX91, 1)</f>
        <v>46996</v>
      </c>
      <c r="AZ91" s="60" t="n">
        <f aca="false">EOMONTH(AY91, 1)</f>
        <v>47026</v>
      </c>
      <c r="BA91" s="60" t="n">
        <f aca="false">EOMONTH(AZ91, 1)</f>
        <v>47057</v>
      </c>
      <c r="BB91" s="60" t="n">
        <f aca="false">EOMONTH(BA91, 1)</f>
        <v>47087</v>
      </c>
      <c r="BC91" s="61" t="n">
        <f aca="false">EOMONTH(BB91, 1)</f>
        <v>47118</v>
      </c>
      <c r="BD91" s="59" t="n">
        <f aca="false">EOMONTH(BC91, 1)</f>
        <v>47149</v>
      </c>
      <c r="BE91" s="60" t="n">
        <f aca="false">EOMONTH(BD91, 1)</f>
        <v>47177</v>
      </c>
      <c r="BF91" s="60" t="n">
        <f aca="false">EOMONTH(BE91, 1)</f>
        <v>47208</v>
      </c>
      <c r="BG91" s="60" t="n">
        <f aca="false">EOMONTH(BF91, 1)</f>
        <v>47238</v>
      </c>
      <c r="BH91" s="60" t="n">
        <f aca="false">EOMONTH(BG91, 1)</f>
        <v>47269</v>
      </c>
      <c r="BI91" s="60" t="n">
        <f aca="false">EOMONTH(BH91, 1)</f>
        <v>47299</v>
      </c>
      <c r="BJ91" s="60" t="n">
        <f aca="false">EOMONTH(BI91, 1)</f>
        <v>47330</v>
      </c>
      <c r="BK91" s="60" t="n">
        <f aca="false">EOMONTH(BJ91, 1)</f>
        <v>47361</v>
      </c>
      <c r="BL91" s="60" t="n">
        <f aca="false">EOMONTH(BK91, 1)</f>
        <v>47391</v>
      </c>
      <c r="BM91" s="60" t="n">
        <f aca="false">EOMONTH(BL91, 1)</f>
        <v>47422</v>
      </c>
      <c r="BN91" s="60" t="n">
        <f aca="false">EOMONTH(BM91, 1)</f>
        <v>47452</v>
      </c>
      <c r="BO91" s="61" t="n">
        <f aca="false">EOMONTH(BN91, 1)</f>
        <v>47483</v>
      </c>
      <c r="BP91" s="59" t="n">
        <f aca="false">EOMONTH(BO91, 1)</f>
        <v>47514</v>
      </c>
      <c r="BQ91" s="60" t="n">
        <f aca="false">EOMONTH(BP91, 1)</f>
        <v>47542</v>
      </c>
      <c r="BR91" s="60" t="n">
        <f aca="false">EOMONTH(BQ91, 1)</f>
        <v>47573</v>
      </c>
      <c r="BS91" s="60" t="n">
        <f aca="false">EOMONTH(BR91, 1)</f>
        <v>47603</v>
      </c>
      <c r="BT91" s="60" t="n">
        <f aca="false">EOMONTH(BS91, 1)</f>
        <v>47634</v>
      </c>
      <c r="BU91" s="60" t="n">
        <f aca="false">EOMONTH(BT91, 1)</f>
        <v>47664</v>
      </c>
      <c r="BV91" s="60" t="n">
        <f aca="false">EOMONTH(BU91, 1)</f>
        <v>47695</v>
      </c>
      <c r="BW91" s="60" t="n">
        <f aca="false">EOMONTH(BV91, 1)</f>
        <v>47726</v>
      </c>
      <c r="BX91" s="60" t="n">
        <f aca="false">EOMONTH(BW91, 1)</f>
        <v>47756</v>
      </c>
      <c r="BY91" s="60" t="n">
        <f aca="false">EOMONTH(BX91, 1)</f>
        <v>47787</v>
      </c>
      <c r="BZ91" s="60" t="n">
        <f aca="false">EOMONTH(BY91, 1)</f>
        <v>47817</v>
      </c>
      <c r="CA91" s="60" t="n">
        <f aca="false">EOMONTH(BZ91, 1)</f>
        <v>47848</v>
      </c>
      <c r="CC91" s="62" t="n">
        <v>2026</v>
      </c>
      <c r="CD91" s="62" t="n">
        <f aca="false">CC91+1</f>
        <v>2027</v>
      </c>
      <c r="CE91" s="62" t="n">
        <f aca="false">CD91+1</f>
        <v>2028</v>
      </c>
      <c r="CF91" s="62" t="n">
        <f aca="false">CE91+1</f>
        <v>2029</v>
      </c>
      <c r="CG91" s="62" t="n">
        <f aca="false">CF91+1</f>
        <v>2030</v>
      </c>
      <c r="CI91" s="62" t="n">
        <v>2026</v>
      </c>
      <c r="CJ91" s="62" t="n">
        <f aca="false">CI91+1</f>
        <v>2027</v>
      </c>
      <c r="CK91" s="62" t="n">
        <f aca="false">CJ91+1</f>
        <v>2028</v>
      </c>
      <c r="CL91" s="62" t="n">
        <f aca="false">CK91+1</f>
        <v>2029</v>
      </c>
      <c r="CM91" s="62" t="n">
        <f aca="false">CL91+1</f>
        <v>2030</v>
      </c>
    </row>
    <row r="92" s="14" customFormat="true" ht="16.5" hidden="false" customHeight="true" outlineLevel="0" collapsed="false">
      <c r="D92" s="63"/>
      <c r="E92" s="64" t="s">
        <v>102</v>
      </c>
      <c r="H92" s="29"/>
      <c r="I92" s="65" t="str">
        <f aca="false">"TTM "&amp;TEXT($H$18,"m/d/yy")</f>
        <v>TTM TTM 6/1/26</v>
      </c>
      <c r="J92" s="65" t="s">
        <v>134</v>
      </c>
      <c r="K92" s="65" t="s">
        <v>135</v>
      </c>
      <c r="L92" s="66"/>
      <c r="M92" s="66"/>
      <c r="N92" s="66"/>
      <c r="O92" s="66"/>
      <c r="P92" s="66"/>
      <c r="Q92" s="16"/>
      <c r="R92" s="1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7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7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6"/>
      <c r="BD92" s="67"/>
      <c r="BE92" s="66"/>
      <c r="BF92" s="66"/>
      <c r="BG92" s="66"/>
      <c r="BH92" s="66"/>
      <c r="BI92" s="66"/>
      <c r="BJ92" s="66"/>
      <c r="BK92" s="66"/>
      <c r="BL92" s="66"/>
      <c r="BM92" s="66"/>
      <c r="BN92" s="66"/>
      <c r="BO92" s="66"/>
      <c r="BP92" s="67"/>
      <c r="BQ92" s="66"/>
      <c r="BR92" s="66"/>
      <c r="BS92" s="66"/>
      <c r="BT92" s="66"/>
      <c r="BU92" s="66"/>
      <c r="BV92" s="66"/>
      <c r="BW92" s="66"/>
      <c r="BX92" s="66"/>
      <c r="BY92" s="66"/>
      <c r="BZ92" s="66"/>
      <c r="CA92" s="66"/>
    </row>
    <row r="93" s="14" customFormat="true" ht="16.5" hidden="false" customHeight="true" outlineLevel="0" collapsed="false">
      <c r="E93" s="68" t="s">
        <v>136</v>
      </c>
      <c r="F93" s="21"/>
      <c r="G93" s="21"/>
      <c r="H93" s="29"/>
      <c r="I93" s="65"/>
      <c r="J93" s="65"/>
      <c r="K93" s="65"/>
      <c r="Q93" s="16"/>
      <c r="R93" s="16"/>
      <c r="AF93" s="69"/>
      <c r="AR93" s="69"/>
      <c r="BD93" s="69"/>
      <c r="BP93" s="69"/>
    </row>
    <row r="94" s="14" customFormat="true" ht="16.5" hidden="false" customHeight="true" outlineLevel="0" collapsed="false">
      <c r="E94" s="70"/>
      <c r="H94" s="71"/>
      <c r="I94" s="76" t="n">
        <v>0</v>
      </c>
      <c r="J94" s="76" t="n">
        <v>0</v>
      </c>
      <c r="K94" s="212" t="n">
        <f aca="false">J94-I94</f>
        <v>0</v>
      </c>
      <c r="L94" s="76"/>
      <c r="M94" s="76"/>
      <c r="N94" s="76"/>
      <c r="O94" s="76"/>
      <c r="P94" s="77"/>
      <c r="Q94" s="75"/>
      <c r="R94" s="16" t="str">
        <f aca="false">IF(K94=P94, "", "Error")</f>
        <v/>
      </c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7"/>
      <c r="AF94" s="78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7"/>
      <c r="AR94" s="78"/>
      <c r="AS94" s="76"/>
      <c r="AT94" s="76"/>
      <c r="AU94" s="76"/>
      <c r="AV94" s="76"/>
      <c r="AW94" s="76"/>
      <c r="AX94" s="76"/>
      <c r="AY94" s="76"/>
      <c r="AZ94" s="76"/>
      <c r="BA94" s="76"/>
      <c r="BB94" s="76"/>
      <c r="BC94" s="77"/>
      <c r="BD94" s="78"/>
      <c r="BE94" s="76"/>
      <c r="BF94" s="76"/>
      <c r="BG94" s="76"/>
      <c r="BH94" s="76"/>
      <c r="BI94" s="76"/>
      <c r="BJ94" s="76"/>
      <c r="BK94" s="76"/>
      <c r="BL94" s="76"/>
      <c r="BM94" s="76"/>
      <c r="BN94" s="76"/>
      <c r="BO94" s="77"/>
      <c r="BP94" s="78"/>
      <c r="BQ94" s="76"/>
      <c r="BR94" s="76"/>
      <c r="BS94" s="76"/>
      <c r="BT94" s="76"/>
      <c r="BU94" s="76"/>
      <c r="BV94" s="76"/>
      <c r="BW94" s="76"/>
      <c r="BX94" s="76"/>
      <c r="BY94" s="76"/>
      <c r="BZ94" s="76"/>
      <c r="CA94" s="76"/>
      <c r="CC94" s="79" t="n">
        <f aca="false">SUMIFS($T94:$CA94, $T$1:$CA$1, CC$63)</f>
        <v>0</v>
      </c>
      <c r="CD94" s="79" t="n">
        <f aca="false">SUMIFS($T94:$CA94, $T$1:$CA$1, CD$63)</f>
        <v>0</v>
      </c>
      <c r="CE94" s="79" t="n">
        <f aca="false">SUMIFS($T94:$CA94, $T$1:$CA$1, CE$63)</f>
        <v>0</v>
      </c>
      <c r="CF94" s="79" t="n">
        <f aca="false">SUMIFS($T94:$CA94, $T$1:$CA$1, CF$63)</f>
        <v>0</v>
      </c>
      <c r="CG94" s="79" t="n">
        <f aca="false">SUMIFS($T94:$CA94, $T$1:$CA$1, CG$63)</f>
        <v>0</v>
      </c>
      <c r="CI94" s="79" t="n">
        <f aca="false">CC94=L94</f>
        <v>1</v>
      </c>
      <c r="CJ94" s="79" t="n">
        <f aca="false">CD94=M94</f>
        <v>1</v>
      </c>
      <c r="CK94" s="79" t="n">
        <f aca="false">CE94=N94</f>
        <v>1</v>
      </c>
      <c r="CL94" s="79" t="n">
        <f aca="false">CF94=O94</f>
        <v>1</v>
      </c>
      <c r="CM94" s="79" t="n">
        <f aca="false">CG94=P94</f>
        <v>1</v>
      </c>
    </row>
    <row r="95" s="14" customFormat="true" ht="16.5" hidden="false" customHeight="true" outlineLevel="0" collapsed="false">
      <c r="E95" s="70"/>
      <c r="H95" s="71"/>
      <c r="I95" s="76" t="n">
        <v>0</v>
      </c>
      <c r="J95" s="76" t="n">
        <v>0</v>
      </c>
      <c r="K95" s="212" t="n">
        <f aca="false">J95-I95</f>
        <v>0</v>
      </c>
      <c r="L95" s="76"/>
      <c r="M95" s="76"/>
      <c r="N95" s="76"/>
      <c r="O95" s="76"/>
      <c r="P95" s="77"/>
      <c r="Q95" s="75"/>
      <c r="R95" s="16" t="str">
        <f aca="false">IF(K95=P95, "", "Error")</f>
        <v/>
      </c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7"/>
      <c r="AF95" s="78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7"/>
      <c r="AR95" s="78"/>
      <c r="AS95" s="76"/>
      <c r="AT95" s="76"/>
      <c r="AU95" s="76"/>
      <c r="AV95" s="76"/>
      <c r="AW95" s="76"/>
      <c r="AX95" s="76"/>
      <c r="AY95" s="76"/>
      <c r="AZ95" s="76"/>
      <c r="BA95" s="76"/>
      <c r="BB95" s="76"/>
      <c r="BC95" s="77"/>
      <c r="BD95" s="78"/>
      <c r="BE95" s="76"/>
      <c r="BF95" s="76"/>
      <c r="BG95" s="76"/>
      <c r="BH95" s="76"/>
      <c r="BI95" s="76"/>
      <c r="BJ95" s="76"/>
      <c r="BK95" s="76"/>
      <c r="BL95" s="76"/>
      <c r="BM95" s="76"/>
      <c r="BN95" s="76"/>
      <c r="BO95" s="77"/>
      <c r="BP95" s="78"/>
      <c r="BQ95" s="76"/>
      <c r="BR95" s="76"/>
      <c r="BS95" s="76"/>
      <c r="BT95" s="76"/>
      <c r="BU95" s="76"/>
      <c r="BV95" s="76"/>
      <c r="BW95" s="76"/>
      <c r="BX95" s="76"/>
      <c r="BY95" s="76"/>
      <c r="BZ95" s="76"/>
      <c r="CA95" s="76"/>
      <c r="CC95" s="79" t="n">
        <f aca="false">SUMIFS($T95:$CA95, $T$1:$CA$1, CC$63)</f>
        <v>0</v>
      </c>
      <c r="CD95" s="79" t="n">
        <f aca="false">SUMIFS($T95:$CA95, $T$1:$CA$1, CD$63)</f>
        <v>0</v>
      </c>
      <c r="CE95" s="79" t="n">
        <f aca="false">SUMIFS($T95:$CA95, $T$1:$CA$1, CE$63)</f>
        <v>0</v>
      </c>
      <c r="CF95" s="79" t="n">
        <f aca="false">SUMIFS($T95:$CA95, $T$1:$CA$1, CF$63)</f>
        <v>0</v>
      </c>
      <c r="CG95" s="79" t="n">
        <f aca="false">SUMIFS($T95:$CA95, $T$1:$CA$1, CG$63)</f>
        <v>0</v>
      </c>
      <c r="CI95" s="79" t="n">
        <f aca="false">CC95=L95</f>
        <v>1</v>
      </c>
      <c r="CJ95" s="79" t="n">
        <f aca="false">CD95=M95</f>
        <v>1</v>
      </c>
      <c r="CK95" s="79" t="n">
        <f aca="false">CE95=N95</f>
        <v>1</v>
      </c>
      <c r="CL95" s="79" t="n">
        <f aca="false">CF95=O95</f>
        <v>1</v>
      </c>
      <c r="CM95" s="79" t="n">
        <f aca="false">CG95=P95</f>
        <v>1</v>
      </c>
    </row>
    <row r="96" s="14" customFormat="true" ht="16.5" hidden="false" customHeight="true" outlineLevel="0" collapsed="false">
      <c r="E96" s="80" t="s">
        <v>137</v>
      </c>
      <c r="H96" s="29"/>
      <c r="I96" s="82" t="n">
        <f aca="false">SUM(I94:I95)</f>
        <v>0</v>
      </c>
      <c r="J96" s="82" t="n">
        <f aca="false">SUM(J94:J95)</f>
        <v>0</v>
      </c>
      <c r="K96" s="82" t="n">
        <f aca="false">SUM(K94:K95)</f>
        <v>0</v>
      </c>
      <c r="L96" s="82" t="n">
        <f aca="false">SUM(L94:L95)</f>
        <v>0</v>
      </c>
      <c r="M96" s="82" t="n">
        <f aca="false">SUM(M94:M95)</f>
        <v>0</v>
      </c>
      <c r="N96" s="82" t="n">
        <f aca="false">SUM(N94:N95)</f>
        <v>0</v>
      </c>
      <c r="O96" s="82" t="n">
        <f aca="false">SUM(O94:O95)</f>
        <v>0</v>
      </c>
      <c r="P96" s="82" t="n">
        <f aca="false">SUM(P94:P95)</f>
        <v>0</v>
      </c>
      <c r="Q96" s="16"/>
      <c r="R96" s="16"/>
      <c r="T96" s="82" t="n">
        <f aca="false">SUM(T94:T95)</f>
        <v>0</v>
      </c>
      <c r="U96" s="82" t="n">
        <f aca="false">SUM(U94:U95)</f>
        <v>0</v>
      </c>
      <c r="V96" s="82" t="n">
        <f aca="false">SUM(V94:V95)</f>
        <v>0</v>
      </c>
      <c r="W96" s="82" t="n">
        <f aca="false">SUM(W94:W95)</f>
        <v>0</v>
      </c>
      <c r="X96" s="82" t="n">
        <f aca="false">SUM(X94:X95)</f>
        <v>0</v>
      </c>
      <c r="Y96" s="82" t="n">
        <f aca="false">SUM(Y94:Y95)</f>
        <v>0</v>
      </c>
      <c r="Z96" s="82" t="n">
        <f aca="false">SUM(Z94:Z95)</f>
        <v>0</v>
      </c>
      <c r="AA96" s="82" t="n">
        <f aca="false">SUM(AA94:AA95)</f>
        <v>0</v>
      </c>
      <c r="AB96" s="82" t="n">
        <f aca="false">SUM(AB94:AB95)</f>
        <v>0</v>
      </c>
      <c r="AC96" s="82" t="n">
        <f aca="false">SUM(AC94:AC95)</f>
        <v>0</v>
      </c>
      <c r="AD96" s="82" t="n">
        <f aca="false">SUM(AD94:AD95)</f>
        <v>0</v>
      </c>
      <c r="AE96" s="82" t="n">
        <f aca="false">SUM(AE94:AE95)</f>
        <v>0</v>
      </c>
      <c r="AF96" s="83" t="n">
        <f aca="false">SUM(AF94:AF95)</f>
        <v>0</v>
      </c>
      <c r="AG96" s="82" t="n">
        <f aca="false">SUM(AG94:AG95)</f>
        <v>0</v>
      </c>
      <c r="AH96" s="82" t="n">
        <f aca="false">SUM(AH94:AH95)</f>
        <v>0</v>
      </c>
      <c r="AI96" s="82" t="n">
        <f aca="false">SUM(AI94:AI95)</f>
        <v>0</v>
      </c>
      <c r="AJ96" s="82" t="n">
        <f aca="false">SUM(AJ94:AJ95)</f>
        <v>0</v>
      </c>
      <c r="AK96" s="82" t="n">
        <f aca="false">SUM(AK94:AK95)</f>
        <v>0</v>
      </c>
      <c r="AL96" s="82" t="n">
        <f aca="false">SUM(AL94:AL95)</f>
        <v>0</v>
      </c>
      <c r="AM96" s="82" t="n">
        <f aca="false">SUM(AM94:AM95)</f>
        <v>0</v>
      </c>
      <c r="AN96" s="82" t="n">
        <f aca="false">SUM(AN94:AN95)</f>
        <v>0</v>
      </c>
      <c r="AO96" s="82" t="n">
        <f aca="false">SUM(AO94:AO95)</f>
        <v>0</v>
      </c>
      <c r="AP96" s="82" t="n">
        <f aca="false">SUM(AP94:AP95)</f>
        <v>0</v>
      </c>
      <c r="AQ96" s="82" t="n">
        <f aca="false">SUM(AQ94:AQ95)</f>
        <v>0</v>
      </c>
      <c r="AR96" s="83" t="n">
        <f aca="false">SUM(AR94:AR95)</f>
        <v>0</v>
      </c>
      <c r="AS96" s="82" t="n">
        <f aca="false">SUM(AS94:AS95)</f>
        <v>0</v>
      </c>
      <c r="AT96" s="82" t="n">
        <f aca="false">SUM(AT94:AT95)</f>
        <v>0</v>
      </c>
      <c r="AU96" s="82" t="n">
        <f aca="false">SUM(AU94:AU95)</f>
        <v>0</v>
      </c>
      <c r="AV96" s="82" t="n">
        <f aca="false">SUM(AV94:AV95)</f>
        <v>0</v>
      </c>
      <c r="AW96" s="82" t="n">
        <f aca="false">SUM(AW94:AW95)</f>
        <v>0</v>
      </c>
      <c r="AX96" s="82" t="n">
        <f aca="false">SUM(AX94:AX95)</f>
        <v>0</v>
      </c>
      <c r="AY96" s="82" t="n">
        <f aca="false">SUM(AY94:AY95)</f>
        <v>0</v>
      </c>
      <c r="AZ96" s="82" t="n">
        <f aca="false">SUM(AZ94:AZ95)</f>
        <v>0</v>
      </c>
      <c r="BA96" s="82" t="n">
        <f aca="false">SUM(BA94:BA95)</f>
        <v>0</v>
      </c>
      <c r="BB96" s="82" t="n">
        <f aca="false">SUM(BB94:BB95)</f>
        <v>0</v>
      </c>
      <c r="BC96" s="82" t="n">
        <f aca="false">SUM(BC94:BC95)</f>
        <v>0</v>
      </c>
      <c r="BD96" s="83" t="n">
        <f aca="false">SUM(BD94:BD95)</f>
        <v>0</v>
      </c>
      <c r="BE96" s="82" t="n">
        <f aca="false">SUM(BE94:BE95)</f>
        <v>0</v>
      </c>
      <c r="BF96" s="82" t="n">
        <f aca="false">SUM(BF94:BF95)</f>
        <v>0</v>
      </c>
      <c r="BG96" s="82" t="n">
        <f aca="false">SUM(BG94:BG95)</f>
        <v>0</v>
      </c>
      <c r="BH96" s="82" t="n">
        <f aca="false">SUM(BH94:BH95)</f>
        <v>0</v>
      </c>
      <c r="BI96" s="82" t="n">
        <f aca="false">SUM(BI94:BI95)</f>
        <v>0</v>
      </c>
      <c r="BJ96" s="82" t="n">
        <f aca="false">SUM(BJ94:BJ95)</f>
        <v>0</v>
      </c>
      <c r="BK96" s="82" t="n">
        <f aca="false">SUM(BK94:BK95)</f>
        <v>0</v>
      </c>
      <c r="BL96" s="82" t="n">
        <f aca="false">SUM(BL94:BL95)</f>
        <v>0</v>
      </c>
      <c r="BM96" s="82" t="n">
        <f aca="false">SUM(BM94:BM95)</f>
        <v>0</v>
      </c>
      <c r="BN96" s="82" t="n">
        <f aca="false">SUM(BN94:BN95)</f>
        <v>0</v>
      </c>
      <c r="BO96" s="82" t="n">
        <f aca="false">SUM(BO94:BO95)</f>
        <v>0</v>
      </c>
      <c r="BP96" s="83" t="n">
        <f aca="false">SUM(BP94:BP95)</f>
        <v>0</v>
      </c>
      <c r="BQ96" s="82" t="n">
        <f aca="false">SUM(BQ94:BQ95)</f>
        <v>0</v>
      </c>
      <c r="BR96" s="82" t="n">
        <f aca="false">SUM(BR94:BR95)</f>
        <v>0</v>
      </c>
      <c r="BS96" s="82" t="n">
        <f aca="false">SUM(BS94:BS95)</f>
        <v>0</v>
      </c>
      <c r="BT96" s="82" t="n">
        <f aca="false">SUM(BT94:BT95)</f>
        <v>0</v>
      </c>
      <c r="BU96" s="82" t="n">
        <f aca="false">SUM(BU94:BU95)</f>
        <v>0</v>
      </c>
      <c r="BV96" s="82" t="n">
        <f aca="false">SUM(BV94:BV95)</f>
        <v>0</v>
      </c>
      <c r="BW96" s="82" t="n">
        <f aca="false">SUM(BW94:BW95)</f>
        <v>0</v>
      </c>
      <c r="BX96" s="82" t="n">
        <f aca="false">SUM(BX94:BX95)</f>
        <v>0</v>
      </c>
      <c r="BY96" s="82" t="n">
        <f aca="false">SUM(BY94:BY95)</f>
        <v>0</v>
      </c>
      <c r="BZ96" s="82" t="n">
        <f aca="false">SUM(BZ94:BZ95)</f>
        <v>0</v>
      </c>
      <c r="CA96" s="84" t="n">
        <f aca="false">SUM(CA94:CA95)</f>
        <v>0</v>
      </c>
      <c r="CC96" s="84" t="n">
        <f aca="false">SUM(CC94:CC95)</f>
        <v>0</v>
      </c>
      <c r="CD96" s="84" t="n">
        <f aca="false">SUM(CD94:CD95)</f>
        <v>0</v>
      </c>
      <c r="CE96" s="84" t="n">
        <f aca="false">SUM(CE94:CE95)</f>
        <v>0</v>
      </c>
      <c r="CF96" s="84" t="n">
        <f aca="false">SUM(CF94:CF95)</f>
        <v>0</v>
      </c>
      <c r="CG96" s="84" t="n">
        <f aca="false">SUM(CG94:CG95)</f>
        <v>0</v>
      </c>
      <c r="CI96" s="84" t="n">
        <f aca="false">CC96=L96</f>
        <v>1</v>
      </c>
      <c r="CJ96" s="84" t="n">
        <f aca="false">CD96=M96</f>
        <v>1</v>
      </c>
      <c r="CK96" s="84" t="n">
        <f aca="false">CE96=N96</f>
        <v>1</v>
      </c>
      <c r="CL96" s="84" t="n">
        <f aca="false">CF96=O96</f>
        <v>1</v>
      </c>
      <c r="CM96" s="84" t="n">
        <f aca="false">CG96=P96</f>
        <v>1</v>
      </c>
    </row>
    <row r="97" s="14" customFormat="true" ht="16.5" hidden="false" customHeight="true" outlineLevel="0" collapsed="false">
      <c r="E97" s="85"/>
      <c r="H97" s="29"/>
      <c r="I97" s="88"/>
      <c r="J97" s="88"/>
      <c r="K97" s="88"/>
      <c r="L97" s="88"/>
      <c r="M97" s="88"/>
      <c r="N97" s="88"/>
      <c r="O97" s="88"/>
      <c r="P97" s="88"/>
      <c r="Q97" s="16"/>
      <c r="R97" s="16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9"/>
      <c r="AG97" s="88"/>
      <c r="AH97" s="88"/>
      <c r="AI97" s="88"/>
      <c r="AJ97" s="88"/>
      <c r="AK97" s="88"/>
      <c r="AL97" s="88"/>
      <c r="AM97" s="88"/>
      <c r="AN97" s="88"/>
      <c r="AO97" s="88"/>
      <c r="AP97" s="88"/>
      <c r="AQ97" s="88"/>
      <c r="AR97" s="89"/>
      <c r="AS97" s="88"/>
      <c r="AT97" s="88"/>
      <c r="AU97" s="88"/>
      <c r="AV97" s="88"/>
      <c r="AW97" s="88"/>
      <c r="AX97" s="88"/>
      <c r="AY97" s="88"/>
      <c r="AZ97" s="88"/>
      <c r="BA97" s="88"/>
      <c r="BB97" s="88"/>
      <c r="BC97" s="88"/>
      <c r="BD97" s="89"/>
      <c r="BE97" s="88"/>
      <c r="BF97" s="88"/>
      <c r="BG97" s="88"/>
      <c r="BH97" s="88"/>
      <c r="BI97" s="88"/>
      <c r="BJ97" s="88"/>
      <c r="BK97" s="88"/>
      <c r="BL97" s="88"/>
      <c r="BM97" s="88"/>
      <c r="BN97" s="88"/>
      <c r="BO97" s="88"/>
      <c r="BP97" s="89"/>
      <c r="BQ97" s="88"/>
      <c r="BR97" s="88"/>
      <c r="BS97" s="88"/>
      <c r="BT97" s="88"/>
      <c r="BU97" s="88"/>
      <c r="BV97" s="88"/>
      <c r="BW97" s="88"/>
      <c r="BX97" s="88"/>
      <c r="BY97" s="88"/>
      <c r="BZ97" s="88"/>
      <c r="CA97" s="90"/>
      <c r="CC97" s="90"/>
      <c r="CD97" s="90"/>
      <c r="CE97" s="90"/>
      <c r="CF97" s="90"/>
      <c r="CG97" s="90"/>
      <c r="CI97" s="90"/>
      <c r="CJ97" s="90"/>
      <c r="CK97" s="90"/>
      <c r="CL97" s="90"/>
      <c r="CM97" s="90"/>
    </row>
    <row r="98" s="14" customFormat="true" ht="16.5" hidden="false" customHeight="true" outlineLevel="0" collapsed="false">
      <c r="E98" s="21" t="s">
        <v>138</v>
      </c>
      <c r="H98" s="29"/>
      <c r="I98" s="88"/>
      <c r="K98" s="88"/>
      <c r="L98" s="88"/>
      <c r="M98" s="88"/>
      <c r="N98" s="88"/>
      <c r="O98" s="88"/>
      <c r="P98" s="88"/>
      <c r="Q98" s="16"/>
      <c r="R98" s="16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9"/>
      <c r="AG98" s="88"/>
      <c r="AH98" s="88"/>
      <c r="AI98" s="88"/>
      <c r="AJ98" s="88"/>
      <c r="AK98" s="88"/>
      <c r="AL98" s="88"/>
      <c r="AM98" s="88"/>
      <c r="AN98" s="88"/>
      <c r="AO98" s="88"/>
      <c r="AP98" s="88"/>
      <c r="AQ98" s="88"/>
      <c r="AR98" s="89"/>
      <c r="AS98" s="88"/>
      <c r="AT98" s="88"/>
      <c r="AU98" s="88"/>
      <c r="AV98" s="88"/>
      <c r="AW98" s="88"/>
      <c r="AX98" s="88"/>
      <c r="AY98" s="88"/>
      <c r="AZ98" s="88"/>
      <c r="BA98" s="88"/>
      <c r="BB98" s="88"/>
      <c r="BC98" s="88"/>
      <c r="BD98" s="89"/>
      <c r="BE98" s="88"/>
      <c r="BF98" s="88"/>
      <c r="BG98" s="88"/>
      <c r="BH98" s="88"/>
      <c r="BI98" s="88"/>
      <c r="BJ98" s="88"/>
      <c r="BK98" s="88"/>
      <c r="BL98" s="88"/>
      <c r="BM98" s="88"/>
      <c r="BN98" s="88"/>
      <c r="BO98" s="88"/>
      <c r="BP98" s="89"/>
      <c r="BQ98" s="88"/>
      <c r="BR98" s="88"/>
      <c r="BS98" s="88"/>
      <c r="BT98" s="88"/>
      <c r="BU98" s="88"/>
      <c r="BV98" s="88"/>
      <c r="BW98" s="88"/>
      <c r="BX98" s="88"/>
      <c r="BY98" s="88"/>
      <c r="BZ98" s="88"/>
      <c r="CA98" s="90"/>
      <c r="CC98" s="90"/>
      <c r="CD98" s="90"/>
      <c r="CE98" s="90"/>
      <c r="CF98" s="90"/>
      <c r="CG98" s="90"/>
      <c r="CI98" s="90"/>
      <c r="CJ98" s="90"/>
      <c r="CK98" s="90"/>
      <c r="CL98" s="90"/>
      <c r="CM98" s="90"/>
    </row>
    <row r="99" s="14" customFormat="true" ht="16.5" hidden="false" customHeight="true" outlineLevel="0" collapsed="false">
      <c r="E99" s="91"/>
      <c r="H99" s="29"/>
      <c r="I99" s="91" t="n">
        <v>0</v>
      </c>
      <c r="J99" s="91" t="n">
        <v>0</v>
      </c>
      <c r="K99" s="212" t="n">
        <f aca="false">J99-I99</f>
        <v>0</v>
      </c>
      <c r="L99" s="91" t="n">
        <v>0</v>
      </c>
      <c r="M99" s="91" t="n">
        <v>0</v>
      </c>
      <c r="N99" s="91" t="n">
        <v>0</v>
      </c>
      <c r="O99" s="91" t="n">
        <v>0</v>
      </c>
      <c r="P99" s="91" t="n">
        <v>0</v>
      </c>
      <c r="Q99" s="93"/>
      <c r="R99" s="16" t="str">
        <f aca="false">IF(K99=P99, "", "Error")</f>
        <v/>
      </c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4"/>
      <c r="AF99" s="95"/>
      <c r="AG99" s="91"/>
      <c r="AH99" s="91"/>
      <c r="AI99" s="91"/>
      <c r="AJ99" s="91"/>
      <c r="AK99" s="91"/>
      <c r="AL99" s="91"/>
      <c r="AM99" s="91"/>
      <c r="AN99" s="91"/>
      <c r="AO99" s="91"/>
      <c r="AP99" s="91"/>
      <c r="AQ99" s="94"/>
      <c r="AR99" s="95"/>
      <c r="AS99" s="91"/>
      <c r="AT99" s="91"/>
      <c r="AU99" s="91"/>
      <c r="AV99" s="91"/>
      <c r="AW99" s="91"/>
      <c r="AX99" s="91"/>
      <c r="AY99" s="91"/>
      <c r="AZ99" s="91"/>
      <c r="BA99" s="91"/>
      <c r="BB99" s="91"/>
      <c r="BC99" s="94"/>
      <c r="BD99" s="95"/>
      <c r="BE99" s="91"/>
      <c r="BF99" s="91"/>
      <c r="BG99" s="91"/>
      <c r="BH99" s="91"/>
      <c r="BI99" s="91"/>
      <c r="BJ99" s="91"/>
      <c r="BK99" s="91"/>
      <c r="BL99" s="91"/>
      <c r="BM99" s="91"/>
      <c r="BN99" s="91"/>
      <c r="BO99" s="94"/>
      <c r="BP99" s="95"/>
      <c r="BQ99" s="91"/>
      <c r="BR99" s="91"/>
      <c r="BS99" s="91"/>
      <c r="BT99" s="91"/>
      <c r="BU99" s="91"/>
      <c r="BV99" s="91"/>
      <c r="BW99" s="91"/>
      <c r="BX99" s="91"/>
      <c r="BY99" s="91"/>
      <c r="BZ99" s="91"/>
      <c r="CA99" s="119"/>
      <c r="CC99" s="79" t="n">
        <f aca="false">SUMIFS($T99:$CA99, $T$1:$CA$1, CC$63)</f>
        <v>0</v>
      </c>
      <c r="CD99" s="79" t="n">
        <f aca="false">SUMIFS($T99:$CA99, $T$1:$CA$1, CD$63)</f>
        <v>0</v>
      </c>
      <c r="CE99" s="79" t="n">
        <f aca="false">SUMIFS($T99:$CA99, $T$1:$CA$1, CE$63)</f>
        <v>0</v>
      </c>
      <c r="CF99" s="79" t="n">
        <f aca="false">SUMIFS($T99:$CA99, $T$1:$CA$1, CF$63)</f>
        <v>0</v>
      </c>
      <c r="CG99" s="79" t="n">
        <f aca="false">SUMIFS($T99:$CA99, $T$1:$CA$1, CG$63)</f>
        <v>0</v>
      </c>
      <c r="CI99" s="79" t="n">
        <f aca="false">CC99=L99</f>
        <v>1</v>
      </c>
      <c r="CJ99" s="79" t="n">
        <f aca="false">CD99=M99</f>
        <v>1</v>
      </c>
      <c r="CK99" s="79" t="n">
        <f aca="false">CE99=N99</f>
        <v>1</v>
      </c>
      <c r="CL99" s="79" t="n">
        <f aca="false">CF99=O99</f>
        <v>1</v>
      </c>
      <c r="CM99" s="79" t="n">
        <f aca="false">CG99=P99</f>
        <v>1</v>
      </c>
    </row>
    <row r="100" s="14" customFormat="true" ht="16.5" hidden="false" customHeight="true" outlineLevel="0" collapsed="false">
      <c r="E100" s="91"/>
      <c r="H100" s="29"/>
      <c r="I100" s="91" t="n">
        <v>0</v>
      </c>
      <c r="J100" s="91" t="n">
        <v>0</v>
      </c>
      <c r="K100" s="212" t="n">
        <f aca="false">J100-I100</f>
        <v>0</v>
      </c>
      <c r="L100" s="91" t="n">
        <v>0</v>
      </c>
      <c r="M100" s="91" t="n">
        <v>0</v>
      </c>
      <c r="N100" s="91" t="n">
        <v>0</v>
      </c>
      <c r="O100" s="91" t="n">
        <v>0</v>
      </c>
      <c r="P100" s="91" t="n">
        <v>0</v>
      </c>
      <c r="Q100" s="93"/>
      <c r="R100" s="16" t="str">
        <f aca="false">IF(K100=P100, "", "Error")</f>
        <v/>
      </c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4"/>
      <c r="AF100" s="95"/>
      <c r="AG100" s="91"/>
      <c r="AH100" s="91"/>
      <c r="AI100" s="91"/>
      <c r="AJ100" s="91"/>
      <c r="AK100" s="91"/>
      <c r="AL100" s="91"/>
      <c r="AM100" s="91"/>
      <c r="AN100" s="91"/>
      <c r="AO100" s="91"/>
      <c r="AP100" s="91"/>
      <c r="AQ100" s="94"/>
      <c r="AR100" s="95"/>
      <c r="AS100" s="91"/>
      <c r="AT100" s="91"/>
      <c r="AU100" s="91"/>
      <c r="AV100" s="91"/>
      <c r="AW100" s="91"/>
      <c r="AX100" s="91"/>
      <c r="AY100" s="91"/>
      <c r="AZ100" s="91"/>
      <c r="BA100" s="91"/>
      <c r="BB100" s="91"/>
      <c r="BC100" s="94"/>
      <c r="BD100" s="95"/>
      <c r="BE100" s="91"/>
      <c r="BF100" s="91"/>
      <c r="BG100" s="91"/>
      <c r="BH100" s="91"/>
      <c r="BI100" s="91"/>
      <c r="BJ100" s="91"/>
      <c r="BK100" s="91"/>
      <c r="BL100" s="91"/>
      <c r="BM100" s="91"/>
      <c r="BN100" s="91"/>
      <c r="BO100" s="94"/>
      <c r="BP100" s="95"/>
      <c r="BQ100" s="91"/>
      <c r="BR100" s="91"/>
      <c r="BS100" s="91"/>
      <c r="BT100" s="91"/>
      <c r="BU100" s="91"/>
      <c r="BV100" s="91"/>
      <c r="BW100" s="91"/>
      <c r="BX100" s="91"/>
      <c r="BY100" s="91"/>
      <c r="BZ100" s="91"/>
      <c r="CA100" s="119"/>
      <c r="CC100" s="79" t="n">
        <f aca="false">SUMIFS($T100:$CA100, $T$1:$CA$1, CC$63)</f>
        <v>0</v>
      </c>
      <c r="CD100" s="79" t="n">
        <f aca="false">SUMIFS($T100:$CA100, $T$1:$CA$1, CD$63)</f>
        <v>0</v>
      </c>
      <c r="CE100" s="79" t="n">
        <f aca="false">SUMIFS($T100:$CA100, $T$1:$CA$1, CE$63)</f>
        <v>0</v>
      </c>
      <c r="CF100" s="79" t="n">
        <f aca="false">SUMIFS($T100:$CA100, $T$1:$CA$1, CF$63)</f>
        <v>0</v>
      </c>
      <c r="CG100" s="79" t="n">
        <f aca="false">SUMIFS($T100:$CA100, $T$1:$CA$1, CG$63)</f>
        <v>0</v>
      </c>
      <c r="CI100" s="79" t="n">
        <f aca="false">CC100=L100</f>
        <v>1</v>
      </c>
      <c r="CJ100" s="79" t="n">
        <f aca="false">CD100=M100</f>
        <v>1</v>
      </c>
      <c r="CK100" s="79" t="n">
        <f aca="false">CE100=N100</f>
        <v>1</v>
      </c>
      <c r="CL100" s="79" t="n">
        <f aca="false">CF100=O100</f>
        <v>1</v>
      </c>
      <c r="CM100" s="79" t="n">
        <f aca="false">CG100=P100</f>
        <v>1</v>
      </c>
    </row>
    <row r="101" s="14" customFormat="true" ht="16.5" hidden="false" customHeight="true" outlineLevel="0" collapsed="false">
      <c r="E101" s="91"/>
      <c r="H101" s="29"/>
      <c r="I101" s="91" t="n">
        <v>0</v>
      </c>
      <c r="J101" s="91" t="n">
        <v>0</v>
      </c>
      <c r="K101" s="212" t="n">
        <f aca="false">J101-I101</f>
        <v>0</v>
      </c>
      <c r="L101" s="91" t="n">
        <v>0</v>
      </c>
      <c r="M101" s="91" t="n">
        <v>0</v>
      </c>
      <c r="N101" s="91" t="n">
        <v>0</v>
      </c>
      <c r="O101" s="91" t="n">
        <v>0</v>
      </c>
      <c r="P101" s="91" t="n">
        <v>0</v>
      </c>
      <c r="Q101" s="93"/>
      <c r="R101" s="16" t="str">
        <f aca="false">IF(K101=P101, "", "Error")</f>
        <v/>
      </c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4"/>
      <c r="AF101" s="95"/>
      <c r="AG101" s="91"/>
      <c r="AH101" s="91"/>
      <c r="AI101" s="91"/>
      <c r="AJ101" s="91"/>
      <c r="AK101" s="91"/>
      <c r="AL101" s="91"/>
      <c r="AM101" s="91"/>
      <c r="AN101" s="91"/>
      <c r="AO101" s="91"/>
      <c r="AP101" s="91"/>
      <c r="AQ101" s="94"/>
      <c r="AR101" s="95"/>
      <c r="AS101" s="91"/>
      <c r="AT101" s="91"/>
      <c r="AU101" s="91"/>
      <c r="AV101" s="91"/>
      <c r="AW101" s="91"/>
      <c r="AX101" s="91"/>
      <c r="AY101" s="91"/>
      <c r="AZ101" s="91"/>
      <c r="BA101" s="91"/>
      <c r="BB101" s="91"/>
      <c r="BC101" s="94"/>
      <c r="BD101" s="95"/>
      <c r="BE101" s="91"/>
      <c r="BF101" s="91"/>
      <c r="BG101" s="91"/>
      <c r="BH101" s="91"/>
      <c r="BI101" s="91"/>
      <c r="BJ101" s="91"/>
      <c r="BK101" s="91"/>
      <c r="BL101" s="91"/>
      <c r="BM101" s="91"/>
      <c r="BN101" s="91"/>
      <c r="BO101" s="94"/>
      <c r="BP101" s="95"/>
      <c r="BQ101" s="91"/>
      <c r="BR101" s="91"/>
      <c r="BS101" s="91"/>
      <c r="BT101" s="91"/>
      <c r="BU101" s="91"/>
      <c r="BV101" s="91"/>
      <c r="BW101" s="91"/>
      <c r="BX101" s="91"/>
      <c r="BY101" s="91"/>
      <c r="BZ101" s="91"/>
      <c r="CA101" s="119"/>
      <c r="CC101" s="79" t="n">
        <f aca="false">SUMIFS($T101:$CA101, $T$1:$CA$1, CC$63)</f>
        <v>0</v>
      </c>
      <c r="CD101" s="79" t="n">
        <f aca="false">SUMIFS($T101:$CA101, $T$1:$CA$1, CD$63)</f>
        <v>0</v>
      </c>
      <c r="CE101" s="79" t="n">
        <f aca="false">SUMIFS($T101:$CA101, $T$1:$CA$1, CE$63)</f>
        <v>0</v>
      </c>
      <c r="CF101" s="79" t="n">
        <f aca="false">SUMIFS($T101:$CA101, $T$1:$CA$1, CF$63)</f>
        <v>0</v>
      </c>
      <c r="CG101" s="79" t="n">
        <f aca="false">SUMIFS($T101:$CA101, $T$1:$CA$1, CG$63)</f>
        <v>0</v>
      </c>
      <c r="CI101" s="79" t="n">
        <f aca="false">CC101=L101</f>
        <v>1</v>
      </c>
      <c r="CJ101" s="79" t="n">
        <f aca="false">CD101=M101</f>
        <v>1</v>
      </c>
      <c r="CK101" s="79" t="n">
        <f aca="false">CE101=N101</f>
        <v>1</v>
      </c>
      <c r="CL101" s="79" t="n">
        <f aca="false">CF101=O101</f>
        <v>1</v>
      </c>
      <c r="CM101" s="79" t="n">
        <f aca="false">CG101=P101</f>
        <v>1</v>
      </c>
    </row>
    <row r="102" s="14" customFormat="true" ht="16.5" hidden="false" customHeight="true" outlineLevel="0" collapsed="false">
      <c r="E102" s="91"/>
      <c r="H102" s="29"/>
      <c r="I102" s="91" t="n">
        <v>0</v>
      </c>
      <c r="J102" s="91" t="n">
        <v>0</v>
      </c>
      <c r="K102" s="212" t="n">
        <f aca="false">J102-I102</f>
        <v>0</v>
      </c>
      <c r="L102" s="91" t="n">
        <v>0</v>
      </c>
      <c r="M102" s="91" t="n">
        <v>0</v>
      </c>
      <c r="N102" s="91" t="n">
        <v>0</v>
      </c>
      <c r="O102" s="91" t="n">
        <v>0</v>
      </c>
      <c r="P102" s="91" t="n">
        <v>0</v>
      </c>
      <c r="Q102" s="93"/>
      <c r="R102" s="16" t="str">
        <f aca="false">IF(K102=P102, "", "Error")</f>
        <v/>
      </c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4"/>
      <c r="AF102" s="95"/>
      <c r="AG102" s="91"/>
      <c r="AH102" s="91"/>
      <c r="AI102" s="91"/>
      <c r="AJ102" s="91"/>
      <c r="AK102" s="91"/>
      <c r="AL102" s="91"/>
      <c r="AM102" s="91"/>
      <c r="AN102" s="91"/>
      <c r="AO102" s="91"/>
      <c r="AP102" s="91"/>
      <c r="AQ102" s="94"/>
      <c r="AR102" s="95"/>
      <c r="AS102" s="91"/>
      <c r="AT102" s="91"/>
      <c r="AU102" s="91"/>
      <c r="AV102" s="91"/>
      <c r="AW102" s="91"/>
      <c r="AX102" s="91"/>
      <c r="AY102" s="91"/>
      <c r="AZ102" s="91"/>
      <c r="BA102" s="91"/>
      <c r="BB102" s="91"/>
      <c r="BC102" s="94"/>
      <c r="BD102" s="95"/>
      <c r="BE102" s="91"/>
      <c r="BF102" s="91"/>
      <c r="BG102" s="91"/>
      <c r="BH102" s="91"/>
      <c r="BI102" s="91"/>
      <c r="BJ102" s="91"/>
      <c r="BK102" s="91"/>
      <c r="BL102" s="91"/>
      <c r="BM102" s="91"/>
      <c r="BN102" s="91"/>
      <c r="BO102" s="94"/>
      <c r="BP102" s="95"/>
      <c r="BQ102" s="91"/>
      <c r="BR102" s="91"/>
      <c r="BS102" s="91"/>
      <c r="BT102" s="91"/>
      <c r="BU102" s="91"/>
      <c r="BV102" s="91"/>
      <c r="BW102" s="91"/>
      <c r="BX102" s="91"/>
      <c r="BY102" s="91"/>
      <c r="BZ102" s="91"/>
      <c r="CA102" s="119"/>
      <c r="CC102" s="79" t="n">
        <f aca="false">SUMIFS($T102:$CA102, $T$1:$CA$1, CC$63)</f>
        <v>0</v>
      </c>
      <c r="CD102" s="79" t="n">
        <f aca="false">SUMIFS($T102:$CA102, $T$1:$CA$1, CD$63)</f>
        <v>0</v>
      </c>
      <c r="CE102" s="79" t="n">
        <f aca="false">SUMIFS($T102:$CA102, $T$1:$CA$1, CE$63)</f>
        <v>0</v>
      </c>
      <c r="CF102" s="79" t="n">
        <f aca="false">SUMIFS($T102:$CA102, $T$1:$CA$1, CF$63)</f>
        <v>0</v>
      </c>
      <c r="CG102" s="79" t="n">
        <f aca="false">SUMIFS($T102:$CA102, $T$1:$CA$1, CG$63)</f>
        <v>0</v>
      </c>
      <c r="CI102" s="79" t="n">
        <f aca="false">CC102=L102</f>
        <v>1</v>
      </c>
      <c r="CJ102" s="79" t="n">
        <f aca="false">CD102=M102</f>
        <v>1</v>
      </c>
      <c r="CK102" s="79" t="n">
        <f aca="false">CE102=N102</f>
        <v>1</v>
      </c>
      <c r="CL102" s="79" t="n">
        <f aca="false">CF102=O102</f>
        <v>1</v>
      </c>
      <c r="CM102" s="79" t="n">
        <f aca="false">CG102=P102</f>
        <v>1</v>
      </c>
    </row>
    <row r="103" s="14" customFormat="true" ht="16.5" hidden="false" customHeight="true" outlineLevel="0" collapsed="false">
      <c r="E103" s="91"/>
      <c r="H103" s="29"/>
      <c r="I103" s="91"/>
      <c r="J103" s="91"/>
      <c r="K103" s="212" t="n">
        <f aca="false">J103-I103</f>
        <v>0</v>
      </c>
      <c r="L103" s="91" t="n">
        <v>0</v>
      </c>
      <c r="M103" s="91" t="n">
        <v>0</v>
      </c>
      <c r="N103" s="91" t="n">
        <v>0</v>
      </c>
      <c r="O103" s="91" t="n">
        <v>0</v>
      </c>
      <c r="P103" s="91" t="n">
        <v>0</v>
      </c>
      <c r="Q103" s="93"/>
      <c r="R103" s="16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4"/>
      <c r="AF103" s="95"/>
      <c r="AG103" s="91"/>
      <c r="AH103" s="91"/>
      <c r="AI103" s="91"/>
      <c r="AJ103" s="91"/>
      <c r="AK103" s="91"/>
      <c r="AL103" s="91"/>
      <c r="AM103" s="91"/>
      <c r="AN103" s="91"/>
      <c r="AO103" s="91"/>
      <c r="AP103" s="91"/>
      <c r="AQ103" s="94"/>
      <c r="AR103" s="95"/>
      <c r="AS103" s="91"/>
      <c r="AT103" s="91"/>
      <c r="AU103" s="91"/>
      <c r="AV103" s="91"/>
      <c r="AW103" s="91"/>
      <c r="AX103" s="91"/>
      <c r="AY103" s="91"/>
      <c r="AZ103" s="91"/>
      <c r="BA103" s="91"/>
      <c r="BB103" s="91"/>
      <c r="BC103" s="94"/>
      <c r="BD103" s="95"/>
      <c r="BE103" s="91"/>
      <c r="BF103" s="91"/>
      <c r="BG103" s="91"/>
      <c r="BH103" s="91"/>
      <c r="BI103" s="91"/>
      <c r="BJ103" s="91"/>
      <c r="BK103" s="91"/>
      <c r="BL103" s="91"/>
      <c r="BM103" s="91"/>
      <c r="BN103" s="91"/>
      <c r="BO103" s="94"/>
      <c r="BP103" s="95"/>
      <c r="BQ103" s="91"/>
      <c r="BR103" s="91"/>
      <c r="BS103" s="91"/>
      <c r="BT103" s="91"/>
      <c r="BU103" s="91"/>
      <c r="BV103" s="91"/>
      <c r="BW103" s="91"/>
      <c r="BX103" s="91"/>
      <c r="BY103" s="91"/>
      <c r="BZ103" s="91"/>
      <c r="CA103" s="119"/>
      <c r="CC103" s="79"/>
      <c r="CD103" s="79"/>
      <c r="CE103" s="79"/>
      <c r="CF103" s="79"/>
      <c r="CG103" s="79"/>
      <c r="CI103" s="79"/>
      <c r="CJ103" s="79"/>
      <c r="CK103" s="79"/>
      <c r="CL103" s="79"/>
      <c r="CM103" s="79"/>
    </row>
    <row r="104" s="14" customFormat="true" ht="16.5" hidden="false" customHeight="true" outlineLevel="0" collapsed="false">
      <c r="E104" s="96" t="s">
        <v>139</v>
      </c>
      <c r="H104" s="29"/>
      <c r="I104" s="82" t="n">
        <f aca="false">SUM(I99:I103)</f>
        <v>0</v>
      </c>
      <c r="J104" s="82" t="n">
        <f aca="false">SUM(J99:J103)</f>
        <v>0</v>
      </c>
      <c r="K104" s="82" t="n">
        <f aca="false">SUM(K99:K103)</f>
        <v>0</v>
      </c>
      <c r="L104" s="82" t="n">
        <f aca="false">SUM(L99:L103)</f>
        <v>0</v>
      </c>
      <c r="M104" s="82" t="n">
        <f aca="false">SUM(M99:M103)</f>
        <v>0</v>
      </c>
      <c r="N104" s="82" t="n">
        <f aca="false">SUM(N99:N103)</f>
        <v>0</v>
      </c>
      <c r="O104" s="82" t="n">
        <f aca="false">SUM(O99:O103)</f>
        <v>0</v>
      </c>
      <c r="P104" s="82" t="n">
        <f aca="false">SUM(P99:P103)</f>
        <v>0</v>
      </c>
      <c r="Q104" s="16"/>
      <c r="R104" s="16"/>
      <c r="T104" s="82" t="n">
        <f aca="false">SUM(T99:T103)</f>
        <v>0</v>
      </c>
      <c r="U104" s="82" t="n">
        <f aca="false">SUM(U99:U103)</f>
        <v>0</v>
      </c>
      <c r="V104" s="82" t="n">
        <f aca="false">SUM(V99:V103)</f>
        <v>0</v>
      </c>
      <c r="W104" s="82" t="n">
        <f aca="false">SUM(W99:W103)</f>
        <v>0</v>
      </c>
      <c r="X104" s="82" t="n">
        <f aca="false">SUM(X99:X103)</f>
        <v>0</v>
      </c>
      <c r="Y104" s="82" t="n">
        <f aca="false">SUM(Y99:Y103)</f>
        <v>0</v>
      </c>
      <c r="Z104" s="82" t="n">
        <f aca="false">SUM(Z99:Z103)</f>
        <v>0</v>
      </c>
      <c r="AA104" s="82" t="n">
        <f aca="false">SUM(AA99:AA103)</f>
        <v>0</v>
      </c>
      <c r="AB104" s="82" t="n">
        <f aca="false">SUM(AB99:AB103)</f>
        <v>0</v>
      </c>
      <c r="AC104" s="82" t="n">
        <f aca="false">SUM(AC99:AC103)</f>
        <v>0</v>
      </c>
      <c r="AD104" s="82" t="n">
        <f aca="false">SUM(AD99:AD103)</f>
        <v>0</v>
      </c>
      <c r="AE104" s="82" t="n">
        <f aca="false">SUM(AE99:AE103)</f>
        <v>0</v>
      </c>
      <c r="AF104" s="83" t="n">
        <f aca="false">SUM(AF99:AF103)</f>
        <v>0</v>
      </c>
      <c r="AG104" s="82" t="n">
        <f aca="false">SUM(AG99:AG103)</f>
        <v>0</v>
      </c>
      <c r="AH104" s="82" t="n">
        <f aca="false">SUM(AH99:AH103)</f>
        <v>0</v>
      </c>
      <c r="AI104" s="82" t="n">
        <f aca="false">SUM(AI99:AI103)</f>
        <v>0</v>
      </c>
      <c r="AJ104" s="82" t="n">
        <f aca="false">SUM(AJ99:AJ103)</f>
        <v>0</v>
      </c>
      <c r="AK104" s="82" t="n">
        <f aca="false">SUM(AK99:AK103)</f>
        <v>0</v>
      </c>
      <c r="AL104" s="82" t="n">
        <f aca="false">SUM(AL99:AL103)</f>
        <v>0</v>
      </c>
      <c r="AM104" s="82" t="n">
        <f aca="false">SUM(AM99:AM103)</f>
        <v>0</v>
      </c>
      <c r="AN104" s="82" t="n">
        <f aca="false">SUM(AN99:AN103)</f>
        <v>0</v>
      </c>
      <c r="AO104" s="82" t="n">
        <f aca="false">SUM(AO99:AO103)</f>
        <v>0</v>
      </c>
      <c r="AP104" s="82" t="n">
        <f aca="false">SUM(AP99:AP103)</f>
        <v>0</v>
      </c>
      <c r="AQ104" s="82" t="n">
        <f aca="false">SUM(AQ99:AQ103)</f>
        <v>0</v>
      </c>
      <c r="AR104" s="83" t="n">
        <f aca="false">SUM(AR99:AR103)</f>
        <v>0</v>
      </c>
      <c r="AS104" s="82" t="n">
        <f aca="false">SUM(AS99:AS103)</f>
        <v>0</v>
      </c>
      <c r="AT104" s="82" t="n">
        <f aca="false">SUM(AT99:AT103)</f>
        <v>0</v>
      </c>
      <c r="AU104" s="82" t="n">
        <f aca="false">SUM(AU99:AU103)</f>
        <v>0</v>
      </c>
      <c r="AV104" s="82" t="n">
        <f aca="false">SUM(AV99:AV103)</f>
        <v>0</v>
      </c>
      <c r="AW104" s="82" t="n">
        <f aca="false">SUM(AW99:AW103)</f>
        <v>0</v>
      </c>
      <c r="AX104" s="82" t="n">
        <f aca="false">SUM(AX99:AX103)</f>
        <v>0</v>
      </c>
      <c r="AY104" s="82" t="n">
        <f aca="false">SUM(AY99:AY103)</f>
        <v>0</v>
      </c>
      <c r="AZ104" s="82" t="n">
        <f aca="false">SUM(AZ99:AZ103)</f>
        <v>0</v>
      </c>
      <c r="BA104" s="82" t="n">
        <f aca="false">SUM(BA99:BA103)</f>
        <v>0</v>
      </c>
      <c r="BB104" s="82" t="n">
        <f aca="false">SUM(BB99:BB103)</f>
        <v>0</v>
      </c>
      <c r="BC104" s="82" t="n">
        <f aca="false">SUM(BC99:BC103)</f>
        <v>0</v>
      </c>
      <c r="BD104" s="83" t="n">
        <f aca="false">SUM(BD99:BD103)</f>
        <v>0</v>
      </c>
      <c r="BE104" s="82" t="n">
        <f aca="false">SUM(BE99:BE103)</f>
        <v>0</v>
      </c>
      <c r="BF104" s="82" t="n">
        <f aca="false">SUM(BF99:BF103)</f>
        <v>0</v>
      </c>
      <c r="BG104" s="82" t="n">
        <f aca="false">SUM(BG99:BG103)</f>
        <v>0</v>
      </c>
      <c r="BH104" s="82" t="n">
        <f aca="false">SUM(BH99:BH103)</f>
        <v>0</v>
      </c>
      <c r="BI104" s="82" t="n">
        <f aca="false">SUM(BI99:BI103)</f>
        <v>0</v>
      </c>
      <c r="BJ104" s="82" t="n">
        <f aca="false">SUM(BJ99:BJ103)</f>
        <v>0</v>
      </c>
      <c r="BK104" s="82" t="n">
        <f aca="false">SUM(BK99:BK103)</f>
        <v>0</v>
      </c>
      <c r="BL104" s="82" t="n">
        <f aca="false">SUM(BL99:BL103)</f>
        <v>0</v>
      </c>
      <c r="BM104" s="82" t="n">
        <f aca="false">SUM(BM99:BM103)</f>
        <v>0</v>
      </c>
      <c r="BN104" s="82" t="n">
        <f aca="false">SUM(BN99:BN103)</f>
        <v>0</v>
      </c>
      <c r="BO104" s="82" t="n">
        <f aca="false">SUM(BO99:BO103)</f>
        <v>0</v>
      </c>
      <c r="BP104" s="83" t="n">
        <f aca="false">SUM(BP99:BP103)</f>
        <v>0</v>
      </c>
      <c r="BQ104" s="82" t="n">
        <f aca="false">SUM(BQ99:BQ103)</f>
        <v>0</v>
      </c>
      <c r="BR104" s="82" t="n">
        <f aca="false">SUM(BR99:BR103)</f>
        <v>0</v>
      </c>
      <c r="BS104" s="82" t="n">
        <f aca="false">SUM(BS99:BS103)</f>
        <v>0</v>
      </c>
      <c r="BT104" s="82" t="n">
        <f aca="false">SUM(BT99:BT103)</f>
        <v>0</v>
      </c>
      <c r="BU104" s="82" t="n">
        <f aca="false">SUM(BU99:BU103)</f>
        <v>0</v>
      </c>
      <c r="BV104" s="82" t="n">
        <f aca="false">SUM(BV99:BV103)</f>
        <v>0</v>
      </c>
      <c r="BW104" s="82" t="n">
        <f aca="false">SUM(BW99:BW103)</f>
        <v>0</v>
      </c>
      <c r="BX104" s="82" t="n">
        <f aca="false">SUM(BX99:BX103)</f>
        <v>0</v>
      </c>
      <c r="BY104" s="82" t="n">
        <f aca="false">SUM(BY99:BY103)</f>
        <v>0</v>
      </c>
      <c r="BZ104" s="82" t="n">
        <f aca="false">SUM(BZ99:BZ103)</f>
        <v>0</v>
      </c>
      <c r="CA104" s="84" t="n">
        <f aca="false">SUM(CA99:CA103)</f>
        <v>0</v>
      </c>
      <c r="CC104" s="84" t="n">
        <f aca="false">SUM(CC99:CC103)</f>
        <v>0</v>
      </c>
      <c r="CD104" s="84" t="n">
        <f aca="false">SUM(CD99:CD103)</f>
        <v>0</v>
      </c>
      <c r="CE104" s="84" t="n">
        <f aca="false">SUM(CE99:CE103)</f>
        <v>0</v>
      </c>
      <c r="CF104" s="84" t="n">
        <f aca="false">SUM(CF99:CF103)</f>
        <v>0</v>
      </c>
      <c r="CG104" s="84" t="n">
        <f aca="false">SUM(CG99:CG103)</f>
        <v>0</v>
      </c>
      <c r="CI104" s="84" t="n">
        <f aca="false">CC104=L104</f>
        <v>1</v>
      </c>
      <c r="CJ104" s="84" t="n">
        <f aca="false">CD104=M104</f>
        <v>1</v>
      </c>
      <c r="CK104" s="84" t="n">
        <f aca="false">CE104=N104</f>
        <v>1</v>
      </c>
      <c r="CL104" s="84" t="n">
        <f aca="false">CF104=O104</f>
        <v>1</v>
      </c>
      <c r="CM104" s="84" t="n">
        <f aca="false">CG104=P104</f>
        <v>1</v>
      </c>
    </row>
    <row r="105" s="14" customFormat="true" ht="16.5" hidden="false" customHeight="true" outlineLevel="0" collapsed="false">
      <c r="H105" s="29"/>
      <c r="I105" s="88"/>
      <c r="J105" s="88"/>
      <c r="K105" s="88"/>
      <c r="L105" s="88"/>
      <c r="M105" s="88"/>
      <c r="N105" s="88"/>
      <c r="O105" s="88"/>
      <c r="P105" s="88"/>
      <c r="Q105" s="16"/>
      <c r="R105" s="16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9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  <c r="AQ105" s="88"/>
      <c r="AR105" s="89"/>
      <c r="AS105" s="88"/>
      <c r="AT105" s="88"/>
      <c r="AU105" s="88"/>
      <c r="AV105" s="88"/>
      <c r="AW105" s="88"/>
      <c r="AX105" s="88"/>
      <c r="AY105" s="88"/>
      <c r="AZ105" s="88"/>
      <c r="BA105" s="88"/>
      <c r="BB105" s="88"/>
      <c r="BC105" s="88"/>
      <c r="BD105" s="89"/>
      <c r="BE105" s="88"/>
      <c r="BF105" s="88"/>
      <c r="BG105" s="88"/>
      <c r="BH105" s="88"/>
      <c r="BI105" s="88"/>
      <c r="BJ105" s="88"/>
      <c r="BK105" s="88"/>
      <c r="BL105" s="88"/>
      <c r="BM105" s="88"/>
      <c r="BN105" s="88"/>
      <c r="BO105" s="88"/>
      <c r="BP105" s="89"/>
      <c r="BQ105" s="88"/>
      <c r="BR105" s="88"/>
      <c r="BS105" s="88"/>
      <c r="BT105" s="88"/>
      <c r="BU105" s="88"/>
      <c r="BV105" s="88"/>
      <c r="BW105" s="88"/>
      <c r="BX105" s="88"/>
      <c r="BY105" s="88"/>
      <c r="BZ105" s="88"/>
      <c r="CA105" s="90"/>
      <c r="CC105" s="90"/>
      <c r="CD105" s="90"/>
      <c r="CE105" s="90"/>
      <c r="CF105" s="90"/>
      <c r="CG105" s="90"/>
      <c r="CI105" s="90"/>
      <c r="CJ105" s="90"/>
      <c r="CK105" s="90"/>
      <c r="CL105" s="90"/>
      <c r="CM105" s="90"/>
    </row>
    <row r="106" s="14" customFormat="true" ht="16.5" hidden="false" customHeight="true" outlineLevel="0" collapsed="false">
      <c r="E106" s="21" t="s">
        <v>140</v>
      </c>
      <c r="H106" s="29"/>
      <c r="I106" s="88"/>
      <c r="J106" s="88"/>
      <c r="K106" s="88"/>
      <c r="L106" s="88"/>
      <c r="M106" s="88"/>
      <c r="N106" s="88"/>
      <c r="O106" s="88"/>
      <c r="P106" s="88"/>
      <c r="Q106" s="16"/>
      <c r="R106" s="16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9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  <c r="AQ106" s="88"/>
      <c r="AR106" s="89"/>
      <c r="AS106" s="88"/>
      <c r="AT106" s="88"/>
      <c r="AU106" s="88"/>
      <c r="AV106" s="88"/>
      <c r="AW106" s="88"/>
      <c r="AX106" s="88"/>
      <c r="AY106" s="88"/>
      <c r="AZ106" s="88"/>
      <c r="BA106" s="88"/>
      <c r="BB106" s="88"/>
      <c r="BC106" s="88"/>
      <c r="BD106" s="89"/>
      <c r="BE106" s="88"/>
      <c r="BF106" s="88"/>
      <c r="BG106" s="88"/>
      <c r="BH106" s="88"/>
      <c r="BI106" s="88"/>
      <c r="BJ106" s="88"/>
      <c r="BK106" s="88"/>
      <c r="BL106" s="88"/>
      <c r="BM106" s="88"/>
      <c r="BN106" s="88"/>
      <c r="BO106" s="88"/>
      <c r="BP106" s="89"/>
      <c r="BQ106" s="88"/>
      <c r="BR106" s="88"/>
      <c r="BS106" s="88"/>
      <c r="BT106" s="88"/>
      <c r="BU106" s="88"/>
      <c r="BV106" s="88"/>
      <c r="BW106" s="88"/>
      <c r="BX106" s="88"/>
      <c r="BY106" s="88"/>
      <c r="BZ106" s="88"/>
      <c r="CA106" s="90"/>
      <c r="CC106" s="90"/>
      <c r="CD106" s="90"/>
      <c r="CE106" s="90"/>
      <c r="CF106" s="90"/>
      <c r="CG106" s="90"/>
      <c r="CI106" s="90"/>
      <c r="CJ106" s="90"/>
      <c r="CK106" s="90"/>
      <c r="CL106" s="90"/>
      <c r="CM106" s="90"/>
    </row>
    <row r="107" s="14" customFormat="true" ht="16.5" hidden="false" customHeight="true" outlineLevel="0" collapsed="false">
      <c r="E107" s="91"/>
      <c r="H107" s="29"/>
      <c r="I107" s="91" t="n">
        <v>0</v>
      </c>
      <c r="J107" s="91" t="n">
        <f aca="false">J26</f>
        <v>0</v>
      </c>
      <c r="K107" s="212" t="n">
        <f aca="false">J107-I107</f>
        <v>0</v>
      </c>
      <c r="L107" s="91" t="n">
        <v>0</v>
      </c>
      <c r="M107" s="91" t="n">
        <f aca="false">$K107</f>
        <v>0</v>
      </c>
      <c r="N107" s="91" t="n">
        <f aca="false">$K107</f>
        <v>0</v>
      </c>
      <c r="O107" s="91" t="n">
        <f aca="false">$K107</f>
        <v>0</v>
      </c>
      <c r="P107" s="91" t="n">
        <f aca="false">$K107</f>
        <v>0</v>
      </c>
      <c r="Q107" s="93"/>
      <c r="R107" s="16" t="str">
        <f aca="false">IF(K107=P107, "", "Error")</f>
        <v/>
      </c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4"/>
      <c r="AF107" s="95" t="n">
        <f aca="false">$K$107/12</f>
        <v>0</v>
      </c>
      <c r="AG107" s="95" t="n">
        <f aca="false">$K$107/12</f>
        <v>0</v>
      </c>
      <c r="AH107" s="95" t="n">
        <f aca="false">$K$107/12</f>
        <v>0</v>
      </c>
      <c r="AI107" s="95" t="n">
        <f aca="false">$K$107/12</f>
        <v>0</v>
      </c>
      <c r="AJ107" s="95" t="n">
        <f aca="false">$K$107/12</f>
        <v>0</v>
      </c>
      <c r="AK107" s="95" t="n">
        <f aca="false">$K$107/12</f>
        <v>0</v>
      </c>
      <c r="AL107" s="95" t="n">
        <f aca="false">$K$107/12</f>
        <v>0</v>
      </c>
      <c r="AM107" s="95" t="n">
        <f aca="false">$K$107/12</f>
        <v>0</v>
      </c>
      <c r="AN107" s="95" t="n">
        <f aca="false">$K$107/12</f>
        <v>0</v>
      </c>
      <c r="AO107" s="95" t="n">
        <f aca="false">$K$107/12</f>
        <v>0</v>
      </c>
      <c r="AP107" s="95" t="n">
        <f aca="false">$K$107/12</f>
        <v>0</v>
      </c>
      <c r="AQ107" s="95" t="n">
        <f aca="false">$K$107/12</f>
        <v>0</v>
      </c>
      <c r="AR107" s="95" t="n">
        <f aca="false">$K$107/12</f>
        <v>0</v>
      </c>
      <c r="AS107" s="95" t="n">
        <f aca="false">$K$107/12</f>
        <v>0</v>
      </c>
      <c r="AT107" s="95" t="n">
        <f aca="false">$K$107/12</f>
        <v>0</v>
      </c>
      <c r="AU107" s="95" t="n">
        <f aca="false">$K$107/12</f>
        <v>0</v>
      </c>
      <c r="AV107" s="95" t="n">
        <f aca="false">$K$107/12</f>
        <v>0</v>
      </c>
      <c r="AW107" s="95" t="n">
        <f aca="false">$K$107/12</f>
        <v>0</v>
      </c>
      <c r="AX107" s="95" t="n">
        <f aca="false">$K$107/12</f>
        <v>0</v>
      </c>
      <c r="AY107" s="95" t="n">
        <f aca="false">$K$107/12</f>
        <v>0</v>
      </c>
      <c r="AZ107" s="95" t="n">
        <f aca="false">$K$107/12</f>
        <v>0</v>
      </c>
      <c r="BA107" s="95" t="n">
        <f aca="false">$K$107/12</f>
        <v>0</v>
      </c>
      <c r="BB107" s="95" t="n">
        <f aca="false">$K$107/12</f>
        <v>0</v>
      </c>
      <c r="BC107" s="95" t="n">
        <f aca="false">$K$107/12</f>
        <v>0</v>
      </c>
      <c r="BD107" s="95" t="n">
        <f aca="false">$K$107/12</f>
        <v>0</v>
      </c>
      <c r="BE107" s="95" t="n">
        <f aca="false">$K$107/12</f>
        <v>0</v>
      </c>
      <c r="BF107" s="95" t="n">
        <f aca="false">$K$107/12</f>
        <v>0</v>
      </c>
      <c r="BG107" s="95" t="n">
        <f aca="false">$K$107/12</f>
        <v>0</v>
      </c>
      <c r="BH107" s="95" t="n">
        <f aca="false">$K$107/12</f>
        <v>0</v>
      </c>
      <c r="BI107" s="95" t="n">
        <f aca="false">$K$107/12</f>
        <v>0</v>
      </c>
      <c r="BJ107" s="95" t="n">
        <f aca="false">$K$107/12</f>
        <v>0</v>
      </c>
      <c r="BK107" s="95" t="n">
        <f aca="false">$K$107/12</f>
        <v>0</v>
      </c>
      <c r="BL107" s="95" t="n">
        <f aca="false">$K$107/12</f>
        <v>0</v>
      </c>
      <c r="BM107" s="95" t="n">
        <f aca="false">$K$107/12</f>
        <v>0</v>
      </c>
      <c r="BN107" s="95" t="n">
        <f aca="false">$K$107/12</f>
        <v>0</v>
      </c>
      <c r="BO107" s="95" t="n">
        <f aca="false">$K$107/12</f>
        <v>0</v>
      </c>
      <c r="BP107" s="95" t="n">
        <f aca="false">$K$107/12</f>
        <v>0</v>
      </c>
      <c r="BQ107" s="95" t="n">
        <f aca="false">$K$107/12</f>
        <v>0</v>
      </c>
      <c r="BR107" s="95" t="n">
        <f aca="false">$K$107/12</f>
        <v>0</v>
      </c>
      <c r="BS107" s="95" t="n">
        <f aca="false">$K$107/12</f>
        <v>0</v>
      </c>
      <c r="BT107" s="95" t="n">
        <f aca="false">$K$107/12</f>
        <v>0</v>
      </c>
      <c r="BU107" s="95" t="n">
        <f aca="false">$K$107/12</f>
        <v>0</v>
      </c>
      <c r="BV107" s="95" t="n">
        <f aca="false">$K$107/12</f>
        <v>0</v>
      </c>
      <c r="BW107" s="95" t="n">
        <f aca="false">$K$107/12</f>
        <v>0</v>
      </c>
      <c r="BX107" s="95" t="n">
        <f aca="false">$K$107/12</f>
        <v>0</v>
      </c>
      <c r="BY107" s="95" t="n">
        <f aca="false">$K$107/12</f>
        <v>0</v>
      </c>
      <c r="BZ107" s="95" t="n">
        <f aca="false">$K$107/12</f>
        <v>0</v>
      </c>
      <c r="CA107" s="95" t="n">
        <f aca="false">$K$107/12</f>
        <v>0</v>
      </c>
      <c r="CC107" s="79" t="n">
        <f aca="false">SUMIFS($T107:$CA107, $T$1:$CA$1, CC$63)</f>
        <v>0</v>
      </c>
      <c r="CD107" s="79" t="n">
        <f aca="false">SUMIFS($T107:$CA107, $T$1:$CA$1, CD$63)</f>
        <v>0</v>
      </c>
      <c r="CE107" s="79" t="n">
        <f aca="false">SUMIFS($T107:$CA107, $T$1:$CA$1, CE$63)</f>
        <v>0</v>
      </c>
      <c r="CF107" s="79" t="n">
        <f aca="false">SUMIFS($T107:$CA107, $T$1:$CA$1, CF$63)</f>
        <v>0</v>
      </c>
      <c r="CG107" s="79" t="n">
        <f aca="false">SUMIFS($T107:$CA107, $T$1:$CA$1, CG$63)</f>
        <v>0</v>
      </c>
      <c r="CI107" s="79" t="n">
        <f aca="false">CC107=L107</f>
        <v>1</v>
      </c>
      <c r="CJ107" s="79" t="n">
        <f aca="false">CD107=M107</f>
        <v>1</v>
      </c>
      <c r="CK107" s="79" t="n">
        <f aca="false">CE107=N107</f>
        <v>1</v>
      </c>
      <c r="CL107" s="79" t="n">
        <f aca="false">CF107=O107</f>
        <v>1</v>
      </c>
      <c r="CM107" s="79" t="n">
        <f aca="false">CG107=P107</f>
        <v>1</v>
      </c>
    </row>
    <row r="108" s="14" customFormat="true" ht="16.5" hidden="false" customHeight="true" outlineLevel="0" collapsed="false">
      <c r="E108" s="91"/>
      <c r="H108" s="29"/>
      <c r="I108" s="91" t="n">
        <v>0</v>
      </c>
      <c r="J108" s="91" t="n">
        <v>0</v>
      </c>
      <c r="K108" s="212" t="n">
        <f aca="false">J108-I108</f>
        <v>0</v>
      </c>
      <c r="L108" s="91" t="n">
        <v>0</v>
      </c>
      <c r="M108" s="91" t="n">
        <v>0</v>
      </c>
      <c r="N108" s="91" t="n">
        <v>0</v>
      </c>
      <c r="O108" s="91" t="n">
        <v>0</v>
      </c>
      <c r="P108" s="91" t="n">
        <v>0</v>
      </c>
      <c r="Q108" s="93"/>
      <c r="R108" s="16" t="str">
        <f aca="false">IF(K108=P108, "", "Error")</f>
        <v/>
      </c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4"/>
      <c r="AF108" s="94"/>
      <c r="AG108" s="94"/>
      <c r="AH108" s="94"/>
      <c r="AI108" s="94"/>
      <c r="AJ108" s="94"/>
      <c r="AK108" s="94"/>
      <c r="AL108" s="94"/>
      <c r="AM108" s="94"/>
      <c r="AN108" s="94"/>
      <c r="AO108" s="94"/>
      <c r="AP108" s="94"/>
      <c r="AQ108" s="94"/>
      <c r="AR108" s="94"/>
      <c r="AS108" s="94"/>
      <c r="AT108" s="94"/>
      <c r="AU108" s="94"/>
      <c r="AV108" s="94"/>
      <c r="AW108" s="94"/>
      <c r="AX108" s="94"/>
      <c r="AY108" s="94"/>
      <c r="AZ108" s="94"/>
      <c r="BA108" s="94"/>
      <c r="BB108" s="94"/>
      <c r="BC108" s="94"/>
      <c r="BD108" s="94"/>
      <c r="BE108" s="94"/>
      <c r="BF108" s="94"/>
      <c r="BG108" s="94"/>
      <c r="BH108" s="94"/>
      <c r="BI108" s="94"/>
      <c r="BJ108" s="94"/>
      <c r="BK108" s="94"/>
      <c r="BL108" s="94"/>
      <c r="BM108" s="94"/>
      <c r="BN108" s="94"/>
      <c r="BO108" s="94"/>
      <c r="BP108" s="94"/>
      <c r="BQ108" s="94"/>
      <c r="BR108" s="94"/>
      <c r="BS108" s="94"/>
      <c r="BT108" s="94"/>
      <c r="BU108" s="94"/>
      <c r="BV108" s="94"/>
      <c r="BW108" s="94"/>
      <c r="BX108" s="94"/>
      <c r="BY108" s="94"/>
      <c r="BZ108" s="94"/>
      <c r="CA108" s="94"/>
      <c r="CC108" s="79" t="n">
        <f aca="false">SUMIFS($T108:$CA108, $T$1:$CA$1, CC$63)</f>
        <v>0</v>
      </c>
      <c r="CD108" s="79" t="n">
        <f aca="false">SUMIFS($T108:$CA108, $T$1:$CA$1, CD$63)</f>
        <v>0</v>
      </c>
      <c r="CE108" s="79" t="n">
        <f aca="false">SUMIFS($T108:$CA108, $T$1:$CA$1, CE$63)</f>
        <v>0</v>
      </c>
      <c r="CF108" s="79" t="n">
        <f aca="false">SUMIFS($T108:$CA108, $T$1:$CA$1, CF$63)</f>
        <v>0</v>
      </c>
      <c r="CG108" s="79" t="n">
        <f aca="false">SUMIFS($T108:$CA108, $T$1:$CA$1, CG$63)</f>
        <v>0</v>
      </c>
      <c r="CI108" s="79" t="n">
        <f aca="false">CC108=L108</f>
        <v>1</v>
      </c>
      <c r="CJ108" s="79" t="n">
        <f aca="false">CD108=M108</f>
        <v>1</v>
      </c>
      <c r="CK108" s="79" t="n">
        <f aca="false">CE108=N108</f>
        <v>1</v>
      </c>
      <c r="CL108" s="79" t="n">
        <f aca="false">CF108=O108</f>
        <v>1</v>
      </c>
      <c r="CM108" s="79" t="n">
        <f aca="false">CG108=P108</f>
        <v>1</v>
      </c>
    </row>
    <row r="109" s="14" customFormat="true" ht="16.5" hidden="false" customHeight="true" outlineLevel="0" collapsed="false">
      <c r="E109" s="91"/>
      <c r="H109" s="29"/>
      <c r="I109" s="91" t="n">
        <v>0</v>
      </c>
      <c r="J109" s="91" t="n">
        <v>0</v>
      </c>
      <c r="K109" s="212" t="n">
        <f aca="false">J109-I109</f>
        <v>0</v>
      </c>
      <c r="L109" s="91" t="n">
        <v>0</v>
      </c>
      <c r="M109" s="91" t="n">
        <v>0</v>
      </c>
      <c r="N109" s="91" t="n">
        <v>0</v>
      </c>
      <c r="O109" s="91" t="n">
        <v>0</v>
      </c>
      <c r="P109" s="91" t="n">
        <v>0</v>
      </c>
      <c r="Q109" s="93"/>
      <c r="R109" s="16" t="str">
        <f aca="false">IF(K109=P109, "", "Error")</f>
        <v/>
      </c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4"/>
      <c r="AF109" s="94"/>
      <c r="AG109" s="94"/>
      <c r="AH109" s="94"/>
      <c r="AI109" s="94"/>
      <c r="AJ109" s="94"/>
      <c r="AK109" s="94"/>
      <c r="AL109" s="94"/>
      <c r="AM109" s="94"/>
      <c r="AN109" s="94"/>
      <c r="AO109" s="94"/>
      <c r="AP109" s="94"/>
      <c r="AQ109" s="94"/>
      <c r="AR109" s="94"/>
      <c r="AS109" s="94"/>
      <c r="AT109" s="94"/>
      <c r="AU109" s="94"/>
      <c r="AV109" s="94"/>
      <c r="AW109" s="94"/>
      <c r="AX109" s="94"/>
      <c r="AY109" s="94"/>
      <c r="AZ109" s="94"/>
      <c r="BA109" s="94"/>
      <c r="BB109" s="94"/>
      <c r="BC109" s="94"/>
      <c r="BD109" s="94"/>
      <c r="BE109" s="94"/>
      <c r="BF109" s="94"/>
      <c r="BG109" s="94"/>
      <c r="BH109" s="94"/>
      <c r="BI109" s="94"/>
      <c r="BJ109" s="94"/>
      <c r="BK109" s="94"/>
      <c r="BL109" s="94"/>
      <c r="BM109" s="94"/>
      <c r="BN109" s="94"/>
      <c r="BO109" s="94"/>
      <c r="BP109" s="94"/>
      <c r="BQ109" s="94"/>
      <c r="BR109" s="94"/>
      <c r="BS109" s="94"/>
      <c r="BT109" s="94"/>
      <c r="BU109" s="94"/>
      <c r="BV109" s="94"/>
      <c r="BW109" s="94"/>
      <c r="BX109" s="94"/>
      <c r="BY109" s="94"/>
      <c r="BZ109" s="94"/>
      <c r="CA109" s="94"/>
      <c r="CC109" s="79" t="n">
        <f aca="false">SUMIFS($T109:$CA109, $T$1:$CA$1, CC$63)</f>
        <v>0</v>
      </c>
      <c r="CD109" s="79" t="n">
        <f aca="false">SUMIFS($T109:$CA109, $T$1:$CA$1, CD$63)</f>
        <v>0</v>
      </c>
      <c r="CE109" s="79" t="n">
        <f aca="false">SUMIFS($T109:$CA109, $T$1:$CA$1, CE$63)</f>
        <v>0</v>
      </c>
      <c r="CF109" s="79" t="n">
        <f aca="false">SUMIFS($T109:$CA109, $T$1:$CA$1, CF$63)</f>
        <v>0</v>
      </c>
      <c r="CG109" s="79" t="n">
        <f aca="false">SUMIFS($T109:$CA109, $T$1:$CA$1, CG$63)</f>
        <v>0</v>
      </c>
      <c r="CI109" s="79" t="n">
        <f aca="false">CC109=L109</f>
        <v>1</v>
      </c>
      <c r="CJ109" s="79" t="n">
        <f aca="false">CD109=M109</f>
        <v>1</v>
      </c>
      <c r="CK109" s="79" t="n">
        <f aca="false">CE109=N109</f>
        <v>1</v>
      </c>
      <c r="CL109" s="79" t="n">
        <f aca="false">CF109=O109</f>
        <v>1</v>
      </c>
      <c r="CM109" s="79" t="n">
        <f aca="false">CG109=P109</f>
        <v>1</v>
      </c>
    </row>
    <row r="110" s="14" customFormat="true" ht="16.5" hidden="false" customHeight="true" outlineLevel="0" collapsed="false">
      <c r="E110" s="91"/>
      <c r="H110" s="29"/>
      <c r="I110" s="91" t="n">
        <v>0</v>
      </c>
      <c r="J110" s="91" t="n">
        <v>0</v>
      </c>
      <c r="K110" s="212" t="n">
        <f aca="false">J110-I110</f>
        <v>0</v>
      </c>
      <c r="L110" s="91" t="n">
        <v>0</v>
      </c>
      <c r="M110" s="91" t="n">
        <v>0</v>
      </c>
      <c r="N110" s="91" t="n">
        <v>0</v>
      </c>
      <c r="O110" s="91" t="n">
        <v>0</v>
      </c>
      <c r="P110" s="91" t="n">
        <v>0</v>
      </c>
      <c r="Q110" s="93"/>
      <c r="R110" s="16" t="str">
        <f aca="false">IF(K110=P110, "", "Error")</f>
        <v/>
      </c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4"/>
      <c r="AF110" s="95"/>
      <c r="AG110" s="91"/>
      <c r="AH110" s="91"/>
      <c r="AI110" s="91"/>
      <c r="AJ110" s="91"/>
      <c r="AK110" s="91"/>
      <c r="AL110" s="91"/>
      <c r="AM110" s="91"/>
      <c r="AN110" s="91"/>
      <c r="AO110" s="91"/>
      <c r="AP110" s="91"/>
      <c r="AQ110" s="94"/>
      <c r="AR110" s="95"/>
      <c r="AS110" s="91"/>
      <c r="AT110" s="91"/>
      <c r="AU110" s="91"/>
      <c r="AV110" s="91"/>
      <c r="AW110" s="91"/>
      <c r="AX110" s="91"/>
      <c r="AY110" s="91"/>
      <c r="AZ110" s="91"/>
      <c r="BA110" s="91"/>
      <c r="BB110" s="91"/>
      <c r="BC110" s="94"/>
      <c r="BD110" s="95"/>
      <c r="BE110" s="91"/>
      <c r="BF110" s="91"/>
      <c r="BG110" s="91"/>
      <c r="BH110" s="91"/>
      <c r="BI110" s="91"/>
      <c r="BJ110" s="91"/>
      <c r="BK110" s="91"/>
      <c r="BL110" s="91"/>
      <c r="BM110" s="91"/>
      <c r="BN110" s="91"/>
      <c r="BO110" s="94"/>
      <c r="BP110" s="95"/>
      <c r="BQ110" s="91"/>
      <c r="BR110" s="91"/>
      <c r="BS110" s="91"/>
      <c r="BT110" s="91"/>
      <c r="BU110" s="91"/>
      <c r="BV110" s="91"/>
      <c r="BW110" s="91"/>
      <c r="BX110" s="91"/>
      <c r="BY110" s="91"/>
      <c r="BZ110" s="91"/>
      <c r="CA110" s="119"/>
      <c r="CC110" s="79" t="n">
        <f aca="false">SUMIFS($T110:$CA110, $T$1:$CA$1, CC$63)</f>
        <v>0</v>
      </c>
      <c r="CD110" s="79" t="n">
        <f aca="false">SUMIFS($T110:$CA110, $T$1:$CA$1, CD$63)</f>
        <v>0</v>
      </c>
      <c r="CE110" s="79" t="n">
        <f aca="false">SUMIFS($T110:$CA110, $T$1:$CA$1, CE$63)</f>
        <v>0</v>
      </c>
      <c r="CF110" s="79" t="n">
        <f aca="false">SUMIFS($T110:$CA110, $T$1:$CA$1, CF$63)</f>
        <v>0</v>
      </c>
      <c r="CG110" s="79" t="n">
        <f aca="false">SUMIFS($T110:$CA110, $T$1:$CA$1, CG$63)</f>
        <v>0</v>
      </c>
      <c r="CI110" s="79" t="n">
        <f aca="false">CC110=L110</f>
        <v>1</v>
      </c>
      <c r="CJ110" s="79" t="n">
        <f aca="false">CD110=M110</f>
        <v>1</v>
      </c>
      <c r="CK110" s="79" t="n">
        <f aca="false">CE110=N110</f>
        <v>1</v>
      </c>
      <c r="CL110" s="79" t="n">
        <f aca="false">CF110=O110</f>
        <v>1</v>
      </c>
      <c r="CM110" s="79" t="n">
        <f aca="false">CG110=P110</f>
        <v>1</v>
      </c>
    </row>
    <row r="111" s="14" customFormat="true" ht="16.5" hidden="false" customHeight="true" outlineLevel="0" collapsed="false">
      <c r="E111" s="91"/>
      <c r="H111" s="29"/>
      <c r="I111" s="91" t="n">
        <v>0</v>
      </c>
      <c r="J111" s="91" t="n">
        <v>0</v>
      </c>
      <c r="K111" s="212" t="n">
        <f aca="false">J111-I111</f>
        <v>0</v>
      </c>
      <c r="L111" s="91" t="n">
        <v>0</v>
      </c>
      <c r="M111" s="91" t="n">
        <v>0</v>
      </c>
      <c r="N111" s="91" t="n">
        <v>0</v>
      </c>
      <c r="O111" s="91" t="n">
        <v>0</v>
      </c>
      <c r="P111" s="91" t="n">
        <v>0</v>
      </c>
      <c r="Q111" s="93"/>
      <c r="R111" s="16" t="str">
        <f aca="false">IF(K111=P111, "", "Error")</f>
        <v/>
      </c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4"/>
      <c r="AF111" s="95"/>
      <c r="AG111" s="91"/>
      <c r="AH111" s="91"/>
      <c r="AI111" s="91"/>
      <c r="AJ111" s="91"/>
      <c r="AK111" s="91"/>
      <c r="AL111" s="91"/>
      <c r="AM111" s="91"/>
      <c r="AN111" s="91"/>
      <c r="AO111" s="91"/>
      <c r="AP111" s="91"/>
      <c r="AQ111" s="94"/>
      <c r="AR111" s="95"/>
      <c r="AS111" s="91"/>
      <c r="AT111" s="91"/>
      <c r="AU111" s="91"/>
      <c r="AV111" s="91"/>
      <c r="AW111" s="91"/>
      <c r="AX111" s="91"/>
      <c r="AY111" s="91"/>
      <c r="AZ111" s="91"/>
      <c r="BA111" s="91"/>
      <c r="BB111" s="91"/>
      <c r="BC111" s="94"/>
      <c r="BD111" s="95"/>
      <c r="BE111" s="91"/>
      <c r="BF111" s="91"/>
      <c r="BG111" s="91"/>
      <c r="BH111" s="91"/>
      <c r="BI111" s="91"/>
      <c r="BJ111" s="91"/>
      <c r="BK111" s="91"/>
      <c r="BL111" s="91"/>
      <c r="BM111" s="91"/>
      <c r="BN111" s="91"/>
      <c r="BO111" s="94"/>
      <c r="BP111" s="95"/>
      <c r="BQ111" s="91"/>
      <c r="BR111" s="91"/>
      <c r="BS111" s="91"/>
      <c r="BT111" s="91"/>
      <c r="BU111" s="91"/>
      <c r="BV111" s="91"/>
      <c r="BW111" s="91"/>
      <c r="BX111" s="91"/>
      <c r="BY111" s="91"/>
      <c r="BZ111" s="91"/>
      <c r="CA111" s="119"/>
      <c r="CC111" s="79" t="n">
        <f aca="false">SUMIFS($T111:$CA111, $T$1:$CA$1, CC$63)</f>
        <v>0</v>
      </c>
      <c r="CD111" s="79" t="n">
        <f aca="false">SUMIFS($T111:$CA111, $T$1:$CA$1, CD$63)</f>
        <v>0</v>
      </c>
      <c r="CE111" s="79" t="n">
        <f aca="false">SUMIFS($T111:$CA111, $T$1:$CA$1, CE$63)</f>
        <v>0</v>
      </c>
      <c r="CF111" s="79" t="n">
        <f aca="false">SUMIFS($T111:$CA111, $T$1:$CA$1, CF$63)</f>
        <v>0</v>
      </c>
      <c r="CG111" s="79" t="n">
        <f aca="false">SUMIFS($T111:$CA111, $T$1:$CA$1, CG$63)</f>
        <v>0</v>
      </c>
      <c r="CI111" s="79" t="n">
        <f aca="false">CC111=L111</f>
        <v>1</v>
      </c>
      <c r="CJ111" s="79" t="n">
        <f aca="false">CD111=M111</f>
        <v>1</v>
      </c>
      <c r="CK111" s="79" t="n">
        <f aca="false">CE111=N111</f>
        <v>1</v>
      </c>
      <c r="CL111" s="79" t="n">
        <f aca="false">CF111=O111</f>
        <v>1</v>
      </c>
      <c r="CM111" s="79" t="n">
        <f aca="false">CG111=P111</f>
        <v>1</v>
      </c>
    </row>
    <row r="112" s="14" customFormat="true" ht="16.5" hidden="false" customHeight="true" outlineLevel="0" collapsed="false">
      <c r="E112" s="96" t="s">
        <v>143</v>
      </c>
      <c r="H112" s="29"/>
      <c r="I112" s="82" t="n">
        <f aca="false">SUM(I107:I111)</f>
        <v>0</v>
      </c>
      <c r="J112" s="82" t="n">
        <f aca="false">SUM(J107:J111)</f>
        <v>0</v>
      </c>
      <c r="K112" s="82" t="n">
        <f aca="false">SUM(K107:K111)</f>
        <v>0</v>
      </c>
      <c r="L112" s="82" t="n">
        <f aca="false">SUM(L107:L111)</f>
        <v>0</v>
      </c>
      <c r="M112" s="82" t="n">
        <f aca="false">SUM(M107:M111)</f>
        <v>0</v>
      </c>
      <c r="N112" s="82" t="n">
        <f aca="false">SUM(N107:N111)</f>
        <v>0</v>
      </c>
      <c r="O112" s="82" t="n">
        <f aca="false">SUM(O107:O111)</f>
        <v>0</v>
      </c>
      <c r="P112" s="82" t="n">
        <f aca="false">SUM(P107:P111)</f>
        <v>0</v>
      </c>
      <c r="Q112" s="16"/>
      <c r="R112" s="16"/>
      <c r="T112" s="82" t="n">
        <f aca="false">SUM(T107:T111)</f>
        <v>0</v>
      </c>
      <c r="U112" s="82" t="n">
        <f aca="false">SUM(U107:U111)</f>
        <v>0</v>
      </c>
      <c r="V112" s="82" t="n">
        <f aca="false">SUM(V107:V111)</f>
        <v>0</v>
      </c>
      <c r="W112" s="82" t="n">
        <f aca="false">SUM(W107:W111)</f>
        <v>0</v>
      </c>
      <c r="X112" s="82" t="n">
        <f aca="false">SUM(X107:X111)</f>
        <v>0</v>
      </c>
      <c r="Y112" s="82" t="n">
        <f aca="false">SUM(Y107:Y111)</f>
        <v>0</v>
      </c>
      <c r="Z112" s="82" t="n">
        <f aca="false">SUM(Z107:Z111)</f>
        <v>0</v>
      </c>
      <c r="AA112" s="82" t="n">
        <f aca="false">SUM(AA107:AA111)</f>
        <v>0</v>
      </c>
      <c r="AB112" s="82" t="n">
        <f aca="false">SUM(AB107:AB111)</f>
        <v>0</v>
      </c>
      <c r="AC112" s="82" t="n">
        <f aca="false">SUM(AC107:AC111)</f>
        <v>0</v>
      </c>
      <c r="AD112" s="82" t="n">
        <f aca="false">SUM(AD107:AD111)</f>
        <v>0</v>
      </c>
      <c r="AE112" s="82" t="n">
        <f aca="false">SUM(AE107:AE111)</f>
        <v>0</v>
      </c>
      <c r="AF112" s="83" t="n">
        <f aca="false">SUM(AF107:AF111)</f>
        <v>0</v>
      </c>
      <c r="AG112" s="82" t="n">
        <f aca="false">SUM(AG107:AG111)</f>
        <v>0</v>
      </c>
      <c r="AH112" s="82" t="n">
        <f aca="false">SUM(AH107:AH111)</f>
        <v>0</v>
      </c>
      <c r="AI112" s="82" t="n">
        <f aca="false">SUM(AI107:AI111)</f>
        <v>0</v>
      </c>
      <c r="AJ112" s="82" t="n">
        <f aca="false">SUM(AJ107:AJ111)</f>
        <v>0</v>
      </c>
      <c r="AK112" s="82" t="n">
        <f aca="false">SUM(AK107:AK111)</f>
        <v>0</v>
      </c>
      <c r="AL112" s="82" t="n">
        <f aca="false">SUM(AL107:AL111)</f>
        <v>0</v>
      </c>
      <c r="AM112" s="82" t="n">
        <f aca="false">SUM(AM107:AM111)</f>
        <v>0</v>
      </c>
      <c r="AN112" s="82" t="n">
        <f aca="false">SUM(AN107:AN111)</f>
        <v>0</v>
      </c>
      <c r="AO112" s="82" t="n">
        <f aca="false">SUM(AO107:AO111)</f>
        <v>0</v>
      </c>
      <c r="AP112" s="82" t="n">
        <f aca="false">SUM(AP107:AP111)</f>
        <v>0</v>
      </c>
      <c r="AQ112" s="82" t="n">
        <f aca="false">SUM(AQ107:AQ111)</f>
        <v>0</v>
      </c>
      <c r="AR112" s="83" t="n">
        <f aca="false">SUM(AR107:AR111)</f>
        <v>0</v>
      </c>
      <c r="AS112" s="82" t="n">
        <f aca="false">SUM(AS107:AS111)</f>
        <v>0</v>
      </c>
      <c r="AT112" s="82" t="n">
        <f aca="false">SUM(AT107:AT111)</f>
        <v>0</v>
      </c>
      <c r="AU112" s="82" t="n">
        <f aca="false">SUM(AU107:AU111)</f>
        <v>0</v>
      </c>
      <c r="AV112" s="82" t="n">
        <f aca="false">SUM(AV107:AV111)</f>
        <v>0</v>
      </c>
      <c r="AW112" s="82" t="n">
        <f aca="false">SUM(AW107:AW111)</f>
        <v>0</v>
      </c>
      <c r="AX112" s="82" t="n">
        <f aca="false">SUM(AX107:AX111)</f>
        <v>0</v>
      </c>
      <c r="AY112" s="82" t="n">
        <f aca="false">SUM(AY107:AY111)</f>
        <v>0</v>
      </c>
      <c r="AZ112" s="82" t="n">
        <f aca="false">SUM(AZ107:AZ111)</f>
        <v>0</v>
      </c>
      <c r="BA112" s="82" t="n">
        <f aca="false">SUM(BA107:BA111)</f>
        <v>0</v>
      </c>
      <c r="BB112" s="82" t="n">
        <f aca="false">SUM(BB107:BB111)</f>
        <v>0</v>
      </c>
      <c r="BC112" s="82" t="n">
        <f aca="false">SUM(BC107:BC111)</f>
        <v>0</v>
      </c>
      <c r="BD112" s="83" t="n">
        <f aca="false">SUM(BD107:BD111)</f>
        <v>0</v>
      </c>
      <c r="BE112" s="82" t="n">
        <f aca="false">SUM(BE107:BE111)</f>
        <v>0</v>
      </c>
      <c r="BF112" s="82" t="n">
        <f aca="false">SUM(BF107:BF111)</f>
        <v>0</v>
      </c>
      <c r="BG112" s="82" t="n">
        <f aca="false">SUM(BG107:BG111)</f>
        <v>0</v>
      </c>
      <c r="BH112" s="82" t="n">
        <f aca="false">SUM(BH107:BH111)</f>
        <v>0</v>
      </c>
      <c r="BI112" s="82" t="n">
        <f aca="false">SUM(BI107:BI111)</f>
        <v>0</v>
      </c>
      <c r="BJ112" s="82" t="n">
        <f aca="false">SUM(BJ107:BJ111)</f>
        <v>0</v>
      </c>
      <c r="BK112" s="82" t="n">
        <f aca="false">SUM(BK107:BK111)</f>
        <v>0</v>
      </c>
      <c r="BL112" s="82" t="n">
        <f aca="false">SUM(BL107:BL111)</f>
        <v>0</v>
      </c>
      <c r="BM112" s="82" t="n">
        <f aca="false">SUM(BM107:BM111)</f>
        <v>0</v>
      </c>
      <c r="BN112" s="82" t="n">
        <f aca="false">SUM(BN107:BN111)</f>
        <v>0</v>
      </c>
      <c r="BO112" s="82" t="n">
        <f aca="false">SUM(BO107:BO111)</f>
        <v>0</v>
      </c>
      <c r="BP112" s="83" t="n">
        <f aca="false">SUM(BP107:BP111)</f>
        <v>0</v>
      </c>
      <c r="BQ112" s="82" t="n">
        <f aca="false">SUM(BQ107:BQ111)</f>
        <v>0</v>
      </c>
      <c r="BR112" s="82" t="n">
        <f aca="false">SUM(BR107:BR111)</f>
        <v>0</v>
      </c>
      <c r="BS112" s="82" t="n">
        <f aca="false">SUM(BS107:BS111)</f>
        <v>0</v>
      </c>
      <c r="BT112" s="82" t="n">
        <f aca="false">SUM(BT107:BT111)</f>
        <v>0</v>
      </c>
      <c r="BU112" s="82" t="n">
        <f aca="false">SUM(BU107:BU111)</f>
        <v>0</v>
      </c>
      <c r="BV112" s="82" t="n">
        <f aca="false">SUM(BV107:BV111)</f>
        <v>0</v>
      </c>
      <c r="BW112" s="82" t="n">
        <f aca="false">SUM(BW107:BW111)</f>
        <v>0</v>
      </c>
      <c r="BX112" s="82" t="n">
        <f aca="false">SUM(BX107:BX111)</f>
        <v>0</v>
      </c>
      <c r="BY112" s="82" t="n">
        <f aca="false">SUM(BY107:BY111)</f>
        <v>0</v>
      </c>
      <c r="BZ112" s="82" t="n">
        <f aca="false">SUM(BZ107:BZ111)</f>
        <v>0</v>
      </c>
      <c r="CA112" s="84" t="n">
        <f aca="false">SUM(CA107:CA111)</f>
        <v>0</v>
      </c>
      <c r="CC112" s="84" t="n">
        <f aca="false">SUM(CC107:CC111)</f>
        <v>0</v>
      </c>
      <c r="CD112" s="84" t="n">
        <f aca="false">SUM(CD107:CD111)</f>
        <v>0</v>
      </c>
      <c r="CE112" s="84" t="n">
        <f aca="false">SUM(CE107:CE111)</f>
        <v>0</v>
      </c>
      <c r="CF112" s="84" t="n">
        <f aca="false">SUM(CF107:CF111)</f>
        <v>0</v>
      </c>
      <c r="CG112" s="84" t="n">
        <f aca="false">SUM(CG107:CG111)</f>
        <v>0</v>
      </c>
      <c r="CI112" s="84" t="n">
        <f aca="false">CC112=L112</f>
        <v>1</v>
      </c>
      <c r="CJ112" s="84" t="n">
        <f aca="false">CD112=M112</f>
        <v>1</v>
      </c>
      <c r="CK112" s="84" t="n">
        <f aca="false">CE112=N112</f>
        <v>1</v>
      </c>
      <c r="CL112" s="84" t="n">
        <f aca="false">CF112=O112</f>
        <v>1</v>
      </c>
      <c r="CM112" s="84" t="n">
        <f aca="false">CG112=P112</f>
        <v>1</v>
      </c>
    </row>
    <row r="113" s="14" customFormat="true" ht="16.5" hidden="false" customHeight="true" outlineLevel="0" collapsed="false">
      <c r="E113" s="96"/>
      <c r="H113" s="29"/>
      <c r="I113" s="105"/>
      <c r="J113" s="105"/>
      <c r="K113" s="105"/>
      <c r="L113" s="105"/>
      <c r="M113" s="105"/>
      <c r="N113" s="105"/>
      <c r="O113" s="105"/>
      <c r="P113" s="105"/>
      <c r="Q113" s="16"/>
      <c r="R113" s="16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3"/>
      <c r="AG113" s="82"/>
      <c r="AH113" s="82"/>
      <c r="AI113" s="82"/>
      <c r="AJ113" s="82"/>
      <c r="AK113" s="82"/>
      <c r="AL113" s="82"/>
      <c r="AM113" s="82"/>
      <c r="AN113" s="82"/>
      <c r="AO113" s="82"/>
      <c r="AP113" s="82"/>
      <c r="AQ113" s="82"/>
      <c r="AR113" s="83"/>
      <c r="AS113" s="82"/>
      <c r="AT113" s="82"/>
      <c r="AU113" s="82"/>
      <c r="AV113" s="82"/>
      <c r="AW113" s="82"/>
      <c r="AX113" s="82"/>
      <c r="AY113" s="82"/>
      <c r="AZ113" s="82"/>
      <c r="BA113" s="82"/>
      <c r="BB113" s="82"/>
      <c r="BC113" s="82"/>
      <c r="BD113" s="83"/>
      <c r="BE113" s="82"/>
      <c r="BF113" s="82"/>
      <c r="BG113" s="82"/>
      <c r="BH113" s="82"/>
      <c r="BI113" s="82"/>
      <c r="BJ113" s="82"/>
      <c r="BK113" s="82"/>
      <c r="BL113" s="82"/>
      <c r="BM113" s="82"/>
      <c r="BN113" s="82"/>
      <c r="BO113" s="82"/>
      <c r="BP113" s="83"/>
      <c r="BQ113" s="82"/>
      <c r="BR113" s="82"/>
      <c r="BS113" s="82"/>
      <c r="BT113" s="82"/>
      <c r="BU113" s="82"/>
      <c r="BV113" s="82"/>
      <c r="BW113" s="82"/>
      <c r="BX113" s="82"/>
      <c r="BY113" s="82"/>
      <c r="BZ113" s="82"/>
      <c r="CA113" s="84"/>
      <c r="CC113" s="84"/>
      <c r="CD113" s="84"/>
      <c r="CE113" s="84"/>
      <c r="CF113" s="84"/>
      <c r="CG113" s="84"/>
      <c r="CI113" s="84"/>
      <c r="CJ113" s="84"/>
      <c r="CK113" s="84"/>
      <c r="CL113" s="84"/>
      <c r="CM113" s="84"/>
    </row>
    <row r="114" s="14" customFormat="true" ht="16.5" hidden="false" customHeight="true" outlineLevel="0" collapsed="false">
      <c r="E114" s="85"/>
      <c r="I114" s="104"/>
      <c r="J114" s="104"/>
      <c r="K114" s="104"/>
      <c r="L114" s="104"/>
      <c r="M114" s="104"/>
      <c r="N114" s="104"/>
      <c r="O114" s="104"/>
      <c r="P114" s="104"/>
      <c r="Q114" s="16"/>
      <c r="R114" s="16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9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  <c r="AQ114" s="88"/>
      <c r="AR114" s="89"/>
      <c r="AS114" s="88"/>
      <c r="AT114" s="88"/>
      <c r="AU114" s="88"/>
      <c r="AV114" s="88"/>
      <c r="AW114" s="88"/>
      <c r="AX114" s="88"/>
      <c r="AY114" s="88"/>
      <c r="AZ114" s="88"/>
      <c r="BA114" s="88"/>
      <c r="BB114" s="88"/>
      <c r="BC114" s="88"/>
      <c r="BD114" s="89"/>
      <c r="BE114" s="88"/>
      <c r="BF114" s="88"/>
      <c r="BG114" s="88"/>
      <c r="BH114" s="88"/>
      <c r="BI114" s="88"/>
      <c r="BJ114" s="88"/>
      <c r="BK114" s="88"/>
      <c r="BL114" s="88"/>
      <c r="BM114" s="88"/>
      <c r="BN114" s="88"/>
      <c r="BO114" s="88"/>
      <c r="BP114" s="89"/>
      <c r="BQ114" s="88"/>
      <c r="BR114" s="88"/>
      <c r="BS114" s="88"/>
      <c r="BT114" s="88"/>
      <c r="BU114" s="88"/>
      <c r="BV114" s="88"/>
      <c r="BW114" s="88"/>
      <c r="BX114" s="88"/>
      <c r="BY114" s="88"/>
      <c r="BZ114" s="88"/>
      <c r="CA114" s="90"/>
      <c r="CC114" s="90"/>
      <c r="CD114" s="90"/>
      <c r="CE114" s="90"/>
      <c r="CF114" s="90"/>
      <c r="CG114" s="90"/>
      <c r="CI114" s="90"/>
      <c r="CJ114" s="90"/>
      <c r="CK114" s="90"/>
      <c r="CL114" s="90"/>
      <c r="CM114" s="90"/>
    </row>
    <row r="115" s="14" customFormat="true" ht="16.5" hidden="false" customHeight="true" outlineLevel="0" collapsed="false">
      <c r="E115" s="109" t="s">
        <v>150</v>
      </c>
      <c r="F115" s="109"/>
      <c r="G115" s="109"/>
      <c r="H115" s="109"/>
      <c r="I115" s="220" t="n">
        <f aca="false">SUM(-I96, I104, I112)</f>
        <v>0</v>
      </c>
      <c r="J115" s="220" t="n">
        <f aca="false">SUM(-J96, J104, J112)</f>
        <v>0</v>
      </c>
      <c r="K115" s="220" t="n">
        <f aca="false">SUM(-K96, K104, K112)</f>
        <v>0</v>
      </c>
      <c r="L115" s="220" t="n">
        <f aca="false">SUM(-L96, L104, L112)</f>
        <v>0</v>
      </c>
      <c r="M115" s="220" t="n">
        <f aca="false">SUM(-M96, M104, M112)</f>
        <v>0</v>
      </c>
      <c r="N115" s="220" t="n">
        <f aca="false">SUM(-N96, N104, N112)</f>
        <v>0</v>
      </c>
      <c r="O115" s="220" t="n">
        <f aca="false">SUM(-O96, O104, O112)</f>
        <v>0</v>
      </c>
      <c r="P115" s="220" t="n">
        <f aca="false">SUM(-P96, P104, P112)</f>
        <v>0</v>
      </c>
      <c r="Q115" s="16"/>
      <c r="R115" s="16"/>
      <c r="T115" s="120" t="n">
        <f aca="false">SUM(-T96, T104, T112)</f>
        <v>0</v>
      </c>
      <c r="U115" s="120" t="n">
        <f aca="false">SUM(-U96, U104, U112)</f>
        <v>0</v>
      </c>
      <c r="V115" s="120" t="n">
        <f aca="false">SUM(-V96, V104, V112)</f>
        <v>0</v>
      </c>
      <c r="W115" s="120" t="n">
        <f aca="false">SUM(-W96, W104, W112)</f>
        <v>0</v>
      </c>
      <c r="X115" s="120" t="n">
        <f aca="false">SUM(-X96, X104, X112)</f>
        <v>0</v>
      </c>
      <c r="Y115" s="120" t="n">
        <f aca="false">SUM(-Y96, Y104, Y112)</f>
        <v>0</v>
      </c>
      <c r="Z115" s="120" t="n">
        <f aca="false">SUM(-Z96, Z104, Z112)</f>
        <v>0</v>
      </c>
      <c r="AA115" s="120" t="n">
        <f aca="false">SUM(-AA96, AA104, AA112)</f>
        <v>0</v>
      </c>
      <c r="AB115" s="120" t="n">
        <f aca="false">SUM(-AB96, AB104, AB112)</f>
        <v>0</v>
      </c>
      <c r="AC115" s="120" t="n">
        <f aca="false">SUM(-AC96, AC104, AC112)</f>
        <v>0</v>
      </c>
      <c r="AD115" s="120" t="n">
        <f aca="false">SUM(-AD96, AD104, AD112)</f>
        <v>0</v>
      </c>
      <c r="AE115" s="120" t="n">
        <f aca="false">SUM(-AE96, AE104, AE112)</f>
        <v>0</v>
      </c>
      <c r="AF115" s="120" t="n">
        <f aca="false">SUM(-AF96, AF104, AF112)</f>
        <v>0</v>
      </c>
      <c r="AG115" s="120" t="n">
        <f aca="false">SUM(-AG96, AG104, AG112)</f>
        <v>0</v>
      </c>
      <c r="AH115" s="120" t="n">
        <f aca="false">SUM(-AH96, AH104, AH112)</f>
        <v>0</v>
      </c>
      <c r="AI115" s="120" t="n">
        <f aca="false">SUM(-AI96, AI104, AI112)</f>
        <v>0</v>
      </c>
      <c r="AJ115" s="120" t="n">
        <f aca="false">SUM(-AJ96, AJ104, AJ112)</f>
        <v>0</v>
      </c>
      <c r="AK115" s="120" t="n">
        <f aca="false">SUM(-AK96, AK104, AK112)</f>
        <v>0</v>
      </c>
      <c r="AL115" s="120" t="n">
        <f aca="false">SUM(-AL96, AL104, AL112)</f>
        <v>0</v>
      </c>
      <c r="AM115" s="120" t="n">
        <f aca="false">SUM(-AM96, AM104, AM112)</f>
        <v>0</v>
      </c>
      <c r="AN115" s="120" t="n">
        <f aca="false">SUM(-AN96, AN104, AN112)</f>
        <v>0</v>
      </c>
      <c r="AO115" s="120" t="n">
        <f aca="false">SUM(-AO96, AO104, AO112)</f>
        <v>0</v>
      </c>
      <c r="AP115" s="120" t="n">
        <f aca="false">SUM(-AP96, AP104, AP112)</f>
        <v>0</v>
      </c>
      <c r="AQ115" s="120" t="n">
        <f aca="false">SUM(-AQ96, AQ104, AQ112)</f>
        <v>0</v>
      </c>
      <c r="AR115" s="120" t="n">
        <f aca="false">SUM(-AR96, AR104, AR112)</f>
        <v>0</v>
      </c>
      <c r="AS115" s="120" t="n">
        <f aca="false">SUM(-AS96, AS104, AS112)</f>
        <v>0</v>
      </c>
      <c r="AT115" s="120" t="n">
        <f aca="false">SUM(-AT96, AT104, AT112)</f>
        <v>0</v>
      </c>
      <c r="AU115" s="120" t="n">
        <f aca="false">SUM(-AU96, AU104, AU112)</f>
        <v>0</v>
      </c>
      <c r="AV115" s="120" t="n">
        <f aca="false">SUM(-AV96, AV104, AV112)</f>
        <v>0</v>
      </c>
      <c r="AW115" s="120" t="n">
        <f aca="false">SUM(-AW96, AW104, AW112)</f>
        <v>0</v>
      </c>
      <c r="AX115" s="120" t="n">
        <f aca="false">SUM(-AX96, AX104, AX112)</f>
        <v>0</v>
      </c>
      <c r="AY115" s="120" t="n">
        <f aca="false">SUM(-AY96, AY104, AY112)</f>
        <v>0</v>
      </c>
      <c r="AZ115" s="120" t="n">
        <f aca="false">SUM(-AZ96, AZ104, AZ112)</f>
        <v>0</v>
      </c>
      <c r="BA115" s="120" t="n">
        <f aca="false">SUM(-BA96, BA104, BA112)</f>
        <v>0</v>
      </c>
      <c r="BB115" s="120" t="n">
        <f aca="false">SUM(-BB96, BB104, BB112)</f>
        <v>0</v>
      </c>
      <c r="BC115" s="120" t="n">
        <f aca="false">SUM(-BC96, BC104, BC112)</f>
        <v>0</v>
      </c>
      <c r="BD115" s="120" t="n">
        <f aca="false">SUM(-BD96, BD104, BD112)</f>
        <v>0</v>
      </c>
      <c r="BE115" s="120" t="n">
        <f aca="false">SUM(-BE96, BE104, BE112)</f>
        <v>0</v>
      </c>
      <c r="BF115" s="120" t="n">
        <f aca="false">SUM(-BF96, BF104, BF112)</f>
        <v>0</v>
      </c>
      <c r="BG115" s="120" t="n">
        <f aca="false">SUM(-BG96, BG104, BG112)</f>
        <v>0</v>
      </c>
      <c r="BH115" s="120" t="n">
        <f aca="false">SUM(-BH96, BH104, BH112)</f>
        <v>0</v>
      </c>
      <c r="BI115" s="120" t="n">
        <f aca="false">SUM(-BI96, BI104, BI112)</f>
        <v>0</v>
      </c>
      <c r="BJ115" s="120" t="n">
        <f aca="false">SUM(-BJ96, BJ104, BJ112)</f>
        <v>0</v>
      </c>
      <c r="BK115" s="120" t="n">
        <f aca="false">SUM(-BK96, BK104, BK112)</f>
        <v>0</v>
      </c>
      <c r="BL115" s="120" t="n">
        <f aca="false">SUM(-BL96, BL104, BL112)</f>
        <v>0</v>
      </c>
      <c r="BM115" s="120" t="n">
        <f aca="false">SUM(-BM96, BM104, BM112)</f>
        <v>0</v>
      </c>
      <c r="BN115" s="120" t="n">
        <f aca="false">SUM(-BN96, BN104, BN112)</f>
        <v>0</v>
      </c>
      <c r="BO115" s="120" t="n">
        <f aca="false">SUM(-BO96, BO104, BO112)</f>
        <v>0</v>
      </c>
      <c r="BP115" s="120" t="n">
        <f aca="false">SUM(-BP96, BP104, BP112)</f>
        <v>0</v>
      </c>
      <c r="BQ115" s="120" t="n">
        <f aca="false">SUM(-BQ96, BQ104, BQ112)</f>
        <v>0</v>
      </c>
      <c r="BR115" s="120" t="n">
        <f aca="false">SUM(-BR96, BR104, BR112)</f>
        <v>0</v>
      </c>
      <c r="BS115" s="120" t="n">
        <f aca="false">SUM(-BS96, BS104, BS112)</f>
        <v>0</v>
      </c>
      <c r="BT115" s="120" t="n">
        <f aca="false">SUM(-BT96, BT104, BT112)</f>
        <v>0</v>
      </c>
      <c r="BU115" s="120" t="n">
        <f aca="false">SUM(-BU96, BU104, BU112)</f>
        <v>0</v>
      </c>
      <c r="BV115" s="120" t="n">
        <f aca="false">SUM(-BV96, BV104, BV112)</f>
        <v>0</v>
      </c>
      <c r="BW115" s="120" t="n">
        <f aca="false">SUM(-BW96, BW104, BW112)</f>
        <v>0</v>
      </c>
      <c r="BX115" s="120" t="n">
        <f aca="false">SUM(-BX96, BX104, BX112)</f>
        <v>0</v>
      </c>
      <c r="BY115" s="120" t="n">
        <f aca="false">SUM(-BY96, BY104, BY112)</f>
        <v>0</v>
      </c>
      <c r="BZ115" s="120" t="n">
        <f aca="false">SUM(-BZ96, BZ104, BZ112)</f>
        <v>0</v>
      </c>
      <c r="CA115" s="120" t="n">
        <f aca="false">SUM(-CA96, CA104, CA112)</f>
        <v>0</v>
      </c>
      <c r="CC115" s="120" t="n">
        <f aca="false">SUM(-CC96, CC104, CC112)</f>
        <v>0</v>
      </c>
      <c r="CD115" s="120" t="n">
        <f aca="false">SUM(-CD96, CD104, CD112)</f>
        <v>0</v>
      </c>
      <c r="CE115" s="120" t="n">
        <f aca="false">SUM(-CE96, CE104, CE112)</f>
        <v>0</v>
      </c>
      <c r="CF115" s="120" t="n">
        <f aca="false">SUM(-CF96, CF104, CF112)</f>
        <v>0</v>
      </c>
      <c r="CG115" s="120" t="n">
        <f aca="false">SUM(-CG96, CG104, CG112)</f>
        <v>0</v>
      </c>
      <c r="CI115" s="113" t="n">
        <f aca="false">CC115=L115</f>
        <v>1</v>
      </c>
      <c r="CJ115" s="113" t="n">
        <f aca="false">CD115=M115</f>
        <v>1</v>
      </c>
      <c r="CK115" s="113" t="n">
        <f aca="false">CE115=N115</f>
        <v>1</v>
      </c>
      <c r="CL115" s="113" t="n">
        <f aca="false">CF115=O115</f>
        <v>1</v>
      </c>
      <c r="CM115" s="113" t="n">
        <f aca="false">CG115=P115</f>
        <v>1</v>
      </c>
    </row>
    <row r="116" s="14" customFormat="true" ht="17.25" hidden="false" customHeight="true" outlineLevel="0" collapsed="false">
      <c r="E116" s="21"/>
      <c r="I116" s="221"/>
      <c r="J116" s="221"/>
      <c r="K116" s="221"/>
      <c r="L116" s="221"/>
      <c r="M116" s="221"/>
      <c r="N116" s="221"/>
      <c r="O116" s="221"/>
      <c r="P116" s="221"/>
      <c r="Q116" s="16"/>
      <c r="R116" s="16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  <c r="AQ116" s="88"/>
      <c r="AR116" s="88"/>
      <c r="AS116" s="88"/>
      <c r="AT116" s="88"/>
      <c r="AU116" s="88"/>
      <c r="AV116" s="88"/>
      <c r="AW116" s="88"/>
      <c r="AX116" s="88"/>
      <c r="AY116" s="88"/>
      <c r="AZ116" s="88"/>
      <c r="BA116" s="88"/>
      <c r="BB116" s="88"/>
      <c r="BC116" s="88"/>
      <c r="BD116" s="88"/>
      <c r="BE116" s="88"/>
      <c r="BF116" s="88"/>
      <c r="BG116" s="88"/>
      <c r="BH116" s="88"/>
      <c r="BI116" s="88"/>
      <c r="BJ116" s="88"/>
      <c r="BK116" s="88"/>
      <c r="BL116" s="88"/>
      <c r="BM116" s="88"/>
      <c r="BN116" s="88"/>
      <c r="BO116" s="88"/>
      <c r="BP116" s="88"/>
      <c r="BQ116" s="88"/>
      <c r="BR116" s="88"/>
      <c r="BS116" s="88"/>
      <c r="BT116" s="88"/>
      <c r="BU116" s="88"/>
      <c r="BV116" s="88"/>
      <c r="BW116" s="88"/>
      <c r="BX116" s="88"/>
      <c r="BY116" s="88"/>
      <c r="BZ116" s="88"/>
      <c r="CA116" s="121"/>
    </row>
    <row r="117" s="14" customFormat="true" ht="17.25" hidden="false" customHeight="true" outlineLevel="0" collapsed="false">
      <c r="E117" s="122" t="s">
        <v>151</v>
      </c>
      <c r="F117" s="123"/>
      <c r="G117" s="123"/>
      <c r="H117" s="123"/>
      <c r="I117" s="222" t="n">
        <f aca="false">SUM(I88, -I115)</f>
        <v>0</v>
      </c>
      <c r="J117" s="222" t="n">
        <f aca="false">SUM(J88, -J115)</f>
        <v>0</v>
      </c>
      <c r="K117" s="223" t="n">
        <f aca="false">SUM(K88, -K115)</f>
        <v>0</v>
      </c>
      <c r="L117" s="222" t="n">
        <f aca="false">SUM(L88, -L115)</f>
        <v>0</v>
      </c>
      <c r="M117" s="222" t="n">
        <f aca="false">SUM(M88, -M115)</f>
        <v>0</v>
      </c>
      <c r="N117" s="222" t="n">
        <f aca="false">SUM(N88, -N115)</f>
        <v>0</v>
      </c>
      <c r="O117" s="222" t="n">
        <f aca="false">SUM(O88, -O115)</f>
        <v>0</v>
      </c>
      <c r="P117" s="222" t="n">
        <f aca="false">SUM(P88, -P115)</f>
        <v>0</v>
      </c>
      <c r="Q117" s="16"/>
      <c r="R117" s="16" t="str">
        <f aca="false">IF(K117=P117, "", "Error")</f>
        <v/>
      </c>
      <c r="T117" s="125" t="n">
        <f aca="false">SUM(T88, -T115)</f>
        <v>0</v>
      </c>
      <c r="U117" s="125" t="n">
        <f aca="false">SUM(U88, -U115)</f>
        <v>0</v>
      </c>
      <c r="V117" s="125" t="n">
        <f aca="false">SUM(V88, -V115)</f>
        <v>0</v>
      </c>
      <c r="W117" s="125" t="n">
        <f aca="false">SUM(W88, -W115)</f>
        <v>0</v>
      </c>
      <c r="X117" s="125" t="n">
        <f aca="false">SUM(X88, -X115)</f>
        <v>0</v>
      </c>
      <c r="Y117" s="125" t="n">
        <f aca="false">SUM(Y88, -Y115)</f>
        <v>0</v>
      </c>
      <c r="Z117" s="125" t="n">
        <f aca="false">SUM(Z88, -Z115)</f>
        <v>0</v>
      </c>
      <c r="AA117" s="125" t="n">
        <f aca="false">SUM(AA88, -AA115)</f>
        <v>0</v>
      </c>
      <c r="AB117" s="125" t="n">
        <f aca="false">SUM(AB88, -AB115)</f>
        <v>0</v>
      </c>
      <c r="AC117" s="125" t="n">
        <f aca="false">SUM(AC88, -AC115)</f>
        <v>0</v>
      </c>
      <c r="AD117" s="125" t="n">
        <f aca="false">SUM(AD88, -AD115)</f>
        <v>0</v>
      </c>
      <c r="AE117" s="125" t="n">
        <f aca="false">SUM(AE88, -AE115)</f>
        <v>0</v>
      </c>
      <c r="AF117" s="125" t="n">
        <f aca="false">SUM(AF88, -AF115)</f>
        <v>0</v>
      </c>
      <c r="AG117" s="125" t="n">
        <f aca="false">SUM(AG88, -AG115)</f>
        <v>0</v>
      </c>
      <c r="AH117" s="125" t="n">
        <f aca="false">SUM(AH88, -AH115)</f>
        <v>0</v>
      </c>
      <c r="AI117" s="125" t="n">
        <f aca="false">SUM(AI88, -AI115)</f>
        <v>0</v>
      </c>
      <c r="AJ117" s="125" t="n">
        <f aca="false">SUM(AJ88, -AJ115)</f>
        <v>0</v>
      </c>
      <c r="AK117" s="125" t="n">
        <f aca="false">SUM(AK88, -AK115)</f>
        <v>0</v>
      </c>
      <c r="AL117" s="125" t="n">
        <f aca="false">SUM(AL88, -AL115)</f>
        <v>0</v>
      </c>
      <c r="AM117" s="125" t="n">
        <f aca="false">SUM(AM88, -AM115)</f>
        <v>0</v>
      </c>
      <c r="AN117" s="125" t="n">
        <f aca="false">SUM(AN88, -AN115)</f>
        <v>0</v>
      </c>
      <c r="AO117" s="125" t="n">
        <f aca="false">SUM(AO88, -AO115)</f>
        <v>0</v>
      </c>
      <c r="AP117" s="125" t="n">
        <f aca="false">SUM(AP88, -AP115)</f>
        <v>0</v>
      </c>
      <c r="AQ117" s="125" t="n">
        <f aca="false">SUM(AQ88, -AQ115)</f>
        <v>0</v>
      </c>
      <c r="AR117" s="125" t="n">
        <f aca="false">SUM(AR88, -AR115)</f>
        <v>0</v>
      </c>
      <c r="AS117" s="125" t="n">
        <f aca="false">SUM(AS88, -AS115)</f>
        <v>0</v>
      </c>
      <c r="AT117" s="125" t="n">
        <f aca="false">SUM(AT88, -AT115)</f>
        <v>0</v>
      </c>
      <c r="AU117" s="125" t="n">
        <f aca="false">SUM(AU88, -AU115)</f>
        <v>0</v>
      </c>
      <c r="AV117" s="125" t="n">
        <f aca="false">SUM(AV88, -AV115)</f>
        <v>0</v>
      </c>
      <c r="AW117" s="125" t="n">
        <f aca="false">SUM(AW88, -AW115)</f>
        <v>0</v>
      </c>
      <c r="AX117" s="125" t="n">
        <f aca="false">SUM(AX88, -AX115)</f>
        <v>0</v>
      </c>
      <c r="AY117" s="125" t="n">
        <f aca="false">SUM(AY88, -AY115)</f>
        <v>0</v>
      </c>
      <c r="AZ117" s="125" t="n">
        <f aca="false">SUM(AZ88, -AZ115)</f>
        <v>0</v>
      </c>
      <c r="BA117" s="125" t="n">
        <f aca="false">SUM(BA88, -BA115)</f>
        <v>0</v>
      </c>
      <c r="BB117" s="125" t="n">
        <f aca="false">SUM(BB88, -BB115)</f>
        <v>0</v>
      </c>
      <c r="BC117" s="125" t="n">
        <f aca="false">SUM(BC88, -BC115)</f>
        <v>0</v>
      </c>
      <c r="BD117" s="125" t="n">
        <f aca="false">SUM(BD88, -BD115)</f>
        <v>0</v>
      </c>
      <c r="BE117" s="125" t="n">
        <f aca="false">SUM(BE88, -BE115)</f>
        <v>0</v>
      </c>
      <c r="BF117" s="125" t="n">
        <f aca="false">SUM(BF88, -BF115)</f>
        <v>0</v>
      </c>
      <c r="BG117" s="125" t="n">
        <f aca="false">SUM(BG88, -BG115)</f>
        <v>0</v>
      </c>
      <c r="BH117" s="125" t="n">
        <f aca="false">SUM(BH88, -BH115)</f>
        <v>0</v>
      </c>
      <c r="BI117" s="125" t="n">
        <f aca="false">SUM(BI88, -BI115)</f>
        <v>0</v>
      </c>
      <c r="BJ117" s="125" t="n">
        <f aca="false">SUM(BJ88, -BJ115)</f>
        <v>0</v>
      </c>
      <c r="BK117" s="125" t="n">
        <f aca="false">SUM(BK88, -BK115)</f>
        <v>0</v>
      </c>
      <c r="BL117" s="125" t="n">
        <f aca="false">SUM(BL88, -BL115)</f>
        <v>0</v>
      </c>
      <c r="BM117" s="125" t="n">
        <f aca="false">SUM(BM88, -BM115)</f>
        <v>0</v>
      </c>
      <c r="BN117" s="125" t="n">
        <f aca="false">SUM(BN88, -BN115)</f>
        <v>0</v>
      </c>
      <c r="BO117" s="125" t="n">
        <f aca="false">SUM(BO88, -BO115)</f>
        <v>0</v>
      </c>
      <c r="BP117" s="125" t="n">
        <f aca="false">SUM(BP88, -BP115)</f>
        <v>0</v>
      </c>
      <c r="BQ117" s="125" t="n">
        <f aca="false">SUM(BQ88, -BQ115)</f>
        <v>0</v>
      </c>
      <c r="BR117" s="125" t="n">
        <f aca="false">SUM(BR88, -BR115)</f>
        <v>0</v>
      </c>
      <c r="BS117" s="125" t="n">
        <f aca="false">SUM(BS88, -BS115)</f>
        <v>0</v>
      </c>
      <c r="BT117" s="125" t="n">
        <f aca="false">SUM(BT88, -BT115)</f>
        <v>0</v>
      </c>
      <c r="BU117" s="125" t="n">
        <f aca="false">SUM(BU88, -BU115)</f>
        <v>0</v>
      </c>
      <c r="BV117" s="125" t="n">
        <f aca="false">SUM(BV88, -BV115)</f>
        <v>0</v>
      </c>
      <c r="BW117" s="125" t="n">
        <f aca="false">SUM(BW88, -BW115)</f>
        <v>0</v>
      </c>
      <c r="BX117" s="125" t="n">
        <f aca="false">SUM(BX88, -BX115)</f>
        <v>0</v>
      </c>
      <c r="BY117" s="125" t="n">
        <f aca="false">SUM(BY88, -BY115)</f>
        <v>0</v>
      </c>
      <c r="BZ117" s="125" t="n">
        <f aca="false">SUM(BZ88, -BZ115)</f>
        <v>0</v>
      </c>
      <c r="CA117" s="126" t="n">
        <f aca="false">SUM(CA88, -CA115)</f>
        <v>0</v>
      </c>
      <c r="CC117" s="126" t="n">
        <f aca="false">SUM(CC88, -CC115)</f>
        <v>0</v>
      </c>
      <c r="CD117" s="126" t="n">
        <f aca="false">SUM(CD88, -CD115)</f>
        <v>0</v>
      </c>
      <c r="CE117" s="126" t="n">
        <f aca="false">SUM(CE88, -CE115)</f>
        <v>0</v>
      </c>
      <c r="CF117" s="126" t="n">
        <f aca="false">SUM(CF88, -CF115)</f>
        <v>0</v>
      </c>
      <c r="CG117" s="126" t="n">
        <f aca="false">SUM(CG88, -CG115)</f>
        <v>0</v>
      </c>
      <c r="CI117" s="126" t="n">
        <f aca="false">CC117=L117</f>
        <v>1</v>
      </c>
      <c r="CJ117" s="126" t="n">
        <f aca="false">CD117=M117</f>
        <v>1</v>
      </c>
      <c r="CK117" s="126" t="n">
        <f aca="false">CE117=N117</f>
        <v>1</v>
      </c>
      <c r="CL117" s="126" t="n">
        <f aca="false">CF117=O117</f>
        <v>1</v>
      </c>
      <c r="CM117" s="126" t="n">
        <f aca="false">CG117=P117</f>
        <v>1</v>
      </c>
    </row>
    <row r="118" s="14" customFormat="true" ht="17.25" hidden="false" customHeight="true" outlineLevel="0" collapsed="false">
      <c r="K118" s="127"/>
      <c r="Q118" s="16"/>
      <c r="R118" s="16"/>
    </row>
    <row r="119" s="14" customFormat="true" ht="17.25" hidden="false" customHeight="true" outlineLevel="0" collapsed="false">
      <c r="E119" s="128"/>
      <c r="Q119" s="16"/>
      <c r="R119" s="16"/>
    </row>
    <row r="120" s="14" customFormat="true" ht="16.5" hidden="false" customHeight="true" outlineLevel="0" collapsed="false">
      <c r="C120" s="19" t="s">
        <v>152</v>
      </c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20"/>
      <c r="R120" s="20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C120" s="19" t="s">
        <v>127</v>
      </c>
      <c r="CD120" s="19"/>
      <c r="CE120" s="19"/>
      <c r="CF120" s="19"/>
      <c r="CG120" s="19"/>
      <c r="CI120" s="19" t="s">
        <v>128</v>
      </c>
      <c r="CJ120" s="19"/>
      <c r="CK120" s="19"/>
      <c r="CL120" s="19"/>
      <c r="CM120" s="19"/>
    </row>
    <row r="121" s="14" customFormat="true" ht="16.5" hidden="false" customHeight="true" outlineLevel="0" collapsed="false">
      <c r="Q121" s="16"/>
      <c r="R121" s="16"/>
    </row>
    <row r="122" s="14" customFormat="true" ht="16.5" hidden="false" customHeight="true" outlineLevel="0" collapsed="false">
      <c r="Q122" s="16"/>
      <c r="R122" s="16"/>
      <c r="T122" s="62" t="n">
        <v>2026</v>
      </c>
      <c r="U122" s="129"/>
      <c r="V122" s="129"/>
      <c r="W122" s="129"/>
      <c r="X122" s="129"/>
      <c r="Y122" s="129"/>
      <c r="Z122" s="129"/>
      <c r="AA122" s="129"/>
      <c r="AB122" s="129"/>
      <c r="AC122" s="129"/>
      <c r="AD122" s="129"/>
      <c r="AE122" s="129"/>
      <c r="AF122" s="62" t="n">
        <v>2027</v>
      </c>
      <c r="AG122" s="129"/>
      <c r="AH122" s="129"/>
      <c r="AI122" s="129"/>
      <c r="AJ122" s="129"/>
      <c r="AK122" s="129"/>
      <c r="AL122" s="129"/>
      <c r="AM122" s="129"/>
      <c r="AN122" s="129"/>
      <c r="AO122" s="129"/>
      <c r="AP122" s="129"/>
      <c r="AQ122" s="129"/>
      <c r="AR122" s="62" t="n">
        <v>2028</v>
      </c>
      <c r="AS122" s="129"/>
      <c r="AT122" s="129"/>
      <c r="AU122" s="129"/>
      <c r="AV122" s="129"/>
      <c r="AW122" s="129"/>
      <c r="AX122" s="129"/>
      <c r="AY122" s="129"/>
      <c r="AZ122" s="129"/>
      <c r="BA122" s="129"/>
      <c r="BB122" s="129"/>
      <c r="BC122" s="129"/>
      <c r="BD122" s="62" t="n">
        <v>2029</v>
      </c>
      <c r="BE122" s="129"/>
      <c r="BF122" s="129"/>
      <c r="BG122" s="129"/>
      <c r="BH122" s="129"/>
      <c r="BI122" s="129"/>
      <c r="BJ122" s="129"/>
      <c r="BK122" s="129"/>
      <c r="BL122" s="129"/>
      <c r="BM122" s="129"/>
      <c r="BN122" s="129"/>
      <c r="BO122" s="129"/>
      <c r="BP122" s="62" t="n">
        <v>2030</v>
      </c>
      <c r="BQ122" s="130"/>
      <c r="BR122" s="130"/>
      <c r="BS122" s="130"/>
      <c r="BT122" s="130"/>
      <c r="BU122" s="130"/>
      <c r="BV122" s="130"/>
      <c r="BW122" s="130"/>
      <c r="BX122" s="130"/>
      <c r="BY122" s="130"/>
      <c r="BZ122" s="130"/>
      <c r="CA122" s="130"/>
    </row>
    <row r="123" s="14" customFormat="true" ht="16.5" hidden="false" customHeight="true" outlineLevel="0" collapsed="false">
      <c r="D123" s="30" t="s">
        <v>153</v>
      </c>
      <c r="E123" s="31"/>
      <c r="F123" s="31"/>
      <c r="G123" s="31"/>
      <c r="H123" s="31"/>
      <c r="I123" s="31"/>
      <c r="J123" s="31"/>
      <c r="K123" s="30" t="s">
        <v>130</v>
      </c>
      <c r="L123" s="31" t="n">
        <v>2026</v>
      </c>
      <c r="M123" s="31" t="n">
        <f aca="false">L123+1</f>
        <v>2027</v>
      </c>
      <c r="N123" s="31" t="n">
        <f aca="false">M123+1</f>
        <v>2028</v>
      </c>
      <c r="O123" s="31" t="n">
        <f aca="false">N123+1</f>
        <v>2029</v>
      </c>
      <c r="P123" s="31" t="n">
        <f aca="false">O123+1</f>
        <v>2030</v>
      </c>
      <c r="Q123" s="31" t="s">
        <v>132</v>
      </c>
      <c r="R123" s="16"/>
      <c r="T123" s="59" t="n">
        <v>46023</v>
      </c>
      <c r="U123" s="60" t="n">
        <f aca="false">EOMONTH(T123, 1)</f>
        <v>46081</v>
      </c>
      <c r="V123" s="60" t="n">
        <f aca="false">EOMONTH(U123, 1)</f>
        <v>46112</v>
      </c>
      <c r="W123" s="60" t="n">
        <f aca="false">EOMONTH(V123, 1)</f>
        <v>46142</v>
      </c>
      <c r="X123" s="60" t="n">
        <f aca="false">EOMONTH(W123, 1)</f>
        <v>46173</v>
      </c>
      <c r="Y123" s="60" t="n">
        <f aca="false">EOMONTH(X123, 1)</f>
        <v>46203</v>
      </c>
      <c r="Z123" s="60" t="n">
        <f aca="false">EOMONTH(Y123, 1)</f>
        <v>46234</v>
      </c>
      <c r="AA123" s="60" t="n">
        <f aca="false">EOMONTH(Z123, 1)</f>
        <v>46265</v>
      </c>
      <c r="AB123" s="60" t="n">
        <f aca="false">EOMONTH(AA123, 1)</f>
        <v>46295</v>
      </c>
      <c r="AC123" s="60" t="n">
        <f aca="false">EOMONTH(AB123, 1)</f>
        <v>46326</v>
      </c>
      <c r="AD123" s="60" t="n">
        <f aca="false">EOMONTH(AC123, 1)</f>
        <v>46356</v>
      </c>
      <c r="AE123" s="61" t="n">
        <f aca="false">EOMONTH(AD123, 1)</f>
        <v>46387</v>
      </c>
      <c r="AF123" s="59" t="n">
        <f aca="false">EOMONTH(AE123, 1)</f>
        <v>46418</v>
      </c>
      <c r="AG123" s="60" t="n">
        <f aca="false">EOMONTH(AF123, 1)</f>
        <v>46446</v>
      </c>
      <c r="AH123" s="60" t="n">
        <f aca="false">EOMONTH(AG123, 1)</f>
        <v>46477</v>
      </c>
      <c r="AI123" s="60" t="n">
        <f aca="false">EOMONTH(AH123, 1)</f>
        <v>46507</v>
      </c>
      <c r="AJ123" s="60" t="n">
        <f aca="false">EOMONTH(AI123, 1)</f>
        <v>46538</v>
      </c>
      <c r="AK123" s="60" t="n">
        <f aca="false">EOMONTH(AJ123, 1)</f>
        <v>46568</v>
      </c>
      <c r="AL123" s="60" t="n">
        <f aca="false">EOMONTH(AK123, 1)</f>
        <v>46599</v>
      </c>
      <c r="AM123" s="60" t="n">
        <f aca="false">EOMONTH(AL123, 1)</f>
        <v>46630</v>
      </c>
      <c r="AN123" s="60" t="n">
        <f aca="false">EOMONTH(AM123, 1)</f>
        <v>46660</v>
      </c>
      <c r="AO123" s="60" t="n">
        <f aca="false">EOMONTH(AN123, 1)</f>
        <v>46691</v>
      </c>
      <c r="AP123" s="60" t="n">
        <f aca="false">EOMONTH(AO123, 1)</f>
        <v>46721</v>
      </c>
      <c r="AQ123" s="61" t="n">
        <f aca="false">EOMONTH(AP123, 1)</f>
        <v>46752</v>
      </c>
      <c r="AR123" s="59" t="n">
        <f aca="false">EOMONTH(AQ123, 1)</f>
        <v>46783</v>
      </c>
      <c r="AS123" s="60" t="n">
        <f aca="false">EOMONTH(AR123, 1)</f>
        <v>46812</v>
      </c>
      <c r="AT123" s="60" t="n">
        <f aca="false">EOMONTH(AS123, 1)</f>
        <v>46843</v>
      </c>
      <c r="AU123" s="60" t="n">
        <f aca="false">EOMONTH(AT123, 1)</f>
        <v>46873</v>
      </c>
      <c r="AV123" s="60" t="n">
        <f aca="false">EOMONTH(AU123, 1)</f>
        <v>46904</v>
      </c>
      <c r="AW123" s="60" t="n">
        <f aca="false">EOMONTH(AV123, 1)</f>
        <v>46934</v>
      </c>
      <c r="AX123" s="60" t="n">
        <f aca="false">EOMONTH(AW123, 1)</f>
        <v>46965</v>
      </c>
      <c r="AY123" s="60" t="n">
        <f aca="false">EOMONTH(AX123, 1)</f>
        <v>46996</v>
      </c>
      <c r="AZ123" s="60" t="n">
        <f aca="false">EOMONTH(AY123, 1)</f>
        <v>47026</v>
      </c>
      <c r="BA123" s="60" t="n">
        <f aca="false">EOMONTH(AZ123, 1)</f>
        <v>47057</v>
      </c>
      <c r="BB123" s="60" t="n">
        <f aca="false">EOMONTH(BA123, 1)</f>
        <v>47087</v>
      </c>
      <c r="BC123" s="61" t="n">
        <f aca="false">EOMONTH(BB123, 1)</f>
        <v>47118</v>
      </c>
      <c r="BD123" s="59" t="n">
        <f aca="false">EOMONTH(BC123, 1)</f>
        <v>47149</v>
      </c>
      <c r="BE123" s="60" t="n">
        <f aca="false">EOMONTH(BD123, 1)</f>
        <v>47177</v>
      </c>
      <c r="BF123" s="60" t="n">
        <f aca="false">EOMONTH(BE123, 1)</f>
        <v>47208</v>
      </c>
      <c r="BG123" s="60" t="n">
        <f aca="false">EOMONTH(BF123, 1)</f>
        <v>47238</v>
      </c>
      <c r="BH123" s="60" t="n">
        <f aca="false">EOMONTH(BG123, 1)</f>
        <v>47269</v>
      </c>
      <c r="BI123" s="60" t="n">
        <f aca="false">EOMONTH(BH123, 1)</f>
        <v>47299</v>
      </c>
      <c r="BJ123" s="60" t="n">
        <f aca="false">EOMONTH(BI123, 1)</f>
        <v>47330</v>
      </c>
      <c r="BK123" s="60" t="n">
        <f aca="false">EOMONTH(BJ123, 1)</f>
        <v>47361</v>
      </c>
      <c r="BL123" s="60" t="n">
        <f aca="false">EOMONTH(BK123, 1)</f>
        <v>47391</v>
      </c>
      <c r="BM123" s="60" t="n">
        <f aca="false">EOMONTH(BL123, 1)</f>
        <v>47422</v>
      </c>
      <c r="BN123" s="60" t="n">
        <f aca="false">EOMONTH(BM123, 1)</f>
        <v>47452</v>
      </c>
      <c r="BO123" s="61" t="n">
        <f aca="false">EOMONTH(BN123, 1)</f>
        <v>47483</v>
      </c>
      <c r="BP123" s="59" t="n">
        <f aca="false">EOMONTH(BO123, 1)</f>
        <v>47514</v>
      </c>
      <c r="BQ123" s="60" t="n">
        <f aca="false">EOMONTH(BP123, 1)</f>
        <v>47542</v>
      </c>
      <c r="BR123" s="60" t="n">
        <f aca="false">EOMONTH(BQ123, 1)</f>
        <v>47573</v>
      </c>
      <c r="BS123" s="60" t="n">
        <f aca="false">EOMONTH(BR123, 1)</f>
        <v>47603</v>
      </c>
      <c r="BT123" s="60" t="n">
        <f aca="false">EOMONTH(BS123, 1)</f>
        <v>47634</v>
      </c>
      <c r="BU123" s="60" t="n">
        <f aca="false">EOMONTH(BT123, 1)</f>
        <v>47664</v>
      </c>
      <c r="BV123" s="60" t="n">
        <f aca="false">EOMONTH(BU123, 1)</f>
        <v>47695</v>
      </c>
      <c r="BW123" s="60" t="n">
        <f aca="false">EOMONTH(BV123, 1)</f>
        <v>47726</v>
      </c>
      <c r="BX123" s="60" t="n">
        <f aca="false">EOMONTH(BW123, 1)</f>
        <v>47756</v>
      </c>
      <c r="BY123" s="60" t="n">
        <f aca="false">EOMONTH(BX123, 1)</f>
        <v>47787</v>
      </c>
      <c r="BZ123" s="60" t="n">
        <f aca="false">EOMONTH(BY123, 1)</f>
        <v>47817</v>
      </c>
      <c r="CA123" s="60" t="n">
        <f aca="false">EOMONTH(BZ123, 1)</f>
        <v>47848</v>
      </c>
      <c r="CC123" s="62" t="n">
        <v>2026</v>
      </c>
      <c r="CD123" s="62" t="n">
        <f aca="false">CC123+1</f>
        <v>2027</v>
      </c>
      <c r="CE123" s="62" t="n">
        <f aca="false">CD123+1</f>
        <v>2028</v>
      </c>
      <c r="CF123" s="62" t="n">
        <f aca="false">CE123+1</f>
        <v>2029</v>
      </c>
      <c r="CG123" s="62" t="n">
        <f aca="false">CF123+1</f>
        <v>2030</v>
      </c>
      <c r="CI123" s="62" t="n">
        <v>2026</v>
      </c>
      <c r="CJ123" s="62" t="n">
        <f aca="false">CI123+1</f>
        <v>2027</v>
      </c>
      <c r="CK123" s="62" t="n">
        <f aca="false">CJ123+1</f>
        <v>2028</v>
      </c>
      <c r="CL123" s="62" t="n">
        <f aca="false">CK123+1</f>
        <v>2029</v>
      </c>
      <c r="CM123" s="62" t="n">
        <f aca="false">CL123+1</f>
        <v>2030</v>
      </c>
    </row>
    <row r="124" s="14" customFormat="true" ht="16.5" hidden="false" customHeight="true" outlineLevel="0" collapsed="false">
      <c r="E124" s="21"/>
      <c r="F124" s="21"/>
      <c r="G124" s="21"/>
      <c r="K124" s="35"/>
      <c r="Q124" s="16"/>
      <c r="R124" s="16"/>
    </row>
    <row r="125" s="14" customFormat="true" ht="16.5" hidden="false" customHeight="true" outlineLevel="0" collapsed="false">
      <c r="E125" s="21" t="s">
        <v>154</v>
      </c>
      <c r="K125" s="35"/>
      <c r="Q125" s="16"/>
      <c r="R125" s="16"/>
    </row>
    <row r="126" s="14" customFormat="true" ht="16.5" hidden="false" customHeight="true" outlineLevel="0" collapsed="false">
      <c r="E126" s="91"/>
      <c r="K126" s="35"/>
      <c r="L126" s="91"/>
      <c r="M126" s="91"/>
      <c r="N126" s="91"/>
      <c r="O126" s="91"/>
      <c r="P126" s="91"/>
      <c r="Q126" s="93"/>
      <c r="R126" s="16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1"/>
      <c r="AI126" s="91"/>
      <c r="AJ126" s="91"/>
      <c r="AK126" s="91"/>
      <c r="AL126" s="91"/>
      <c r="AM126" s="91"/>
      <c r="AN126" s="91"/>
      <c r="AO126" s="91"/>
      <c r="AP126" s="91"/>
      <c r="AQ126" s="91"/>
      <c r="AR126" s="91"/>
      <c r="AS126" s="91"/>
      <c r="AT126" s="91"/>
      <c r="AU126" s="91"/>
      <c r="AV126" s="91"/>
      <c r="AW126" s="91"/>
      <c r="AX126" s="91"/>
      <c r="AY126" s="91"/>
      <c r="AZ126" s="91"/>
      <c r="BA126" s="91"/>
      <c r="BB126" s="91"/>
      <c r="BC126" s="91"/>
      <c r="BD126" s="91"/>
      <c r="BE126" s="91"/>
      <c r="BF126" s="91"/>
      <c r="BG126" s="91"/>
      <c r="BH126" s="91"/>
      <c r="BI126" s="91"/>
      <c r="BJ126" s="91"/>
      <c r="BK126" s="91"/>
      <c r="BL126" s="91"/>
      <c r="BM126" s="91"/>
      <c r="BN126" s="91"/>
      <c r="BO126" s="91"/>
      <c r="BP126" s="91"/>
      <c r="BQ126" s="91"/>
      <c r="BR126" s="91"/>
      <c r="BS126" s="91"/>
      <c r="BT126" s="91"/>
      <c r="BU126" s="91"/>
      <c r="BV126" s="91"/>
      <c r="BW126" s="91"/>
      <c r="BX126" s="91"/>
      <c r="BY126" s="91"/>
      <c r="BZ126" s="91"/>
      <c r="CA126" s="91"/>
      <c r="CC126" s="79" t="n">
        <f aca="false">SUMIFS($T126:$CA126, $T$1:$CA$1, CC$63)</f>
        <v>0</v>
      </c>
      <c r="CD126" s="79" t="n">
        <f aca="false">SUMIFS($T126:$CA126, $T$1:$CA$1, CD$63)</f>
        <v>0</v>
      </c>
      <c r="CE126" s="79" t="n">
        <f aca="false">SUMIFS($T126:$CA126, $T$1:$CA$1, CE$63)</f>
        <v>0</v>
      </c>
      <c r="CF126" s="79" t="n">
        <f aca="false">SUMIFS($T126:$CA126, $T$1:$CA$1, CF$63)</f>
        <v>0</v>
      </c>
      <c r="CG126" s="79" t="n">
        <f aca="false">SUMIFS($T126:$CA126, $T$1:$CA$1, CG$63)</f>
        <v>0</v>
      </c>
      <c r="CI126" s="79" t="n">
        <f aca="false">CC126=L126</f>
        <v>1</v>
      </c>
      <c r="CJ126" s="79" t="n">
        <f aca="false">CD126=M126</f>
        <v>1</v>
      </c>
      <c r="CK126" s="79" t="n">
        <f aca="false">CE126=N126</f>
        <v>1</v>
      </c>
      <c r="CL126" s="79" t="n">
        <f aca="false">CF126=O126</f>
        <v>1</v>
      </c>
      <c r="CM126" s="79" t="n">
        <f aca="false">CG126=P126</f>
        <v>1</v>
      </c>
    </row>
    <row r="127" s="14" customFormat="true" ht="16.5" hidden="false" customHeight="true" outlineLevel="0" collapsed="false">
      <c r="E127" s="91"/>
      <c r="K127" s="35"/>
      <c r="L127" s="91"/>
      <c r="M127" s="91"/>
      <c r="N127" s="91"/>
      <c r="O127" s="91"/>
      <c r="P127" s="91"/>
      <c r="Q127" s="93"/>
      <c r="R127" s="16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  <c r="AK127" s="91"/>
      <c r="AL127" s="91"/>
      <c r="AM127" s="91"/>
      <c r="AN127" s="91"/>
      <c r="AO127" s="91"/>
      <c r="AP127" s="91"/>
      <c r="AQ127" s="91"/>
      <c r="AR127" s="91"/>
      <c r="AS127" s="91"/>
      <c r="AT127" s="91"/>
      <c r="AU127" s="91"/>
      <c r="AV127" s="91"/>
      <c r="AW127" s="91"/>
      <c r="AX127" s="91"/>
      <c r="AY127" s="91"/>
      <c r="AZ127" s="91"/>
      <c r="BA127" s="91"/>
      <c r="BB127" s="91"/>
      <c r="BC127" s="91"/>
      <c r="BD127" s="91"/>
      <c r="BE127" s="91"/>
      <c r="BF127" s="91"/>
      <c r="BG127" s="91"/>
      <c r="BH127" s="91"/>
      <c r="BI127" s="91"/>
      <c r="BJ127" s="91"/>
      <c r="BK127" s="91"/>
      <c r="BL127" s="91"/>
      <c r="BM127" s="91"/>
      <c r="BN127" s="91"/>
      <c r="BO127" s="91"/>
      <c r="BP127" s="91"/>
      <c r="BQ127" s="91"/>
      <c r="BR127" s="91"/>
      <c r="BS127" s="91"/>
      <c r="BT127" s="91"/>
      <c r="BU127" s="91"/>
      <c r="BV127" s="91"/>
      <c r="BW127" s="91"/>
      <c r="BX127" s="91"/>
      <c r="BY127" s="91"/>
      <c r="BZ127" s="91"/>
      <c r="CA127" s="91"/>
      <c r="CC127" s="79" t="n">
        <f aca="false">SUMIFS($T127:$CA127, $T$1:$CA$1, CC$63)</f>
        <v>0</v>
      </c>
      <c r="CD127" s="79" t="n">
        <f aca="false">SUMIFS($T127:$CA127, $T$1:$CA$1, CD$63)</f>
        <v>0</v>
      </c>
      <c r="CE127" s="79" t="n">
        <f aca="false">SUMIFS($T127:$CA127, $T$1:$CA$1, CE$63)</f>
        <v>0</v>
      </c>
      <c r="CF127" s="79" t="n">
        <f aca="false">SUMIFS($T127:$CA127, $T$1:$CA$1, CF$63)</f>
        <v>0</v>
      </c>
      <c r="CG127" s="79" t="n">
        <f aca="false">SUMIFS($T127:$CA127, $T$1:$CA$1, CG$63)</f>
        <v>0</v>
      </c>
      <c r="CI127" s="79" t="n">
        <f aca="false">CC127=L127</f>
        <v>1</v>
      </c>
      <c r="CJ127" s="79" t="n">
        <f aca="false">CD127=M127</f>
        <v>1</v>
      </c>
      <c r="CK127" s="79" t="n">
        <f aca="false">CE127=N127</f>
        <v>1</v>
      </c>
      <c r="CL127" s="79" t="n">
        <f aca="false">CF127=O127</f>
        <v>1</v>
      </c>
      <c r="CM127" s="79" t="n">
        <f aca="false">CG127=P127</f>
        <v>1</v>
      </c>
    </row>
    <row r="128" s="14" customFormat="true" ht="16.5" hidden="false" customHeight="true" outlineLevel="0" collapsed="false">
      <c r="E128" s="96" t="s">
        <v>155</v>
      </c>
      <c r="K128" s="35"/>
      <c r="L128" s="82" t="n">
        <f aca="false">SUM(L126:L127)</f>
        <v>0</v>
      </c>
      <c r="M128" s="82" t="n">
        <f aca="false">SUM(M126:M127)</f>
        <v>0</v>
      </c>
      <c r="N128" s="82" t="n">
        <f aca="false">SUM(N126:N127)</f>
        <v>0</v>
      </c>
      <c r="O128" s="82" t="n">
        <f aca="false">SUM(O126:O127)</f>
        <v>0</v>
      </c>
      <c r="P128" s="82" t="n">
        <f aca="false">SUM(P126:P127)</f>
        <v>0</v>
      </c>
      <c r="Q128" s="16"/>
      <c r="R128" s="16"/>
      <c r="T128" s="82" t="n">
        <f aca="false">SUM(T126:T127)</f>
        <v>0</v>
      </c>
      <c r="U128" s="82" t="n">
        <f aca="false">SUM(U126:U127)</f>
        <v>0</v>
      </c>
      <c r="V128" s="82" t="n">
        <f aca="false">SUM(V126:V127)</f>
        <v>0</v>
      </c>
      <c r="W128" s="82" t="n">
        <f aca="false">SUM(W126:W127)</f>
        <v>0</v>
      </c>
      <c r="X128" s="82" t="n">
        <f aca="false">SUM(X126:X127)</f>
        <v>0</v>
      </c>
      <c r="Y128" s="82" t="n">
        <f aca="false">SUM(Y126:Y127)</f>
        <v>0</v>
      </c>
      <c r="Z128" s="82" t="n">
        <f aca="false">SUM(Z126:Z127)</f>
        <v>0</v>
      </c>
      <c r="AA128" s="82" t="n">
        <f aca="false">SUM(AA126:AA127)</f>
        <v>0</v>
      </c>
      <c r="AB128" s="82" t="n">
        <f aca="false">SUM(AB126:AB127)</f>
        <v>0</v>
      </c>
      <c r="AC128" s="82" t="n">
        <f aca="false">SUM(AC126:AC127)</f>
        <v>0</v>
      </c>
      <c r="AD128" s="82" t="n">
        <f aca="false">SUM(AD126:AD127)</f>
        <v>0</v>
      </c>
      <c r="AE128" s="82" t="n">
        <f aca="false">SUM(AE126:AE127)</f>
        <v>0</v>
      </c>
      <c r="AF128" s="82" t="n">
        <f aca="false">SUM(AF126:AF127)</f>
        <v>0</v>
      </c>
      <c r="AG128" s="82" t="n">
        <f aca="false">SUM(AG126:AG127)</f>
        <v>0</v>
      </c>
      <c r="AH128" s="82" t="n">
        <f aca="false">SUM(AH126:AH127)</f>
        <v>0</v>
      </c>
      <c r="AI128" s="82" t="n">
        <f aca="false">SUM(AI126:AI127)</f>
        <v>0</v>
      </c>
      <c r="AJ128" s="82" t="n">
        <f aca="false">SUM(AJ126:AJ127)</f>
        <v>0</v>
      </c>
      <c r="AK128" s="82" t="n">
        <f aca="false">SUM(AK126:AK127)</f>
        <v>0</v>
      </c>
      <c r="AL128" s="82" t="n">
        <f aca="false">SUM(AL126:AL127)</f>
        <v>0</v>
      </c>
      <c r="AM128" s="82" t="n">
        <f aca="false">SUM(AM126:AM127)</f>
        <v>0</v>
      </c>
      <c r="AN128" s="82" t="n">
        <f aca="false">SUM(AN126:AN127)</f>
        <v>0</v>
      </c>
      <c r="AO128" s="82" t="n">
        <f aca="false">SUM(AO126:AO127)</f>
        <v>0</v>
      </c>
      <c r="AP128" s="82" t="n">
        <f aca="false">SUM(AP126:AP127)</f>
        <v>0</v>
      </c>
      <c r="AQ128" s="82" t="n">
        <f aca="false">SUM(AQ126:AQ127)</f>
        <v>0</v>
      </c>
      <c r="AR128" s="82" t="n">
        <f aca="false">SUM(AR126:AR127)</f>
        <v>0</v>
      </c>
      <c r="AS128" s="82" t="n">
        <f aca="false">SUM(AS126:AS127)</f>
        <v>0</v>
      </c>
      <c r="AT128" s="82" t="n">
        <f aca="false">SUM(AT126:AT127)</f>
        <v>0</v>
      </c>
      <c r="AU128" s="82" t="n">
        <f aca="false">SUM(AU126:AU127)</f>
        <v>0</v>
      </c>
      <c r="AV128" s="82" t="n">
        <f aca="false">SUM(AV126:AV127)</f>
        <v>0</v>
      </c>
      <c r="AW128" s="82" t="n">
        <f aca="false">SUM(AW126:AW127)</f>
        <v>0</v>
      </c>
      <c r="AX128" s="82" t="n">
        <f aca="false">SUM(AX126:AX127)</f>
        <v>0</v>
      </c>
      <c r="AY128" s="82" t="n">
        <f aca="false">SUM(AY126:AY127)</f>
        <v>0</v>
      </c>
      <c r="AZ128" s="82" t="n">
        <f aca="false">SUM(AZ126:AZ127)</f>
        <v>0</v>
      </c>
      <c r="BA128" s="82" t="n">
        <f aca="false">SUM(BA126:BA127)</f>
        <v>0</v>
      </c>
      <c r="BB128" s="82" t="n">
        <f aca="false">SUM(BB126:BB127)</f>
        <v>0</v>
      </c>
      <c r="BC128" s="82" t="n">
        <f aca="false">SUM(BC126:BC127)</f>
        <v>0</v>
      </c>
      <c r="BD128" s="82" t="n">
        <f aca="false">SUM(BD126:BD127)</f>
        <v>0</v>
      </c>
      <c r="BE128" s="82" t="n">
        <f aca="false">SUM(BE126:BE127)</f>
        <v>0</v>
      </c>
      <c r="BF128" s="82" t="n">
        <f aca="false">SUM(BF126:BF127)</f>
        <v>0</v>
      </c>
      <c r="BG128" s="82" t="n">
        <f aca="false">SUM(BG126:BG127)</f>
        <v>0</v>
      </c>
      <c r="BH128" s="82" t="n">
        <f aca="false">SUM(BH126:BH127)</f>
        <v>0</v>
      </c>
      <c r="BI128" s="82" t="n">
        <f aca="false">SUM(BI126:BI127)</f>
        <v>0</v>
      </c>
      <c r="BJ128" s="82" t="n">
        <f aca="false">SUM(BJ126:BJ127)</f>
        <v>0</v>
      </c>
      <c r="BK128" s="82" t="n">
        <f aca="false">SUM(BK126:BK127)</f>
        <v>0</v>
      </c>
      <c r="BL128" s="82" t="n">
        <f aca="false">SUM(BL126:BL127)</f>
        <v>0</v>
      </c>
      <c r="BM128" s="82" t="n">
        <f aca="false">SUM(BM126:BM127)</f>
        <v>0</v>
      </c>
      <c r="BN128" s="82" t="n">
        <f aca="false">SUM(BN126:BN127)</f>
        <v>0</v>
      </c>
      <c r="BO128" s="82" t="n">
        <f aca="false">SUM(BO126:BO127)</f>
        <v>0</v>
      </c>
      <c r="BP128" s="82" t="n">
        <f aca="false">SUM(BP126:BP127)</f>
        <v>0</v>
      </c>
      <c r="BQ128" s="82" t="n">
        <f aca="false">SUM(BQ126:BQ127)</f>
        <v>0</v>
      </c>
      <c r="BR128" s="82" t="n">
        <f aca="false">SUM(BR126:BR127)</f>
        <v>0</v>
      </c>
      <c r="BS128" s="82" t="n">
        <f aca="false">SUM(BS126:BS127)</f>
        <v>0</v>
      </c>
      <c r="BT128" s="82" t="n">
        <f aca="false">SUM(BT126:BT127)</f>
        <v>0</v>
      </c>
      <c r="BU128" s="82" t="n">
        <f aca="false">SUM(BU126:BU127)</f>
        <v>0</v>
      </c>
      <c r="BV128" s="82" t="n">
        <f aca="false">SUM(BV126:BV127)</f>
        <v>0</v>
      </c>
      <c r="BW128" s="82" t="n">
        <f aca="false">SUM(BW126:BW127)</f>
        <v>0</v>
      </c>
      <c r="BX128" s="82" t="n">
        <f aca="false">SUM(BX126:BX127)</f>
        <v>0</v>
      </c>
      <c r="BY128" s="82" t="n">
        <f aca="false">SUM(BY126:BY127)</f>
        <v>0</v>
      </c>
      <c r="BZ128" s="82" t="n">
        <f aca="false">SUM(BZ126:BZ127)</f>
        <v>0</v>
      </c>
      <c r="CA128" s="82" t="n">
        <f aca="false">SUM(CA126:CA127)</f>
        <v>0</v>
      </c>
      <c r="CC128" s="131" t="n">
        <f aca="false">SUM(CC126:CC127)</f>
        <v>0</v>
      </c>
      <c r="CD128" s="131" t="n">
        <f aca="false">SUM(CD126:CD127)</f>
        <v>0</v>
      </c>
      <c r="CE128" s="131" t="n">
        <f aca="false">SUM(CE126:CE127)</f>
        <v>0</v>
      </c>
      <c r="CF128" s="131" t="n">
        <f aca="false">SUM(CF126:CF127)</f>
        <v>0</v>
      </c>
      <c r="CG128" s="131" t="n">
        <f aca="false">SUM(CG126:CG127)</f>
        <v>0</v>
      </c>
      <c r="CI128" s="131" t="n">
        <f aca="false">CC128=L128</f>
        <v>1</v>
      </c>
      <c r="CJ128" s="131" t="n">
        <f aca="false">CD128=M128</f>
        <v>1</v>
      </c>
      <c r="CK128" s="131" t="n">
        <f aca="false">CE128=N128</f>
        <v>1</v>
      </c>
      <c r="CL128" s="131" t="n">
        <f aca="false">CF128=O128</f>
        <v>1</v>
      </c>
      <c r="CM128" s="131" t="n">
        <f aca="false">CG128=P128</f>
        <v>1</v>
      </c>
    </row>
    <row r="129" s="14" customFormat="true" ht="16.5" hidden="false" customHeight="true" outlineLevel="0" collapsed="false">
      <c r="E129" s="96"/>
      <c r="K129" s="35"/>
      <c r="L129" s="82"/>
      <c r="M129" s="82"/>
      <c r="N129" s="82"/>
      <c r="O129" s="82"/>
      <c r="P129" s="82"/>
      <c r="Q129" s="16"/>
      <c r="R129" s="16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  <c r="AG129" s="82"/>
      <c r="AH129" s="82"/>
      <c r="AI129" s="82"/>
      <c r="AJ129" s="82"/>
      <c r="AK129" s="82"/>
      <c r="AL129" s="82"/>
      <c r="AM129" s="82"/>
      <c r="AN129" s="82"/>
      <c r="AO129" s="82"/>
      <c r="AP129" s="82"/>
      <c r="AQ129" s="82"/>
      <c r="AR129" s="82"/>
      <c r="AS129" s="82"/>
      <c r="AT129" s="82"/>
      <c r="AU129" s="82"/>
      <c r="AV129" s="82"/>
      <c r="AW129" s="82"/>
      <c r="AX129" s="82"/>
      <c r="AY129" s="82"/>
      <c r="AZ129" s="82"/>
      <c r="BA129" s="82"/>
      <c r="BB129" s="82"/>
      <c r="BC129" s="82"/>
      <c r="BD129" s="82"/>
      <c r="BE129" s="82"/>
      <c r="BF129" s="82"/>
      <c r="BG129" s="82"/>
      <c r="BH129" s="82"/>
      <c r="BI129" s="82"/>
      <c r="BJ129" s="82"/>
      <c r="BK129" s="82"/>
      <c r="BL129" s="82"/>
      <c r="BM129" s="82"/>
      <c r="BN129" s="82"/>
      <c r="BO129" s="82"/>
      <c r="BP129" s="82"/>
      <c r="BQ129" s="82"/>
      <c r="BR129" s="82"/>
      <c r="BS129" s="82"/>
      <c r="BT129" s="82"/>
      <c r="BU129" s="82"/>
      <c r="BV129" s="82"/>
      <c r="BW129" s="82"/>
      <c r="BX129" s="82"/>
      <c r="BY129" s="82"/>
      <c r="BZ129" s="82"/>
      <c r="CA129" s="82"/>
    </row>
    <row r="130" s="14" customFormat="true" ht="16.5" hidden="false" customHeight="true" outlineLevel="0" collapsed="false">
      <c r="E130" s="109" t="s">
        <v>156</v>
      </c>
      <c r="F130" s="109"/>
      <c r="G130" s="109"/>
      <c r="H130" s="109"/>
      <c r="I130" s="132"/>
      <c r="J130" s="132"/>
      <c r="K130" s="224"/>
      <c r="L130" s="120" t="n">
        <f aca="false">L128</f>
        <v>0</v>
      </c>
      <c r="M130" s="120" t="n">
        <f aca="false">M128</f>
        <v>0</v>
      </c>
      <c r="N130" s="120" t="n">
        <f aca="false">N128</f>
        <v>0</v>
      </c>
      <c r="O130" s="120" t="n">
        <f aca="false">O128</f>
        <v>0</v>
      </c>
      <c r="P130" s="120" t="n">
        <f aca="false">P128</f>
        <v>0</v>
      </c>
      <c r="Q130" s="16"/>
      <c r="R130" s="16"/>
      <c r="T130" s="120" t="n">
        <f aca="false">T128</f>
        <v>0</v>
      </c>
      <c r="U130" s="120" t="n">
        <f aca="false">U128</f>
        <v>0</v>
      </c>
      <c r="V130" s="120" t="n">
        <f aca="false">V128</f>
        <v>0</v>
      </c>
      <c r="W130" s="120" t="n">
        <f aca="false">W128</f>
        <v>0</v>
      </c>
      <c r="X130" s="120" t="n">
        <f aca="false">X128</f>
        <v>0</v>
      </c>
      <c r="Y130" s="120" t="n">
        <f aca="false">Y128</f>
        <v>0</v>
      </c>
      <c r="Z130" s="120" t="n">
        <f aca="false">Z128</f>
        <v>0</v>
      </c>
      <c r="AA130" s="120" t="n">
        <f aca="false">AA128</f>
        <v>0</v>
      </c>
      <c r="AB130" s="120" t="n">
        <f aca="false">AB128</f>
        <v>0</v>
      </c>
      <c r="AC130" s="120" t="n">
        <f aca="false">AC128</f>
        <v>0</v>
      </c>
      <c r="AD130" s="120" t="n">
        <f aca="false">AD128</f>
        <v>0</v>
      </c>
      <c r="AE130" s="120" t="n">
        <f aca="false">AE128</f>
        <v>0</v>
      </c>
      <c r="AF130" s="120" t="n">
        <f aca="false">AF128</f>
        <v>0</v>
      </c>
      <c r="AG130" s="120" t="n">
        <f aca="false">AG128</f>
        <v>0</v>
      </c>
      <c r="AH130" s="120" t="n">
        <f aca="false">AH128</f>
        <v>0</v>
      </c>
      <c r="AI130" s="120" t="n">
        <f aca="false">AI128</f>
        <v>0</v>
      </c>
      <c r="AJ130" s="120" t="n">
        <f aca="false">AJ128</f>
        <v>0</v>
      </c>
      <c r="AK130" s="120" t="n">
        <f aca="false">AK128</f>
        <v>0</v>
      </c>
      <c r="AL130" s="120" t="n">
        <f aca="false">AL128</f>
        <v>0</v>
      </c>
      <c r="AM130" s="120" t="n">
        <f aca="false">AM128</f>
        <v>0</v>
      </c>
      <c r="AN130" s="120" t="n">
        <f aca="false">AN128</f>
        <v>0</v>
      </c>
      <c r="AO130" s="120" t="n">
        <f aca="false">AO128</f>
        <v>0</v>
      </c>
      <c r="AP130" s="120" t="n">
        <f aca="false">AP128</f>
        <v>0</v>
      </c>
      <c r="AQ130" s="120" t="n">
        <f aca="false">AQ128</f>
        <v>0</v>
      </c>
      <c r="AR130" s="120" t="n">
        <f aca="false">AR128</f>
        <v>0</v>
      </c>
      <c r="AS130" s="120" t="n">
        <f aca="false">AS128</f>
        <v>0</v>
      </c>
      <c r="AT130" s="120" t="n">
        <f aca="false">AT128</f>
        <v>0</v>
      </c>
      <c r="AU130" s="120" t="n">
        <f aca="false">AU128</f>
        <v>0</v>
      </c>
      <c r="AV130" s="120" t="n">
        <f aca="false">AV128</f>
        <v>0</v>
      </c>
      <c r="AW130" s="120" t="n">
        <f aca="false">AW128</f>
        <v>0</v>
      </c>
      <c r="AX130" s="120" t="n">
        <f aca="false">AX128</f>
        <v>0</v>
      </c>
      <c r="AY130" s="120" t="n">
        <f aca="false">AY128</f>
        <v>0</v>
      </c>
      <c r="AZ130" s="120" t="n">
        <f aca="false">AZ128</f>
        <v>0</v>
      </c>
      <c r="BA130" s="120" t="n">
        <f aca="false">BA128</f>
        <v>0</v>
      </c>
      <c r="BB130" s="120" t="n">
        <f aca="false">BB128</f>
        <v>0</v>
      </c>
      <c r="BC130" s="120" t="n">
        <f aca="false">BC128</f>
        <v>0</v>
      </c>
      <c r="BD130" s="120" t="n">
        <f aca="false">BD128</f>
        <v>0</v>
      </c>
      <c r="BE130" s="120" t="n">
        <f aca="false">BE128</f>
        <v>0</v>
      </c>
      <c r="BF130" s="120" t="n">
        <f aca="false">BF128</f>
        <v>0</v>
      </c>
      <c r="BG130" s="120" t="n">
        <f aca="false">BG128</f>
        <v>0</v>
      </c>
      <c r="BH130" s="120" t="n">
        <f aca="false">BH128</f>
        <v>0</v>
      </c>
      <c r="BI130" s="120" t="n">
        <f aca="false">BI128</f>
        <v>0</v>
      </c>
      <c r="BJ130" s="120" t="n">
        <f aca="false">BJ128</f>
        <v>0</v>
      </c>
      <c r="BK130" s="120" t="n">
        <f aca="false">BK128</f>
        <v>0</v>
      </c>
      <c r="BL130" s="120" t="n">
        <f aca="false">BL128</f>
        <v>0</v>
      </c>
      <c r="BM130" s="120" t="n">
        <f aca="false">BM128</f>
        <v>0</v>
      </c>
      <c r="BN130" s="120" t="n">
        <f aca="false">BN128</f>
        <v>0</v>
      </c>
      <c r="BO130" s="120" t="n">
        <f aca="false">BO128</f>
        <v>0</v>
      </c>
      <c r="BP130" s="120" t="n">
        <f aca="false">BP128</f>
        <v>0</v>
      </c>
      <c r="BQ130" s="120" t="n">
        <f aca="false">BQ128</f>
        <v>0</v>
      </c>
      <c r="BR130" s="120" t="n">
        <f aca="false">BR128</f>
        <v>0</v>
      </c>
      <c r="BS130" s="120" t="n">
        <f aca="false">BS128</f>
        <v>0</v>
      </c>
      <c r="BT130" s="120" t="n">
        <f aca="false">BT128</f>
        <v>0</v>
      </c>
      <c r="BU130" s="120" t="n">
        <f aca="false">BU128</f>
        <v>0</v>
      </c>
      <c r="BV130" s="120" t="n">
        <f aca="false">BV128</f>
        <v>0</v>
      </c>
      <c r="BW130" s="120" t="n">
        <f aca="false">BW128</f>
        <v>0</v>
      </c>
      <c r="BX130" s="120" t="n">
        <f aca="false">BX128</f>
        <v>0</v>
      </c>
      <c r="BY130" s="120" t="n">
        <f aca="false">BY128</f>
        <v>0</v>
      </c>
      <c r="BZ130" s="120" t="n">
        <f aca="false">BZ128</f>
        <v>0</v>
      </c>
      <c r="CA130" s="120" t="n">
        <f aca="false">CA128</f>
        <v>0</v>
      </c>
      <c r="CC130" s="132" t="n">
        <f aca="false">CC128</f>
        <v>0</v>
      </c>
      <c r="CD130" s="132" t="n">
        <f aca="false">CD128</f>
        <v>0</v>
      </c>
      <c r="CE130" s="132" t="n">
        <f aca="false">CE128</f>
        <v>0</v>
      </c>
      <c r="CF130" s="132" t="n">
        <f aca="false">CF128</f>
        <v>0</v>
      </c>
      <c r="CG130" s="132" t="n">
        <f aca="false">CG128</f>
        <v>0</v>
      </c>
      <c r="CI130" s="133" t="n">
        <f aca="false">CI128</f>
        <v>1</v>
      </c>
      <c r="CJ130" s="133" t="n">
        <f aca="false">CJ128</f>
        <v>1</v>
      </c>
      <c r="CK130" s="133" t="n">
        <f aca="false">CK128</f>
        <v>1</v>
      </c>
      <c r="CL130" s="133" t="n">
        <f aca="false">CL128</f>
        <v>1</v>
      </c>
      <c r="CM130" s="133" t="n">
        <f aca="false">CM128</f>
        <v>1</v>
      </c>
    </row>
    <row r="131" s="14" customFormat="true" ht="16.5" hidden="false" customHeight="true" outlineLevel="0" collapsed="false">
      <c r="K131" s="35"/>
    </row>
    <row r="132" s="14" customFormat="true" ht="16.5" hidden="false" customHeight="true" outlineLevel="0" collapsed="false">
      <c r="E132" s="85"/>
      <c r="K132" s="35"/>
      <c r="Q132" s="16"/>
      <c r="R132" s="16"/>
      <c r="T132" s="62" t="n">
        <v>2026</v>
      </c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62" t="n">
        <v>2027</v>
      </c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62" t="n">
        <v>2028</v>
      </c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62" t="n">
        <v>2029</v>
      </c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62" t="n">
        <v>2030</v>
      </c>
      <c r="BQ132" s="130"/>
      <c r="BR132" s="130"/>
      <c r="BS132" s="130"/>
      <c r="BT132" s="130"/>
      <c r="BU132" s="130"/>
      <c r="BV132" s="130"/>
      <c r="BW132" s="130"/>
      <c r="BX132" s="130"/>
      <c r="BY132" s="130"/>
      <c r="BZ132" s="130"/>
      <c r="CA132" s="130"/>
    </row>
    <row r="133" s="14" customFormat="true" ht="16.5" hidden="false" customHeight="true" outlineLevel="0" collapsed="false">
      <c r="D133" s="30" t="s">
        <v>157</v>
      </c>
      <c r="E133" s="31"/>
      <c r="F133" s="31"/>
      <c r="G133" s="31"/>
      <c r="H133" s="31"/>
      <c r="I133" s="31"/>
      <c r="J133" s="31"/>
      <c r="K133" s="30" t="s">
        <v>130</v>
      </c>
      <c r="L133" s="31" t="n">
        <v>2026</v>
      </c>
      <c r="M133" s="31" t="n">
        <f aca="false">L133+1</f>
        <v>2027</v>
      </c>
      <c r="N133" s="31" t="n">
        <f aca="false">M133+1</f>
        <v>2028</v>
      </c>
      <c r="O133" s="31" t="n">
        <f aca="false">N133+1</f>
        <v>2029</v>
      </c>
      <c r="P133" s="31" t="n">
        <f aca="false">O133+1</f>
        <v>2030</v>
      </c>
      <c r="Q133" s="16"/>
      <c r="R133" s="16"/>
      <c r="T133" s="59" t="n">
        <v>46023</v>
      </c>
      <c r="U133" s="60" t="n">
        <f aca="false">EOMONTH(T133, 1)</f>
        <v>46081</v>
      </c>
      <c r="V133" s="60" t="n">
        <f aca="false">EOMONTH(U133, 1)</f>
        <v>46112</v>
      </c>
      <c r="W133" s="60" t="n">
        <f aca="false">EOMONTH(V133, 1)</f>
        <v>46142</v>
      </c>
      <c r="X133" s="60" t="n">
        <f aca="false">EOMONTH(W133, 1)</f>
        <v>46173</v>
      </c>
      <c r="Y133" s="60" t="n">
        <f aca="false">EOMONTH(X133, 1)</f>
        <v>46203</v>
      </c>
      <c r="Z133" s="60" t="n">
        <f aca="false">EOMONTH(Y133, 1)</f>
        <v>46234</v>
      </c>
      <c r="AA133" s="60" t="n">
        <f aca="false">EOMONTH(Z133, 1)</f>
        <v>46265</v>
      </c>
      <c r="AB133" s="60" t="n">
        <f aca="false">EOMONTH(AA133, 1)</f>
        <v>46295</v>
      </c>
      <c r="AC133" s="60" t="n">
        <f aca="false">EOMONTH(AB133, 1)</f>
        <v>46326</v>
      </c>
      <c r="AD133" s="60" t="n">
        <f aca="false">EOMONTH(AC133, 1)</f>
        <v>46356</v>
      </c>
      <c r="AE133" s="61" t="n">
        <f aca="false">EOMONTH(AD133, 1)</f>
        <v>46387</v>
      </c>
      <c r="AF133" s="59" t="n">
        <f aca="false">EOMONTH(AE133, 1)</f>
        <v>46418</v>
      </c>
      <c r="AG133" s="60" t="n">
        <f aca="false">EOMONTH(AF133, 1)</f>
        <v>46446</v>
      </c>
      <c r="AH133" s="60" t="n">
        <f aca="false">EOMONTH(AG133, 1)</f>
        <v>46477</v>
      </c>
      <c r="AI133" s="60" t="n">
        <f aca="false">EOMONTH(AH133, 1)</f>
        <v>46507</v>
      </c>
      <c r="AJ133" s="60" t="n">
        <f aca="false">EOMONTH(AI133, 1)</f>
        <v>46538</v>
      </c>
      <c r="AK133" s="60" t="n">
        <f aca="false">EOMONTH(AJ133, 1)</f>
        <v>46568</v>
      </c>
      <c r="AL133" s="60" t="n">
        <f aca="false">EOMONTH(AK133, 1)</f>
        <v>46599</v>
      </c>
      <c r="AM133" s="60" t="n">
        <f aca="false">EOMONTH(AL133, 1)</f>
        <v>46630</v>
      </c>
      <c r="AN133" s="60" t="n">
        <f aca="false">EOMONTH(AM133, 1)</f>
        <v>46660</v>
      </c>
      <c r="AO133" s="60" t="n">
        <f aca="false">EOMONTH(AN133, 1)</f>
        <v>46691</v>
      </c>
      <c r="AP133" s="60" t="n">
        <f aca="false">EOMONTH(AO133, 1)</f>
        <v>46721</v>
      </c>
      <c r="AQ133" s="61" t="n">
        <f aca="false">EOMONTH(AP133, 1)</f>
        <v>46752</v>
      </c>
      <c r="AR133" s="59" t="n">
        <f aca="false">EOMONTH(AQ133, 1)</f>
        <v>46783</v>
      </c>
      <c r="AS133" s="60" t="n">
        <f aca="false">EOMONTH(AR133, 1)</f>
        <v>46812</v>
      </c>
      <c r="AT133" s="60" t="n">
        <f aca="false">EOMONTH(AS133, 1)</f>
        <v>46843</v>
      </c>
      <c r="AU133" s="60" t="n">
        <f aca="false">EOMONTH(AT133, 1)</f>
        <v>46873</v>
      </c>
      <c r="AV133" s="60" t="n">
        <f aca="false">EOMONTH(AU133, 1)</f>
        <v>46904</v>
      </c>
      <c r="AW133" s="60" t="n">
        <f aca="false">EOMONTH(AV133, 1)</f>
        <v>46934</v>
      </c>
      <c r="AX133" s="60" t="n">
        <f aca="false">EOMONTH(AW133, 1)</f>
        <v>46965</v>
      </c>
      <c r="AY133" s="60" t="n">
        <f aca="false">EOMONTH(AX133, 1)</f>
        <v>46996</v>
      </c>
      <c r="AZ133" s="60" t="n">
        <f aca="false">EOMONTH(AY133, 1)</f>
        <v>47026</v>
      </c>
      <c r="BA133" s="60" t="n">
        <f aca="false">EOMONTH(AZ133, 1)</f>
        <v>47057</v>
      </c>
      <c r="BB133" s="60" t="n">
        <f aca="false">EOMONTH(BA133, 1)</f>
        <v>47087</v>
      </c>
      <c r="BC133" s="61" t="n">
        <f aca="false">EOMONTH(BB133, 1)</f>
        <v>47118</v>
      </c>
      <c r="BD133" s="59" t="n">
        <f aca="false">EOMONTH(BC133, 1)</f>
        <v>47149</v>
      </c>
      <c r="BE133" s="60" t="n">
        <f aca="false">EOMONTH(BD133, 1)</f>
        <v>47177</v>
      </c>
      <c r="BF133" s="60" t="n">
        <f aca="false">EOMONTH(BE133, 1)</f>
        <v>47208</v>
      </c>
      <c r="BG133" s="60" t="n">
        <f aca="false">EOMONTH(BF133, 1)</f>
        <v>47238</v>
      </c>
      <c r="BH133" s="60" t="n">
        <f aca="false">EOMONTH(BG133, 1)</f>
        <v>47269</v>
      </c>
      <c r="BI133" s="60" t="n">
        <f aca="false">EOMONTH(BH133, 1)</f>
        <v>47299</v>
      </c>
      <c r="BJ133" s="60" t="n">
        <f aca="false">EOMONTH(BI133, 1)</f>
        <v>47330</v>
      </c>
      <c r="BK133" s="60" t="n">
        <f aca="false">EOMONTH(BJ133, 1)</f>
        <v>47361</v>
      </c>
      <c r="BL133" s="60" t="n">
        <f aca="false">EOMONTH(BK133, 1)</f>
        <v>47391</v>
      </c>
      <c r="BM133" s="60" t="n">
        <f aca="false">EOMONTH(BL133, 1)</f>
        <v>47422</v>
      </c>
      <c r="BN133" s="60" t="n">
        <f aca="false">EOMONTH(BM133, 1)</f>
        <v>47452</v>
      </c>
      <c r="BO133" s="61" t="n">
        <f aca="false">EOMONTH(BN133, 1)</f>
        <v>47483</v>
      </c>
      <c r="BP133" s="59" t="n">
        <f aca="false">EOMONTH(BO133, 1)</f>
        <v>47514</v>
      </c>
      <c r="BQ133" s="60" t="n">
        <f aca="false">EOMONTH(BP133, 1)</f>
        <v>47542</v>
      </c>
      <c r="BR133" s="60" t="n">
        <f aca="false">EOMONTH(BQ133, 1)</f>
        <v>47573</v>
      </c>
      <c r="BS133" s="60" t="n">
        <f aca="false">EOMONTH(BR133, 1)</f>
        <v>47603</v>
      </c>
      <c r="BT133" s="60" t="n">
        <f aca="false">EOMONTH(BS133, 1)</f>
        <v>47634</v>
      </c>
      <c r="BU133" s="60" t="n">
        <f aca="false">EOMONTH(BT133, 1)</f>
        <v>47664</v>
      </c>
      <c r="BV133" s="60" t="n">
        <f aca="false">EOMONTH(BU133, 1)</f>
        <v>47695</v>
      </c>
      <c r="BW133" s="60" t="n">
        <f aca="false">EOMONTH(BV133, 1)</f>
        <v>47726</v>
      </c>
      <c r="BX133" s="60" t="n">
        <f aca="false">EOMONTH(BW133, 1)</f>
        <v>47756</v>
      </c>
      <c r="BY133" s="60" t="n">
        <f aca="false">EOMONTH(BX133, 1)</f>
        <v>47787</v>
      </c>
      <c r="BZ133" s="60" t="n">
        <f aca="false">EOMONTH(BY133, 1)</f>
        <v>47817</v>
      </c>
      <c r="CA133" s="60" t="n">
        <f aca="false">EOMONTH(BZ133, 1)</f>
        <v>47848</v>
      </c>
      <c r="CC133" s="62" t="n">
        <v>2026</v>
      </c>
      <c r="CD133" s="62" t="n">
        <f aca="false">CC133+1</f>
        <v>2027</v>
      </c>
      <c r="CE133" s="62" t="n">
        <f aca="false">CD133+1</f>
        <v>2028</v>
      </c>
      <c r="CF133" s="62" t="n">
        <f aca="false">CE133+1</f>
        <v>2029</v>
      </c>
      <c r="CG133" s="62" t="n">
        <f aca="false">CF133+1</f>
        <v>2030</v>
      </c>
      <c r="CI133" s="62" t="n">
        <v>2026</v>
      </c>
      <c r="CJ133" s="62" t="n">
        <f aca="false">CI133+1</f>
        <v>2027</v>
      </c>
      <c r="CK133" s="62" t="n">
        <f aca="false">CJ133+1</f>
        <v>2028</v>
      </c>
      <c r="CL133" s="62" t="n">
        <f aca="false">CK133+1</f>
        <v>2029</v>
      </c>
      <c r="CM133" s="62" t="n">
        <f aca="false">CL133+1</f>
        <v>2030</v>
      </c>
    </row>
    <row r="134" s="14" customFormat="true" ht="16.5" hidden="false" customHeight="true" outlineLevel="0" collapsed="false">
      <c r="F134" s="21"/>
      <c r="G134" s="21"/>
      <c r="Q134" s="16"/>
      <c r="R134" s="16"/>
    </row>
    <row r="135" s="14" customFormat="true" ht="16.5" hidden="false" customHeight="true" outlineLevel="0" collapsed="false">
      <c r="E135" s="21" t="s">
        <v>158</v>
      </c>
      <c r="Q135" s="16"/>
      <c r="R135" s="16"/>
    </row>
    <row r="136" s="14" customFormat="true" ht="16.5" hidden="false" customHeight="true" outlineLevel="0" collapsed="false">
      <c r="D136" s="134"/>
      <c r="E136" s="91"/>
      <c r="L136" s="91"/>
      <c r="M136" s="91"/>
      <c r="N136" s="91"/>
      <c r="O136" s="91"/>
      <c r="P136" s="91"/>
      <c r="Q136" s="93"/>
      <c r="R136" s="16"/>
      <c r="T136" s="135"/>
      <c r="U136" s="135"/>
      <c r="V136" s="135"/>
      <c r="W136" s="135"/>
      <c r="X136" s="135"/>
      <c r="Y136" s="135"/>
      <c r="Z136" s="135"/>
      <c r="AA136" s="135"/>
      <c r="AB136" s="135"/>
      <c r="AC136" s="135"/>
      <c r="AD136" s="135"/>
      <c r="AE136" s="135"/>
      <c r="AF136" s="135"/>
      <c r="AG136" s="135"/>
      <c r="AH136" s="135"/>
      <c r="AI136" s="135"/>
      <c r="AJ136" s="135"/>
      <c r="AK136" s="135"/>
      <c r="AL136" s="135"/>
      <c r="AM136" s="135"/>
      <c r="AN136" s="135"/>
      <c r="AO136" s="135"/>
      <c r="AP136" s="135"/>
      <c r="AQ136" s="135"/>
      <c r="AR136" s="135"/>
      <c r="AS136" s="135"/>
      <c r="AT136" s="135"/>
      <c r="AU136" s="135"/>
      <c r="AV136" s="135"/>
      <c r="AW136" s="135"/>
      <c r="AX136" s="135"/>
      <c r="AY136" s="135"/>
      <c r="AZ136" s="135"/>
      <c r="BA136" s="135"/>
      <c r="BB136" s="135"/>
      <c r="BC136" s="135"/>
      <c r="BD136" s="135"/>
      <c r="BE136" s="135"/>
      <c r="BF136" s="135"/>
      <c r="BG136" s="135"/>
      <c r="BH136" s="135"/>
      <c r="BI136" s="135"/>
      <c r="BJ136" s="135"/>
      <c r="BK136" s="135"/>
      <c r="BL136" s="135"/>
      <c r="BM136" s="135"/>
      <c r="BN136" s="135"/>
      <c r="BO136" s="135"/>
      <c r="BP136" s="135"/>
      <c r="BQ136" s="135"/>
      <c r="BR136" s="135"/>
      <c r="BS136" s="135"/>
      <c r="BT136" s="135"/>
      <c r="BU136" s="135"/>
      <c r="BV136" s="135"/>
      <c r="BW136" s="135"/>
      <c r="BX136" s="135"/>
      <c r="BY136" s="135"/>
      <c r="BZ136" s="119"/>
      <c r="CA136" s="119"/>
      <c r="CC136" s="79" t="n">
        <f aca="false">SUMIFS($T136:$CA136, $T$1:$CA$1, CC$63)</f>
        <v>0</v>
      </c>
      <c r="CD136" s="79" t="n">
        <f aca="false">SUMIFS($T136:$CA136, $T$1:$CA$1, CD$63)</f>
        <v>0</v>
      </c>
      <c r="CE136" s="79" t="n">
        <f aca="false">SUMIFS($T136:$CA136, $T$1:$CA$1, CE$63)</f>
        <v>0</v>
      </c>
      <c r="CF136" s="79" t="n">
        <f aca="false">SUMIFS($T136:$CA136, $T$1:$CA$1, CF$63)</f>
        <v>0</v>
      </c>
      <c r="CG136" s="79" t="n">
        <f aca="false">SUMIFS($T136:$CA136, $T$1:$CA$1, CG$63)</f>
        <v>0</v>
      </c>
      <c r="CI136" s="79" t="n">
        <f aca="false">CC136=L136</f>
        <v>1</v>
      </c>
      <c r="CJ136" s="79" t="n">
        <f aca="false">CD136=M136</f>
        <v>1</v>
      </c>
      <c r="CK136" s="79" t="n">
        <f aca="false">CE136=N136</f>
        <v>1</v>
      </c>
      <c r="CL136" s="79" t="n">
        <f aca="false">CF136=O136</f>
        <v>1</v>
      </c>
      <c r="CM136" s="79" t="n">
        <f aca="false">CG136=P136</f>
        <v>1</v>
      </c>
    </row>
    <row r="137" s="14" customFormat="true" ht="16.5" hidden="false" customHeight="true" outlineLevel="0" collapsed="false">
      <c r="D137" s="134"/>
      <c r="E137" s="91"/>
      <c r="L137" s="91"/>
      <c r="M137" s="91"/>
      <c r="N137" s="91"/>
      <c r="O137" s="91"/>
      <c r="P137" s="91"/>
      <c r="Q137" s="93"/>
      <c r="R137" s="16"/>
      <c r="T137" s="135"/>
      <c r="U137" s="135"/>
      <c r="V137" s="135"/>
      <c r="W137" s="135"/>
      <c r="X137" s="135"/>
      <c r="Y137" s="135"/>
      <c r="Z137" s="135"/>
      <c r="AA137" s="135"/>
      <c r="AB137" s="135"/>
      <c r="AC137" s="135"/>
      <c r="AD137" s="135"/>
      <c r="AE137" s="135"/>
      <c r="AF137" s="135"/>
      <c r="AG137" s="135"/>
      <c r="AH137" s="135"/>
      <c r="AI137" s="135"/>
      <c r="AJ137" s="135"/>
      <c r="AK137" s="135"/>
      <c r="AL137" s="135"/>
      <c r="AM137" s="135"/>
      <c r="AN137" s="135"/>
      <c r="AO137" s="135"/>
      <c r="AP137" s="135"/>
      <c r="AQ137" s="135"/>
      <c r="AR137" s="135"/>
      <c r="AS137" s="135"/>
      <c r="AT137" s="135"/>
      <c r="AU137" s="135"/>
      <c r="AV137" s="135"/>
      <c r="AW137" s="135"/>
      <c r="AX137" s="135"/>
      <c r="AY137" s="135"/>
      <c r="AZ137" s="135"/>
      <c r="BA137" s="135"/>
      <c r="BB137" s="135"/>
      <c r="BC137" s="135"/>
      <c r="BD137" s="135"/>
      <c r="BE137" s="135"/>
      <c r="BF137" s="135"/>
      <c r="BG137" s="135"/>
      <c r="BH137" s="135"/>
      <c r="BI137" s="135"/>
      <c r="BJ137" s="135"/>
      <c r="BK137" s="135"/>
      <c r="BL137" s="135"/>
      <c r="BM137" s="135"/>
      <c r="BN137" s="135"/>
      <c r="BO137" s="135"/>
      <c r="BP137" s="135"/>
      <c r="BQ137" s="135"/>
      <c r="BR137" s="135"/>
      <c r="BS137" s="135"/>
      <c r="BT137" s="135"/>
      <c r="BU137" s="135"/>
      <c r="BV137" s="135"/>
      <c r="BW137" s="135"/>
      <c r="BX137" s="135"/>
      <c r="BY137" s="135"/>
      <c r="BZ137" s="119"/>
      <c r="CA137" s="119"/>
      <c r="CC137" s="79" t="n">
        <f aca="false">SUMIFS($T137:$CA137, $T$1:$CA$1, CC$63)</f>
        <v>0</v>
      </c>
      <c r="CD137" s="79" t="n">
        <f aca="false">SUMIFS($T137:$CA137, $T$1:$CA$1, CD$63)</f>
        <v>0</v>
      </c>
      <c r="CE137" s="79" t="n">
        <f aca="false">SUMIFS($T137:$CA137, $T$1:$CA$1, CE$63)</f>
        <v>0</v>
      </c>
      <c r="CF137" s="79" t="n">
        <f aca="false">SUMIFS($T137:$CA137, $T$1:$CA$1, CF$63)</f>
        <v>0</v>
      </c>
      <c r="CG137" s="79" t="n">
        <f aca="false">SUMIFS($T137:$CA137, $T$1:$CA$1, CG$63)</f>
        <v>0</v>
      </c>
      <c r="CI137" s="79" t="n">
        <f aca="false">CC137=L137</f>
        <v>1</v>
      </c>
      <c r="CJ137" s="79" t="n">
        <f aca="false">CD137=M137</f>
        <v>1</v>
      </c>
      <c r="CK137" s="79" t="n">
        <f aca="false">CE137=N137</f>
        <v>1</v>
      </c>
      <c r="CL137" s="79" t="n">
        <f aca="false">CF137=O137</f>
        <v>1</v>
      </c>
      <c r="CM137" s="79" t="n">
        <f aca="false">CG137=P137</f>
        <v>1</v>
      </c>
    </row>
    <row r="138" s="14" customFormat="true" ht="16.5" hidden="false" customHeight="true" outlineLevel="0" collapsed="false">
      <c r="E138" s="96" t="s">
        <v>160</v>
      </c>
      <c r="L138" s="82" t="n">
        <f aca="false">SUM(L136:L137)</f>
        <v>0</v>
      </c>
      <c r="M138" s="82" t="n">
        <f aca="false">SUM(M136:M137)</f>
        <v>0</v>
      </c>
      <c r="N138" s="82" t="n">
        <f aca="false">SUM(N136:N137)</f>
        <v>0</v>
      </c>
      <c r="O138" s="82" t="n">
        <f aca="false">SUM(O136:O137)</f>
        <v>0</v>
      </c>
      <c r="P138" s="82" t="n">
        <f aca="false">SUM(P136:P137)</f>
        <v>0</v>
      </c>
      <c r="Q138" s="16"/>
      <c r="R138" s="16"/>
      <c r="T138" s="131" t="n">
        <f aca="false">SUM(T136:T137)</f>
        <v>0</v>
      </c>
      <c r="U138" s="131" t="n">
        <f aca="false">SUM(U136:U137)</f>
        <v>0</v>
      </c>
      <c r="V138" s="131" t="n">
        <f aca="false">SUM(V136:V137)</f>
        <v>0</v>
      </c>
      <c r="W138" s="131" t="n">
        <f aca="false">SUM(W136:W137)</f>
        <v>0</v>
      </c>
      <c r="X138" s="131" t="n">
        <f aca="false">SUM(X136:X137)</f>
        <v>0</v>
      </c>
      <c r="Y138" s="131" t="n">
        <f aca="false">SUM(Y136:Y137)</f>
        <v>0</v>
      </c>
      <c r="Z138" s="131" t="n">
        <f aca="false">SUM(Z136:Z137)</f>
        <v>0</v>
      </c>
      <c r="AA138" s="131" t="n">
        <f aca="false">SUM(AA136:AA137)</f>
        <v>0</v>
      </c>
      <c r="AB138" s="131" t="n">
        <f aca="false">SUM(AB136:AB137)</f>
        <v>0</v>
      </c>
      <c r="AC138" s="131" t="n">
        <f aca="false">SUM(AC136:AC137)</f>
        <v>0</v>
      </c>
      <c r="AD138" s="131" t="n">
        <f aca="false">SUM(AD136:AD137)</f>
        <v>0</v>
      </c>
      <c r="AE138" s="131" t="n">
        <f aca="false">SUM(AE136:AE137)</f>
        <v>0</v>
      </c>
      <c r="AF138" s="131" t="n">
        <f aca="false">SUM(AF136:AF137)</f>
        <v>0</v>
      </c>
      <c r="AG138" s="131" t="n">
        <f aca="false">SUM(AG136:AG137)</f>
        <v>0</v>
      </c>
      <c r="AH138" s="131" t="n">
        <f aca="false">SUM(AH136:AH137)</f>
        <v>0</v>
      </c>
      <c r="AI138" s="131" t="n">
        <f aca="false">SUM(AI136:AI137)</f>
        <v>0</v>
      </c>
      <c r="AJ138" s="131" t="n">
        <f aca="false">SUM(AJ136:AJ137)</f>
        <v>0</v>
      </c>
      <c r="AK138" s="131" t="n">
        <f aca="false">SUM(AK136:AK137)</f>
        <v>0</v>
      </c>
      <c r="AL138" s="131" t="n">
        <f aca="false">SUM(AL136:AL137)</f>
        <v>0</v>
      </c>
      <c r="AM138" s="131" t="n">
        <f aca="false">SUM(AM136:AM137)</f>
        <v>0</v>
      </c>
      <c r="AN138" s="131" t="n">
        <f aca="false">SUM(AN136:AN137)</f>
        <v>0</v>
      </c>
      <c r="AO138" s="131" t="n">
        <f aca="false">SUM(AO136:AO137)</f>
        <v>0</v>
      </c>
      <c r="AP138" s="131" t="n">
        <f aca="false">SUM(AP136:AP137)</f>
        <v>0</v>
      </c>
      <c r="AQ138" s="131" t="n">
        <f aca="false">SUM(AQ136:AQ137)</f>
        <v>0</v>
      </c>
      <c r="AR138" s="131" t="n">
        <f aca="false">SUM(AR136:AR137)</f>
        <v>0</v>
      </c>
      <c r="AS138" s="131" t="n">
        <f aca="false">SUM(AS136:AS137)</f>
        <v>0</v>
      </c>
      <c r="AT138" s="131" t="n">
        <f aca="false">SUM(AT136:AT137)</f>
        <v>0</v>
      </c>
      <c r="AU138" s="131" t="n">
        <f aca="false">SUM(AU136:AU137)</f>
        <v>0</v>
      </c>
      <c r="AV138" s="131" t="n">
        <f aca="false">SUM(AV136:AV137)</f>
        <v>0</v>
      </c>
      <c r="AW138" s="131" t="n">
        <f aca="false">SUM(AW136:AW137)</f>
        <v>0</v>
      </c>
      <c r="AX138" s="131" t="n">
        <f aca="false">SUM(AX136:AX137)</f>
        <v>0</v>
      </c>
      <c r="AY138" s="131" t="n">
        <f aca="false">SUM(AY136:AY137)</f>
        <v>0</v>
      </c>
      <c r="AZ138" s="131" t="n">
        <f aca="false">SUM(AZ136:AZ137)</f>
        <v>0</v>
      </c>
      <c r="BA138" s="131" t="n">
        <f aca="false">SUM(BA136:BA137)</f>
        <v>0</v>
      </c>
      <c r="BB138" s="131" t="n">
        <f aca="false">SUM(BB136:BB137)</f>
        <v>0</v>
      </c>
      <c r="BC138" s="131" t="n">
        <f aca="false">SUM(BC136:BC137)</f>
        <v>0</v>
      </c>
      <c r="BD138" s="131" t="n">
        <f aca="false">SUM(BD136:BD137)</f>
        <v>0</v>
      </c>
      <c r="BE138" s="131" t="n">
        <f aca="false">SUM(BE136:BE137)</f>
        <v>0</v>
      </c>
      <c r="BF138" s="131" t="n">
        <f aca="false">SUM(BF136:BF137)</f>
        <v>0</v>
      </c>
      <c r="BG138" s="131" t="n">
        <f aca="false">SUM(BG136:BG137)</f>
        <v>0</v>
      </c>
      <c r="BH138" s="131" t="n">
        <f aca="false">SUM(BH136:BH137)</f>
        <v>0</v>
      </c>
      <c r="BI138" s="131" t="n">
        <f aca="false">SUM(BI136:BI137)</f>
        <v>0</v>
      </c>
      <c r="BJ138" s="131" t="n">
        <f aca="false">SUM(BJ136:BJ137)</f>
        <v>0</v>
      </c>
      <c r="BK138" s="131" t="n">
        <f aca="false">SUM(BK136:BK137)</f>
        <v>0</v>
      </c>
      <c r="BL138" s="131" t="n">
        <f aca="false">SUM(BL136:BL137)</f>
        <v>0</v>
      </c>
      <c r="BM138" s="131" t="n">
        <f aca="false">SUM(BM136:BM137)</f>
        <v>0</v>
      </c>
      <c r="BN138" s="131" t="n">
        <f aca="false">SUM(BN136:BN137)</f>
        <v>0</v>
      </c>
      <c r="BO138" s="131" t="n">
        <f aca="false">SUM(BO136:BO137)</f>
        <v>0</v>
      </c>
      <c r="BP138" s="131" t="n">
        <f aca="false">SUM(BP136:BP137)</f>
        <v>0</v>
      </c>
      <c r="BQ138" s="131" t="n">
        <f aca="false">SUM(BQ136:BQ137)</f>
        <v>0</v>
      </c>
      <c r="BR138" s="131" t="n">
        <f aca="false">SUM(BR136:BR137)</f>
        <v>0</v>
      </c>
      <c r="BS138" s="131" t="n">
        <f aca="false">SUM(BS136:BS137)</f>
        <v>0</v>
      </c>
      <c r="BT138" s="131" t="n">
        <f aca="false">SUM(BT136:BT137)</f>
        <v>0</v>
      </c>
      <c r="BU138" s="131" t="n">
        <f aca="false">SUM(BU136:BU137)</f>
        <v>0</v>
      </c>
      <c r="BV138" s="131" t="n">
        <f aca="false">SUM(BV136:BV137)</f>
        <v>0</v>
      </c>
      <c r="BW138" s="131" t="n">
        <f aca="false">SUM(BW136:BW137)</f>
        <v>0</v>
      </c>
      <c r="BX138" s="131" t="n">
        <f aca="false">SUM(BX136:BX137)</f>
        <v>0</v>
      </c>
      <c r="BY138" s="131" t="n">
        <f aca="false">SUM(BY136:BY137)</f>
        <v>0</v>
      </c>
      <c r="BZ138" s="136" t="n">
        <f aca="false">SUM(BZ136:BZ137)</f>
        <v>0</v>
      </c>
      <c r="CA138" s="136" t="n">
        <f aca="false">SUM(CA136:CA137)</f>
        <v>0</v>
      </c>
      <c r="CC138" s="136" t="n">
        <f aca="false">SUM(CC136:CC137)</f>
        <v>0</v>
      </c>
      <c r="CD138" s="136" t="n">
        <f aca="false">SUM(CD136:CD137)</f>
        <v>0</v>
      </c>
      <c r="CE138" s="136" t="n">
        <f aca="false">SUM(CE136:CE137)</f>
        <v>0</v>
      </c>
      <c r="CF138" s="136" t="n">
        <f aca="false">SUM(CF136:CF137)</f>
        <v>0</v>
      </c>
      <c r="CG138" s="136" t="n">
        <f aca="false">SUM(CG136:CG137)</f>
        <v>0</v>
      </c>
      <c r="CI138" s="136" t="n">
        <f aca="false">CC138=L138</f>
        <v>1</v>
      </c>
      <c r="CJ138" s="136" t="n">
        <f aca="false">CD138=M138</f>
        <v>1</v>
      </c>
      <c r="CK138" s="136" t="n">
        <f aca="false">CE138=N138</f>
        <v>1</v>
      </c>
      <c r="CL138" s="136" t="n">
        <f aca="false">CF138=O138</f>
        <v>1</v>
      </c>
      <c r="CM138" s="136" t="n">
        <f aca="false">CG138=P138</f>
        <v>1</v>
      </c>
    </row>
    <row r="139" s="14" customFormat="true" ht="16.5" hidden="false" customHeight="true" outlineLevel="0" collapsed="false">
      <c r="L139" s="88"/>
      <c r="M139" s="88"/>
      <c r="N139" s="88"/>
      <c r="O139" s="88"/>
      <c r="P139" s="88"/>
      <c r="Q139" s="16"/>
      <c r="R139" s="16"/>
      <c r="T139" s="137"/>
      <c r="U139" s="137"/>
      <c r="V139" s="137"/>
      <c r="W139" s="137"/>
      <c r="X139" s="137"/>
      <c r="Y139" s="137"/>
      <c r="Z139" s="137"/>
      <c r="AA139" s="137"/>
      <c r="AB139" s="137"/>
      <c r="AC139" s="137"/>
      <c r="AD139" s="137"/>
      <c r="AE139" s="137"/>
      <c r="AF139" s="137"/>
      <c r="AG139" s="137"/>
      <c r="AH139" s="137"/>
      <c r="AI139" s="137"/>
      <c r="AJ139" s="137"/>
      <c r="AK139" s="137"/>
      <c r="AL139" s="137"/>
      <c r="AM139" s="137"/>
      <c r="AN139" s="137"/>
      <c r="AO139" s="137"/>
      <c r="AP139" s="137"/>
      <c r="AQ139" s="137"/>
      <c r="AR139" s="137"/>
      <c r="AS139" s="137"/>
      <c r="AT139" s="137"/>
      <c r="AU139" s="137"/>
      <c r="AV139" s="137"/>
      <c r="AW139" s="137"/>
      <c r="AX139" s="137"/>
      <c r="AY139" s="137"/>
      <c r="AZ139" s="137"/>
      <c r="BA139" s="137"/>
      <c r="BB139" s="137"/>
      <c r="BC139" s="137"/>
      <c r="BD139" s="137"/>
      <c r="BE139" s="137"/>
      <c r="BF139" s="137"/>
      <c r="BG139" s="137"/>
      <c r="BH139" s="137"/>
      <c r="BI139" s="137"/>
      <c r="BJ139" s="137"/>
      <c r="BK139" s="137"/>
      <c r="BL139" s="137"/>
      <c r="BM139" s="137"/>
      <c r="BN139" s="137"/>
      <c r="BO139" s="137"/>
      <c r="BP139" s="137"/>
      <c r="BQ139" s="137"/>
      <c r="BR139" s="137"/>
      <c r="BS139" s="137"/>
      <c r="BT139" s="137"/>
      <c r="BU139" s="137"/>
      <c r="BV139" s="137"/>
      <c r="BW139" s="137"/>
      <c r="BX139" s="137"/>
      <c r="BY139" s="137"/>
      <c r="BZ139" s="121"/>
      <c r="CA139" s="121"/>
    </row>
    <row r="140" s="14" customFormat="true" ht="16.5" hidden="false" customHeight="true" outlineLevel="0" collapsed="false">
      <c r="E140" s="21" t="s">
        <v>161</v>
      </c>
      <c r="L140" s="88"/>
      <c r="M140" s="88"/>
      <c r="N140" s="88"/>
      <c r="O140" s="88"/>
      <c r="P140" s="88"/>
      <c r="Q140" s="16"/>
      <c r="R140" s="16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7"/>
      <c r="AH140" s="137"/>
      <c r="AI140" s="137"/>
      <c r="AJ140" s="137"/>
      <c r="AK140" s="137"/>
      <c r="AL140" s="137"/>
      <c r="AM140" s="137"/>
      <c r="AN140" s="137"/>
      <c r="AO140" s="137"/>
      <c r="AP140" s="137"/>
      <c r="AQ140" s="137"/>
      <c r="AR140" s="137"/>
      <c r="AS140" s="137"/>
      <c r="AT140" s="137"/>
      <c r="AU140" s="137"/>
      <c r="AV140" s="137"/>
      <c r="AW140" s="137"/>
      <c r="AX140" s="137"/>
      <c r="AY140" s="137"/>
      <c r="AZ140" s="137"/>
      <c r="BA140" s="137"/>
      <c r="BB140" s="137"/>
      <c r="BC140" s="137"/>
      <c r="BD140" s="137"/>
      <c r="BE140" s="137"/>
      <c r="BF140" s="137"/>
      <c r="BG140" s="137"/>
      <c r="BH140" s="137"/>
      <c r="BI140" s="137"/>
      <c r="BJ140" s="137"/>
      <c r="BK140" s="137"/>
      <c r="BL140" s="137"/>
      <c r="BM140" s="137"/>
      <c r="BN140" s="137"/>
      <c r="BO140" s="137"/>
      <c r="BP140" s="137"/>
      <c r="BQ140" s="137"/>
      <c r="BR140" s="137"/>
      <c r="BS140" s="137"/>
      <c r="BT140" s="137"/>
      <c r="BU140" s="137"/>
      <c r="BV140" s="137"/>
      <c r="BW140" s="137"/>
      <c r="BX140" s="137"/>
      <c r="BY140" s="137"/>
      <c r="BZ140" s="121"/>
      <c r="CA140" s="121"/>
    </row>
    <row r="141" s="14" customFormat="true" ht="16.5" hidden="false" customHeight="true" outlineLevel="0" collapsed="false">
      <c r="E141" s="91"/>
      <c r="K141" s="29"/>
      <c r="L141" s="91"/>
      <c r="M141" s="91"/>
      <c r="N141" s="91"/>
      <c r="O141" s="91"/>
      <c r="P141" s="91"/>
      <c r="Q141" s="93"/>
      <c r="R141" s="16"/>
      <c r="T141" s="135"/>
      <c r="U141" s="135"/>
      <c r="V141" s="135"/>
      <c r="W141" s="135"/>
      <c r="X141" s="135"/>
      <c r="Y141" s="135"/>
      <c r="Z141" s="135"/>
      <c r="AA141" s="135"/>
      <c r="AB141" s="135"/>
      <c r="AC141" s="135"/>
      <c r="AD141" s="135"/>
      <c r="AE141" s="135"/>
      <c r="AF141" s="135"/>
      <c r="AG141" s="135"/>
      <c r="AH141" s="135"/>
      <c r="AI141" s="135"/>
      <c r="AJ141" s="135"/>
      <c r="AK141" s="135"/>
      <c r="AL141" s="135"/>
      <c r="AM141" s="135"/>
      <c r="AN141" s="135"/>
      <c r="AO141" s="135"/>
      <c r="AP141" s="135"/>
      <c r="AQ141" s="135"/>
      <c r="AR141" s="135"/>
      <c r="AS141" s="135"/>
      <c r="AT141" s="135"/>
      <c r="AU141" s="135"/>
      <c r="AV141" s="135"/>
      <c r="AW141" s="135"/>
      <c r="AX141" s="135"/>
      <c r="AY141" s="135"/>
      <c r="AZ141" s="135"/>
      <c r="BA141" s="135"/>
      <c r="BB141" s="135"/>
      <c r="BC141" s="135"/>
      <c r="BD141" s="135"/>
      <c r="BE141" s="135"/>
      <c r="BF141" s="135"/>
      <c r="BG141" s="135"/>
      <c r="BH141" s="135"/>
      <c r="BI141" s="135"/>
      <c r="BJ141" s="135"/>
      <c r="BK141" s="135"/>
      <c r="BL141" s="135"/>
      <c r="BM141" s="135"/>
      <c r="BN141" s="135"/>
      <c r="BO141" s="135"/>
      <c r="BP141" s="135"/>
      <c r="BQ141" s="135"/>
      <c r="BR141" s="135"/>
      <c r="BS141" s="135"/>
      <c r="BT141" s="135"/>
      <c r="BU141" s="135"/>
      <c r="BV141" s="135"/>
      <c r="BW141" s="135"/>
      <c r="BX141" s="135"/>
      <c r="BY141" s="135"/>
      <c r="BZ141" s="138"/>
      <c r="CA141" s="138"/>
      <c r="CC141" s="79" t="n">
        <f aca="false">SUMIFS($T141:$CA141, $T$1:$CA$1, CC$63)</f>
        <v>0</v>
      </c>
      <c r="CD141" s="79" t="n">
        <f aca="false">SUMIFS($T141:$CA141, $T$1:$CA$1, CD$63)</f>
        <v>0</v>
      </c>
      <c r="CE141" s="79" t="n">
        <f aca="false">SUMIFS($T141:$CA141, $T$1:$CA$1, CE$63)</f>
        <v>0</v>
      </c>
      <c r="CF141" s="79" t="n">
        <f aca="false">SUMIFS($T141:$CA141, $T$1:$CA$1, CF$63)</f>
        <v>0</v>
      </c>
      <c r="CG141" s="79" t="n">
        <f aca="false">SUMIFS($T141:$CA141, $T$1:$CA$1, CG$63)</f>
        <v>0</v>
      </c>
      <c r="CI141" s="79" t="n">
        <f aca="false">CC141=L141</f>
        <v>1</v>
      </c>
      <c r="CJ141" s="79" t="n">
        <f aca="false">CD141=M141</f>
        <v>1</v>
      </c>
      <c r="CK141" s="79" t="n">
        <f aca="false">CE141=N141</f>
        <v>1</v>
      </c>
      <c r="CL141" s="79" t="n">
        <f aca="false">CF141=O141</f>
        <v>1</v>
      </c>
      <c r="CM141" s="79" t="n">
        <f aca="false">CG141=P141</f>
        <v>1</v>
      </c>
    </row>
    <row r="142" s="14" customFormat="true" ht="16.5" hidden="false" customHeight="true" outlineLevel="0" collapsed="false">
      <c r="E142" s="91"/>
      <c r="L142" s="91"/>
      <c r="M142" s="91"/>
      <c r="N142" s="91"/>
      <c r="O142" s="91"/>
      <c r="P142" s="91"/>
      <c r="Q142" s="93"/>
      <c r="R142" s="16"/>
      <c r="T142" s="135"/>
      <c r="U142" s="135"/>
      <c r="V142" s="135"/>
      <c r="W142" s="135"/>
      <c r="X142" s="135"/>
      <c r="Y142" s="135"/>
      <c r="Z142" s="135"/>
      <c r="AA142" s="135"/>
      <c r="AB142" s="135"/>
      <c r="AC142" s="135"/>
      <c r="AD142" s="135"/>
      <c r="AE142" s="135"/>
      <c r="AF142" s="135"/>
      <c r="AG142" s="135"/>
      <c r="AH142" s="135"/>
      <c r="AI142" s="135"/>
      <c r="AJ142" s="135"/>
      <c r="AK142" s="135"/>
      <c r="AL142" s="135"/>
      <c r="AM142" s="135"/>
      <c r="AN142" s="135"/>
      <c r="AO142" s="135"/>
      <c r="AP142" s="135"/>
      <c r="AQ142" s="135"/>
      <c r="AR142" s="135"/>
      <c r="AS142" s="135"/>
      <c r="AT142" s="135"/>
      <c r="AU142" s="135"/>
      <c r="AV142" s="135"/>
      <c r="AW142" s="135"/>
      <c r="AX142" s="135"/>
      <c r="AY142" s="135"/>
      <c r="AZ142" s="135"/>
      <c r="BA142" s="135"/>
      <c r="BB142" s="135"/>
      <c r="BC142" s="135"/>
      <c r="BD142" s="135"/>
      <c r="BE142" s="135"/>
      <c r="BF142" s="135"/>
      <c r="BG142" s="135"/>
      <c r="BH142" s="135"/>
      <c r="BI142" s="135"/>
      <c r="BJ142" s="135"/>
      <c r="BK142" s="135"/>
      <c r="BL142" s="135"/>
      <c r="BM142" s="135"/>
      <c r="BN142" s="135"/>
      <c r="BO142" s="135"/>
      <c r="BP142" s="135"/>
      <c r="BQ142" s="135"/>
      <c r="BR142" s="135"/>
      <c r="BS142" s="135"/>
      <c r="BT142" s="135"/>
      <c r="BU142" s="135"/>
      <c r="BV142" s="135"/>
      <c r="BW142" s="135"/>
      <c r="BX142" s="135"/>
      <c r="BY142" s="135"/>
      <c r="BZ142" s="138"/>
      <c r="CA142" s="138"/>
      <c r="CC142" s="79" t="n">
        <f aca="false">SUMIFS($T142:$CA142, $T$1:$CA$1, CC$63)</f>
        <v>0</v>
      </c>
      <c r="CD142" s="79" t="n">
        <f aca="false">SUMIFS($T142:$CA142, $T$1:$CA$1, CD$63)</f>
        <v>0</v>
      </c>
      <c r="CE142" s="79" t="n">
        <f aca="false">SUMIFS($T142:$CA142, $T$1:$CA$1, CE$63)</f>
        <v>0</v>
      </c>
      <c r="CF142" s="79" t="n">
        <f aca="false">SUMIFS($T142:$CA142, $T$1:$CA$1, CF$63)</f>
        <v>0</v>
      </c>
      <c r="CG142" s="79" t="n">
        <f aca="false">SUMIFS($T142:$CA142, $T$1:$CA$1, CG$63)</f>
        <v>0</v>
      </c>
      <c r="CI142" s="79" t="n">
        <f aca="false">CC142=L142</f>
        <v>1</v>
      </c>
      <c r="CJ142" s="79" t="n">
        <f aca="false">CD142=M142</f>
        <v>1</v>
      </c>
      <c r="CK142" s="79" t="n">
        <f aca="false">CE142=N142</f>
        <v>1</v>
      </c>
      <c r="CL142" s="79" t="n">
        <f aca="false">CF142=O142</f>
        <v>1</v>
      </c>
      <c r="CM142" s="79" t="n">
        <f aca="false">CG142=P142</f>
        <v>1</v>
      </c>
    </row>
    <row r="143" s="14" customFormat="true" ht="16.5" hidden="false" customHeight="true" outlineLevel="0" collapsed="false">
      <c r="E143" s="91"/>
      <c r="L143" s="91"/>
      <c r="M143" s="91"/>
      <c r="N143" s="91"/>
      <c r="O143" s="91"/>
      <c r="P143" s="91"/>
      <c r="Q143" s="93"/>
      <c r="R143" s="16"/>
      <c r="T143" s="135"/>
      <c r="U143" s="135"/>
      <c r="V143" s="135"/>
      <c r="W143" s="135"/>
      <c r="X143" s="135"/>
      <c r="Y143" s="135"/>
      <c r="Z143" s="135"/>
      <c r="AA143" s="135"/>
      <c r="AB143" s="135"/>
      <c r="AC143" s="135"/>
      <c r="AD143" s="135"/>
      <c r="AE143" s="135"/>
      <c r="AF143" s="135"/>
      <c r="AG143" s="135"/>
      <c r="AH143" s="135"/>
      <c r="AI143" s="135"/>
      <c r="AJ143" s="135"/>
      <c r="AK143" s="135"/>
      <c r="AL143" s="135"/>
      <c r="AM143" s="135"/>
      <c r="AN143" s="135"/>
      <c r="AO143" s="135"/>
      <c r="AP143" s="135"/>
      <c r="AQ143" s="135"/>
      <c r="AR143" s="135"/>
      <c r="AS143" s="135"/>
      <c r="AT143" s="135"/>
      <c r="AU143" s="135"/>
      <c r="AV143" s="135"/>
      <c r="AW143" s="135"/>
      <c r="AX143" s="135"/>
      <c r="AY143" s="135"/>
      <c r="AZ143" s="135"/>
      <c r="BA143" s="135"/>
      <c r="BB143" s="135"/>
      <c r="BC143" s="135"/>
      <c r="BD143" s="135"/>
      <c r="BE143" s="135"/>
      <c r="BF143" s="135"/>
      <c r="BG143" s="135"/>
      <c r="BH143" s="135"/>
      <c r="BI143" s="135"/>
      <c r="BJ143" s="135"/>
      <c r="BK143" s="135"/>
      <c r="BL143" s="135"/>
      <c r="BM143" s="135"/>
      <c r="BN143" s="135"/>
      <c r="BO143" s="135"/>
      <c r="BP143" s="135"/>
      <c r="BQ143" s="135"/>
      <c r="BR143" s="135"/>
      <c r="BS143" s="135"/>
      <c r="BT143" s="135"/>
      <c r="BU143" s="135"/>
      <c r="BV143" s="135"/>
      <c r="BW143" s="135"/>
      <c r="BX143" s="135"/>
      <c r="BY143" s="135"/>
      <c r="BZ143" s="138"/>
      <c r="CA143" s="138"/>
      <c r="CC143" s="79" t="n">
        <f aca="false">SUMIFS($T143:$CA143, $T$1:$CA$1, CC$63)</f>
        <v>0</v>
      </c>
      <c r="CD143" s="79" t="n">
        <f aca="false">SUMIFS($T143:$CA143, $T$1:$CA$1, CD$63)</f>
        <v>0</v>
      </c>
      <c r="CE143" s="79" t="n">
        <f aca="false">SUMIFS($T143:$CA143, $T$1:$CA$1, CE$63)</f>
        <v>0</v>
      </c>
      <c r="CF143" s="79" t="n">
        <f aca="false">SUMIFS($T143:$CA143, $T$1:$CA$1, CF$63)</f>
        <v>0</v>
      </c>
      <c r="CG143" s="79" t="n">
        <f aca="false">SUMIFS($T143:$CA143, $T$1:$CA$1, CG$63)</f>
        <v>0</v>
      </c>
      <c r="CI143" s="79" t="n">
        <f aca="false">CC143=L143</f>
        <v>1</v>
      </c>
      <c r="CJ143" s="79" t="n">
        <f aca="false">CD143=M143</f>
        <v>1</v>
      </c>
      <c r="CK143" s="79" t="n">
        <f aca="false">CE143=N143</f>
        <v>1</v>
      </c>
      <c r="CL143" s="79" t="n">
        <f aca="false">CF143=O143</f>
        <v>1</v>
      </c>
      <c r="CM143" s="79" t="n">
        <f aca="false">CG143=P143</f>
        <v>1</v>
      </c>
    </row>
    <row r="144" s="14" customFormat="true" ht="16.5" hidden="false" customHeight="true" outlineLevel="0" collapsed="false">
      <c r="E144" s="96" t="s">
        <v>162</v>
      </c>
      <c r="L144" s="82" t="n">
        <f aca="false">SUM(L141:L143)</f>
        <v>0</v>
      </c>
      <c r="M144" s="82" t="n">
        <f aca="false">SUM(M141:M143)</f>
        <v>0</v>
      </c>
      <c r="N144" s="82" t="n">
        <f aca="false">SUM(N141:N143)</f>
        <v>0</v>
      </c>
      <c r="O144" s="82" t="n">
        <f aca="false">SUM(O141:O143)</f>
        <v>0</v>
      </c>
      <c r="P144" s="82" t="n">
        <f aca="false">SUM(P141:P143)</f>
        <v>0</v>
      </c>
      <c r="Q144" s="16"/>
      <c r="R144" s="16"/>
      <c r="T144" s="131" t="n">
        <f aca="false">SUM(T141:T143)</f>
        <v>0</v>
      </c>
      <c r="U144" s="131" t="n">
        <f aca="false">SUM(U141:U143)</f>
        <v>0</v>
      </c>
      <c r="V144" s="131" t="n">
        <f aca="false">SUM(V141:V143)</f>
        <v>0</v>
      </c>
      <c r="W144" s="131" t="n">
        <f aca="false">SUM(W141:W143)</f>
        <v>0</v>
      </c>
      <c r="X144" s="131" t="n">
        <f aca="false">SUM(X141:X143)</f>
        <v>0</v>
      </c>
      <c r="Y144" s="131" t="n">
        <f aca="false">SUM(Y141:Y143)</f>
        <v>0</v>
      </c>
      <c r="Z144" s="131" t="n">
        <f aca="false">SUM(Z141:Z143)</f>
        <v>0</v>
      </c>
      <c r="AA144" s="131" t="n">
        <f aca="false">SUM(AA141:AA143)</f>
        <v>0</v>
      </c>
      <c r="AB144" s="131" t="n">
        <f aca="false">SUM(AB141:AB143)</f>
        <v>0</v>
      </c>
      <c r="AC144" s="131" t="n">
        <f aca="false">SUM(AC141:AC143)</f>
        <v>0</v>
      </c>
      <c r="AD144" s="131" t="n">
        <f aca="false">SUM(AD141:AD143)</f>
        <v>0</v>
      </c>
      <c r="AE144" s="131" t="n">
        <f aca="false">SUM(AE141:AE143)</f>
        <v>0</v>
      </c>
      <c r="AF144" s="131" t="n">
        <f aca="false">SUM(AF141:AF143)</f>
        <v>0</v>
      </c>
      <c r="AG144" s="131" t="n">
        <f aca="false">SUM(AG141:AG143)</f>
        <v>0</v>
      </c>
      <c r="AH144" s="131" t="n">
        <f aca="false">SUM(AH141:AH143)</f>
        <v>0</v>
      </c>
      <c r="AI144" s="131" t="n">
        <f aca="false">SUM(AI141:AI143)</f>
        <v>0</v>
      </c>
      <c r="AJ144" s="131" t="n">
        <f aca="false">SUM(AJ141:AJ143)</f>
        <v>0</v>
      </c>
      <c r="AK144" s="131" t="n">
        <f aca="false">SUM(AK141:AK143)</f>
        <v>0</v>
      </c>
      <c r="AL144" s="131" t="n">
        <f aca="false">SUM(AL141:AL143)</f>
        <v>0</v>
      </c>
      <c r="AM144" s="131" t="n">
        <f aca="false">SUM(AM141:AM143)</f>
        <v>0</v>
      </c>
      <c r="AN144" s="131" t="n">
        <f aca="false">SUM(AN141:AN143)</f>
        <v>0</v>
      </c>
      <c r="AO144" s="131" t="n">
        <f aca="false">SUM(AO141:AO143)</f>
        <v>0</v>
      </c>
      <c r="AP144" s="131" t="n">
        <f aca="false">SUM(AP141:AP143)</f>
        <v>0</v>
      </c>
      <c r="AQ144" s="131" t="n">
        <f aca="false">SUM(AQ141:AQ143)</f>
        <v>0</v>
      </c>
      <c r="AR144" s="131" t="n">
        <f aca="false">SUM(AR141:AR143)</f>
        <v>0</v>
      </c>
      <c r="AS144" s="131" t="n">
        <f aca="false">SUM(AS141:AS143)</f>
        <v>0</v>
      </c>
      <c r="AT144" s="131" t="n">
        <f aca="false">SUM(AT141:AT143)</f>
        <v>0</v>
      </c>
      <c r="AU144" s="131" t="n">
        <f aca="false">SUM(AU141:AU143)</f>
        <v>0</v>
      </c>
      <c r="AV144" s="131" t="n">
        <f aca="false">SUM(AV141:AV143)</f>
        <v>0</v>
      </c>
      <c r="AW144" s="131" t="n">
        <f aca="false">SUM(AW141:AW143)</f>
        <v>0</v>
      </c>
      <c r="AX144" s="131" t="n">
        <f aca="false">SUM(AX141:AX143)</f>
        <v>0</v>
      </c>
      <c r="AY144" s="131" t="n">
        <f aca="false">SUM(AY141:AY143)</f>
        <v>0</v>
      </c>
      <c r="AZ144" s="131" t="n">
        <f aca="false">SUM(AZ141:AZ143)</f>
        <v>0</v>
      </c>
      <c r="BA144" s="131" t="n">
        <f aca="false">SUM(BA141:BA143)</f>
        <v>0</v>
      </c>
      <c r="BB144" s="131" t="n">
        <f aca="false">SUM(BB141:BB143)</f>
        <v>0</v>
      </c>
      <c r="BC144" s="131" t="n">
        <f aca="false">SUM(BC141:BC143)</f>
        <v>0</v>
      </c>
      <c r="BD144" s="131" t="n">
        <f aca="false">SUM(BD141:BD143)</f>
        <v>0</v>
      </c>
      <c r="BE144" s="131" t="n">
        <f aca="false">SUM(BE141:BE143)</f>
        <v>0</v>
      </c>
      <c r="BF144" s="131" t="n">
        <f aca="false">SUM(BF141:BF143)</f>
        <v>0</v>
      </c>
      <c r="BG144" s="131" t="n">
        <f aca="false">SUM(BG141:BG143)</f>
        <v>0</v>
      </c>
      <c r="BH144" s="131" t="n">
        <f aca="false">SUM(BH141:BH143)</f>
        <v>0</v>
      </c>
      <c r="BI144" s="131" t="n">
        <f aca="false">SUM(BI141:BI143)</f>
        <v>0</v>
      </c>
      <c r="BJ144" s="131" t="n">
        <f aca="false">SUM(BJ141:BJ143)</f>
        <v>0</v>
      </c>
      <c r="BK144" s="131" t="n">
        <f aca="false">SUM(BK141:BK143)</f>
        <v>0</v>
      </c>
      <c r="BL144" s="131" t="n">
        <f aca="false">SUM(BL141:BL143)</f>
        <v>0</v>
      </c>
      <c r="BM144" s="131" t="n">
        <f aca="false">SUM(BM141:BM143)</f>
        <v>0</v>
      </c>
      <c r="BN144" s="131" t="n">
        <f aca="false">SUM(BN141:BN143)</f>
        <v>0</v>
      </c>
      <c r="BO144" s="131" t="n">
        <f aca="false">SUM(BO141:BO143)</f>
        <v>0</v>
      </c>
      <c r="BP144" s="131" t="n">
        <f aca="false">SUM(BP141:BP143)</f>
        <v>0</v>
      </c>
      <c r="BQ144" s="131" t="n">
        <f aca="false">SUM(BQ141:BQ143)</f>
        <v>0</v>
      </c>
      <c r="BR144" s="131" t="n">
        <f aca="false">SUM(BR141:BR143)</f>
        <v>0</v>
      </c>
      <c r="BS144" s="131" t="n">
        <f aca="false">SUM(BS141:BS143)</f>
        <v>0</v>
      </c>
      <c r="BT144" s="131" t="n">
        <f aca="false">SUM(BT141:BT143)</f>
        <v>0</v>
      </c>
      <c r="BU144" s="131" t="n">
        <f aca="false">SUM(BU141:BU143)</f>
        <v>0</v>
      </c>
      <c r="BV144" s="131" t="n">
        <f aca="false">SUM(BV141:BV143)</f>
        <v>0</v>
      </c>
      <c r="BW144" s="131" t="n">
        <f aca="false">SUM(BW141:BW143)</f>
        <v>0</v>
      </c>
      <c r="BX144" s="131" t="n">
        <f aca="false">SUM(BX141:BX143)</f>
        <v>0</v>
      </c>
      <c r="BY144" s="131" t="n">
        <f aca="false">SUM(BY141:BY143)</f>
        <v>0</v>
      </c>
      <c r="BZ144" s="136" t="n">
        <f aca="false">SUM(BZ141:BZ143)</f>
        <v>0</v>
      </c>
      <c r="CA144" s="136" t="n">
        <f aca="false">SUM(CA141:CA143)</f>
        <v>0</v>
      </c>
      <c r="CC144" s="136" t="n">
        <f aca="false">SUM(CC141:CC143)</f>
        <v>0</v>
      </c>
      <c r="CD144" s="136" t="n">
        <f aca="false">SUM(CD141:CD143)</f>
        <v>0</v>
      </c>
      <c r="CE144" s="136" t="n">
        <f aca="false">SUM(CE141:CE143)</f>
        <v>0</v>
      </c>
      <c r="CF144" s="136" t="n">
        <f aca="false">SUM(CF141:CF143)</f>
        <v>0</v>
      </c>
      <c r="CG144" s="136" t="n">
        <f aca="false">SUM(CG141:CG143)</f>
        <v>0</v>
      </c>
      <c r="CI144" s="136" t="n">
        <f aca="false">CC144=L144</f>
        <v>1</v>
      </c>
      <c r="CJ144" s="136" t="n">
        <f aca="false">CD144=M144</f>
        <v>1</v>
      </c>
      <c r="CK144" s="136" t="n">
        <f aca="false">CE144=N144</f>
        <v>1</v>
      </c>
      <c r="CL144" s="136" t="n">
        <f aca="false">CF144=O144</f>
        <v>1</v>
      </c>
      <c r="CM144" s="136" t="n">
        <f aca="false">CG144=P144</f>
        <v>1</v>
      </c>
    </row>
    <row r="145" s="14" customFormat="true" ht="16.5" hidden="false" customHeight="true" outlineLevel="0" collapsed="false">
      <c r="E145" s="96"/>
      <c r="L145" s="82"/>
      <c r="M145" s="82"/>
      <c r="N145" s="82"/>
      <c r="O145" s="82"/>
      <c r="P145" s="82"/>
      <c r="Q145" s="16"/>
      <c r="R145" s="16"/>
      <c r="T145" s="131"/>
      <c r="U145" s="131"/>
      <c r="V145" s="131"/>
      <c r="W145" s="131"/>
      <c r="X145" s="131"/>
      <c r="Y145" s="131"/>
      <c r="Z145" s="131"/>
      <c r="AA145" s="131"/>
      <c r="AB145" s="131"/>
      <c r="AC145" s="131"/>
      <c r="AD145" s="131"/>
      <c r="AE145" s="131"/>
      <c r="AF145" s="131"/>
      <c r="AG145" s="131"/>
      <c r="AH145" s="131"/>
      <c r="AI145" s="131"/>
      <c r="AJ145" s="131"/>
      <c r="AK145" s="131"/>
      <c r="AL145" s="131"/>
      <c r="AM145" s="131"/>
      <c r="AN145" s="131"/>
      <c r="AO145" s="131"/>
      <c r="AP145" s="131"/>
      <c r="AQ145" s="131"/>
      <c r="AR145" s="131"/>
      <c r="AS145" s="131"/>
      <c r="AT145" s="131"/>
      <c r="AU145" s="131"/>
      <c r="AV145" s="131"/>
      <c r="AW145" s="131"/>
      <c r="AX145" s="131"/>
      <c r="AY145" s="131"/>
      <c r="AZ145" s="131"/>
      <c r="BA145" s="131"/>
      <c r="BB145" s="131"/>
      <c r="BC145" s="131"/>
      <c r="BD145" s="131"/>
      <c r="BE145" s="131"/>
      <c r="BF145" s="131"/>
      <c r="BG145" s="131"/>
      <c r="BH145" s="131"/>
      <c r="BI145" s="131"/>
      <c r="BJ145" s="131"/>
      <c r="BK145" s="131"/>
      <c r="BL145" s="131"/>
      <c r="BM145" s="131"/>
      <c r="BN145" s="131"/>
      <c r="BO145" s="131"/>
      <c r="BP145" s="131"/>
      <c r="BQ145" s="131"/>
      <c r="BR145" s="131"/>
      <c r="BS145" s="131"/>
      <c r="BT145" s="131"/>
      <c r="BU145" s="131"/>
      <c r="BV145" s="131"/>
      <c r="BW145" s="131"/>
      <c r="BX145" s="131"/>
      <c r="BY145" s="131"/>
      <c r="BZ145" s="136"/>
      <c r="CA145" s="136"/>
    </row>
    <row r="146" s="14" customFormat="true" ht="16.5" hidden="false" customHeight="true" outlineLevel="0" collapsed="false">
      <c r="E146" s="96"/>
      <c r="L146" s="82"/>
      <c r="M146" s="82"/>
      <c r="N146" s="82"/>
      <c r="O146" s="82"/>
      <c r="P146" s="82"/>
      <c r="Q146" s="16"/>
      <c r="R146" s="16"/>
      <c r="T146" s="131"/>
      <c r="U146" s="131"/>
      <c r="V146" s="131"/>
      <c r="W146" s="131"/>
      <c r="X146" s="131"/>
      <c r="Y146" s="131"/>
      <c r="Z146" s="131"/>
      <c r="AA146" s="131"/>
      <c r="AB146" s="131"/>
      <c r="AC146" s="131"/>
      <c r="AD146" s="131"/>
      <c r="AE146" s="131"/>
      <c r="AF146" s="131"/>
      <c r="AG146" s="131"/>
      <c r="AH146" s="131"/>
      <c r="AI146" s="131"/>
      <c r="AJ146" s="131"/>
      <c r="AK146" s="131"/>
      <c r="AL146" s="131"/>
      <c r="AM146" s="131"/>
      <c r="AN146" s="131"/>
      <c r="AO146" s="131"/>
      <c r="AP146" s="131"/>
      <c r="AQ146" s="131"/>
      <c r="AR146" s="131"/>
      <c r="AS146" s="131"/>
      <c r="AT146" s="131"/>
      <c r="AU146" s="131"/>
      <c r="AV146" s="131"/>
      <c r="AW146" s="131"/>
      <c r="AX146" s="131"/>
      <c r="AY146" s="131"/>
      <c r="AZ146" s="131"/>
      <c r="BA146" s="131"/>
      <c r="BB146" s="131"/>
      <c r="BC146" s="131"/>
      <c r="BD146" s="131"/>
      <c r="BE146" s="131"/>
      <c r="BF146" s="131"/>
      <c r="BG146" s="131"/>
      <c r="BH146" s="131"/>
      <c r="BI146" s="131"/>
      <c r="BJ146" s="131"/>
      <c r="BK146" s="131"/>
      <c r="BL146" s="131"/>
      <c r="BM146" s="131"/>
      <c r="BN146" s="131"/>
      <c r="BO146" s="131"/>
      <c r="BP146" s="131"/>
      <c r="BQ146" s="131"/>
      <c r="BR146" s="131"/>
      <c r="BS146" s="131"/>
      <c r="BT146" s="131"/>
      <c r="BU146" s="131"/>
      <c r="BV146" s="131"/>
      <c r="BW146" s="131"/>
      <c r="BX146" s="131"/>
      <c r="BY146" s="131"/>
      <c r="BZ146" s="136"/>
      <c r="CA146" s="136"/>
    </row>
    <row r="147" s="14" customFormat="true" ht="16.5" hidden="false" customHeight="true" outlineLevel="0" collapsed="false">
      <c r="E147" s="109" t="s">
        <v>163</v>
      </c>
      <c r="F147" s="109"/>
      <c r="G147" s="109"/>
      <c r="H147" s="109"/>
      <c r="I147" s="132"/>
      <c r="J147" s="132"/>
      <c r="K147" s="132"/>
      <c r="L147" s="120" t="n">
        <f aca="false">SUM(L138, L144)</f>
        <v>0</v>
      </c>
      <c r="M147" s="120" t="n">
        <f aca="false">SUM(M138, M144)</f>
        <v>0</v>
      </c>
      <c r="N147" s="120" t="n">
        <f aca="false">SUM(N138, N144)</f>
        <v>0</v>
      </c>
      <c r="O147" s="120" t="n">
        <f aca="false">SUM(O138, O144)</f>
        <v>0</v>
      </c>
      <c r="P147" s="120" t="n">
        <f aca="false">SUM(P138, P144)</f>
        <v>0</v>
      </c>
      <c r="Q147" s="139"/>
      <c r="R147" s="139"/>
      <c r="T147" s="120" t="n">
        <f aca="false">SUM(T138, T144)</f>
        <v>0</v>
      </c>
      <c r="U147" s="120" t="n">
        <f aca="false">SUM(U138, U144)</f>
        <v>0</v>
      </c>
      <c r="V147" s="120" t="n">
        <f aca="false">SUM(V138, V144)</f>
        <v>0</v>
      </c>
      <c r="W147" s="120" t="n">
        <f aca="false">SUM(W138, W144)</f>
        <v>0</v>
      </c>
      <c r="X147" s="120" t="n">
        <f aca="false">SUM(X138, X144)</f>
        <v>0</v>
      </c>
      <c r="Y147" s="120" t="n">
        <f aca="false">SUM(Y138, Y144)</f>
        <v>0</v>
      </c>
      <c r="Z147" s="120" t="n">
        <f aca="false">SUM(Z138, Z144)</f>
        <v>0</v>
      </c>
      <c r="AA147" s="120" t="n">
        <f aca="false">SUM(AA138, AA144)</f>
        <v>0</v>
      </c>
      <c r="AB147" s="120" t="n">
        <f aca="false">SUM(AB138, AB144)</f>
        <v>0</v>
      </c>
      <c r="AC147" s="120" t="n">
        <f aca="false">SUM(AC138, AC144)</f>
        <v>0</v>
      </c>
      <c r="AD147" s="120" t="n">
        <f aca="false">SUM(AD138, AD144)</f>
        <v>0</v>
      </c>
      <c r="AE147" s="120" t="n">
        <f aca="false">SUM(AE138, AE144)</f>
        <v>0</v>
      </c>
      <c r="AF147" s="120" t="n">
        <f aca="false">SUM(AF138, AF144)</f>
        <v>0</v>
      </c>
      <c r="AG147" s="120" t="n">
        <f aca="false">SUM(AG138, AG144)</f>
        <v>0</v>
      </c>
      <c r="AH147" s="120" t="n">
        <f aca="false">SUM(AH138, AH144)</f>
        <v>0</v>
      </c>
      <c r="AI147" s="120" t="n">
        <f aca="false">SUM(AI138, AI144)</f>
        <v>0</v>
      </c>
      <c r="AJ147" s="120" t="n">
        <f aca="false">SUM(AJ138, AJ144)</f>
        <v>0</v>
      </c>
      <c r="AK147" s="120" t="n">
        <f aca="false">SUM(AK138, AK144)</f>
        <v>0</v>
      </c>
      <c r="AL147" s="120" t="n">
        <f aca="false">SUM(AL138, AL144)</f>
        <v>0</v>
      </c>
      <c r="AM147" s="120" t="n">
        <f aca="false">SUM(AM138, AM144)</f>
        <v>0</v>
      </c>
      <c r="AN147" s="120" t="n">
        <f aca="false">SUM(AN138, AN144)</f>
        <v>0</v>
      </c>
      <c r="AO147" s="120" t="n">
        <f aca="false">SUM(AO138, AO144)</f>
        <v>0</v>
      </c>
      <c r="AP147" s="120" t="n">
        <f aca="false">SUM(AP138, AP144)</f>
        <v>0</v>
      </c>
      <c r="AQ147" s="120" t="n">
        <f aca="false">SUM(AQ138, AQ144)</f>
        <v>0</v>
      </c>
      <c r="AR147" s="120" t="n">
        <f aca="false">SUM(AR138, AR144)</f>
        <v>0</v>
      </c>
      <c r="AS147" s="120" t="n">
        <f aca="false">SUM(AS138, AS144)</f>
        <v>0</v>
      </c>
      <c r="AT147" s="120" t="n">
        <f aca="false">SUM(AT138, AT144)</f>
        <v>0</v>
      </c>
      <c r="AU147" s="120" t="n">
        <f aca="false">SUM(AU138, AU144)</f>
        <v>0</v>
      </c>
      <c r="AV147" s="120" t="n">
        <f aca="false">SUM(AV138, AV144)</f>
        <v>0</v>
      </c>
      <c r="AW147" s="120" t="n">
        <f aca="false">SUM(AW138, AW144)</f>
        <v>0</v>
      </c>
      <c r="AX147" s="120" t="n">
        <f aca="false">SUM(AX138, AX144)</f>
        <v>0</v>
      </c>
      <c r="AY147" s="120" t="n">
        <f aca="false">SUM(AY138, AY144)</f>
        <v>0</v>
      </c>
      <c r="AZ147" s="120" t="n">
        <f aca="false">SUM(AZ138, AZ144)</f>
        <v>0</v>
      </c>
      <c r="BA147" s="120" t="n">
        <f aca="false">SUM(BA138, BA144)</f>
        <v>0</v>
      </c>
      <c r="BB147" s="120" t="n">
        <f aca="false">SUM(BB138, BB144)</f>
        <v>0</v>
      </c>
      <c r="BC147" s="120" t="n">
        <f aca="false">SUM(BC138, BC144)</f>
        <v>0</v>
      </c>
      <c r="BD147" s="120" t="n">
        <f aca="false">SUM(BD138, BD144)</f>
        <v>0</v>
      </c>
      <c r="BE147" s="120" t="n">
        <f aca="false">SUM(BE138, BE144)</f>
        <v>0</v>
      </c>
      <c r="BF147" s="120" t="n">
        <f aca="false">SUM(BF138, BF144)</f>
        <v>0</v>
      </c>
      <c r="BG147" s="120" t="n">
        <f aca="false">SUM(BG138, BG144)</f>
        <v>0</v>
      </c>
      <c r="BH147" s="120" t="n">
        <f aca="false">SUM(BH138, BH144)</f>
        <v>0</v>
      </c>
      <c r="BI147" s="120" t="n">
        <f aca="false">SUM(BI138, BI144)</f>
        <v>0</v>
      </c>
      <c r="BJ147" s="120" t="n">
        <f aca="false">SUM(BJ138, BJ144)</f>
        <v>0</v>
      </c>
      <c r="BK147" s="120" t="n">
        <f aca="false">SUM(BK138, BK144)</f>
        <v>0</v>
      </c>
      <c r="BL147" s="120" t="n">
        <f aca="false">SUM(BL138, BL144)</f>
        <v>0</v>
      </c>
      <c r="BM147" s="120" t="n">
        <f aca="false">SUM(BM138, BM144)</f>
        <v>0</v>
      </c>
      <c r="BN147" s="120" t="n">
        <f aca="false">SUM(BN138, BN144)</f>
        <v>0</v>
      </c>
      <c r="BO147" s="120" t="n">
        <f aca="false">SUM(BO138, BO144)</f>
        <v>0</v>
      </c>
      <c r="BP147" s="120" t="n">
        <f aca="false">SUM(BP138, BP144)</f>
        <v>0</v>
      </c>
      <c r="BQ147" s="120" t="n">
        <f aca="false">SUM(BQ138, BQ144)</f>
        <v>0</v>
      </c>
      <c r="BR147" s="120" t="n">
        <f aca="false">SUM(BR138, BR144)</f>
        <v>0</v>
      </c>
      <c r="BS147" s="120" t="n">
        <f aca="false">SUM(BS138, BS144)</f>
        <v>0</v>
      </c>
      <c r="BT147" s="120" t="n">
        <f aca="false">SUM(BT138, BT144)</f>
        <v>0</v>
      </c>
      <c r="BU147" s="120" t="n">
        <f aca="false">SUM(BU138, BU144)</f>
        <v>0</v>
      </c>
      <c r="BV147" s="120" t="n">
        <f aca="false">SUM(BV138, BV144)</f>
        <v>0</v>
      </c>
      <c r="BW147" s="120" t="n">
        <f aca="false">SUM(BW138, BW144)</f>
        <v>0</v>
      </c>
      <c r="BX147" s="120" t="n">
        <f aca="false">SUM(BX138, BX144)</f>
        <v>0</v>
      </c>
      <c r="BY147" s="120" t="n">
        <f aca="false">SUM(BY138, BY144)</f>
        <v>0</v>
      </c>
      <c r="BZ147" s="120" t="n">
        <f aca="false">SUM(BZ138, BZ144)</f>
        <v>0</v>
      </c>
      <c r="CA147" s="120" t="n">
        <f aca="false">SUM(CA138, CA144)</f>
        <v>0</v>
      </c>
      <c r="CC147" s="120" t="n">
        <f aca="false">SUM(CC138, CC144)</f>
        <v>0</v>
      </c>
      <c r="CD147" s="120" t="n">
        <f aca="false">SUM(CD138, CD144)</f>
        <v>0</v>
      </c>
      <c r="CE147" s="120" t="n">
        <f aca="false">SUM(CE138, CE144)</f>
        <v>0</v>
      </c>
      <c r="CF147" s="120" t="n">
        <f aca="false">SUM(CF138, CF144)</f>
        <v>0</v>
      </c>
      <c r="CG147" s="120" t="n">
        <f aca="false">SUM(CG138, CG144)</f>
        <v>0</v>
      </c>
      <c r="CI147" s="140" t="n">
        <f aca="false">CC147=L147</f>
        <v>1</v>
      </c>
      <c r="CJ147" s="140" t="n">
        <f aca="false">CD147=M147</f>
        <v>1</v>
      </c>
      <c r="CK147" s="140" t="n">
        <f aca="false">CE147=N147</f>
        <v>1</v>
      </c>
      <c r="CL147" s="140" t="n">
        <f aca="false">CF147=O147</f>
        <v>1</v>
      </c>
      <c r="CM147" s="140" t="n">
        <f aca="false">CG147=P147</f>
        <v>1</v>
      </c>
    </row>
    <row r="148" s="14" customFormat="true" ht="16.5" hidden="false" customHeight="true" outlineLevel="0" collapsed="false">
      <c r="E148" s="21"/>
      <c r="L148" s="88"/>
      <c r="M148" s="88"/>
      <c r="N148" s="88"/>
      <c r="O148" s="88"/>
      <c r="P148" s="88"/>
      <c r="Q148" s="121"/>
      <c r="R148" s="121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7"/>
      <c r="AH148" s="137"/>
      <c r="AI148" s="137"/>
      <c r="AJ148" s="137"/>
      <c r="AK148" s="137"/>
      <c r="AL148" s="137"/>
      <c r="AM148" s="137"/>
      <c r="AN148" s="137"/>
      <c r="AO148" s="137"/>
      <c r="AP148" s="137"/>
      <c r="AQ148" s="137"/>
      <c r="AR148" s="137"/>
      <c r="AS148" s="137"/>
      <c r="AT148" s="137"/>
      <c r="AU148" s="137"/>
      <c r="AV148" s="137"/>
      <c r="AW148" s="137"/>
      <c r="AX148" s="137"/>
      <c r="AY148" s="137"/>
      <c r="AZ148" s="137"/>
      <c r="BA148" s="137"/>
      <c r="BB148" s="137"/>
      <c r="BC148" s="137"/>
      <c r="BD148" s="137"/>
      <c r="BE148" s="137"/>
      <c r="BF148" s="137"/>
      <c r="BG148" s="137"/>
      <c r="BH148" s="137"/>
      <c r="BI148" s="137"/>
      <c r="BJ148" s="137"/>
      <c r="BK148" s="137"/>
      <c r="BL148" s="137"/>
      <c r="BM148" s="137"/>
      <c r="BN148" s="137"/>
      <c r="BO148" s="137"/>
      <c r="BP148" s="137"/>
      <c r="BQ148" s="137"/>
      <c r="BR148" s="137"/>
      <c r="BS148" s="137"/>
      <c r="BT148" s="137"/>
      <c r="BU148" s="137"/>
      <c r="BV148" s="137"/>
      <c r="BW148" s="137"/>
      <c r="BX148" s="137"/>
      <c r="BY148" s="137"/>
      <c r="BZ148" s="121"/>
      <c r="CA148" s="121"/>
    </row>
    <row r="149" s="14" customFormat="true" ht="16.5" hidden="false" customHeight="true" outlineLevel="0" collapsed="false">
      <c r="E149" s="141" t="s">
        <v>429</v>
      </c>
      <c r="F149" s="123"/>
      <c r="G149" s="123"/>
      <c r="H149" s="123"/>
      <c r="I149" s="126"/>
      <c r="J149" s="126"/>
      <c r="K149" s="142"/>
      <c r="L149" s="125" t="n">
        <f aca="false">SUM(L130, -L147)</f>
        <v>0</v>
      </c>
      <c r="M149" s="125" t="n">
        <f aca="false">SUM(M130, -M147)</f>
        <v>0</v>
      </c>
      <c r="N149" s="125" t="n">
        <f aca="false">SUM(N130, -N147)</f>
        <v>0</v>
      </c>
      <c r="O149" s="125" t="n">
        <f aca="false">SUM(O130, -O147)</f>
        <v>0</v>
      </c>
      <c r="P149" s="125" t="n">
        <f aca="false">SUM(P130, -P147)</f>
        <v>0</v>
      </c>
      <c r="Q149" s="143"/>
      <c r="R149" s="143"/>
      <c r="T149" s="144" t="n">
        <f aca="false">SUM(T130, -T147)</f>
        <v>0</v>
      </c>
      <c r="U149" s="144" t="n">
        <f aca="false">SUM(U130, -U147)</f>
        <v>0</v>
      </c>
      <c r="V149" s="144" t="n">
        <f aca="false">SUM(V130, -V147)</f>
        <v>0</v>
      </c>
      <c r="W149" s="144" t="n">
        <f aca="false">SUM(W130, -W147)</f>
        <v>0</v>
      </c>
      <c r="X149" s="144" t="n">
        <f aca="false">SUM(X130, -X147)</f>
        <v>0</v>
      </c>
      <c r="Y149" s="144" t="n">
        <f aca="false">SUM(Y130, -Y147)</f>
        <v>0</v>
      </c>
      <c r="Z149" s="144" t="n">
        <f aca="false">SUM(Z130, -Z147)</f>
        <v>0</v>
      </c>
      <c r="AA149" s="144" t="n">
        <f aca="false">SUM(AA130, -AA147)</f>
        <v>0</v>
      </c>
      <c r="AB149" s="144" t="n">
        <f aca="false">SUM(AB130, -AB147)</f>
        <v>0</v>
      </c>
      <c r="AC149" s="144" t="n">
        <f aca="false">SUM(AC130, -AC147)</f>
        <v>0</v>
      </c>
      <c r="AD149" s="144" t="n">
        <f aca="false">SUM(AD130, -AD147)</f>
        <v>0</v>
      </c>
      <c r="AE149" s="144" t="n">
        <f aca="false">SUM(AE130, -AE147)</f>
        <v>0</v>
      </c>
      <c r="AF149" s="144" t="n">
        <f aca="false">SUM(AF130, -AF147)</f>
        <v>0</v>
      </c>
      <c r="AG149" s="144" t="n">
        <f aca="false">SUM(AG130, -AG147)</f>
        <v>0</v>
      </c>
      <c r="AH149" s="144" t="n">
        <f aca="false">SUM(AH130, -AH147)</f>
        <v>0</v>
      </c>
      <c r="AI149" s="144" t="n">
        <f aca="false">SUM(AI130, -AI147)</f>
        <v>0</v>
      </c>
      <c r="AJ149" s="144" t="n">
        <f aca="false">SUM(AJ130, -AJ147)</f>
        <v>0</v>
      </c>
      <c r="AK149" s="144" t="n">
        <f aca="false">SUM(AK130, -AK147)</f>
        <v>0</v>
      </c>
      <c r="AL149" s="144" t="n">
        <f aca="false">SUM(AL130, -AL147)</f>
        <v>0</v>
      </c>
      <c r="AM149" s="144" t="n">
        <f aca="false">SUM(AM130, -AM147)</f>
        <v>0</v>
      </c>
      <c r="AN149" s="144" t="n">
        <f aca="false">SUM(AN130, -AN147)</f>
        <v>0</v>
      </c>
      <c r="AO149" s="144" t="n">
        <f aca="false">SUM(AO130, -AO147)</f>
        <v>0</v>
      </c>
      <c r="AP149" s="144" t="n">
        <f aca="false">SUM(AP130, -AP147)</f>
        <v>0</v>
      </c>
      <c r="AQ149" s="144" t="n">
        <f aca="false">SUM(AQ130, -AQ147)</f>
        <v>0</v>
      </c>
      <c r="AR149" s="144" t="n">
        <f aca="false">SUM(AR130, -AR147)</f>
        <v>0</v>
      </c>
      <c r="AS149" s="144" t="n">
        <f aca="false">SUM(AS130, -AS147)</f>
        <v>0</v>
      </c>
      <c r="AT149" s="144" t="n">
        <f aca="false">SUM(AT130, -AT147)</f>
        <v>0</v>
      </c>
      <c r="AU149" s="144" t="n">
        <f aca="false">SUM(AU130, -AU147)</f>
        <v>0</v>
      </c>
      <c r="AV149" s="144" t="n">
        <f aca="false">SUM(AV130, -AV147)</f>
        <v>0</v>
      </c>
      <c r="AW149" s="144" t="n">
        <f aca="false">SUM(AW130, -AW147)</f>
        <v>0</v>
      </c>
      <c r="AX149" s="144" t="n">
        <f aca="false">SUM(AX130, -AX147)</f>
        <v>0</v>
      </c>
      <c r="AY149" s="144" t="n">
        <f aca="false">SUM(AY130, -AY147)</f>
        <v>0</v>
      </c>
      <c r="AZ149" s="144" t="n">
        <f aca="false">SUM(AZ130, -AZ147)</f>
        <v>0</v>
      </c>
      <c r="BA149" s="144" t="n">
        <f aca="false">SUM(BA130, -BA147)</f>
        <v>0</v>
      </c>
      <c r="BB149" s="144" t="n">
        <f aca="false">SUM(BB130, -BB147)</f>
        <v>0</v>
      </c>
      <c r="BC149" s="144" t="n">
        <f aca="false">SUM(BC130, -BC147)</f>
        <v>0</v>
      </c>
      <c r="BD149" s="144" t="n">
        <f aca="false">SUM(BD130, -BD147)</f>
        <v>0</v>
      </c>
      <c r="BE149" s="144" t="n">
        <f aca="false">SUM(BE130, -BE147)</f>
        <v>0</v>
      </c>
      <c r="BF149" s="144" t="n">
        <f aca="false">SUM(BF130, -BF147)</f>
        <v>0</v>
      </c>
      <c r="BG149" s="144" t="n">
        <f aca="false">SUM(BG130, -BG147)</f>
        <v>0</v>
      </c>
      <c r="BH149" s="144" t="n">
        <f aca="false">SUM(BH130, -BH147)</f>
        <v>0</v>
      </c>
      <c r="BI149" s="144" t="n">
        <f aca="false">SUM(BI130, -BI147)</f>
        <v>0</v>
      </c>
      <c r="BJ149" s="144" t="n">
        <f aca="false">SUM(BJ130, -BJ147)</f>
        <v>0</v>
      </c>
      <c r="BK149" s="144" t="n">
        <f aca="false">SUM(BK130, -BK147)</f>
        <v>0</v>
      </c>
      <c r="BL149" s="144" t="n">
        <f aca="false">SUM(BL130, -BL147)</f>
        <v>0</v>
      </c>
      <c r="BM149" s="144" t="n">
        <f aca="false">SUM(BM130, -BM147)</f>
        <v>0</v>
      </c>
      <c r="BN149" s="144" t="n">
        <f aca="false">SUM(BN130, -BN147)</f>
        <v>0</v>
      </c>
      <c r="BO149" s="144" t="n">
        <f aca="false">SUM(BO130, -BO147)</f>
        <v>0</v>
      </c>
      <c r="BP149" s="144" t="n">
        <f aca="false">SUM(BP130, -BP147)</f>
        <v>0</v>
      </c>
      <c r="BQ149" s="144" t="n">
        <f aca="false">SUM(BQ130, -BQ147)</f>
        <v>0</v>
      </c>
      <c r="BR149" s="144" t="n">
        <f aca="false">SUM(BR130, -BR147)</f>
        <v>0</v>
      </c>
      <c r="BS149" s="144" t="n">
        <f aca="false">SUM(BS130, -BS147)</f>
        <v>0</v>
      </c>
      <c r="BT149" s="144" t="n">
        <f aca="false">SUM(BT130, -BT147)</f>
        <v>0</v>
      </c>
      <c r="BU149" s="144" t="n">
        <f aca="false">SUM(BU130, -BU147)</f>
        <v>0</v>
      </c>
      <c r="BV149" s="144" t="n">
        <f aca="false">SUM(BV130, -BV147)</f>
        <v>0</v>
      </c>
      <c r="BW149" s="144" t="n">
        <f aca="false">SUM(BW130, -BW147)</f>
        <v>0</v>
      </c>
      <c r="BX149" s="144" t="n">
        <f aca="false">SUM(BX130, -BX147)</f>
        <v>0</v>
      </c>
      <c r="BY149" s="144" t="n">
        <f aca="false">SUM(BY130, -BY147)</f>
        <v>0</v>
      </c>
      <c r="BZ149" s="143" t="n">
        <f aca="false">SUM(BZ130, -BZ147)</f>
        <v>0</v>
      </c>
      <c r="CA149" s="143" t="n">
        <f aca="false">SUM(CA130, -CA147)</f>
        <v>0</v>
      </c>
      <c r="CC149" s="143" t="n">
        <f aca="false">SUM(CC130, -CC147)</f>
        <v>0</v>
      </c>
      <c r="CD149" s="143" t="n">
        <f aca="false">SUM(CD130, -CD147)</f>
        <v>0</v>
      </c>
      <c r="CE149" s="143" t="n">
        <f aca="false">SUM(CE130, -CE147)</f>
        <v>0</v>
      </c>
      <c r="CF149" s="143" t="n">
        <f aca="false">SUM(CF130, -CF147)</f>
        <v>0</v>
      </c>
      <c r="CG149" s="143" t="n">
        <f aca="false">SUM(CG130, -CG147)</f>
        <v>0</v>
      </c>
      <c r="CI149" s="143" t="n">
        <f aca="false">CC149=L149</f>
        <v>1</v>
      </c>
      <c r="CJ149" s="143" t="n">
        <f aca="false">CD149=M149</f>
        <v>1</v>
      </c>
      <c r="CK149" s="143" t="n">
        <f aca="false">CE149=N149</f>
        <v>1</v>
      </c>
      <c r="CL149" s="143" t="n">
        <f aca="false">CF149=O149</f>
        <v>1</v>
      </c>
      <c r="CM149" s="143" t="n">
        <f aca="false">CG149=P149</f>
        <v>1</v>
      </c>
    </row>
    <row r="150" s="14" customFormat="true" ht="16.5" hidden="false" customHeight="true" outlineLevel="0" collapsed="false">
      <c r="E150" s="21"/>
      <c r="H150" s="21"/>
      <c r="I150" s="21"/>
      <c r="J150" s="21"/>
      <c r="K150" s="21"/>
      <c r="L150" s="21"/>
      <c r="M150" s="21"/>
      <c r="N150" s="21"/>
      <c r="O150" s="21"/>
      <c r="P150" s="21"/>
      <c r="Q150" s="145"/>
      <c r="R150" s="145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</row>
    <row r="151" s="14" customFormat="true" ht="16.5" hidden="false" customHeight="true" outlineLevel="0" collapsed="false">
      <c r="E151" s="21"/>
      <c r="H151" s="21"/>
      <c r="I151" s="21"/>
      <c r="J151" s="21"/>
      <c r="K151" s="21"/>
      <c r="L151" s="21"/>
      <c r="M151" s="21"/>
      <c r="N151" s="21"/>
      <c r="O151" s="21"/>
      <c r="P151" s="21"/>
      <c r="Q151" s="145"/>
      <c r="R151" s="145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</row>
    <row r="152" s="14" customFormat="true" ht="16.5" hidden="true" customHeight="true" outlineLevel="1" collapsed="false">
      <c r="C152" s="19" t="s">
        <v>165</v>
      </c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20"/>
      <c r="R152" s="20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C152" s="19" t="s">
        <v>127</v>
      </c>
      <c r="CD152" s="19"/>
      <c r="CE152" s="19"/>
      <c r="CF152" s="19"/>
      <c r="CG152" s="19"/>
      <c r="CI152" s="19" t="s">
        <v>128</v>
      </c>
      <c r="CJ152" s="19"/>
      <c r="CK152" s="19"/>
      <c r="CL152" s="19"/>
      <c r="CM152" s="19"/>
    </row>
    <row r="153" s="14" customFormat="true" ht="16.5" hidden="true" customHeight="true" outlineLevel="1" collapsed="false">
      <c r="E153" s="21"/>
      <c r="H153" s="21"/>
      <c r="I153" s="21"/>
      <c r="J153" s="21"/>
      <c r="K153" s="21"/>
      <c r="L153" s="21"/>
      <c r="M153" s="21"/>
      <c r="N153" s="21"/>
      <c r="O153" s="21"/>
      <c r="P153" s="21"/>
      <c r="Q153" s="145"/>
      <c r="R153" s="145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</row>
    <row r="154" s="14" customFormat="true" ht="16.5" hidden="true" customHeight="true" outlineLevel="1" collapsed="false">
      <c r="E154" s="21"/>
      <c r="H154" s="21"/>
      <c r="I154" s="21"/>
      <c r="J154" s="21"/>
      <c r="K154" s="21"/>
      <c r="Q154" s="145"/>
      <c r="R154" s="145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</row>
    <row r="155" s="14" customFormat="true" ht="16.5" hidden="true" customHeight="true" outlineLevel="1" collapsed="false">
      <c r="E155" s="30" t="s">
        <v>166</v>
      </c>
      <c r="F155" s="31"/>
      <c r="G155" s="31"/>
      <c r="H155" s="31"/>
      <c r="I155" s="31"/>
      <c r="J155" s="31"/>
      <c r="K155" s="31"/>
      <c r="L155" s="31" t="n">
        <v>2026</v>
      </c>
      <c r="M155" s="31" t="n">
        <f aca="false">L155+1</f>
        <v>2027</v>
      </c>
      <c r="N155" s="31" t="n">
        <f aca="false">M155+1</f>
        <v>2028</v>
      </c>
      <c r="O155" s="31" t="n">
        <f aca="false">N155+1</f>
        <v>2029</v>
      </c>
      <c r="P155" s="31" t="n">
        <f aca="false">O155+1</f>
        <v>2030</v>
      </c>
      <c r="Q155" s="31" t="s">
        <v>167</v>
      </c>
      <c r="R155" s="145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</row>
    <row r="156" s="14" customFormat="true" ht="16.5" hidden="true" customHeight="true" outlineLevel="1" collapsed="false">
      <c r="E156" s="14" t="s">
        <v>168</v>
      </c>
      <c r="H156" s="21"/>
      <c r="I156" s="21"/>
      <c r="J156" s="21"/>
      <c r="K156" s="21"/>
      <c r="L156" s="90" t="n">
        <f aca="false">L117</f>
        <v>0</v>
      </c>
      <c r="M156" s="90" t="n">
        <f aca="false">M117</f>
        <v>0</v>
      </c>
      <c r="N156" s="90" t="n">
        <f aca="false">N117</f>
        <v>0</v>
      </c>
      <c r="O156" s="90" t="n">
        <f aca="false">O117</f>
        <v>0</v>
      </c>
      <c r="P156" s="90" t="n">
        <f aca="false">P117</f>
        <v>0</v>
      </c>
      <c r="Q156" s="146" t="n">
        <f aca="false">SUM(L156:P156)</f>
        <v>0</v>
      </c>
      <c r="R156" s="145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</row>
    <row r="157" s="14" customFormat="true" ht="16.5" hidden="true" customHeight="true" outlineLevel="1" collapsed="false">
      <c r="E157" s="14" t="s">
        <v>169</v>
      </c>
      <c r="L157" s="90" t="n">
        <f aca="false">L130</f>
        <v>0</v>
      </c>
      <c r="M157" s="90" t="n">
        <f aca="false">M130</f>
        <v>0</v>
      </c>
      <c r="N157" s="90" t="n">
        <f aca="false">N130</f>
        <v>0</v>
      </c>
      <c r="O157" s="90" t="n">
        <f aca="false">O130</f>
        <v>0</v>
      </c>
      <c r="P157" s="90" t="n">
        <f aca="false">P130</f>
        <v>0</v>
      </c>
      <c r="Q157" s="146" t="n">
        <f aca="false">SUM(L157:P157)</f>
        <v>0</v>
      </c>
      <c r="R157" s="145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</row>
    <row r="158" s="14" customFormat="true" ht="16.5" hidden="true" customHeight="true" outlineLevel="1" collapsed="false">
      <c r="E158" s="14" t="s">
        <v>170</v>
      </c>
      <c r="L158" s="90" t="n">
        <f aca="false">-L147</f>
        <v>-0</v>
      </c>
      <c r="M158" s="90" t="n">
        <f aca="false">-M147</f>
        <v>-0</v>
      </c>
      <c r="N158" s="90" t="n">
        <f aca="false">-N147</f>
        <v>-0</v>
      </c>
      <c r="O158" s="90" t="n">
        <f aca="false">-O147</f>
        <v>-0</v>
      </c>
      <c r="P158" s="90" t="n">
        <f aca="false">-P147</f>
        <v>-0</v>
      </c>
      <c r="Q158" s="146" t="n">
        <f aca="false">SUM(L158:P158)</f>
        <v>0</v>
      </c>
      <c r="R158" s="145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</row>
    <row r="159" s="14" customFormat="true" ht="16.5" hidden="true" customHeight="true" outlineLevel="1" collapsed="false">
      <c r="E159" s="228" t="s">
        <v>166</v>
      </c>
      <c r="F159" s="228"/>
      <c r="G159" s="228"/>
      <c r="H159" s="228"/>
      <c r="I159" s="228"/>
      <c r="J159" s="228"/>
      <c r="K159" s="228"/>
      <c r="L159" s="229" t="n">
        <f aca="false">SUM(L156:L158)</f>
        <v>0</v>
      </c>
      <c r="M159" s="229" t="n">
        <f aca="false">SUM(M156:M158)</f>
        <v>0</v>
      </c>
      <c r="N159" s="229" t="n">
        <f aca="false">SUM(N156:N158)</f>
        <v>0</v>
      </c>
      <c r="O159" s="229" t="n">
        <f aca="false">SUM(O156:O158)</f>
        <v>0</v>
      </c>
      <c r="P159" s="229" t="n">
        <f aca="false">SUM(P156:P158)</f>
        <v>0</v>
      </c>
      <c r="Q159" s="230" t="n">
        <f aca="false">SUM(L159:P159)</f>
        <v>0</v>
      </c>
      <c r="R159" s="145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</row>
    <row r="160" s="14" customFormat="true" ht="16.5" hidden="true" customHeight="true" outlineLevel="1" collapsed="false">
      <c r="E160" s="14" t="s">
        <v>171</v>
      </c>
      <c r="H160" s="21"/>
      <c r="I160" s="21"/>
      <c r="J160" s="21"/>
      <c r="K160" s="21"/>
      <c r="L160" s="90" t="n">
        <f aca="false">L159</f>
        <v>0</v>
      </c>
      <c r="M160" s="90" t="n">
        <f aca="false">L160+M159</f>
        <v>0</v>
      </c>
      <c r="N160" s="90" t="n">
        <f aca="false">M160+N159</f>
        <v>0</v>
      </c>
      <c r="O160" s="90" t="n">
        <f aca="false">N160+O159</f>
        <v>0</v>
      </c>
      <c r="P160" s="90" t="n">
        <f aca="false">O160+P159</f>
        <v>0</v>
      </c>
      <c r="Q160" s="146" t="n">
        <f aca="false">P160</f>
        <v>0</v>
      </c>
      <c r="R160" s="145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</row>
    <row r="161" s="14" customFormat="true" ht="16.5" hidden="true" customHeight="true" outlineLevel="1" collapsed="false">
      <c r="E161" s="14" t="s">
        <v>172</v>
      </c>
      <c r="H161" s="21"/>
      <c r="I161" s="21"/>
      <c r="J161" s="21"/>
      <c r="K161" s="21"/>
      <c r="L161" s="148" t="n">
        <f aca="false">IF(L160&lt;0,1,0)</f>
        <v>0</v>
      </c>
      <c r="M161" s="148" t="n">
        <f aca="false">IF(M160&lt;0,1,IF(AND(L160&lt;0,M159&gt;0),-L160/M159,0))</f>
        <v>0</v>
      </c>
      <c r="N161" s="148" t="n">
        <f aca="false">IF(N160&lt;0,1,IF(AND(M160&lt;0,N159&gt;0),-M160/N159,0))</f>
        <v>0</v>
      </c>
      <c r="O161" s="148" t="n">
        <f aca="false">IF(O160&lt;0,1,IF(AND(N160&lt;0,O159&gt;0),-N160/O159,0))</f>
        <v>0</v>
      </c>
      <c r="P161" s="148" t="n">
        <f aca="false">IF(P160&lt;0,1,IF(AND(O160&lt;0,P159&gt;0),-O160/P159,0))</f>
        <v>0</v>
      </c>
      <c r="Q161" s="90"/>
      <c r="R161" s="145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</row>
    <row r="162" s="14" customFormat="true" ht="16.5" hidden="true" customHeight="true" outlineLevel="1" collapsed="false">
      <c r="H162" s="21"/>
      <c r="I162" s="21"/>
      <c r="J162" s="21"/>
      <c r="K162" s="21"/>
      <c r="R162" s="145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</row>
    <row r="163" s="14" customFormat="true" ht="16.5" hidden="true" customHeight="true" outlineLevel="1" collapsed="false">
      <c r="E163" s="21" t="s">
        <v>430</v>
      </c>
      <c r="F163" s="150" t="s">
        <v>431</v>
      </c>
      <c r="G163" s="148" t="str">
        <f aca="false">IFERROR(I117/-SUM(L149:P149),"n/a")</f>
        <v>n/a</v>
      </c>
      <c r="H163" s="21"/>
      <c r="I163" s="21"/>
      <c r="J163" s="21"/>
      <c r="K163" s="21"/>
      <c r="R163" s="145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</row>
    <row r="164" s="14" customFormat="true" ht="16.5" hidden="true" customHeight="true" outlineLevel="1" collapsed="false">
      <c r="E164" s="21" t="s">
        <v>432</v>
      </c>
      <c r="F164" s="150" t="s">
        <v>433</v>
      </c>
      <c r="G164" s="231" t="str">
        <f aca="false">IFERROR(IRR($L$159:$P$159, 0.2),"n/a")</f>
        <v>n/a</v>
      </c>
      <c r="H164" s="21"/>
      <c r="I164" s="21"/>
      <c r="J164" s="21"/>
      <c r="K164" s="21"/>
      <c r="R164" s="145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</row>
    <row r="165" s="14" customFormat="true" ht="16.5" hidden="true" customHeight="true" outlineLevel="1" collapsed="false">
      <c r="E165" s="21" t="s">
        <v>434</v>
      </c>
      <c r="F165" s="150" t="s">
        <v>176</v>
      </c>
      <c r="G165" s="148" t="n">
        <f aca="false">SUM(L161:P161)</f>
        <v>0</v>
      </c>
      <c r="H165" s="21"/>
      <c r="I165" s="21"/>
      <c r="J165" s="21"/>
      <c r="K165" s="21"/>
      <c r="R165" s="145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</row>
    <row r="166" s="14" customFormat="true" ht="16.5" hidden="true" customHeight="true" outlineLevel="1" collapsed="false">
      <c r="E166" s="21"/>
      <c r="F166" s="150"/>
      <c r="G166" s="148"/>
      <c r="H166" s="21"/>
      <c r="I166" s="21"/>
      <c r="J166" s="21"/>
      <c r="K166" s="21"/>
      <c r="R166" s="145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</row>
    <row r="167" s="14" customFormat="true" ht="16.5" hidden="true" customHeight="true" outlineLevel="1" collapsed="false">
      <c r="E167" s="21" t="s">
        <v>173</v>
      </c>
      <c r="G167" s="149" t="n">
        <v>0.095</v>
      </c>
      <c r="H167" s="21"/>
      <c r="I167" s="21"/>
      <c r="J167" s="21"/>
      <c r="K167" s="21"/>
      <c r="R167" s="145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</row>
    <row r="168" s="14" customFormat="true" ht="16.5" hidden="true" customHeight="true" outlineLevel="1" collapsed="false">
      <c r="E168" s="21" t="s">
        <v>174</v>
      </c>
      <c r="F168" s="150" t="s">
        <v>175</v>
      </c>
      <c r="G168" s="90" t="n">
        <f aca="false">SUM(L168:P168)</f>
        <v>0</v>
      </c>
      <c r="H168" s="21"/>
      <c r="I168" s="21"/>
      <c r="J168" s="21"/>
      <c r="K168" s="21"/>
      <c r="L168" s="90" t="n">
        <f aca="false">L159/(1+$G$167)^L$1</f>
        <v>0</v>
      </c>
      <c r="M168" s="90" t="n">
        <f aca="false">M159/(1+$G$167)^M$1</f>
        <v>0</v>
      </c>
      <c r="N168" s="90" t="n">
        <f aca="false">N159/(1+$G$167)^N$1</f>
        <v>0</v>
      </c>
      <c r="O168" s="90" t="n">
        <f aca="false">O159/(1+$G$167)^O$1</f>
        <v>0</v>
      </c>
      <c r="P168" s="90" t="n">
        <f aca="false">P159/(1+$G$167)^P$1</f>
        <v>0</v>
      </c>
      <c r="Q168" s="90" t="n">
        <f aca="false">SUM(L168:P168)</f>
        <v>0</v>
      </c>
      <c r="R168" s="145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</row>
    <row r="169" s="14" customFormat="true" ht="16.5" hidden="true" customHeight="true" outlineLevel="1" collapsed="false">
      <c r="Q169" s="16"/>
      <c r="R169" s="16"/>
    </row>
    <row r="170" s="14" customFormat="true" ht="16.5" hidden="false" customHeight="true" outlineLevel="0" collapsed="false">
      <c r="Q170" s="16"/>
      <c r="R170" s="16"/>
    </row>
    <row r="171" s="14" customFormat="true" ht="16.5" hidden="false" customHeight="true" outlineLevel="0" collapsed="false">
      <c r="C171" s="19" t="s">
        <v>178</v>
      </c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20"/>
      <c r="R171" s="20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</row>
  </sheetData>
  <mergeCells count="3">
    <mergeCell ref="F8:J10"/>
    <mergeCell ref="CI62:CM62"/>
    <mergeCell ref="CI90:CM90"/>
  </mergeCells>
  <conditionalFormatting sqref="J26">
    <cfRule type="expression" priority="2" aboveAverage="0" equalAverage="0" bottom="0" percent="0" rank="0" text="" dxfId="0">
      <formula>AND($F26="Yes")</formula>
    </cfRule>
    <cfRule type="expression" priority="3" aboveAverage="0" equalAverage="0" bottom="0" percent="0" rank="0" text="" dxfId="1">
      <formula>AND($F26="No")</formula>
    </cfRule>
  </conditionalFormatting>
  <conditionalFormatting sqref="T79:CA86">
    <cfRule type="expression" priority="4" aboveAverage="0" equalAverage="0" bottom="0" percent="0" rank="0" text="" dxfId="0">
      <formula>AND($F79="Yes")</formula>
    </cfRule>
    <cfRule type="expression" priority="5" aboveAverage="0" equalAverage="0" bottom="0" percent="0" rank="0" text="" dxfId="1">
      <formula>AND($F79="No")</formula>
    </cfRule>
  </conditionalFormatting>
  <conditionalFormatting sqref="I84:P86">
    <cfRule type="expression" priority="6" aboveAverage="0" equalAverage="0" bottom="0" percent="0" rank="0" text="" dxfId="0">
      <formula>AND($F84="Yes")</formula>
    </cfRule>
    <cfRule type="expression" priority="7" aboveAverage="0" equalAverage="0" bottom="0" percent="0" rank="0" text="" dxfId="1">
      <formula>AND($F84="No")</formula>
    </cfRule>
  </conditionalFormatting>
  <conditionalFormatting sqref="I112:K113">
    <cfRule type="expression" priority="8" aboveAverage="0" equalAverage="0" bottom="0" percent="0" rank="0" text="" dxfId="0">
      <formula>AND($F112="Yes")</formula>
    </cfRule>
    <cfRule type="expression" priority="9" aboveAverage="0" equalAverage="0" bottom="0" percent="0" rank="0" text="" dxfId="1">
      <formula>AND($F112="No")</formula>
    </cfRule>
  </conditionalFormatting>
  <conditionalFormatting sqref="E94:E95">
    <cfRule type="expression" priority="10" aboveAverage="0" equalAverage="0" bottom="0" percent="0" rank="0" text="" dxfId="0">
      <formula>AND($F94="Yes")</formula>
    </cfRule>
    <cfRule type="expression" priority="11" aboveAverage="0" equalAverage="0" bottom="0" percent="0" rank="0" text="" dxfId="1">
      <formula>AND($F94="No")</formula>
    </cfRule>
  </conditionalFormatting>
  <conditionalFormatting sqref="E107:E111">
    <cfRule type="expression" priority="12" aboveAverage="0" equalAverage="0" bottom="0" percent="0" rank="0" text="" dxfId="0">
      <formula>AND($F107="Yes")</formula>
    </cfRule>
    <cfRule type="expression" priority="13" aboveAverage="0" equalAverage="0" bottom="0" percent="0" rank="0" text="" dxfId="1">
      <formula>AND($F107="No")</formula>
    </cfRule>
  </conditionalFormatting>
  <conditionalFormatting sqref="E141:E143">
    <cfRule type="expression" priority="14" aboveAverage="0" equalAverage="0" bottom="0" percent="0" rank="0" text="" dxfId="0">
      <formula>AND($F141="Yes")</formula>
    </cfRule>
    <cfRule type="expression" priority="15" aboveAverage="0" equalAverage="0" bottom="0" percent="0" rank="0" text="" dxfId="1">
      <formula>AND($F141="No")</formula>
    </cfRule>
  </conditionalFormatting>
  <conditionalFormatting sqref="E136:E137">
    <cfRule type="expression" priority="16" aboveAverage="0" equalAverage="0" bottom="0" percent="0" rank="0" text="" dxfId="0">
      <formula>AND($F136="Yes")</formula>
    </cfRule>
    <cfRule type="expression" priority="17" aboveAverage="0" equalAverage="0" bottom="0" percent="0" rank="0" text="" dxfId="1">
      <formula>AND($F136="No")</formula>
    </cfRule>
  </conditionalFormatting>
  <conditionalFormatting sqref="E126:E127">
    <cfRule type="expression" priority="18" aboveAverage="0" equalAverage="0" bottom="0" percent="0" rank="0" text="" dxfId="0">
      <formula>AND($F126="Yes")</formula>
    </cfRule>
    <cfRule type="expression" priority="19" aboveAverage="0" equalAverage="0" bottom="0" percent="0" rank="0" text="" dxfId="1">
      <formula>AND($F126="No")</formula>
    </cfRule>
  </conditionalFormatting>
  <conditionalFormatting sqref="E66:E67">
    <cfRule type="expression" priority="20" aboveAverage="0" equalAverage="0" bottom="0" percent="0" rank="0" text="" dxfId="0">
      <formula>AND($F66="Yes")</formula>
    </cfRule>
    <cfRule type="expression" priority="21" aboveAverage="0" equalAverage="0" bottom="0" percent="0" rank="0" text="" dxfId="1">
      <formula>AND($F66="No")</formula>
    </cfRule>
  </conditionalFormatting>
  <conditionalFormatting sqref="CJ152:CM152">
    <cfRule type="containsText" priority="22" operator="containsText" aboveAverage="0" equalAverage="0" bottom="0" percent="0" rank="0" text="FALSE" dxfId="2">
      <formula>NOT(ISERROR(SEARCH("FALSE",CJ152)))</formula>
    </cfRule>
  </conditionalFormatting>
  <conditionalFormatting sqref="Q141:Q143">
    <cfRule type="containsText" priority="23" operator="containsText" aboveAverage="0" equalAverage="0" bottom="0" percent="0" rank="0" text="Error" dxfId="2">
      <formula>NOT(ISERROR(SEARCH("Error",Q141)))</formula>
    </cfRule>
    <cfRule type="containsText" priority="24" operator="containsText" aboveAverage="0" equalAverage="0" bottom="0" percent="0" rank="0" text="FALSE" dxfId="2">
      <formula>NOT(ISERROR(SEARCH("FALSE",Q141)))</formula>
    </cfRule>
  </conditionalFormatting>
  <conditionalFormatting sqref="Q136:Q137">
    <cfRule type="containsText" priority="25" operator="containsText" aboveAverage="0" equalAverage="0" bottom="0" percent="0" rank="0" text="Error" dxfId="2">
      <formula>NOT(ISERROR(SEARCH("Error",Q136)))</formula>
    </cfRule>
    <cfRule type="containsText" priority="26" operator="containsText" aboveAverage="0" equalAverage="0" bottom="0" percent="0" rank="0" text="FALSE" dxfId="2">
      <formula>NOT(ISERROR(SEARCH("FALSE",Q136)))</formula>
    </cfRule>
  </conditionalFormatting>
  <conditionalFormatting sqref="Q126:Q127">
    <cfRule type="containsText" priority="27" operator="containsText" aboveAverage="0" equalAverage="0" bottom="0" percent="0" rank="0" text="Error" dxfId="2">
      <formula>NOT(ISERROR(SEARCH("Error",Q126)))</formula>
    </cfRule>
    <cfRule type="containsText" priority="28" operator="containsText" aboveAverage="0" equalAverage="0" bottom="0" percent="0" rank="0" text="FALSE" dxfId="2">
      <formula>NOT(ISERROR(SEARCH("FALSE",Q126)))</formula>
    </cfRule>
  </conditionalFormatting>
  <conditionalFormatting sqref="J56:J57">
    <cfRule type="expression" priority="29" aboveAverage="0" equalAverage="0" bottom="0" percent="0" rank="0" text="" dxfId="0">
      <formula>AND($F56="Yes")</formula>
    </cfRule>
    <cfRule type="expression" priority="30" aboveAverage="0" equalAverage="0" bottom="0" percent="0" rank="0" text="" dxfId="1">
      <formula>AND($F56="No")</formula>
    </cfRule>
  </conditionalFormatting>
  <conditionalFormatting sqref="J46:J47 J51">
    <cfRule type="expression" priority="31" aboveAverage="0" equalAverage="0" bottom="0" percent="0" rank="0" text="" dxfId="0">
      <formula>AND($F46="Yes")</formula>
    </cfRule>
    <cfRule type="expression" priority="32" aboveAverage="0" equalAverage="0" bottom="0" percent="0" rank="0" text="" dxfId="1">
      <formula>AND($F46="No")</formula>
    </cfRule>
  </conditionalFormatting>
  <conditionalFormatting sqref="J52">
    <cfRule type="expression" priority="33" aboveAverage="0" equalAverage="0" bottom="0" percent="0" rank="0" text="" dxfId="0">
      <formula>AND(#ref!="Yes")</formula>
    </cfRule>
    <cfRule type="expression" priority="34" aboveAverage="0" equalAverage="0" bottom="0" percent="0" rank="0" text="" dxfId="1">
      <formula>AND(#ref!="No")</formula>
    </cfRule>
  </conditionalFormatting>
  <conditionalFormatting sqref="J42:J43">
    <cfRule type="expression" priority="35" aboveAverage="0" equalAverage="0" bottom="0" percent="0" rank="0" text="" dxfId="0">
      <formula>AND($F42="Yes")</formula>
    </cfRule>
    <cfRule type="expression" priority="36" aboveAverage="0" equalAverage="0" bottom="0" percent="0" rank="0" text="" dxfId="1">
      <formula>AND($F42="No")</formula>
    </cfRule>
  </conditionalFormatting>
  <conditionalFormatting sqref="J32:J33 J37">
    <cfRule type="expression" priority="37" aboveAverage="0" equalAverage="0" bottom="0" percent="0" rank="0" text="" dxfId="0">
      <formula>AND($F32="Yes")</formula>
    </cfRule>
    <cfRule type="expression" priority="38" aboveAverage="0" equalAverage="0" bottom="0" percent="0" rank="0" text="" dxfId="1">
      <formula>AND($F32="No")</formula>
    </cfRule>
  </conditionalFormatting>
  <conditionalFormatting sqref="J38">
    <cfRule type="expression" priority="39" aboveAverage="0" equalAverage="0" bottom="0" percent="0" rank="0" text="" dxfId="0">
      <formula>AND(#ref!="Yes")</formula>
    </cfRule>
    <cfRule type="expression" priority="40" aboveAverage="0" equalAverage="0" bottom="0" percent="0" rank="0" text="" dxfId="1">
      <formula>AND(#ref!="No")</formula>
    </cfRule>
  </conditionalFormatting>
  <conditionalFormatting sqref="CJ171:CM171">
    <cfRule type="containsText" priority="41" operator="containsText" aboveAverage="0" equalAverage="0" bottom="0" percent="0" rank="0" text="FALSE" dxfId="2">
      <formula>NOT(ISERROR(SEARCH("FALSE",CJ171)))</formula>
    </cfRule>
  </conditionalFormatting>
  <conditionalFormatting sqref="CJ120:CM120">
    <cfRule type="containsText" priority="42" operator="containsText" aboveAverage="0" equalAverage="0" bottom="0" percent="0" rank="0" text="FALSE" dxfId="2">
      <formula>NOT(ISERROR(SEARCH("FALSE",CJ120)))</formula>
    </cfRule>
  </conditionalFormatting>
  <conditionalFormatting sqref="P18:P21">
    <cfRule type="containsText" priority="43" operator="containsText" aboveAverage="0" equalAverage="0" bottom="0" percent="0" rank="0" text="PASS" dxfId="3">
      <formula>NOT(ISERROR(SEARCH("PASS",P18)))</formula>
    </cfRule>
  </conditionalFormatting>
  <conditionalFormatting sqref="CI141:CM144">
    <cfRule type="expression" priority="44" aboveAverage="0" equalAverage="0" bottom="0" percent="0" rank="0" text="" dxfId="0">
      <formula>AND($F141="Yes")</formula>
    </cfRule>
    <cfRule type="expression" priority="45" aboveAverage="0" equalAverage="0" bottom="0" percent="0" rank="0" text="" dxfId="1">
      <formula>AND($F141="No")</formula>
    </cfRule>
  </conditionalFormatting>
  <conditionalFormatting sqref="CI136:CM138">
    <cfRule type="expression" priority="46" aboveAverage="0" equalAverage="0" bottom="0" percent="0" rank="0" text="" dxfId="0">
      <formula>AND($F136="Yes")</formula>
    </cfRule>
    <cfRule type="expression" priority="47" aboveAverage="0" equalAverage="0" bottom="0" percent="0" rank="0" text="" dxfId="1">
      <formula>AND($F136="No")</formula>
    </cfRule>
  </conditionalFormatting>
  <conditionalFormatting sqref="CC141:CG144">
    <cfRule type="expression" priority="48" aboveAverage="0" equalAverage="0" bottom="0" percent="0" rank="0" text="" dxfId="0">
      <formula>AND($F141="Yes")</formula>
    </cfRule>
    <cfRule type="expression" priority="49" aboveAverage="0" equalAverage="0" bottom="0" percent="0" rank="0" text="" dxfId="1">
      <formula>AND($F141="No")</formula>
    </cfRule>
  </conditionalFormatting>
  <conditionalFormatting sqref="CC136:CG138">
    <cfRule type="expression" priority="50" aboveAverage="0" equalAverage="0" bottom="0" percent="0" rank="0" text="" dxfId="0">
      <formula>AND($F136="Yes")</formula>
    </cfRule>
    <cfRule type="expression" priority="51" aboveAverage="0" equalAverage="0" bottom="0" percent="0" rank="0" text="" dxfId="1">
      <formula>AND($F136="No")</formula>
    </cfRule>
  </conditionalFormatting>
  <conditionalFormatting sqref="V112:CA113">
    <cfRule type="expression" priority="52" aboveAverage="0" equalAverage="0" bottom="0" percent="0" rank="0" text="" dxfId="0">
      <formula>AND($F112="Yes")</formula>
    </cfRule>
    <cfRule type="expression" priority="53" aboveAverage="0" equalAverage="0" bottom="0" percent="0" rank="0" text="" dxfId="1">
      <formula>AND($F112="No")</formula>
    </cfRule>
  </conditionalFormatting>
  <conditionalFormatting sqref="T136:CA138">
    <cfRule type="expression" priority="54" aboveAverage="0" equalAverage="0" bottom="0" percent="0" rank="0" text="" dxfId="0">
      <formula>AND($F136="Yes")</formula>
    </cfRule>
    <cfRule type="expression" priority="55" aboveAverage="0" equalAverage="0" bottom="0" percent="0" rank="0" text="" dxfId="1">
      <formula>AND($F136="No")</formula>
    </cfRule>
  </conditionalFormatting>
  <conditionalFormatting sqref="V85:CA85">
    <cfRule type="expression" priority="56" aboveAverage="0" equalAverage="0" bottom="0" percent="0" rank="0" text="" dxfId="0">
      <formula>AND($F85="Yes")</formula>
    </cfRule>
    <cfRule type="expression" priority="57" aboveAverage="0" equalAverage="0" bottom="0" percent="0" rank="0" text="" dxfId="1">
      <formula>AND($F85="No")</formula>
    </cfRule>
  </conditionalFormatting>
  <conditionalFormatting sqref="T141:CA146">
    <cfRule type="expression" priority="58" aboveAverage="0" equalAverage="0" bottom="0" percent="0" rank="0" text="" dxfId="0">
      <formula>AND($F141="Yes")</formula>
    </cfRule>
    <cfRule type="expression" priority="59" aboveAverage="0" equalAverage="0" bottom="0" percent="0" rank="0" text="" dxfId="1">
      <formula>AND($F141="No")</formula>
    </cfRule>
  </conditionalFormatting>
  <conditionalFormatting sqref="Q63:R113 Q123">
    <cfRule type="containsText" priority="60" operator="containsText" aboveAverage="0" equalAverage="0" bottom="0" percent="0" rank="0" text="Error" dxfId="2">
      <formula>NOT(ISERROR(SEARCH("Error",Q63)))</formula>
    </cfRule>
  </conditionalFormatting>
  <conditionalFormatting sqref="Q66:R90 Q92:R113 CI66:CM119 CI121:CM149">
    <cfRule type="containsText" priority="61" operator="containsText" aboveAverage="0" equalAverage="0" bottom="0" percent="0" rank="0" text="FALSE" dxfId="2">
      <formula>NOT(ISERROR(SEARCH("FALSE",Q66)))</formula>
    </cfRule>
  </conditionalFormatting>
  <conditionalFormatting sqref="L136:P138">
    <cfRule type="expression" priority="62" aboveAverage="0" equalAverage="0" bottom="0" percent="0" rank="0" text="" dxfId="0">
      <formula>AND($F136="Yes")</formula>
    </cfRule>
    <cfRule type="expression" priority="63" aboveAverage="0" equalAverage="0" bottom="0" percent="0" rank="0" text="" dxfId="1">
      <formula>AND($F136="No")</formula>
    </cfRule>
  </conditionalFormatting>
  <conditionalFormatting sqref="Q117:R117">
    <cfRule type="containsText" priority="64" operator="containsText" aboveAverage="0" equalAverage="0" bottom="0" percent="0" rank="0" text="Error" dxfId="2">
      <formula>NOT(ISERROR(SEARCH("Error",Q117)))</formula>
    </cfRule>
    <cfRule type="containsText" priority="65" operator="containsText" aboveAverage="0" equalAverage="0" bottom="0" percent="0" rank="0" text="FALSE" dxfId="2">
      <formula>NOT(ISERROR(SEARCH("FALSE",Q117)))</formula>
    </cfRule>
  </conditionalFormatting>
  <conditionalFormatting sqref="I96:K96">
    <cfRule type="expression" priority="66" aboveAverage="0" equalAverage="0" bottom="0" percent="0" rank="0" text="" dxfId="0">
      <formula>AND($F96="Yes")</formula>
    </cfRule>
    <cfRule type="expression" priority="67" aboveAverage="0" equalAverage="0" bottom="0" percent="0" rank="0" text="" dxfId="1">
      <formula>AND($F96="No")</formula>
    </cfRule>
  </conditionalFormatting>
  <conditionalFormatting sqref="I104:K104">
    <cfRule type="expression" priority="68" aboveAverage="0" equalAverage="0" bottom="0" percent="0" rank="0" text="" dxfId="0">
      <formula>AND($F104="Yes")</formula>
    </cfRule>
    <cfRule type="expression" priority="69" aboveAverage="0" equalAverage="0" bottom="0" percent="0" rank="0" text="" dxfId="1">
      <formula>AND($F104="No")</formula>
    </cfRule>
  </conditionalFormatting>
  <conditionalFormatting sqref="E71:E75 E79:E83 E99:E103 F6:G6 I66:J67 I71:J75 I79:J83 I94:J95 I99:J103 I107:J111 J18:J21 J29 L66:P67 L71:P75 L79:P83 L94:P96 L99:P104 L107:P113 L126:P129 L141:P146 T66:CA68 T71:CA76 T94:CA96 T99:CA104 T107:CA113 T126:CA129 CC66:CG68 CC71:CG76 CC79:CG86 CC94:CG96 CC99:CG104 CC107:CG113 CC126:CG128 CI66:CM68 CI71:CM76 CI79:CM86 CI94:CM96 CI99:CM104 CI107:CM113 CI126:CM128">
    <cfRule type="expression" priority="70" aboveAverage="0" equalAverage="0" bottom="0" percent="0" rank="0" text="" dxfId="0">
      <formula>AND($F6="Yes")</formula>
    </cfRule>
    <cfRule type="expression" priority="71" aboveAverage="0" equalAverage="0" bottom="0" percent="0" rank="0" text="" dxfId="1">
      <formula>AND($F6="No")</formula>
    </cfRule>
  </conditionalFormatting>
  <conditionalFormatting sqref="E97">
    <cfRule type="expression" priority="72" aboveAverage="0" equalAverage="0" bottom="0" percent="0" rank="0" text="" dxfId="4">
      <formula>AND($F97="Yes")</formula>
    </cfRule>
    <cfRule type="expression" priority="73" aboveAverage="0" equalAverage="0" bottom="0" percent="0" rank="0" text="" dxfId="5">
      <formula>AND($F97="No")</formula>
    </cfRule>
  </conditionalFormatting>
  <conditionalFormatting sqref="E114">
    <cfRule type="expression" priority="74" aboveAverage="0" equalAverage="0" bottom="0" percent="0" rank="0" text="" dxfId="4">
      <formula>AND($F114="Yes")</formula>
    </cfRule>
    <cfRule type="expression" priority="75" aboveAverage="0" equalAverage="0" bottom="0" percent="0" rank="0" text="" dxfId="5">
      <formula>AND($F114="No")</formula>
    </cfRule>
  </conditionalFormatting>
  <conditionalFormatting sqref="I68:P68">
    <cfRule type="expression" priority="76" aboveAverage="0" equalAverage="0" bottom="0" percent="0" rank="0" text="" dxfId="0">
      <formula>AND($F68="Yes")</formula>
    </cfRule>
    <cfRule type="expression" priority="77" aboveAverage="0" equalAverage="0" bottom="0" percent="0" rank="0" text="" dxfId="1">
      <formula>AND($F68="No")</formula>
    </cfRule>
  </conditionalFormatting>
  <conditionalFormatting sqref="D136:D137 E69 E132">
    <cfRule type="expression" priority="78" aboveAverage="0" equalAverage="0" bottom="0" percent="0" rank="0" text="" dxfId="4">
      <formula>AND($F69="Yes")</formula>
    </cfRule>
    <cfRule type="expression" priority="79" aboveAverage="0" equalAverage="0" bottom="0" percent="0" rank="0" text="" dxfId="5">
      <formula>AND($F69="No")</formula>
    </cfRule>
  </conditionalFormatting>
  <conditionalFormatting sqref="I76:P76">
    <cfRule type="expression" priority="80" aboveAverage="0" equalAverage="0" bottom="0" percent="0" rank="0" text="" dxfId="0">
      <formula>AND($F76="Yes")</formula>
    </cfRule>
    <cfRule type="expression" priority="81" aboveAverage="0" equalAverage="0" bottom="0" percent="0" rank="0" text="" dxfId="1">
      <formula>AND($F76="No")</formula>
    </cfRule>
  </conditionalFormatting>
  <conditionalFormatting sqref="E87">
    <cfRule type="expression" priority="82" aboveAverage="0" equalAverage="0" bottom="0" percent="0" rank="0" text="" dxfId="4">
      <formula>AND($F87="Yes")</formula>
    </cfRule>
    <cfRule type="expression" priority="83" aboveAverage="0" equalAverage="0" bottom="0" percent="0" rank="0" text="" dxfId="5">
      <formula>AND($F87="No")</formula>
    </cfRule>
  </conditionalFormatting>
  <conditionalFormatting sqref="G167 J24:J25">
    <cfRule type="expression" priority="84" aboveAverage="0" equalAverage="0" bottom="0" percent="0" rank="0" text="" dxfId="0">
      <formula>AND(#ref!="Yes")</formula>
    </cfRule>
    <cfRule type="expression" priority="85" aboveAverage="0" equalAverage="0" bottom="0" percent="0" rank="0" text="" dxfId="1">
      <formula>AND(#ref!="No")</formula>
    </cfRule>
  </conditionalFormatting>
  <printOptions headings="false" gridLines="false" gridLinesSet="true" horizontalCentered="true" verticalCentered="false"/>
  <pageMargins left="0.25" right="0.25" top="0.75" bottom="0.75" header="0.3" footer="0.3"/>
  <pageSetup paperSize="1" scale="27" fitToWidth="1" fitToHeight="1" pageOrder="downThenOver" orientation="portrait" blackAndWhite="false" draft="false" cellComments="none" horizontalDpi="300" verticalDpi="300" copies="1"/>
  <headerFooter differentFirst="false" differentOddEven="false">
    <oddHeader>&amp;CSTRICTLY CONFIDENTIAL</oddHeader>
    <oddFooter>&amp;R&amp;P/&amp;N</oddFooter>
  </headerFooter>
  <rowBreaks count="1" manualBreakCount="1">
    <brk id="119" man="true" max="16383" min="0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Rocío Eiriz</dc:creator>
  <dc:description/>
  <dc:language>en-US</dc:language>
  <cp:lastModifiedBy>Parth Bahl</cp:lastModifiedBy>
  <dcterms:modified xsi:type="dcterms:W3CDTF">2026-08-31T10:49:05Z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0x010100DE6A7A104E3FD24B966A32B28867FD57</vt:lpwstr>
  </property>
  <property fmtid="{D5CDD505-2E9C-101B-9397-08002B2CF9AE}" pid="3" name="MSIP_Label_83303d7c-e5a3-4cc8-90eb-69bfd7570ac4_ActionId">
    <vt:lpwstr>75c3313a-a215-4397-b1fb-5e09aa931d0b</vt:lpwstr>
  </property>
  <property fmtid="{D5CDD505-2E9C-101B-9397-08002B2CF9AE}" pid="4" name="MSIP_Label_83303d7c-e5a3-4cc8-90eb-69bfd7570ac4_ContentBits">
    <vt:lpwstr>0</vt:lpwstr>
  </property>
  <property fmtid="{D5CDD505-2E9C-101B-9397-08002B2CF9AE}" pid="5" name="MSIP_Label_83303d7c-e5a3-4cc8-90eb-69bfd7570ac4_Enabled">
    <vt:lpwstr>true</vt:lpwstr>
  </property>
  <property fmtid="{D5CDD505-2E9C-101B-9397-08002B2CF9AE}" pid="6" name="MSIP_Label_83303d7c-e5a3-4cc8-90eb-69bfd7570ac4_Method">
    <vt:lpwstr>Standard</vt:lpwstr>
  </property>
  <property fmtid="{D5CDD505-2E9C-101B-9397-08002B2CF9AE}" pid="7" name="MSIP_Label_83303d7c-e5a3-4cc8-90eb-69bfd7570ac4_Name">
    <vt:lpwstr>Client Confidential Information-SLV1</vt:lpwstr>
  </property>
  <property fmtid="{D5CDD505-2E9C-101B-9397-08002B2CF9AE}" pid="8" name="MSIP_Label_83303d7c-e5a3-4cc8-90eb-69bfd7570ac4_SetDate">
    <vt:lpwstr>2026-08-12T14:24:48Z</vt:lpwstr>
  </property>
  <property fmtid="{D5CDD505-2E9C-101B-9397-08002B2CF9AE}" pid="9" name="MSIP_Label_83303d7c-e5a3-4cc8-90eb-69bfd7570ac4_SiteId">
    <vt:lpwstr>cc8936bc-9382-4fff-87cb-6f55999549e7</vt:lpwstr>
  </property>
  <property fmtid="{D5CDD505-2E9C-101B-9397-08002B2CF9AE}" pid="10" name="MSIP_Label_83303d7c-e5a3-4cc8-90eb-69bfd7570ac4_Tag">
    <vt:lpwstr>10, 3, 0, 1</vt:lpwstr>
  </property>
  <property fmtid="{D5CDD505-2E9C-101B-9397-08002B2CF9AE}" pid="11" name="MediaServiceImageTags">
    <vt:lpwstr/>
  </property>
  <property fmtid="{D5CDD505-2E9C-101B-9397-08002B2CF9AE}" pid="12" name="_dlc_DocIdItemGuid">
    <vt:lpwstr>f4d9cd27-ac07-4b04-815e-88422d881bf2</vt:lpwstr>
  </property>
</Properties>
</file>